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778FA85E-9758-485C-AFF9-41422E055841}" xr6:coauthVersionLast="44" xr6:coauthVersionMax="44" xr10:uidLastSave="{00000000-0000-0000-0000-000000000000}"/>
  <bookViews>
    <workbookView xWindow="1905" yWindow="1395" windowWidth="21600" windowHeight="11385" tabRatio="824" xr2:uid="{00000000-000D-0000-FFFF-FFFF00000000}"/>
  </bookViews>
  <sheets>
    <sheet name="Formulario" sheetId="1" r:id="rId1"/>
    <sheet name="CargaDatos" sheetId="5" r:id="rId2"/>
    <sheet name="Registro de proyectos" sheetId="4" r:id="rId3"/>
    <sheet name="Tablas" sheetId="7" r:id="rId4"/>
  </sheets>
  <definedNames>
    <definedName name="_xlnm._FilterDatabase" localSheetId="0" hidden="1">Formulario!$B$13:$Q$113</definedName>
    <definedName name="_xlnm.Print_Area" localSheetId="0">Formulario!$B$14:$F$26</definedName>
    <definedName name="estado">#REF!</definedName>
    <definedName name="inmobiliaria">OFFSET(Tablas!#REF!,0,0,COUNTA(Tablas!$B:$B)-1)</definedName>
    <definedName name="proyecto">#REF!</definedName>
    <definedName name="SupervisorCons">OFFSET(Tablas!$D$2,0,0,COUNTA(Tablas!$D:$D)-1)</definedName>
    <definedName name="SupervisorInm">OFFSET(Tablas!$F$2,0,0,COUNTA(Tablas!$F:$F)-1)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G4" i="5" l="1"/>
  <c r="I4" i="5"/>
  <c r="J4" i="5"/>
  <c r="K4" i="5"/>
  <c r="L4" i="5"/>
  <c r="N4" i="5"/>
  <c r="H4" i="5" s="1"/>
  <c r="E5" i="5"/>
  <c r="G5" i="5"/>
  <c r="I5" i="5"/>
  <c r="J5" i="5"/>
  <c r="K5" i="5"/>
  <c r="L5" i="5"/>
  <c r="N5" i="5"/>
  <c r="H5" i="5" s="1"/>
  <c r="E6" i="5"/>
  <c r="G6" i="5"/>
  <c r="I6" i="5"/>
  <c r="J6" i="5"/>
  <c r="K6" i="5"/>
  <c r="L6" i="5"/>
  <c r="N6" i="5"/>
  <c r="H6" i="5" s="1"/>
  <c r="E7" i="5"/>
  <c r="G7" i="5"/>
  <c r="I7" i="5"/>
  <c r="J7" i="5"/>
  <c r="K7" i="5"/>
  <c r="L7" i="5"/>
  <c r="N7" i="5"/>
  <c r="H7" i="5" s="1"/>
  <c r="E8" i="5"/>
  <c r="G8" i="5"/>
  <c r="I8" i="5"/>
  <c r="J8" i="5"/>
  <c r="K8" i="5"/>
  <c r="L8" i="5"/>
  <c r="N8" i="5"/>
  <c r="H8" i="5" s="1"/>
  <c r="E9" i="5"/>
  <c r="G9" i="5"/>
  <c r="I9" i="5"/>
  <c r="J9" i="5"/>
  <c r="K9" i="5"/>
  <c r="L9" i="5"/>
  <c r="N9" i="5"/>
  <c r="H9" i="5" s="1"/>
  <c r="E10" i="5"/>
  <c r="G10" i="5"/>
  <c r="I10" i="5"/>
  <c r="J10" i="5"/>
  <c r="K10" i="5"/>
  <c r="L10" i="5"/>
  <c r="N10" i="5"/>
  <c r="H10" i="5" s="1"/>
  <c r="E11" i="5"/>
  <c r="G11" i="5"/>
  <c r="I11" i="5"/>
  <c r="J11" i="5"/>
  <c r="K11" i="5"/>
  <c r="L11" i="5"/>
  <c r="N11" i="5"/>
  <c r="H11" i="5" s="1"/>
  <c r="E12" i="5"/>
  <c r="G12" i="5"/>
  <c r="I12" i="5"/>
  <c r="J12" i="5"/>
  <c r="K12" i="5"/>
  <c r="L12" i="5"/>
  <c r="N12" i="5"/>
  <c r="H12" i="5" s="1"/>
  <c r="F13" i="5"/>
  <c r="E13" i="5" s="1"/>
  <c r="G13" i="5"/>
  <c r="I13" i="5"/>
  <c r="J13" i="5"/>
  <c r="K13" i="5"/>
  <c r="L13" i="5"/>
  <c r="N13" i="5"/>
  <c r="H13" i="5" s="1"/>
  <c r="F14" i="5"/>
  <c r="E14" i="5" s="1"/>
  <c r="G14" i="5"/>
  <c r="I14" i="5"/>
  <c r="J14" i="5"/>
  <c r="K14" i="5"/>
  <c r="L14" i="5"/>
  <c r="N14" i="5"/>
  <c r="H14" i="5" s="1"/>
  <c r="F15" i="5"/>
  <c r="E15" i="5" s="1"/>
  <c r="G15" i="5"/>
  <c r="I15" i="5"/>
  <c r="J15" i="5"/>
  <c r="K15" i="5"/>
  <c r="L15" i="5"/>
  <c r="N15" i="5"/>
  <c r="H15" i="5" s="1"/>
  <c r="F16" i="5"/>
  <c r="E16" i="5" s="1"/>
  <c r="G16" i="5"/>
  <c r="I16" i="5"/>
  <c r="J16" i="5"/>
  <c r="K16" i="5"/>
  <c r="L16" i="5"/>
  <c r="N16" i="5"/>
  <c r="H16" i="5" s="1"/>
  <c r="F17" i="5"/>
  <c r="E17" i="5" s="1"/>
  <c r="G17" i="5"/>
  <c r="I17" i="5"/>
  <c r="J17" i="5"/>
  <c r="K17" i="5"/>
  <c r="L17" i="5"/>
  <c r="N17" i="5"/>
  <c r="H17" i="5" s="1"/>
  <c r="F18" i="5"/>
  <c r="E18" i="5" s="1"/>
  <c r="G18" i="5"/>
  <c r="I18" i="5"/>
  <c r="J18" i="5"/>
  <c r="K18" i="5"/>
  <c r="L18" i="5"/>
  <c r="N18" i="5"/>
  <c r="H18" i="5" s="1"/>
  <c r="F19" i="5"/>
  <c r="E19" i="5" s="1"/>
  <c r="G19" i="5"/>
  <c r="I19" i="5"/>
  <c r="J19" i="5"/>
  <c r="K19" i="5"/>
  <c r="L19" i="5"/>
  <c r="N19" i="5"/>
  <c r="H19" i="5" s="1"/>
  <c r="F20" i="5"/>
  <c r="E20" i="5" s="1"/>
  <c r="G20" i="5"/>
  <c r="I20" i="5"/>
  <c r="J20" i="5"/>
  <c r="K20" i="5"/>
  <c r="L20" i="5"/>
  <c r="N20" i="5"/>
  <c r="H20" i="5" s="1"/>
  <c r="F21" i="5"/>
  <c r="E21" i="5" s="1"/>
  <c r="G21" i="5"/>
  <c r="I21" i="5"/>
  <c r="J21" i="5"/>
  <c r="K21" i="5"/>
  <c r="L21" i="5"/>
  <c r="N21" i="5"/>
  <c r="H21" i="5" s="1"/>
  <c r="F22" i="5"/>
  <c r="E22" i="5" s="1"/>
  <c r="G22" i="5"/>
  <c r="I22" i="5"/>
  <c r="J22" i="5"/>
  <c r="K22" i="5"/>
  <c r="L22" i="5"/>
  <c r="N22" i="5"/>
  <c r="H22" i="5" s="1"/>
  <c r="F23" i="5"/>
  <c r="E23" i="5" s="1"/>
  <c r="G23" i="5"/>
  <c r="I23" i="5"/>
  <c r="J23" i="5"/>
  <c r="K23" i="5"/>
  <c r="L23" i="5"/>
  <c r="N23" i="5"/>
  <c r="H23" i="5" s="1"/>
  <c r="F24" i="5"/>
  <c r="E24" i="5" s="1"/>
  <c r="G24" i="5"/>
  <c r="I24" i="5"/>
  <c r="J24" i="5"/>
  <c r="K24" i="5"/>
  <c r="L24" i="5"/>
  <c r="N24" i="5"/>
  <c r="H24" i="5" s="1"/>
  <c r="F25" i="5"/>
  <c r="E25" i="5" s="1"/>
  <c r="G25" i="5"/>
  <c r="I25" i="5"/>
  <c r="J25" i="5"/>
  <c r="K25" i="5"/>
  <c r="L25" i="5"/>
  <c r="N25" i="5"/>
  <c r="H25" i="5" s="1"/>
  <c r="F26" i="5"/>
  <c r="E26" i="5" s="1"/>
  <c r="G26" i="5"/>
  <c r="I26" i="5"/>
  <c r="J26" i="5"/>
  <c r="K26" i="5"/>
  <c r="L26" i="5"/>
  <c r="N26" i="5"/>
  <c r="H26" i="5" s="1"/>
  <c r="F27" i="5"/>
  <c r="E27" i="5" s="1"/>
  <c r="G27" i="5"/>
  <c r="I27" i="5"/>
  <c r="J27" i="5"/>
  <c r="K27" i="5"/>
  <c r="L27" i="5"/>
  <c r="N27" i="5"/>
  <c r="H27" i="5" s="1"/>
  <c r="F28" i="5"/>
  <c r="E28" i="5" s="1"/>
  <c r="G28" i="5"/>
  <c r="I28" i="5"/>
  <c r="J28" i="5"/>
  <c r="K28" i="5"/>
  <c r="L28" i="5"/>
  <c r="N28" i="5"/>
  <c r="H28" i="5" s="1"/>
  <c r="F29" i="5"/>
  <c r="E29" i="5" s="1"/>
  <c r="G29" i="5"/>
  <c r="I29" i="5"/>
  <c r="J29" i="5"/>
  <c r="K29" i="5"/>
  <c r="L29" i="5"/>
  <c r="N29" i="5"/>
  <c r="H29" i="5" s="1"/>
  <c r="F30" i="5"/>
  <c r="E30" i="5" s="1"/>
  <c r="G30" i="5"/>
  <c r="I30" i="5"/>
  <c r="J30" i="5"/>
  <c r="K30" i="5"/>
  <c r="L30" i="5"/>
  <c r="N30" i="5"/>
  <c r="H30" i="5" s="1"/>
  <c r="F31" i="5"/>
  <c r="E31" i="5" s="1"/>
  <c r="G31" i="5"/>
  <c r="I31" i="5"/>
  <c r="J31" i="5"/>
  <c r="K31" i="5"/>
  <c r="L31" i="5"/>
  <c r="N31" i="5"/>
  <c r="H31" i="5" s="1"/>
  <c r="F32" i="5"/>
  <c r="E32" i="5" s="1"/>
  <c r="G32" i="5"/>
  <c r="I32" i="5"/>
  <c r="J32" i="5"/>
  <c r="K32" i="5"/>
  <c r="L32" i="5"/>
  <c r="N32" i="5"/>
  <c r="H32" i="5" s="1"/>
  <c r="F33" i="5"/>
  <c r="E33" i="5" s="1"/>
  <c r="G33" i="5"/>
  <c r="I33" i="5"/>
  <c r="J33" i="5"/>
  <c r="K33" i="5"/>
  <c r="L33" i="5"/>
  <c r="N33" i="5"/>
  <c r="H33" i="5" s="1"/>
  <c r="F34" i="5"/>
  <c r="E34" i="5" s="1"/>
  <c r="G34" i="5"/>
  <c r="H34" i="5"/>
  <c r="I34" i="5"/>
  <c r="J34" i="5"/>
  <c r="K34" i="5"/>
  <c r="L34" i="5"/>
  <c r="N34" i="5"/>
  <c r="F35" i="5"/>
  <c r="E35" i="5" s="1"/>
  <c r="G35" i="5"/>
  <c r="I35" i="5"/>
  <c r="J35" i="5"/>
  <c r="K35" i="5"/>
  <c r="L35" i="5"/>
  <c r="N35" i="5"/>
  <c r="H35" i="5" s="1"/>
  <c r="F36" i="5"/>
  <c r="E36" i="5" s="1"/>
  <c r="G36" i="5"/>
  <c r="I36" i="5"/>
  <c r="J36" i="5"/>
  <c r="K36" i="5"/>
  <c r="L36" i="5"/>
  <c r="N36" i="5"/>
  <c r="H36" i="5" s="1"/>
  <c r="F37" i="5"/>
  <c r="E37" i="5" s="1"/>
  <c r="G37" i="5"/>
  <c r="I37" i="5"/>
  <c r="J37" i="5"/>
  <c r="K37" i="5"/>
  <c r="L37" i="5"/>
  <c r="N37" i="5"/>
  <c r="H37" i="5" s="1"/>
  <c r="F38" i="5"/>
  <c r="E38" i="5" s="1"/>
  <c r="G38" i="5"/>
  <c r="I38" i="5"/>
  <c r="J38" i="5"/>
  <c r="K38" i="5"/>
  <c r="L38" i="5"/>
  <c r="N38" i="5"/>
  <c r="H38" i="5" s="1"/>
  <c r="F39" i="5"/>
  <c r="E39" i="5" s="1"/>
  <c r="G39" i="5"/>
  <c r="I39" i="5"/>
  <c r="J39" i="5"/>
  <c r="K39" i="5"/>
  <c r="L39" i="5"/>
  <c r="N39" i="5"/>
  <c r="H39" i="5" s="1"/>
  <c r="F40" i="5"/>
  <c r="E40" i="5" s="1"/>
  <c r="G40" i="5"/>
  <c r="I40" i="5"/>
  <c r="J40" i="5"/>
  <c r="K40" i="5"/>
  <c r="L40" i="5"/>
  <c r="N40" i="5"/>
  <c r="H40" i="5" s="1"/>
  <c r="F41" i="5"/>
  <c r="E41" i="5" s="1"/>
  <c r="G41" i="5"/>
  <c r="I41" i="5"/>
  <c r="J41" i="5"/>
  <c r="K41" i="5"/>
  <c r="L41" i="5"/>
  <c r="N41" i="5"/>
  <c r="H41" i="5" s="1"/>
  <c r="F42" i="5"/>
  <c r="E42" i="5" s="1"/>
  <c r="G42" i="5"/>
  <c r="I42" i="5"/>
  <c r="J42" i="5"/>
  <c r="K42" i="5"/>
  <c r="L42" i="5"/>
  <c r="N42" i="5"/>
  <c r="H42" i="5" s="1"/>
  <c r="F43" i="5"/>
  <c r="E43" i="5" s="1"/>
  <c r="G43" i="5"/>
  <c r="I43" i="5"/>
  <c r="J43" i="5"/>
  <c r="K43" i="5"/>
  <c r="L43" i="5"/>
  <c r="N43" i="5"/>
  <c r="H43" i="5" s="1"/>
  <c r="F44" i="5"/>
  <c r="E44" i="5" s="1"/>
  <c r="G44" i="5"/>
  <c r="I44" i="5"/>
  <c r="J44" i="5"/>
  <c r="K44" i="5"/>
  <c r="L44" i="5"/>
  <c r="N44" i="5"/>
  <c r="H44" i="5" s="1"/>
  <c r="F45" i="5"/>
  <c r="E45" i="5" s="1"/>
  <c r="G45" i="5"/>
  <c r="I45" i="5"/>
  <c r="J45" i="5"/>
  <c r="K45" i="5"/>
  <c r="L45" i="5"/>
  <c r="N45" i="5"/>
  <c r="H45" i="5" s="1"/>
  <c r="F46" i="5"/>
  <c r="E46" i="5" s="1"/>
  <c r="G46" i="5"/>
  <c r="I46" i="5"/>
  <c r="J46" i="5"/>
  <c r="K46" i="5"/>
  <c r="L46" i="5"/>
  <c r="N46" i="5"/>
  <c r="H46" i="5" s="1"/>
  <c r="F47" i="5"/>
  <c r="E47" i="5" s="1"/>
  <c r="G47" i="5"/>
  <c r="I47" i="5"/>
  <c r="J47" i="5"/>
  <c r="K47" i="5"/>
  <c r="L47" i="5"/>
  <c r="N47" i="5"/>
  <c r="H47" i="5" s="1"/>
  <c r="F48" i="5"/>
  <c r="E48" i="5" s="1"/>
  <c r="G48" i="5"/>
  <c r="I48" i="5"/>
  <c r="J48" i="5"/>
  <c r="K48" i="5"/>
  <c r="L48" i="5"/>
  <c r="N48" i="5"/>
  <c r="H48" i="5" s="1"/>
  <c r="F49" i="5"/>
  <c r="E49" i="5" s="1"/>
  <c r="G49" i="5"/>
  <c r="I49" i="5"/>
  <c r="J49" i="5"/>
  <c r="K49" i="5"/>
  <c r="L49" i="5"/>
  <c r="N49" i="5"/>
  <c r="H49" i="5" s="1"/>
  <c r="F50" i="5"/>
  <c r="E50" i="5" s="1"/>
  <c r="G50" i="5"/>
  <c r="I50" i="5"/>
  <c r="J50" i="5"/>
  <c r="K50" i="5"/>
  <c r="L50" i="5"/>
  <c r="N50" i="5"/>
  <c r="H50" i="5" s="1"/>
  <c r="F51" i="5"/>
  <c r="E51" i="5" s="1"/>
  <c r="G51" i="5"/>
  <c r="I51" i="5"/>
  <c r="J51" i="5"/>
  <c r="K51" i="5"/>
  <c r="L51" i="5"/>
  <c r="N51" i="5"/>
  <c r="H51" i="5" s="1"/>
  <c r="F52" i="5"/>
  <c r="E52" i="5" s="1"/>
  <c r="G52" i="5"/>
  <c r="I52" i="5"/>
  <c r="J52" i="5"/>
  <c r="K52" i="5"/>
  <c r="L52" i="5"/>
  <c r="N52" i="5"/>
  <c r="H52" i="5" s="1"/>
  <c r="F53" i="5"/>
  <c r="E53" i="5" s="1"/>
  <c r="G53" i="5"/>
  <c r="I53" i="5"/>
  <c r="J53" i="5"/>
  <c r="K53" i="5"/>
  <c r="L53" i="5"/>
  <c r="N53" i="5"/>
  <c r="H53" i="5" s="1"/>
  <c r="F54" i="5"/>
  <c r="E54" i="5" s="1"/>
  <c r="G54" i="5"/>
  <c r="I54" i="5"/>
  <c r="J54" i="5"/>
  <c r="K54" i="5"/>
  <c r="L54" i="5"/>
  <c r="N54" i="5"/>
  <c r="H54" i="5" s="1"/>
  <c r="F55" i="5"/>
  <c r="E55" i="5" s="1"/>
  <c r="G55" i="5"/>
  <c r="I55" i="5"/>
  <c r="J55" i="5"/>
  <c r="K55" i="5"/>
  <c r="L55" i="5"/>
  <c r="N55" i="5"/>
  <c r="H55" i="5" s="1"/>
  <c r="F56" i="5"/>
  <c r="E56" i="5" s="1"/>
  <c r="G56" i="5"/>
  <c r="I56" i="5"/>
  <c r="J56" i="5"/>
  <c r="K56" i="5"/>
  <c r="L56" i="5"/>
  <c r="N56" i="5"/>
  <c r="H56" i="5" s="1"/>
  <c r="F57" i="5"/>
  <c r="E57" i="5" s="1"/>
  <c r="G57" i="5"/>
  <c r="I57" i="5"/>
  <c r="J57" i="5"/>
  <c r="K57" i="5"/>
  <c r="L57" i="5"/>
  <c r="N57" i="5"/>
  <c r="H57" i="5" s="1"/>
  <c r="F58" i="5"/>
  <c r="E58" i="5" s="1"/>
  <c r="G58" i="5"/>
  <c r="I58" i="5"/>
  <c r="J58" i="5"/>
  <c r="K58" i="5"/>
  <c r="L58" i="5"/>
  <c r="N58" i="5"/>
  <c r="H58" i="5" s="1"/>
  <c r="F59" i="5"/>
  <c r="E59" i="5" s="1"/>
  <c r="G59" i="5"/>
  <c r="I59" i="5"/>
  <c r="J59" i="5"/>
  <c r="K59" i="5"/>
  <c r="L59" i="5"/>
  <c r="N59" i="5"/>
  <c r="H59" i="5" s="1"/>
  <c r="F60" i="5"/>
  <c r="E60" i="5" s="1"/>
  <c r="G60" i="5"/>
  <c r="I60" i="5"/>
  <c r="J60" i="5"/>
  <c r="K60" i="5"/>
  <c r="L60" i="5"/>
  <c r="N60" i="5"/>
  <c r="H60" i="5" s="1"/>
  <c r="F61" i="5"/>
  <c r="E61" i="5" s="1"/>
  <c r="G61" i="5"/>
  <c r="I61" i="5"/>
  <c r="J61" i="5"/>
  <c r="K61" i="5"/>
  <c r="L61" i="5"/>
  <c r="N61" i="5"/>
  <c r="H61" i="5" s="1"/>
  <c r="F62" i="5"/>
  <c r="E62" i="5" s="1"/>
  <c r="G62" i="5"/>
  <c r="I62" i="5"/>
  <c r="J62" i="5"/>
  <c r="K62" i="5"/>
  <c r="L62" i="5"/>
  <c r="N62" i="5"/>
  <c r="H62" i="5" s="1"/>
  <c r="F63" i="5"/>
  <c r="E63" i="5" s="1"/>
  <c r="G63" i="5"/>
  <c r="I63" i="5"/>
  <c r="J63" i="5"/>
  <c r="K63" i="5"/>
  <c r="L63" i="5"/>
  <c r="N63" i="5"/>
  <c r="H63" i="5" s="1"/>
  <c r="F64" i="5"/>
  <c r="E64" i="5" s="1"/>
  <c r="G64" i="5"/>
  <c r="I64" i="5"/>
  <c r="J64" i="5"/>
  <c r="K64" i="5"/>
  <c r="L64" i="5"/>
  <c r="N64" i="5"/>
  <c r="H64" i="5" s="1"/>
  <c r="F65" i="5"/>
  <c r="E65" i="5" s="1"/>
  <c r="G65" i="5"/>
  <c r="I65" i="5"/>
  <c r="J65" i="5"/>
  <c r="K65" i="5"/>
  <c r="L65" i="5"/>
  <c r="N65" i="5"/>
  <c r="H65" i="5" s="1"/>
  <c r="F66" i="5"/>
  <c r="E66" i="5" s="1"/>
  <c r="G66" i="5"/>
  <c r="I66" i="5"/>
  <c r="J66" i="5"/>
  <c r="K66" i="5"/>
  <c r="L66" i="5"/>
  <c r="N66" i="5"/>
  <c r="H66" i="5" s="1"/>
  <c r="F67" i="5"/>
  <c r="E67" i="5" s="1"/>
  <c r="G67" i="5"/>
  <c r="I67" i="5"/>
  <c r="J67" i="5"/>
  <c r="K67" i="5"/>
  <c r="L67" i="5"/>
  <c r="N67" i="5"/>
  <c r="H67" i="5" s="1"/>
  <c r="F68" i="5"/>
  <c r="E68" i="5" s="1"/>
  <c r="G68" i="5"/>
  <c r="I68" i="5"/>
  <c r="J68" i="5"/>
  <c r="K68" i="5"/>
  <c r="L68" i="5"/>
  <c r="N68" i="5"/>
  <c r="H68" i="5" s="1"/>
  <c r="F69" i="5"/>
  <c r="E69" i="5" s="1"/>
  <c r="G69" i="5"/>
  <c r="I69" i="5"/>
  <c r="J69" i="5"/>
  <c r="K69" i="5"/>
  <c r="L69" i="5"/>
  <c r="N69" i="5"/>
  <c r="H69" i="5" s="1"/>
  <c r="F70" i="5"/>
  <c r="E70" i="5" s="1"/>
  <c r="G70" i="5"/>
  <c r="I70" i="5"/>
  <c r="J70" i="5"/>
  <c r="K70" i="5"/>
  <c r="L70" i="5"/>
  <c r="N70" i="5"/>
  <c r="H70" i="5" s="1"/>
  <c r="F71" i="5"/>
  <c r="E71" i="5" s="1"/>
  <c r="G71" i="5"/>
  <c r="I71" i="5"/>
  <c r="J71" i="5"/>
  <c r="K71" i="5"/>
  <c r="L71" i="5"/>
  <c r="N71" i="5"/>
  <c r="H71" i="5" s="1"/>
  <c r="F72" i="5"/>
  <c r="E72" i="5" s="1"/>
  <c r="G72" i="5"/>
  <c r="I72" i="5"/>
  <c r="J72" i="5"/>
  <c r="K72" i="5"/>
  <c r="L72" i="5"/>
  <c r="N72" i="5"/>
  <c r="H72" i="5" s="1"/>
  <c r="F73" i="5"/>
  <c r="E73" i="5" s="1"/>
  <c r="G73" i="5"/>
  <c r="I73" i="5"/>
  <c r="J73" i="5"/>
  <c r="K73" i="5"/>
  <c r="L73" i="5"/>
  <c r="N73" i="5"/>
  <c r="H73" i="5" s="1"/>
  <c r="F74" i="5"/>
  <c r="E74" i="5" s="1"/>
  <c r="G74" i="5"/>
  <c r="I74" i="5"/>
  <c r="J74" i="5"/>
  <c r="K74" i="5"/>
  <c r="L74" i="5"/>
  <c r="N74" i="5"/>
  <c r="H74" i="5" s="1"/>
  <c r="F75" i="5"/>
  <c r="E75" i="5" s="1"/>
  <c r="G75" i="5"/>
  <c r="I75" i="5"/>
  <c r="J75" i="5"/>
  <c r="K75" i="5"/>
  <c r="L75" i="5"/>
  <c r="N75" i="5"/>
  <c r="H75" i="5" s="1"/>
  <c r="F76" i="5"/>
  <c r="E76" i="5" s="1"/>
  <c r="G76" i="5"/>
  <c r="I76" i="5"/>
  <c r="J76" i="5"/>
  <c r="K76" i="5"/>
  <c r="L76" i="5"/>
  <c r="N76" i="5"/>
  <c r="H76" i="5" s="1"/>
  <c r="F77" i="5"/>
  <c r="E77" i="5" s="1"/>
  <c r="G77" i="5"/>
  <c r="I77" i="5"/>
  <c r="J77" i="5"/>
  <c r="K77" i="5"/>
  <c r="L77" i="5"/>
  <c r="N77" i="5"/>
  <c r="H77" i="5" s="1"/>
  <c r="F78" i="5"/>
  <c r="E78" i="5" s="1"/>
  <c r="G78" i="5"/>
  <c r="I78" i="5"/>
  <c r="J78" i="5"/>
  <c r="K78" i="5"/>
  <c r="L78" i="5"/>
  <c r="N78" i="5"/>
  <c r="H78" i="5" s="1"/>
  <c r="F79" i="5"/>
  <c r="E79" i="5" s="1"/>
  <c r="G79" i="5"/>
  <c r="I79" i="5"/>
  <c r="J79" i="5"/>
  <c r="K79" i="5"/>
  <c r="L79" i="5"/>
  <c r="N79" i="5"/>
  <c r="H79" i="5" s="1"/>
  <c r="F80" i="5"/>
  <c r="E80" i="5" s="1"/>
  <c r="G80" i="5"/>
  <c r="I80" i="5"/>
  <c r="J80" i="5"/>
  <c r="K80" i="5"/>
  <c r="L80" i="5"/>
  <c r="N80" i="5"/>
  <c r="H80" i="5" s="1"/>
  <c r="F81" i="5"/>
  <c r="E81" i="5" s="1"/>
  <c r="G81" i="5"/>
  <c r="I81" i="5"/>
  <c r="J81" i="5"/>
  <c r="K81" i="5"/>
  <c r="L81" i="5"/>
  <c r="N81" i="5"/>
  <c r="H81" i="5" s="1"/>
  <c r="F82" i="5"/>
  <c r="E82" i="5" s="1"/>
  <c r="G82" i="5"/>
  <c r="I82" i="5"/>
  <c r="J82" i="5"/>
  <c r="K82" i="5"/>
  <c r="L82" i="5"/>
  <c r="N82" i="5"/>
  <c r="H82" i="5" s="1"/>
  <c r="F83" i="5"/>
  <c r="E83" i="5" s="1"/>
  <c r="G83" i="5"/>
  <c r="I83" i="5"/>
  <c r="J83" i="5"/>
  <c r="K83" i="5"/>
  <c r="L83" i="5"/>
  <c r="N83" i="5"/>
  <c r="H83" i="5" s="1"/>
  <c r="F84" i="5"/>
  <c r="E84" i="5" s="1"/>
  <c r="G84" i="5"/>
  <c r="I84" i="5"/>
  <c r="J84" i="5"/>
  <c r="K84" i="5"/>
  <c r="L84" i="5"/>
  <c r="N84" i="5"/>
  <c r="H84" i="5" s="1"/>
  <c r="F85" i="5"/>
  <c r="E85" i="5" s="1"/>
  <c r="G85" i="5"/>
  <c r="I85" i="5"/>
  <c r="J85" i="5"/>
  <c r="K85" i="5"/>
  <c r="L85" i="5"/>
  <c r="N85" i="5"/>
  <c r="H85" i="5" s="1"/>
  <c r="F86" i="5"/>
  <c r="E86" i="5" s="1"/>
  <c r="G86" i="5"/>
  <c r="I86" i="5"/>
  <c r="J86" i="5"/>
  <c r="K86" i="5"/>
  <c r="L86" i="5"/>
  <c r="N86" i="5"/>
  <c r="H86" i="5" s="1"/>
  <c r="F87" i="5"/>
  <c r="E87" i="5" s="1"/>
  <c r="G87" i="5"/>
  <c r="I87" i="5"/>
  <c r="J87" i="5"/>
  <c r="K87" i="5"/>
  <c r="L87" i="5"/>
  <c r="N87" i="5"/>
  <c r="H87" i="5" s="1"/>
  <c r="F88" i="5"/>
  <c r="E88" i="5" s="1"/>
  <c r="G88" i="5"/>
  <c r="I88" i="5"/>
  <c r="J88" i="5"/>
  <c r="K88" i="5"/>
  <c r="L88" i="5"/>
  <c r="N88" i="5"/>
  <c r="H88" i="5" s="1"/>
  <c r="F89" i="5"/>
  <c r="E89" i="5" s="1"/>
  <c r="G89" i="5"/>
  <c r="I89" i="5"/>
  <c r="J89" i="5"/>
  <c r="K89" i="5"/>
  <c r="L89" i="5"/>
  <c r="N89" i="5"/>
  <c r="H89" i="5" s="1"/>
  <c r="F90" i="5"/>
  <c r="E90" i="5" s="1"/>
  <c r="G90" i="5"/>
  <c r="I90" i="5"/>
  <c r="J90" i="5"/>
  <c r="K90" i="5"/>
  <c r="L90" i="5"/>
  <c r="N90" i="5"/>
  <c r="H90" i="5" s="1"/>
  <c r="F91" i="5"/>
  <c r="E91" i="5" s="1"/>
  <c r="G91" i="5"/>
  <c r="I91" i="5"/>
  <c r="J91" i="5"/>
  <c r="K91" i="5"/>
  <c r="L91" i="5"/>
  <c r="N91" i="5"/>
  <c r="H91" i="5" s="1"/>
  <c r="F92" i="5"/>
  <c r="E92" i="5" s="1"/>
  <c r="G92" i="5"/>
  <c r="I92" i="5"/>
  <c r="J92" i="5"/>
  <c r="K92" i="5"/>
  <c r="L92" i="5"/>
  <c r="N92" i="5"/>
  <c r="H92" i="5" s="1"/>
  <c r="F93" i="5"/>
  <c r="E93" i="5" s="1"/>
  <c r="G93" i="5"/>
  <c r="I93" i="5"/>
  <c r="J93" i="5"/>
  <c r="K93" i="5"/>
  <c r="L93" i="5"/>
  <c r="N93" i="5"/>
  <c r="H93" i="5" s="1"/>
  <c r="F94" i="5"/>
  <c r="E94" i="5" s="1"/>
  <c r="G94" i="5"/>
  <c r="I94" i="5"/>
  <c r="J94" i="5"/>
  <c r="K94" i="5"/>
  <c r="L94" i="5"/>
  <c r="N94" i="5"/>
  <c r="H94" i="5" s="1"/>
  <c r="F95" i="5"/>
  <c r="E95" i="5" s="1"/>
  <c r="G95" i="5"/>
  <c r="I95" i="5"/>
  <c r="J95" i="5"/>
  <c r="K95" i="5"/>
  <c r="L95" i="5"/>
  <c r="N95" i="5"/>
  <c r="H95" i="5" s="1"/>
  <c r="F96" i="5"/>
  <c r="E96" i="5" s="1"/>
  <c r="G96" i="5"/>
  <c r="I96" i="5"/>
  <c r="J96" i="5"/>
  <c r="K96" i="5"/>
  <c r="L96" i="5"/>
  <c r="N96" i="5"/>
  <c r="H96" i="5" s="1"/>
  <c r="F97" i="5"/>
  <c r="E97" i="5" s="1"/>
  <c r="G97" i="5"/>
  <c r="I97" i="5"/>
  <c r="J97" i="5"/>
  <c r="K97" i="5"/>
  <c r="L97" i="5"/>
  <c r="N97" i="5"/>
  <c r="H97" i="5" s="1"/>
  <c r="F98" i="5"/>
  <c r="E98" i="5" s="1"/>
  <c r="G98" i="5"/>
  <c r="I98" i="5"/>
  <c r="J98" i="5"/>
  <c r="K98" i="5"/>
  <c r="L98" i="5"/>
  <c r="N98" i="5"/>
  <c r="H98" i="5" s="1"/>
  <c r="F99" i="5"/>
  <c r="E99" i="5" s="1"/>
  <c r="G99" i="5"/>
  <c r="I99" i="5"/>
  <c r="J99" i="5"/>
  <c r="K99" i="5"/>
  <c r="L99" i="5"/>
  <c r="N99" i="5"/>
  <c r="H99" i="5" s="1"/>
  <c r="F100" i="5"/>
  <c r="E100" i="5" s="1"/>
  <c r="G100" i="5"/>
  <c r="I100" i="5"/>
  <c r="J100" i="5"/>
  <c r="K100" i="5"/>
  <c r="L100" i="5"/>
  <c r="N100" i="5"/>
  <c r="H100" i="5" s="1"/>
  <c r="F101" i="5"/>
  <c r="E101" i="5" s="1"/>
  <c r="G101" i="5"/>
  <c r="I101" i="5"/>
  <c r="J101" i="5"/>
  <c r="K101" i="5"/>
  <c r="L101" i="5"/>
  <c r="N101" i="5"/>
  <c r="H101" i="5" s="1"/>
  <c r="F102" i="5"/>
  <c r="E102" i="5" s="1"/>
  <c r="G102" i="5"/>
  <c r="I102" i="5"/>
  <c r="J102" i="5"/>
  <c r="K102" i="5"/>
  <c r="L102" i="5"/>
  <c r="N102" i="5"/>
  <c r="H102" i="5" s="1"/>
  <c r="F103" i="5"/>
  <c r="E103" i="5" s="1"/>
  <c r="G103" i="5"/>
  <c r="I103" i="5"/>
  <c r="J103" i="5"/>
  <c r="K103" i="5"/>
  <c r="L103" i="5"/>
  <c r="N103" i="5"/>
  <c r="H103" i="5" s="1"/>
  <c r="F104" i="5"/>
  <c r="E104" i="5" s="1"/>
  <c r="G104" i="5"/>
  <c r="I104" i="5"/>
  <c r="J104" i="5"/>
  <c r="K104" i="5"/>
  <c r="L104" i="5"/>
  <c r="N104" i="5"/>
  <c r="H104" i="5" s="1"/>
  <c r="F105" i="5"/>
  <c r="E105" i="5" s="1"/>
  <c r="G105" i="5"/>
  <c r="I105" i="5"/>
  <c r="J105" i="5"/>
  <c r="K105" i="5"/>
  <c r="L105" i="5"/>
  <c r="N105" i="5"/>
  <c r="H105" i="5" s="1"/>
  <c r="F106" i="5"/>
  <c r="E106" i="5" s="1"/>
  <c r="G106" i="5"/>
  <c r="I106" i="5"/>
  <c r="J106" i="5"/>
  <c r="K106" i="5"/>
  <c r="L106" i="5"/>
  <c r="N106" i="5"/>
  <c r="H106" i="5" s="1"/>
  <c r="F107" i="5"/>
  <c r="E107" i="5" s="1"/>
  <c r="G107" i="5"/>
  <c r="I107" i="5"/>
  <c r="J107" i="5"/>
  <c r="K107" i="5"/>
  <c r="L107" i="5"/>
  <c r="N107" i="5"/>
  <c r="H107" i="5" s="1"/>
  <c r="F108" i="5"/>
  <c r="E108" i="5" s="1"/>
  <c r="G108" i="5"/>
  <c r="I108" i="5"/>
  <c r="J108" i="5"/>
  <c r="K108" i="5"/>
  <c r="L108" i="5"/>
  <c r="N108" i="5"/>
  <c r="H108" i="5" s="1"/>
  <c r="F109" i="5"/>
  <c r="E109" i="5" s="1"/>
  <c r="G109" i="5"/>
  <c r="I109" i="5"/>
  <c r="J109" i="5"/>
  <c r="K109" i="5"/>
  <c r="L109" i="5"/>
  <c r="N109" i="5"/>
  <c r="H109" i="5" s="1"/>
  <c r="F110" i="5"/>
  <c r="E110" i="5" s="1"/>
  <c r="G110" i="5"/>
  <c r="I110" i="5"/>
  <c r="J110" i="5"/>
  <c r="K110" i="5"/>
  <c r="L110" i="5"/>
  <c r="N110" i="5"/>
  <c r="H110" i="5" s="1"/>
  <c r="F111" i="5"/>
  <c r="E111" i="5" s="1"/>
  <c r="G111" i="5"/>
  <c r="I111" i="5"/>
  <c r="J111" i="5"/>
  <c r="K111" i="5"/>
  <c r="L111" i="5"/>
  <c r="N111" i="5"/>
  <c r="H111" i="5" s="1"/>
  <c r="F112" i="5"/>
  <c r="E112" i="5" s="1"/>
  <c r="G112" i="5"/>
  <c r="I112" i="5"/>
  <c r="J112" i="5"/>
  <c r="K112" i="5"/>
  <c r="L112" i="5"/>
  <c r="N112" i="5"/>
  <c r="H112" i="5" s="1"/>
  <c r="F113" i="5"/>
  <c r="E113" i="5" s="1"/>
  <c r="G113" i="5"/>
  <c r="I113" i="5"/>
  <c r="J113" i="5"/>
  <c r="K113" i="5"/>
  <c r="L113" i="5"/>
  <c r="N113" i="5"/>
  <c r="H113" i="5" s="1"/>
  <c r="F114" i="5"/>
  <c r="E114" i="5" s="1"/>
  <c r="G114" i="5"/>
  <c r="I114" i="5"/>
  <c r="J114" i="5"/>
  <c r="K114" i="5"/>
  <c r="L114" i="5"/>
  <c r="N114" i="5"/>
  <c r="H114" i="5" s="1"/>
  <c r="F115" i="5"/>
  <c r="E115" i="5" s="1"/>
  <c r="G115" i="5"/>
  <c r="I115" i="5"/>
  <c r="J115" i="5"/>
  <c r="K115" i="5"/>
  <c r="L115" i="5"/>
  <c r="N115" i="5"/>
  <c r="H115" i="5" s="1"/>
  <c r="F116" i="5"/>
  <c r="E116" i="5" s="1"/>
  <c r="G116" i="5"/>
  <c r="I116" i="5"/>
  <c r="J116" i="5"/>
  <c r="K116" i="5"/>
  <c r="L116" i="5"/>
  <c r="N116" i="5"/>
  <c r="H116" i="5" s="1"/>
  <c r="F117" i="5"/>
  <c r="E117" i="5" s="1"/>
  <c r="G117" i="5"/>
  <c r="I117" i="5"/>
  <c r="J117" i="5"/>
  <c r="K117" i="5"/>
  <c r="L117" i="5"/>
  <c r="N117" i="5"/>
  <c r="H117" i="5" s="1"/>
  <c r="F118" i="5"/>
  <c r="E118" i="5" s="1"/>
  <c r="G118" i="5"/>
  <c r="I118" i="5"/>
  <c r="J118" i="5"/>
  <c r="K118" i="5"/>
  <c r="L118" i="5"/>
  <c r="N118" i="5"/>
  <c r="H118" i="5" s="1"/>
  <c r="F119" i="5"/>
  <c r="E119" i="5" s="1"/>
  <c r="G119" i="5"/>
  <c r="I119" i="5"/>
  <c r="J119" i="5"/>
  <c r="K119" i="5"/>
  <c r="L119" i="5"/>
  <c r="N119" i="5"/>
  <c r="H119" i="5" s="1"/>
  <c r="F120" i="5"/>
  <c r="E120" i="5" s="1"/>
  <c r="G120" i="5"/>
  <c r="I120" i="5"/>
  <c r="J120" i="5"/>
  <c r="K120" i="5"/>
  <c r="L120" i="5"/>
  <c r="N120" i="5"/>
  <c r="H120" i="5" s="1"/>
  <c r="F121" i="5"/>
  <c r="E121" i="5" s="1"/>
  <c r="G121" i="5"/>
  <c r="I121" i="5"/>
  <c r="J121" i="5"/>
  <c r="K121" i="5"/>
  <c r="L121" i="5"/>
  <c r="N121" i="5"/>
  <c r="H121" i="5" s="1"/>
  <c r="F122" i="5"/>
  <c r="E122" i="5" s="1"/>
  <c r="G122" i="5"/>
  <c r="I122" i="5"/>
  <c r="J122" i="5"/>
  <c r="K122" i="5"/>
  <c r="L122" i="5"/>
  <c r="N122" i="5"/>
  <c r="H122" i="5" s="1"/>
  <c r="F123" i="5"/>
  <c r="E123" i="5" s="1"/>
  <c r="G123" i="5"/>
  <c r="I123" i="5"/>
  <c r="J123" i="5"/>
  <c r="K123" i="5"/>
  <c r="L123" i="5"/>
  <c r="N123" i="5"/>
  <c r="H123" i="5" s="1"/>
  <c r="F124" i="5"/>
  <c r="E124" i="5" s="1"/>
  <c r="G124" i="5"/>
  <c r="I124" i="5"/>
  <c r="J124" i="5"/>
  <c r="K124" i="5"/>
  <c r="L124" i="5"/>
  <c r="N124" i="5"/>
  <c r="H124" i="5" s="1"/>
  <c r="F125" i="5"/>
  <c r="E125" i="5" s="1"/>
  <c r="G125" i="5"/>
  <c r="I125" i="5"/>
  <c r="J125" i="5"/>
  <c r="K125" i="5"/>
  <c r="L125" i="5"/>
  <c r="N125" i="5"/>
  <c r="H125" i="5" s="1"/>
  <c r="F126" i="5"/>
  <c r="E126" i="5" s="1"/>
  <c r="G126" i="5"/>
  <c r="I126" i="5"/>
  <c r="J126" i="5"/>
  <c r="K126" i="5"/>
  <c r="L126" i="5"/>
  <c r="N126" i="5"/>
  <c r="H126" i="5" s="1"/>
  <c r="F127" i="5"/>
  <c r="E127" i="5" s="1"/>
  <c r="G127" i="5"/>
  <c r="I127" i="5"/>
  <c r="J127" i="5"/>
  <c r="K127" i="5"/>
  <c r="L127" i="5"/>
  <c r="N127" i="5"/>
  <c r="H127" i="5" s="1"/>
  <c r="F128" i="5"/>
  <c r="E128" i="5" s="1"/>
  <c r="G128" i="5"/>
  <c r="I128" i="5"/>
  <c r="J128" i="5"/>
  <c r="K128" i="5"/>
  <c r="L128" i="5"/>
  <c r="N128" i="5"/>
  <c r="H128" i="5" s="1"/>
  <c r="F129" i="5"/>
  <c r="E129" i="5" s="1"/>
  <c r="G129" i="5"/>
  <c r="I129" i="5"/>
  <c r="J129" i="5"/>
  <c r="K129" i="5"/>
  <c r="L129" i="5"/>
  <c r="N129" i="5"/>
  <c r="H129" i="5" s="1"/>
  <c r="F130" i="5"/>
  <c r="E130" i="5" s="1"/>
  <c r="G130" i="5"/>
  <c r="I130" i="5"/>
  <c r="J130" i="5"/>
  <c r="K130" i="5"/>
  <c r="L130" i="5"/>
  <c r="N130" i="5"/>
  <c r="H130" i="5" s="1"/>
  <c r="F131" i="5"/>
  <c r="E131" i="5" s="1"/>
  <c r="G131" i="5"/>
  <c r="I131" i="5"/>
  <c r="J131" i="5"/>
  <c r="K131" i="5"/>
  <c r="L131" i="5"/>
  <c r="N131" i="5"/>
  <c r="H131" i="5" s="1"/>
  <c r="F132" i="5"/>
  <c r="E132" i="5" s="1"/>
  <c r="G132" i="5"/>
  <c r="I132" i="5"/>
  <c r="J132" i="5"/>
  <c r="K132" i="5"/>
  <c r="L132" i="5"/>
  <c r="N132" i="5"/>
  <c r="H132" i="5" s="1"/>
  <c r="F133" i="5"/>
  <c r="E133" i="5" s="1"/>
  <c r="G133" i="5"/>
  <c r="I133" i="5"/>
  <c r="J133" i="5"/>
  <c r="K133" i="5"/>
  <c r="L133" i="5"/>
  <c r="N133" i="5"/>
  <c r="H133" i="5" s="1"/>
  <c r="F134" i="5"/>
  <c r="E134" i="5" s="1"/>
  <c r="G134" i="5"/>
  <c r="I134" i="5"/>
  <c r="J134" i="5"/>
  <c r="K134" i="5"/>
  <c r="L134" i="5"/>
  <c r="N134" i="5"/>
  <c r="H134" i="5" s="1"/>
  <c r="F135" i="5"/>
  <c r="E135" i="5" s="1"/>
  <c r="G135" i="5"/>
  <c r="I135" i="5"/>
  <c r="J135" i="5"/>
  <c r="K135" i="5"/>
  <c r="L135" i="5"/>
  <c r="N135" i="5"/>
  <c r="H135" i="5" s="1"/>
  <c r="F136" i="5"/>
  <c r="E136" i="5" s="1"/>
  <c r="G136" i="5"/>
  <c r="I136" i="5"/>
  <c r="J136" i="5"/>
  <c r="K136" i="5"/>
  <c r="L136" i="5"/>
  <c r="N136" i="5"/>
  <c r="H136" i="5" s="1"/>
  <c r="F137" i="5"/>
  <c r="E137" i="5" s="1"/>
  <c r="G137" i="5"/>
  <c r="I137" i="5"/>
  <c r="J137" i="5"/>
  <c r="K137" i="5"/>
  <c r="L137" i="5"/>
  <c r="N137" i="5"/>
  <c r="H137" i="5" s="1"/>
  <c r="F138" i="5"/>
  <c r="E138" i="5" s="1"/>
  <c r="G138" i="5"/>
  <c r="I138" i="5"/>
  <c r="J138" i="5"/>
  <c r="K138" i="5"/>
  <c r="L138" i="5"/>
  <c r="N138" i="5"/>
  <c r="H138" i="5" s="1"/>
  <c r="F139" i="5"/>
  <c r="E139" i="5" s="1"/>
  <c r="G139" i="5"/>
  <c r="I139" i="5"/>
  <c r="J139" i="5"/>
  <c r="K139" i="5"/>
  <c r="L139" i="5"/>
  <c r="N139" i="5"/>
  <c r="H139" i="5" s="1"/>
  <c r="F140" i="5"/>
  <c r="E140" i="5" s="1"/>
  <c r="G140" i="5"/>
  <c r="I140" i="5"/>
  <c r="J140" i="5"/>
  <c r="K140" i="5"/>
  <c r="L140" i="5"/>
  <c r="N140" i="5"/>
  <c r="H140" i="5" s="1"/>
  <c r="E141" i="5"/>
  <c r="F141" i="5"/>
  <c r="G141" i="5"/>
  <c r="I141" i="5"/>
  <c r="J141" i="5"/>
  <c r="K141" i="5"/>
  <c r="L141" i="5"/>
  <c r="N141" i="5"/>
  <c r="H141" i="5" s="1"/>
  <c r="F142" i="5"/>
  <c r="E142" i="5" s="1"/>
  <c r="G142" i="5"/>
  <c r="I142" i="5"/>
  <c r="J142" i="5"/>
  <c r="K142" i="5"/>
  <c r="L142" i="5"/>
  <c r="N142" i="5"/>
  <c r="H142" i="5" s="1"/>
  <c r="F143" i="5"/>
  <c r="E143" i="5" s="1"/>
  <c r="G143" i="5"/>
  <c r="I143" i="5"/>
  <c r="J143" i="5"/>
  <c r="K143" i="5"/>
  <c r="L143" i="5"/>
  <c r="N143" i="5"/>
  <c r="H143" i="5" s="1"/>
  <c r="F144" i="5"/>
  <c r="E144" i="5" s="1"/>
  <c r="G144" i="5"/>
  <c r="I144" i="5"/>
  <c r="J144" i="5"/>
  <c r="K144" i="5"/>
  <c r="L144" i="5"/>
  <c r="N144" i="5"/>
  <c r="H144" i="5" s="1"/>
  <c r="F145" i="5"/>
  <c r="E145" i="5" s="1"/>
  <c r="G145" i="5"/>
  <c r="I145" i="5"/>
  <c r="J145" i="5"/>
  <c r="K145" i="5"/>
  <c r="L145" i="5"/>
  <c r="N145" i="5"/>
  <c r="H145" i="5" s="1"/>
  <c r="F146" i="5"/>
  <c r="E146" i="5" s="1"/>
  <c r="G146" i="5"/>
  <c r="I146" i="5"/>
  <c r="J146" i="5"/>
  <c r="K146" i="5"/>
  <c r="L146" i="5"/>
  <c r="N146" i="5"/>
  <c r="H146" i="5" s="1"/>
  <c r="F147" i="5"/>
  <c r="E147" i="5" s="1"/>
  <c r="G147" i="5"/>
  <c r="I147" i="5"/>
  <c r="J147" i="5"/>
  <c r="K147" i="5"/>
  <c r="L147" i="5"/>
  <c r="N147" i="5"/>
  <c r="H147" i="5" s="1"/>
  <c r="F148" i="5"/>
  <c r="E148" i="5" s="1"/>
  <c r="G148" i="5"/>
  <c r="I148" i="5"/>
  <c r="J148" i="5"/>
  <c r="K148" i="5"/>
  <c r="L148" i="5"/>
  <c r="N148" i="5"/>
  <c r="H148" i="5" s="1"/>
  <c r="F149" i="5"/>
  <c r="E149" i="5" s="1"/>
  <c r="G149" i="5"/>
  <c r="I149" i="5"/>
  <c r="J149" i="5"/>
  <c r="K149" i="5"/>
  <c r="L149" i="5"/>
  <c r="N149" i="5"/>
  <c r="H149" i="5" s="1"/>
  <c r="F150" i="5"/>
  <c r="E150" i="5" s="1"/>
  <c r="G150" i="5"/>
  <c r="I150" i="5"/>
  <c r="J150" i="5"/>
  <c r="K150" i="5"/>
  <c r="L150" i="5"/>
  <c r="N150" i="5"/>
  <c r="H150" i="5" s="1"/>
  <c r="F151" i="5"/>
  <c r="E151" i="5" s="1"/>
  <c r="G151" i="5"/>
  <c r="I151" i="5"/>
  <c r="J151" i="5"/>
  <c r="K151" i="5"/>
  <c r="L151" i="5"/>
  <c r="N151" i="5"/>
  <c r="H151" i="5" s="1"/>
  <c r="F152" i="5"/>
  <c r="E152" i="5" s="1"/>
  <c r="G152" i="5"/>
  <c r="I152" i="5"/>
  <c r="J152" i="5"/>
  <c r="K152" i="5"/>
  <c r="L152" i="5"/>
  <c r="N152" i="5"/>
  <c r="H152" i="5" s="1"/>
  <c r="F153" i="5"/>
  <c r="E153" i="5" s="1"/>
  <c r="G153" i="5"/>
  <c r="I153" i="5"/>
  <c r="J153" i="5"/>
  <c r="K153" i="5"/>
  <c r="L153" i="5"/>
  <c r="N153" i="5"/>
  <c r="H153" i="5" s="1"/>
  <c r="F154" i="5"/>
  <c r="E154" i="5" s="1"/>
  <c r="G154" i="5"/>
  <c r="I154" i="5"/>
  <c r="J154" i="5"/>
  <c r="K154" i="5"/>
  <c r="L154" i="5"/>
  <c r="N154" i="5"/>
  <c r="H154" i="5" s="1"/>
  <c r="F155" i="5"/>
  <c r="E155" i="5" s="1"/>
  <c r="G155" i="5"/>
  <c r="I155" i="5"/>
  <c r="J155" i="5"/>
  <c r="K155" i="5"/>
  <c r="L155" i="5"/>
  <c r="N155" i="5"/>
  <c r="H155" i="5" s="1"/>
  <c r="F156" i="5"/>
  <c r="E156" i="5" s="1"/>
  <c r="G156" i="5"/>
  <c r="I156" i="5"/>
  <c r="J156" i="5"/>
  <c r="K156" i="5"/>
  <c r="L156" i="5"/>
  <c r="N156" i="5"/>
  <c r="H156" i="5" s="1"/>
  <c r="F157" i="5"/>
  <c r="E157" i="5" s="1"/>
  <c r="G157" i="5"/>
  <c r="I157" i="5"/>
  <c r="J157" i="5"/>
  <c r="K157" i="5"/>
  <c r="L157" i="5"/>
  <c r="N157" i="5"/>
  <c r="H157" i="5" s="1"/>
  <c r="F158" i="5"/>
  <c r="E158" i="5" s="1"/>
  <c r="G158" i="5"/>
  <c r="I158" i="5"/>
  <c r="J158" i="5"/>
  <c r="K158" i="5"/>
  <c r="L158" i="5"/>
  <c r="N158" i="5"/>
  <c r="H158" i="5" s="1"/>
  <c r="F159" i="5"/>
  <c r="E159" i="5" s="1"/>
  <c r="G159" i="5"/>
  <c r="I159" i="5"/>
  <c r="J159" i="5"/>
  <c r="K159" i="5"/>
  <c r="L159" i="5"/>
  <c r="N159" i="5"/>
  <c r="H159" i="5" s="1"/>
  <c r="F160" i="5"/>
  <c r="E160" i="5" s="1"/>
  <c r="G160" i="5"/>
  <c r="I160" i="5"/>
  <c r="J160" i="5"/>
  <c r="K160" i="5"/>
  <c r="L160" i="5"/>
  <c r="N160" i="5"/>
  <c r="H160" i="5" s="1"/>
  <c r="F161" i="5"/>
  <c r="E161" i="5" s="1"/>
  <c r="G161" i="5"/>
  <c r="I161" i="5"/>
  <c r="J161" i="5"/>
  <c r="K161" i="5"/>
  <c r="L161" i="5"/>
  <c r="N161" i="5"/>
  <c r="H161" i="5" s="1"/>
  <c r="F162" i="5"/>
  <c r="E162" i="5" s="1"/>
  <c r="G162" i="5"/>
  <c r="I162" i="5"/>
  <c r="J162" i="5"/>
  <c r="K162" i="5"/>
  <c r="L162" i="5"/>
  <c r="N162" i="5"/>
  <c r="H162" i="5" s="1"/>
  <c r="F163" i="5"/>
  <c r="E163" i="5" s="1"/>
  <c r="G163" i="5"/>
  <c r="I163" i="5"/>
  <c r="J163" i="5"/>
  <c r="K163" i="5"/>
  <c r="L163" i="5"/>
  <c r="N163" i="5"/>
  <c r="H163" i="5" s="1"/>
  <c r="F164" i="5"/>
  <c r="E164" i="5" s="1"/>
  <c r="G164" i="5"/>
  <c r="I164" i="5"/>
  <c r="J164" i="5"/>
  <c r="K164" i="5"/>
  <c r="L164" i="5"/>
  <c r="N164" i="5"/>
  <c r="H164" i="5" s="1"/>
  <c r="F165" i="5"/>
  <c r="E165" i="5" s="1"/>
  <c r="G165" i="5"/>
  <c r="I165" i="5"/>
  <c r="J165" i="5"/>
  <c r="K165" i="5"/>
  <c r="L165" i="5"/>
  <c r="N165" i="5"/>
  <c r="H165" i="5" s="1"/>
  <c r="F166" i="5"/>
  <c r="E166" i="5" s="1"/>
  <c r="G166" i="5"/>
  <c r="I166" i="5"/>
  <c r="J166" i="5"/>
  <c r="K166" i="5"/>
  <c r="L166" i="5"/>
  <c r="N166" i="5"/>
  <c r="H166" i="5" s="1"/>
  <c r="F167" i="5"/>
  <c r="E167" i="5" s="1"/>
  <c r="G167" i="5"/>
  <c r="I167" i="5"/>
  <c r="J167" i="5"/>
  <c r="K167" i="5"/>
  <c r="L167" i="5"/>
  <c r="N167" i="5"/>
  <c r="H167" i="5" s="1"/>
  <c r="F168" i="5"/>
  <c r="E168" i="5" s="1"/>
  <c r="G168" i="5"/>
  <c r="I168" i="5"/>
  <c r="J168" i="5"/>
  <c r="K168" i="5"/>
  <c r="L168" i="5"/>
  <c r="N168" i="5"/>
  <c r="H168" i="5" s="1"/>
  <c r="F169" i="5"/>
  <c r="E169" i="5" s="1"/>
  <c r="G169" i="5"/>
  <c r="I169" i="5"/>
  <c r="J169" i="5"/>
  <c r="K169" i="5"/>
  <c r="L169" i="5"/>
  <c r="N169" i="5"/>
  <c r="H169" i="5" s="1"/>
  <c r="F170" i="5"/>
  <c r="E170" i="5" s="1"/>
  <c r="G170" i="5"/>
  <c r="I170" i="5"/>
  <c r="J170" i="5"/>
  <c r="K170" i="5"/>
  <c r="L170" i="5"/>
  <c r="N170" i="5"/>
  <c r="H170" i="5" s="1"/>
  <c r="F171" i="5"/>
  <c r="E171" i="5" s="1"/>
  <c r="G171" i="5"/>
  <c r="I171" i="5"/>
  <c r="J171" i="5"/>
  <c r="K171" i="5"/>
  <c r="L171" i="5"/>
  <c r="N171" i="5"/>
  <c r="H171" i="5" s="1"/>
  <c r="F172" i="5"/>
  <c r="E172" i="5" s="1"/>
  <c r="G172" i="5"/>
  <c r="I172" i="5"/>
  <c r="J172" i="5"/>
  <c r="K172" i="5"/>
  <c r="L172" i="5"/>
  <c r="N172" i="5"/>
  <c r="H172" i="5" s="1"/>
  <c r="F173" i="5"/>
  <c r="E173" i="5" s="1"/>
  <c r="G173" i="5"/>
  <c r="I173" i="5"/>
  <c r="J173" i="5"/>
  <c r="K173" i="5"/>
  <c r="L173" i="5"/>
  <c r="N173" i="5"/>
  <c r="H173" i="5" s="1"/>
  <c r="F174" i="5"/>
  <c r="E174" i="5" s="1"/>
  <c r="G174" i="5"/>
  <c r="I174" i="5"/>
  <c r="J174" i="5"/>
  <c r="K174" i="5"/>
  <c r="L174" i="5"/>
  <c r="N174" i="5"/>
  <c r="H174" i="5" s="1"/>
  <c r="F175" i="5"/>
  <c r="E175" i="5" s="1"/>
  <c r="G175" i="5"/>
  <c r="I175" i="5"/>
  <c r="J175" i="5"/>
  <c r="K175" i="5"/>
  <c r="L175" i="5"/>
  <c r="N175" i="5"/>
  <c r="H175" i="5" s="1"/>
  <c r="F176" i="5"/>
  <c r="E176" i="5" s="1"/>
  <c r="G176" i="5"/>
  <c r="I176" i="5"/>
  <c r="J176" i="5"/>
  <c r="K176" i="5"/>
  <c r="L176" i="5"/>
  <c r="N176" i="5"/>
  <c r="H176" i="5" s="1"/>
  <c r="F177" i="5"/>
  <c r="E177" i="5" s="1"/>
  <c r="G177" i="5"/>
  <c r="I177" i="5"/>
  <c r="J177" i="5"/>
  <c r="K177" i="5"/>
  <c r="L177" i="5"/>
  <c r="N177" i="5"/>
  <c r="H177" i="5" s="1"/>
  <c r="F178" i="5"/>
  <c r="E178" i="5" s="1"/>
  <c r="G178" i="5"/>
  <c r="I178" i="5"/>
  <c r="J178" i="5"/>
  <c r="K178" i="5"/>
  <c r="L178" i="5"/>
  <c r="N178" i="5"/>
  <c r="H178" i="5" s="1"/>
  <c r="F179" i="5"/>
  <c r="E179" i="5" s="1"/>
  <c r="G179" i="5"/>
  <c r="I179" i="5"/>
  <c r="J179" i="5"/>
  <c r="K179" i="5"/>
  <c r="L179" i="5"/>
  <c r="N179" i="5"/>
  <c r="H179" i="5" s="1"/>
  <c r="F180" i="5"/>
  <c r="E180" i="5" s="1"/>
  <c r="G180" i="5"/>
  <c r="I180" i="5"/>
  <c r="J180" i="5"/>
  <c r="K180" i="5"/>
  <c r="L180" i="5"/>
  <c r="N180" i="5"/>
  <c r="H180" i="5" s="1"/>
  <c r="F181" i="5"/>
  <c r="E181" i="5" s="1"/>
  <c r="G181" i="5"/>
  <c r="I181" i="5"/>
  <c r="J181" i="5"/>
  <c r="K181" i="5"/>
  <c r="L181" i="5"/>
  <c r="N181" i="5"/>
  <c r="H181" i="5" s="1"/>
  <c r="F182" i="5"/>
  <c r="E182" i="5" s="1"/>
  <c r="G182" i="5"/>
  <c r="I182" i="5"/>
  <c r="J182" i="5"/>
  <c r="K182" i="5"/>
  <c r="L182" i="5"/>
  <c r="N182" i="5"/>
  <c r="H182" i="5" s="1"/>
  <c r="F183" i="5"/>
  <c r="E183" i="5" s="1"/>
  <c r="G183" i="5"/>
  <c r="I183" i="5"/>
  <c r="J183" i="5"/>
  <c r="K183" i="5"/>
  <c r="L183" i="5"/>
  <c r="N183" i="5"/>
  <c r="H183" i="5" s="1"/>
  <c r="F184" i="5"/>
  <c r="E184" i="5" s="1"/>
  <c r="G184" i="5"/>
  <c r="I184" i="5"/>
  <c r="J184" i="5"/>
  <c r="K184" i="5"/>
  <c r="L184" i="5"/>
  <c r="N184" i="5"/>
  <c r="H184" i="5" s="1"/>
  <c r="F185" i="5"/>
  <c r="E185" i="5" s="1"/>
  <c r="G185" i="5"/>
  <c r="I185" i="5"/>
  <c r="J185" i="5"/>
  <c r="K185" i="5"/>
  <c r="L185" i="5"/>
  <c r="N185" i="5"/>
  <c r="H185" i="5" s="1"/>
  <c r="F186" i="5"/>
  <c r="E186" i="5" s="1"/>
  <c r="G186" i="5"/>
  <c r="I186" i="5"/>
  <c r="J186" i="5"/>
  <c r="K186" i="5"/>
  <c r="L186" i="5"/>
  <c r="N186" i="5"/>
  <c r="H186" i="5" s="1"/>
  <c r="F187" i="5"/>
  <c r="E187" i="5" s="1"/>
  <c r="G187" i="5"/>
  <c r="I187" i="5"/>
  <c r="J187" i="5"/>
  <c r="K187" i="5"/>
  <c r="L187" i="5"/>
  <c r="N187" i="5"/>
  <c r="H187" i="5" s="1"/>
  <c r="F188" i="5"/>
  <c r="E188" i="5" s="1"/>
  <c r="G188" i="5"/>
  <c r="I188" i="5"/>
  <c r="J188" i="5"/>
  <c r="K188" i="5"/>
  <c r="L188" i="5"/>
  <c r="N188" i="5"/>
  <c r="H188" i="5" s="1"/>
  <c r="F189" i="5"/>
  <c r="E189" i="5" s="1"/>
  <c r="G189" i="5"/>
  <c r="I189" i="5"/>
  <c r="J189" i="5"/>
  <c r="K189" i="5"/>
  <c r="L189" i="5"/>
  <c r="N189" i="5"/>
  <c r="H189" i="5" s="1"/>
  <c r="F190" i="5"/>
  <c r="E190" i="5" s="1"/>
  <c r="G190" i="5"/>
  <c r="I190" i="5"/>
  <c r="J190" i="5"/>
  <c r="K190" i="5"/>
  <c r="L190" i="5"/>
  <c r="N190" i="5"/>
  <c r="H190" i="5" s="1"/>
  <c r="F191" i="5"/>
  <c r="E191" i="5" s="1"/>
  <c r="G191" i="5"/>
  <c r="I191" i="5"/>
  <c r="J191" i="5"/>
  <c r="K191" i="5"/>
  <c r="L191" i="5"/>
  <c r="N191" i="5"/>
  <c r="H191" i="5" s="1"/>
  <c r="F192" i="5"/>
  <c r="E192" i="5" s="1"/>
  <c r="G192" i="5"/>
  <c r="I192" i="5"/>
  <c r="J192" i="5"/>
  <c r="K192" i="5"/>
  <c r="L192" i="5"/>
  <c r="N192" i="5"/>
  <c r="H192" i="5" s="1"/>
  <c r="F193" i="5"/>
  <c r="E193" i="5" s="1"/>
  <c r="G193" i="5"/>
  <c r="I193" i="5"/>
  <c r="J193" i="5"/>
  <c r="K193" i="5"/>
  <c r="L193" i="5"/>
  <c r="N193" i="5"/>
  <c r="H193" i="5" s="1"/>
  <c r="F194" i="5"/>
  <c r="E194" i="5" s="1"/>
  <c r="G194" i="5"/>
  <c r="I194" i="5"/>
  <c r="J194" i="5"/>
  <c r="K194" i="5"/>
  <c r="L194" i="5"/>
  <c r="N194" i="5"/>
  <c r="H194" i="5" s="1"/>
  <c r="F195" i="5"/>
  <c r="E195" i="5" s="1"/>
  <c r="G195" i="5"/>
  <c r="I195" i="5"/>
  <c r="J195" i="5"/>
  <c r="K195" i="5"/>
  <c r="L195" i="5"/>
  <c r="N195" i="5"/>
  <c r="H195" i="5" s="1"/>
  <c r="F196" i="5"/>
  <c r="E196" i="5" s="1"/>
  <c r="G196" i="5"/>
  <c r="I196" i="5"/>
  <c r="J196" i="5"/>
  <c r="K196" i="5"/>
  <c r="L196" i="5"/>
  <c r="N196" i="5"/>
  <c r="H196" i="5" s="1"/>
  <c r="F197" i="5"/>
  <c r="E197" i="5" s="1"/>
  <c r="G197" i="5"/>
  <c r="I197" i="5"/>
  <c r="J197" i="5"/>
  <c r="K197" i="5"/>
  <c r="L197" i="5"/>
  <c r="N197" i="5"/>
  <c r="H197" i="5" s="1"/>
  <c r="F198" i="5"/>
  <c r="E198" i="5" s="1"/>
  <c r="G198" i="5"/>
  <c r="I198" i="5"/>
  <c r="J198" i="5"/>
  <c r="K198" i="5"/>
  <c r="L198" i="5"/>
  <c r="N198" i="5"/>
  <c r="H198" i="5" s="1"/>
  <c r="F199" i="5"/>
  <c r="E199" i="5" s="1"/>
  <c r="G199" i="5"/>
  <c r="I199" i="5"/>
  <c r="J199" i="5"/>
  <c r="K199" i="5"/>
  <c r="L199" i="5"/>
  <c r="N199" i="5"/>
  <c r="H199" i="5" s="1"/>
  <c r="F200" i="5"/>
  <c r="E200" i="5" s="1"/>
  <c r="G200" i="5"/>
  <c r="I200" i="5"/>
  <c r="J200" i="5"/>
  <c r="K200" i="5"/>
  <c r="L200" i="5"/>
  <c r="N200" i="5"/>
  <c r="H200" i="5" s="1"/>
  <c r="F201" i="5"/>
  <c r="E201" i="5" s="1"/>
  <c r="G201" i="5"/>
  <c r="I201" i="5"/>
  <c r="J201" i="5"/>
  <c r="K201" i="5"/>
  <c r="L201" i="5"/>
  <c r="N201" i="5"/>
  <c r="H201" i="5" s="1"/>
  <c r="F202" i="5"/>
  <c r="E202" i="5" s="1"/>
  <c r="G202" i="5"/>
  <c r="I202" i="5"/>
  <c r="J202" i="5"/>
  <c r="K202" i="5"/>
  <c r="L202" i="5"/>
  <c r="N202" i="5"/>
  <c r="H202" i="5" s="1"/>
  <c r="F203" i="5"/>
  <c r="E203" i="5" s="1"/>
  <c r="G203" i="5"/>
  <c r="I203" i="5"/>
  <c r="J203" i="5"/>
  <c r="K203" i="5"/>
  <c r="L203" i="5"/>
  <c r="N203" i="5"/>
  <c r="H203" i="5" s="1"/>
  <c r="F204" i="5"/>
  <c r="E204" i="5" s="1"/>
  <c r="G204" i="5"/>
  <c r="I204" i="5"/>
  <c r="J204" i="5"/>
  <c r="K204" i="5"/>
  <c r="L204" i="5"/>
  <c r="N204" i="5"/>
  <c r="H204" i="5" s="1"/>
  <c r="F205" i="5"/>
  <c r="E205" i="5" s="1"/>
  <c r="G205" i="5"/>
  <c r="I205" i="5"/>
  <c r="J205" i="5"/>
  <c r="K205" i="5"/>
  <c r="L205" i="5"/>
  <c r="N205" i="5"/>
  <c r="H205" i="5" s="1"/>
  <c r="F206" i="5"/>
  <c r="E206" i="5" s="1"/>
  <c r="G206" i="5"/>
  <c r="I206" i="5"/>
  <c r="J206" i="5"/>
  <c r="K206" i="5"/>
  <c r="L206" i="5"/>
  <c r="N206" i="5"/>
  <c r="H206" i="5" s="1"/>
  <c r="F207" i="5"/>
  <c r="E207" i="5" s="1"/>
  <c r="G207" i="5"/>
  <c r="I207" i="5"/>
  <c r="J207" i="5"/>
  <c r="K207" i="5"/>
  <c r="L207" i="5"/>
  <c r="N207" i="5"/>
  <c r="H207" i="5" s="1"/>
  <c r="F208" i="5"/>
  <c r="E208" i="5" s="1"/>
  <c r="G208" i="5"/>
  <c r="I208" i="5"/>
  <c r="J208" i="5"/>
  <c r="K208" i="5"/>
  <c r="L208" i="5"/>
  <c r="N208" i="5"/>
  <c r="H208" i="5" s="1"/>
  <c r="F209" i="5"/>
  <c r="E209" i="5" s="1"/>
  <c r="G209" i="5"/>
  <c r="I209" i="5"/>
  <c r="J209" i="5"/>
  <c r="K209" i="5"/>
  <c r="L209" i="5"/>
  <c r="N209" i="5"/>
  <c r="H209" i="5" s="1"/>
  <c r="F210" i="5"/>
  <c r="E210" i="5" s="1"/>
  <c r="G210" i="5"/>
  <c r="I210" i="5"/>
  <c r="J210" i="5"/>
  <c r="K210" i="5"/>
  <c r="L210" i="5"/>
  <c r="N210" i="5"/>
  <c r="H210" i="5" s="1"/>
  <c r="F211" i="5"/>
  <c r="E211" i="5" s="1"/>
  <c r="G211" i="5"/>
  <c r="I211" i="5"/>
  <c r="J211" i="5"/>
  <c r="K211" i="5"/>
  <c r="L211" i="5"/>
  <c r="N211" i="5"/>
  <c r="H211" i="5" s="1"/>
  <c r="F212" i="5"/>
  <c r="E212" i="5" s="1"/>
  <c r="G212" i="5"/>
  <c r="I212" i="5"/>
  <c r="J212" i="5"/>
  <c r="K212" i="5"/>
  <c r="L212" i="5"/>
  <c r="N212" i="5"/>
  <c r="H212" i="5" s="1"/>
  <c r="F213" i="5"/>
  <c r="E213" i="5" s="1"/>
  <c r="G213" i="5"/>
  <c r="I213" i="5"/>
  <c r="J213" i="5"/>
  <c r="K213" i="5"/>
  <c r="L213" i="5"/>
  <c r="N213" i="5"/>
  <c r="H213" i="5" s="1"/>
  <c r="F214" i="5"/>
  <c r="E214" i="5" s="1"/>
  <c r="G214" i="5"/>
  <c r="I214" i="5"/>
  <c r="J214" i="5"/>
  <c r="K214" i="5"/>
  <c r="L214" i="5"/>
  <c r="N214" i="5"/>
  <c r="H214" i="5" s="1"/>
  <c r="F215" i="5"/>
  <c r="E215" i="5" s="1"/>
  <c r="G215" i="5"/>
  <c r="I215" i="5"/>
  <c r="J215" i="5"/>
  <c r="K215" i="5"/>
  <c r="L215" i="5"/>
  <c r="N215" i="5"/>
  <c r="H215" i="5" s="1"/>
  <c r="F216" i="5"/>
  <c r="E216" i="5" s="1"/>
  <c r="G216" i="5"/>
  <c r="I216" i="5"/>
  <c r="J216" i="5"/>
  <c r="K216" i="5"/>
  <c r="L216" i="5"/>
  <c r="N216" i="5"/>
  <c r="H216" i="5" s="1"/>
  <c r="F217" i="5"/>
  <c r="E217" i="5" s="1"/>
  <c r="G217" i="5"/>
  <c r="I217" i="5"/>
  <c r="J217" i="5"/>
  <c r="K217" i="5"/>
  <c r="L217" i="5"/>
  <c r="N217" i="5"/>
  <c r="H217" i="5" s="1"/>
  <c r="F218" i="5"/>
  <c r="E218" i="5" s="1"/>
  <c r="G218" i="5"/>
  <c r="I218" i="5"/>
  <c r="J218" i="5"/>
  <c r="K218" i="5"/>
  <c r="L218" i="5"/>
  <c r="N218" i="5"/>
  <c r="H218" i="5" s="1"/>
  <c r="F219" i="5"/>
  <c r="E219" i="5" s="1"/>
  <c r="G219" i="5"/>
  <c r="I219" i="5"/>
  <c r="J219" i="5"/>
  <c r="K219" i="5"/>
  <c r="L219" i="5"/>
  <c r="N219" i="5"/>
  <c r="H219" i="5" s="1"/>
  <c r="F220" i="5"/>
  <c r="E220" i="5" s="1"/>
  <c r="G220" i="5"/>
  <c r="I220" i="5"/>
  <c r="J220" i="5"/>
  <c r="K220" i="5"/>
  <c r="L220" i="5"/>
  <c r="N220" i="5"/>
  <c r="H220" i="5" s="1"/>
  <c r="F221" i="5"/>
  <c r="E221" i="5" s="1"/>
  <c r="G221" i="5"/>
  <c r="I221" i="5"/>
  <c r="J221" i="5"/>
  <c r="K221" i="5"/>
  <c r="L221" i="5"/>
  <c r="N221" i="5"/>
  <c r="H221" i="5" s="1"/>
  <c r="F222" i="5"/>
  <c r="E222" i="5" s="1"/>
  <c r="G222" i="5"/>
  <c r="I222" i="5"/>
  <c r="J222" i="5"/>
  <c r="K222" i="5"/>
  <c r="L222" i="5"/>
  <c r="N222" i="5"/>
  <c r="H222" i="5" s="1"/>
  <c r="F223" i="5"/>
  <c r="E223" i="5" s="1"/>
  <c r="G223" i="5"/>
  <c r="I223" i="5"/>
  <c r="J223" i="5"/>
  <c r="K223" i="5"/>
  <c r="L223" i="5"/>
  <c r="N223" i="5"/>
  <c r="H223" i="5" s="1"/>
  <c r="F224" i="5"/>
  <c r="E224" i="5" s="1"/>
  <c r="G224" i="5"/>
  <c r="I224" i="5"/>
  <c r="J224" i="5"/>
  <c r="K224" i="5"/>
  <c r="L224" i="5"/>
  <c r="N224" i="5"/>
  <c r="H224" i="5" s="1"/>
  <c r="F225" i="5"/>
  <c r="E225" i="5" s="1"/>
  <c r="G225" i="5"/>
  <c r="I225" i="5"/>
  <c r="J225" i="5"/>
  <c r="K225" i="5"/>
  <c r="L225" i="5"/>
  <c r="N225" i="5"/>
  <c r="H225" i="5" s="1"/>
  <c r="F226" i="5"/>
  <c r="E226" i="5" s="1"/>
  <c r="G226" i="5"/>
  <c r="I226" i="5"/>
  <c r="J226" i="5"/>
  <c r="K226" i="5"/>
  <c r="L226" i="5"/>
  <c r="N226" i="5"/>
  <c r="H226" i="5" s="1"/>
  <c r="F227" i="5"/>
  <c r="E227" i="5" s="1"/>
  <c r="G227" i="5"/>
  <c r="I227" i="5"/>
  <c r="J227" i="5"/>
  <c r="K227" i="5"/>
  <c r="L227" i="5"/>
  <c r="N227" i="5"/>
  <c r="H227" i="5" s="1"/>
  <c r="F228" i="5"/>
  <c r="E228" i="5" s="1"/>
  <c r="G228" i="5"/>
  <c r="I228" i="5"/>
  <c r="J228" i="5"/>
  <c r="K228" i="5"/>
  <c r="L228" i="5"/>
  <c r="N228" i="5"/>
  <c r="H228" i="5" s="1"/>
  <c r="F229" i="5"/>
  <c r="E229" i="5" s="1"/>
  <c r="G229" i="5"/>
  <c r="I229" i="5"/>
  <c r="J229" i="5"/>
  <c r="K229" i="5"/>
  <c r="L229" i="5"/>
  <c r="N229" i="5"/>
  <c r="H229" i="5" s="1"/>
  <c r="F230" i="5"/>
  <c r="E230" i="5" s="1"/>
  <c r="G230" i="5"/>
  <c r="I230" i="5"/>
  <c r="J230" i="5"/>
  <c r="K230" i="5"/>
  <c r="L230" i="5"/>
  <c r="N230" i="5"/>
  <c r="H230" i="5" s="1"/>
  <c r="F231" i="5"/>
  <c r="E231" i="5" s="1"/>
  <c r="G231" i="5"/>
  <c r="I231" i="5"/>
  <c r="J231" i="5"/>
  <c r="K231" i="5"/>
  <c r="L231" i="5"/>
  <c r="N231" i="5"/>
  <c r="H231" i="5" s="1"/>
  <c r="F232" i="5"/>
  <c r="E232" i="5" s="1"/>
  <c r="G232" i="5"/>
  <c r="I232" i="5"/>
  <c r="J232" i="5"/>
  <c r="K232" i="5"/>
  <c r="L232" i="5"/>
  <c r="N232" i="5"/>
  <c r="H232" i="5" s="1"/>
  <c r="F233" i="5"/>
  <c r="E233" i="5" s="1"/>
  <c r="G233" i="5"/>
  <c r="I233" i="5"/>
  <c r="J233" i="5"/>
  <c r="K233" i="5"/>
  <c r="L233" i="5"/>
  <c r="N233" i="5"/>
  <c r="H233" i="5" s="1"/>
  <c r="F234" i="5"/>
  <c r="E234" i="5" s="1"/>
  <c r="G234" i="5"/>
  <c r="I234" i="5"/>
  <c r="J234" i="5"/>
  <c r="K234" i="5"/>
  <c r="L234" i="5"/>
  <c r="N234" i="5"/>
  <c r="H234" i="5" s="1"/>
  <c r="F235" i="5"/>
  <c r="E235" i="5" s="1"/>
  <c r="G235" i="5"/>
  <c r="I235" i="5"/>
  <c r="J235" i="5"/>
  <c r="K235" i="5"/>
  <c r="L235" i="5"/>
  <c r="N235" i="5"/>
  <c r="H235" i="5" s="1"/>
  <c r="F236" i="5"/>
  <c r="E236" i="5" s="1"/>
  <c r="G236" i="5"/>
  <c r="I236" i="5"/>
  <c r="J236" i="5"/>
  <c r="K236" i="5"/>
  <c r="L236" i="5"/>
  <c r="N236" i="5"/>
  <c r="H236" i="5" s="1"/>
  <c r="F237" i="5"/>
  <c r="E237" i="5" s="1"/>
  <c r="G237" i="5"/>
  <c r="I237" i="5"/>
  <c r="J237" i="5"/>
  <c r="K237" i="5"/>
  <c r="L237" i="5"/>
  <c r="N237" i="5"/>
  <c r="H237" i="5" s="1"/>
  <c r="F238" i="5"/>
  <c r="E238" i="5" s="1"/>
  <c r="G238" i="5"/>
  <c r="I238" i="5"/>
  <c r="J238" i="5"/>
  <c r="K238" i="5"/>
  <c r="L238" i="5"/>
  <c r="N238" i="5"/>
  <c r="H238" i="5" s="1"/>
  <c r="F239" i="5"/>
  <c r="E239" i="5" s="1"/>
  <c r="G239" i="5"/>
  <c r="I239" i="5"/>
  <c r="J239" i="5"/>
  <c r="K239" i="5"/>
  <c r="L239" i="5"/>
  <c r="N239" i="5"/>
  <c r="H239" i="5" s="1"/>
  <c r="F240" i="5"/>
  <c r="E240" i="5" s="1"/>
  <c r="G240" i="5"/>
  <c r="I240" i="5"/>
  <c r="J240" i="5"/>
  <c r="K240" i="5"/>
  <c r="L240" i="5"/>
  <c r="N240" i="5"/>
  <c r="H240" i="5" s="1"/>
  <c r="F241" i="5"/>
  <c r="E241" i="5" s="1"/>
  <c r="G241" i="5"/>
  <c r="I241" i="5"/>
  <c r="J241" i="5"/>
  <c r="K241" i="5"/>
  <c r="L241" i="5"/>
  <c r="N241" i="5"/>
  <c r="H241" i="5" s="1"/>
  <c r="F242" i="5"/>
  <c r="E242" i="5" s="1"/>
  <c r="G242" i="5"/>
  <c r="I242" i="5"/>
  <c r="J242" i="5"/>
  <c r="K242" i="5"/>
  <c r="L242" i="5"/>
  <c r="N242" i="5"/>
  <c r="H242" i="5" s="1"/>
  <c r="F243" i="5"/>
  <c r="E243" i="5" s="1"/>
  <c r="G243" i="5"/>
  <c r="I243" i="5"/>
  <c r="J243" i="5"/>
  <c r="K243" i="5"/>
  <c r="L243" i="5"/>
  <c r="N243" i="5"/>
  <c r="H243" i="5" s="1"/>
  <c r="F244" i="5"/>
  <c r="E244" i="5" s="1"/>
  <c r="G244" i="5"/>
  <c r="I244" i="5"/>
  <c r="J244" i="5"/>
  <c r="K244" i="5"/>
  <c r="L244" i="5"/>
  <c r="N244" i="5"/>
  <c r="H244" i="5" s="1"/>
  <c r="F245" i="5"/>
  <c r="E245" i="5" s="1"/>
  <c r="G245" i="5"/>
  <c r="I245" i="5"/>
  <c r="J245" i="5"/>
  <c r="K245" i="5"/>
  <c r="L245" i="5"/>
  <c r="N245" i="5"/>
  <c r="H245" i="5" s="1"/>
  <c r="F246" i="5"/>
  <c r="E246" i="5" s="1"/>
  <c r="G246" i="5"/>
  <c r="I246" i="5"/>
  <c r="J246" i="5"/>
  <c r="K246" i="5"/>
  <c r="L246" i="5"/>
  <c r="N246" i="5"/>
  <c r="H246" i="5" s="1"/>
  <c r="F247" i="5"/>
  <c r="E247" i="5" s="1"/>
  <c r="G247" i="5"/>
  <c r="I247" i="5"/>
  <c r="J247" i="5"/>
  <c r="K247" i="5"/>
  <c r="L247" i="5"/>
  <c r="N247" i="5"/>
  <c r="H247" i="5" s="1"/>
  <c r="F248" i="5"/>
  <c r="E248" i="5" s="1"/>
  <c r="G248" i="5"/>
  <c r="I248" i="5"/>
  <c r="J248" i="5"/>
  <c r="K248" i="5"/>
  <c r="L248" i="5"/>
  <c r="N248" i="5"/>
  <c r="H248" i="5" s="1"/>
  <c r="F249" i="5"/>
  <c r="E249" i="5" s="1"/>
  <c r="G249" i="5"/>
  <c r="I249" i="5"/>
  <c r="J249" i="5"/>
  <c r="K249" i="5"/>
  <c r="L249" i="5"/>
  <c r="N249" i="5"/>
  <c r="H249" i="5" s="1"/>
  <c r="F250" i="5"/>
  <c r="E250" i="5" s="1"/>
  <c r="G250" i="5"/>
  <c r="I250" i="5"/>
  <c r="J250" i="5"/>
  <c r="K250" i="5"/>
  <c r="L250" i="5"/>
  <c r="N250" i="5"/>
  <c r="H250" i="5" s="1"/>
  <c r="F251" i="5"/>
  <c r="E251" i="5" s="1"/>
  <c r="G251" i="5"/>
  <c r="I251" i="5"/>
  <c r="J251" i="5"/>
  <c r="K251" i="5"/>
  <c r="L251" i="5"/>
  <c r="N251" i="5"/>
  <c r="H251" i="5" s="1"/>
  <c r="F252" i="5"/>
  <c r="E252" i="5" s="1"/>
  <c r="G252" i="5"/>
  <c r="I252" i="5"/>
  <c r="J252" i="5"/>
  <c r="K252" i="5"/>
  <c r="L252" i="5"/>
  <c r="N252" i="5"/>
  <c r="H252" i="5" s="1"/>
  <c r="F253" i="5"/>
  <c r="E253" i="5" s="1"/>
  <c r="G253" i="5"/>
  <c r="I253" i="5"/>
  <c r="J253" i="5"/>
  <c r="K253" i="5"/>
  <c r="L253" i="5"/>
  <c r="N253" i="5"/>
  <c r="H253" i="5" s="1"/>
  <c r="F254" i="5"/>
  <c r="E254" i="5" s="1"/>
  <c r="G254" i="5"/>
  <c r="I254" i="5"/>
  <c r="J254" i="5"/>
  <c r="K254" i="5"/>
  <c r="L254" i="5"/>
  <c r="N254" i="5"/>
  <c r="H254" i="5" s="1"/>
  <c r="F255" i="5"/>
  <c r="E255" i="5" s="1"/>
  <c r="G255" i="5"/>
  <c r="I255" i="5"/>
  <c r="J255" i="5"/>
  <c r="K255" i="5"/>
  <c r="L255" i="5"/>
  <c r="N255" i="5"/>
  <c r="H255" i="5" s="1"/>
  <c r="F256" i="5"/>
  <c r="E256" i="5" s="1"/>
  <c r="G256" i="5"/>
  <c r="I256" i="5"/>
  <c r="J256" i="5"/>
  <c r="K256" i="5"/>
  <c r="L256" i="5"/>
  <c r="N256" i="5"/>
  <c r="H256" i="5" s="1"/>
  <c r="F257" i="5"/>
  <c r="E257" i="5" s="1"/>
  <c r="G257" i="5"/>
  <c r="I257" i="5"/>
  <c r="J257" i="5"/>
  <c r="K257" i="5"/>
  <c r="L257" i="5"/>
  <c r="N257" i="5"/>
  <c r="H257" i="5" s="1"/>
  <c r="F258" i="5"/>
  <c r="E258" i="5" s="1"/>
  <c r="G258" i="5"/>
  <c r="I258" i="5"/>
  <c r="J258" i="5"/>
  <c r="K258" i="5"/>
  <c r="L258" i="5"/>
  <c r="N258" i="5"/>
  <c r="H258" i="5" s="1"/>
  <c r="F259" i="5"/>
  <c r="E259" i="5" s="1"/>
  <c r="G259" i="5"/>
  <c r="I259" i="5"/>
  <c r="J259" i="5"/>
  <c r="K259" i="5"/>
  <c r="L259" i="5"/>
  <c r="N259" i="5"/>
  <c r="H259" i="5" s="1"/>
  <c r="F260" i="5"/>
  <c r="E260" i="5" s="1"/>
  <c r="G260" i="5"/>
  <c r="I260" i="5"/>
  <c r="J260" i="5"/>
  <c r="K260" i="5"/>
  <c r="L260" i="5"/>
  <c r="N260" i="5"/>
  <c r="H260" i="5" s="1"/>
  <c r="F261" i="5"/>
  <c r="E261" i="5" s="1"/>
  <c r="G261" i="5"/>
  <c r="I261" i="5"/>
  <c r="J261" i="5"/>
  <c r="K261" i="5"/>
  <c r="L261" i="5"/>
  <c r="N261" i="5"/>
  <c r="H261" i="5" s="1"/>
  <c r="F262" i="5"/>
  <c r="E262" i="5" s="1"/>
  <c r="G262" i="5"/>
  <c r="I262" i="5"/>
  <c r="J262" i="5"/>
  <c r="K262" i="5"/>
  <c r="L262" i="5"/>
  <c r="N262" i="5"/>
  <c r="H262" i="5" s="1"/>
  <c r="F263" i="5"/>
  <c r="E263" i="5" s="1"/>
  <c r="G263" i="5"/>
  <c r="I263" i="5"/>
  <c r="J263" i="5"/>
  <c r="K263" i="5"/>
  <c r="L263" i="5"/>
  <c r="N263" i="5"/>
  <c r="H263" i="5" s="1"/>
  <c r="F264" i="5"/>
  <c r="E264" i="5" s="1"/>
  <c r="G264" i="5"/>
  <c r="I264" i="5"/>
  <c r="J264" i="5"/>
  <c r="K264" i="5"/>
  <c r="L264" i="5"/>
  <c r="N264" i="5"/>
  <c r="H264" i="5" s="1"/>
  <c r="F265" i="5"/>
  <c r="E265" i="5" s="1"/>
  <c r="G265" i="5"/>
  <c r="I265" i="5"/>
  <c r="J265" i="5"/>
  <c r="K265" i="5"/>
  <c r="L265" i="5"/>
  <c r="N265" i="5"/>
  <c r="H265" i="5" s="1"/>
  <c r="F266" i="5"/>
  <c r="E266" i="5" s="1"/>
  <c r="G266" i="5"/>
  <c r="I266" i="5"/>
  <c r="J266" i="5"/>
  <c r="K266" i="5"/>
  <c r="L266" i="5"/>
  <c r="N266" i="5"/>
  <c r="H266" i="5" s="1"/>
  <c r="F267" i="5"/>
  <c r="E267" i="5" s="1"/>
  <c r="G267" i="5"/>
  <c r="I267" i="5"/>
  <c r="J267" i="5"/>
  <c r="K267" i="5"/>
  <c r="L267" i="5"/>
  <c r="N267" i="5"/>
  <c r="H267" i="5" s="1"/>
  <c r="F268" i="5"/>
  <c r="E268" i="5" s="1"/>
  <c r="G268" i="5"/>
  <c r="I268" i="5"/>
  <c r="J268" i="5"/>
  <c r="K268" i="5"/>
  <c r="L268" i="5"/>
  <c r="N268" i="5"/>
  <c r="H268" i="5" s="1"/>
  <c r="F269" i="5"/>
  <c r="E269" i="5" s="1"/>
  <c r="G269" i="5"/>
  <c r="I269" i="5"/>
  <c r="J269" i="5"/>
  <c r="K269" i="5"/>
  <c r="L269" i="5"/>
  <c r="N269" i="5"/>
  <c r="H269" i="5" s="1"/>
  <c r="F270" i="5"/>
  <c r="E270" i="5" s="1"/>
  <c r="G270" i="5"/>
  <c r="I270" i="5"/>
  <c r="J270" i="5"/>
  <c r="K270" i="5"/>
  <c r="L270" i="5"/>
  <c r="N270" i="5"/>
  <c r="H270" i="5" s="1"/>
  <c r="F271" i="5"/>
  <c r="E271" i="5" s="1"/>
  <c r="G271" i="5"/>
  <c r="I271" i="5"/>
  <c r="J271" i="5"/>
  <c r="K271" i="5"/>
  <c r="L271" i="5"/>
  <c r="N271" i="5"/>
  <c r="H271" i="5" s="1"/>
  <c r="F272" i="5"/>
  <c r="E272" i="5" s="1"/>
  <c r="G272" i="5"/>
  <c r="I272" i="5"/>
  <c r="J272" i="5"/>
  <c r="K272" i="5"/>
  <c r="L272" i="5"/>
  <c r="N272" i="5"/>
  <c r="H272" i="5" s="1"/>
  <c r="F273" i="5"/>
  <c r="E273" i="5" s="1"/>
  <c r="G273" i="5"/>
  <c r="I273" i="5"/>
  <c r="J273" i="5"/>
  <c r="K273" i="5"/>
  <c r="L273" i="5"/>
  <c r="N273" i="5"/>
  <c r="H273" i="5" s="1"/>
  <c r="F274" i="5"/>
  <c r="E274" i="5" s="1"/>
  <c r="G274" i="5"/>
  <c r="I274" i="5"/>
  <c r="J274" i="5"/>
  <c r="K274" i="5"/>
  <c r="L274" i="5"/>
  <c r="N274" i="5"/>
  <c r="H274" i="5" s="1"/>
  <c r="F275" i="5"/>
  <c r="E275" i="5" s="1"/>
  <c r="G275" i="5"/>
  <c r="I275" i="5"/>
  <c r="J275" i="5"/>
  <c r="K275" i="5"/>
  <c r="L275" i="5"/>
  <c r="N275" i="5"/>
  <c r="H275" i="5" s="1"/>
  <c r="F276" i="5"/>
  <c r="E276" i="5" s="1"/>
  <c r="G276" i="5"/>
  <c r="I276" i="5"/>
  <c r="J276" i="5"/>
  <c r="K276" i="5"/>
  <c r="L276" i="5"/>
  <c r="N276" i="5"/>
  <c r="H276" i="5" s="1"/>
  <c r="F277" i="5"/>
  <c r="E277" i="5" s="1"/>
  <c r="G277" i="5"/>
  <c r="I277" i="5"/>
  <c r="J277" i="5"/>
  <c r="K277" i="5"/>
  <c r="L277" i="5"/>
  <c r="N277" i="5"/>
  <c r="H277" i="5" s="1"/>
  <c r="F278" i="5"/>
  <c r="E278" i="5" s="1"/>
  <c r="G278" i="5"/>
  <c r="I278" i="5"/>
  <c r="J278" i="5"/>
  <c r="K278" i="5"/>
  <c r="L278" i="5"/>
  <c r="N278" i="5"/>
  <c r="H278" i="5" s="1"/>
  <c r="F279" i="5"/>
  <c r="E279" i="5" s="1"/>
  <c r="G279" i="5"/>
  <c r="I279" i="5"/>
  <c r="J279" i="5"/>
  <c r="K279" i="5"/>
  <c r="L279" i="5"/>
  <c r="N279" i="5"/>
  <c r="H279" i="5" s="1"/>
  <c r="F280" i="5"/>
  <c r="E280" i="5" s="1"/>
  <c r="G280" i="5"/>
  <c r="I280" i="5"/>
  <c r="J280" i="5"/>
  <c r="K280" i="5"/>
  <c r="L280" i="5"/>
  <c r="N280" i="5"/>
  <c r="H280" i="5" s="1"/>
  <c r="F281" i="5"/>
  <c r="E281" i="5" s="1"/>
  <c r="G281" i="5"/>
  <c r="I281" i="5"/>
  <c r="J281" i="5"/>
  <c r="K281" i="5"/>
  <c r="L281" i="5"/>
  <c r="N281" i="5"/>
  <c r="H281" i="5" s="1"/>
  <c r="F282" i="5"/>
  <c r="E282" i="5" s="1"/>
  <c r="G282" i="5"/>
  <c r="I282" i="5"/>
  <c r="J282" i="5"/>
  <c r="K282" i="5"/>
  <c r="L282" i="5"/>
  <c r="N282" i="5"/>
  <c r="H282" i="5" s="1"/>
  <c r="F283" i="5"/>
  <c r="E283" i="5" s="1"/>
  <c r="G283" i="5"/>
  <c r="I283" i="5"/>
  <c r="J283" i="5"/>
  <c r="K283" i="5"/>
  <c r="L283" i="5"/>
  <c r="N283" i="5"/>
  <c r="H283" i="5" s="1"/>
  <c r="F284" i="5"/>
  <c r="E284" i="5" s="1"/>
  <c r="G284" i="5"/>
  <c r="I284" i="5"/>
  <c r="J284" i="5"/>
  <c r="K284" i="5"/>
  <c r="L284" i="5"/>
  <c r="N284" i="5"/>
  <c r="H284" i="5" s="1"/>
  <c r="F285" i="5"/>
  <c r="E285" i="5" s="1"/>
  <c r="G285" i="5"/>
  <c r="I285" i="5"/>
  <c r="J285" i="5"/>
  <c r="K285" i="5"/>
  <c r="L285" i="5"/>
  <c r="N285" i="5"/>
  <c r="H285" i="5" s="1"/>
  <c r="F286" i="5"/>
  <c r="E286" i="5" s="1"/>
  <c r="G286" i="5"/>
  <c r="I286" i="5"/>
  <c r="J286" i="5"/>
  <c r="K286" i="5"/>
  <c r="L286" i="5"/>
  <c r="N286" i="5"/>
  <c r="H286" i="5" s="1"/>
  <c r="F287" i="5"/>
  <c r="E287" i="5" s="1"/>
  <c r="G287" i="5"/>
  <c r="I287" i="5"/>
  <c r="J287" i="5"/>
  <c r="K287" i="5"/>
  <c r="L287" i="5"/>
  <c r="N287" i="5"/>
  <c r="H287" i="5" s="1"/>
  <c r="F288" i="5"/>
  <c r="E288" i="5" s="1"/>
  <c r="G288" i="5"/>
  <c r="I288" i="5"/>
  <c r="J288" i="5"/>
  <c r="K288" i="5"/>
  <c r="L288" i="5"/>
  <c r="N288" i="5"/>
  <c r="H288" i="5" s="1"/>
  <c r="F289" i="5"/>
  <c r="E289" i="5" s="1"/>
  <c r="G289" i="5"/>
  <c r="I289" i="5"/>
  <c r="J289" i="5"/>
  <c r="K289" i="5"/>
  <c r="L289" i="5"/>
  <c r="N289" i="5"/>
  <c r="H289" i="5" s="1"/>
  <c r="F290" i="5"/>
  <c r="E290" i="5" s="1"/>
  <c r="G290" i="5"/>
  <c r="I290" i="5"/>
  <c r="J290" i="5"/>
  <c r="K290" i="5"/>
  <c r="L290" i="5"/>
  <c r="N290" i="5"/>
  <c r="H290" i="5" s="1"/>
  <c r="F291" i="5"/>
  <c r="E291" i="5" s="1"/>
  <c r="G291" i="5"/>
  <c r="I291" i="5"/>
  <c r="J291" i="5"/>
  <c r="K291" i="5"/>
  <c r="L291" i="5"/>
  <c r="N291" i="5"/>
  <c r="H291" i="5" s="1"/>
  <c r="F292" i="5"/>
  <c r="E292" i="5" s="1"/>
  <c r="G292" i="5"/>
  <c r="I292" i="5"/>
  <c r="J292" i="5"/>
  <c r="K292" i="5"/>
  <c r="L292" i="5"/>
  <c r="N292" i="5"/>
  <c r="H292" i="5" s="1"/>
  <c r="F293" i="5"/>
  <c r="E293" i="5" s="1"/>
  <c r="G293" i="5"/>
  <c r="I293" i="5"/>
  <c r="J293" i="5"/>
  <c r="K293" i="5"/>
  <c r="L293" i="5"/>
  <c r="N293" i="5"/>
  <c r="H293" i="5" s="1"/>
  <c r="F294" i="5"/>
  <c r="E294" i="5" s="1"/>
  <c r="G294" i="5"/>
  <c r="I294" i="5"/>
  <c r="J294" i="5"/>
  <c r="K294" i="5"/>
  <c r="L294" i="5"/>
  <c r="N294" i="5"/>
  <c r="H294" i="5" s="1"/>
  <c r="F295" i="5"/>
  <c r="E295" i="5" s="1"/>
  <c r="G295" i="5"/>
  <c r="I295" i="5"/>
  <c r="J295" i="5"/>
  <c r="K295" i="5"/>
  <c r="L295" i="5"/>
  <c r="N295" i="5"/>
  <c r="H295" i="5" s="1"/>
  <c r="E296" i="5"/>
  <c r="F296" i="5"/>
  <c r="G296" i="5"/>
  <c r="I296" i="5"/>
  <c r="J296" i="5"/>
  <c r="K296" i="5"/>
  <c r="L296" i="5"/>
  <c r="N296" i="5"/>
  <c r="H296" i="5" s="1"/>
  <c r="F297" i="5"/>
  <c r="E297" i="5" s="1"/>
  <c r="G297" i="5"/>
  <c r="I297" i="5"/>
  <c r="J297" i="5"/>
  <c r="K297" i="5"/>
  <c r="L297" i="5"/>
  <c r="N297" i="5"/>
  <c r="H297" i="5" s="1"/>
  <c r="F298" i="5"/>
  <c r="E298" i="5" s="1"/>
  <c r="G298" i="5"/>
  <c r="I298" i="5"/>
  <c r="J298" i="5"/>
  <c r="K298" i="5"/>
  <c r="L298" i="5"/>
  <c r="N298" i="5"/>
  <c r="H298" i="5" s="1"/>
  <c r="F299" i="5"/>
  <c r="E299" i="5" s="1"/>
  <c r="G299" i="5"/>
  <c r="I299" i="5"/>
  <c r="J299" i="5"/>
  <c r="K299" i="5"/>
  <c r="L299" i="5"/>
  <c r="N299" i="5"/>
  <c r="H299" i="5" s="1"/>
  <c r="F300" i="5"/>
  <c r="E300" i="5" s="1"/>
  <c r="G300" i="5"/>
  <c r="I300" i="5"/>
  <c r="J300" i="5"/>
  <c r="K300" i="5"/>
  <c r="L300" i="5"/>
  <c r="N300" i="5"/>
  <c r="H300" i="5" s="1"/>
  <c r="F301" i="5"/>
  <c r="E301" i="5" s="1"/>
  <c r="G301" i="5"/>
  <c r="I301" i="5"/>
  <c r="J301" i="5"/>
  <c r="K301" i="5"/>
  <c r="L301" i="5"/>
  <c r="N301" i="5"/>
  <c r="H301" i="5" s="1"/>
  <c r="F302" i="5"/>
  <c r="E302" i="5" s="1"/>
  <c r="G302" i="5"/>
  <c r="I302" i="5"/>
  <c r="J302" i="5"/>
  <c r="K302" i="5"/>
  <c r="L302" i="5"/>
  <c r="N302" i="5"/>
  <c r="H302" i="5" s="1"/>
  <c r="F303" i="5"/>
  <c r="E303" i="5" s="1"/>
  <c r="G303" i="5"/>
  <c r="I303" i="5"/>
  <c r="J303" i="5"/>
  <c r="K303" i="5"/>
  <c r="L303" i="5"/>
  <c r="N303" i="5"/>
  <c r="H303" i="5" s="1"/>
  <c r="F304" i="5"/>
  <c r="E304" i="5" s="1"/>
  <c r="G304" i="5"/>
  <c r="I304" i="5"/>
  <c r="J304" i="5"/>
  <c r="K304" i="5"/>
  <c r="L304" i="5"/>
  <c r="N304" i="5"/>
  <c r="H304" i="5" s="1"/>
  <c r="F305" i="5"/>
  <c r="E305" i="5" s="1"/>
  <c r="G305" i="5"/>
  <c r="I305" i="5"/>
  <c r="J305" i="5"/>
  <c r="K305" i="5"/>
  <c r="L305" i="5"/>
  <c r="N305" i="5"/>
  <c r="H305" i="5" s="1"/>
  <c r="F306" i="5"/>
  <c r="E306" i="5" s="1"/>
  <c r="G306" i="5"/>
  <c r="I306" i="5"/>
  <c r="J306" i="5"/>
  <c r="K306" i="5"/>
  <c r="L306" i="5"/>
  <c r="N306" i="5"/>
  <c r="H306" i="5" s="1"/>
  <c r="F307" i="5"/>
  <c r="E307" i="5" s="1"/>
  <c r="G307" i="5"/>
  <c r="I307" i="5"/>
  <c r="J307" i="5"/>
  <c r="K307" i="5"/>
  <c r="L307" i="5"/>
  <c r="N307" i="5"/>
  <c r="H307" i="5" s="1"/>
  <c r="F308" i="5"/>
  <c r="E308" i="5" s="1"/>
  <c r="G308" i="5"/>
  <c r="I308" i="5"/>
  <c r="J308" i="5"/>
  <c r="K308" i="5"/>
  <c r="L308" i="5"/>
  <c r="N308" i="5"/>
  <c r="H308" i="5" s="1"/>
  <c r="F309" i="5"/>
  <c r="E309" i="5" s="1"/>
  <c r="G309" i="5"/>
  <c r="I309" i="5"/>
  <c r="J309" i="5"/>
  <c r="K309" i="5"/>
  <c r="L309" i="5"/>
  <c r="N309" i="5"/>
  <c r="H309" i="5" s="1"/>
  <c r="F310" i="5"/>
  <c r="E310" i="5" s="1"/>
  <c r="G310" i="5"/>
  <c r="I310" i="5"/>
  <c r="J310" i="5"/>
  <c r="K310" i="5"/>
  <c r="L310" i="5"/>
  <c r="N310" i="5"/>
  <c r="H310" i="5" s="1"/>
  <c r="F311" i="5"/>
  <c r="E311" i="5" s="1"/>
  <c r="G311" i="5"/>
  <c r="I311" i="5"/>
  <c r="J311" i="5"/>
  <c r="K311" i="5"/>
  <c r="L311" i="5"/>
  <c r="N311" i="5"/>
  <c r="H311" i="5" s="1"/>
  <c r="F312" i="5"/>
  <c r="E312" i="5" s="1"/>
  <c r="G312" i="5"/>
  <c r="I312" i="5"/>
  <c r="J312" i="5"/>
  <c r="K312" i="5"/>
  <c r="L312" i="5"/>
  <c r="N312" i="5"/>
  <c r="H312" i="5" s="1"/>
  <c r="E313" i="5"/>
  <c r="F313" i="5"/>
  <c r="G313" i="5"/>
  <c r="I313" i="5"/>
  <c r="J313" i="5"/>
  <c r="K313" i="5"/>
  <c r="L313" i="5"/>
  <c r="N313" i="5"/>
  <c r="H313" i="5" s="1"/>
  <c r="F314" i="5"/>
  <c r="E314" i="5" s="1"/>
  <c r="G314" i="5"/>
  <c r="I314" i="5"/>
  <c r="J314" i="5"/>
  <c r="K314" i="5"/>
  <c r="L314" i="5"/>
  <c r="N314" i="5"/>
  <c r="H314" i="5" s="1"/>
  <c r="F315" i="5"/>
  <c r="E315" i="5" s="1"/>
  <c r="G315" i="5"/>
  <c r="I315" i="5"/>
  <c r="J315" i="5"/>
  <c r="K315" i="5"/>
  <c r="L315" i="5"/>
  <c r="N315" i="5"/>
  <c r="H315" i="5" s="1"/>
  <c r="F316" i="5"/>
  <c r="E316" i="5" s="1"/>
  <c r="G316" i="5"/>
  <c r="I316" i="5"/>
  <c r="J316" i="5"/>
  <c r="K316" i="5"/>
  <c r="L316" i="5"/>
  <c r="N316" i="5"/>
  <c r="H316" i="5" s="1"/>
  <c r="F317" i="5"/>
  <c r="E317" i="5" s="1"/>
  <c r="G317" i="5"/>
  <c r="I317" i="5"/>
  <c r="J317" i="5"/>
  <c r="K317" i="5"/>
  <c r="L317" i="5"/>
  <c r="N317" i="5"/>
  <c r="H317" i="5" s="1"/>
  <c r="F318" i="5"/>
  <c r="E318" i="5" s="1"/>
  <c r="G318" i="5"/>
  <c r="I318" i="5"/>
  <c r="J318" i="5"/>
  <c r="K318" i="5"/>
  <c r="L318" i="5"/>
  <c r="N318" i="5"/>
  <c r="H318" i="5" s="1"/>
  <c r="F319" i="5"/>
  <c r="E319" i="5" s="1"/>
  <c r="G319" i="5"/>
  <c r="I319" i="5"/>
  <c r="J319" i="5"/>
  <c r="K319" i="5"/>
  <c r="L319" i="5"/>
  <c r="N319" i="5"/>
  <c r="H319" i="5" s="1"/>
  <c r="F320" i="5"/>
  <c r="E320" i="5" s="1"/>
  <c r="G320" i="5"/>
  <c r="I320" i="5"/>
  <c r="J320" i="5"/>
  <c r="K320" i="5"/>
  <c r="L320" i="5"/>
  <c r="N320" i="5"/>
  <c r="H320" i="5" s="1"/>
  <c r="F321" i="5"/>
  <c r="E321" i="5" s="1"/>
  <c r="G321" i="5"/>
  <c r="I321" i="5"/>
  <c r="J321" i="5"/>
  <c r="K321" i="5"/>
  <c r="L321" i="5"/>
  <c r="N321" i="5"/>
  <c r="H321" i="5" s="1"/>
  <c r="F322" i="5"/>
  <c r="E322" i="5" s="1"/>
  <c r="G322" i="5"/>
  <c r="H322" i="5"/>
  <c r="I322" i="5"/>
  <c r="J322" i="5"/>
  <c r="K322" i="5"/>
  <c r="L322" i="5"/>
  <c r="N322" i="5"/>
  <c r="F323" i="5"/>
  <c r="E323" i="5" s="1"/>
  <c r="G323" i="5"/>
  <c r="I323" i="5"/>
  <c r="J323" i="5"/>
  <c r="K323" i="5"/>
  <c r="L323" i="5"/>
  <c r="N323" i="5"/>
  <c r="H323" i="5" s="1"/>
  <c r="F324" i="5"/>
  <c r="E324" i="5" s="1"/>
  <c r="G324" i="5"/>
  <c r="I324" i="5"/>
  <c r="J324" i="5"/>
  <c r="K324" i="5"/>
  <c r="L324" i="5"/>
  <c r="N324" i="5"/>
  <c r="H324" i="5" s="1"/>
  <c r="F325" i="5"/>
  <c r="E325" i="5" s="1"/>
  <c r="G325" i="5"/>
  <c r="I325" i="5"/>
  <c r="J325" i="5"/>
  <c r="K325" i="5"/>
  <c r="L325" i="5"/>
  <c r="N325" i="5"/>
  <c r="H325" i="5" s="1"/>
  <c r="F326" i="5"/>
  <c r="E326" i="5" s="1"/>
  <c r="G326" i="5"/>
  <c r="I326" i="5"/>
  <c r="J326" i="5"/>
  <c r="K326" i="5"/>
  <c r="L326" i="5"/>
  <c r="N326" i="5"/>
  <c r="H326" i="5" s="1"/>
  <c r="F327" i="5"/>
  <c r="E327" i="5" s="1"/>
  <c r="G327" i="5"/>
  <c r="I327" i="5"/>
  <c r="J327" i="5"/>
  <c r="K327" i="5"/>
  <c r="L327" i="5"/>
  <c r="N327" i="5"/>
  <c r="H327" i="5" s="1"/>
  <c r="F328" i="5"/>
  <c r="E328" i="5" s="1"/>
  <c r="G328" i="5"/>
  <c r="I328" i="5"/>
  <c r="J328" i="5"/>
  <c r="K328" i="5"/>
  <c r="L328" i="5"/>
  <c r="N328" i="5"/>
  <c r="H328" i="5" s="1"/>
  <c r="F329" i="5"/>
  <c r="E329" i="5" s="1"/>
  <c r="G329" i="5"/>
  <c r="I329" i="5"/>
  <c r="J329" i="5"/>
  <c r="K329" i="5"/>
  <c r="L329" i="5"/>
  <c r="N329" i="5"/>
  <c r="H329" i="5" s="1"/>
  <c r="F330" i="5"/>
  <c r="E330" i="5" s="1"/>
  <c r="G330" i="5"/>
  <c r="I330" i="5"/>
  <c r="J330" i="5"/>
  <c r="K330" i="5"/>
  <c r="L330" i="5"/>
  <c r="N330" i="5"/>
  <c r="H330" i="5" s="1"/>
  <c r="F331" i="5"/>
  <c r="E331" i="5" s="1"/>
  <c r="G331" i="5"/>
  <c r="I331" i="5"/>
  <c r="J331" i="5"/>
  <c r="K331" i="5"/>
  <c r="L331" i="5"/>
  <c r="N331" i="5"/>
  <c r="H331" i="5" s="1"/>
  <c r="F332" i="5"/>
  <c r="E332" i="5" s="1"/>
  <c r="G332" i="5"/>
  <c r="I332" i="5"/>
  <c r="J332" i="5"/>
  <c r="K332" i="5"/>
  <c r="L332" i="5"/>
  <c r="N332" i="5"/>
  <c r="H332" i="5" s="1"/>
  <c r="F333" i="5"/>
  <c r="E333" i="5" s="1"/>
  <c r="G333" i="5"/>
  <c r="I333" i="5"/>
  <c r="J333" i="5"/>
  <c r="K333" i="5"/>
  <c r="L333" i="5"/>
  <c r="N333" i="5"/>
  <c r="H333" i="5" s="1"/>
  <c r="F334" i="5"/>
  <c r="E334" i="5" s="1"/>
  <c r="G334" i="5"/>
  <c r="I334" i="5"/>
  <c r="J334" i="5"/>
  <c r="K334" i="5"/>
  <c r="L334" i="5"/>
  <c r="N334" i="5"/>
  <c r="H334" i="5" s="1"/>
  <c r="F335" i="5"/>
  <c r="E335" i="5" s="1"/>
  <c r="G335" i="5"/>
  <c r="I335" i="5"/>
  <c r="J335" i="5"/>
  <c r="K335" i="5"/>
  <c r="L335" i="5"/>
  <c r="N335" i="5"/>
  <c r="H335" i="5" s="1"/>
  <c r="F336" i="5"/>
  <c r="E336" i="5" s="1"/>
  <c r="G336" i="5"/>
  <c r="I336" i="5"/>
  <c r="J336" i="5"/>
  <c r="K336" i="5"/>
  <c r="L336" i="5"/>
  <c r="N336" i="5"/>
  <c r="H336" i="5" s="1"/>
  <c r="F337" i="5"/>
  <c r="E337" i="5" s="1"/>
  <c r="G337" i="5"/>
  <c r="I337" i="5"/>
  <c r="J337" i="5"/>
  <c r="K337" i="5"/>
  <c r="L337" i="5"/>
  <c r="N337" i="5"/>
  <c r="H337" i="5" s="1"/>
  <c r="F338" i="5"/>
  <c r="E338" i="5" s="1"/>
  <c r="G338" i="5"/>
  <c r="I338" i="5"/>
  <c r="J338" i="5"/>
  <c r="K338" i="5"/>
  <c r="L338" i="5"/>
  <c r="N338" i="5"/>
  <c r="H338" i="5" s="1"/>
  <c r="F339" i="5"/>
  <c r="E339" i="5" s="1"/>
  <c r="G339" i="5"/>
  <c r="I339" i="5"/>
  <c r="J339" i="5"/>
  <c r="K339" i="5"/>
  <c r="L339" i="5"/>
  <c r="N339" i="5"/>
  <c r="H339" i="5" s="1"/>
  <c r="F340" i="5"/>
  <c r="E340" i="5" s="1"/>
  <c r="G340" i="5"/>
  <c r="I340" i="5"/>
  <c r="J340" i="5"/>
  <c r="K340" i="5"/>
  <c r="L340" i="5"/>
  <c r="N340" i="5"/>
  <c r="H340" i="5" s="1"/>
  <c r="F341" i="5"/>
  <c r="E341" i="5" s="1"/>
  <c r="G341" i="5"/>
  <c r="I341" i="5"/>
  <c r="J341" i="5"/>
  <c r="K341" i="5"/>
  <c r="L341" i="5"/>
  <c r="N341" i="5"/>
  <c r="H341" i="5" s="1"/>
  <c r="F342" i="5"/>
  <c r="E342" i="5" s="1"/>
  <c r="G342" i="5"/>
  <c r="I342" i="5"/>
  <c r="J342" i="5"/>
  <c r="K342" i="5"/>
  <c r="L342" i="5"/>
  <c r="N342" i="5"/>
  <c r="H342" i="5" s="1"/>
  <c r="F343" i="5"/>
  <c r="E343" i="5" s="1"/>
  <c r="G343" i="5"/>
  <c r="I343" i="5"/>
  <c r="J343" i="5"/>
  <c r="K343" i="5"/>
  <c r="L343" i="5"/>
  <c r="N343" i="5"/>
  <c r="H343" i="5" s="1"/>
  <c r="F344" i="5"/>
  <c r="E344" i="5" s="1"/>
  <c r="G344" i="5"/>
  <c r="I344" i="5"/>
  <c r="J344" i="5"/>
  <c r="K344" i="5"/>
  <c r="L344" i="5"/>
  <c r="N344" i="5"/>
  <c r="H344" i="5" s="1"/>
  <c r="F345" i="5"/>
  <c r="E345" i="5" s="1"/>
  <c r="G345" i="5"/>
  <c r="I345" i="5"/>
  <c r="J345" i="5"/>
  <c r="K345" i="5"/>
  <c r="L345" i="5"/>
  <c r="N345" i="5"/>
  <c r="H345" i="5" s="1"/>
  <c r="F346" i="5"/>
  <c r="E346" i="5" s="1"/>
  <c r="G346" i="5"/>
  <c r="I346" i="5"/>
  <c r="J346" i="5"/>
  <c r="K346" i="5"/>
  <c r="L346" i="5"/>
  <c r="N346" i="5"/>
  <c r="H346" i="5" s="1"/>
  <c r="F347" i="5"/>
  <c r="E347" i="5" s="1"/>
  <c r="G347" i="5"/>
  <c r="I347" i="5"/>
  <c r="J347" i="5"/>
  <c r="K347" i="5"/>
  <c r="L347" i="5"/>
  <c r="N347" i="5"/>
  <c r="H347" i="5" s="1"/>
  <c r="F348" i="5"/>
  <c r="E348" i="5" s="1"/>
  <c r="G348" i="5"/>
  <c r="I348" i="5"/>
  <c r="J348" i="5"/>
  <c r="K348" i="5"/>
  <c r="L348" i="5"/>
  <c r="N348" i="5"/>
  <c r="H348" i="5" s="1"/>
  <c r="F349" i="5"/>
  <c r="E349" i="5" s="1"/>
  <c r="G349" i="5"/>
  <c r="I349" i="5"/>
  <c r="J349" i="5"/>
  <c r="K349" i="5"/>
  <c r="L349" i="5"/>
  <c r="N349" i="5"/>
  <c r="H349" i="5" s="1"/>
  <c r="F350" i="5"/>
  <c r="E350" i="5" s="1"/>
  <c r="G350" i="5"/>
  <c r="I350" i="5"/>
  <c r="J350" i="5"/>
  <c r="K350" i="5"/>
  <c r="L350" i="5"/>
  <c r="N350" i="5"/>
  <c r="H350" i="5" s="1"/>
  <c r="F351" i="5"/>
  <c r="E351" i="5" s="1"/>
  <c r="G351" i="5"/>
  <c r="H351" i="5"/>
  <c r="I351" i="5"/>
  <c r="J351" i="5"/>
  <c r="K351" i="5"/>
  <c r="L351" i="5"/>
  <c r="N351" i="5"/>
  <c r="F352" i="5"/>
  <c r="E352" i="5" s="1"/>
  <c r="G352" i="5"/>
  <c r="I352" i="5"/>
  <c r="J352" i="5"/>
  <c r="K352" i="5"/>
  <c r="L352" i="5"/>
  <c r="N352" i="5"/>
  <c r="H352" i="5" s="1"/>
  <c r="F353" i="5"/>
  <c r="E353" i="5" s="1"/>
  <c r="G353" i="5"/>
  <c r="I353" i="5"/>
  <c r="J353" i="5"/>
  <c r="K353" i="5"/>
  <c r="L353" i="5"/>
  <c r="N353" i="5"/>
  <c r="H353" i="5" s="1"/>
  <c r="F354" i="5"/>
  <c r="E354" i="5" s="1"/>
  <c r="G354" i="5"/>
  <c r="I354" i="5"/>
  <c r="J354" i="5"/>
  <c r="K354" i="5"/>
  <c r="L354" i="5"/>
  <c r="N354" i="5"/>
  <c r="H354" i="5" s="1"/>
  <c r="F355" i="5"/>
  <c r="E355" i="5" s="1"/>
  <c r="G355" i="5"/>
  <c r="I355" i="5"/>
  <c r="J355" i="5"/>
  <c r="K355" i="5"/>
  <c r="L355" i="5"/>
  <c r="N355" i="5"/>
  <c r="H355" i="5" s="1"/>
  <c r="F356" i="5"/>
  <c r="E356" i="5" s="1"/>
  <c r="G356" i="5"/>
  <c r="I356" i="5"/>
  <c r="J356" i="5"/>
  <c r="K356" i="5"/>
  <c r="L356" i="5"/>
  <c r="N356" i="5"/>
  <c r="H356" i="5" s="1"/>
  <c r="F357" i="5"/>
  <c r="E357" i="5" s="1"/>
  <c r="G357" i="5"/>
  <c r="I357" i="5"/>
  <c r="J357" i="5"/>
  <c r="K357" i="5"/>
  <c r="L357" i="5"/>
  <c r="N357" i="5"/>
  <c r="H357" i="5" s="1"/>
  <c r="F358" i="5"/>
  <c r="E358" i="5" s="1"/>
  <c r="G358" i="5"/>
  <c r="I358" i="5"/>
  <c r="J358" i="5"/>
  <c r="K358" i="5"/>
  <c r="L358" i="5"/>
  <c r="N358" i="5"/>
  <c r="H358" i="5" s="1"/>
  <c r="F359" i="5"/>
  <c r="E359" i="5" s="1"/>
  <c r="G359" i="5"/>
  <c r="I359" i="5"/>
  <c r="J359" i="5"/>
  <c r="K359" i="5"/>
  <c r="L359" i="5"/>
  <c r="N359" i="5"/>
  <c r="H359" i="5" s="1"/>
  <c r="F360" i="5"/>
  <c r="E360" i="5" s="1"/>
  <c r="G360" i="5"/>
  <c r="I360" i="5"/>
  <c r="J360" i="5"/>
  <c r="K360" i="5"/>
  <c r="L360" i="5"/>
  <c r="N360" i="5"/>
  <c r="H360" i="5" s="1"/>
  <c r="F361" i="5"/>
  <c r="E361" i="5" s="1"/>
  <c r="G361" i="5"/>
  <c r="I361" i="5"/>
  <c r="J361" i="5"/>
  <c r="K361" i="5"/>
  <c r="L361" i="5"/>
  <c r="N361" i="5"/>
  <c r="H361" i="5" s="1"/>
  <c r="F362" i="5"/>
  <c r="E362" i="5" s="1"/>
  <c r="G362" i="5"/>
  <c r="I362" i="5"/>
  <c r="J362" i="5"/>
  <c r="K362" i="5"/>
  <c r="L362" i="5"/>
  <c r="N362" i="5"/>
  <c r="H362" i="5" s="1"/>
  <c r="F363" i="5"/>
  <c r="E363" i="5" s="1"/>
  <c r="G363" i="5"/>
  <c r="I363" i="5"/>
  <c r="J363" i="5"/>
  <c r="K363" i="5"/>
  <c r="L363" i="5"/>
  <c r="N363" i="5"/>
  <c r="H363" i="5" s="1"/>
  <c r="F364" i="5"/>
  <c r="E364" i="5" s="1"/>
  <c r="G364" i="5"/>
  <c r="I364" i="5"/>
  <c r="J364" i="5"/>
  <c r="K364" i="5"/>
  <c r="L364" i="5"/>
  <c r="N364" i="5"/>
  <c r="H364" i="5" s="1"/>
  <c r="F365" i="5"/>
  <c r="E365" i="5" s="1"/>
  <c r="G365" i="5"/>
  <c r="I365" i="5"/>
  <c r="J365" i="5"/>
  <c r="K365" i="5"/>
  <c r="L365" i="5"/>
  <c r="N365" i="5"/>
  <c r="H365" i="5" s="1"/>
  <c r="F366" i="5"/>
  <c r="E366" i="5" s="1"/>
  <c r="G366" i="5"/>
  <c r="I366" i="5"/>
  <c r="J366" i="5"/>
  <c r="K366" i="5"/>
  <c r="L366" i="5"/>
  <c r="N366" i="5"/>
  <c r="H366" i="5" s="1"/>
  <c r="F367" i="5"/>
  <c r="E367" i="5" s="1"/>
  <c r="G367" i="5"/>
  <c r="I367" i="5"/>
  <c r="J367" i="5"/>
  <c r="K367" i="5"/>
  <c r="L367" i="5"/>
  <c r="N367" i="5"/>
  <c r="H367" i="5" s="1"/>
  <c r="F368" i="5"/>
  <c r="E368" i="5" s="1"/>
  <c r="G368" i="5"/>
  <c r="I368" i="5"/>
  <c r="J368" i="5"/>
  <c r="K368" i="5"/>
  <c r="L368" i="5"/>
  <c r="N368" i="5"/>
  <c r="H368" i="5" s="1"/>
  <c r="F369" i="5"/>
  <c r="E369" i="5" s="1"/>
  <c r="G369" i="5"/>
  <c r="I369" i="5"/>
  <c r="J369" i="5"/>
  <c r="K369" i="5"/>
  <c r="L369" i="5"/>
  <c r="N369" i="5"/>
  <c r="H369" i="5" s="1"/>
  <c r="F370" i="5"/>
  <c r="E370" i="5" s="1"/>
  <c r="G370" i="5"/>
  <c r="I370" i="5"/>
  <c r="J370" i="5"/>
  <c r="K370" i="5"/>
  <c r="L370" i="5"/>
  <c r="N370" i="5"/>
  <c r="H370" i="5" s="1"/>
  <c r="F371" i="5"/>
  <c r="E371" i="5" s="1"/>
  <c r="G371" i="5"/>
  <c r="I371" i="5"/>
  <c r="J371" i="5"/>
  <c r="K371" i="5"/>
  <c r="L371" i="5"/>
  <c r="N371" i="5"/>
  <c r="H371" i="5" s="1"/>
  <c r="F372" i="5"/>
  <c r="E372" i="5" s="1"/>
  <c r="G372" i="5"/>
  <c r="I372" i="5"/>
  <c r="J372" i="5"/>
  <c r="K372" i="5"/>
  <c r="L372" i="5"/>
  <c r="N372" i="5"/>
  <c r="H372" i="5" s="1"/>
  <c r="F373" i="5"/>
  <c r="E373" i="5" s="1"/>
  <c r="G373" i="5"/>
  <c r="I373" i="5"/>
  <c r="J373" i="5"/>
  <c r="K373" i="5"/>
  <c r="L373" i="5"/>
  <c r="N373" i="5"/>
  <c r="H373" i="5" s="1"/>
  <c r="F374" i="5"/>
  <c r="E374" i="5" s="1"/>
  <c r="G374" i="5"/>
  <c r="I374" i="5"/>
  <c r="J374" i="5"/>
  <c r="K374" i="5"/>
  <c r="L374" i="5"/>
  <c r="N374" i="5"/>
  <c r="H374" i="5" s="1"/>
  <c r="F375" i="5"/>
  <c r="E375" i="5" s="1"/>
  <c r="G375" i="5"/>
  <c r="I375" i="5"/>
  <c r="J375" i="5"/>
  <c r="K375" i="5"/>
  <c r="L375" i="5"/>
  <c r="N375" i="5"/>
  <c r="H375" i="5" s="1"/>
  <c r="F376" i="5"/>
  <c r="E376" i="5" s="1"/>
  <c r="G376" i="5"/>
  <c r="I376" i="5"/>
  <c r="J376" i="5"/>
  <c r="K376" i="5"/>
  <c r="L376" i="5"/>
  <c r="N376" i="5"/>
  <c r="H376" i="5" s="1"/>
  <c r="F377" i="5"/>
  <c r="E377" i="5" s="1"/>
  <c r="G377" i="5"/>
  <c r="I377" i="5"/>
  <c r="J377" i="5"/>
  <c r="K377" i="5"/>
  <c r="L377" i="5"/>
  <c r="N377" i="5"/>
  <c r="H377" i="5" s="1"/>
  <c r="F378" i="5"/>
  <c r="E378" i="5" s="1"/>
  <c r="G378" i="5"/>
  <c r="I378" i="5"/>
  <c r="J378" i="5"/>
  <c r="K378" i="5"/>
  <c r="L378" i="5"/>
  <c r="N378" i="5"/>
  <c r="H378" i="5" s="1"/>
  <c r="F379" i="5"/>
  <c r="E379" i="5" s="1"/>
  <c r="G379" i="5"/>
  <c r="I379" i="5"/>
  <c r="J379" i="5"/>
  <c r="K379" i="5"/>
  <c r="L379" i="5"/>
  <c r="N379" i="5"/>
  <c r="H379" i="5" s="1"/>
  <c r="F380" i="5"/>
  <c r="E380" i="5" s="1"/>
  <c r="G380" i="5"/>
  <c r="I380" i="5"/>
  <c r="J380" i="5"/>
  <c r="K380" i="5"/>
  <c r="L380" i="5"/>
  <c r="N380" i="5"/>
  <c r="H380" i="5" s="1"/>
  <c r="F381" i="5"/>
  <c r="E381" i="5" s="1"/>
  <c r="G381" i="5"/>
  <c r="I381" i="5"/>
  <c r="J381" i="5"/>
  <c r="K381" i="5"/>
  <c r="L381" i="5"/>
  <c r="N381" i="5"/>
  <c r="H381" i="5" s="1"/>
  <c r="F382" i="5"/>
  <c r="E382" i="5" s="1"/>
  <c r="G382" i="5"/>
  <c r="I382" i="5"/>
  <c r="J382" i="5"/>
  <c r="K382" i="5"/>
  <c r="L382" i="5"/>
  <c r="N382" i="5"/>
  <c r="H382" i="5" s="1"/>
  <c r="F383" i="5"/>
  <c r="E383" i="5" s="1"/>
  <c r="G383" i="5"/>
  <c r="I383" i="5"/>
  <c r="J383" i="5"/>
  <c r="K383" i="5"/>
  <c r="L383" i="5"/>
  <c r="N383" i="5"/>
  <c r="H383" i="5" s="1"/>
  <c r="F384" i="5"/>
  <c r="E384" i="5" s="1"/>
  <c r="G384" i="5"/>
  <c r="I384" i="5"/>
  <c r="J384" i="5"/>
  <c r="K384" i="5"/>
  <c r="L384" i="5"/>
  <c r="N384" i="5"/>
  <c r="H384" i="5" s="1"/>
  <c r="F385" i="5"/>
  <c r="E385" i="5" s="1"/>
  <c r="G385" i="5"/>
  <c r="I385" i="5"/>
  <c r="J385" i="5"/>
  <c r="K385" i="5"/>
  <c r="L385" i="5"/>
  <c r="N385" i="5"/>
  <c r="H385" i="5" s="1"/>
  <c r="F386" i="5"/>
  <c r="E386" i="5" s="1"/>
  <c r="G386" i="5"/>
  <c r="I386" i="5"/>
  <c r="J386" i="5"/>
  <c r="K386" i="5"/>
  <c r="L386" i="5"/>
  <c r="N386" i="5"/>
  <c r="H386" i="5" s="1"/>
  <c r="F387" i="5"/>
  <c r="E387" i="5" s="1"/>
  <c r="G387" i="5"/>
  <c r="I387" i="5"/>
  <c r="J387" i="5"/>
  <c r="K387" i="5"/>
  <c r="L387" i="5"/>
  <c r="N387" i="5"/>
  <c r="H387" i="5" s="1"/>
  <c r="F388" i="5"/>
  <c r="E388" i="5" s="1"/>
  <c r="G388" i="5"/>
  <c r="I388" i="5"/>
  <c r="J388" i="5"/>
  <c r="K388" i="5"/>
  <c r="L388" i="5"/>
  <c r="N388" i="5"/>
  <c r="H388" i="5" s="1"/>
  <c r="F389" i="5"/>
  <c r="E389" i="5" s="1"/>
  <c r="G389" i="5"/>
  <c r="I389" i="5"/>
  <c r="J389" i="5"/>
  <c r="K389" i="5"/>
  <c r="L389" i="5"/>
  <c r="N389" i="5"/>
  <c r="H389" i="5" s="1"/>
  <c r="F390" i="5"/>
  <c r="E390" i="5" s="1"/>
  <c r="G390" i="5"/>
  <c r="I390" i="5"/>
  <c r="J390" i="5"/>
  <c r="K390" i="5"/>
  <c r="L390" i="5"/>
  <c r="N390" i="5"/>
  <c r="H390" i="5" s="1"/>
  <c r="F391" i="5"/>
  <c r="E391" i="5" s="1"/>
  <c r="G391" i="5"/>
  <c r="I391" i="5"/>
  <c r="J391" i="5"/>
  <c r="K391" i="5"/>
  <c r="L391" i="5"/>
  <c r="N391" i="5"/>
  <c r="H391" i="5" s="1"/>
  <c r="F392" i="5"/>
  <c r="E392" i="5" s="1"/>
  <c r="G392" i="5"/>
  <c r="I392" i="5"/>
  <c r="J392" i="5"/>
  <c r="K392" i="5"/>
  <c r="L392" i="5"/>
  <c r="N392" i="5"/>
  <c r="H392" i="5" s="1"/>
  <c r="F393" i="5"/>
  <c r="E393" i="5" s="1"/>
  <c r="G393" i="5"/>
  <c r="I393" i="5"/>
  <c r="J393" i="5"/>
  <c r="K393" i="5"/>
  <c r="L393" i="5"/>
  <c r="N393" i="5"/>
  <c r="H393" i="5" s="1"/>
  <c r="F394" i="5"/>
  <c r="E394" i="5" s="1"/>
  <c r="G394" i="5"/>
  <c r="I394" i="5"/>
  <c r="J394" i="5"/>
  <c r="K394" i="5"/>
  <c r="L394" i="5"/>
  <c r="N394" i="5"/>
  <c r="H394" i="5" s="1"/>
  <c r="F395" i="5"/>
  <c r="E395" i="5" s="1"/>
  <c r="G395" i="5"/>
  <c r="I395" i="5"/>
  <c r="J395" i="5"/>
  <c r="K395" i="5"/>
  <c r="L395" i="5"/>
  <c r="N395" i="5"/>
  <c r="H395" i="5" s="1"/>
  <c r="F396" i="5"/>
  <c r="E396" i="5" s="1"/>
  <c r="G396" i="5"/>
  <c r="I396" i="5"/>
  <c r="J396" i="5"/>
  <c r="K396" i="5"/>
  <c r="L396" i="5"/>
  <c r="N396" i="5"/>
  <c r="H396" i="5" s="1"/>
  <c r="F397" i="5"/>
  <c r="E397" i="5" s="1"/>
  <c r="G397" i="5"/>
  <c r="I397" i="5"/>
  <c r="J397" i="5"/>
  <c r="K397" i="5"/>
  <c r="L397" i="5"/>
  <c r="N397" i="5"/>
  <c r="H397" i="5" s="1"/>
  <c r="F398" i="5"/>
  <c r="E398" i="5" s="1"/>
  <c r="G398" i="5"/>
  <c r="I398" i="5"/>
  <c r="J398" i="5"/>
  <c r="K398" i="5"/>
  <c r="L398" i="5"/>
  <c r="N398" i="5"/>
  <c r="H398" i="5" s="1"/>
  <c r="F399" i="5"/>
  <c r="E399" i="5" s="1"/>
  <c r="G399" i="5"/>
  <c r="I399" i="5"/>
  <c r="J399" i="5"/>
  <c r="K399" i="5"/>
  <c r="L399" i="5"/>
  <c r="N399" i="5"/>
  <c r="H399" i="5" s="1"/>
  <c r="F400" i="5"/>
  <c r="E400" i="5" s="1"/>
  <c r="G400" i="5"/>
  <c r="I400" i="5"/>
  <c r="J400" i="5"/>
  <c r="K400" i="5"/>
  <c r="L400" i="5"/>
  <c r="N400" i="5"/>
  <c r="H400" i="5" s="1"/>
  <c r="F401" i="5"/>
  <c r="E401" i="5" s="1"/>
  <c r="G401" i="5"/>
  <c r="I401" i="5"/>
  <c r="J401" i="5"/>
  <c r="K401" i="5"/>
  <c r="L401" i="5"/>
  <c r="N401" i="5"/>
  <c r="H401" i="5" s="1"/>
  <c r="F402" i="5"/>
  <c r="E402" i="5" s="1"/>
  <c r="G402" i="5"/>
  <c r="I402" i="5"/>
  <c r="J402" i="5"/>
  <c r="K402" i="5"/>
  <c r="L402" i="5"/>
  <c r="N402" i="5"/>
  <c r="H402" i="5" s="1"/>
  <c r="F403" i="5"/>
  <c r="E403" i="5" s="1"/>
  <c r="G403" i="5"/>
  <c r="I403" i="5"/>
  <c r="J403" i="5"/>
  <c r="K403" i="5"/>
  <c r="L403" i="5"/>
  <c r="N403" i="5"/>
  <c r="H403" i="5" s="1"/>
  <c r="F404" i="5"/>
  <c r="E404" i="5" s="1"/>
  <c r="G404" i="5"/>
  <c r="I404" i="5"/>
  <c r="J404" i="5"/>
  <c r="K404" i="5"/>
  <c r="L404" i="5"/>
  <c r="N404" i="5"/>
  <c r="H404" i="5" s="1"/>
  <c r="F405" i="5"/>
  <c r="E405" i="5" s="1"/>
  <c r="G405" i="5"/>
  <c r="I405" i="5"/>
  <c r="J405" i="5"/>
  <c r="K405" i="5"/>
  <c r="L405" i="5"/>
  <c r="N405" i="5"/>
  <c r="H405" i="5" s="1"/>
  <c r="F406" i="5"/>
  <c r="E406" i="5" s="1"/>
  <c r="G406" i="5"/>
  <c r="I406" i="5"/>
  <c r="J406" i="5"/>
  <c r="K406" i="5"/>
  <c r="L406" i="5"/>
  <c r="N406" i="5"/>
  <c r="H406" i="5" s="1"/>
  <c r="F407" i="5"/>
  <c r="E407" i="5" s="1"/>
  <c r="G407" i="5"/>
  <c r="I407" i="5"/>
  <c r="J407" i="5"/>
  <c r="K407" i="5"/>
  <c r="L407" i="5"/>
  <c r="N407" i="5"/>
  <c r="H407" i="5" s="1"/>
  <c r="F408" i="5"/>
  <c r="E408" i="5" s="1"/>
  <c r="G408" i="5"/>
  <c r="I408" i="5"/>
  <c r="J408" i="5"/>
  <c r="K408" i="5"/>
  <c r="L408" i="5"/>
  <c r="N408" i="5"/>
  <c r="H408" i="5" s="1"/>
  <c r="F409" i="5"/>
  <c r="E409" i="5" s="1"/>
  <c r="G409" i="5"/>
  <c r="I409" i="5"/>
  <c r="J409" i="5"/>
  <c r="K409" i="5"/>
  <c r="L409" i="5"/>
  <c r="N409" i="5"/>
  <c r="H409" i="5" s="1"/>
  <c r="F410" i="5"/>
  <c r="E410" i="5" s="1"/>
  <c r="G410" i="5"/>
  <c r="I410" i="5"/>
  <c r="J410" i="5"/>
  <c r="K410" i="5"/>
  <c r="L410" i="5"/>
  <c r="N410" i="5"/>
  <c r="H410" i="5" s="1"/>
  <c r="F411" i="5"/>
  <c r="E411" i="5" s="1"/>
  <c r="G411" i="5"/>
  <c r="I411" i="5"/>
  <c r="J411" i="5"/>
  <c r="K411" i="5"/>
  <c r="L411" i="5"/>
  <c r="N411" i="5"/>
  <c r="H411" i="5" s="1"/>
  <c r="F412" i="5"/>
  <c r="E412" i="5" s="1"/>
  <c r="G412" i="5"/>
  <c r="I412" i="5"/>
  <c r="J412" i="5"/>
  <c r="K412" i="5"/>
  <c r="L412" i="5"/>
  <c r="N412" i="5"/>
  <c r="H412" i="5" s="1"/>
  <c r="F413" i="5"/>
  <c r="E413" i="5" s="1"/>
  <c r="G413" i="5"/>
  <c r="I413" i="5"/>
  <c r="J413" i="5"/>
  <c r="K413" i="5"/>
  <c r="L413" i="5"/>
  <c r="N413" i="5"/>
  <c r="H413" i="5" s="1"/>
  <c r="F414" i="5"/>
  <c r="E414" i="5" s="1"/>
  <c r="G414" i="5"/>
  <c r="I414" i="5"/>
  <c r="J414" i="5"/>
  <c r="K414" i="5"/>
  <c r="L414" i="5"/>
  <c r="N414" i="5"/>
  <c r="H414" i="5" s="1"/>
  <c r="F415" i="5"/>
  <c r="E415" i="5" s="1"/>
  <c r="G415" i="5"/>
  <c r="I415" i="5"/>
  <c r="J415" i="5"/>
  <c r="K415" i="5"/>
  <c r="L415" i="5"/>
  <c r="N415" i="5"/>
  <c r="H415" i="5" s="1"/>
  <c r="F416" i="5"/>
  <c r="E416" i="5" s="1"/>
  <c r="G416" i="5"/>
  <c r="I416" i="5"/>
  <c r="J416" i="5"/>
  <c r="K416" i="5"/>
  <c r="L416" i="5"/>
  <c r="N416" i="5"/>
  <c r="H416" i="5" s="1"/>
  <c r="F417" i="5"/>
  <c r="E417" i="5" s="1"/>
  <c r="G417" i="5"/>
  <c r="I417" i="5"/>
  <c r="J417" i="5"/>
  <c r="K417" i="5"/>
  <c r="L417" i="5"/>
  <c r="N417" i="5"/>
  <c r="H417" i="5" s="1"/>
  <c r="F418" i="5"/>
  <c r="E418" i="5" s="1"/>
  <c r="G418" i="5"/>
  <c r="I418" i="5"/>
  <c r="J418" i="5"/>
  <c r="K418" i="5"/>
  <c r="L418" i="5"/>
  <c r="N418" i="5"/>
  <c r="H418" i="5" s="1"/>
  <c r="F419" i="5"/>
  <c r="E419" i="5" s="1"/>
  <c r="G419" i="5"/>
  <c r="I419" i="5"/>
  <c r="J419" i="5"/>
  <c r="K419" i="5"/>
  <c r="L419" i="5"/>
  <c r="N419" i="5"/>
  <c r="H419" i="5" s="1"/>
  <c r="F420" i="5"/>
  <c r="E420" i="5" s="1"/>
  <c r="G420" i="5"/>
  <c r="I420" i="5"/>
  <c r="J420" i="5"/>
  <c r="K420" i="5"/>
  <c r="L420" i="5"/>
  <c r="N420" i="5"/>
  <c r="H420" i="5" s="1"/>
  <c r="F421" i="5"/>
  <c r="E421" i="5" s="1"/>
  <c r="G421" i="5"/>
  <c r="I421" i="5"/>
  <c r="J421" i="5"/>
  <c r="K421" i="5"/>
  <c r="L421" i="5"/>
  <c r="N421" i="5"/>
  <c r="H421" i="5" s="1"/>
  <c r="F422" i="5"/>
  <c r="E422" i="5" s="1"/>
  <c r="G422" i="5"/>
  <c r="I422" i="5"/>
  <c r="J422" i="5"/>
  <c r="K422" i="5"/>
  <c r="L422" i="5"/>
  <c r="N422" i="5"/>
  <c r="H422" i="5" s="1"/>
  <c r="F423" i="5"/>
  <c r="E423" i="5" s="1"/>
  <c r="G423" i="5"/>
  <c r="I423" i="5"/>
  <c r="J423" i="5"/>
  <c r="K423" i="5"/>
  <c r="L423" i="5"/>
  <c r="N423" i="5"/>
  <c r="H423" i="5" s="1"/>
  <c r="F424" i="5"/>
  <c r="E424" i="5" s="1"/>
  <c r="G424" i="5"/>
  <c r="I424" i="5"/>
  <c r="J424" i="5"/>
  <c r="K424" i="5"/>
  <c r="L424" i="5"/>
  <c r="N424" i="5"/>
  <c r="H424" i="5" s="1"/>
  <c r="F425" i="5"/>
  <c r="E425" i="5" s="1"/>
  <c r="G425" i="5"/>
  <c r="I425" i="5"/>
  <c r="J425" i="5"/>
  <c r="K425" i="5"/>
  <c r="L425" i="5"/>
  <c r="N425" i="5"/>
  <c r="H425" i="5" s="1"/>
  <c r="F426" i="5"/>
  <c r="E426" i="5" s="1"/>
  <c r="G426" i="5"/>
  <c r="I426" i="5"/>
  <c r="J426" i="5"/>
  <c r="K426" i="5"/>
  <c r="L426" i="5"/>
  <c r="N426" i="5"/>
  <c r="H426" i="5" s="1"/>
  <c r="F427" i="5"/>
  <c r="E427" i="5" s="1"/>
  <c r="G427" i="5"/>
  <c r="I427" i="5"/>
  <c r="J427" i="5"/>
  <c r="K427" i="5"/>
  <c r="L427" i="5"/>
  <c r="N427" i="5"/>
  <c r="H427" i="5" s="1"/>
  <c r="F428" i="5"/>
  <c r="E428" i="5" s="1"/>
  <c r="G428" i="5"/>
  <c r="I428" i="5"/>
  <c r="J428" i="5"/>
  <c r="K428" i="5"/>
  <c r="L428" i="5"/>
  <c r="N428" i="5"/>
  <c r="H428" i="5" s="1"/>
  <c r="F429" i="5"/>
  <c r="E429" i="5" s="1"/>
  <c r="G429" i="5"/>
  <c r="I429" i="5"/>
  <c r="J429" i="5"/>
  <c r="K429" i="5"/>
  <c r="L429" i="5"/>
  <c r="N429" i="5"/>
  <c r="H429" i="5" s="1"/>
  <c r="F430" i="5"/>
  <c r="E430" i="5" s="1"/>
  <c r="G430" i="5"/>
  <c r="I430" i="5"/>
  <c r="J430" i="5"/>
  <c r="K430" i="5"/>
  <c r="L430" i="5"/>
  <c r="N430" i="5"/>
  <c r="H430" i="5" s="1"/>
  <c r="F431" i="5"/>
  <c r="E431" i="5" s="1"/>
  <c r="G431" i="5"/>
  <c r="I431" i="5"/>
  <c r="J431" i="5"/>
  <c r="K431" i="5"/>
  <c r="L431" i="5"/>
  <c r="N431" i="5"/>
  <c r="H431" i="5" s="1"/>
  <c r="F432" i="5"/>
  <c r="E432" i="5" s="1"/>
  <c r="G432" i="5"/>
  <c r="I432" i="5"/>
  <c r="J432" i="5"/>
  <c r="K432" i="5"/>
  <c r="L432" i="5"/>
  <c r="N432" i="5"/>
  <c r="H432" i="5" s="1"/>
  <c r="F433" i="5"/>
  <c r="E433" i="5" s="1"/>
  <c r="G433" i="5"/>
  <c r="I433" i="5"/>
  <c r="J433" i="5"/>
  <c r="K433" i="5"/>
  <c r="L433" i="5"/>
  <c r="N433" i="5"/>
  <c r="H433" i="5" s="1"/>
  <c r="F434" i="5"/>
  <c r="E434" i="5" s="1"/>
  <c r="G434" i="5"/>
  <c r="I434" i="5"/>
  <c r="J434" i="5"/>
  <c r="K434" i="5"/>
  <c r="L434" i="5"/>
  <c r="N434" i="5"/>
  <c r="H434" i="5" s="1"/>
  <c r="F435" i="5"/>
  <c r="E435" i="5" s="1"/>
  <c r="G435" i="5"/>
  <c r="I435" i="5"/>
  <c r="J435" i="5"/>
  <c r="K435" i="5"/>
  <c r="L435" i="5"/>
  <c r="N435" i="5"/>
  <c r="H435" i="5" s="1"/>
  <c r="F436" i="5"/>
  <c r="E436" i="5" s="1"/>
  <c r="G436" i="5"/>
  <c r="I436" i="5"/>
  <c r="J436" i="5"/>
  <c r="K436" i="5"/>
  <c r="L436" i="5"/>
  <c r="N436" i="5"/>
  <c r="H436" i="5" s="1"/>
  <c r="F437" i="5"/>
  <c r="E437" i="5" s="1"/>
  <c r="G437" i="5"/>
  <c r="H437" i="5"/>
  <c r="I437" i="5"/>
  <c r="J437" i="5"/>
  <c r="K437" i="5"/>
  <c r="L437" i="5"/>
  <c r="N437" i="5"/>
  <c r="F438" i="5"/>
  <c r="E438" i="5" s="1"/>
  <c r="G438" i="5"/>
  <c r="I438" i="5"/>
  <c r="J438" i="5"/>
  <c r="K438" i="5"/>
  <c r="L438" i="5"/>
  <c r="N438" i="5"/>
  <c r="H438" i="5" s="1"/>
  <c r="F439" i="5"/>
  <c r="E439" i="5" s="1"/>
  <c r="G439" i="5"/>
  <c r="I439" i="5"/>
  <c r="J439" i="5"/>
  <c r="K439" i="5"/>
  <c r="L439" i="5"/>
  <c r="N439" i="5"/>
  <c r="H439" i="5" s="1"/>
  <c r="F440" i="5"/>
  <c r="E440" i="5" s="1"/>
  <c r="G440" i="5"/>
  <c r="I440" i="5"/>
  <c r="J440" i="5"/>
  <c r="K440" i="5"/>
  <c r="L440" i="5"/>
  <c r="N440" i="5"/>
  <c r="H440" i="5" s="1"/>
  <c r="F441" i="5"/>
  <c r="E441" i="5" s="1"/>
  <c r="G441" i="5"/>
  <c r="I441" i="5"/>
  <c r="J441" i="5"/>
  <c r="K441" i="5"/>
  <c r="L441" i="5"/>
  <c r="N441" i="5"/>
  <c r="H441" i="5" s="1"/>
  <c r="F442" i="5"/>
  <c r="E442" i="5" s="1"/>
  <c r="G442" i="5"/>
  <c r="I442" i="5"/>
  <c r="J442" i="5"/>
  <c r="K442" i="5"/>
  <c r="L442" i="5"/>
  <c r="N442" i="5"/>
  <c r="H442" i="5" s="1"/>
  <c r="F443" i="5"/>
  <c r="E443" i="5" s="1"/>
  <c r="G443" i="5"/>
  <c r="I443" i="5"/>
  <c r="J443" i="5"/>
  <c r="K443" i="5"/>
  <c r="L443" i="5"/>
  <c r="N443" i="5"/>
  <c r="H443" i="5" s="1"/>
  <c r="F444" i="5"/>
  <c r="E444" i="5" s="1"/>
  <c r="G444" i="5"/>
  <c r="I444" i="5"/>
  <c r="J444" i="5"/>
  <c r="K444" i="5"/>
  <c r="L444" i="5"/>
  <c r="N444" i="5"/>
  <c r="H444" i="5" s="1"/>
  <c r="F445" i="5"/>
  <c r="E445" i="5" s="1"/>
  <c r="G445" i="5"/>
  <c r="I445" i="5"/>
  <c r="J445" i="5"/>
  <c r="K445" i="5"/>
  <c r="L445" i="5"/>
  <c r="N445" i="5"/>
  <c r="H445" i="5" s="1"/>
  <c r="F446" i="5"/>
  <c r="E446" i="5" s="1"/>
  <c r="G446" i="5"/>
  <c r="I446" i="5"/>
  <c r="J446" i="5"/>
  <c r="K446" i="5"/>
  <c r="L446" i="5"/>
  <c r="N446" i="5"/>
  <c r="H446" i="5" s="1"/>
  <c r="F447" i="5"/>
  <c r="E447" i="5" s="1"/>
  <c r="G447" i="5"/>
  <c r="I447" i="5"/>
  <c r="J447" i="5"/>
  <c r="K447" i="5"/>
  <c r="L447" i="5"/>
  <c r="N447" i="5"/>
  <c r="H447" i="5" s="1"/>
  <c r="E448" i="5"/>
  <c r="F448" i="5"/>
  <c r="G448" i="5"/>
  <c r="I448" i="5"/>
  <c r="J448" i="5"/>
  <c r="K448" i="5"/>
  <c r="L448" i="5"/>
  <c r="N448" i="5"/>
  <c r="H448" i="5" s="1"/>
  <c r="F449" i="5"/>
  <c r="E449" i="5" s="1"/>
  <c r="G449" i="5"/>
  <c r="I449" i="5"/>
  <c r="J449" i="5"/>
  <c r="K449" i="5"/>
  <c r="L449" i="5"/>
  <c r="N449" i="5"/>
  <c r="H449" i="5" s="1"/>
  <c r="F450" i="5"/>
  <c r="E450" i="5" s="1"/>
  <c r="G450" i="5"/>
  <c r="I450" i="5"/>
  <c r="J450" i="5"/>
  <c r="K450" i="5"/>
  <c r="L450" i="5"/>
  <c r="N450" i="5"/>
  <c r="H450" i="5" s="1"/>
  <c r="F451" i="5"/>
  <c r="E451" i="5" s="1"/>
  <c r="G451" i="5"/>
  <c r="I451" i="5"/>
  <c r="J451" i="5"/>
  <c r="K451" i="5"/>
  <c r="L451" i="5"/>
  <c r="N451" i="5"/>
  <c r="H451" i="5" s="1"/>
  <c r="F452" i="5"/>
  <c r="E452" i="5" s="1"/>
  <c r="G452" i="5"/>
  <c r="I452" i="5"/>
  <c r="J452" i="5"/>
  <c r="K452" i="5"/>
  <c r="L452" i="5"/>
  <c r="N452" i="5"/>
  <c r="H452" i="5" s="1"/>
  <c r="F453" i="5"/>
  <c r="E453" i="5" s="1"/>
  <c r="G453" i="5"/>
  <c r="I453" i="5"/>
  <c r="J453" i="5"/>
  <c r="K453" i="5"/>
  <c r="L453" i="5"/>
  <c r="N453" i="5"/>
  <c r="H453" i="5" s="1"/>
  <c r="F454" i="5"/>
  <c r="E454" i="5" s="1"/>
  <c r="G454" i="5"/>
  <c r="I454" i="5"/>
  <c r="J454" i="5"/>
  <c r="K454" i="5"/>
  <c r="L454" i="5"/>
  <c r="N454" i="5"/>
  <c r="H454" i="5" s="1"/>
  <c r="F455" i="5"/>
  <c r="E455" i="5" s="1"/>
  <c r="G455" i="5"/>
  <c r="I455" i="5"/>
  <c r="J455" i="5"/>
  <c r="K455" i="5"/>
  <c r="L455" i="5"/>
  <c r="N455" i="5"/>
  <c r="H455" i="5" s="1"/>
  <c r="F456" i="5"/>
  <c r="E456" i="5" s="1"/>
  <c r="G456" i="5"/>
  <c r="I456" i="5"/>
  <c r="J456" i="5"/>
  <c r="K456" i="5"/>
  <c r="L456" i="5"/>
  <c r="N456" i="5"/>
  <c r="H456" i="5" s="1"/>
  <c r="F457" i="5"/>
  <c r="E457" i="5" s="1"/>
  <c r="G457" i="5"/>
  <c r="I457" i="5"/>
  <c r="J457" i="5"/>
  <c r="K457" i="5"/>
  <c r="L457" i="5"/>
  <c r="N457" i="5"/>
  <c r="H457" i="5" s="1"/>
  <c r="F458" i="5"/>
  <c r="E458" i="5" s="1"/>
  <c r="G458" i="5"/>
  <c r="I458" i="5"/>
  <c r="J458" i="5"/>
  <c r="K458" i="5"/>
  <c r="L458" i="5"/>
  <c r="N458" i="5"/>
  <c r="H458" i="5" s="1"/>
  <c r="F459" i="5"/>
  <c r="E459" i="5" s="1"/>
  <c r="G459" i="5"/>
  <c r="I459" i="5"/>
  <c r="J459" i="5"/>
  <c r="K459" i="5"/>
  <c r="L459" i="5"/>
  <c r="N459" i="5"/>
  <c r="H459" i="5" s="1"/>
  <c r="F460" i="5"/>
  <c r="E460" i="5" s="1"/>
  <c r="G460" i="5"/>
  <c r="I460" i="5"/>
  <c r="J460" i="5"/>
  <c r="K460" i="5"/>
  <c r="L460" i="5"/>
  <c r="N460" i="5"/>
  <c r="H460" i="5" s="1"/>
  <c r="F461" i="5"/>
  <c r="E461" i="5" s="1"/>
  <c r="G461" i="5"/>
  <c r="I461" i="5"/>
  <c r="J461" i="5"/>
  <c r="K461" i="5"/>
  <c r="L461" i="5"/>
  <c r="N461" i="5"/>
  <c r="H461" i="5" s="1"/>
  <c r="F462" i="5"/>
  <c r="E462" i="5" s="1"/>
  <c r="G462" i="5"/>
  <c r="I462" i="5"/>
  <c r="J462" i="5"/>
  <c r="K462" i="5"/>
  <c r="L462" i="5"/>
  <c r="N462" i="5"/>
  <c r="H462" i="5" s="1"/>
  <c r="F463" i="5"/>
  <c r="E463" i="5" s="1"/>
  <c r="G463" i="5"/>
  <c r="I463" i="5"/>
  <c r="J463" i="5"/>
  <c r="K463" i="5"/>
  <c r="L463" i="5"/>
  <c r="N463" i="5"/>
  <c r="H463" i="5" s="1"/>
  <c r="F464" i="5"/>
  <c r="E464" i="5" s="1"/>
  <c r="G464" i="5"/>
  <c r="I464" i="5"/>
  <c r="J464" i="5"/>
  <c r="K464" i="5"/>
  <c r="L464" i="5"/>
  <c r="N464" i="5"/>
  <c r="H464" i="5" s="1"/>
  <c r="F465" i="5"/>
  <c r="E465" i="5" s="1"/>
  <c r="G465" i="5"/>
  <c r="I465" i="5"/>
  <c r="J465" i="5"/>
  <c r="K465" i="5"/>
  <c r="L465" i="5"/>
  <c r="N465" i="5"/>
  <c r="H465" i="5" s="1"/>
  <c r="F466" i="5"/>
  <c r="E466" i="5" s="1"/>
  <c r="G466" i="5"/>
  <c r="I466" i="5"/>
  <c r="J466" i="5"/>
  <c r="K466" i="5"/>
  <c r="L466" i="5"/>
  <c r="N466" i="5"/>
  <c r="H466" i="5" s="1"/>
  <c r="F467" i="5"/>
  <c r="E467" i="5" s="1"/>
  <c r="G467" i="5"/>
  <c r="I467" i="5"/>
  <c r="J467" i="5"/>
  <c r="K467" i="5"/>
  <c r="L467" i="5"/>
  <c r="N467" i="5"/>
  <c r="H467" i="5" s="1"/>
  <c r="F468" i="5"/>
  <c r="E468" i="5" s="1"/>
  <c r="G468" i="5"/>
  <c r="I468" i="5"/>
  <c r="J468" i="5"/>
  <c r="K468" i="5"/>
  <c r="L468" i="5"/>
  <c r="N468" i="5"/>
  <c r="H468" i="5" s="1"/>
  <c r="F469" i="5"/>
  <c r="E469" i="5" s="1"/>
  <c r="G469" i="5"/>
  <c r="I469" i="5"/>
  <c r="J469" i="5"/>
  <c r="K469" i="5"/>
  <c r="L469" i="5"/>
  <c r="N469" i="5"/>
  <c r="H469" i="5" s="1"/>
  <c r="F470" i="5"/>
  <c r="E470" i="5" s="1"/>
  <c r="G470" i="5"/>
  <c r="I470" i="5"/>
  <c r="J470" i="5"/>
  <c r="K470" i="5"/>
  <c r="L470" i="5"/>
  <c r="N470" i="5"/>
  <c r="H470" i="5" s="1"/>
  <c r="E471" i="5"/>
  <c r="F471" i="5"/>
  <c r="G471" i="5"/>
  <c r="I471" i="5"/>
  <c r="J471" i="5"/>
  <c r="K471" i="5"/>
  <c r="L471" i="5"/>
  <c r="N471" i="5"/>
  <c r="H471" i="5" s="1"/>
  <c r="F472" i="5"/>
  <c r="E472" i="5" s="1"/>
  <c r="G472" i="5"/>
  <c r="I472" i="5"/>
  <c r="J472" i="5"/>
  <c r="K472" i="5"/>
  <c r="L472" i="5"/>
  <c r="N472" i="5"/>
  <c r="H472" i="5" s="1"/>
  <c r="F473" i="5"/>
  <c r="E473" i="5" s="1"/>
  <c r="G473" i="5"/>
  <c r="I473" i="5"/>
  <c r="J473" i="5"/>
  <c r="K473" i="5"/>
  <c r="L473" i="5"/>
  <c r="N473" i="5"/>
  <c r="H473" i="5" s="1"/>
  <c r="F474" i="5"/>
  <c r="E474" i="5" s="1"/>
  <c r="G474" i="5"/>
  <c r="I474" i="5"/>
  <c r="J474" i="5"/>
  <c r="K474" i="5"/>
  <c r="L474" i="5"/>
  <c r="N474" i="5"/>
  <c r="H474" i="5" s="1"/>
  <c r="F475" i="5"/>
  <c r="E475" i="5" s="1"/>
  <c r="G475" i="5"/>
  <c r="I475" i="5"/>
  <c r="J475" i="5"/>
  <c r="K475" i="5"/>
  <c r="L475" i="5"/>
  <c r="N475" i="5"/>
  <c r="H475" i="5" s="1"/>
  <c r="F476" i="5"/>
  <c r="E476" i="5" s="1"/>
  <c r="G476" i="5"/>
  <c r="I476" i="5"/>
  <c r="J476" i="5"/>
  <c r="K476" i="5"/>
  <c r="L476" i="5"/>
  <c r="N476" i="5"/>
  <c r="H476" i="5" s="1"/>
  <c r="F477" i="5"/>
  <c r="E477" i="5" s="1"/>
  <c r="G477" i="5"/>
  <c r="I477" i="5"/>
  <c r="J477" i="5"/>
  <c r="K477" i="5"/>
  <c r="L477" i="5"/>
  <c r="N477" i="5"/>
  <c r="H477" i="5" s="1"/>
  <c r="F478" i="5"/>
  <c r="E478" i="5" s="1"/>
  <c r="G478" i="5"/>
  <c r="I478" i="5"/>
  <c r="J478" i="5"/>
  <c r="K478" i="5"/>
  <c r="L478" i="5"/>
  <c r="N478" i="5"/>
  <c r="H478" i="5" s="1"/>
  <c r="F479" i="5"/>
  <c r="E479" i="5" s="1"/>
  <c r="G479" i="5"/>
  <c r="I479" i="5"/>
  <c r="J479" i="5"/>
  <c r="K479" i="5"/>
  <c r="L479" i="5"/>
  <c r="N479" i="5"/>
  <c r="H479" i="5" s="1"/>
  <c r="F480" i="5"/>
  <c r="E480" i="5" s="1"/>
  <c r="G480" i="5"/>
  <c r="I480" i="5"/>
  <c r="J480" i="5"/>
  <c r="K480" i="5"/>
  <c r="L480" i="5"/>
  <c r="N480" i="5"/>
  <c r="H480" i="5" s="1"/>
  <c r="F481" i="5"/>
  <c r="E481" i="5" s="1"/>
  <c r="G481" i="5"/>
  <c r="I481" i="5"/>
  <c r="J481" i="5"/>
  <c r="K481" i="5"/>
  <c r="L481" i="5"/>
  <c r="N481" i="5"/>
  <c r="H481" i="5" s="1"/>
  <c r="F482" i="5"/>
  <c r="E482" i="5" s="1"/>
  <c r="G482" i="5"/>
  <c r="I482" i="5"/>
  <c r="J482" i="5"/>
  <c r="K482" i="5"/>
  <c r="L482" i="5"/>
  <c r="N482" i="5"/>
  <c r="H482" i="5" s="1"/>
  <c r="F483" i="5"/>
  <c r="E483" i="5" s="1"/>
  <c r="G483" i="5"/>
  <c r="I483" i="5"/>
  <c r="J483" i="5"/>
  <c r="K483" i="5"/>
  <c r="L483" i="5"/>
  <c r="N483" i="5"/>
  <c r="H483" i="5" s="1"/>
  <c r="F484" i="5"/>
  <c r="E484" i="5" s="1"/>
  <c r="G484" i="5"/>
  <c r="I484" i="5"/>
  <c r="J484" i="5"/>
  <c r="K484" i="5"/>
  <c r="L484" i="5"/>
  <c r="N484" i="5"/>
  <c r="H484" i="5" s="1"/>
  <c r="F485" i="5"/>
  <c r="E485" i="5" s="1"/>
  <c r="G485" i="5"/>
  <c r="I485" i="5"/>
  <c r="J485" i="5"/>
  <c r="K485" i="5"/>
  <c r="L485" i="5"/>
  <c r="N485" i="5"/>
  <c r="H485" i="5" s="1"/>
  <c r="F486" i="5"/>
  <c r="E486" i="5" s="1"/>
  <c r="G486" i="5"/>
  <c r="I486" i="5"/>
  <c r="J486" i="5"/>
  <c r="K486" i="5"/>
  <c r="L486" i="5"/>
  <c r="N486" i="5"/>
  <c r="H486" i="5" s="1"/>
  <c r="F487" i="5"/>
  <c r="E487" i="5" s="1"/>
  <c r="G487" i="5"/>
  <c r="I487" i="5"/>
  <c r="J487" i="5"/>
  <c r="K487" i="5"/>
  <c r="L487" i="5"/>
  <c r="N487" i="5"/>
  <c r="H487" i="5" s="1"/>
  <c r="F488" i="5"/>
  <c r="E488" i="5" s="1"/>
  <c r="G488" i="5"/>
  <c r="I488" i="5"/>
  <c r="J488" i="5"/>
  <c r="K488" i="5"/>
  <c r="L488" i="5"/>
  <c r="N488" i="5"/>
  <c r="H488" i="5" s="1"/>
  <c r="F489" i="5"/>
  <c r="E489" i="5" s="1"/>
  <c r="G489" i="5"/>
  <c r="I489" i="5"/>
  <c r="J489" i="5"/>
  <c r="K489" i="5"/>
  <c r="L489" i="5"/>
  <c r="N489" i="5"/>
  <c r="H489" i="5" s="1"/>
  <c r="F490" i="5"/>
  <c r="E490" i="5" s="1"/>
  <c r="G490" i="5"/>
  <c r="I490" i="5"/>
  <c r="J490" i="5"/>
  <c r="K490" i="5"/>
  <c r="L490" i="5"/>
  <c r="N490" i="5"/>
  <c r="H490" i="5" s="1"/>
  <c r="F491" i="5"/>
  <c r="E491" i="5" s="1"/>
  <c r="G491" i="5"/>
  <c r="I491" i="5"/>
  <c r="J491" i="5"/>
  <c r="K491" i="5"/>
  <c r="L491" i="5"/>
  <c r="N491" i="5"/>
  <c r="H491" i="5" s="1"/>
  <c r="F492" i="5"/>
  <c r="E492" i="5" s="1"/>
  <c r="G492" i="5"/>
  <c r="I492" i="5"/>
  <c r="J492" i="5"/>
  <c r="K492" i="5"/>
  <c r="L492" i="5"/>
  <c r="N492" i="5"/>
  <c r="H492" i="5" s="1"/>
  <c r="F493" i="5"/>
  <c r="E493" i="5" s="1"/>
  <c r="G493" i="5"/>
  <c r="I493" i="5"/>
  <c r="J493" i="5"/>
  <c r="K493" i="5"/>
  <c r="L493" i="5"/>
  <c r="N493" i="5"/>
  <c r="H493" i="5" s="1"/>
  <c r="F494" i="5"/>
  <c r="E494" i="5" s="1"/>
  <c r="G494" i="5"/>
  <c r="I494" i="5"/>
  <c r="J494" i="5"/>
  <c r="K494" i="5"/>
  <c r="L494" i="5"/>
  <c r="N494" i="5"/>
  <c r="H494" i="5" s="1"/>
  <c r="F495" i="5"/>
  <c r="E495" i="5" s="1"/>
  <c r="G495" i="5"/>
  <c r="I495" i="5"/>
  <c r="J495" i="5"/>
  <c r="K495" i="5"/>
  <c r="L495" i="5"/>
  <c r="N495" i="5"/>
  <c r="H495" i="5" s="1"/>
  <c r="F496" i="5"/>
  <c r="E496" i="5" s="1"/>
  <c r="G496" i="5"/>
  <c r="I496" i="5"/>
  <c r="J496" i="5"/>
  <c r="K496" i="5"/>
  <c r="L496" i="5"/>
  <c r="N496" i="5"/>
  <c r="H496" i="5" s="1"/>
  <c r="F497" i="5"/>
  <c r="E497" i="5" s="1"/>
  <c r="G497" i="5"/>
  <c r="I497" i="5"/>
  <c r="J497" i="5"/>
  <c r="K497" i="5"/>
  <c r="L497" i="5"/>
  <c r="N497" i="5"/>
  <c r="H497" i="5" s="1"/>
  <c r="F498" i="5"/>
  <c r="E498" i="5" s="1"/>
  <c r="G498" i="5"/>
  <c r="I498" i="5"/>
  <c r="J498" i="5"/>
  <c r="K498" i="5"/>
  <c r="L498" i="5"/>
  <c r="N498" i="5"/>
  <c r="H498" i="5" s="1"/>
  <c r="F499" i="5"/>
  <c r="E499" i="5" s="1"/>
  <c r="G499" i="5"/>
  <c r="I499" i="5"/>
  <c r="J499" i="5"/>
  <c r="K499" i="5"/>
  <c r="L499" i="5"/>
  <c r="N499" i="5"/>
  <c r="H499" i="5" s="1"/>
  <c r="F500" i="5"/>
  <c r="E500" i="5" s="1"/>
  <c r="G500" i="5"/>
  <c r="I500" i="5"/>
  <c r="J500" i="5"/>
  <c r="K500" i="5"/>
  <c r="L500" i="5"/>
  <c r="N500" i="5"/>
  <c r="H500" i="5" s="1"/>
  <c r="F501" i="5"/>
  <c r="E501" i="5" s="1"/>
  <c r="G501" i="5"/>
  <c r="I501" i="5"/>
  <c r="J501" i="5"/>
  <c r="K501" i="5"/>
  <c r="L501" i="5"/>
  <c r="N501" i="5"/>
  <c r="H501" i="5" s="1"/>
  <c r="F502" i="5"/>
  <c r="E502" i="5" s="1"/>
  <c r="G502" i="5"/>
  <c r="I502" i="5"/>
  <c r="J502" i="5"/>
  <c r="K502" i="5"/>
  <c r="L502" i="5"/>
  <c r="N502" i="5"/>
  <c r="H502" i="5" s="1"/>
  <c r="F503" i="5"/>
  <c r="E503" i="5" s="1"/>
  <c r="G503" i="5"/>
  <c r="I503" i="5"/>
  <c r="J503" i="5"/>
  <c r="K503" i="5"/>
  <c r="L503" i="5"/>
  <c r="N503" i="5"/>
  <c r="H503" i="5" s="1"/>
  <c r="F504" i="5"/>
  <c r="E504" i="5" s="1"/>
  <c r="G504" i="5"/>
  <c r="I504" i="5"/>
  <c r="J504" i="5"/>
  <c r="K504" i="5"/>
  <c r="L504" i="5"/>
  <c r="N504" i="5"/>
  <c r="H504" i="5" s="1"/>
  <c r="F505" i="5"/>
  <c r="E505" i="5" s="1"/>
  <c r="G505" i="5"/>
  <c r="I505" i="5"/>
  <c r="J505" i="5"/>
  <c r="K505" i="5"/>
  <c r="L505" i="5"/>
  <c r="N505" i="5"/>
  <c r="H505" i="5" s="1"/>
  <c r="F506" i="5"/>
  <c r="E506" i="5" s="1"/>
  <c r="G506" i="5"/>
  <c r="I506" i="5"/>
  <c r="J506" i="5"/>
  <c r="K506" i="5"/>
  <c r="L506" i="5"/>
  <c r="N506" i="5"/>
  <c r="H506" i="5" s="1"/>
  <c r="F507" i="5"/>
  <c r="E507" i="5" s="1"/>
  <c r="G507" i="5"/>
  <c r="I507" i="5"/>
  <c r="J507" i="5"/>
  <c r="K507" i="5"/>
  <c r="L507" i="5"/>
  <c r="N507" i="5"/>
  <c r="H507" i="5" s="1"/>
  <c r="F508" i="5"/>
  <c r="E508" i="5" s="1"/>
  <c r="G508" i="5"/>
  <c r="I508" i="5"/>
  <c r="J508" i="5"/>
  <c r="K508" i="5"/>
  <c r="L508" i="5"/>
  <c r="N508" i="5"/>
  <c r="H508" i="5" s="1"/>
  <c r="F509" i="5"/>
  <c r="E509" i="5" s="1"/>
  <c r="G509" i="5"/>
  <c r="I509" i="5"/>
  <c r="J509" i="5"/>
  <c r="K509" i="5"/>
  <c r="L509" i="5"/>
  <c r="N509" i="5"/>
  <c r="H509" i="5" s="1"/>
  <c r="F510" i="5"/>
  <c r="E510" i="5" s="1"/>
  <c r="G510" i="5"/>
  <c r="I510" i="5"/>
  <c r="J510" i="5"/>
  <c r="K510" i="5"/>
  <c r="L510" i="5"/>
  <c r="N510" i="5"/>
  <c r="H510" i="5" s="1"/>
  <c r="F511" i="5"/>
  <c r="E511" i="5" s="1"/>
  <c r="G511" i="5"/>
  <c r="I511" i="5"/>
  <c r="J511" i="5"/>
  <c r="K511" i="5"/>
  <c r="L511" i="5"/>
  <c r="N511" i="5"/>
  <c r="H511" i="5" s="1"/>
  <c r="F512" i="5"/>
  <c r="E512" i="5" s="1"/>
  <c r="G512" i="5"/>
  <c r="I512" i="5"/>
  <c r="J512" i="5"/>
  <c r="K512" i="5"/>
  <c r="L512" i="5"/>
  <c r="N512" i="5"/>
  <c r="H512" i="5" s="1"/>
  <c r="F513" i="5"/>
  <c r="E513" i="5" s="1"/>
  <c r="G513" i="5"/>
  <c r="I513" i="5"/>
  <c r="J513" i="5"/>
  <c r="K513" i="5"/>
  <c r="L513" i="5"/>
  <c r="N513" i="5"/>
  <c r="H513" i="5" s="1"/>
  <c r="F514" i="5"/>
  <c r="E514" i="5" s="1"/>
  <c r="G514" i="5"/>
  <c r="I514" i="5"/>
  <c r="J514" i="5"/>
  <c r="K514" i="5"/>
  <c r="L514" i="5"/>
  <c r="N514" i="5"/>
  <c r="H514" i="5" s="1"/>
  <c r="F515" i="5"/>
  <c r="E515" i="5" s="1"/>
  <c r="G515" i="5"/>
  <c r="I515" i="5"/>
  <c r="J515" i="5"/>
  <c r="K515" i="5"/>
  <c r="L515" i="5"/>
  <c r="N515" i="5"/>
  <c r="H515" i="5" s="1"/>
  <c r="F516" i="5"/>
  <c r="E516" i="5" s="1"/>
  <c r="G516" i="5"/>
  <c r="I516" i="5"/>
  <c r="J516" i="5"/>
  <c r="K516" i="5"/>
  <c r="L516" i="5"/>
  <c r="N516" i="5"/>
  <c r="H516" i="5" s="1"/>
  <c r="E517" i="5"/>
  <c r="F517" i="5"/>
  <c r="G517" i="5"/>
  <c r="I517" i="5"/>
  <c r="J517" i="5"/>
  <c r="K517" i="5"/>
  <c r="L517" i="5"/>
  <c r="N517" i="5"/>
  <c r="H517" i="5" s="1"/>
  <c r="F518" i="5"/>
  <c r="E518" i="5" s="1"/>
  <c r="G518" i="5"/>
  <c r="I518" i="5"/>
  <c r="J518" i="5"/>
  <c r="K518" i="5"/>
  <c r="L518" i="5"/>
  <c r="N518" i="5"/>
  <c r="H518" i="5" s="1"/>
  <c r="F519" i="5"/>
  <c r="E519" i="5" s="1"/>
  <c r="G519" i="5"/>
  <c r="I519" i="5"/>
  <c r="J519" i="5"/>
  <c r="K519" i="5"/>
  <c r="L519" i="5"/>
  <c r="N519" i="5"/>
  <c r="H519" i="5" s="1"/>
  <c r="F520" i="5"/>
  <c r="E520" i="5" s="1"/>
  <c r="G520" i="5"/>
  <c r="I520" i="5"/>
  <c r="J520" i="5"/>
  <c r="K520" i="5"/>
  <c r="L520" i="5"/>
  <c r="N520" i="5"/>
  <c r="H520" i="5" s="1"/>
  <c r="F521" i="5"/>
  <c r="E521" i="5" s="1"/>
  <c r="G521" i="5"/>
  <c r="I521" i="5"/>
  <c r="J521" i="5"/>
  <c r="K521" i="5"/>
  <c r="L521" i="5"/>
  <c r="N521" i="5"/>
  <c r="H521" i="5" s="1"/>
  <c r="F522" i="5"/>
  <c r="E522" i="5" s="1"/>
  <c r="G522" i="5"/>
  <c r="I522" i="5"/>
  <c r="J522" i="5"/>
  <c r="K522" i="5"/>
  <c r="L522" i="5"/>
  <c r="N522" i="5"/>
  <c r="H522" i="5" s="1"/>
  <c r="F523" i="5"/>
  <c r="E523" i="5" s="1"/>
  <c r="G523" i="5"/>
  <c r="I523" i="5"/>
  <c r="J523" i="5"/>
  <c r="K523" i="5"/>
  <c r="L523" i="5"/>
  <c r="N523" i="5"/>
  <c r="H523" i="5" s="1"/>
  <c r="F524" i="5"/>
  <c r="E524" i="5" s="1"/>
  <c r="G524" i="5"/>
  <c r="I524" i="5"/>
  <c r="J524" i="5"/>
  <c r="K524" i="5"/>
  <c r="L524" i="5"/>
  <c r="N524" i="5"/>
  <c r="H524" i="5" s="1"/>
  <c r="F525" i="5"/>
  <c r="E525" i="5" s="1"/>
  <c r="G525" i="5"/>
  <c r="I525" i="5"/>
  <c r="J525" i="5"/>
  <c r="K525" i="5"/>
  <c r="L525" i="5"/>
  <c r="N525" i="5"/>
  <c r="H525" i="5" s="1"/>
  <c r="F526" i="5"/>
  <c r="E526" i="5" s="1"/>
  <c r="G526" i="5"/>
  <c r="I526" i="5"/>
  <c r="J526" i="5"/>
  <c r="K526" i="5"/>
  <c r="L526" i="5"/>
  <c r="N526" i="5"/>
  <c r="H526" i="5" s="1"/>
  <c r="F527" i="5"/>
  <c r="E527" i="5" s="1"/>
  <c r="G527" i="5"/>
  <c r="I527" i="5"/>
  <c r="J527" i="5"/>
  <c r="K527" i="5"/>
  <c r="L527" i="5"/>
  <c r="N527" i="5"/>
  <c r="H527" i="5" s="1"/>
  <c r="F528" i="5"/>
  <c r="E528" i="5" s="1"/>
  <c r="G528" i="5"/>
  <c r="I528" i="5"/>
  <c r="J528" i="5"/>
  <c r="K528" i="5"/>
  <c r="L528" i="5"/>
  <c r="N528" i="5"/>
  <c r="H528" i="5" s="1"/>
  <c r="F529" i="5"/>
  <c r="E529" i="5" s="1"/>
  <c r="G529" i="5"/>
  <c r="I529" i="5"/>
  <c r="J529" i="5"/>
  <c r="K529" i="5"/>
  <c r="L529" i="5"/>
  <c r="N529" i="5"/>
  <c r="H529" i="5" s="1"/>
  <c r="F530" i="5"/>
  <c r="E530" i="5" s="1"/>
  <c r="G530" i="5"/>
  <c r="I530" i="5"/>
  <c r="J530" i="5"/>
  <c r="K530" i="5"/>
  <c r="L530" i="5"/>
  <c r="N530" i="5"/>
  <c r="H530" i="5" s="1"/>
  <c r="F531" i="5"/>
  <c r="E531" i="5" s="1"/>
  <c r="G531" i="5"/>
  <c r="I531" i="5"/>
  <c r="J531" i="5"/>
  <c r="K531" i="5"/>
  <c r="L531" i="5"/>
  <c r="N531" i="5"/>
  <c r="H531" i="5" s="1"/>
  <c r="F532" i="5"/>
  <c r="E532" i="5" s="1"/>
  <c r="G532" i="5"/>
  <c r="I532" i="5"/>
  <c r="J532" i="5"/>
  <c r="K532" i="5"/>
  <c r="L532" i="5"/>
  <c r="N532" i="5"/>
  <c r="H532" i="5" s="1"/>
  <c r="F533" i="5"/>
  <c r="E533" i="5" s="1"/>
  <c r="G533" i="5"/>
  <c r="I533" i="5"/>
  <c r="J533" i="5"/>
  <c r="K533" i="5"/>
  <c r="L533" i="5"/>
  <c r="N533" i="5"/>
  <c r="H533" i="5" s="1"/>
  <c r="F534" i="5"/>
  <c r="E534" i="5" s="1"/>
  <c r="G534" i="5"/>
  <c r="I534" i="5"/>
  <c r="J534" i="5"/>
  <c r="K534" i="5"/>
  <c r="L534" i="5"/>
  <c r="N534" i="5"/>
  <c r="H534" i="5" s="1"/>
  <c r="F535" i="5"/>
  <c r="E535" i="5" s="1"/>
  <c r="G535" i="5"/>
  <c r="I535" i="5"/>
  <c r="J535" i="5"/>
  <c r="K535" i="5"/>
  <c r="L535" i="5"/>
  <c r="N535" i="5"/>
  <c r="H535" i="5" s="1"/>
  <c r="F536" i="5"/>
  <c r="E536" i="5" s="1"/>
  <c r="G536" i="5"/>
  <c r="I536" i="5"/>
  <c r="J536" i="5"/>
  <c r="K536" i="5"/>
  <c r="L536" i="5"/>
  <c r="N536" i="5"/>
  <c r="H536" i="5" s="1"/>
  <c r="F537" i="5"/>
  <c r="E537" i="5" s="1"/>
  <c r="G537" i="5"/>
  <c r="I537" i="5"/>
  <c r="J537" i="5"/>
  <c r="K537" i="5"/>
  <c r="L537" i="5"/>
  <c r="N537" i="5"/>
  <c r="H537" i="5" s="1"/>
  <c r="F538" i="5"/>
  <c r="E538" i="5" s="1"/>
  <c r="G538" i="5"/>
  <c r="I538" i="5"/>
  <c r="J538" i="5"/>
  <c r="K538" i="5"/>
  <c r="L538" i="5"/>
  <c r="N538" i="5"/>
  <c r="H538" i="5" s="1"/>
  <c r="F539" i="5"/>
  <c r="E539" i="5" s="1"/>
  <c r="G539" i="5"/>
  <c r="I539" i="5"/>
  <c r="J539" i="5"/>
  <c r="K539" i="5"/>
  <c r="L539" i="5"/>
  <c r="N539" i="5"/>
  <c r="H539" i="5" s="1"/>
  <c r="F540" i="5"/>
  <c r="E540" i="5" s="1"/>
  <c r="G540" i="5"/>
  <c r="I540" i="5"/>
  <c r="J540" i="5"/>
  <c r="K540" i="5"/>
  <c r="L540" i="5"/>
  <c r="N540" i="5"/>
  <c r="H540" i="5" s="1"/>
  <c r="F541" i="5"/>
  <c r="E541" i="5" s="1"/>
  <c r="G541" i="5"/>
  <c r="I541" i="5"/>
  <c r="J541" i="5"/>
  <c r="K541" i="5"/>
  <c r="L541" i="5"/>
  <c r="N541" i="5"/>
  <c r="H541" i="5" s="1"/>
  <c r="F542" i="5"/>
  <c r="E542" i="5" s="1"/>
  <c r="G542" i="5"/>
  <c r="I542" i="5"/>
  <c r="J542" i="5"/>
  <c r="K542" i="5"/>
  <c r="L542" i="5"/>
  <c r="N542" i="5"/>
  <c r="H542" i="5" s="1"/>
  <c r="F543" i="5"/>
  <c r="E543" i="5" s="1"/>
  <c r="G543" i="5"/>
  <c r="I543" i="5"/>
  <c r="J543" i="5"/>
  <c r="K543" i="5"/>
  <c r="L543" i="5"/>
  <c r="N543" i="5"/>
  <c r="H543" i="5" s="1"/>
  <c r="F544" i="5"/>
  <c r="E544" i="5" s="1"/>
  <c r="G544" i="5"/>
  <c r="I544" i="5"/>
  <c r="J544" i="5"/>
  <c r="K544" i="5"/>
  <c r="L544" i="5"/>
  <c r="N544" i="5"/>
  <c r="H544" i="5" s="1"/>
  <c r="F545" i="5"/>
  <c r="E545" i="5" s="1"/>
  <c r="G545" i="5"/>
  <c r="I545" i="5"/>
  <c r="J545" i="5"/>
  <c r="K545" i="5"/>
  <c r="L545" i="5"/>
  <c r="N545" i="5"/>
  <c r="H545" i="5" s="1"/>
  <c r="F546" i="5"/>
  <c r="E546" i="5" s="1"/>
  <c r="G546" i="5"/>
  <c r="I546" i="5"/>
  <c r="J546" i="5"/>
  <c r="K546" i="5"/>
  <c r="L546" i="5"/>
  <c r="N546" i="5"/>
  <c r="H546" i="5" s="1"/>
  <c r="F547" i="5"/>
  <c r="E547" i="5" s="1"/>
  <c r="G547" i="5"/>
  <c r="I547" i="5"/>
  <c r="J547" i="5"/>
  <c r="K547" i="5"/>
  <c r="L547" i="5"/>
  <c r="N547" i="5"/>
  <c r="H547" i="5" s="1"/>
  <c r="F548" i="5"/>
  <c r="E548" i="5" s="1"/>
  <c r="G548" i="5"/>
  <c r="I548" i="5"/>
  <c r="J548" i="5"/>
  <c r="K548" i="5"/>
  <c r="L548" i="5"/>
  <c r="N548" i="5"/>
  <c r="H548" i="5" s="1"/>
  <c r="F549" i="5"/>
  <c r="E549" i="5" s="1"/>
  <c r="G549" i="5"/>
  <c r="I549" i="5"/>
  <c r="J549" i="5"/>
  <c r="K549" i="5"/>
  <c r="L549" i="5"/>
  <c r="N549" i="5"/>
  <c r="H549" i="5" s="1"/>
  <c r="F550" i="5"/>
  <c r="E550" i="5" s="1"/>
  <c r="G550" i="5"/>
  <c r="I550" i="5"/>
  <c r="J550" i="5"/>
  <c r="K550" i="5"/>
  <c r="L550" i="5"/>
  <c r="N550" i="5"/>
  <c r="H550" i="5" s="1"/>
  <c r="F551" i="5"/>
  <c r="E551" i="5" s="1"/>
  <c r="G551" i="5"/>
  <c r="I551" i="5"/>
  <c r="J551" i="5"/>
  <c r="K551" i="5"/>
  <c r="L551" i="5"/>
  <c r="N551" i="5"/>
  <c r="H551" i="5" s="1"/>
  <c r="F552" i="5"/>
  <c r="E552" i="5" s="1"/>
  <c r="G552" i="5"/>
  <c r="I552" i="5"/>
  <c r="J552" i="5"/>
  <c r="K552" i="5"/>
  <c r="L552" i="5"/>
  <c r="N552" i="5"/>
  <c r="H552" i="5" s="1"/>
  <c r="F553" i="5"/>
  <c r="E553" i="5" s="1"/>
  <c r="G553" i="5"/>
  <c r="I553" i="5"/>
  <c r="J553" i="5"/>
  <c r="K553" i="5"/>
  <c r="L553" i="5"/>
  <c r="N553" i="5"/>
  <c r="H553" i="5" s="1"/>
  <c r="F554" i="5"/>
  <c r="E554" i="5" s="1"/>
  <c r="G554" i="5"/>
  <c r="I554" i="5"/>
  <c r="J554" i="5"/>
  <c r="K554" i="5"/>
  <c r="L554" i="5"/>
  <c r="N554" i="5"/>
  <c r="H554" i="5" s="1"/>
  <c r="F555" i="5"/>
  <c r="E555" i="5" s="1"/>
  <c r="G555" i="5"/>
  <c r="I555" i="5"/>
  <c r="J555" i="5"/>
  <c r="K555" i="5"/>
  <c r="L555" i="5"/>
  <c r="N555" i="5"/>
  <c r="H555" i="5" s="1"/>
  <c r="F556" i="5"/>
  <c r="E556" i="5" s="1"/>
  <c r="G556" i="5"/>
  <c r="I556" i="5"/>
  <c r="J556" i="5"/>
  <c r="K556" i="5"/>
  <c r="L556" i="5"/>
  <c r="N556" i="5"/>
  <c r="H556" i="5" s="1"/>
  <c r="F557" i="5"/>
  <c r="E557" i="5" s="1"/>
  <c r="G557" i="5"/>
  <c r="I557" i="5"/>
  <c r="J557" i="5"/>
  <c r="K557" i="5"/>
  <c r="L557" i="5"/>
  <c r="N557" i="5"/>
  <c r="H557" i="5" s="1"/>
  <c r="F558" i="5"/>
  <c r="E558" i="5" s="1"/>
  <c r="G558" i="5"/>
  <c r="I558" i="5"/>
  <c r="J558" i="5"/>
  <c r="K558" i="5"/>
  <c r="L558" i="5"/>
  <c r="N558" i="5"/>
  <c r="H558" i="5" s="1"/>
  <c r="F559" i="5"/>
  <c r="E559" i="5" s="1"/>
  <c r="G559" i="5"/>
  <c r="I559" i="5"/>
  <c r="J559" i="5"/>
  <c r="K559" i="5"/>
  <c r="L559" i="5"/>
  <c r="N559" i="5"/>
  <c r="H559" i="5" s="1"/>
  <c r="F560" i="5"/>
  <c r="E560" i="5" s="1"/>
  <c r="G560" i="5"/>
  <c r="I560" i="5"/>
  <c r="J560" i="5"/>
  <c r="K560" i="5"/>
  <c r="L560" i="5"/>
  <c r="N560" i="5"/>
  <c r="H560" i="5" s="1"/>
  <c r="F561" i="5"/>
  <c r="E561" i="5" s="1"/>
  <c r="G561" i="5"/>
  <c r="I561" i="5"/>
  <c r="J561" i="5"/>
  <c r="K561" i="5"/>
  <c r="L561" i="5"/>
  <c r="N561" i="5"/>
  <c r="H561" i="5" s="1"/>
  <c r="F562" i="5"/>
  <c r="E562" i="5" s="1"/>
  <c r="G562" i="5"/>
  <c r="I562" i="5"/>
  <c r="J562" i="5"/>
  <c r="K562" i="5"/>
  <c r="L562" i="5"/>
  <c r="N562" i="5"/>
  <c r="H562" i="5" s="1"/>
  <c r="F563" i="5"/>
  <c r="E563" i="5" s="1"/>
  <c r="G563" i="5"/>
  <c r="I563" i="5"/>
  <c r="J563" i="5"/>
  <c r="K563" i="5"/>
  <c r="L563" i="5"/>
  <c r="N563" i="5"/>
  <c r="H563" i="5" s="1"/>
  <c r="F564" i="5"/>
  <c r="E564" i="5" s="1"/>
  <c r="G564" i="5"/>
  <c r="I564" i="5"/>
  <c r="J564" i="5"/>
  <c r="K564" i="5"/>
  <c r="L564" i="5"/>
  <c r="N564" i="5"/>
  <c r="H564" i="5" s="1"/>
  <c r="F565" i="5"/>
  <c r="E565" i="5" s="1"/>
  <c r="G565" i="5"/>
  <c r="I565" i="5"/>
  <c r="J565" i="5"/>
  <c r="K565" i="5"/>
  <c r="L565" i="5"/>
  <c r="N565" i="5"/>
  <c r="H565" i="5" s="1"/>
  <c r="F566" i="5"/>
  <c r="E566" i="5" s="1"/>
  <c r="G566" i="5"/>
  <c r="I566" i="5"/>
  <c r="J566" i="5"/>
  <c r="K566" i="5"/>
  <c r="L566" i="5"/>
  <c r="N566" i="5"/>
  <c r="H566" i="5" s="1"/>
  <c r="F567" i="5"/>
  <c r="E567" i="5" s="1"/>
  <c r="G567" i="5"/>
  <c r="I567" i="5"/>
  <c r="J567" i="5"/>
  <c r="K567" i="5"/>
  <c r="L567" i="5"/>
  <c r="N567" i="5"/>
  <c r="H567" i="5" s="1"/>
  <c r="F568" i="5"/>
  <c r="E568" i="5" s="1"/>
  <c r="G568" i="5"/>
  <c r="I568" i="5"/>
  <c r="J568" i="5"/>
  <c r="K568" i="5"/>
  <c r="L568" i="5"/>
  <c r="N568" i="5"/>
  <c r="H568" i="5" s="1"/>
  <c r="F569" i="5"/>
  <c r="E569" i="5" s="1"/>
  <c r="G569" i="5"/>
  <c r="I569" i="5"/>
  <c r="J569" i="5"/>
  <c r="K569" i="5"/>
  <c r="L569" i="5"/>
  <c r="N569" i="5"/>
  <c r="H569" i="5" s="1"/>
  <c r="F570" i="5"/>
  <c r="E570" i="5" s="1"/>
  <c r="G570" i="5"/>
  <c r="I570" i="5"/>
  <c r="J570" i="5"/>
  <c r="K570" i="5"/>
  <c r="L570" i="5"/>
  <c r="N570" i="5"/>
  <c r="H570" i="5" s="1"/>
  <c r="F571" i="5"/>
  <c r="E571" i="5" s="1"/>
  <c r="G571" i="5"/>
  <c r="I571" i="5"/>
  <c r="J571" i="5"/>
  <c r="K571" i="5"/>
  <c r="L571" i="5"/>
  <c r="N571" i="5"/>
  <c r="H571" i="5" s="1"/>
  <c r="F572" i="5"/>
  <c r="E572" i="5" s="1"/>
  <c r="G572" i="5"/>
  <c r="I572" i="5"/>
  <c r="J572" i="5"/>
  <c r="K572" i="5"/>
  <c r="L572" i="5"/>
  <c r="N572" i="5"/>
  <c r="H572" i="5" s="1"/>
  <c r="F573" i="5"/>
  <c r="E573" i="5" s="1"/>
  <c r="G573" i="5"/>
  <c r="I573" i="5"/>
  <c r="J573" i="5"/>
  <c r="K573" i="5"/>
  <c r="L573" i="5"/>
  <c r="N573" i="5"/>
  <c r="H573" i="5" s="1"/>
  <c r="F574" i="5"/>
  <c r="E574" i="5" s="1"/>
  <c r="G574" i="5"/>
  <c r="I574" i="5"/>
  <c r="J574" i="5"/>
  <c r="K574" i="5"/>
  <c r="L574" i="5"/>
  <c r="N574" i="5"/>
  <c r="H574" i="5" s="1"/>
  <c r="F575" i="5"/>
  <c r="E575" i="5" s="1"/>
  <c r="G575" i="5"/>
  <c r="I575" i="5"/>
  <c r="J575" i="5"/>
  <c r="K575" i="5"/>
  <c r="L575" i="5"/>
  <c r="N575" i="5"/>
  <c r="H575" i="5" s="1"/>
  <c r="F576" i="5"/>
  <c r="E576" i="5" s="1"/>
  <c r="G576" i="5"/>
  <c r="I576" i="5"/>
  <c r="J576" i="5"/>
  <c r="K576" i="5"/>
  <c r="L576" i="5"/>
  <c r="N576" i="5"/>
  <c r="H576" i="5" s="1"/>
  <c r="F577" i="5"/>
  <c r="E577" i="5" s="1"/>
  <c r="G577" i="5"/>
  <c r="I577" i="5"/>
  <c r="J577" i="5"/>
  <c r="K577" i="5"/>
  <c r="L577" i="5"/>
  <c r="N577" i="5"/>
  <c r="H577" i="5" s="1"/>
  <c r="F578" i="5"/>
  <c r="E578" i="5" s="1"/>
  <c r="G578" i="5"/>
  <c r="I578" i="5"/>
  <c r="J578" i="5"/>
  <c r="K578" i="5"/>
  <c r="L578" i="5"/>
  <c r="N578" i="5"/>
  <c r="H578" i="5" s="1"/>
  <c r="F579" i="5"/>
  <c r="E579" i="5" s="1"/>
  <c r="G579" i="5"/>
  <c r="I579" i="5"/>
  <c r="J579" i="5"/>
  <c r="K579" i="5"/>
  <c r="L579" i="5"/>
  <c r="N579" i="5"/>
  <c r="H579" i="5" s="1"/>
  <c r="F580" i="5"/>
  <c r="E580" i="5" s="1"/>
  <c r="G580" i="5"/>
  <c r="I580" i="5"/>
  <c r="J580" i="5"/>
  <c r="K580" i="5"/>
  <c r="L580" i="5"/>
  <c r="N580" i="5"/>
  <c r="H580" i="5" s="1"/>
  <c r="F581" i="5"/>
  <c r="E581" i="5" s="1"/>
  <c r="G581" i="5"/>
  <c r="I581" i="5"/>
  <c r="J581" i="5"/>
  <c r="K581" i="5"/>
  <c r="L581" i="5"/>
  <c r="M581" i="5"/>
  <c r="N581" i="5"/>
  <c r="H581" i="5" s="1"/>
  <c r="F582" i="5"/>
  <c r="E582" i="5" s="1"/>
  <c r="G582" i="5"/>
  <c r="I582" i="5"/>
  <c r="J582" i="5"/>
  <c r="K582" i="5"/>
  <c r="L582" i="5"/>
  <c r="M582" i="5"/>
  <c r="N582" i="5"/>
  <c r="H582" i="5" s="1"/>
  <c r="F583" i="5"/>
  <c r="E583" i="5" s="1"/>
  <c r="G583" i="5"/>
  <c r="I583" i="5"/>
  <c r="J583" i="5"/>
  <c r="K583" i="5"/>
  <c r="L583" i="5"/>
  <c r="M583" i="5"/>
  <c r="N583" i="5"/>
  <c r="H583" i="5" s="1"/>
  <c r="F584" i="5"/>
  <c r="E584" i="5" s="1"/>
  <c r="G584" i="5"/>
  <c r="I584" i="5"/>
  <c r="J584" i="5"/>
  <c r="K584" i="5"/>
  <c r="L584" i="5"/>
  <c r="M584" i="5"/>
  <c r="N584" i="5"/>
  <c r="H584" i="5" s="1"/>
  <c r="F585" i="5"/>
  <c r="E585" i="5" s="1"/>
  <c r="G585" i="5"/>
  <c r="I585" i="5"/>
  <c r="J585" i="5"/>
  <c r="K585" i="5"/>
  <c r="L585" i="5"/>
  <c r="M585" i="5"/>
  <c r="N585" i="5"/>
  <c r="H585" i="5" s="1"/>
  <c r="F586" i="5"/>
  <c r="E586" i="5" s="1"/>
  <c r="G586" i="5"/>
  <c r="I586" i="5"/>
  <c r="J586" i="5"/>
  <c r="K586" i="5"/>
  <c r="L586" i="5"/>
  <c r="M586" i="5"/>
  <c r="N586" i="5"/>
  <c r="H586" i="5" s="1"/>
  <c r="F587" i="5"/>
  <c r="E587" i="5" s="1"/>
  <c r="G587" i="5"/>
  <c r="I587" i="5"/>
  <c r="J587" i="5"/>
  <c r="K587" i="5"/>
  <c r="L587" i="5"/>
  <c r="M587" i="5"/>
  <c r="N587" i="5"/>
  <c r="H587" i="5" s="1"/>
  <c r="F588" i="5"/>
  <c r="E588" i="5" s="1"/>
  <c r="G588" i="5"/>
  <c r="I588" i="5"/>
  <c r="J588" i="5"/>
  <c r="K588" i="5"/>
  <c r="L588" i="5"/>
  <c r="M588" i="5"/>
  <c r="N588" i="5"/>
  <c r="H588" i="5" s="1"/>
  <c r="F589" i="5"/>
  <c r="E589" i="5" s="1"/>
  <c r="G589" i="5"/>
  <c r="I589" i="5"/>
  <c r="J589" i="5"/>
  <c r="K589" i="5"/>
  <c r="L589" i="5"/>
  <c r="M589" i="5"/>
  <c r="N589" i="5"/>
  <c r="H589" i="5" s="1"/>
  <c r="F590" i="5"/>
  <c r="E590" i="5" s="1"/>
  <c r="G590" i="5"/>
  <c r="I590" i="5"/>
  <c r="J590" i="5"/>
  <c r="K590" i="5"/>
  <c r="L590" i="5"/>
  <c r="M590" i="5"/>
  <c r="N590" i="5"/>
  <c r="H590" i="5" s="1"/>
  <c r="F591" i="5"/>
  <c r="E591" i="5" s="1"/>
  <c r="G591" i="5"/>
  <c r="I591" i="5"/>
  <c r="J591" i="5"/>
  <c r="K591" i="5"/>
  <c r="L591" i="5"/>
  <c r="M591" i="5"/>
  <c r="N591" i="5"/>
  <c r="H591" i="5" s="1"/>
  <c r="F592" i="5"/>
  <c r="E592" i="5" s="1"/>
  <c r="G592" i="5"/>
  <c r="I592" i="5"/>
  <c r="J592" i="5"/>
  <c r="K592" i="5"/>
  <c r="L592" i="5"/>
  <c r="M592" i="5"/>
  <c r="N592" i="5"/>
  <c r="H592" i="5" s="1"/>
  <c r="F593" i="5"/>
  <c r="E593" i="5" s="1"/>
  <c r="G593" i="5"/>
  <c r="I593" i="5"/>
  <c r="J593" i="5"/>
  <c r="K593" i="5"/>
  <c r="L593" i="5"/>
  <c r="M593" i="5"/>
  <c r="N593" i="5"/>
  <c r="H593" i="5" s="1"/>
  <c r="F594" i="5"/>
  <c r="E594" i="5" s="1"/>
  <c r="G594" i="5"/>
  <c r="I594" i="5"/>
  <c r="J594" i="5"/>
  <c r="K594" i="5"/>
  <c r="L594" i="5"/>
  <c r="M594" i="5"/>
  <c r="N594" i="5"/>
  <c r="H594" i="5" s="1"/>
  <c r="F595" i="5"/>
  <c r="E595" i="5" s="1"/>
  <c r="G595" i="5"/>
  <c r="I595" i="5"/>
  <c r="J595" i="5"/>
  <c r="K595" i="5"/>
  <c r="L595" i="5"/>
  <c r="M595" i="5"/>
  <c r="N595" i="5"/>
  <c r="H595" i="5" s="1"/>
  <c r="F596" i="5"/>
  <c r="E596" i="5" s="1"/>
  <c r="G596" i="5"/>
  <c r="I596" i="5"/>
  <c r="J596" i="5"/>
  <c r="K596" i="5"/>
  <c r="L596" i="5"/>
  <c r="M596" i="5"/>
  <c r="N596" i="5"/>
  <c r="H596" i="5" s="1"/>
  <c r="F597" i="5"/>
  <c r="E597" i="5" s="1"/>
  <c r="G597" i="5"/>
  <c r="I597" i="5"/>
  <c r="J597" i="5"/>
  <c r="K597" i="5"/>
  <c r="L597" i="5"/>
  <c r="M597" i="5"/>
  <c r="N597" i="5"/>
  <c r="H597" i="5" s="1"/>
  <c r="F598" i="5"/>
  <c r="E598" i="5" s="1"/>
  <c r="G598" i="5"/>
  <c r="I598" i="5"/>
  <c r="J598" i="5"/>
  <c r="K598" i="5"/>
  <c r="L598" i="5"/>
  <c r="M598" i="5"/>
  <c r="N598" i="5"/>
  <c r="H598" i="5" s="1"/>
  <c r="F599" i="5"/>
  <c r="E599" i="5" s="1"/>
  <c r="G599" i="5"/>
  <c r="I599" i="5"/>
  <c r="J599" i="5"/>
  <c r="K599" i="5"/>
  <c r="L599" i="5"/>
  <c r="M599" i="5"/>
  <c r="N599" i="5"/>
  <c r="H599" i="5" s="1"/>
  <c r="F600" i="5"/>
  <c r="E600" i="5" s="1"/>
  <c r="G600" i="5"/>
  <c r="I600" i="5"/>
  <c r="J600" i="5"/>
  <c r="K600" i="5"/>
  <c r="L600" i="5"/>
  <c r="M600" i="5"/>
  <c r="N600" i="5"/>
  <c r="H600" i="5" s="1"/>
  <c r="F601" i="5"/>
  <c r="E601" i="5" s="1"/>
  <c r="G601" i="5"/>
  <c r="I601" i="5"/>
  <c r="J601" i="5"/>
  <c r="K601" i="5"/>
  <c r="L601" i="5"/>
  <c r="M601" i="5"/>
  <c r="N601" i="5"/>
  <c r="H601" i="5" s="1"/>
  <c r="F602" i="5"/>
  <c r="E602" i="5" s="1"/>
  <c r="G602" i="5"/>
  <c r="I602" i="5"/>
  <c r="J602" i="5"/>
  <c r="K602" i="5"/>
  <c r="L602" i="5"/>
  <c r="M602" i="5"/>
  <c r="N602" i="5"/>
  <c r="H602" i="5" s="1"/>
  <c r="F603" i="5"/>
  <c r="E603" i="5" s="1"/>
  <c r="G603" i="5"/>
  <c r="I603" i="5"/>
  <c r="J603" i="5"/>
  <c r="K603" i="5"/>
  <c r="L603" i="5"/>
  <c r="M603" i="5"/>
  <c r="N603" i="5"/>
  <c r="H603" i="5" s="1"/>
  <c r="F604" i="5"/>
  <c r="E604" i="5" s="1"/>
  <c r="G604" i="5"/>
  <c r="I604" i="5"/>
  <c r="J604" i="5"/>
  <c r="K604" i="5"/>
  <c r="L604" i="5"/>
  <c r="M604" i="5"/>
  <c r="N604" i="5"/>
  <c r="H604" i="5" s="1"/>
  <c r="F605" i="5"/>
  <c r="E605" i="5" s="1"/>
  <c r="G605" i="5"/>
  <c r="I605" i="5"/>
  <c r="J605" i="5"/>
  <c r="K605" i="5"/>
  <c r="L605" i="5"/>
  <c r="M605" i="5"/>
  <c r="N605" i="5"/>
  <c r="H605" i="5" s="1"/>
  <c r="F606" i="5"/>
  <c r="E606" i="5" s="1"/>
  <c r="G606" i="5"/>
  <c r="I606" i="5"/>
  <c r="J606" i="5"/>
  <c r="K606" i="5"/>
  <c r="L606" i="5"/>
  <c r="M606" i="5"/>
  <c r="N606" i="5"/>
  <c r="H606" i="5" s="1"/>
  <c r="F607" i="5"/>
  <c r="E607" i="5" s="1"/>
  <c r="G607" i="5"/>
  <c r="I607" i="5"/>
  <c r="J607" i="5"/>
  <c r="K607" i="5"/>
  <c r="L607" i="5"/>
  <c r="M607" i="5"/>
  <c r="N607" i="5"/>
  <c r="H607" i="5" s="1"/>
  <c r="F608" i="5"/>
  <c r="E608" i="5" s="1"/>
  <c r="G608" i="5"/>
  <c r="I608" i="5"/>
  <c r="J608" i="5"/>
  <c r="K608" i="5"/>
  <c r="L608" i="5"/>
  <c r="M608" i="5"/>
  <c r="N608" i="5"/>
  <c r="H608" i="5" s="1"/>
  <c r="F609" i="5"/>
  <c r="E609" i="5" s="1"/>
  <c r="G609" i="5"/>
  <c r="I609" i="5"/>
  <c r="J609" i="5"/>
  <c r="K609" i="5"/>
  <c r="L609" i="5"/>
  <c r="M609" i="5"/>
  <c r="N609" i="5"/>
  <c r="H609" i="5" s="1"/>
  <c r="F610" i="5"/>
  <c r="E610" i="5" s="1"/>
  <c r="G610" i="5"/>
  <c r="I610" i="5"/>
  <c r="J610" i="5"/>
  <c r="K610" i="5"/>
  <c r="L610" i="5"/>
  <c r="M610" i="5"/>
  <c r="N610" i="5"/>
  <c r="H610" i="5" s="1"/>
  <c r="F611" i="5"/>
  <c r="E611" i="5" s="1"/>
  <c r="G611" i="5"/>
  <c r="I611" i="5"/>
  <c r="J611" i="5"/>
  <c r="K611" i="5"/>
  <c r="L611" i="5"/>
  <c r="M611" i="5"/>
  <c r="N611" i="5"/>
  <c r="H611" i="5" s="1"/>
  <c r="F612" i="5"/>
  <c r="E612" i="5" s="1"/>
  <c r="G612" i="5"/>
  <c r="I612" i="5"/>
  <c r="J612" i="5"/>
  <c r="K612" i="5"/>
  <c r="L612" i="5"/>
  <c r="M612" i="5"/>
  <c r="N612" i="5"/>
  <c r="H612" i="5" s="1"/>
  <c r="F613" i="5"/>
  <c r="E613" i="5" s="1"/>
  <c r="G613" i="5"/>
  <c r="I613" i="5"/>
  <c r="J613" i="5"/>
  <c r="K613" i="5"/>
  <c r="L613" i="5"/>
  <c r="M613" i="5"/>
  <c r="N613" i="5"/>
  <c r="H613" i="5" s="1"/>
  <c r="F614" i="5"/>
  <c r="E614" i="5" s="1"/>
  <c r="G614" i="5"/>
  <c r="I614" i="5"/>
  <c r="J614" i="5"/>
  <c r="K614" i="5"/>
  <c r="L614" i="5"/>
  <c r="M614" i="5"/>
  <c r="N614" i="5"/>
  <c r="H614" i="5" s="1"/>
  <c r="F615" i="5"/>
  <c r="E615" i="5" s="1"/>
  <c r="G615" i="5"/>
  <c r="I615" i="5"/>
  <c r="J615" i="5"/>
  <c r="K615" i="5"/>
  <c r="L615" i="5"/>
  <c r="M615" i="5"/>
  <c r="N615" i="5"/>
  <c r="H615" i="5" s="1"/>
  <c r="F616" i="5"/>
  <c r="E616" i="5" s="1"/>
  <c r="G616" i="5"/>
  <c r="I616" i="5"/>
  <c r="J616" i="5"/>
  <c r="K616" i="5"/>
  <c r="L616" i="5"/>
  <c r="M616" i="5"/>
  <c r="N616" i="5"/>
  <c r="H616" i="5" s="1"/>
  <c r="E617" i="5"/>
  <c r="F617" i="5"/>
  <c r="G617" i="5"/>
  <c r="I617" i="5"/>
  <c r="J617" i="5"/>
  <c r="K617" i="5"/>
  <c r="L617" i="5"/>
  <c r="M617" i="5"/>
  <c r="N617" i="5"/>
  <c r="H617" i="5" s="1"/>
  <c r="F618" i="5"/>
  <c r="E618" i="5" s="1"/>
  <c r="G618" i="5"/>
  <c r="I618" i="5"/>
  <c r="J618" i="5"/>
  <c r="K618" i="5"/>
  <c r="L618" i="5"/>
  <c r="M618" i="5"/>
  <c r="N618" i="5"/>
  <c r="H618" i="5" s="1"/>
  <c r="F619" i="5"/>
  <c r="E619" i="5" s="1"/>
  <c r="G619" i="5"/>
  <c r="I619" i="5"/>
  <c r="J619" i="5"/>
  <c r="K619" i="5"/>
  <c r="L619" i="5"/>
  <c r="M619" i="5"/>
  <c r="N619" i="5"/>
  <c r="H619" i="5" s="1"/>
  <c r="F620" i="5"/>
  <c r="E620" i="5" s="1"/>
  <c r="G620" i="5"/>
  <c r="I620" i="5"/>
  <c r="J620" i="5"/>
  <c r="K620" i="5"/>
  <c r="L620" i="5"/>
  <c r="M620" i="5"/>
  <c r="N620" i="5"/>
  <c r="H620" i="5" s="1"/>
  <c r="F621" i="5"/>
  <c r="E621" i="5" s="1"/>
  <c r="G621" i="5"/>
  <c r="I621" i="5"/>
  <c r="J621" i="5"/>
  <c r="K621" i="5"/>
  <c r="L621" i="5"/>
  <c r="M621" i="5"/>
  <c r="N621" i="5"/>
  <c r="H621" i="5" s="1"/>
  <c r="F622" i="5"/>
  <c r="E622" i="5" s="1"/>
  <c r="G622" i="5"/>
  <c r="I622" i="5"/>
  <c r="J622" i="5"/>
  <c r="K622" i="5"/>
  <c r="L622" i="5"/>
  <c r="M622" i="5"/>
  <c r="N622" i="5"/>
  <c r="H622" i="5" s="1"/>
  <c r="F623" i="5"/>
  <c r="E623" i="5" s="1"/>
  <c r="G623" i="5"/>
  <c r="I623" i="5"/>
  <c r="J623" i="5"/>
  <c r="K623" i="5"/>
  <c r="L623" i="5"/>
  <c r="M623" i="5"/>
  <c r="N623" i="5"/>
  <c r="H623" i="5" s="1"/>
  <c r="F624" i="5"/>
  <c r="E624" i="5" s="1"/>
  <c r="G624" i="5"/>
  <c r="I624" i="5"/>
  <c r="J624" i="5"/>
  <c r="K624" i="5"/>
  <c r="L624" i="5"/>
  <c r="M624" i="5"/>
  <c r="N624" i="5"/>
  <c r="H624" i="5" s="1"/>
  <c r="F625" i="5"/>
  <c r="E625" i="5" s="1"/>
  <c r="G625" i="5"/>
  <c r="I625" i="5"/>
  <c r="J625" i="5"/>
  <c r="K625" i="5"/>
  <c r="L625" i="5"/>
  <c r="M625" i="5"/>
  <c r="N625" i="5"/>
  <c r="H625" i="5" s="1"/>
  <c r="F626" i="5"/>
  <c r="E626" i="5" s="1"/>
  <c r="G626" i="5"/>
  <c r="I626" i="5"/>
  <c r="J626" i="5"/>
  <c r="K626" i="5"/>
  <c r="L626" i="5"/>
  <c r="M626" i="5"/>
  <c r="N626" i="5"/>
  <c r="H626" i="5" s="1"/>
  <c r="F627" i="5"/>
  <c r="E627" i="5" s="1"/>
  <c r="G627" i="5"/>
  <c r="I627" i="5"/>
  <c r="J627" i="5"/>
  <c r="K627" i="5"/>
  <c r="L627" i="5"/>
  <c r="M627" i="5"/>
  <c r="N627" i="5"/>
  <c r="H627" i="5" s="1"/>
  <c r="F628" i="5"/>
  <c r="E628" i="5" s="1"/>
  <c r="G628" i="5"/>
  <c r="I628" i="5"/>
  <c r="J628" i="5"/>
  <c r="K628" i="5"/>
  <c r="L628" i="5"/>
  <c r="M628" i="5"/>
  <c r="N628" i="5"/>
  <c r="H628" i="5" s="1"/>
  <c r="F629" i="5"/>
  <c r="E629" i="5" s="1"/>
  <c r="G629" i="5"/>
  <c r="I629" i="5"/>
  <c r="J629" i="5"/>
  <c r="K629" i="5"/>
  <c r="L629" i="5"/>
  <c r="M629" i="5"/>
  <c r="N629" i="5"/>
  <c r="H629" i="5" s="1"/>
  <c r="F630" i="5"/>
  <c r="E630" i="5" s="1"/>
  <c r="G630" i="5"/>
  <c r="I630" i="5"/>
  <c r="J630" i="5"/>
  <c r="K630" i="5"/>
  <c r="L630" i="5"/>
  <c r="M630" i="5"/>
  <c r="N630" i="5"/>
  <c r="H630" i="5" s="1"/>
  <c r="F631" i="5"/>
  <c r="E631" i="5" s="1"/>
  <c r="G631" i="5"/>
  <c r="I631" i="5"/>
  <c r="J631" i="5"/>
  <c r="K631" i="5"/>
  <c r="L631" i="5"/>
  <c r="M631" i="5"/>
  <c r="N631" i="5"/>
  <c r="H631" i="5" s="1"/>
  <c r="F632" i="5"/>
  <c r="E632" i="5" s="1"/>
  <c r="G632" i="5"/>
  <c r="I632" i="5"/>
  <c r="J632" i="5"/>
  <c r="K632" i="5"/>
  <c r="L632" i="5"/>
  <c r="M632" i="5"/>
  <c r="N632" i="5"/>
  <c r="H632" i="5" s="1"/>
  <c r="F633" i="5"/>
  <c r="E633" i="5" s="1"/>
  <c r="G633" i="5"/>
  <c r="I633" i="5"/>
  <c r="J633" i="5"/>
  <c r="K633" i="5"/>
  <c r="L633" i="5"/>
  <c r="M633" i="5"/>
  <c r="N633" i="5"/>
  <c r="H633" i="5" s="1"/>
  <c r="F634" i="5"/>
  <c r="E634" i="5" s="1"/>
  <c r="G634" i="5"/>
  <c r="I634" i="5"/>
  <c r="J634" i="5"/>
  <c r="K634" i="5"/>
  <c r="L634" i="5"/>
  <c r="M634" i="5"/>
  <c r="N634" i="5"/>
  <c r="H634" i="5" s="1"/>
  <c r="F635" i="5"/>
  <c r="E635" i="5" s="1"/>
  <c r="G635" i="5"/>
  <c r="H635" i="5"/>
  <c r="I635" i="5"/>
  <c r="J635" i="5"/>
  <c r="K635" i="5"/>
  <c r="L635" i="5"/>
  <c r="M635" i="5"/>
  <c r="N635" i="5"/>
  <c r="F636" i="5"/>
  <c r="E636" i="5" s="1"/>
  <c r="G636" i="5"/>
  <c r="I636" i="5"/>
  <c r="J636" i="5"/>
  <c r="K636" i="5"/>
  <c r="L636" i="5"/>
  <c r="M636" i="5"/>
  <c r="N636" i="5"/>
  <c r="H636" i="5" s="1"/>
  <c r="F637" i="5"/>
  <c r="E637" i="5" s="1"/>
  <c r="G637" i="5"/>
  <c r="I637" i="5"/>
  <c r="J637" i="5"/>
  <c r="K637" i="5"/>
  <c r="L637" i="5"/>
  <c r="M637" i="5"/>
  <c r="N637" i="5"/>
  <c r="H637" i="5" s="1"/>
  <c r="F638" i="5"/>
  <c r="E638" i="5" s="1"/>
  <c r="G638" i="5"/>
  <c r="I638" i="5"/>
  <c r="J638" i="5"/>
  <c r="K638" i="5"/>
  <c r="L638" i="5"/>
  <c r="M638" i="5"/>
  <c r="N638" i="5"/>
  <c r="H638" i="5" s="1"/>
  <c r="F639" i="5"/>
  <c r="E639" i="5" s="1"/>
  <c r="G639" i="5"/>
  <c r="I639" i="5"/>
  <c r="J639" i="5"/>
  <c r="K639" i="5"/>
  <c r="L639" i="5"/>
  <c r="M639" i="5"/>
  <c r="N639" i="5"/>
  <c r="H639" i="5" s="1"/>
  <c r="F640" i="5"/>
  <c r="E640" i="5" s="1"/>
  <c r="G640" i="5"/>
  <c r="I640" i="5"/>
  <c r="J640" i="5"/>
  <c r="K640" i="5"/>
  <c r="L640" i="5"/>
  <c r="M640" i="5"/>
  <c r="N640" i="5"/>
  <c r="H640" i="5" s="1"/>
  <c r="F641" i="5"/>
  <c r="E641" i="5" s="1"/>
  <c r="G641" i="5"/>
  <c r="I641" i="5"/>
  <c r="J641" i="5"/>
  <c r="K641" i="5"/>
  <c r="L641" i="5"/>
  <c r="M641" i="5"/>
  <c r="N641" i="5"/>
  <c r="H641" i="5" s="1"/>
  <c r="F642" i="5"/>
  <c r="E642" i="5" s="1"/>
  <c r="G642" i="5"/>
  <c r="I642" i="5"/>
  <c r="J642" i="5"/>
  <c r="K642" i="5"/>
  <c r="L642" i="5"/>
  <c r="M642" i="5"/>
  <c r="N642" i="5"/>
  <c r="H642" i="5" s="1"/>
  <c r="F643" i="5"/>
  <c r="E643" i="5" s="1"/>
  <c r="G643" i="5"/>
  <c r="I643" i="5"/>
  <c r="J643" i="5"/>
  <c r="K643" i="5"/>
  <c r="L643" i="5"/>
  <c r="M643" i="5"/>
  <c r="N643" i="5"/>
  <c r="H643" i="5" s="1"/>
  <c r="F644" i="5"/>
  <c r="E644" i="5" s="1"/>
  <c r="G644" i="5"/>
  <c r="I644" i="5"/>
  <c r="J644" i="5"/>
  <c r="K644" i="5"/>
  <c r="L644" i="5"/>
  <c r="M644" i="5"/>
  <c r="N644" i="5"/>
  <c r="H644" i="5" s="1"/>
  <c r="F645" i="5"/>
  <c r="E645" i="5" s="1"/>
  <c r="G645" i="5"/>
  <c r="I645" i="5"/>
  <c r="J645" i="5"/>
  <c r="K645" i="5"/>
  <c r="L645" i="5"/>
  <c r="M645" i="5"/>
  <c r="N645" i="5"/>
  <c r="H645" i="5" s="1"/>
  <c r="F646" i="5"/>
  <c r="E646" i="5" s="1"/>
  <c r="G646" i="5"/>
  <c r="I646" i="5"/>
  <c r="J646" i="5"/>
  <c r="K646" i="5"/>
  <c r="L646" i="5"/>
  <c r="M646" i="5"/>
  <c r="N646" i="5"/>
  <c r="H646" i="5" s="1"/>
  <c r="F647" i="5"/>
  <c r="E647" i="5" s="1"/>
  <c r="G647" i="5"/>
  <c r="I647" i="5"/>
  <c r="J647" i="5"/>
  <c r="K647" i="5"/>
  <c r="L647" i="5"/>
  <c r="M647" i="5"/>
  <c r="N647" i="5"/>
  <c r="H647" i="5" s="1"/>
  <c r="F648" i="5"/>
  <c r="E648" i="5" s="1"/>
  <c r="G648" i="5"/>
  <c r="I648" i="5"/>
  <c r="J648" i="5"/>
  <c r="K648" i="5"/>
  <c r="L648" i="5"/>
  <c r="M648" i="5"/>
  <c r="N648" i="5"/>
  <c r="H648" i="5" s="1"/>
  <c r="F649" i="5"/>
  <c r="E649" i="5" s="1"/>
  <c r="G649" i="5"/>
  <c r="I649" i="5"/>
  <c r="J649" i="5"/>
  <c r="K649" i="5"/>
  <c r="L649" i="5"/>
  <c r="M649" i="5"/>
  <c r="N649" i="5"/>
  <c r="H649" i="5" s="1"/>
  <c r="F650" i="5"/>
  <c r="E650" i="5" s="1"/>
  <c r="G650" i="5"/>
  <c r="I650" i="5"/>
  <c r="J650" i="5"/>
  <c r="K650" i="5"/>
  <c r="L650" i="5"/>
  <c r="M650" i="5"/>
  <c r="N650" i="5"/>
  <c r="H650" i="5" s="1"/>
  <c r="F651" i="5"/>
  <c r="E651" i="5" s="1"/>
  <c r="G651" i="5"/>
  <c r="I651" i="5"/>
  <c r="J651" i="5"/>
  <c r="K651" i="5"/>
  <c r="L651" i="5"/>
  <c r="M651" i="5"/>
  <c r="N651" i="5"/>
  <c r="H651" i="5" s="1"/>
  <c r="F652" i="5"/>
  <c r="E652" i="5" s="1"/>
  <c r="G652" i="5"/>
  <c r="I652" i="5"/>
  <c r="J652" i="5"/>
  <c r="K652" i="5"/>
  <c r="L652" i="5"/>
  <c r="M652" i="5"/>
  <c r="N652" i="5"/>
  <c r="H652" i="5" s="1"/>
  <c r="F653" i="5"/>
  <c r="E653" i="5" s="1"/>
  <c r="G653" i="5"/>
  <c r="I653" i="5"/>
  <c r="J653" i="5"/>
  <c r="K653" i="5"/>
  <c r="L653" i="5"/>
  <c r="M653" i="5"/>
  <c r="N653" i="5"/>
  <c r="H653" i="5" s="1"/>
  <c r="F654" i="5"/>
  <c r="E654" i="5" s="1"/>
  <c r="G654" i="5"/>
  <c r="I654" i="5"/>
  <c r="J654" i="5"/>
  <c r="K654" i="5"/>
  <c r="L654" i="5"/>
  <c r="M654" i="5"/>
  <c r="N654" i="5"/>
  <c r="H654" i="5" s="1"/>
  <c r="F655" i="5"/>
  <c r="E655" i="5" s="1"/>
  <c r="G655" i="5"/>
  <c r="I655" i="5"/>
  <c r="J655" i="5"/>
  <c r="K655" i="5"/>
  <c r="L655" i="5"/>
  <c r="M655" i="5"/>
  <c r="N655" i="5"/>
  <c r="H655" i="5" s="1"/>
  <c r="F656" i="5"/>
  <c r="E656" i="5" s="1"/>
  <c r="G656" i="5"/>
  <c r="I656" i="5"/>
  <c r="J656" i="5"/>
  <c r="K656" i="5"/>
  <c r="L656" i="5"/>
  <c r="M656" i="5"/>
  <c r="N656" i="5"/>
  <c r="H656" i="5" s="1"/>
  <c r="F657" i="5"/>
  <c r="E657" i="5" s="1"/>
  <c r="G657" i="5"/>
  <c r="I657" i="5"/>
  <c r="J657" i="5"/>
  <c r="K657" i="5"/>
  <c r="L657" i="5"/>
  <c r="M657" i="5"/>
  <c r="N657" i="5"/>
  <c r="H657" i="5" s="1"/>
  <c r="F658" i="5"/>
  <c r="E658" i="5" s="1"/>
  <c r="G658" i="5"/>
  <c r="I658" i="5"/>
  <c r="J658" i="5"/>
  <c r="K658" i="5"/>
  <c r="L658" i="5"/>
  <c r="M658" i="5"/>
  <c r="N658" i="5"/>
  <c r="H658" i="5" s="1"/>
  <c r="F659" i="5"/>
  <c r="E659" i="5" s="1"/>
  <c r="G659" i="5"/>
  <c r="I659" i="5"/>
  <c r="J659" i="5"/>
  <c r="K659" i="5"/>
  <c r="L659" i="5"/>
  <c r="M659" i="5"/>
  <c r="N659" i="5"/>
  <c r="H659" i="5" s="1"/>
  <c r="F660" i="5"/>
  <c r="E660" i="5" s="1"/>
  <c r="G660" i="5"/>
  <c r="I660" i="5"/>
  <c r="J660" i="5"/>
  <c r="K660" i="5"/>
  <c r="L660" i="5"/>
  <c r="M660" i="5"/>
  <c r="N660" i="5"/>
  <c r="H660" i="5" s="1"/>
  <c r="F661" i="5"/>
  <c r="E661" i="5" s="1"/>
  <c r="G661" i="5"/>
  <c r="I661" i="5"/>
  <c r="J661" i="5"/>
  <c r="K661" i="5"/>
  <c r="L661" i="5"/>
  <c r="M661" i="5"/>
  <c r="N661" i="5"/>
  <c r="H661" i="5" s="1"/>
  <c r="F662" i="5"/>
  <c r="E662" i="5" s="1"/>
  <c r="G662" i="5"/>
  <c r="I662" i="5"/>
  <c r="J662" i="5"/>
  <c r="K662" i="5"/>
  <c r="L662" i="5"/>
  <c r="M662" i="5"/>
  <c r="N662" i="5"/>
  <c r="H662" i="5" s="1"/>
  <c r="F663" i="5"/>
  <c r="E663" i="5" s="1"/>
  <c r="G663" i="5"/>
  <c r="I663" i="5"/>
  <c r="J663" i="5"/>
  <c r="K663" i="5"/>
  <c r="L663" i="5"/>
  <c r="M663" i="5"/>
  <c r="N663" i="5"/>
  <c r="H663" i="5" s="1"/>
  <c r="F664" i="5"/>
  <c r="E664" i="5" s="1"/>
  <c r="G664" i="5"/>
  <c r="I664" i="5"/>
  <c r="J664" i="5"/>
  <c r="K664" i="5"/>
  <c r="L664" i="5"/>
  <c r="M664" i="5"/>
  <c r="N664" i="5"/>
  <c r="H664" i="5" s="1"/>
  <c r="F665" i="5"/>
  <c r="E665" i="5" s="1"/>
  <c r="G665" i="5"/>
  <c r="I665" i="5"/>
  <c r="J665" i="5"/>
  <c r="K665" i="5"/>
  <c r="L665" i="5"/>
  <c r="M665" i="5"/>
  <c r="N665" i="5"/>
  <c r="H665" i="5" s="1"/>
  <c r="F666" i="5"/>
  <c r="E666" i="5" s="1"/>
  <c r="G666" i="5"/>
  <c r="I666" i="5"/>
  <c r="J666" i="5"/>
  <c r="K666" i="5"/>
  <c r="L666" i="5"/>
  <c r="M666" i="5"/>
  <c r="N666" i="5"/>
  <c r="H666" i="5" s="1"/>
  <c r="F667" i="5"/>
  <c r="E667" i="5" s="1"/>
  <c r="G667" i="5"/>
  <c r="I667" i="5"/>
  <c r="J667" i="5"/>
  <c r="K667" i="5"/>
  <c r="L667" i="5"/>
  <c r="M667" i="5"/>
  <c r="N667" i="5"/>
  <c r="H667" i="5" s="1"/>
  <c r="F668" i="5"/>
  <c r="E668" i="5" s="1"/>
  <c r="G668" i="5"/>
  <c r="I668" i="5"/>
  <c r="J668" i="5"/>
  <c r="K668" i="5"/>
  <c r="L668" i="5"/>
  <c r="M668" i="5"/>
  <c r="N668" i="5"/>
  <c r="H668" i="5" s="1"/>
  <c r="F669" i="5"/>
  <c r="E669" i="5" s="1"/>
  <c r="G669" i="5"/>
  <c r="I669" i="5"/>
  <c r="J669" i="5"/>
  <c r="K669" i="5"/>
  <c r="L669" i="5"/>
  <c r="M669" i="5"/>
  <c r="N669" i="5"/>
  <c r="H669" i="5" s="1"/>
  <c r="F670" i="5"/>
  <c r="E670" i="5" s="1"/>
  <c r="G670" i="5"/>
  <c r="I670" i="5"/>
  <c r="J670" i="5"/>
  <c r="K670" i="5"/>
  <c r="L670" i="5"/>
  <c r="M670" i="5"/>
  <c r="N670" i="5"/>
  <c r="H670" i="5" s="1"/>
  <c r="F671" i="5"/>
  <c r="E671" i="5" s="1"/>
  <c r="G671" i="5"/>
  <c r="I671" i="5"/>
  <c r="J671" i="5"/>
  <c r="K671" i="5"/>
  <c r="L671" i="5"/>
  <c r="M671" i="5"/>
  <c r="N671" i="5"/>
  <c r="H671" i="5" s="1"/>
  <c r="F672" i="5"/>
  <c r="E672" i="5" s="1"/>
  <c r="G672" i="5"/>
  <c r="I672" i="5"/>
  <c r="J672" i="5"/>
  <c r="K672" i="5"/>
  <c r="L672" i="5"/>
  <c r="M672" i="5"/>
  <c r="N672" i="5"/>
  <c r="H672" i="5" s="1"/>
  <c r="F673" i="5"/>
  <c r="E673" i="5" s="1"/>
  <c r="G673" i="5"/>
  <c r="I673" i="5"/>
  <c r="J673" i="5"/>
  <c r="K673" i="5"/>
  <c r="L673" i="5"/>
  <c r="M673" i="5"/>
  <c r="N673" i="5"/>
  <c r="H673" i="5" s="1"/>
  <c r="F674" i="5"/>
  <c r="E674" i="5" s="1"/>
  <c r="G674" i="5"/>
  <c r="I674" i="5"/>
  <c r="J674" i="5"/>
  <c r="K674" i="5"/>
  <c r="L674" i="5"/>
  <c r="M674" i="5"/>
  <c r="N674" i="5"/>
  <c r="H674" i="5" s="1"/>
  <c r="F675" i="5"/>
  <c r="E675" i="5" s="1"/>
  <c r="G675" i="5"/>
  <c r="I675" i="5"/>
  <c r="J675" i="5"/>
  <c r="K675" i="5"/>
  <c r="L675" i="5"/>
  <c r="M675" i="5"/>
  <c r="N675" i="5"/>
  <c r="H675" i="5" s="1"/>
  <c r="F676" i="5"/>
  <c r="E676" i="5" s="1"/>
  <c r="G676" i="5"/>
  <c r="I676" i="5"/>
  <c r="J676" i="5"/>
  <c r="K676" i="5"/>
  <c r="L676" i="5"/>
  <c r="M676" i="5"/>
  <c r="N676" i="5"/>
  <c r="H676" i="5" s="1"/>
  <c r="F677" i="5"/>
  <c r="E677" i="5" s="1"/>
  <c r="G677" i="5"/>
  <c r="I677" i="5"/>
  <c r="J677" i="5"/>
  <c r="K677" i="5"/>
  <c r="L677" i="5"/>
  <c r="M677" i="5"/>
  <c r="N677" i="5"/>
  <c r="H677" i="5" s="1"/>
  <c r="F678" i="5"/>
  <c r="E678" i="5" s="1"/>
  <c r="G678" i="5"/>
  <c r="I678" i="5"/>
  <c r="J678" i="5"/>
  <c r="K678" i="5"/>
  <c r="L678" i="5"/>
  <c r="M678" i="5"/>
  <c r="N678" i="5"/>
  <c r="H678" i="5" s="1"/>
  <c r="F679" i="5"/>
  <c r="E679" i="5" s="1"/>
  <c r="G679" i="5"/>
  <c r="I679" i="5"/>
  <c r="J679" i="5"/>
  <c r="K679" i="5"/>
  <c r="L679" i="5"/>
  <c r="M679" i="5"/>
  <c r="N679" i="5"/>
  <c r="H679" i="5" s="1"/>
  <c r="F680" i="5"/>
  <c r="E680" i="5" s="1"/>
  <c r="G680" i="5"/>
  <c r="I680" i="5"/>
  <c r="J680" i="5"/>
  <c r="K680" i="5"/>
  <c r="L680" i="5"/>
  <c r="M680" i="5"/>
  <c r="N680" i="5"/>
  <c r="H680" i="5" s="1"/>
  <c r="F681" i="5"/>
  <c r="E681" i="5" s="1"/>
  <c r="G681" i="5"/>
  <c r="I681" i="5"/>
  <c r="J681" i="5"/>
  <c r="K681" i="5"/>
  <c r="L681" i="5"/>
  <c r="M681" i="5"/>
  <c r="N681" i="5"/>
  <c r="H681" i="5" s="1"/>
  <c r="F682" i="5"/>
  <c r="E682" i="5" s="1"/>
  <c r="G682" i="5"/>
  <c r="I682" i="5"/>
  <c r="J682" i="5"/>
  <c r="K682" i="5"/>
  <c r="L682" i="5"/>
  <c r="M682" i="5"/>
  <c r="N682" i="5"/>
  <c r="H682" i="5" s="1"/>
  <c r="F683" i="5"/>
  <c r="E683" i="5" s="1"/>
  <c r="G683" i="5"/>
  <c r="I683" i="5"/>
  <c r="J683" i="5"/>
  <c r="K683" i="5"/>
  <c r="L683" i="5"/>
  <c r="M683" i="5"/>
  <c r="N683" i="5"/>
  <c r="H683" i="5" s="1"/>
  <c r="F684" i="5"/>
  <c r="E684" i="5" s="1"/>
  <c r="G684" i="5"/>
  <c r="I684" i="5"/>
  <c r="J684" i="5"/>
  <c r="K684" i="5"/>
  <c r="L684" i="5"/>
  <c r="M684" i="5"/>
  <c r="N684" i="5"/>
  <c r="H684" i="5" s="1"/>
  <c r="F685" i="5"/>
  <c r="E685" i="5" s="1"/>
  <c r="G685" i="5"/>
  <c r="I685" i="5"/>
  <c r="J685" i="5"/>
  <c r="K685" i="5"/>
  <c r="L685" i="5"/>
  <c r="M685" i="5"/>
  <c r="N685" i="5"/>
  <c r="H685" i="5" s="1"/>
  <c r="F686" i="5"/>
  <c r="E686" i="5" s="1"/>
  <c r="G686" i="5"/>
  <c r="I686" i="5"/>
  <c r="J686" i="5"/>
  <c r="K686" i="5"/>
  <c r="L686" i="5"/>
  <c r="M686" i="5"/>
  <c r="N686" i="5"/>
  <c r="H686" i="5" s="1"/>
  <c r="F687" i="5"/>
  <c r="E687" i="5" s="1"/>
  <c r="G687" i="5"/>
  <c r="I687" i="5"/>
  <c r="J687" i="5"/>
  <c r="K687" i="5"/>
  <c r="L687" i="5"/>
  <c r="M687" i="5"/>
  <c r="N687" i="5"/>
  <c r="H687" i="5" s="1"/>
  <c r="F688" i="5"/>
  <c r="E688" i="5" s="1"/>
  <c r="G688" i="5"/>
  <c r="I688" i="5"/>
  <c r="J688" i="5"/>
  <c r="K688" i="5"/>
  <c r="L688" i="5"/>
  <c r="M688" i="5"/>
  <c r="N688" i="5"/>
  <c r="H688" i="5" s="1"/>
  <c r="F689" i="5"/>
  <c r="E689" i="5" s="1"/>
  <c r="G689" i="5"/>
  <c r="I689" i="5"/>
  <c r="J689" i="5"/>
  <c r="K689" i="5"/>
  <c r="L689" i="5"/>
  <c r="M689" i="5"/>
  <c r="N689" i="5"/>
  <c r="H689" i="5" s="1"/>
  <c r="F690" i="5"/>
  <c r="E690" i="5" s="1"/>
  <c r="G690" i="5"/>
  <c r="I690" i="5"/>
  <c r="J690" i="5"/>
  <c r="K690" i="5"/>
  <c r="L690" i="5"/>
  <c r="M690" i="5"/>
  <c r="N690" i="5"/>
  <c r="H690" i="5" s="1"/>
  <c r="F691" i="5"/>
  <c r="E691" i="5" s="1"/>
  <c r="G691" i="5"/>
  <c r="I691" i="5"/>
  <c r="J691" i="5"/>
  <c r="K691" i="5"/>
  <c r="L691" i="5"/>
  <c r="M691" i="5"/>
  <c r="N691" i="5"/>
  <c r="H691" i="5" s="1"/>
  <c r="F692" i="5"/>
  <c r="E692" i="5" s="1"/>
  <c r="G692" i="5"/>
  <c r="I692" i="5"/>
  <c r="J692" i="5"/>
  <c r="K692" i="5"/>
  <c r="L692" i="5"/>
  <c r="M692" i="5"/>
  <c r="N692" i="5"/>
  <c r="H692" i="5" s="1"/>
  <c r="F693" i="5"/>
  <c r="E693" i="5" s="1"/>
  <c r="G693" i="5"/>
  <c r="I693" i="5"/>
  <c r="J693" i="5"/>
  <c r="K693" i="5"/>
  <c r="L693" i="5"/>
  <c r="M693" i="5"/>
  <c r="N693" i="5"/>
  <c r="H693" i="5" s="1"/>
  <c r="F694" i="5"/>
  <c r="E694" i="5" s="1"/>
  <c r="G694" i="5"/>
  <c r="I694" i="5"/>
  <c r="J694" i="5"/>
  <c r="K694" i="5"/>
  <c r="L694" i="5"/>
  <c r="M694" i="5"/>
  <c r="N694" i="5"/>
  <c r="H694" i="5" s="1"/>
  <c r="F695" i="5"/>
  <c r="E695" i="5" s="1"/>
  <c r="G695" i="5"/>
  <c r="I695" i="5"/>
  <c r="J695" i="5"/>
  <c r="K695" i="5"/>
  <c r="L695" i="5"/>
  <c r="M695" i="5"/>
  <c r="N695" i="5"/>
  <c r="H695" i="5" s="1"/>
  <c r="F696" i="5"/>
  <c r="E696" i="5" s="1"/>
  <c r="G696" i="5"/>
  <c r="I696" i="5"/>
  <c r="J696" i="5"/>
  <c r="K696" i="5"/>
  <c r="L696" i="5"/>
  <c r="M696" i="5"/>
  <c r="N696" i="5"/>
  <c r="H696" i="5" s="1"/>
  <c r="F697" i="5"/>
  <c r="E697" i="5" s="1"/>
  <c r="G697" i="5"/>
  <c r="I697" i="5"/>
  <c r="J697" i="5"/>
  <c r="K697" i="5"/>
  <c r="L697" i="5"/>
  <c r="M697" i="5"/>
  <c r="N697" i="5"/>
  <c r="H697" i="5" s="1"/>
  <c r="F698" i="5"/>
  <c r="E698" i="5" s="1"/>
  <c r="G698" i="5"/>
  <c r="I698" i="5"/>
  <c r="J698" i="5"/>
  <c r="K698" i="5"/>
  <c r="L698" i="5"/>
  <c r="M698" i="5"/>
  <c r="N698" i="5"/>
  <c r="H698" i="5" s="1"/>
  <c r="F699" i="5"/>
  <c r="E699" i="5" s="1"/>
  <c r="G699" i="5"/>
  <c r="I699" i="5"/>
  <c r="J699" i="5"/>
  <c r="K699" i="5"/>
  <c r="L699" i="5"/>
  <c r="M699" i="5"/>
  <c r="N699" i="5"/>
  <c r="H699" i="5" s="1"/>
  <c r="F700" i="5"/>
  <c r="E700" i="5" s="1"/>
  <c r="G700" i="5"/>
  <c r="I700" i="5"/>
  <c r="J700" i="5"/>
  <c r="K700" i="5"/>
  <c r="L700" i="5"/>
  <c r="M700" i="5"/>
  <c r="N700" i="5"/>
  <c r="H700" i="5" s="1"/>
  <c r="F701" i="5"/>
  <c r="E701" i="5" s="1"/>
  <c r="G701" i="5"/>
  <c r="I701" i="5"/>
  <c r="J701" i="5"/>
  <c r="K701" i="5"/>
  <c r="L701" i="5"/>
  <c r="M701" i="5"/>
  <c r="N701" i="5"/>
  <c r="H701" i="5" s="1"/>
  <c r="F702" i="5"/>
  <c r="E702" i="5" s="1"/>
  <c r="G702" i="5"/>
  <c r="I702" i="5"/>
  <c r="J702" i="5"/>
  <c r="K702" i="5"/>
  <c r="L702" i="5"/>
  <c r="M702" i="5"/>
  <c r="N702" i="5"/>
  <c r="H702" i="5" s="1"/>
  <c r="F703" i="5"/>
  <c r="E703" i="5" s="1"/>
  <c r="G703" i="5"/>
  <c r="I703" i="5"/>
  <c r="J703" i="5"/>
  <c r="K703" i="5"/>
  <c r="L703" i="5"/>
  <c r="M703" i="5"/>
  <c r="N703" i="5"/>
  <c r="H703" i="5" s="1"/>
  <c r="F704" i="5"/>
  <c r="E704" i="5" s="1"/>
  <c r="G704" i="5"/>
  <c r="I704" i="5"/>
  <c r="J704" i="5"/>
  <c r="K704" i="5"/>
  <c r="L704" i="5"/>
  <c r="M704" i="5"/>
  <c r="N704" i="5"/>
  <c r="H704" i="5" s="1"/>
  <c r="F705" i="5"/>
  <c r="E705" i="5" s="1"/>
  <c r="G705" i="5"/>
  <c r="I705" i="5"/>
  <c r="J705" i="5"/>
  <c r="K705" i="5"/>
  <c r="L705" i="5"/>
  <c r="M705" i="5"/>
  <c r="N705" i="5"/>
  <c r="H705" i="5" s="1"/>
  <c r="F706" i="5"/>
  <c r="E706" i="5" s="1"/>
  <c r="G706" i="5"/>
  <c r="I706" i="5"/>
  <c r="J706" i="5"/>
  <c r="K706" i="5"/>
  <c r="L706" i="5"/>
  <c r="M706" i="5"/>
  <c r="N706" i="5"/>
  <c r="H706" i="5" s="1"/>
  <c r="F707" i="5"/>
  <c r="E707" i="5" s="1"/>
  <c r="G707" i="5"/>
  <c r="I707" i="5"/>
  <c r="J707" i="5"/>
  <c r="K707" i="5"/>
  <c r="L707" i="5"/>
  <c r="M707" i="5"/>
  <c r="N707" i="5"/>
  <c r="H707" i="5" s="1"/>
  <c r="F708" i="5"/>
  <c r="E708" i="5" s="1"/>
  <c r="G708" i="5"/>
  <c r="I708" i="5"/>
  <c r="J708" i="5"/>
  <c r="K708" i="5"/>
  <c r="L708" i="5"/>
  <c r="M708" i="5"/>
  <c r="N708" i="5"/>
  <c r="H708" i="5" s="1"/>
  <c r="F709" i="5"/>
  <c r="E709" i="5" s="1"/>
  <c r="G709" i="5"/>
  <c r="I709" i="5"/>
  <c r="J709" i="5"/>
  <c r="K709" i="5"/>
  <c r="L709" i="5"/>
  <c r="M709" i="5"/>
  <c r="N709" i="5"/>
  <c r="H709" i="5" s="1"/>
  <c r="F710" i="5"/>
  <c r="E710" i="5" s="1"/>
  <c r="G710" i="5"/>
  <c r="I710" i="5"/>
  <c r="J710" i="5"/>
  <c r="K710" i="5"/>
  <c r="L710" i="5"/>
  <c r="M710" i="5"/>
  <c r="N710" i="5"/>
  <c r="H710" i="5" s="1"/>
  <c r="F711" i="5"/>
  <c r="E711" i="5" s="1"/>
  <c r="G711" i="5"/>
  <c r="I711" i="5"/>
  <c r="J711" i="5"/>
  <c r="K711" i="5"/>
  <c r="L711" i="5"/>
  <c r="M711" i="5"/>
  <c r="N711" i="5"/>
  <c r="H711" i="5" s="1"/>
  <c r="F712" i="5"/>
  <c r="E712" i="5" s="1"/>
  <c r="G712" i="5"/>
  <c r="I712" i="5"/>
  <c r="J712" i="5"/>
  <c r="K712" i="5"/>
  <c r="L712" i="5"/>
  <c r="M712" i="5"/>
  <c r="N712" i="5"/>
  <c r="H712" i="5" s="1"/>
  <c r="F713" i="5"/>
  <c r="E713" i="5" s="1"/>
  <c r="G713" i="5"/>
  <c r="I713" i="5"/>
  <c r="J713" i="5"/>
  <c r="K713" i="5"/>
  <c r="L713" i="5"/>
  <c r="M713" i="5"/>
  <c r="N713" i="5"/>
  <c r="H713" i="5" s="1"/>
  <c r="F714" i="5"/>
  <c r="E714" i="5" s="1"/>
  <c r="G714" i="5"/>
  <c r="I714" i="5"/>
  <c r="J714" i="5"/>
  <c r="K714" i="5"/>
  <c r="L714" i="5"/>
  <c r="M714" i="5"/>
  <c r="N714" i="5"/>
  <c r="H714" i="5" s="1"/>
  <c r="F715" i="5"/>
  <c r="E715" i="5" s="1"/>
  <c r="G715" i="5"/>
  <c r="I715" i="5"/>
  <c r="J715" i="5"/>
  <c r="K715" i="5"/>
  <c r="L715" i="5"/>
  <c r="M715" i="5"/>
  <c r="N715" i="5"/>
  <c r="H715" i="5" s="1"/>
  <c r="F716" i="5"/>
  <c r="E716" i="5" s="1"/>
  <c r="G716" i="5"/>
  <c r="I716" i="5"/>
  <c r="J716" i="5"/>
  <c r="K716" i="5"/>
  <c r="L716" i="5"/>
  <c r="M716" i="5"/>
  <c r="N716" i="5"/>
  <c r="H716" i="5" s="1"/>
  <c r="F717" i="5"/>
  <c r="E717" i="5" s="1"/>
  <c r="G717" i="5"/>
  <c r="I717" i="5"/>
  <c r="J717" i="5"/>
  <c r="K717" i="5"/>
  <c r="L717" i="5"/>
  <c r="M717" i="5"/>
  <c r="N717" i="5"/>
  <c r="H717" i="5" s="1"/>
  <c r="F718" i="5"/>
  <c r="E718" i="5" s="1"/>
  <c r="G718" i="5"/>
  <c r="I718" i="5"/>
  <c r="J718" i="5"/>
  <c r="K718" i="5"/>
  <c r="L718" i="5"/>
  <c r="M718" i="5"/>
  <c r="N718" i="5"/>
  <c r="H718" i="5" s="1"/>
  <c r="F719" i="5"/>
  <c r="E719" i="5" s="1"/>
  <c r="G719" i="5"/>
  <c r="I719" i="5"/>
  <c r="J719" i="5"/>
  <c r="K719" i="5"/>
  <c r="L719" i="5"/>
  <c r="M719" i="5"/>
  <c r="N719" i="5"/>
  <c r="H719" i="5" s="1"/>
  <c r="F720" i="5"/>
  <c r="E720" i="5" s="1"/>
  <c r="G720" i="5"/>
  <c r="I720" i="5"/>
  <c r="J720" i="5"/>
  <c r="K720" i="5"/>
  <c r="L720" i="5"/>
  <c r="M720" i="5"/>
  <c r="N720" i="5"/>
  <c r="H720" i="5" s="1"/>
  <c r="F721" i="5"/>
  <c r="E721" i="5" s="1"/>
  <c r="G721" i="5"/>
  <c r="I721" i="5"/>
  <c r="J721" i="5"/>
  <c r="K721" i="5"/>
  <c r="L721" i="5"/>
  <c r="M721" i="5"/>
  <c r="N721" i="5"/>
  <c r="H721" i="5" s="1"/>
  <c r="F722" i="5"/>
  <c r="E722" i="5" s="1"/>
  <c r="G722" i="5"/>
  <c r="I722" i="5"/>
  <c r="J722" i="5"/>
  <c r="K722" i="5"/>
  <c r="L722" i="5"/>
  <c r="M722" i="5"/>
  <c r="N722" i="5"/>
  <c r="H722" i="5" s="1"/>
  <c r="F723" i="5"/>
  <c r="E723" i="5" s="1"/>
  <c r="G723" i="5"/>
  <c r="I723" i="5"/>
  <c r="J723" i="5"/>
  <c r="K723" i="5"/>
  <c r="L723" i="5"/>
  <c r="M723" i="5"/>
  <c r="N723" i="5"/>
  <c r="H723" i="5" s="1"/>
  <c r="F724" i="5"/>
  <c r="E724" i="5" s="1"/>
  <c r="G724" i="5"/>
  <c r="I724" i="5"/>
  <c r="J724" i="5"/>
  <c r="K724" i="5"/>
  <c r="L724" i="5"/>
  <c r="M724" i="5"/>
  <c r="N724" i="5"/>
  <c r="H724" i="5" s="1"/>
  <c r="F725" i="5"/>
  <c r="E725" i="5" s="1"/>
  <c r="G725" i="5"/>
  <c r="I725" i="5"/>
  <c r="J725" i="5"/>
  <c r="K725" i="5"/>
  <c r="L725" i="5"/>
  <c r="M725" i="5"/>
  <c r="N725" i="5"/>
  <c r="H725" i="5" s="1"/>
  <c r="F726" i="5"/>
  <c r="E726" i="5" s="1"/>
  <c r="G726" i="5"/>
  <c r="I726" i="5"/>
  <c r="J726" i="5"/>
  <c r="K726" i="5"/>
  <c r="L726" i="5"/>
  <c r="M726" i="5"/>
  <c r="N726" i="5"/>
  <c r="H726" i="5" s="1"/>
  <c r="F727" i="5"/>
  <c r="E727" i="5" s="1"/>
  <c r="G727" i="5"/>
  <c r="I727" i="5"/>
  <c r="J727" i="5"/>
  <c r="K727" i="5"/>
  <c r="L727" i="5"/>
  <c r="M727" i="5"/>
  <c r="N727" i="5"/>
  <c r="H727" i="5" s="1"/>
  <c r="F728" i="5"/>
  <c r="E728" i="5" s="1"/>
  <c r="G728" i="5"/>
  <c r="I728" i="5"/>
  <c r="J728" i="5"/>
  <c r="K728" i="5"/>
  <c r="L728" i="5"/>
  <c r="M728" i="5"/>
  <c r="N728" i="5"/>
  <c r="H728" i="5" s="1"/>
  <c r="F729" i="5"/>
  <c r="E729" i="5" s="1"/>
  <c r="G729" i="5"/>
  <c r="I729" i="5"/>
  <c r="J729" i="5"/>
  <c r="K729" i="5"/>
  <c r="L729" i="5"/>
  <c r="M729" i="5"/>
  <c r="N729" i="5"/>
  <c r="H729" i="5" s="1"/>
  <c r="F730" i="5"/>
  <c r="E730" i="5" s="1"/>
  <c r="G730" i="5"/>
  <c r="I730" i="5"/>
  <c r="J730" i="5"/>
  <c r="K730" i="5"/>
  <c r="L730" i="5"/>
  <c r="M730" i="5"/>
  <c r="N730" i="5"/>
  <c r="H730" i="5" s="1"/>
  <c r="F731" i="5"/>
  <c r="E731" i="5" s="1"/>
  <c r="G731" i="5"/>
  <c r="I731" i="5"/>
  <c r="J731" i="5"/>
  <c r="K731" i="5"/>
  <c r="L731" i="5"/>
  <c r="M731" i="5"/>
  <c r="N731" i="5"/>
  <c r="H731" i="5" s="1"/>
  <c r="F732" i="5"/>
  <c r="E732" i="5" s="1"/>
  <c r="G732" i="5"/>
  <c r="I732" i="5"/>
  <c r="J732" i="5"/>
  <c r="K732" i="5"/>
  <c r="L732" i="5"/>
  <c r="M732" i="5"/>
  <c r="N732" i="5"/>
  <c r="H732" i="5" s="1"/>
  <c r="F733" i="5"/>
  <c r="E733" i="5" s="1"/>
  <c r="G733" i="5"/>
  <c r="I733" i="5"/>
  <c r="J733" i="5"/>
  <c r="K733" i="5"/>
  <c r="L733" i="5"/>
  <c r="M733" i="5"/>
  <c r="N733" i="5"/>
  <c r="H733" i="5" s="1"/>
  <c r="F734" i="5"/>
  <c r="E734" i="5" s="1"/>
  <c r="G734" i="5"/>
  <c r="I734" i="5"/>
  <c r="J734" i="5"/>
  <c r="K734" i="5"/>
  <c r="L734" i="5"/>
  <c r="M734" i="5"/>
  <c r="N734" i="5"/>
  <c r="H734" i="5" s="1"/>
  <c r="F735" i="5"/>
  <c r="E735" i="5" s="1"/>
  <c r="G735" i="5"/>
  <c r="I735" i="5"/>
  <c r="J735" i="5"/>
  <c r="K735" i="5"/>
  <c r="L735" i="5"/>
  <c r="M735" i="5"/>
  <c r="N735" i="5"/>
  <c r="H735" i="5" s="1"/>
  <c r="F736" i="5"/>
  <c r="E736" i="5" s="1"/>
  <c r="G736" i="5"/>
  <c r="I736" i="5"/>
  <c r="J736" i="5"/>
  <c r="K736" i="5"/>
  <c r="L736" i="5"/>
  <c r="M736" i="5"/>
  <c r="N736" i="5"/>
  <c r="H736" i="5" s="1"/>
  <c r="F737" i="5"/>
  <c r="E737" i="5" s="1"/>
  <c r="G737" i="5"/>
  <c r="I737" i="5"/>
  <c r="J737" i="5"/>
  <c r="K737" i="5"/>
  <c r="L737" i="5"/>
  <c r="M737" i="5"/>
  <c r="N737" i="5"/>
  <c r="H737" i="5" s="1"/>
  <c r="F738" i="5"/>
  <c r="E738" i="5" s="1"/>
  <c r="G738" i="5"/>
  <c r="I738" i="5"/>
  <c r="J738" i="5"/>
  <c r="K738" i="5"/>
  <c r="L738" i="5"/>
  <c r="M738" i="5"/>
  <c r="N738" i="5"/>
  <c r="H738" i="5" s="1"/>
  <c r="F739" i="5"/>
  <c r="E739" i="5" s="1"/>
  <c r="G739" i="5"/>
  <c r="I739" i="5"/>
  <c r="J739" i="5"/>
  <c r="K739" i="5"/>
  <c r="L739" i="5"/>
  <c r="M739" i="5"/>
  <c r="N739" i="5"/>
  <c r="H739" i="5" s="1"/>
  <c r="F740" i="5"/>
  <c r="E740" i="5" s="1"/>
  <c r="G740" i="5"/>
  <c r="I740" i="5"/>
  <c r="J740" i="5"/>
  <c r="K740" i="5"/>
  <c r="L740" i="5"/>
  <c r="M740" i="5"/>
  <c r="N740" i="5"/>
  <c r="H740" i="5" s="1"/>
  <c r="F741" i="5"/>
  <c r="E741" i="5" s="1"/>
  <c r="G741" i="5"/>
  <c r="I741" i="5"/>
  <c r="J741" i="5"/>
  <c r="K741" i="5"/>
  <c r="L741" i="5"/>
  <c r="M741" i="5"/>
  <c r="N741" i="5"/>
  <c r="H741" i="5" s="1"/>
  <c r="F742" i="5"/>
  <c r="E742" i="5" s="1"/>
  <c r="G742" i="5"/>
  <c r="I742" i="5"/>
  <c r="J742" i="5"/>
  <c r="K742" i="5"/>
  <c r="L742" i="5"/>
  <c r="M742" i="5"/>
  <c r="N742" i="5"/>
  <c r="H742" i="5" s="1"/>
  <c r="F743" i="5"/>
  <c r="E743" i="5" s="1"/>
  <c r="G743" i="5"/>
  <c r="I743" i="5"/>
  <c r="J743" i="5"/>
  <c r="K743" i="5"/>
  <c r="L743" i="5"/>
  <c r="M743" i="5"/>
  <c r="N743" i="5"/>
  <c r="H743" i="5" s="1"/>
  <c r="F744" i="5"/>
  <c r="E744" i="5" s="1"/>
  <c r="G744" i="5"/>
  <c r="I744" i="5"/>
  <c r="J744" i="5"/>
  <c r="K744" i="5"/>
  <c r="L744" i="5"/>
  <c r="M744" i="5"/>
  <c r="N744" i="5"/>
  <c r="H744" i="5" s="1"/>
  <c r="F745" i="5"/>
  <c r="E745" i="5" s="1"/>
  <c r="G745" i="5"/>
  <c r="I745" i="5"/>
  <c r="J745" i="5"/>
  <c r="K745" i="5"/>
  <c r="L745" i="5"/>
  <c r="M745" i="5"/>
  <c r="N745" i="5"/>
  <c r="H745" i="5" s="1"/>
  <c r="F746" i="5"/>
  <c r="E746" i="5" s="1"/>
  <c r="G746" i="5"/>
  <c r="I746" i="5"/>
  <c r="J746" i="5"/>
  <c r="K746" i="5"/>
  <c r="L746" i="5"/>
  <c r="M746" i="5"/>
  <c r="N746" i="5"/>
  <c r="H746" i="5" s="1"/>
  <c r="F747" i="5"/>
  <c r="E747" i="5" s="1"/>
  <c r="G747" i="5"/>
  <c r="I747" i="5"/>
  <c r="J747" i="5"/>
  <c r="K747" i="5"/>
  <c r="L747" i="5"/>
  <c r="M747" i="5"/>
  <c r="N747" i="5"/>
  <c r="H747" i="5" s="1"/>
  <c r="F748" i="5"/>
  <c r="E748" i="5" s="1"/>
  <c r="G748" i="5"/>
  <c r="I748" i="5"/>
  <c r="J748" i="5"/>
  <c r="K748" i="5"/>
  <c r="L748" i="5"/>
  <c r="M748" i="5"/>
  <c r="N748" i="5"/>
  <c r="H748" i="5" s="1"/>
  <c r="F749" i="5"/>
  <c r="E749" i="5" s="1"/>
  <c r="G749" i="5"/>
  <c r="I749" i="5"/>
  <c r="J749" i="5"/>
  <c r="K749" i="5"/>
  <c r="L749" i="5"/>
  <c r="M749" i="5"/>
  <c r="N749" i="5"/>
  <c r="H749" i="5" s="1"/>
  <c r="F750" i="5"/>
  <c r="E750" i="5" s="1"/>
  <c r="G750" i="5"/>
  <c r="I750" i="5"/>
  <c r="J750" i="5"/>
  <c r="K750" i="5"/>
  <c r="L750" i="5"/>
  <c r="M750" i="5"/>
  <c r="N750" i="5"/>
  <c r="H750" i="5" s="1"/>
  <c r="F751" i="5"/>
  <c r="E751" i="5" s="1"/>
  <c r="G751" i="5"/>
  <c r="I751" i="5"/>
  <c r="J751" i="5"/>
  <c r="K751" i="5"/>
  <c r="L751" i="5"/>
  <c r="M751" i="5"/>
  <c r="N751" i="5"/>
  <c r="H751" i="5" s="1"/>
  <c r="F752" i="5"/>
  <c r="E752" i="5" s="1"/>
  <c r="G752" i="5"/>
  <c r="I752" i="5"/>
  <c r="J752" i="5"/>
  <c r="K752" i="5"/>
  <c r="L752" i="5"/>
  <c r="M752" i="5"/>
  <c r="N752" i="5"/>
  <c r="H752" i="5" s="1"/>
  <c r="F753" i="5"/>
  <c r="E753" i="5" s="1"/>
  <c r="G753" i="5"/>
  <c r="I753" i="5"/>
  <c r="J753" i="5"/>
  <c r="K753" i="5"/>
  <c r="L753" i="5"/>
  <c r="M753" i="5"/>
  <c r="N753" i="5"/>
  <c r="H753" i="5" s="1"/>
  <c r="F754" i="5"/>
  <c r="E754" i="5" s="1"/>
  <c r="G754" i="5"/>
  <c r="I754" i="5"/>
  <c r="J754" i="5"/>
  <c r="K754" i="5"/>
  <c r="L754" i="5"/>
  <c r="M754" i="5"/>
  <c r="N754" i="5"/>
  <c r="H754" i="5" s="1"/>
  <c r="F755" i="5"/>
  <c r="E755" i="5" s="1"/>
  <c r="G755" i="5"/>
  <c r="I755" i="5"/>
  <c r="J755" i="5"/>
  <c r="K755" i="5"/>
  <c r="L755" i="5"/>
  <c r="M755" i="5"/>
  <c r="N755" i="5"/>
  <c r="H755" i="5" s="1"/>
  <c r="E756" i="5"/>
  <c r="F756" i="5"/>
  <c r="G756" i="5"/>
  <c r="I756" i="5"/>
  <c r="J756" i="5"/>
  <c r="K756" i="5"/>
  <c r="L756" i="5"/>
  <c r="M756" i="5"/>
  <c r="N756" i="5"/>
  <c r="H756" i="5" s="1"/>
  <c r="F757" i="5"/>
  <c r="E757" i="5" s="1"/>
  <c r="G757" i="5"/>
  <c r="I757" i="5"/>
  <c r="J757" i="5"/>
  <c r="K757" i="5"/>
  <c r="L757" i="5"/>
  <c r="M757" i="5"/>
  <c r="N757" i="5"/>
  <c r="H757" i="5" s="1"/>
  <c r="F758" i="5"/>
  <c r="E758" i="5" s="1"/>
  <c r="G758" i="5"/>
  <c r="I758" i="5"/>
  <c r="J758" i="5"/>
  <c r="K758" i="5"/>
  <c r="L758" i="5"/>
  <c r="M758" i="5"/>
  <c r="N758" i="5"/>
  <c r="H758" i="5" s="1"/>
  <c r="F759" i="5"/>
  <c r="E759" i="5" s="1"/>
  <c r="G759" i="5"/>
  <c r="I759" i="5"/>
  <c r="J759" i="5"/>
  <c r="K759" i="5"/>
  <c r="L759" i="5"/>
  <c r="M759" i="5"/>
  <c r="N759" i="5"/>
  <c r="H759" i="5" s="1"/>
  <c r="F760" i="5"/>
  <c r="E760" i="5" s="1"/>
  <c r="G760" i="5"/>
  <c r="I760" i="5"/>
  <c r="J760" i="5"/>
  <c r="K760" i="5"/>
  <c r="L760" i="5"/>
  <c r="M760" i="5"/>
  <c r="N760" i="5"/>
  <c r="H760" i="5" s="1"/>
  <c r="F761" i="5"/>
  <c r="E761" i="5" s="1"/>
  <c r="G761" i="5"/>
  <c r="I761" i="5"/>
  <c r="J761" i="5"/>
  <c r="K761" i="5"/>
  <c r="L761" i="5"/>
  <c r="M761" i="5"/>
  <c r="N761" i="5"/>
  <c r="H761" i="5" s="1"/>
  <c r="F762" i="5"/>
  <c r="E762" i="5" s="1"/>
  <c r="G762" i="5"/>
  <c r="I762" i="5"/>
  <c r="J762" i="5"/>
  <c r="K762" i="5"/>
  <c r="L762" i="5"/>
  <c r="M762" i="5"/>
  <c r="N762" i="5"/>
  <c r="H762" i="5" s="1"/>
  <c r="F763" i="5"/>
  <c r="E763" i="5" s="1"/>
  <c r="G763" i="5"/>
  <c r="I763" i="5"/>
  <c r="J763" i="5"/>
  <c r="K763" i="5"/>
  <c r="L763" i="5"/>
  <c r="M763" i="5"/>
  <c r="N763" i="5"/>
  <c r="H763" i="5" s="1"/>
  <c r="F764" i="5"/>
  <c r="E764" i="5" s="1"/>
  <c r="G764" i="5"/>
  <c r="I764" i="5"/>
  <c r="J764" i="5"/>
  <c r="K764" i="5"/>
  <c r="L764" i="5"/>
  <c r="M764" i="5"/>
  <c r="N764" i="5"/>
  <c r="H764" i="5" s="1"/>
  <c r="F765" i="5"/>
  <c r="E765" i="5" s="1"/>
  <c r="G765" i="5"/>
  <c r="I765" i="5"/>
  <c r="J765" i="5"/>
  <c r="K765" i="5"/>
  <c r="L765" i="5"/>
  <c r="M765" i="5"/>
  <c r="N765" i="5"/>
  <c r="H765" i="5" s="1"/>
  <c r="F766" i="5"/>
  <c r="E766" i="5" s="1"/>
  <c r="G766" i="5"/>
  <c r="I766" i="5"/>
  <c r="J766" i="5"/>
  <c r="K766" i="5"/>
  <c r="L766" i="5"/>
  <c r="M766" i="5"/>
  <c r="N766" i="5"/>
  <c r="H766" i="5" s="1"/>
  <c r="F767" i="5"/>
  <c r="E767" i="5" s="1"/>
  <c r="G767" i="5"/>
  <c r="I767" i="5"/>
  <c r="J767" i="5"/>
  <c r="K767" i="5"/>
  <c r="L767" i="5"/>
  <c r="M767" i="5"/>
  <c r="N767" i="5"/>
  <c r="H767" i="5" s="1"/>
  <c r="F768" i="5"/>
  <c r="E768" i="5" s="1"/>
  <c r="G768" i="5"/>
  <c r="I768" i="5"/>
  <c r="J768" i="5"/>
  <c r="K768" i="5"/>
  <c r="L768" i="5"/>
  <c r="M768" i="5"/>
  <c r="N768" i="5"/>
  <c r="H768" i="5" s="1"/>
  <c r="F769" i="5"/>
  <c r="E769" i="5" s="1"/>
  <c r="G769" i="5"/>
  <c r="I769" i="5"/>
  <c r="J769" i="5"/>
  <c r="K769" i="5"/>
  <c r="L769" i="5"/>
  <c r="M769" i="5"/>
  <c r="N769" i="5"/>
  <c r="H769" i="5" s="1"/>
  <c r="F770" i="5"/>
  <c r="E770" i="5" s="1"/>
  <c r="G770" i="5"/>
  <c r="I770" i="5"/>
  <c r="J770" i="5"/>
  <c r="K770" i="5"/>
  <c r="L770" i="5"/>
  <c r="M770" i="5"/>
  <c r="N770" i="5"/>
  <c r="H770" i="5" s="1"/>
  <c r="F771" i="5"/>
  <c r="E771" i="5" s="1"/>
  <c r="G771" i="5"/>
  <c r="I771" i="5"/>
  <c r="J771" i="5"/>
  <c r="K771" i="5"/>
  <c r="L771" i="5"/>
  <c r="M771" i="5"/>
  <c r="N771" i="5"/>
  <c r="H771" i="5" s="1"/>
  <c r="F772" i="5"/>
  <c r="E772" i="5" s="1"/>
  <c r="G772" i="5"/>
  <c r="I772" i="5"/>
  <c r="J772" i="5"/>
  <c r="K772" i="5"/>
  <c r="L772" i="5"/>
  <c r="M772" i="5"/>
  <c r="N772" i="5"/>
  <c r="H772" i="5" s="1"/>
  <c r="F773" i="5"/>
  <c r="E773" i="5" s="1"/>
  <c r="G773" i="5"/>
  <c r="I773" i="5"/>
  <c r="J773" i="5"/>
  <c r="K773" i="5"/>
  <c r="L773" i="5"/>
  <c r="M773" i="5"/>
  <c r="N773" i="5"/>
  <c r="H773" i="5" s="1"/>
  <c r="F774" i="5"/>
  <c r="E774" i="5" s="1"/>
  <c r="G774" i="5"/>
  <c r="I774" i="5"/>
  <c r="J774" i="5"/>
  <c r="K774" i="5"/>
  <c r="L774" i="5"/>
  <c r="M774" i="5"/>
  <c r="N774" i="5"/>
  <c r="H774" i="5" s="1"/>
  <c r="F775" i="5"/>
  <c r="E775" i="5" s="1"/>
  <c r="G775" i="5"/>
  <c r="I775" i="5"/>
  <c r="J775" i="5"/>
  <c r="K775" i="5"/>
  <c r="L775" i="5"/>
  <c r="M775" i="5"/>
  <c r="N775" i="5"/>
  <c r="H775" i="5" s="1"/>
  <c r="F776" i="5"/>
  <c r="E776" i="5" s="1"/>
  <c r="G776" i="5"/>
  <c r="I776" i="5"/>
  <c r="J776" i="5"/>
  <c r="K776" i="5"/>
  <c r="L776" i="5"/>
  <c r="M776" i="5"/>
  <c r="N776" i="5"/>
  <c r="H776" i="5" s="1"/>
  <c r="F777" i="5"/>
  <c r="E777" i="5" s="1"/>
  <c r="G777" i="5"/>
  <c r="I777" i="5"/>
  <c r="J777" i="5"/>
  <c r="K777" i="5"/>
  <c r="L777" i="5"/>
  <c r="M777" i="5"/>
  <c r="N777" i="5"/>
  <c r="H777" i="5" s="1"/>
  <c r="F778" i="5"/>
  <c r="E778" i="5" s="1"/>
  <c r="G778" i="5"/>
  <c r="I778" i="5"/>
  <c r="J778" i="5"/>
  <c r="K778" i="5"/>
  <c r="L778" i="5"/>
  <c r="M778" i="5"/>
  <c r="N778" i="5"/>
  <c r="H778" i="5" s="1"/>
  <c r="F779" i="5"/>
  <c r="E779" i="5" s="1"/>
  <c r="G779" i="5"/>
  <c r="I779" i="5"/>
  <c r="J779" i="5"/>
  <c r="K779" i="5"/>
  <c r="L779" i="5"/>
  <c r="M779" i="5"/>
  <c r="N779" i="5"/>
  <c r="H779" i="5" s="1"/>
  <c r="F780" i="5"/>
  <c r="E780" i="5" s="1"/>
  <c r="G780" i="5"/>
  <c r="I780" i="5"/>
  <c r="J780" i="5"/>
  <c r="K780" i="5"/>
  <c r="L780" i="5"/>
  <c r="M780" i="5"/>
  <c r="N780" i="5"/>
  <c r="H780" i="5" s="1"/>
  <c r="F781" i="5"/>
  <c r="E781" i="5" s="1"/>
  <c r="G781" i="5"/>
  <c r="I781" i="5"/>
  <c r="J781" i="5"/>
  <c r="K781" i="5"/>
  <c r="L781" i="5"/>
  <c r="M781" i="5"/>
  <c r="N781" i="5"/>
  <c r="H781" i="5" s="1"/>
  <c r="F782" i="5"/>
  <c r="E782" i="5" s="1"/>
  <c r="G782" i="5"/>
  <c r="I782" i="5"/>
  <c r="J782" i="5"/>
  <c r="K782" i="5"/>
  <c r="L782" i="5"/>
  <c r="M782" i="5"/>
  <c r="N782" i="5"/>
  <c r="H782" i="5" s="1"/>
  <c r="F783" i="5"/>
  <c r="E783" i="5" s="1"/>
  <c r="G783" i="5"/>
  <c r="I783" i="5"/>
  <c r="J783" i="5"/>
  <c r="K783" i="5"/>
  <c r="L783" i="5"/>
  <c r="M783" i="5"/>
  <c r="N783" i="5"/>
  <c r="H783" i="5" s="1"/>
  <c r="F784" i="5"/>
  <c r="E784" i="5" s="1"/>
  <c r="G784" i="5"/>
  <c r="I784" i="5"/>
  <c r="J784" i="5"/>
  <c r="K784" i="5"/>
  <c r="L784" i="5"/>
  <c r="M784" i="5"/>
  <c r="N784" i="5"/>
  <c r="H784" i="5" s="1"/>
  <c r="F785" i="5"/>
  <c r="E785" i="5" s="1"/>
  <c r="G785" i="5"/>
  <c r="I785" i="5"/>
  <c r="J785" i="5"/>
  <c r="K785" i="5"/>
  <c r="L785" i="5"/>
  <c r="M785" i="5"/>
  <c r="N785" i="5"/>
  <c r="H785" i="5" s="1"/>
  <c r="F786" i="5"/>
  <c r="E786" i="5" s="1"/>
  <c r="G786" i="5"/>
  <c r="I786" i="5"/>
  <c r="J786" i="5"/>
  <c r="K786" i="5"/>
  <c r="L786" i="5"/>
  <c r="M786" i="5"/>
  <c r="N786" i="5"/>
  <c r="H786" i="5" s="1"/>
  <c r="F787" i="5"/>
  <c r="E787" i="5" s="1"/>
  <c r="G787" i="5"/>
  <c r="I787" i="5"/>
  <c r="J787" i="5"/>
  <c r="K787" i="5"/>
  <c r="L787" i="5"/>
  <c r="M787" i="5"/>
  <c r="N787" i="5"/>
  <c r="H787" i="5" s="1"/>
  <c r="F788" i="5"/>
  <c r="E788" i="5" s="1"/>
  <c r="G788" i="5"/>
  <c r="I788" i="5"/>
  <c r="J788" i="5"/>
  <c r="K788" i="5"/>
  <c r="L788" i="5"/>
  <c r="M788" i="5"/>
  <c r="N788" i="5"/>
  <c r="H788" i="5" s="1"/>
  <c r="F789" i="5"/>
  <c r="E789" i="5" s="1"/>
  <c r="G789" i="5"/>
  <c r="I789" i="5"/>
  <c r="J789" i="5"/>
  <c r="K789" i="5"/>
  <c r="L789" i="5"/>
  <c r="M789" i="5"/>
  <c r="N789" i="5"/>
  <c r="H789" i="5" s="1"/>
  <c r="F790" i="5"/>
  <c r="E790" i="5" s="1"/>
  <c r="G790" i="5"/>
  <c r="I790" i="5"/>
  <c r="J790" i="5"/>
  <c r="K790" i="5"/>
  <c r="L790" i="5"/>
  <c r="M790" i="5"/>
  <c r="N790" i="5"/>
  <c r="H790" i="5" s="1"/>
  <c r="F791" i="5"/>
  <c r="E791" i="5" s="1"/>
  <c r="G791" i="5"/>
  <c r="I791" i="5"/>
  <c r="J791" i="5"/>
  <c r="K791" i="5"/>
  <c r="L791" i="5"/>
  <c r="M791" i="5"/>
  <c r="N791" i="5"/>
  <c r="H791" i="5" s="1"/>
  <c r="F792" i="5"/>
  <c r="E792" i="5" s="1"/>
  <c r="G792" i="5"/>
  <c r="I792" i="5"/>
  <c r="J792" i="5"/>
  <c r="K792" i="5"/>
  <c r="L792" i="5"/>
  <c r="M792" i="5"/>
  <c r="N792" i="5"/>
  <c r="H792" i="5" s="1"/>
  <c r="F793" i="5"/>
  <c r="E793" i="5" s="1"/>
  <c r="G793" i="5"/>
  <c r="I793" i="5"/>
  <c r="J793" i="5"/>
  <c r="K793" i="5"/>
  <c r="L793" i="5"/>
  <c r="M793" i="5"/>
  <c r="N793" i="5"/>
  <c r="H793" i="5" s="1"/>
  <c r="E794" i="5"/>
  <c r="F794" i="5"/>
  <c r="G794" i="5"/>
  <c r="I794" i="5"/>
  <c r="J794" i="5"/>
  <c r="K794" i="5"/>
  <c r="L794" i="5"/>
  <c r="M794" i="5"/>
  <c r="N794" i="5"/>
  <c r="H794" i="5" s="1"/>
  <c r="F795" i="5"/>
  <c r="E795" i="5" s="1"/>
  <c r="G795" i="5"/>
  <c r="I795" i="5"/>
  <c r="J795" i="5"/>
  <c r="K795" i="5"/>
  <c r="L795" i="5"/>
  <c r="M795" i="5"/>
  <c r="N795" i="5"/>
  <c r="H795" i="5" s="1"/>
  <c r="F796" i="5"/>
  <c r="E796" i="5" s="1"/>
  <c r="G796" i="5"/>
  <c r="I796" i="5"/>
  <c r="J796" i="5"/>
  <c r="K796" i="5"/>
  <c r="L796" i="5"/>
  <c r="M796" i="5"/>
  <c r="N796" i="5"/>
  <c r="H796" i="5" s="1"/>
  <c r="F797" i="5"/>
  <c r="E797" i="5" s="1"/>
  <c r="G797" i="5"/>
  <c r="I797" i="5"/>
  <c r="J797" i="5"/>
  <c r="K797" i="5"/>
  <c r="L797" i="5"/>
  <c r="M797" i="5"/>
  <c r="N797" i="5"/>
  <c r="H797" i="5" s="1"/>
  <c r="F798" i="5"/>
  <c r="E798" i="5" s="1"/>
  <c r="G798" i="5"/>
  <c r="I798" i="5"/>
  <c r="J798" i="5"/>
  <c r="K798" i="5"/>
  <c r="L798" i="5"/>
  <c r="M798" i="5"/>
  <c r="N798" i="5"/>
  <c r="H798" i="5" s="1"/>
  <c r="F799" i="5"/>
  <c r="E799" i="5" s="1"/>
  <c r="G799" i="5"/>
  <c r="I799" i="5"/>
  <c r="J799" i="5"/>
  <c r="K799" i="5"/>
  <c r="L799" i="5"/>
  <c r="M799" i="5"/>
  <c r="N799" i="5"/>
  <c r="H799" i="5" s="1"/>
  <c r="F800" i="5"/>
  <c r="E800" i="5" s="1"/>
  <c r="G800" i="5"/>
  <c r="I800" i="5"/>
  <c r="J800" i="5"/>
  <c r="K800" i="5"/>
  <c r="L800" i="5"/>
  <c r="M800" i="5"/>
  <c r="N800" i="5"/>
  <c r="H800" i="5" s="1"/>
  <c r="F801" i="5"/>
  <c r="E801" i="5" s="1"/>
  <c r="G801" i="5"/>
  <c r="I801" i="5"/>
  <c r="J801" i="5"/>
  <c r="K801" i="5"/>
  <c r="L801" i="5"/>
  <c r="M801" i="5"/>
  <c r="N801" i="5"/>
  <c r="H801" i="5" s="1"/>
  <c r="F802" i="5"/>
  <c r="E802" i="5" s="1"/>
  <c r="G802" i="5"/>
  <c r="I802" i="5"/>
  <c r="J802" i="5"/>
  <c r="K802" i="5"/>
  <c r="L802" i="5"/>
  <c r="M802" i="5"/>
  <c r="N802" i="5"/>
  <c r="H802" i="5" s="1"/>
  <c r="F803" i="5"/>
  <c r="E803" i="5" s="1"/>
  <c r="G803" i="5"/>
  <c r="I803" i="5"/>
  <c r="J803" i="5"/>
  <c r="K803" i="5"/>
  <c r="L803" i="5"/>
  <c r="M803" i="5"/>
  <c r="N803" i="5"/>
  <c r="H803" i="5" s="1"/>
  <c r="F804" i="5"/>
  <c r="E804" i="5" s="1"/>
  <c r="G804" i="5"/>
  <c r="I804" i="5"/>
  <c r="J804" i="5"/>
  <c r="K804" i="5"/>
  <c r="L804" i="5"/>
  <c r="M804" i="5"/>
  <c r="N804" i="5"/>
  <c r="H804" i="5" s="1"/>
  <c r="F805" i="5"/>
  <c r="E805" i="5" s="1"/>
  <c r="G805" i="5"/>
  <c r="I805" i="5"/>
  <c r="J805" i="5"/>
  <c r="K805" i="5"/>
  <c r="L805" i="5"/>
  <c r="M805" i="5"/>
  <c r="N805" i="5"/>
  <c r="H805" i="5" s="1"/>
  <c r="F806" i="5"/>
  <c r="E806" i="5" s="1"/>
  <c r="G806" i="5"/>
  <c r="I806" i="5"/>
  <c r="J806" i="5"/>
  <c r="K806" i="5"/>
  <c r="L806" i="5"/>
  <c r="M806" i="5"/>
  <c r="N806" i="5"/>
  <c r="H806" i="5" s="1"/>
  <c r="F807" i="5"/>
  <c r="E807" i="5" s="1"/>
  <c r="G807" i="5"/>
  <c r="I807" i="5"/>
  <c r="J807" i="5"/>
  <c r="K807" i="5"/>
  <c r="L807" i="5"/>
  <c r="M807" i="5"/>
  <c r="N807" i="5"/>
  <c r="H807" i="5" s="1"/>
  <c r="F808" i="5"/>
  <c r="E808" i="5" s="1"/>
  <c r="G808" i="5"/>
  <c r="I808" i="5"/>
  <c r="J808" i="5"/>
  <c r="K808" i="5"/>
  <c r="L808" i="5"/>
  <c r="M808" i="5"/>
  <c r="N808" i="5"/>
  <c r="H808" i="5" s="1"/>
  <c r="F809" i="5"/>
  <c r="E809" i="5" s="1"/>
  <c r="G809" i="5"/>
  <c r="I809" i="5"/>
  <c r="J809" i="5"/>
  <c r="K809" i="5"/>
  <c r="L809" i="5"/>
  <c r="M809" i="5"/>
  <c r="N809" i="5"/>
  <c r="H809" i="5" s="1"/>
  <c r="F810" i="5"/>
  <c r="E810" i="5" s="1"/>
  <c r="G810" i="5"/>
  <c r="I810" i="5"/>
  <c r="J810" i="5"/>
  <c r="K810" i="5"/>
  <c r="L810" i="5"/>
  <c r="M810" i="5"/>
  <c r="N810" i="5"/>
  <c r="H810" i="5" s="1"/>
  <c r="F811" i="5"/>
  <c r="E811" i="5" s="1"/>
  <c r="G811" i="5"/>
  <c r="I811" i="5"/>
  <c r="J811" i="5"/>
  <c r="K811" i="5"/>
  <c r="L811" i="5"/>
  <c r="M811" i="5"/>
  <c r="N811" i="5"/>
  <c r="H811" i="5" s="1"/>
  <c r="F812" i="5"/>
  <c r="E812" i="5" s="1"/>
  <c r="G812" i="5"/>
  <c r="H812" i="5"/>
  <c r="I812" i="5"/>
  <c r="J812" i="5"/>
  <c r="K812" i="5"/>
  <c r="L812" i="5"/>
  <c r="M812" i="5"/>
  <c r="N812" i="5"/>
  <c r="F813" i="5"/>
  <c r="E813" i="5" s="1"/>
  <c r="G813" i="5"/>
  <c r="I813" i="5"/>
  <c r="J813" i="5"/>
  <c r="K813" i="5"/>
  <c r="L813" i="5"/>
  <c r="M813" i="5"/>
  <c r="N813" i="5"/>
  <c r="H813" i="5" s="1"/>
  <c r="F814" i="5"/>
  <c r="E814" i="5" s="1"/>
  <c r="G814" i="5"/>
  <c r="I814" i="5"/>
  <c r="J814" i="5"/>
  <c r="K814" i="5"/>
  <c r="L814" i="5"/>
  <c r="M814" i="5"/>
  <c r="N814" i="5"/>
  <c r="H814" i="5" s="1"/>
  <c r="F815" i="5"/>
  <c r="E815" i="5" s="1"/>
  <c r="G815" i="5"/>
  <c r="I815" i="5"/>
  <c r="J815" i="5"/>
  <c r="K815" i="5"/>
  <c r="L815" i="5"/>
  <c r="M815" i="5"/>
  <c r="N815" i="5"/>
  <c r="H815" i="5" s="1"/>
  <c r="F816" i="5"/>
  <c r="E816" i="5" s="1"/>
  <c r="G816" i="5"/>
  <c r="I816" i="5"/>
  <c r="J816" i="5"/>
  <c r="K816" i="5"/>
  <c r="L816" i="5"/>
  <c r="M816" i="5"/>
  <c r="N816" i="5"/>
  <c r="H816" i="5" s="1"/>
  <c r="F817" i="5"/>
  <c r="E817" i="5" s="1"/>
  <c r="G817" i="5"/>
  <c r="I817" i="5"/>
  <c r="J817" i="5"/>
  <c r="K817" i="5"/>
  <c r="L817" i="5"/>
  <c r="M817" i="5"/>
  <c r="N817" i="5"/>
  <c r="H817" i="5" s="1"/>
  <c r="F818" i="5"/>
  <c r="E818" i="5" s="1"/>
  <c r="G818" i="5"/>
  <c r="I818" i="5"/>
  <c r="J818" i="5"/>
  <c r="K818" i="5"/>
  <c r="L818" i="5"/>
  <c r="M818" i="5"/>
  <c r="N818" i="5"/>
  <c r="H818" i="5" s="1"/>
  <c r="F819" i="5"/>
  <c r="E819" i="5" s="1"/>
  <c r="G819" i="5"/>
  <c r="I819" i="5"/>
  <c r="J819" i="5"/>
  <c r="K819" i="5"/>
  <c r="L819" i="5"/>
  <c r="M819" i="5"/>
  <c r="N819" i="5"/>
  <c r="H819" i="5" s="1"/>
  <c r="F820" i="5"/>
  <c r="E820" i="5" s="1"/>
  <c r="G820" i="5"/>
  <c r="I820" i="5"/>
  <c r="J820" i="5"/>
  <c r="K820" i="5"/>
  <c r="L820" i="5"/>
  <c r="M820" i="5"/>
  <c r="N820" i="5"/>
  <c r="H820" i="5" s="1"/>
  <c r="F821" i="5"/>
  <c r="E821" i="5" s="1"/>
  <c r="G821" i="5"/>
  <c r="I821" i="5"/>
  <c r="J821" i="5"/>
  <c r="K821" i="5"/>
  <c r="L821" i="5"/>
  <c r="M821" i="5"/>
  <c r="N821" i="5"/>
  <c r="H821" i="5" s="1"/>
  <c r="F822" i="5"/>
  <c r="E822" i="5" s="1"/>
  <c r="G822" i="5"/>
  <c r="I822" i="5"/>
  <c r="J822" i="5"/>
  <c r="K822" i="5"/>
  <c r="L822" i="5"/>
  <c r="M822" i="5"/>
  <c r="N822" i="5"/>
  <c r="H822" i="5" s="1"/>
  <c r="F823" i="5"/>
  <c r="E823" i="5" s="1"/>
  <c r="G823" i="5"/>
  <c r="I823" i="5"/>
  <c r="J823" i="5"/>
  <c r="K823" i="5"/>
  <c r="L823" i="5"/>
  <c r="M823" i="5"/>
  <c r="N823" i="5"/>
  <c r="H823" i="5" s="1"/>
  <c r="F824" i="5"/>
  <c r="E824" i="5" s="1"/>
  <c r="G824" i="5"/>
  <c r="I824" i="5"/>
  <c r="J824" i="5"/>
  <c r="K824" i="5"/>
  <c r="L824" i="5"/>
  <c r="M824" i="5"/>
  <c r="N824" i="5"/>
  <c r="H824" i="5" s="1"/>
  <c r="F825" i="5"/>
  <c r="E825" i="5" s="1"/>
  <c r="G825" i="5"/>
  <c r="I825" i="5"/>
  <c r="J825" i="5"/>
  <c r="K825" i="5"/>
  <c r="L825" i="5"/>
  <c r="M825" i="5"/>
  <c r="N825" i="5"/>
  <c r="H825" i="5" s="1"/>
  <c r="F826" i="5"/>
  <c r="E826" i="5" s="1"/>
  <c r="G826" i="5"/>
  <c r="I826" i="5"/>
  <c r="J826" i="5"/>
  <c r="K826" i="5"/>
  <c r="L826" i="5"/>
  <c r="M826" i="5"/>
  <c r="N826" i="5"/>
  <c r="H826" i="5" s="1"/>
  <c r="F827" i="5"/>
  <c r="E827" i="5" s="1"/>
  <c r="G827" i="5"/>
  <c r="I827" i="5"/>
  <c r="J827" i="5"/>
  <c r="K827" i="5"/>
  <c r="L827" i="5"/>
  <c r="M827" i="5"/>
  <c r="N827" i="5"/>
  <c r="H827" i="5" s="1"/>
  <c r="F828" i="5"/>
  <c r="E828" i="5" s="1"/>
  <c r="G828" i="5"/>
  <c r="I828" i="5"/>
  <c r="J828" i="5"/>
  <c r="K828" i="5"/>
  <c r="L828" i="5"/>
  <c r="M828" i="5"/>
  <c r="N828" i="5"/>
  <c r="H828" i="5" s="1"/>
  <c r="F829" i="5"/>
  <c r="E829" i="5" s="1"/>
  <c r="G829" i="5"/>
  <c r="I829" i="5"/>
  <c r="J829" i="5"/>
  <c r="K829" i="5"/>
  <c r="L829" i="5"/>
  <c r="M829" i="5"/>
  <c r="N829" i="5"/>
  <c r="H829" i="5" s="1"/>
  <c r="F830" i="5"/>
  <c r="E830" i="5" s="1"/>
  <c r="G830" i="5"/>
  <c r="I830" i="5"/>
  <c r="J830" i="5"/>
  <c r="K830" i="5"/>
  <c r="L830" i="5"/>
  <c r="M830" i="5"/>
  <c r="N830" i="5"/>
  <c r="H830" i="5" s="1"/>
  <c r="F831" i="5"/>
  <c r="E831" i="5" s="1"/>
  <c r="G831" i="5"/>
  <c r="I831" i="5"/>
  <c r="J831" i="5"/>
  <c r="K831" i="5"/>
  <c r="L831" i="5"/>
  <c r="M831" i="5"/>
  <c r="N831" i="5"/>
  <c r="H831" i="5" s="1"/>
  <c r="F832" i="5"/>
  <c r="E832" i="5" s="1"/>
  <c r="G832" i="5"/>
  <c r="I832" i="5"/>
  <c r="J832" i="5"/>
  <c r="K832" i="5"/>
  <c r="L832" i="5"/>
  <c r="M832" i="5"/>
  <c r="N832" i="5"/>
  <c r="H832" i="5" s="1"/>
  <c r="F833" i="5"/>
  <c r="E833" i="5" s="1"/>
  <c r="G833" i="5"/>
  <c r="I833" i="5"/>
  <c r="J833" i="5"/>
  <c r="K833" i="5"/>
  <c r="L833" i="5"/>
  <c r="M833" i="5"/>
  <c r="N833" i="5"/>
  <c r="H833" i="5" s="1"/>
  <c r="F834" i="5"/>
  <c r="E834" i="5" s="1"/>
  <c r="G834" i="5"/>
  <c r="I834" i="5"/>
  <c r="J834" i="5"/>
  <c r="K834" i="5"/>
  <c r="L834" i="5"/>
  <c r="M834" i="5"/>
  <c r="N834" i="5"/>
  <c r="H834" i="5" s="1"/>
  <c r="F835" i="5"/>
  <c r="E835" i="5" s="1"/>
  <c r="G835" i="5"/>
  <c r="I835" i="5"/>
  <c r="J835" i="5"/>
  <c r="K835" i="5"/>
  <c r="L835" i="5"/>
  <c r="M835" i="5"/>
  <c r="N835" i="5"/>
  <c r="H835" i="5" s="1"/>
  <c r="F836" i="5"/>
  <c r="E836" i="5" s="1"/>
  <c r="G836" i="5"/>
  <c r="I836" i="5"/>
  <c r="J836" i="5"/>
  <c r="K836" i="5"/>
  <c r="L836" i="5"/>
  <c r="M836" i="5"/>
  <c r="N836" i="5"/>
  <c r="H836" i="5" s="1"/>
  <c r="F837" i="5"/>
  <c r="E837" i="5" s="1"/>
  <c r="G837" i="5"/>
  <c r="I837" i="5"/>
  <c r="J837" i="5"/>
  <c r="K837" i="5"/>
  <c r="L837" i="5"/>
  <c r="M837" i="5"/>
  <c r="N837" i="5"/>
  <c r="H837" i="5" s="1"/>
  <c r="F838" i="5"/>
  <c r="E838" i="5" s="1"/>
  <c r="G838" i="5"/>
  <c r="I838" i="5"/>
  <c r="J838" i="5"/>
  <c r="K838" i="5"/>
  <c r="L838" i="5"/>
  <c r="M838" i="5"/>
  <c r="N838" i="5"/>
  <c r="H838" i="5" s="1"/>
  <c r="F839" i="5"/>
  <c r="E839" i="5" s="1"/>
  <c r="G839" i="5"/>
  <c r="I839" i="5"/>
  <c r="J839" i="5"/>
  <c r="K839" i="5"/>
  <c r="L839" i="5"/>
  <c r="M839" i="5"/>
  <c r="N839" i="5"/>
  <c r="H839" i="5" s="1"/>
  <c r="F840" i="5"/>
  <c r="E840" i="5" s="1"/>
  <c r="G840" i="5"/>
  <c r="I840" i="5"/>
  <c r="J840" i="5"/>
  <c r="K840" i="5"/>
  <c r="L840" i="5"/>
  <c r="M840" i="5"/>
  <c r="N840" i="5"/>
  <c r="H840" i="5" s="1"/>
  <c r="F841" i="5"/>
  <c r="E841" i="5" s="1"/>
  <c r="G841" i="5"/>
  <c r="I841" i="5"/>
  <c r="J841" i="5"/>
  <c r="K841" i="5"/>
  <c r="L841" i="5"/>
  <c r="M841" i="5"/>
  <c r="N841" i="5"/>
  <c r="H841" i="5" s="1"/>
  <c r="F842" i="5"/>
  <c r="E842" i="5" s="1"/>
  <c r="G842" i="5"/>
  <c r="I842" i="5"/>
  <c r="J842" i="5"/>
  <c r="K842" i="5"/>
  <c r="L842" i="5"/>
  <c r="M842" i="5"/>
  <c r="N842" i="5"/>
  <c r="H842" i="5" s="1"/>
  <c r="F843" i="5"/>
  <c r="E843" i="5" s="1"/>
  <c r="G843" i="5"/>
  <c r="I843" i="5"/>
  <c r="J843" i="5"/>
  <c r="K843" i="5"/>
  <c r="L843" i="5"/>
  <c r="M843" i="5"/>
  <c r="N843" i="5"/>
  <c r="H843" i="5" s="1"/>
  <c r="F844" i="5"/>
  <c r="E844" i="5" s="1"/>
  <c r="G844" i="5"/>
  <c r="I844" i="5"/>
  <c r="J844" i="5"/>
  <c r="K844" i="5"/>
  <c r="L844" i="5"/>
  <c r="M844" i="5"/>
  <c r="N844" i="5"/>
  <c r="H844" i="5" s="1"/>
  <c r="F845" i="5"/>
  <c r="E845" i="5" s="1"/>
  <c r="G845" i="5"/>
  <c r="I845" i="5"/>
  <c r="J845" i="5"/>
  <c r="K845" i="5"/>
  <c r="L845" i="5"/>
  <c r="M845" i="5"/>
  <c r="N845" i="5"/>
  <c r="H845" i="5" s="1"/>
  <c r="F846" i="5"/>
  <c r="E846" i="5" s="1"/>
  <c r="G846" i="5"/>
  <c r="I846" i="5"/>
  <c r="J846" i="5"/>
  <c r="K846" i="5"/>
  <c r="L846" i="5"/>
  <c r="M846" i="5"/>
  <c r="N846" i="5"/>
  <c r="H846" i="5" s="1"/>
  <c r="F847" i="5"/>
  <c r="E847" i="5" s="1"/>
  <c r="G847" i="5"/>
  <c r="I847" i="5"/>
  <c r="J847" i="5"/>
  <c r="K847" i="5"/>
  <c r="L847" i="5"/>
  <c r="M847" i="5"/>
  <c r="N847" i="5"/>
  <c r="H847" i="5" s="1"/>
  <c r="F848" i="5"/>
  <c r="E848" i="5" s="1"/>
  <c r="G848" i="5"/>
  <c r="I848" i="5"/>
  <c r="J848" i="5"/>
  <c r="K848" i="5"/>
  <c r="L848" i="5"/>
  <c r="M848" i="5"/>
  <c r="N848" i="5"/>
  <c r="H848" i="5" s="1"/>
  <c r="F849" i="5"/>
  <c r="E849" i="5" s="1"/>
  <c r="G849" i="5"/>
  <c r="I849" i="5"/>
  <c r="J849" i="5"/>
  <c r="K849" i="5"/>
  <c r="L849" i="5"/>
  <c r="M849" i="5"/>
  <c r="N849" i="5"/>
  <c r="H849" i="5" s="1"/>
  <c r="F850" i="5"/>
  <c r="E850" i="5" s="1"/>
  <c r="G850" i="5"/>
  <c r="I850" i="5"/>
  <c r="J850" i="5"/>
  <c r="K850" i="5"/>
  <c r="L850" i="5"/>
  <c r="M850" i="5"/>
  <c r="N850" i="5"/>
  <c r="H850" i="5" s="1"/>
  <c r="F851" i="5"/>
  <c r="E851" i="5" s="1"/>
  <c r="G851" i="5"/>
  <c r="I851" i="5"/>
  <c r="J851" i="5"/>
  <c r="K851" i="5"/>
  <c r="L851" i="5"/>
  <c r="M851" i="5"/>
  <c r="N851" i="5"/>
  <c r="H851" i="5" s="1"/>
  <c r="F852" i="5"/>
  <c r="E852" i="5" s="1"/>
  <c r="G852" i="5"/>
  <c r="I852" i="5"/>
  <c r="J852" i="5"/>
  <c r="K852" i="5"/>
  <c r="L852" i="5"/>
  <c r="M852" i="5"/>
  <c r="N852" i="5"/>
  <c r="H852" i="5" s="1"/>
  <c r="F853" i="5"/>
  <c r="E853" i="5" s="1"/>
  <c r="G853" i="5"/>
  <c r="I853" i="5"/>
  <c r="J853" i="5"/>
  <c r="K853" i="5"/>
  <c r="L853" i="5"/>
  <c r="M853" i="5"/>
  <c r="N853" i="5"/>
  <c r="H853" i="5" s="1"/>
  <c r="F854" i="5"/>
  <c r="E854" i="5" s="1"/>
  <c r="G854" i="5"/>
  <c r="I854" i="5"/>
  <c r="J854" i="5"/>
  <c r="K854" i="5"/>
  <c r="L854" i="5"/>
  <c r="M854" i="5"/>
  <c r="N854" i="5"/>
  <c r="H854" i="5" s="1"/>
  <c r="F855" i="5"/>
  <c r="E855" i="5" s="1"/>
  <c r="G855" i="5"/>
  <c r="I855" i="5"/>
  <c r="J855" i="5"/>
  <c r="K855" i="5"/>
  <c r="L855" i="5"/>
  <c r="M855" i="5"/>
  <c r="N855" i="5"/>
  <c r="H855" i="5" s="1"/>
  <c r="F856" i="5"/>
  <c r="E856" i="5" s="1"/>
  <c r="G856" i="5"/>
  <c r="I856" i="5"/>
  <c r="J856" i="5"/>
  <c r="K856" i="5"/>
  <c r="L856" i="5"/>
  <c r="M856" i="5"/>
  <c r="N856" i="5"/>
  <c r="H856" i="5" s="1"/>
  <c r="F857" i="5"/>
  <c r="E857" i="5" s="1"/>
  <c r="G857" i="5"/>
  <c r="I857" i="5"/>
  <c r="J857" i="5"/>
  <c r="K857" i="5"/>
  <c r="L857" i="5"/>
  <c r="M857" i="5"/>
  <c r="N857" i="5"/>
  <c r="H857" i="5" s="1"/>
  <c r="F858" i="5"/>
  <c r="E858" i="5" s="1"/>
  <c r="G858" i="5"/>
  <c r="I858" i="5"/>
  <c r="J858" i="5"/>
  <c r="K858" i="5"/>
  <c r="L858" i="5"/>
  <c r="M858" i="5"/>
  <c r="N858" i="5"/>
  <c r="H858" i="5" s="1"/>
  <c r="F859" i="5"/>
  <c r="E859" i="5" s="1"/>
  <c r="G859" i="5"/>
  <c r="I859" i="5"/>
  <c r="J859" i="5"/>
  <c r="K859" i="5"/>
  <c r="L859" i="5"/>
  <c r="M859" i="5"/>
  <c r="N859" i="5"/>
  <c r="H859" i="5" s="1"/>
  <c r="F860" i="5"/>
  <c r="E860" i="5" s="1"/>
  <c r="G860" i="5"/>
  <c r="I860" i="5"/>
  <c r="J860" i="5"/>
  <c r="K860" i="5"/>
  <c r="L860" i="5"/>
  <c r="M860" i="5"/>
  <c r="N860" i="5"/>
  <c r="H860" i="5" s="1"/>
  <c r="F861" i="5"/>
  <c r="E861" i="5" s="1"/>
  <c r="G861" i="5"/>
  <c r="I861" i="5"/>
  <c r="J861" i="5"/>
  <c r="K861" i="5"/>
  <c r="L861" i="5"/>
  <c r="M861" i="5"/>
  <c r="N861" i="5"/>
  <c r="H861" i="5" s="1"/>
  <c r="F862" i="5"/>
  <c r="E862" i="5" s="1"/>
  <c r="G862" i="5"/>
  <c r="I862" i="5"/>
  <c r="J862" i="5"/>
  <c r="K862" i="5"/>
  <c r="L862" i="5"/>
  <c r="M862" i="5"/>
  <c r="N862" i="5"/>
  <c r="H862" i="5" s="1"/>
  <c r="F863" i="5"/>
  <c r="E863" i="5" s="1"/>
  <c r="G863" i="5"/>
  <c r="I863" i="5"/>
  <c r="J863" i="5"/>
  <c r="K863" i="5"/>
  <c r="L863" i="5"/>
  <c r="M863" i="5"/>
  <c r="N863" i="5"/>
  <c r="H863" i="5" s="1"/>
  <c r="F864" i="5"/>
  <c r="E864" i="5" s="1"/>
  <c r="G864" i="5"/>
  <c r="I864" i="5"/>
  <c r="J864" i="5"/>
  <c r="K864" i="5"/>
  <c r="L864" i="5"/>
  <c r="M864" i="5"/>
  <c r="N864" i="5"/>
  <c r="H864" i="5" s="1"/>
  <c r="F865" i="5"/>
  <c r="E865" i="5" s="1"/>
  <c r="G865" i="5"/>
  <c r="I865" i="5"/>
  <c r="J865" i="5"/>
  <c r="K865" i="5"/>
  <c r="L865" i="5"/>
  <c r="M865" i="5"/>
  <c r="N865" i="5"/>
  <c r="H865" i="5" s="1"/>
  <c r="F866" i="5"/>
  <c r="E866" i="5" s="1"/>
  <c r="G866" i="5"/>
  <c r="I866" i="5"/>
  <c r="J866" i="5"/>
  <c r="K866" i="5"/>
  <c r="L866" i="5"/>
  <c r="M866" i="5"/>
  <c r="N866" i="5"/>
  <c r="H866" i="5" s="1"/>
  <c r="F867" i="5"/>
  <c r="E867" i="5" s="1"/>
  <c r="G867" i="5"/>
  <c r="I867" i="5"/>
  <c r="J867" i="5"/>
  <c r="K867" i="5"/>
  <c r="L867" i="5"/>
  <c r="M867" i="5"/>
  <c r="N867" i="5"/>
  <c r="H867" i="5" s="1"/>
  <c r="F868" i="5"/>
  <c r="E868" i="5" s="1"/>
  <c r="G868" i="5"/>
  <c r="I868" i="5"/>
  <c r="J868" i="5"/>
  <c r="K868" i="5"/>
  <c r="L868" i="5"/>
  <c r="M868" i="5"/>
  <c r="N868" i="5"/>
  <c r="H868" i="5" s="1"/>
  <c r="F869" i="5"/>
  <c r="E869" i="5" s="1"/>
  <c r="G869" i="5"/>
  <c r="I869" i="5"/>
  <c r="J869" i="5"/>
  <c r="K869" i="5"/>
  <c r="L869" i="5"/>
  <c r="M869" i="5"/>
  <c r="N869" i="5"/>
  <c r="H869" i="5" s="1"/>
  <c r="F870" i="5"/>
  <c r="E870" i="5" s="1"/>
  <c r="G870" i="5"/>
  <c r="I870" i="5"/>
  <c r="J870" i="5"/>
  <c r="K870" i="5"/>
  <c r="L870" i="5"/>
  <c r="M870" i="5"/>
  <c r="N870" i="5"/>
  <c r="H870" i="5" s="1"/>
  <c r="F871" i="5"/>
  <c r="E871" i="5" s="1"/>
  <c r="G871" i="5"/>
  <c r="I871" i="5"/>
  <c r="J871" i="5"/>
  <c r="K871" i="5"/>
  <c r="L871" i="5"/>
  <c r="M871" i="5"/>
  <c r="N871" i="5"/>
  <c r="H871" i="5" s="1"/>
  <c r="F872" i="5"/>
  <c r="E872" i="5" s="1"/>
  <c r="G872" i="5"/>
  <c r="I872" i="5"/>
  <c r="J872" i="5"/>
  <c r="K872" i="5"/>
  <c r="L872" i="5"/>
  <c r="M872" i="5"/>
  <c r="N872" i="5"/>
  <c r="H872" i="5" s="1"/>
  <c r="F873" i="5"/>
  <c r="E873" i="5" s="1"/>
  <c r="G873" i="5"/>
  <c r="I873" i="5"/>
  <c r="J873" i="5"/>
  <c r="K873" i="5"/>
  <c r="L873" i="5"/>
  <c r="M873" i="5"/>
  <c r="N873" i="5"/>
  <c r="H873" i="5" s="1"/>
  <c r="F874" i="5"/>
  <c r="E874" i="5" s="1"/>
  <c r="G874" i="5"/>
  <c r="I874" i="5"/>
  <c r="J874" i="5"/>
  <c r="K874" i="5"/>
  <c r="L874" i="5"/>
  <c r="M874" i="5"/>
  <c r="N874" i="5"/>
  <c r="H874" i="5" s="1"/>
  <c r="F875" i="5"/>
  <c r="E875" i="5" s="1"/>
  <c r="G875" i="5"/>
  <c r="I875" i="5"/>
  <c r="J875" i="5"/>
  <c r="K875" i="5"/>
  <c r="L875" i="5"/>
  <c r="M875" i="5"/>
  <c r="N875" i="5"/>
  <c r="H875" i="5" s="1"/>
  <c r="F876" i="5"/>
  <c r="E876" i="5" s="1"/>
  <c r="G876" i="5"/>
  <c r="I876" i="5"/>
  <c r="J876" i="5"/>
  <c r="K876" i="5"/>
  <c r="L876" i="5"/>
  <c r="M876" i="5"/>
  <c r="N876" i="5"/>
  <c r="H876" i="5" s="1"/>
  <c r="F877" i="5"/>
  <c r="E877" i="5" s="1"/>
  <c r="G877" i="5"/>
  <c r="I877" i="5"/>
  <c r="J877" i="5"/>
  <c r="K877" i="5"/>
  <c r="L877" i="5"/>
  <c r="M877" i="5"/>
  <c r="N877" i="5"/>
  <c r="H877" i="5" s="1"/>
  <c r="F878" i="5"/>
  <c r="E878" i="5" s="1"/>
  <c r="G878" i="5"/>
  <c r="I878" i="5"/>
  <c r="J878" i="5"/>
  <c r="K878" i="5"/>
  <c r="L878" i="5"/>
  <c r="M878" i="5"/>
  <c r="N878" i="5"/>
  <c r="H878" i="5" s="1"/>
  <c r="F879" i="5"/>
  <c r="E879" i="5" s="1"/>
  <c r="G879" i="5"/>
  <c r="I879" i="5"/>
  <c r="J879" i="5"/>
  <c r="K879" i="5"/>
  <c r="L879" i="5"/>
  <c r="M879" i="5"/>
  <c r="N879" i="5"/>
  <c r="H879" i="5" s="1"/>
  <c r="E880" i="5"/>
  <c r="F880" i="5"/>
  <c r="G880" i="5"/>
  <c r="I880" i="5"/>
  <c r="J880" i="5"/>
  <c r="K880" i="5"/>
  <c r="L880" i="5"/>
  <c r="M880" i="5"/>
  <c r="N880" i="5"/>
  <c r="H880" i="5" s="1"/>
  <c r="F881" i="5"/>
  <c r="E881" i="5" s="1"/>
  <c r="G881" i="5"/>
  <c r="I881" i="5"/>
  <c r="J881" i="5"/>
  <c r="K881" i="5"/>
  <c r="L881" i="5"/>
  <c r="M881" i="5"/>
  <c r="N881" i="5"/>
  <c r="H881" i="5" s="1"/>
  <c r="F882" i="5"/>
  <c r="E882" i="5" s="1"/>
  <c r="G882" i="5"/>
  <c r="I882" i="5"/>
  <c r="J882" i="5"/>
  <c r="K882" i="5"/>
  <c r="L882" i="5"/>
  <c r="M882" i="5"/>
  <c r="N882" i="5"/>
  <c r="H882" i="5" s="1"/>
  <c r="F883" i="5"/>
  <c r="E883" i="5" s="1"/>
  <c r="G883" i="5"/>
  <c r="I883" i="5"/>
  <c r="J883" i="5"/>
  <c r="K883" i="5"/>
  <c r="L883" i="5"/>
  <c r="M883" i="5"/>
  <c r="N883" i="5"/>
  <c r="H883" i="5" s="1"/>
  <c r="F884" i="5"/>
  <c r="E884" i="5" s="1"/>
  <c r="G884" i="5"/>
  <c r="I884" i="5"/>
  <c r="J884" i="5"/>
  <c r="K884" i="5"/>
  <c r="L884" i="5"/>
  <c r="M884" i="5"/>
  <c r="N884" i="5"/>
  <c r="H884" i="5" s="1"/>
  <c r="F885" i="5"/>
  <c r="E885" i="5" s="1"/>
  <c r="G885" i="5"/>
  <c r="I885" i="5"/>
  <c r="J885" i="5"/>
  <c r="K885" i="5"/>
  <c r="L885" i="5"/>
  <c r="M885" i="5"/>
  <c r="N885" i="5"/>
  <c r="H885" i="5" s="1"/>
  <c r="F886" i="5"/>
  <c r="E886" i="5" s="1"/>
  <c r="G886" i="5"/>
  <c r="I886" i="5"/>
  <c r="J886" i="5"/>
  <c r="K886" i="5"/>
  <c r="L886" i="5"/>
  <c r="M886" i="5"/>
  <c r="N886" i="5"/>
  <c r="H886" i="5" s="1"/>
  <c r="F887" i="5"/>
  <c r="E887" i="5" s="1"/>
  <c r="G887" i="5"/>
  <c r="I887" i="5"/>
  <c r="J887" i="5"/>
  <c r="K887" i="5"/>
  <c r="L887" i="5"/>
  <c r="M887" i="5"/>
  <c r="N887" i="5"/>
  <c r="H887" i="5" s="1"/>
  <c r="F888" i="5"/>
  <c r="E888" i="5" s="1"/>
  <c r="G888" i="5"/>
  <c r="I888" i="5"/>
  <c r="J888" i="5"/>
  <c r="K888" i="5"/>
  <c r="L888" i="5"/>
  <c r="M888" i="5"/>
  <c r="N888" i="5"/>
  <c r="H888" i="5" s="1"/>
  <c r="F889" i="5"/>
  <c r="E889" i="5" s="1"/>
  <c r="G889" i="5"/>
  <c r="I889" i="5"/>
  <c r="J889" i="5"/>
  <c r="K889" i="5"/>
  <c r="L889" i="5"/>
  <c r="M889" i="5"/>
  <c r="N889" i="5"/>
  <c r="H889" i="5" s="1"/>
  <c r="F890" i="5"/>
  <c r="E890" i="5" s="1"/>
  <c r="G890" i="5"/>
  <c r="I890" i="5"/>
  <c r="J890" i="5"/>
  <c r="K890" i="5"/>
  <c r="L890" i="5"/>
  <c r="M890" i="5"/>
  <c r="N890" i="5"/>
  <c r="H890" i="5" s="1"/>
  <c r="F891" i="5"/>
  <c r="E891" i="5" s="1"/>
  <c r="G891" i="5"/>
  <c r="I891" i="5"/>
  <c r="J891" i="5"/>
  <c r="K891" i="5"/>
  <c r="L891" i="5"/>
  <c r="M891" i="5"/>
  <c r="N891" i="5"/>
  <c r="H891" i="5" s="1"/>
  <c r="F892" i="5"/>
  <c r="E892" i="5" s="1"/>
  <c r="G892" i="5"/>
  <c r="I892" i="5"/>
  <c r="J892" i="5"/>
  <c r="K892" i="5"/>
  <c r="L892" i="5"/>
  <c r="M892" i="5"/>
  <c r="N892" i="5"/>
  <c r="H892" i="5" s="1"/>
  <c r="F893" i="5"/>
  <c r="E893" i="5" s="1"/>
  <c r="G893" i="5"/>
  <c r="I893" i="5"/>
  <c r="J893" i="5"/>
  <c r="K893" i="5"/>
  <c r="L893" i="5"/>
  <c r="M893" i="5"/>
  <c r="N893" i="5"/>
  <c r="H893" i="5" s="1"/>
  <c r="F894" i="5"/>
  <c r="E894" i="5" s="1"/>
  <c r="G894" i="5"/>
  <c r="I894" i="5"/>
  <c r="J894" i="5"/>
  <c r="K894" i="5"/>
  <c r="L894" i="5"/>
  <c r="M894" i="5"/>
  <c r="N894" i="5"/>
  <c r="H894" i="5" s="1"/>
  <c r="F895" i="5"/>
  <c r="E895" i="5" s="1"/>
  <c r="G895" i="5"/>
  <c r="I895" i="5"/>
  <c r="J895" i="5"/>
  <c r="K895" i="5"/>
  <c r="L895" i="5"/>
  <c r="M895" i="5"/>
  <c r="N895" i="5"/>
  <c r="H895" i="5" s="1"/>
  <c r="F896" i="5"/>
  <c r="E896" i="5" s="1"/>
  <c r="G896" i="5"/>
  <c r="I896" i="5"/>
  <c r="J896" i="5"/>
  <c r="K896" i="5"/>
  <c r="L896" i="5"/>
  <c r="M896" i="5"/>
  <c r="N896" i="5"/>
  <c r="H896" i="5" s="1"/>
  <c r="F897" i="5"/>
  <c r="E897" i="5" s="1"/>
  <c r="G897" i="5"/>
  <c r="I897" i="5"/>
  <c r="J897" i="5"/>
  <c r="K897" i="5"/>
  <c r="L897" i="5"/>
  <c r="M897" i="5"/>
  <c r="N897" i="5"/>
  <c r="H897" i="5" s="1"/>
  <c r="F898" i="5"/>
  <c r="E898" i="5" s="1"/>
  <c r="G898" i="5"/>
  <c r="I898" i="5"/>
  <c r="J898" i="5"/>
  <c r="K898" i="5"/>
  <c r="L898" i="5"/>
  <c r="M898" i="5"/>
  <c r="N898" i="5"/>
  <c r="H898" i="5" s="1"/>
  <c r="F899" i="5"/>
  <c r="E899" i="5" s="1"/>
  <c r="G899" i="5"/>
  <c r="I899" i="5"/>
  <c r="J899" i="5"/>
  <c r="K899" i="5"/>
  <c r="L899" i="5"/>
  <c r="M899" i="5"/>
  <c r="N899" i="5"/>
  <c r="H899" i="5" s="1"/>
  <c r="F900" i="5"/>
  <c r="E900" i="5" s="1"/>
  <c r="G900" i="5"/>
  <c r="I900" i="5"/>
  <c r="J900" i="5"/>
  <c r="K900" i="5"/>
  <c r="L900" i="5"/>
  <c r="M900" i="5"/>
  <c r="N900" i="5"/>
  <c r="H900" i="5" s="1"/>
  <c r="F901" i="5"/>
  <c r="E901" i="5" s="1"/>
  <c r="G901" i="5"/>
  <c r="I901" i="5"/>
  <c r="J901" i="5"/>
  <c r="K901" i="5"/>
  <c r="L901" i="5"/>
  <c r="M901" i="5"/>
  <c r="N901" i="5"/>
  <c r="H901" i="5" s="1"/>
  <c r="F902" i="5"/>
  <c r="E902" i="5" s="1"/>
  <c r="G902" i="5"/>
  <c r="I902" i="5"/>
  <c r="J902" i="5"/>
  <c r="K902" i="5"/>
  <c r="L902" i="5"/>
  <c r="M902" i="5"/>
  <c r="N902" i="5"/>
  <c r="H902" i="5" s="1"/>
  <c r="F903" i="5"/>
  <c r="E903" i="5" s="1"/>
  <c r="G903" i="5"/>
  <c r="I903" i="5"/>
  <c r="J903" i="5"/>
  <c r="K903" i="5"/>
  <c r="L903" i="5"/>
  <c r="M903" i="5"/>
  <c r="N903" i="5"/>
  <c r="H903" i="5" s="1"/>
  <c r="F904" i="5"/>
  <c r="E904" i="5" s="1"/>
  <c r="G904" i="5"/>
  <c r="I904" i="5"/>
  <c r="J904" i="5"/>
  <c r="K904" i="5"/>
  <c r="L904" i="5"/>
  <c r="M904" i="5"/>
  <c r="N904" i="5"/>
  <c r="H904" i="5" s="1"/>
  <c r="F905" i="5"/>
  <c r="E905" i="5" s="1"/>
  <c r="G905" i="5"/>
  <c r="I905" i="5"/>
  <c r="J905" i="5"/>
  <c r="K905" i="5"/>
  <c r="L905" i="5"/>
  <c r="M905" i="5"/>
  <c r="N905" i="5"/>
  <c r="H905" i="5" s="1"/>
  <c r="F906" i="5"/>
  <c r="E906" i="5" s="1"/>
  <c r="G906" i="5"/>
  <c r="I906" i="5"/>
  <c r="J906" i="5"/>
  <c r="K906" i="5"/>
  <c r="L906" i="5"/>
  <c r="M906" i="5"/>
  <c r="N906" i="5"/>
  <c r="H906" i="5" s="1"/>
  <c r="F907" i="5"/>
  <c r="E907" i="5" s="1"/>
  <c r="G907" i="5"/>
  <c r="I907" i="5"/>
  <c r="J907" i="5"/>
  <c r="K907" i="5"/>
  <c r="L907" i="5"/>
  <c r="M907" i="5"/>
  <c r="N907" i="5"/>
  <c r="H907" i="5" s="1"/>
  <c r="E908" i="5"/>
  <c r="F908" i="5"/>
  <c r="G908" i="5"/>
  <c r="I908" i="5"/>
  <c r="J908" i="5"/>
  <c r="K908" i="5"/>
  <c r="L908" i="5"/>
  <c r="M908" i="5"/>
  <c r="N908" i="5"/>
  <c r="H908" i="5" s="1"/>
  <c r="F909" i="5"/>
  <c r="E909" i="5" s="1"/>
  <c r="G909" i="5"/>
  <c r="I909" i="5"/>
  <c r="J909" i="5"/>
  <c r="K909" i="5"/>
  <c r="L909" i="5"/>
  <c r="M909" i="5"/>
  <c r="N909" i="5"/>
  <c r="H909" i="5" s="1"/>
  <c r="F910" i="5"/>
  <c r="E910" i="5" s="1"/>
  <c r="G910" i="5"/>
  <c r="I910" i="5"/>
  <c r="J910" i="5"/>
  <c r="K910" i="5"/>
  <c r="L910" i="5"/>
  <c r="M910" i="5"/>
  <c r="N910" i="5"/>
  <c r="H910" i="5" s="1"/>
  <c r="F911" i="5"/>
  <c r="E911" i="5" s="1"/>
  <c r="G911" i="5"/>
  <c r="I911" i="5"/>
  <c r="J911" i="5"/>
  <c r="K911" i="5"/>
  <c r="L911" i="5"/>
  <c r="M911" i="5"/>
  <c r="N911" i="5"/>
  <c r="H911" i="5" s="1"/>
  <c r="F912" i="5"/>
  <c r="E912" i="5" s="1"/>
  <c r="G912" i="5"/>
  <c r="I912" i="5"/>
  <c r="J912" i="5"/>
  <c r="K912" i="5"/>
  <c r="L912" i="5"/>
  <c r="M912" i="5"/>
  <c r="N912" i="5"/>
  <c r="H912" i="5" s="1"/>
  <c r="F913" i="5"/>
  <c r="E913" i="5" s="1"/>
  <c r="G913" i="5"/>
  <c r="I913" i="5"/>
  <c r="J913" i="5"/>
  <c r="K913" i="5"/>
  <c r="L913" i="5"/>
  <c r="M913" i="5"/>
  <c r="N913" i="5"/>
  <c r="H913" i="5" s="1"/>
  <c r="F914" i="5"/>
  <c r="E914" i="5" s="1"/>
  <c r="G914" i="5"/>
  <c r="I914" i="5"/>
  <c r="J914" i="5"/>
  <c r="K914" i="5"/>
  <c r="L914" i="5"/>
  <c r="M914" i="5"/>
  <c r="N914" i="5"/>
  <c r="H914" i="5" s="1"/>
  <c r="F915" i="5"/>
  <c r="E915" i="5" s="1"/>
  <c r="G915" i="5"/>
  <c r="I915" i="5"/>
  <c r="J915" i="5"/>
  <c r="K915" i="5"/>
  <c r="L915" i="5"/>
  <c r="M915" i="5"/>
  <c r="N915" i="5"/>
  <c r="H915" i="5" s="1"/>
  <c r="F916" i="5"/>
  <c r="E916" i="5" s="1"/>
  <c r="G916" i="5"/>
  <c r="H916" i="5"/>
  <c r="I916" i="5"/>
  <c r="J916" i="5"/>
  <c r="K916" i="5"/>
  <c r="L916" i="5"/>
  <c r="M916" i="5"/>
  <c r="N916" i="5"/>
  <c r="F917" i="5"/>
  <c r="E917" i="5" s="1"/>
  <c r="G917" i="5"/>
  <c r="I917" i="5"/>
  <c r="J917" i="5"/>
  <c r="K917" i="5"/>
  <c r="L917" i="5"/>
  <c r="M917" i="5"/>
  <c r="N917" i="5"/>
  <c r="H917" i="5" s="1"/>
  <c r="F918" i="5"/>
  <c r="E918" i="5" s="1"/>
  <c r="G918" i="5"/>
  <c r="I918" i="5"/>
  <c r="J918" i="5"/>
  <c r="K918" i="5"/>
  <c r="L918" i="5"/>
  <c r="M918" i="5"/>
  <c r="N918" i="5"/>
  <c r="H918" i="5" s="1"/>
  <c r="F919" i="5"/>
  <c r="E919" i="5" s="1"/>
  <c r="G919" i="5"/>
  <c r="I919" i="5"/>
  <c r="J919" i="5"/>
  <c r="K919" i="5"/>
  <c r="L919" i="5"/>
  <c r="M919" i="5"/>
  <c r="N919" i="5"/>
  <c r="H919" i="5" s="1"/>
  <c r="F920" i="5"/>
  <c r="E920" i="5" s="1"/>
  <c r="G920" i="5"/>
  <c r="I920" i="5"/>
  <c r="J920" i="5"/>
  <c r="K920" i="5"/>
  <c r="L920" i="5"/>
  <c r="M920" i="5"/>
  <c r="N920" i="5"/>
  <c r="H920" i="5" s="1"/>
  <c r="F921" i="5"/>
  <c r="E921" i="5" s="1"/>
  <c r="G921" i="5"/>
  <c r="I921" i="5"/>
  <c r="J921" i="5"/>
  <c r="K921" i="5"/>
  <c r="L921" i="5"/>
  <c r="M921" i="5"/>
  <c r="N921" i="5"/>
  <c r="H921" i="5" s="1"/>
  <c r="F922" i="5"/>
  <c r="E922" i="5" s="1"/>
  <c r="G922" i="5"/>
  <c r="I922" i="5"/>
  <c r="J922" i="5"/>
  <c r="K922" i="5"/>
  <c r="L922" i="5"/>
  <c r="M922" i="5"/>
  <c r="N922" i="5"/>
  <c r="H922" i="5" s="1"/>
  <c r="F923" i="5"/>
  <c r="E923" i="5" s="1"/>
  <c r="G923" i="5"/>
  <c r="I923" i="5"/>
  <c r="J923" i="5"/>
  <c r="K923" i="5"/>
  <c r="L923" i="5"/>
  <c r="M923" i="5"/>
  <c r="N923" i="5"/>
  <c r="H923" i="5" s="1"/>
  <c r="F924" i="5"/>
  <c r="E924" i="5" s="1"/>
  <c r="G924" i="5"/>
  <c r="I924" i="5"/>
  <c r="J924" i="5"/>
  <c r="K924" i="5"/>
  <c r="L924" i="5"/>
  <c r="M924" i="5"/>
  <c r="N924" i="5"/>
  <c r="H924" i="5" s="1"/>
  <c r="F925" i="5"/>
  <c r="E925" i="5" s="1"/>
  <c r="G925" i="5"/>
  <c r="I925" i="5"/>
  <c r="J925" i="5"/>
  <c r="K925" i="5"/>
  <c r="L925" i="5"/>
  <c r="M925" i="5"/>
  <c r="N925" i="5"/>
  <c r="H925" i="5" s="1"/>
  <c r="F926" i="5"/>
  <c r="E926" i="5" s="1"/>
  <c r="G926" i="5"/>
  <c r="I926" i="5"/>
  <c r="J926" i="5"/>
  <c r="K926" i="5"/>
  <c r="L926" i="5"/>
  <c r="M926" i="5"/>
  <c r="N926" i="5"/>
  <c r="H926" i="5" s="1"/>
  <c r="F927" i="5"/>
  <c r="E927" i="5" s="1"/>
  <c r="G927" i="5"/>
  <c r="I927" i="5"/>
  <c r="J927" i="5"/>
  <c r="K927" i="5"/>
  <c r="L927" i="5"/>
  <c r="M927" i="5"/>
  <c r="N927" i="5"/>
  <c r="H927" i="5" s="1"/>
  <c r="F928" i="5"/>
  <c r="E928" i="5" s="1"/>
  <c r="G928" i="5"/>
  <c r="I928" i="5"/>
  <c r="J928" i="5"/>
  <c r="K928" i="5"/>
  <c r="L928" i="5"/>
  <c r="M928" i="5"/>
  <c r="N928" i="5"/>
  <c r="H928" i="5" s="1"/>
  <c r="F929" i="5"/>
  <c r="E929" i="5" s="1"/>
  <c r="G929" i="5"/>
  <c r="I929" i="5"/>
  <c r="J929" i="5"/>
  <c r="K929" i="5"/>
  <c r="L929" i="5"/>
  <c r="M929" i="5"/>
  <c r="N929" i="5"/>
  <c r="H929" i="5" s="1"/>
  <c r="F930" i="5"/>
  <c r="E930" i="5" s="1"/>
  <c r="G930" i="5"/>
  <c r="I930" i="5"/>
  <c r="J930" i="5"/>
  <c r="K930" i="5"/>
  <c r="L930" i="5"/>
  <c r="M930" i="5"/>
  <c r="N930" i="5"/>
  <c r="H930" i="5" s="1"/>
  <c r="F931" i="5"/>
  <c r="E931" i="5" s="1"/>
  <c r="G931" i="5"/>
  <c r="I931" i="5"/>
  <c r="J931" i="5"/>
  <c r="K931" i="5"/>
  <c r="L931" i="5"/>
  <c r="M931" i="5"/>
  <c r="N931" i="5"/>
  <c r="H931" i="5" s="1"/>
  <c r="F932" i="5"/>
  <c r="E932" i="5" s="1"/>
  <c r="G932" i="5"/>
  <c r="I932" i="5"/>
  <c r="J932" i="5"/>
  <c r="K932" i="5"/>
  <c r="L932" i="5"/>
  <c r="M932" i="5"/>
  <c r="N932" i="5"/>
  <c r="H932" i="5" s="1"/>
  <c r="F933" i="5"/>
  <c r="E933" i="5" s="1"/>
  <c r="G933" i="5"/>
  <c r="I933" i="5"/>
  <c r="J933" i="5"/>
  <c r="K933" i="5"/>
  <c r="L933" i="5"/>
  <c r="M933" i="5"/>
  <c r="N933" i="5"/>
  <c r="H933" i="5" s="1"/>
  <c r="F934" i="5"/>
  <c r="E934" i="5" s="1"/>
  <c r="G934" i="5"/>
  <c r="I934" i="5"/>
  <c r="J934" i="5"/>
  <c r="K934" i="5"/>
  <c r="L934" i="5"/>
  <c r="M934" i="5"/>
  <c r="N934" i="5"/>
  <c r="H934" i="5" s="1"/>
  <c r="F935" i="5"/>
  <c r="E935" i="5" s="1"/>
  <c r="G935" i="5"/>
  <c r="I935" i="5"/>
  <c r="J935" i="5"/>
  <c r="K935" i="5"/>
  <c r="L935" i="5"/>
  <c r="M935" i="5"/>
  <c r="N935" i="5"/>
  <c r="H935" i="5" s="1"/>
  <c r="F936" i="5"/>
  <c r="E936" i="5" s="1"/>
  <c r="G936" i="5"/>
  <c r="I936" i="5"/>
  <c r="J936" i="5"/>
  <c r="K936" i="5"/>
  <c r="L936" i="5"/>
  <c r="M936" i="5"/>
  <c r="N936" i="5"/>
  <c r="H936" i="5" s="1"/>
  <c r="F937" i="5"/>
  <c r="E937" i="5" s="1"/>
  <c r="G937" i="5"/>
  <c r="I937" i="5"/>
  <c r="J937" i="5"/>
  <c r="K937" i="5"/>
  <c r="L937" i="5"/>
  <c r="M937" i="5"/>
  <c r="N937" i="5"/>
  <c r="H937" i="5" s="1"/>
  <c r="F938" i="5"/>
  <c r="E938" i="5" s="1"/>
  <c r="G938" i="5"/>
  <c r="I938" i="5"/>
  <c r="J938" i="5"/>
  <c r="K938" i="5"/>
  <c r="L938" i="5"/>
  <c r="M938" i="5"/>
  <c r="N938" i="5"/>
  <c r="H938" i="5" s="1"/>
  <c r="F939" i="5"/>
  <c r="E939" i="5" s="1"/>
  <c r="G939" i="5"/>
  <c r="I939" i="5"/>
  <c r="J939" i="5"/>
  <c r="K939" i="5"/>
  <c r="L939" i="5"/>
  <c r="M939" i="5"/>
  <c r="N939" i="5"/>
  <c r="H939" i="5" s="1"/>
  <c r="F940" i="5"/>
  <c r="E940" i="5" s="1"/>
  <c r="G940" i="5"/>
  <c r="I940" i="5"/>
  <c r="J940" i="5"/>
  <c r="K940" i="5"/>
  <c r="L940" i="5"/>
  <c r="M940" i="5"/>
  <c r="N940" i="5"/>
  <c r="H940" i="5" s="1"/>
  <c r="F941" i="5"/>
  <c r="E941" i="5" s="1"/>
  <c r="G941" i="5"/>
  <c r="I941" i="5"/>
  <c r="J941" i="5"/>
  <c r="K941" i="5"/>
  <c r="L941" i="5"/>
  <c r="M941" i="5"/>
  <c r="N941" i="5"/>
  <c r="H941" i="5" s="1"/>
  <c r="F942" i="5"/>
  <c r="E942" i="5" s="1"/>
  <c r="G942" i="5"/>
  <c r="I942" i="5"/>
  <c r="J942" i="5"/>
  <c r="K942" i="5"/>
  <c r="L942" i="5"/>
  <c r="M942" i="5"/>
  <c r="N942" i="5"/>
  <c r="H942" i="5" s="1"/>
  <c r="F943" i="5"/>
  <c r="E943" i="5" s="1"/>
  <c r="G943" i="5"/>
  <c r="I943" i="5"/>
  <c r="J943" i="5"/>
  <c r="K943" i="5"/>
  <c r="L943" i="5"/>
  <c r="M943" i="5"/>
  <c r="N943" i="5"/>
  <c r="H943" i="5" s="1"/>
  <c r="F944" i="5"/>
  <c r="E944" i="5" s="1"/>
  <c r="G944" i="5"/>
  <c r="I944" i="5"/>
  <c r="J944" i="5"/>
  <c r="K944" i="5"/>
  <c r="L944" i="5"/>
  <c r="M944" i="5"/>
  <c r="N944" i="5"/>
  <c r="H944" i="5" s="1"/>
  <c r="F945" i="5"/>
  <c r="E945" i="5" s="1"/>
  <c r="G945" i="5"/>
  <c r="I945" i="5"/>
  <c r="J945" i="5"/>
  <c r="K945" i="5"/>
  <c r="L945" i="5"/>
  <c r="M945" i="5"/>
  <c r="N945" i="5"/>
  <c r="H945" i="5" s="1"/>
  <c r="F946" i="5"/>
  <c r="E946" i="5" s="1"/>
  <c r="G946" i="5"/>
  <c r="I946" i="5"/>
  <c r="J946" i="5"/>
  <c r="K946" i="5"/>
  <c r="L946" i="5"/>
  <c r="M946" i="5"/>
  <c r="N946" i="5"/>
  <c r="H946" i="5" s="1"/>
  <c r="F947" i="5"/>
  <c r="E947" i="5" s="1"/>
  <c r="G947" i="5"/>
  <c r="I947" i="5"/>
  <c r="J947" i="5"/>
  <c r="K947" i="5"/>
  <c r="L947" i="5"/>
  <c r="M947" i="5"/>
  <c r="N947" i="5"/>
  <c r="H947" i="5" s="1"/>
  <c r="F948" i="5"/>
  <c r="E948" i="5" s="1"/>
  <c r="G948" i="5"/>
  <c r="I948" i="5"/>
  <c r="J948" i="5"/>
  <c r="K948" i="5"/>
  <c r="L948" i="5"/>
  <c r="M948" i="5"/>
  <c r="N948" i="5"/>
  <c r="H948" i="5" s="1"/>
  <c r="F949" i="5"/>
  <c r="E949" i="5" s="1"/>
  <c r="G949" i="5"/>
  <c r="I949" i="5"/>
  <c r="J949" i="5"/>
  <c r="K949" i="5"/>
  <c r="L949" i="5"/>
  <c r="M949" i="5"/>
  <c r="N949" i="5"/>
  <c r="H949" i="5" s="1"/>
  <c r="F950" i="5"/>
  <c r="E950" i="5" s="1"/>
  <c r="G950" i="5"/>
  <c r="I950" i="5"/>
  <c r="J950" i="5"/>
  <c r="K950" i="5"/>
  <c r="L950" i="5"/>
  <c r="M950" i="5"/>
  <c r="N950" i="5"/>
  <c r="H950" i="5" s="1"/>
  <c r="F951" i="5"/>
  <c r="E951" i="5" s="1"/>
  <c r="G951" i="5"/>
  <c r="I951" i="5"/>
  <c r="J951" i="5"/>
  <c r="K951" i="5"/>
  <c r="L951" i="5"/>
  <c r="M951" i="5"/>
  <c r="N951" i="5"/>
  <c r="H951" i="5" s="1"/>
  <c r="F952" i="5"/>
  <c r="E952" i="5" s="1"/>
  <c r="G952" i="5"/>
  <c r="I952" i="5"/>
  <c r="J952" i="5"/>
  <c r="K952" i="5"/>
  <c r="L952" i="5"/>
  <c r="M952" i="5"/>
  <c r="N952" i="5"/>
  <c r="H952" i="5" s="1"/>
  <c r="F953" i="5"/>
  <c r="E953" i="5" s="1"/>
  <c r="G953" i="5"/>
  <c r="I953" i="5"/>
  <c r="J953" i="5"/>
  <c r="K953" i="5"/>
  <c r="L953" i="5"/>
  <c r="M953" i="5"/>
  <c r="N953" i="5"/>
  <c r="H953" i="5" s="1"/>
  <c r="F954" i="5"/>
  <c r="E954" i="5" s="1"/>
  <c r="G954" i="5"/>
  <c r="I954" i="5"/>
  <c r="J954" i="5"/>
  <c r="K954" i="5"/>
  <c r="L954" i="5"/>
  <c r="M954" i="5"/>
  <c r="N954" i="5"/>
  <c r="H954" i="5" s="1"/>
  <c r="F955" i="5"/>
  <c r="E955" i="5" s="1"/>
  <c r="G955" i="5"/>
  <c r="I955" i="5"/>
  <c r="J955" i="5"/>
  <c r="K955" i="5"/>
  <c r="L955" i="5"/>
  <c r="M955" i="5"/>
  <c r="N955" i="5"/>
  <c r="H955" i="5" s="1"/>
  <c r="F956" i="5"/>
  <c r="E956" i="5" s="1"/>
  <c r="G956" i="5"/>
  <c r="I956" i="5"/>
  <c r="J956" i="5"/>
  <c r="K956" i="5"/>
  <c r="L956" i="5"/>
  <c r="M956" i="5"/>
  <c r="N956" i="5"/>
  <c r="H956" i="5" s="1"/>
  <c r="F957" i="5"/>
  <c r="E957" i="5" s="1"/>
  <c r="G957" i="5"/>
  <c r="I957" i="5"/>
  <c r="J957" i="5"/>
  <c r="K957" i="5"/>
  <c r="L957" i="5"/>
  <c r="M957" i="5"/>
  <c r="N957" i="5"/>
  <c r="H957" i="5" s="1"/>
  <c r="F958" i="5"/>
  <c r="E958" i="5" s="1"/>
  <c r="G958" i="5"/>
  <c r="I958" i="5"/>
  <c r="J958" i="5"/>
  <c r="K958" i="5"/>
  <c r="L958" i="5"/>
  <c r="M958" i="5"/>
  <c r="N958" i="5"/>
  <c r="H958" i="5" s="1"/>
  <c r="F959" i="5"/>
  <c r="E959" i="5" s="1"/>
  <c r="G959" i="5"/>
  <c r="I959" i="5"/>
  <c r="J959" i="5"/>
  <c r="K959" i="5"/>
  <c r="L959" i="5"/>
  <c r="M959" i="5"/>
  <c r="N959" i="5"/>
  <c r="H959" i="5" s="1"/>
  <c r="F960" i="5"/>
  <c r="E960" i="5" s="1"/>
  <c r="G960" i="5"/>
  <c r="I960" i="5"/>
  <c r="J960" i="5"/>
  <c r="K960" i="5"/>
  <c r="L960" i="5"/>
  <c r="M960" i="5"/>
  <c r="N960" i="5"/>
  <c r="H960" i="5" s="1"/>
  <c r="F961" i="5"/>
  <c r="E961" i="5" s="1"/>
  <c r="G961" i="5"/>
  <c r="I961" i="5"/>
  <c r="J961" i="5"/>
  <c r="K961" i="5"/>
  <c r="L961" i="5"/>
  <c r="M961" i="5"/>
  <c r="N961" i="5"/>
  <c r="H961" i="5" s="1"/>
  <c r="F962" i="5"/>
  <c r="E962" i="5" s="1"/>
  <c r="G962" i="5"/>
  <c r="I962" i="5"/>
  <c r="J962" i="5"/>
  <c r="K962" i="5"/>
  <c r="L962" i="5"/>
  <c r="M962" i="5"/>
  <c r="N962" i="5"/>
  <c r="H962" i="5" s="1"/>
  <c r="F963" i="5"/>
  <c r="E963" i="5" s="1"/>
  <c r="G963" i="5"/>
  <c r="I963" i="5"/>
  <c r="J963" i="5"/>
  <c r="K963" i="5"/>
  <c r="L963" i="5"/>
  <c r="M963" i="5"/>
  <c r="N963" i="5"/>
  <c r="H963" i="5" s="1"/>
  <c r="F964" i="5"/>
  <c r="E964" i="5" s="1"/>
  <c r="G964" i="5"/>
  <c r="I964" i="5"/>
  <c r="J964" i="5"/>
  <c r="K964" i="5"/>
  <c r="L964" i="5"/>
  <c r="M964" i="5"/>
  <c r="N964" i="5"/>
  <c r="H964" i="5" s="1"/>
  <c r="F965" i="5"/>
  <c r="E965" i="5" s="1"/>
  <c r="G965" i="5"/>
  <c r="I965" i="5"/>
  <c r="J965" i="5"/>
  <c r="K965" i="5"/>
  <c r="L965" i="5"/>
  <c r="M965" i="5"/>
  <c r="N965" i="5"/>
  <c r="H965" i="5" s="1"/>
  <c r="F966" i="5"/>
  <c r="E966" i="5" s="1"/>
  <c r="G966" i="5"/>
  <c r="I966" i="5"/>
  <c r="J966" i="5"/>
  <c r="K966" i="5"/>
  <c r="L966" i="5"/>
  <c r="M966" i="5"/>
  <c r="N966" i="5"/>
  <c r="H966" i="5" s="1"/>
  <c r="F967" i="5"/>
  <c r="E967" i="5" s="1"/>
  <c r="G967" i="5"/>
  <c r="I967" i="5"/>
  <c r="J967" i="5"/>
  <c r="K967" i="5"/>
  <c r="L967" i="5"/>
  <c r="M967" i="5"/>
  <c r="N967" i="5"/>
  <c r="H967" i="5" s="1"/>
  <c r="F968" i="5"/>
  <c r="E968" i="5" s="1"/>
  <c r="G968" i="5"/>
  <c r="I968" i="5"/>
  <c r="J968" i="5"/>
  <c r="K968" i="5"/>
  <c r="L968" i="5"/>
  <c r="M968" i="5"/>
  <c r="N968" i="5"/>
  <c r="H968" i="5" s="1"/>
  <c r="F969" i="5"/>
  <c r="E969" i="5" s="1"/>
  <c r="G969" i="5"/>
  <c r="I969" i="5"/>
  <c r="J969" i="5"/>
  <c r="K969" i="5"/>
  <c r="L969" i="5"/>
  <c r="M969" i="5"/>
  <c r="N969" i="5"/>
  <c r="H969" i="5" s="1"/>
  <c r="F970" i="5"/>
  <c r="E970" i="5" s="1"/>
  <c r="G970" i="5"/>
  <c r="I970" i="5"/>
  <c r="J970" i="5"/>
  <c r="K970" i="5"/>
  <c r="L970" i="5"/>
  <c r="M970" i="5"/>
  <c r="N970" i="5"/>
  <c r="H970" i="5" s="1"/>
  <c r="F971" i="5"/>
  <c r="E971" i="5" s="1"/>
  <c r="G971" i="5"/>
  <c r="I971" i="5"/>
  <c r="J971" i="5"/>
  <c r="K971" i="5"/>
  <c r="L971" i="5"/>
  <c r="M971" i="5"/>
  <c r="N971" i="5"/>
  <c r="H971" i="5" s="1"/>
  <c r="F972" i="5"/>
  <c r="E972" i="5" s="1"/>
  <c r="G972" i="5"/>
  <c r="I972" i="5"/>
  <c r="J972" i="5"/>
  <c r="K972" i="5"/>
  <c r="L972" i="5"/>
  <c r="M972" i="5"/>
  <c r="N972" i="5"/>
  <c r="H972" i="5" s="1"/>
  <c r="F973" i="5"/>
  <c r="E973" i="5" s="1"/>
  <c r="G973" i="5"/>
  <c r="I973" i="5"/>
  <c r="J973" i="5"/>
  <c r="K973" i="5"/>
  <c r="L973" i="5"/>
  <c r="M973" i="5"/>
  <c r="N973" i="5"/>
  <c r="H973" i="5" s="1"/>
  <c r="F974" i="5"/>
  <c r="E974" i="5" s="1"/>
  <c r="G974" i="5"/>
  <c r="I974" i="5"/>
  <c r="J974" i="5"/>
  <c r="K974" i="5"/>
  <c r="L974" i="5"/>
  <c r="M974" i="5"/>
  <c r="N974" i="5"/>
  <c r="H974" i="5" s="1"/>
  <c r="F975" i="5"/>
  <c r="E975" i="5" s="1"/>
  <c r="G975" i="5"/>
  <c r="I975" i="5"/>
  <c r="J975" i="5"/>
  <c r="K975" i="5"/>
  <c r="L975" i="5"/>
  <c r="M975" i="5"/>
  <c r="N975" i="5"/>
  <c r="H975" i="5" s="1"/>
  <c r="F976" i="5"/>
  <c r="E976" i="5" s="1"/>
  <c r="G976" i="5"/>
  <c r="I976" i="5"/>
  <c r="J976" i="5"/>
  <c r="K976" i="5"/>
  <c r="L976" i="5"/>
  <c r="M976" i="5"/>
  <c r="N976" i="5"/>
  <c r="H976" i="5" s="1"/>
  <c r="F977" i="5"/>
  <c r="E977" i="5" s="1"/>
  <c r="G977" i="5"/>
  <c r="I977" i="5"/>
  <c r="J977" i="5"/>
  <c r="K977" i="5"/>
  <c r="L977" i="5"/>
  <c r="M977" i="5"/>
  <c r="N977" i="5"/>
  <c r="H977" i="5" s="1"/>
  <c r="F978" i="5"/>
  <c r="E978" i="5" s="1"/>
  <c r="G978" i="5"/>
  <c r="I978" i="5"/>
  <c r="J978" i="5"/>
  <c r="K978" i="5"/>
  <c r="L978" i="5"/>
  <c r="M978" i="5"/>
  <c r="N978" i="5"/>
  <c r="H978" i="5" s="1"/>
  <c r="F979" i="5"/>
  <c r="E979" i="5" s="1"/>
  <c r="G979" i="5"/>
  <c r="I979" i="5"/>
  <c r="J979" i="5"/>
  <c r="K979" i="5"/>
  <c r="L979" i="5"/>
  <c r="M979" i="5"/>
  <c r="N979" i="5"/>
  <c r="H979" i="5" s="1"/>
  <c r="F980" i="5"/>
  <c r="E980" i="5" s="1"/>
  <c r="G980" i="5"/>
  <c r="I980" i="5"/>
  <c r="J980" i="5"/>
  <c r="K980" i="5"/>
  <c r="L980" i="5"/>
  <c r="M980" i="5"/>
  <c r="N980" i="5"/>
  <c r="H980" i="5" s="1"/>
  <c r="F981" i="5"/>
  <c r="E981" i="5" s="1"/>
  <c r="G981" i="5"/>
  <c r="I981" i="5"/>
  <c r="J981" i="5"/>
  <c r="K981" i="5"/>
  <c r="L981" i="5"/>
  <c r="M981" i="5"/>
  <c r="N981" i="5"/>
  <c r="H981" i="5" s="1"/>
  <c r="F982" i="5"/>
  <c r="E982" i="5" s="1"/>
  <c r="G982" i="5"/>
  <c r="I982" i="5"/>
  <c r="J982" i="5"/>
  <c r="K982" i="5"/>
  <c r="L982" i="5"/>
  <c r="M982" i="5"/>
  <c r="N982" i="5"/>
  <c r="H982" i="5" s="1"/>
  <c r="F983" i="5"/>
  <c r="E983" i="5" s="1"/>
  <c r="G983" i="5"/>
  <c r="I983" i="5"/>
  <c r="J983" i="5"/>
  <c r="K983" i="5"/>
  <c r="L983" i="5"/>
  <c r="M983" i="5"/>
  <c r="N983" i="5"/>
  <c r="H983" i="5" s="1"/>
  <c r="F984" i="5"/>
  <c r="E984" i="5" s="1"/>
  <c r="G984" i="5"/>
  <c r="I984" i="5"/>
  <c r="J984" i="5"/>
  <c r="K984" i="5"/>
  <c r="L984" i="5"/>
  <c r="M984" i="5"/>
  <c r="N984" i="5"/>
  <c r="H984" i="5" s="1"/>
  <c r="F985" i="5"/>
  <c r="E985" i="5" s="1"/>
  <c r="G985" i="5"/>
  <c r="I985" i="5"/>
  <c r="J985" i="5"/>
  <c r="K985" i="5"/>
  <c r="L985" i="5"/>
  <c r="M985" i="5"/>
  <c r="N985" i="5"/>
  <c r="H985" i="5" s="1"/>
  <c r="F986" i="5"/>
  <c r="E986" i="5" s="1"/>
  <c r="G986" i="5"/>
  <c r="I986" i="5"/>
  <c r="J986" i="5"/>
  <c r="K986" i="5"/>
  <c r="L986" i="5"/>
  <c r="M986" i="5"/>
  <c r="N986" i="5"/>
  <c r="H986" i="5" s="1"/>
  <c r="F987" i="5"/>
  <c r="E987" i="5" s="1"/>
  <c r="G987" i="5"/>
  <c r="I987" i="5"/>
  <c r="J987" i="5"/>
  <c r="K987" i="5"/>
  <c r="L987" i="5"/>
  <c r="M987" i="5"/>
  <c r="N987" i="5"/>
  <c r="H987" i="5" s="1"/>
  <c r="F988" i="5"/>
  <c r="E988" i="5" s="1"/>
  <c r="G988" i="5"/>
  <c r="I988" i="5"/>
  <c r="J988" i="5"/>
  <c r="K988" i="5"/>
  <c r="L988" i="5"/>
  <c r="M988" i="5"/>
  <c r="N988" i="5"/>
  <c r="H988" i="5" s="1"/>
  <c r="F989" i="5"/>
  <c r="E989" i="5" s="1"/>
  <c r="G989" i="5"/>
  <c r="I989" i="5"/>
  <c r="J989" i="5"/>
  <c r="K989" i="5"/>
  <c r="L989" i="5"/>
  <c r="M989" i="5"/>
  <c r="N989" i="5"/>
  <c r="H989" i="5" s="1"/>
  <c r="F990" i="5"/>
  <c r="E990" i="5" s="1"/>
  <c r="G990" i="5"/>
  <c r="I990" i="5"/>
  <c r="J990" i="5"/>
  <c r="K990" i="5"/>
  <c r="L990" i="5"/>
  <c r="M990" i="5"/>
  <c r="N990" i="5"/>
  <c r="H990" i="5" s="1"/>
  <c r="F991" i="5"/>
  <c r="E991" i="5" s="1"/>
  <c r="G991" i="5"/>
  <c r="I991" i="5"/>
  <c r="J991" i="5"/>
  <c r="K991" i="5"/>
  <c r="L991" i="5"/>
  <c r="M991" i="5"/>
  <c r="N991" i="5"/>
  <c r="H991" i="5" s="1"/>
  <c r="F992" i="5"/>
  <c r="E992" i="5" s="1"/>
  <c r="G992" i="5"/>
  <c r="I992" i="5"/>
  <c r="J992" i="5"/>
  <c r="K992" i="5"/>
  <c r="L992" i="5"/>
  <c r="M992" i="5"/>
  <c r="N992" i="5"/>
  <c r="H992" i="5" s="1"/>
  <c r="F993" i="5"/>
  <c r="E993" i="5" s="1"/>
  <c r="G993" i="5"/>
  <c r="I993" i="5"/>
  <c r="J993" i="5"/>
  <c r="K993" i="5"/>
  <c r="L993" i="5"/>
  <c r="M993" i="5"/>
  <c r="N993" i="5"/>
  <c r="H993" i="5" s="1"/>
  <c r="F994" i="5"/>
  <c r="E994" i="5" s="1"/>
  <c r="G994" i="5"/>
  <c r="I994" i="5"/>
  <c r="J994" i="5"/>
  <c r="K994" i="5"/>
  <c r="L994" i="5"/>
  <c r="M994" i="5"/>
  <c r="N994" i="5"/>
  <c r="H994" i="5" s="1"/>
  <c r="F995" i="5"/>
  <c r="E995" i="5" s="1"/>
  <c r="G995" i="5"/>
  <c r="I995" i="5"/>
  <c r="J995" i="5"/>
  <c r="K995" i="5"/>
  <c r="L995" i="5"/>
  <c r="M995" i="5"/>
  <c r="N995" i="5"/>
  <c r="H995" i="5" s="1"/>
  <c r="F996" i="5"/>
  <c r="E996" i="5" s="1"/>
  <c r="G996" i="5"/>
  <c r="I996" i="5"/>
  <c r="J996" i="5"/>
  <c r="K996" i="5"/>
  <c r="L996" i="5"/>
  <c r="M996" i="5"/>
  <c r="N996" i="5"/>
  <c r="H996" i="5" s="1"/>
  <c r="F997" i="5"/>
  <c r="E997" i="5" s="1"/>
  <c r="G997" i="5"/>
  <c r="I997" i="5"/>
  <c r="J997" i="5"/>
  <c r="K997" i="5"/>
  <c r="L997" i="5"/>
  <c r="M997" i="5"/>
  <c r="N997" i="5"/>
  <c r="H997" i="5" s="1"/>
  <c r="F998" i="5"/>
  <c r="E998" i="5" s="1"/>
  <c r="G998" i="5"/>
  <c r="I998" i="5"/>
  <c r="J998" i="5"/>
  <c r="K998" i="5"/>
  <c r="L998" i="5"/>
  <c r="M998" i="5"/>
  <c r="N998" i="5"/>
  <c r="H998" i="5" s="1"/>
  <c r="F999" i="5"/>
  <c r="E999" i="5" s="1"/>
  <c r="G999" i="5"/>
  <c r="I999" i="5"/>
  <c r="J999" i="5"/>
  <c r="K999" i="5"/>
  <c r="L999" i="5"/>
  <c r="M999" i="5"/>
  <c r="N999" i="5"/>
  <c r="H999" i="5" s="1"/>
  <c r="F1000" i="5"/>
  <c r="E1000" i="5" s="1"/>
  <c r="G1000" i="5"/>
  <c r="I1000" i="5"/>
  <c r="J1000" i="5"/>
  <c r="K1000" i="5"/>
  <c r="L1000" i="5"/>
  <c r="M1000" i="5"/>
  <c r="N1000" i="5"/>
  <c r="H1000" i="5" s="1"/>
  <c r="N3" i="5"/>
  <c r="H3" i="5" s="1"/>
  <c r="A9" i="5" l="1"/>
  <c r="A10" i="5"/>
  <c r="A11" i="5"/>
  <c r="A12" i="5"/>
  <c r="A13" i="5"/>
  <c r="A14" i="5"/>
  <c r="A15" i="5"/>
  <c r="A16" i="5"/>
  <c r="C4" i="5"/>
  <c r="C5" i="5"/>
  <c r="C6" i="5"/>
  <c r="C7" i="5"/>
  <c r="C8" i="5"/>
  <c r="C9" i="5"/>
  <c r="C10" i="5"/>
  <c r="C11" i="5"/>
  <c r="C12" i="5"/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L3" i="5"/>
  <c r="K3" i="5"/>
  <c r="J3" i="5"/>
  <c r="I3" i="5"/>
  <c r="G3" i="5"/>
  <c r="E3" i="5"/>
  <c r="M15" i="1" l="1"/>
  <c r="M4" i="5" s="1"/>
  <c r="M16" i="1"/>
  <c r="M5" i="5" s="1"/>
  <c r="M17" i="1"/>
  <c r="M6" i="5" s="1"/>
  <c r="M18" i="1"/>
  <c r="M7" i="5" s="1"/>
  <c r="M19" i="1"/>
  <c r="M8" i="5" s="1"/>
  <c r="M20" i="1"/>
  <c r="M9" i="5" s="1"/>
  <c r="M21" i="1"/>
  <c r="M10" i="5" s="1"/>
  <c r="M22" i="1"/>
  <c r="M11" i="5" s="1"/>
  <c r="M23" i="1"/>
  <c r="M12" i="5" s="1"/>
  <c r="M24" i="1"/>
  <c r="M13" i="5" s="1"/>
  <c r="M25" i="1"/>
  <c r="M14" i="5" s="1"/>
  <c r="M26" i="1"/>
  <c r="M15" i="5" s="1"/>
  <c r="M27" i="1"/>
  <c r="M16" i="5" s="1"/>
  <c r="M28" i="1"/>
  <c r="M17" i="5" s="1"/>
  <c r="M29" i="1"/>
  <c r="M18" i="5" s="1"/>
  <c r="M30" i="1"/>
  <c r="M19" i="5" s="1"/>
  <c r="M31" i="1"/>
  <c r="M20" i="5" s="1"/>
  <c r="M32" i="1"/>
  <c r="M21" i="5" s="1"/>
  <c r="M33" i="1"/>
  <c r="M22" i="5" s="1"/>
  <c r="M34" i="1"/>
  <c r="M23" i="5" s="1"/>
  <c r="M35" i="1"/>
  <c r="M24" i="5" s="1"/>
  <c r="M36" i="1"/>
  <c r="M25" i="5" s="1"/>
  <c r="M37" i="1"/>
  <c r="M26" i="5" s="1"/>
  <c r="M38" i="1"/>
  <c r="M27" i="5" s="1"/>
  <c r="M39" i="1"/>
  <c r="M28" i="5" s="1"/>
  <c r="M40" i="1"/>
  <c r="M29" i="5" s="1"/>
  <c r="M41" i="1"/>
  <c r="M30" i="5" s="1"/>
  <c r="M42" i="1"/>
  <c r="M31" i="5" s="1"/>
  <c r="M43" i="1"/>
  <c r="M32" i="5" s="1"/>
  <c r="M44" i="1"/>
  <c r="M33" i="5" s="1"/>
  <c r="M45" i="1"/>
  <c r="M34" i="5" s="1"/>
  <c r="M46" i="1"/>
  <c r="M35" i="5" s="1"/>
  <c r="M47" i="1"/>
  <c r="M36" i="5" s="1"/>
  <c r="M48" i="1"/>
  <c r="M37" i="5" s="1"/>
  <c r="M49" i="1"/>
  <c r="M38" i="5" s="1"/>
  <c r="M50" i="1"/>
  <c r="M39" i="5" s="1"/>
  <c r="M51" i="1"/>
  <c r="M40" i="5" s="1"/>
  <c r="M52" i="1"/>
  <c r="M41" i="5" s="1"/>
  <c r="M53" i="1"/>
  <c r="M42" i="5" s="1"/>
  <c r="M54" i="1"/>
  <c r="M43" i="5" s="1"/>
  <c r="M55" i="1"/>
  <c r="M44" i="5" s="1"/>
  <c r="M56" i="1"/>
  <c r="M45" i="5" s="1"/>
  <c r="M57" i="1"/>
  <c r="M46" i="5" s="1"/>
  <c r="M58" i="1"/>
  <c r="M47" i="5" s="1"/>
  <c r="M59" i="1"/>
  <c r="M48" i="5" s="1"/>
  <c r="M60" i="1"/>
  <c r="M49" i="5" s="1"/>
  <c r="M61" i="1"/>
  <c r="M50" i="5" s="1"/>
  <c r="M62" i="1"/>
  <c r="M51" i="5" s="1"/>
  <c r="M63" i="1"/>
  <c r="M52" i="5" s="1"/>
  <c r="M64" i="1"/>
  <c r="M53" i="5" s="1"/>
  <c r="M65" i="1"/>
  <c r="M54" i="5" s="1"/>
  <c r="M66" i="1"/>
  <c r="M55" i="5" s="1"/>
  <c r="M67" i="1"/>
  <c r="M56" i="5" s="1"/>
  <c r="M68" i="1"/>
  <c r="M57" i="5" s="1"/>
  <c r="M69" i="1"/>
  <c r="M58" i="5" s="1"/>
  <c r="M70" i="1"/>
  <c r="M59" i="5" s="1"/>
  <c r="M71" i="1"/>
  <c r="M60" i="5" s="1"/>
  <c r="M72" i="1"/>
  <c r="M61" i="5" s="1"/>
  <c r="M73" i="1"/>
  <c r="M62" i="5" s="1"/>
  <c r="M74" i="1"/>
  <c r="M63" i="5" s="1"/>
  <c r="M75" i="1"/>
  <c r="M64" i="5" s="1"/>
  <c r="M76" i="1"/>
  <c r="M65" i="5" s="1"/>
  <c r="M77" i="1"/>
  <c r="M66" i="5" s="1"/>
  <c r="M78" i="1"/>
  <c r="M67" i="5" s="1"/>
  <c r="M79" i="1"/>
  <c r="M68" i="5" s="1"/>
  <c r="M80" i="1"/>
  <c r="M69" i="5" s="1"/>
  <c r="M81" i="1"/>
  <c r="M70" i="5" s="1"/>
  <c r="M82" i="1"/>
  <c r="M71" i="5" s="1"/>
  <c r="M83" i="1"/>
  <c r="M72" i="5" s="1"/>
  <c r="M84" i="1"/>
  <c r="M73" i="5" s="1"/>
  <c r="M85" i="1"/>
  <c r="M74" i="5" s="1"/>
  <c r="M86" i="1"/>
  <c r="M75" i="5" s="1"/>
  <c r="M87" i="1"/>
  <c r="M76" i="5" s="1"/>
  <c r="M88" i="1"/>
  <c r="M77" i="5" s="1"/>
  <c r="M89" i="1"/>
  <c r="M78" i="5" s="1"/>
  <c r="M90" i="1"/>
  <c r="M79" i="5" s="1"/>
  <c r="M91" i="1"/>
  <c r="M80" i="5" s="1"/>
  <c r="M92" i="1"/>
  <c r="M81" i="5" s="1"/>
  <c r="M93" i="1"/>
  <c r="M82" i="5" s="1"/>
  <c r="M94" i="1"/>
  <c r="M83" i="5" s="1"/>
  <c r="M95" i="1"/>
  <c r="M84" i="5" s="1"/>
  <c r="M96" i="1"/>
  <c r="M85" i="5" s="1"/>
  <c r="M97" i="1"/>
  <c r="M86" i="5" s="1"/>
  <c r="M98" i="1"/>
  <c r="M87" i="5" s="1"/>
  <c r="M99" i="1"/>
  <c r="M88" i="5" s="1"/>
  <c r="M100" i="1"/>
  <c r="M89" i="5" s="1"/>
  <c r="M101" i="1"/>
  <c r="M90" i="5" s="1"/>
  <c r="M102" i="1"/>
  <c r="M91" i="5" s="1"/>
  <c r="M103" i="1"/>
  <c r="M92" i="5" s="1"/>
  <c r="M104" i="1"/>
  <c r="M93" i="5" s="1"/>
  <c r="M105" i="1"/>
  <c r="M94" i="5" s="1"/>
  <c r="M106" i="1"/>
  <c r="M95" i="5" s="1"/>
  <c r="M107" i="1"/>
  <c r="M96" i="5" s="1"/>
  <c r="M108" i="1"/>
  <c r="M97" i="5" s="1"/>
  <c r="M109" i="1"/>
  <c r="M98" i="5" s="1"/>
  <c r="M110" i="1"/>
  <c r="M99" i="5" s="1"/>
  <c r="M111" i="1"/>
  <c r="M100" i="5" s="1"/>
  <c r="M112" i="1"/>
  <c r="M101" i="5" s="1"/>
  <c r="M113" i="1"/>
  <c r="M102" i="5" s="1"/>
  <c r="M114" i="1"/>
  <c r="M103" i="5" s="1"/>
  <c r="M115" i="1"/>
  <c r="M104" i="5" s="1"/>
  <c r="M116" i="1"/>
  <c r="M105" i="5" s="1"/>
  <c r="M117" i="1"/>
  <c r="M106" i="5" s="1"/>
  <c r="M118" i="1"/>
  <c r="M107" i="5" s="1"/>
  <c r="M119" i="1"/>
  <c r="M108" i="5" s="1"/>
  <c r="M120" i="1"/>
  <c r="M109" i="5" s="1"/>
  <c r="M121" i="1"/>
  <c r="M110" i="5" s="1"/>
  <c r="M122" i="1"/>
  <c r="M111" i="5" s="1"/>
  <c r="M123" i="1"/>
  <c r="M112" i="5" s="1"/>
  <c r="M124" i="1"/>
  <c r="M113" i="5" s="1"/>
  <c r="M125" i="1"/>
  <c r="M114" i="5" s="1"/>
  <c r="M126" i="1"/>
  <c r="M115" i="5" s="1"/>
  <c r="M127" i="1"/>
  <c r="M116" i="5" s="1"/>
  <c r="M128" i="1"/>
  <c r="M117" i="5" s="1"/>
  <c r="M129" i="1"/>
  <c r="M118" i="5" s="1"/>
  <c r="M130" i="1"/>
  <c r="M119" i="5" s="1"/>
  <c r="M131" i="1"/>
  <c r="M120" i="5" s="1"/>
  <c r="M132" i="1"/>
  <c r="M121" i="5" s="1"/>
  <c r="M133" i="1"/>
  <c r="M122" i="5" s="1"/>
  <c r="M134" i="1"/>
  <c r="M123" i="5" s="1"/>
  <c r="M135" i="1"/>
  <c r="M124" i="5" s="1"/>
  <c r="M136" i="1"/>
  <c r="M125" i="5" s="1"/>
  <c r="M137" i="1"/>
  <c r="M126" i="5" s="1"/>
  <c r="M138" i="1"/>
  <c r="M127" i="5" s="1"/>
  <c r="M139" i="1"/>
  <c r="M128" i="5" s="1"/>
  <c r="M140" i="1"/>
  <c r="M129" i="5" s="1"/>
  <c r="M141" i="1"/>
  <c r="M130" i="5" s="1"/>
  <c r="M142" i="1"/>
  <c r="M131" i="5" s="1"/>
  <c r="M143" i="1"/>
  <c r="M132" i="5" s="1"/>
  <c r="M144" i="1"/>
  <c r="M133" i="5" s="1"/>
  <c r="M145" i="1"/>
  <c r="M134" i="5" s="1"/>
  <c r="M146" i="1"/>
  <c r="M135" i="5" s="1"/>
  <c r="M147" i="1"/>
  <c r="M136" i="5" s="1"/>
  <c r="M148" i="1"/>
  <c r="M137" i="5" s="1"/>
  <c r="M149" i="1"/>
  <c r="M138" i="5" s="1"/>
  <c r="M150" i="1"/>
  <c r="M139" i="5" s="1"/>
  <c r="M151" i="1"/>
  <c r="M140" i="5" s="1"/>
  <c r="M152" i="1"/>
  <c r="M141" i="5" s="1"/>
  <c r="M153" i="1"/>
  <c r="M142" i="5" s="1"/>
  <c r="M154" i="1"/>
  <c r="M143" i="5" s="1"/>
  <c r="M155" i="1"/>
  <c r="M144" i="5" s="1"/>
  <c r="M156" i="1"/>
  <c r="M145" i="5" s="1"/>
  <c r="M157" i="1"/>
  <c r="M146" i="5" s="1"/>
  <c r="M158" i="1"/>
  <c r="M147" i="5" s="1"/>
  <c r="M159" i="1"/>
  <c r="M148" i="5" s="1"/>
  <c r="M160" i="1"/>
  <c r="M149" i="5" s="1"/>
  <c r="M161" i="1"/>
  <c r="M150" i="5" s="1"/>
  <c r="M162" i="1"/>
  <c r="M151" i="5" s="1"/>
  <c r="M163" i="1"/>
  <c r="M152" i="5" s="1"/>
  <c r="M164" i="1"/>
  <c r="M153" i="5" s="1"/>
  <c r="M165" i="1"/>
  <c r="M154" i="5" s="1"/>
  <c r="M166" i="1"/>
  <c r="M155" i="5" s="1"/>
  <c r="M167" i="1"/>
  <c r="M156" i="5" s="1"/>
  <c r="M168" i="1"/>
  <c r="M157" i="5" s="1"/>
  <c r="M169" i="1"/>
  <c r="M158" i="5" s="1"/>
  <c r="M170" i="1"/>
  <c r="M159" i="5" s="1"/>
  <c r="M171" i="1"/>
  <c r="M160" i="5" s="1"/>
  <c r="M172" i="1"/>
  <c r="M161" i="5" s="1"/>
  <c r="M173" i="1"/>
  <c r="M162" i="5" s="1"/>
  <c r="M174" i="1"/>
  <c r="M163" i="5" s="1"/>
  <c r="M175" i="1"/>
  <c r="M164" i="5" s="1"/>
  <c r="M176" i="1"/>
  <c r="M165" i="5" s="1"/>
  <c r="M177" i="1"/>
  <c r="M166" i="5" s="1"/>
  <c r="M178" i="1"/>
  <c r="M167" i="5" s="1"/>
  <c r="M179" i="1"/>
  <c r="M168" i="5" s="1"/>
  <c r="M180" i="1"/>
  <c r="M169" i="5" s="1"/>
  <c r="M181" i="1"/>
  <c r="M170" i="5" s="1"/>
  <c r="M182" i="1"/>
  <c r="M171" i="5" s="1"/>
  <c r="M183" i="1"/>
  <c r="M172" i="5" s="1"/>
  <c r="M184" i="1"/>
  <c r="M173" i="5" s="1"/>
  <c r="M185" i="1"/>
  <c r="M174" i="5" s="1"/>
  <c r="M186" i="1"/>
  <c r="M175" i="5" s="1"/>
  <c r="M187" i="1"/>
  <c r="M176" i="5" s="1"/>
  <c r="M188" i="1"/>
  <c r="M177" i="5" s="1"/>
  <c r="M189" i="1"/>
  <c r="M178" i="5" s="1"/>
  <c r="M190" i="1"/>
  <c r="M179" i="5" s="1"/>
  <c r="M191" i="1"/>
  <c r="M180" i="5" s="1"/>
  <c r="M192" i="1"/>
  <c r="M181" i="5" s="1"/>
  <c r="M193" i="1"/>
  <c r="M182" i="5" s="1"/>
  <c r="M194" i="1"/>
  <c r="M183" i="5" s="1"/>
  <c r="M195" i="1"/>
  <c r="M184" i="5" s="1"/>
  <c r="M196" i="1"/>
  <c r="M185" i="5" s="1"/>
  <c r="M197" i="1"/>
  <c r="M186" i="5" s="1"/>
  <c r="M198" i="1"/>
  <c r="M187" i="5" s="1"/>
  <c r="M199" i="1"/>
  <c r="M188" i="5" s="1"/>
  <c r="M200" i="1"/>
  <c r="M189" i="5" s="1"/>
  <c r="M201" i="1"/>
  <c r="M190" i="5" s="1"/>
  <c r="M202" i="1"/>
  <c r="M191" i="5" s="1"/>
  <c r="M203" i="1"/>
  <c r="M192" i="5" s="1"/>
  <c r="M204" i="1"/>
  <c r="M193" i="5" s="1"/>
  <c r="M205" i="1"/>
  <c r="M194" i="5" s="1"/>
  <c r="M206" i="1"/>
  <c r="M195" i="5" s="1"/>
  <c r="M207" i="1"/>
  <c r="M196" i="5" s="1"/>
  <c r="M208" i="1"/>
  <c r="M197" i="5" s="1"/>
  <c r="M209" i="1"/>
  <c r="M198" i="5" s="1"/>
  <c r="M210" i="1"/>
  <c r="M199" i="5" s="1"/>
  <c r="M211" i="1"/>
  <c r="M200" i="5" s="1"/>
  <c r="M212" i="1"/>
  <c r="M201" i="5" s="1"/>
  <c r="M213" i="1"/>
  <c r="M202" i="5" s="1"/>
  <c r="M214" i="1"/>
  <c r="M203" i="5" s="1"/>
  <c r="M215" i="1"/>
  <c r="M204" i="5" s="1"/>
  <c r="M216" i="1"/>
  <c r="M205" i="5" s="1"/>
  <c r="M217" i="1"/>
  <c r="M206" i="5" s="1"/>
  <c r="M218" i="1"/>
  <c r="M207" i="5" s="1"/>
  <c r="M219" i="1"/>
  <c r="M208" i="5" s="1"/>
  <c r="M220" i="1"/>
  <c r="M209" i="5" s="1"/>
  <c r="M221" i="1"/>
  <c r="M210" i="5" s="1"/>
  <c r="M222" i="1"/>
  <c r="M211" i="5" s="1"/>
  <c r="M223" i="1"/>
  <c r="M212" i="5" s="1"/>
  <c r="M224" i="1"/>
  <c r="M213" i="5" s="1"/>
  <c r="M225" i="1"/>
  <c r="M214" i="5" s="1"/>
  <c r="M226" i="1"/>
  <c r="M215" i="5" s="1"/>
  <c r="M227" i="1"/>
  <c r="M216" i="5" s="1"/>
  <c r="M228" i="1"/>
  <c r="M217" i="5" s="1"/>
  <c r="M229" i="1"/>
  <c r="M218" i="5" s="1"/>
  <c r="M230" i="1"/>
  <c r="M219" i="5" s="1"/>
  <c r="M231" i="1"/>
  <c r="M220" i="5" s="1"/>
  <c r="M232" i="1"/>
  <c r="M221" i="5" s="1"/>
  <c r="M233" i="1"/>
  <c r="M222" i="5" s="1"/>
  <c r="M234" i="1"/>
  <c r="M223" i="5" s="1"/>
  <c r="M235" i="1"/>
  <c r="M224" i="5" s="1"/>
  <c r="M236" i="1"/>
  <c r="M225" i="5" s="1"/>
  <c r="M237" i="1"/>
  <c r="M226" i="5" s="1"/>
  <c r="M238" i="1"/>
  <c r="M227" i="5" s="1"/>
  <c r="M239" i="1"/>
  <c r="M228" i="5" s="1"/>
  <c r="M240" i="1"/>
  <c r="M229" i="5" s="1"/>
  <c r="M241" i="1"/>
  <c r="M230" i="5" s="1"/>
  <c r="M242" i="1"/>
  <c r="M231" i="5" s="1"/>
  <c r="M243" i="1"/>
  <c r="M232" i="5" s="1"/>
  <c r="M244" i="1"/>
  <c r="M233" i="5" s="1"/>
  <c r="M245" i="1"/>
  <c r="M234" i="5" s="1"/>
  <c r="M246" i="1"/>
  <c r="M235" i="5" s="1"/>
  <c r="M247" i="1"/>
  <c r="M236" i="5" s="1"/>
  <c r="M248" i="1"/>
  <c r="M237" i="5" s="1"/>
  <c r="M249" i="1"/>
  <c r="M238" i="5" s="1"/>
  <c r="M250" i="1"/>
  <c r="M239" i="5" s="1"/>
  <c r="M251" i="1"/>
  <c r="M240" i="5" s="1"/>
  <c r="M252" i="1"/>
  <c r="M241" i="5" s="1"/>
  <c r="M253" i="1"/>
  <c r="M242" i="5" s="1"/>
  <c r="M254" i="1"/>
  <c r="M243" i="5" s="1"/>
  <c r="M255" i="1"/>
  <c r="M244" i="5" s="1"/>
  <c r="M256" i="1"/>
  <c r="M245" i="5" s="1"/>
  <c r="M257" i="1"/>
  <c r="M246" i="5" s="1"/>
  <c r="M258" i="1"/>
  <c r="M247" i="5" s="1"/>
  <c r="M259" i="1"/>
  <c r="M248" i="5" s="1"/>
  <c r="M260" i="1"/>
  <c r="M249" i="5" s="1"/>
  <c r="M261" i="1"/>
  <c r="M250" i="5" s="1"/>
  <c r="M262" i="1"/>
  <c r="M251" i="5" s="1"/>
  <c r="M263" i="1"/>
  <c r="M252" i="5" s="1"/>
  <c r="M264" i="1"/>
  <c r="M253" i="5" s="1"/>
  <c r="M265" i="1"/>
  <c r="M254" i="5" s="1"/>
  <c r="M266" i="1"/>
  <c r="M255" i="5" s="1"/>
  <c r="M267" i="1"/>
  <c r="M256" i="5" s="1"/>
  <c r="M268" i="1"/>
  <c r="M257" i="5" s="1"/>
  <c r="M269" i="1"/>
  <c r="M258" i="5" s="1"/>
  <c r="M270" i="1"/>
  <c r="M259" i="5" s="1"/>
  <c r="M271" i="1"/>
  <c r="M260" i="5" s="1"/>
  <c r="M272" i="1"/>
  <c r="M261" i="5" s="1"/>
  <c r="M273" i="1"/>
  <c r="M262" i="5" s="1"/>
  <c r="M274" i="1"/>
  <c r="M263" i="5" s="1"/>
  <c r="M275" i="1"/>
  <c r="M264" i="5" s="1"/>
  <c r="M276" i="1"/>
  <c r="M265" i="5" s="1"/>
  <c r="M277" i="1"/>
  <c r="M266" i="5" s="1"/>
  <c r="M278" i="1"/>
  <c r="M267" i="5" s="1"/>
  <c r="M279" i="1"/>
  <c r="M268" i="5" s="1"/>
  <c r="M280" i="1"/>
  <c r="M269" i="5" s="1"/>
  <c r="M281" i="1"/>
  <c r="M270" i="5" s="1"/>
  <c r="M282" i="1"/>
  <c r="M271" i="5" s="1"/>
  <c r="M283" i="1"/>
  <c r="M272" i="5" s="1"/>
  <c r="M284" i="1"/>
  <c r="M273" i="5" s="1"/>
  <c r="M285" i="1"/>
  <c r="M274" i="5" s="1"/>
  <c r="M286" i="1"/>
  <c r="M275" i="5" s="1"/>
  <c r="M287" i="1"/>
  <c r="M276" i="5" s="1"/>
  <c r="M288" i="1"/>
  <c r="M277" i="5" s="1"/>
  <c r="M289" i="1"/>
  <c r="M278" i="5" s="1"/>
  <c r="M290" i="1"/>
  <c r="M279" i="5" s="1"/>
  <c r="M291" i="1"/>
  <c r="M280" i="5" s="1"/>
  <c r="M292" i="1"/>
  <c r="M281" i="5" s="1"/>
  <c r="M293" i="1"/>
  <c r="M282" i="5" s="1"/>
  <c r="M294" i="1"/>
  <c r="M283" i="5" s="1"/>
  <c r="M295" i="1"/>
  <c r="M284" i="5" s="1"/>
  <c r="M296" i="1"/>
  <c r="M285" i="5" s="1"/>
  <c r="M297" i="1"/>
  <c r="M286" i="5" s="1"/>
  <c r="M298" i="1"/>
  <c r="M287" i="5" s="1"/>
  <c r="M299" i="1"/>
  <c r="M288" i="5" s="1"/>
  <c r="M300" i="1"/>
  <c r="M289" i="5" s="1"/>
  <c r="M301" i="1"/>
  <c r="M290" i="5" s="1"/>
  <c r="M302" i="1"/>
  <c r="M291" i="5" s="1"/>
  <c r="M303" i="1"/>
  <c r="M292" i="5" s="1"/>
  <c r="M304" i="1"/>
  <c r="M293" i="5" s="1"/>
  <c r="M305" i="1"/>
  <c r="M294" i="5" s="1"/>
  <c r="M306" i="1"/>
  <c r="M295" i="5" s="1"/>
  <c r="M307" i="1"/>
  <c r="M296" i="5" s="1"/>
  <c r="M308" i="1"/>
  <c r="M297" i="5" s="1"/>
  <c r="M309" i="1"/>
  <c r="M298" i="5" s="1"/>
  <c r="M310" i="1"/>
  <c r="M299" i="5" s="1"/>
  <c r="M311" i="1"/>
  <c r="M300" i="5" s="1"/>
  <c r="M312" i="1"/>
  <c r="M301" i="5" s="1"/>
  <c r="M313" i="1"/>
  <c r="M302" i="5" s="1"/>
  <c r="M314" i="1"/>
  <c r="M303" i="5" s="1"/>
  <c r="M315" i="1"/>
  <c r="M304" i="5" s="1"/>
  <c r="M316" i="1"/>
  <c r="M305" i="5" s="1"/>
  <c r="M317" i="1"/>
  <c r="M306" i="5" s="1"/>
  <c r="M318" i="1"/>
  <c r="M307" i="5" s="1"/>
  <c r="M319" i="1"/>
  <c r="M308" i="5" s="1"/>
  <c r="M320" i="1"/>
  <c r="M309" i="5" s="1"/>
  <c r="M321" i="1"/>
  <c r="M310" i="5" s="1"/>
  <c r="M322" i="1"/>
  <c r="M311" i="5" s="1"/>
  <c r="M323" i="1"/>
  <c r="M312" i="5" s="1"/>
  <c r="M324" i="1"/>
  <c r="M313" i="5" s="1"/>
  <c r="M325" i="1"/>
  <c r="M314" i="5" s="1"/>
  <c r="M326" i="1"/>
  <c r="M315" i="5" s="1"/>
  <c r="M327" i="1"/>
  <c r="M316" i="5" s="1"/>
  <c r="M328" i="1"/>
  <c r="M317" i="5" s="1"/>
  <c r="M329" i="1"/>
  <c r="M318" i="5" s="1"/>
  <c r="M330" i="1"/>
  <c r="M319" i="5" s="1"/>
  <c r="M331" i="1"/>
  <c r="M320" i="5" s="1"/>
  <c r="M332" i="1"/>
  <c r="M321" i="5" s="1"/>
  <c r="M333" i="1"/>
  <c r="M322" i="5" s="1"/>
  <c r="M334" i="1"/>
  <c r="M323" i="5" s="1"/>
  <c r="M335" i="1"/>
  <c r="M324" i="5" s="1"/>
  <c r="M336" i="1"/>
  <c r="M325" i="5" s="1"/>
  <c r="M337" i="1"/>
  <c r="M326" i="5" s="1"/>
  <c r="M338" i="1"/>
  <c r="M327" i="5" s="1"/>
  <c r="M339" i="1"/>
  <c r="M328" i="5" s="1"/>
  <c r="M340" i="1"/>
  <c r="M329" i="5" s="1"/>
  <c r="M341" i="1"/>
  <c r="M330" i="5" s="1"/>
  <c r="M342" i="1"/>
  <c r="M331" i="5" s="1"/>
  <c r="M343" i="1"/>
  <c r="M332" i="5" s="1"/>
  <c r="M344" i="1"/>
  <c r="M333" i="5" s="1"/>
  <c r="M345" i="1"/>
  <c r="M334" i="5" s="1"/>
  <c r="M346" i="1"/>
  <c r="M335" i="5" s="1"/>
  <c r="M347" i="1"/>
  <c r="M336" i="5" s="1"/>
  <c r="M348" i="1"/>
  <c r="M337" i="5" s="1"/>
  <c r="M349" i="1"/>
  <c r="M338" i="5" s="1"/>
  <c r="M350" i="1"/>
  <c r="M339" i="5" s="1"/>
  <c r="M351" i="1"/>
  <c r="M340" i="5" s="1"/>
  <c r="M352" i="1"/>
  <c r="M341" i="5" s="1"/>
  <c r="M353" i="1"/>
  <c r="M342" i="5" s="1"/>
  <c r="M354" i="1"/>
  <c r="M343" i="5" s="1"/>
  <c r="M355" i="1"/>
  <c r="M344" i="5" s="1"/>
  <c r="M356" i="1"/>
  <c r="M345" i="5" s="1"/>
  <c r="M357" i="1"/>
  <c r="M346" i="5" s="1"/>
  <c r="M358" i="1"/>
  <c r="M347" i="5" s="1"/>
  <c r="M359" i="1"/>
  <c r="M348" i="5" s="1"/>
  <c r="M360" i="1"/>
  <c r="M349" i="5" s="1"/>
  <c r="M361" i="1"/>
  <c r="M350" i="5" s="1"/>
  <c r="M362" i="1"/>
  <c r="M351" i="5" s="1"/>
  <c r="M363" i="1"/>
  <c r="M352" i="5" s="1"/>
  <c r="M364" i="1"/>
  <c r="M353" i="5" s="1"/>
  <c r="M365" i="1"/>
  <c r="M354" i="5" s="1"/>
  <c r="M366" i="1"/>
  <c r="M355" i="5" s="1"/>
  <c r="M367" i="1"/>
  <c r="M356" i="5" s="1"/>
  <c r="M368" i="1"/>
  <c r="M357" i="5" s="1"/>
  <c r="M369" i="1"/>
  <c r="M358" i="5" s="1"/>
  <c r="M370" i="1"/>
  <c r="M359" i="5" s="1"/>
  <c r="M371" i="1"/>
  <c r="M360" i="5" s="1"/>
  <c r="M372" i="1"/>
  <c r="M361" i="5" s="1"/>
  <c r="M373" i="1"/>
  <c r="M362" i="5" s="1"/>
  <c r="M374" i="1"/>
  <c r="M363" i="5" s="1"/>
  <c r="M375" i="1"/>
  <c r="M364" i="5" s="1"/>
  <c r="M376" i="1"/>
  <c r="M365" i="5" s="1"/>
  <c r="M377" i="1"/>
  <c r="M366" i="5" s="1"/>
  <c r="M378" i="1"/>
  <c r="M367" i="5" s="1"/>
  <c r="M379" i="1"/>
  <c r="M368" i="5" s="1"/>
  <c r="M380" i="1"/>
  <c r="M369" i="5" s="1"/>
  <c r="M381" i="1"/>
  <c r="M370" i="5" s="1"/>
  <c r="M382" i="1"/>
  <c r="M371" i="5" s="1"/>
  <c r="M383" i="1"/>
  <c r="M372" i="5" s="1"/>
  <c r="M384" i="1"/>
  <c r="M373" i="5" s="1"/>
  <c r="M385" i="1"/>
  <c r="M374" i="5" s="1"/>
  <c r="M386" i="1"/>
  <c r="M375" i="5" s="1"/>
  <c r="M387" i="1"/>
  <c r="M376" i="5" s="1"/>
  <c r="M388" i="1"/>
  <c r="M377" i="5" s="1"/>
  <c r="M389" i="1"/>
  <c r="M378" i="5" s="1"/>
  <c r="M390" i="1"/>
  <c r="M379" i="5" s="1"/>
  <c r="M391" i="1"/>
  <c r="M380" i="5" s="1"/>
  <c r="M392" i="1"/>
  <c r="M381" i="5" s="1"/>
  <c r="M393" i="1"/>
  <c r="M382" i="5" s="1"/>
  <c r="M394" i="1"/>
  <c r="M383" i="5" s="1"/>
  <c r="M395" i="1"/>
  <c r="M384" i="5" s="1"/>
  <c r="M396" i="1"/>
  <c r="M385" i="5" s="1"/>
  <c r="M397" i="1"/>
  <c r="M386" i="5" s="1"/>
  <c r="M398" i="1"/>
  <c r="M387" i="5" s="1"/>
  <c r="M399" i="1"/>
  <c r="M388" i="5" s="1"/>
  <c r="M400" i="1"/>
  <c r="M389" i="5" s="1"/>
  <c r="M401" i="1"/>
  <c r="M390" i="5" s="1"/>
  <c r="M402" i="1"/>
  <c r="M391" i="5" s="1"/>
  <c r="M403" i="1"/>
  <c r="M392" i="5" s="1"/>
  <c r="M404" i="1"/>
  <c r="M393" i="5" s="1"/>
  <c r="M405" i="1"/>
  <c r="M394" i="5" s="1"/>
  <c r="M406" i="1"/>
  <c r="M395" i="5" s="1"/>
  <c r="M407" i="1"/>
  <c r="M396" i="5" s="1"/>
  <c r="M408" i="1"/>
  <c r="M397" i="5" s="1"/>
  <c r="M409" i="1"/>
  <c r="M398" i="5" s="1"/>
  <c r="M410" i="1"/>
  <c r="M399" i="5" s="1"/>
  <c r="M411" i="1"/>
  <c r="M400" i="5" s="1"/>
  <c r="M412" i="1"/>
  <c r="M401" i="5" s="1"/>
  <c r="M413" i="1"/>
  <c r="M402" i="5" s="1"/>
  <c r="M414" i="1"/>
  <c r="M403" i="5" s="1"/>
  <c r="M415" i="1"/>
  <c r="M404" i="5" s="1"/>
  <c r="M416" i="1"/>
  <c r="M405" i="5" s="1"/>
  <c r="M417" i="1"/>
  <c r="M406" i="5" s="1"/>
  <c r="M418" i="1"/>
  <c r="M407" i="5" s="1"/>
  <c r="M419" i="1"/>
  <c r="M408" i="5" s="1"/>
  <c r="M420" i="1"/>
  <c r="M409" i="5" s="1"/>
  <c r="M421" i="1"/>
  <c r="M410" i="5" s="1"/>
  <c r="M422" i="1"/>
  <c r="M411" i="5" s="1"/>
  <c r="M423" i="1"/>
  <c r="M412" i="5" s="1"/>
  <c r="M424" i="1"/>
  <c r="M413" i="5" s="1"/>
  <c r="M425" i="1"/>
  <c r="M414" i="5" s="1"/>
  <c r="M426" i="1"/>
  <c r="M415" i="5" s="1"/>
  <c r="M427" i="1"/>
  <c r="M416" i="5" s="1"/>
  <c r="M428" i="1"/>
  <c r="M417" i="5" s="1"/>
  <c r="M429" i="1"/>
  <c r="M418" i="5" s="1"/>
  <c r="M430" i="1"/>
  <c r="M419" i="5" s="1"/>
  <c r="M431" i="1"/>
  <c r="M420" i="5" s="1"/>
  <c r="M432" i="1"/>
  <c r="M421" i="5" s="1"/>
  <c r="M433" i="1"/>
  <c r="M422" i="5" s="1"/>
  <c r="M434" i="1"/>
  <c r="M423" i="5" s="1"/>
  <c r="M435" i="1"/>
  <c r="M424" i="5" s="1"/>
  <c r="M436" i="1"/>
  <c r="M425" i="5" s="1"/>
  <c r="M437" i="1"/>
  <c r="M426" i="5" s="1"/>
  <c r="M438" i="1"/>
  <c r="M427" i="5" s="1"/>
  <c r="M439" i="1"/>
  <c r="M428" i="5" s="1"/>
  <c r="M440" i="1"/>
  <c r="M429" i="5" s="1"/>
  <c r="M441" i="1"/>
  <c r="M430" i="5" s="1"/>
  <c r="M442" i="1"/>
  <c r="M431" i="5" s="1"/>
  <c r="M443" i="1"/>
  <c r="M432" i="5" s="1"/>
  <c r="M444" i="1"/>
  <c r="M433" i="5" s="1"/>
  <c r="M445" i="1"/>
  <c r="M434" i="5" s="1"/>
  <c r="M446" i="1"/>
  <c r="M435" i="5" s="1"/>
  <c r="M447" i="1"/>
  <c r="M436" i="5" s="1"/>
  <c r="M448" i="1"/>
  <c r="M437" i="5" s="1"/>
  <c r="M449" i="1"/>
  <c r="M438" i="5" s="1"/>
  <c r="M450" i="1"/>
  <c r="M439" i="5" s="1"/>
  <c r="M451" i="1"/>
  <c r="M440" i="5" s="1"/>
  <c r="M452" i="1"/>
  <c r="M441" i="5" s="1"/>
  <c r="M453" i="1"/>
  <c r="M442" i="5" s="1"/>
  <c r="M454" i="1"/>
  <c r="M443" i="5" s="1"/>
  <c r="M455" i="1"/>
  <c r="M444" i="5" s="1"/>
  <c r="M456" i="1"/>
  <c r="M445" i="5" s="1"/>
  <c r="M457" i="1"/>
  <c r="M446" i="5" s="1"/>
  <c r="M458" i="1"/>
  <c r="M447" i="5" s="1"/>
  <c r="M459" i="1"/>
  <c r="M448" i="5" s="1"/>
  <c r="M460" i="1"/>
  <c r="M449" i="5" s="1"/>
  <c r="M461" i="1"/>
  <c r="M450" i="5" s="1"/>
  <c r="M462" i="1"/>
  <c r="M451" i="5" s="1"/>
  <c r="M463" i="1"/>
  <c r="M452" i="5" s="1"/>
  <c r="M464" i="1"/>
  <c r="M453" i="5" s="1"/>
  <c r="M465" i="1"/>
  <c r="M454" i="5" s="1"/>
  <c r="M466" i="1"/>
  <c r="M455" i="5" s="1"/>
  <c r="M467" i="1"/>
  <c r="M456" i="5" s="1"/>
  <c r="M468" i="1"/>
  <c r="M457" i="5" s="1"/>
  <c r="M469" i="1"/>
  <c r="M458" i="5" s="1"/>
  <c r="M470" i="1"/>
  <c r="M459" i="5" s="1"/>
  <c r="M471" i="1"/>
  <c r="M460" i="5" s="1"/>
  <c r="M472" i="1"/>
  <c r="M461" i="5" s="1"/>
  <c r="M473" i="1"/>
  <c r="M462" i="5" s="1"/>
  <c r="M474" i="1"/>
  <c r="M463" i="5" s="1"/>
  <c r="M475" i="1"/>
  <c r="M464" i="5" s="1"/>
  <c r="M476" i="1"/>
  <c r="M465" i="5" s="1"/>
  <c r="M477" i="1"/>
  <c r="M466" i="5" s="1"/>
  <c r="M478" i="1"/>
  <c r="M467" i="5" s="1"/>
  <c r="M479" i="1"/>
  <c r="M468" i="5" s="1"/>
  <c r="M480" i="1"/>
  <c r="M469" i="5" s="1"/>
  <c r="M481" i="1"/>
  <c r="M470" i="5" s="1"/>
  <c r="M482" i="1"/>
  <c r="M471" i="5" s="1"/>
  <c r="M483" i="1"/>
  <c r="M472" i="5" s="1"/>
  <c r="M484" i="1"/>
  <c r="M473" i="5" s="1"/>
  <c r="M485" i="1"/>
  <c r="M474" i="5" s="1"/>
  <c r="M486" i="1"/>
  <c r="M475" i="5" s="1"/>
  <c r="M487" i="1"/>
  <c r="M476" i="5" s="1"/>
  <c r="M488" i="1"/>
  <c r="M477" i="5" s="1"/>
  <c r="M489" i="1"/>
  <c r="M478" i="5" s="1"/>
  <c r="M490" i="1"/>
  <c r="M479" i="5" s="1"/>
  <c r="M491" i="1"/>
  <c r="M480" i="5" s="1"/>
  <c r="M492" i="1"/>
  <c r="M481" i="5" s="1"/>
  <c r="M493" i="1"/>
  <c r="M482" i="5" s="1"/>
  <c r="M494" i="1"/>
  <c r="M483" i="5" s="1"/>
  <c r="M495" i="1"/>
  <c r="M484" i="5" s="1"/>
  <c r="M496" i="1"/>
  <c r="M485" i="5" s="1"/>
  <c r="M497" i="1"/>
  <c r="M486" i="5" s="1"/>
  <c r="M498" i="1"/>
  <c r="M487" i="5" s="1"/>
  <c r="M499" i="1"/>
  <c r="M488" i="5" s="1"/>
  <c r="M500" i="1"/>
  <c r="M489" i="5" s="1"/>
  <c r="M501" i="1"/>
  <c r="M490" i="5" s="1"/>
  <c r="M502" i="1"/>
  <c r="M491" i="5" s="1"/>
  <c r="M503" i="1"/>
  <c r="M492" i="5" s="1"/>
  <c r="M504" i="1"/>
  <c r="M493" i="5" s="1"/>
  <c r="M505" i="1"/>
  <c r="M494" i="5" s="1"/>
  <c r="M506" i="1"/>
  <c r="M495" i="5" s="1"/>
  <c r="M507" i="1"/>
  <c r="M496" i="5" s="1"/>
  <c r="M508" i="1"/>
  <c r="M497" i="5" s="1"/>
  <c r="M509" i="1"/>
  <c r="M498" i="5" s="1"/>
  <c r="M510" i="1"/>
  <c r="M499" i="5" s="1"/>
  <c r="M511" i="1"/>
  <c r="M500" i="5" s="1"/>
  <c r="M512" i="1"/>
  <c r="M501" i="5" s="1"/>
  <c r="M513" i="1"/>
  <c r="M502" i="5" s="1"/>
  <c r="M514" i="1"/>
  <c r="M503" i="5" s="1"/>
  <c r="M515" i="1"/>
  <c r="M504" i="5" s="1"/>
  <c r="M516" i="1"/>
  <c r="M505" i="5" s="1"/>
  <c r="M517" i="1"/>
  <c r="M506" i="5" s="1"/>
  <c r="M518" i="1"/>
  <c r="M507" i="5" s="1"/>
  <c r="M519" i="1"/>
  <c r="M508" i="5" s="1"/>
  <c r="M520" i="1"/>
  <c r="M509" i="5" s="1"/>
  <c r="M521" i="1"/>
  <c r="M510" i="5" s="1"/>
  <c r="M522" i="1"/>
  <c r="M511" i="5" s="1"/>
  <c r="M523" i="1"/>
  <c r="M512" i="5" s="1"/>
  <c r="M524" i="1"/>
  <c r="M513" i="5" s="1"/>
  <c r="M525" i="1"/>
  <c r="M514" i="5" s="1"/>
  <c r="M526" i="1"/>
  <c r="M515" i="5" s="1"/>
  <c r="M527" i="1"/>
  <c r="M516" i="5" s="1"/>
  <c r="M528" i="1"/>
  <c r="M517" i="5" s="1"/>
  <c r="M529" i="1"/>
  <c r="M518" i="5" s="1"/>
  <c r="M530" i="1"/>
  <c r="M519" i="5" s="1"/>
  <c r="M531" i="1"/>
  <c r="M520" i="5" s="1"/>
  <c r="M532" i="1"/>
  <c r="M521" i="5" s="1"/>
  <c r="M533" i="1"/>
  <c r="M522" i="5" s="1"/>
  <c r="M534" i="1"/>
  <c r="M523" i="5" s="1"/>
  <c r="M535" i="1"/>
  <c r="M524" i="5" s="1"/>
  <c r="M536" i="1"/>
  <c r="M525" i="5" s="1"/>
  <c r="M537" i="1"/>
  <c r="M526" i="5" s="1"/>
  <c r="M538" i="1"/>
  <c r="M527" i="5" s="1"/>
  <c r="M539" i="1"/>
  <c r="M528" i="5" s="1"/>
  <c r="M540" i="1"/>
  <c r="M529" i="5" s="1"/>
  <c r="M541" i="1"/>
  <c r="M530" i="5" s="1"/>
  <c r="M542" i="1"/>
  <c r="M531" i="5" s="1"/>
  <c r="M543" i="1"/>
  <c r="M532" i="5" s="1"/>
  <c r="M544" i="1"/>
  <c r="M533" i="5" s="1"/>
  <c r="M545" i="1"/>
  <c r="M534" i="5" s="1"/>
  <c r="M546" i="1"/>
  <c r="M535" i="5" s="1"/>
  <c r="M547" i="1"/>
  <c r="M536" i="5" s="1"/>
  <c r="M548" i="1"/>
  <c r="M537" i="5" s="1"/>
  <c r="M549" i="1"/>
  <c r="M538" i="5" s="1"/>
  <c r="M550" i="1"/>
  <c r="M539" i="5" s="1"/>
  <c r="M551" i="1"/>
  <c r="M540" i="5" s="1"/>
  <c r="M552" i="1"/>
  <c r="M541" i="5" s="1"/>
  <c r="M553" i="1"/>
  <c r="M542" i="5" s="1"/>
  <c r="M554" i="1"/>
  <c r="M543" i="5" s="1"/>
  <c r="M555" i="1"/>
  <c r="M544" i="5" s="1"/>
  <c r="M556" i="1"/>
  <c r="M545" i="5" s="1"/>
  <c r="M557" i="1"/>
  <c r="M546" i="5" s="1"/>
  <c r="M558" i="1"/>
  <c r="M547" i="5" s="1"/>
  <c r="M559" i="1"/>
  <c r="M548" i="5" s="1"/>
  <c r="M560" i="1"/>
  <c r="M549" i="5" s="1"/>
  <c r="M561" i="1"/>
  <c r="M550" i="5" s="1"/>
  <c r="M562" i="1"/>
  <c r="M551" i="5" s="1"/>
  <c r="M563" i="1"/>
  <c r="M552" i="5" s="1"/>
  <c r="M564" i="1"/>
  <c r="M553" i="5" s="1"/>
  <c r="M565" i="1"/>
  <c r="M554" i="5" s="1"/>
  <c r="M566" i="1"/>
  <c r="M555" i="5" s="1"/>
  <c r="M567" i="1"/>
  <c r="M556" i="5" s="1"/>
  <c r="M568" i="1"/>
  <c r="M557" i="5" s="1"/>
  <c r="M569" i="1"/>
  <c r="M558" i="5" s="1"/>
  <c r="M570" i="1"/>
  <c r="M559" i="5" s="1"/>
  <c r="M571" i="1"/>
  <c r="M560" i="5" s="1"/>
  <c r="M572" i="1"/>
  <c r="M561" i="5" s="1"/>
  <c r="M573" i="1"/>
  <c r="M562" i="5" s="1"/>
  <c r="M574" i="1"/>
  <c r="M563" i="5" s="1"/>
  <c r="M575" i="1"/>
  <c r="M564" i="5" s="1"/>
  <c r="M576" i="1"/>
  <c r="M565" i="5" s="1"/>
  <c r="M577" i="1"/>
  <c r="M566" i="5" s="1"/>
  <c r="M578" i="1"/>
  <c r="M567" i="5" s="1"/>
  <c r="M579" i="1"/>
  <c r="M568" i="5" s="1"/>
  <c r="M580" i="1"/>
  <c r="M569" i="5" s="1"/>
  <c r="M581" i="1"/>
  <c r="M570" i="5" s="1"/>
  <c r="M582" i="1"/>
  <c r="M571" i="5" s="1"/>
  <c r="M583" i="1"/>
  <c r="M572" i="5" s="1"/>
  <c r="M584" i="1"/>
  <c r="M573" i="5" s="1"/>
  <c r="M585" i="1"/>
  <c r="M574" i="5" s="1"/>
  <c r="M586" i="1"/>
  <c r="M575" i="5" s="1"/>
  <c r="M587" i="1"/>
  <c r="M576" i="5" s="1"/>
  <c r="M588" i="1"/>
  <c r="M577" i="5" s="1"/>
  <c r="M589" i="1"/>
  <c r="M578" i="5" s="1"/>
  <c r="M590" i="1"/>
  <c r="M579" i="5" s="1"/>
  <c r="M591" i="1"/>
  <c r="M580" i="5" s="1"/>
  <c r="M14" i="1"/>
  <c r="M3" i="5" s="1"/>
  <c r="L2" i="5"/>
  <c r="M2" i="5"/>
  <c r="K2" i="5"/>
  <c r="B15" i="1"/>
  <c r="E4" i="5" s="1"/>
  <c r="F2" i="5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K10" i="1"/>
  <c r="C14" i="5" s="1"/>
  <c r="G27" i="7" l="1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5" i="7"/>
  <c r="G4" i="7"/>
  <c r="G3" i="7"/>
  <c r="G2" i="7"/>
  <c r="G16" i="7"/>
  <c r="G6" i="7"/>
  <c r="G2" i="5" l="1"/>
  <c r="H2" i="5"/>
  <c r="I2" i="5"/>
  <c r="J2" i="5"/>
</calcChain>
</file>

<file path=xl/sharedStrings.xml><?xml version="1.0" encoding="utf-8"?>
<sst xmlns="http://schemas.openxmlformats.org/spreadsheetml/2006/main" count="132" uniqueCount="120">
  <si>
    <t>Teléfono</t>
  </si>
  <si>
    <t>Fecha</t>
  </si>
  <si>
    <t>Nº</t>
  </si>
  <si>
    <t>Amadeus</t>
  </si>
  <si>
    <t>Apart Hotel</t>
  </si>
  <si>
    <t>Buin etapa II y III</t>
  </si>
  <si>
    <t>Departamental</t>
  </si>
  <si>
    <t>Los Espinos</t>
  </si>
  <si>
    <t>Macul Plaza 2</t>
  </si>
  <si>
    <t>Post Venta CUPC</t>
  </si>
  <si>
    <t>Tamarugo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</si>
  <si>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</si>
  <si>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</si>
  <si>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</si>
  <si>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</si>
  <si>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</si>
  <si>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</si>
  <si>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</si>
  <si>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</si>
  <si>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</si>
  <si>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</si>
  <si>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</si>
  <si>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</si>
  <si>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</si>
  <si>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</si>
  <si>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ABSAL</t>
  </si>
  <si>
    <t>Supervisor Constructora</t>
  </si>
  <si>
    <t>Inmobiliarias</t>
  </si>
  <si>
    <t>ACCION INMOBILIARIA</t>
  </si>
  <si>
    <t>CUPC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</si>
  <si>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</si>
  <si>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</si>
  <si>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</si>
  <si>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</si>
  <si>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</si>
  <si>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</si>
  <si>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</si>
  <si>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</si>
  <si>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</si>
  <si>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</si>
  <si>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</si>
  <si>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</si>
  <si>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</si>
  <si>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</si>
  <si>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</si>
  <si>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</si>
  <si>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</si>
  <si>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</si>
  <si>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</si>
  <si>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</si>
  <si>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</si>
  <si>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</si>
  <si>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</si>
  <si>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</si>
  <si>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</si>
  <si>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</si>
  <si>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</si>
  <si>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</si>
  <si>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</si>
  <si>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</si>
  <si>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</si>
  <si>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</si>
  <si>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</si>
  <si>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</si>
  <si>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</si>
  <si>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</si>
  <si>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</si>
  <si>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</si>
  <si>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</si>
  <si>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</si>
  <si>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</si>
  <si>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</si>
  <si>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ETAPA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</si>
  <si>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</si>
  <si>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</si>
  <si>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</si>
  <si>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</si>
  <si>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</si>
  <si>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</si>
  <si>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</si>
  <si>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</si>
  <si>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</si>
  <si>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 Venta</t>
  </si>
  <si>
    <t>CA STUDEN LIVINN STGO. LTDA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</si>
  <si>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</si>
  <si>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</si>
  <si>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</si>
  <si>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</si>
  <si>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</si>
  <si>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</si>
  <si>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</si>
  <si>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</si>
  <si>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</si>
  <si>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</si>
  <si>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</si>
  <si>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</si>
  <si>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</si>
  <si>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</si>
  <si>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</si>
  <si>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</si>
  <si>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</si>
  <si>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</si>
  <si>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</si>
  <si>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</si>
  <si>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</si>
  <si>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</si>
  <si>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</si>
  <si>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</si>
  <si>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</si>
  <si>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Ej: 3kg =&gt; Cantidad=3; Medicion=KG</t>
  </si>
  <si>
    <t>VALOR</t>
  </si>
  <si>
    <t>DATOS FACTURA</t>
  </si>
  <si>
    <t>Unidad</t>
  </si>
  <si>
    <t>Solo en caso que sea pack</t>
  </si>
  <si>
    <t>Cantidad Pack</t>
  </si>
  <si>
    <t>Cantidad Por Pack</t>
  </si>
  <si>
    <t>Carnes</t>
  </si>
  <si>
    <t>Hamburguesa</t>
  </si>
  <si>
    <t>Jumbo</t>
  </si>
  <si>
    <t xml:space="preserve">Hamburguesa 500g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</si>
</sst>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A5A5A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27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  <xf numFmtId="0" fontId="3" fillId="13" borderId="19" applyNumberFormat="0" applyAlignment="0" applyProtection="0"/>
  </cellStyleXfs>
  <cellXfs count="18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 applyAlignment="1">
      <alignment horizontal="center"/>
    </xf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7" borderId="2" xfId="0" applyFill="1" applyBorder="1" applyAlignment="1">
      <alignment horizontal="left" vertical="center"/>
    </xf>
    <xf numFmtId="0" fontId="0" fillId="7" borderId="0" xfId="0" applyFill="1"/>
    <xf numFmtId="49" fontId="2" fillId="7" borderId="2" xfId="0" applyNumberFormat="1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49" fontId="0" fillId="7" borderId="0" xfId="0" applyNumberFormat="1" applyFill="1"/>
    <xf numFmtId="0" fontId="27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vertical="center" wrapText="1"/>
    </xf>
    <xf numFmtId="14" fontId="2" fillId="7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7" borderId="10" xfId="0" applyNumberFormat="1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0" fillId="11" borderId="0" xfId="0" applyFill="1"/>
    <xf numFmtId="49" fontId="0" fillId="11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horizontal="center" vertical="center" wrapText="1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2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7" borderId="14" xfId="0" applyNumberFormat="1" applyFont="1" applyFill="1" applyBorder="1" applyAlignment="1">
      <alignment horizontal="left" vertical="center" wrapText="1"/>
    </xf>
    <xf numFmtId="0" fontId="27" fillId="7" borderId="1" xfId="0" applyNumberFormat="1" applyFont="1" applyFill="1" applyBorder="1" applyAlignment="1">
      <alignment horizontal="left" vertical="center" wrapText="1"/>
    </xf>
    <xf numFmtId="0" fontId="5" fillId="9" borderId="1" xfId="0" applyNumberFormat="1" applyFont="1" applyFill="1" applyBorder="1" applyAlignment="1">
      <alignment horizontal="center" vertical="center" wrapText="1"/>
    </xf>
    <xf numFmtId="0" fontId="5" fillId="9" borderId="7" xfId="0" applyNumberFormat="1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1" borderId="0" xfId="0" applyFill="1" applyBorder="1"/>
    <xf numFmtId="49" fontId="0" fillId="11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49" fontId="5" fillId="9" borderId="2" xfId="0" applyNumberFormat="1" applyFont="1" applyFill="1" applyBorder="1" applyAlignment="1">
      <alignment horizontal="center" vertical="center"/>
    </xf>
    <xf numFmtId="49" fontId="5" fillId="9" borderId="17" xfId="0" applyNumberFormat="1" applyFont="1" applyFill="1" applyBorder="1" applyAlignment="1">
      <alignment horizontal="center" vertical="center"/>
    </xf>
    <xf numFmtId="49" fontId="5" fillId="9" borderId="13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7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7" borderId="12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7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vertical="center" wrapText="1"/>
    </xf>
    <xf numFmtId="0" fontId="24" fillId="0" borderId="0" xfId="0" applyNumberFormat="1" applyFont="1" applyBorder="1" applyAlignment="1">
      <alignment vertical="center" wrapText="1"/>
    </xf>
    <xf numFmtId="0" fontId="24" fillId="0" borderId="16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 vertical="center" wrapText="1"/>
    </xf>
    <xf numFmtId="1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NumberFormat="1" applyFont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 wrapText="1"/>
    </xf>
    <xf numFmtId="14" fontId="38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14" fontId="41" fillId="0" borderId="0" xfId="0" applyNumberFormat="1" applyFont="1" applyBorder="1" applyAlignment="1">
      <alignment vertical="center" wrapText="1"/>
    </xf>
    <xf numFmtId="1" fontId="25" fillId="4" borderId="14" xfId="0" applyNumberFormat="1" applyFont="1" applyFill="1" applyBorder="1" applyAlignment="1">
      <alignment horizontal="center" vertical="center" wrapText="1"/>
    </xf>
    <xf numFmtId="2" fontId="27" fillId="4" borderId="1" xfId="0" applyNumberFormat="1" applyFont="1" applyFill="1" applyBorder="1" applyAlignment="1">
      <alignment horizontal="center" vertical="center" wrapText="1"/>
    </xf>
    <xf numFmtId="0" fontId="0" fillId="7" borderId="0" xfId="0" applyFill="1" applyBorder="1"/>
    <xf numFmtId="0" fontId="0" fillId="3" borderId="0" xfId="0" applyFill="1" applyBorder="1"/>
    <xf numFmtId="0" fontId="29" fillId="6" borderId="0" xfId="0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vertical="center"/>
    </xf>
    <xf numFmtId="0" fontId="42" fillId="4" borderId="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top"/>
    </xf>
    <xf numFmtId="0" fontId="26" fillId="0" borderId="0" xfId="0" applyFont="1" applyFill="1" applyBorder="1" applyAlignment="1">
      <alignment vertical="center"/>
    </xf>
    <xf numFmtId="2" fontId="27" fillId="4" borderId="2" xfId="0" applyNumberFormat="1" applyFont="1" applyFill="1" applyBorder="1" applyAlignment="1">
      <alignment horizontal="center" vertical="center" wrapText="1"/>
    </xf>
    <xf numFmtId="2" fontId="27" fillId="4" borderId="10" xfId="0" applyNumberFormat="1" applyFont="1" applyFill="1" applyBorder="1" applyAlignment="1">
      <alignment horizontal="center" vertical="center" wrapText="1"/>
    </xf>
    <xf numFmtId="2" fontId="27" fillId="4" borderId="3" xfId="0" applyNumberFormat="1" applyFont="1" applyFill="1" applyBorder="1" applyAlignment="1">
      <alignment horizontal="center" vertical="center" wrapText="1"/>
    </xf>
    <xf numFmtId="2" fontId="27" fillId="4" borderId="0" xfId="0" applyNumberFormat="1" applyFont="1" applyFill="1" applyBorder="1" applyAlignment="1">
      <alignment horizontal="center" vertical="center" wrapText="1"/>
    </xf>
    <xf numFmtId="2" fontId="27" fillId="4" borderId="14" xfId="0" applyNumberFormat="1" applyFont="1" applyFill="1" applyBorder="1" applyAlignment="1">
      <alignment horizontal="center" vertical="center" wrapText="1"/>
    </xf>
    <xf numFmtId="0" fontId="3" fillId="13" borderId="21" xfId="26" applyBorder="1" applyAlignment="1">
      <alignment horizontal="center" vertical="center" wrapText="1"/>
    </xf>
    <xf numFmtId="0" fontId="25" fillId="0" borderId="1" xfId="0" applyNumberFormat="1" applyFont="1" applyBorder="1" applyAlignment="1">
      <alignment horizontal="left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7" borderId="1" xfId="0" applyNumberFormat="1" applyFont="1" applyFill="1" applyBorder="1" applyAlignment="1">
      <alignment horizontal="left" vertical="center"/>
    </xf>
    <xf numFmtId="14" fontId="36" fillId="7" borderId="1" xfId="25" applyNumberFormat="1" applyFill="1" applyBorder="1" applyAlignment="1">
      <alignment horizontal="left" vertical="center"/>
    </xf>
    <xf numFmtId="49" fontId="32" fillId="6" borderId="2" xfId="0" applyNumberFormat="1" applyFont="1" applyFill="1" applyBorder="1" applyAlignment="1">
      <alignment horizontal="left" vertical="center"/>
    </xf>
    <xf numFmtId="49" fontId="32" fillId="6" borderId="3" xfId="0" applyNumberFormat="1" applyFont="1" applyFill="1" applyBorder="1" applyAlignment="1">
      <alignment horizontal="left" vertical="center"/>
    </xf>
    <xf numFmtId="0" fontId="31" fillId="7" borderId="1" xfId="0" applyFont="1" applyFill="1" applyBorder="1"/>
    <xf numFmtId="0" fontId="31" fillId="7" borderId="2" xfId="0" applyFont="1" applyFill="1" applyBorder="1"/>
    <xf numFmtId="0" fontId="16" fillId="7" borderId="1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left" vertical="center"/>
    </xf>
    <xf numFmtId="49" fontId="29" fillId="6" borderId="0" xfId="0" applyNumberFormat="1" applyFont="1" applyFill="1" applyBorder="1" applyAlignment="1">
      <alignment horizontal="center" vertical="center" wrapText="1"/>
    </xf>
    <xf numFmtId="49" fontId="29" fillId="6" borderId="5" xfId="0" applyNumberFormat="1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8" fillId="10" borderId="1" xfId="0" applyFont="1" applyFill="1" applyBorder="1" applyAlignment="1">
      <alignment horizontal="center" vertical="center" wrapText="1"/>
    </xf>
    <xf numFmtId="0" fontId="28" fillId="10" borderId="10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horizontal="left" vertical="center"/>
    </xf>
    <xf numFmtId="0" fontId="42" fillId="4" borderId="9" xfId="0" applyFont="1" applyFill="1" applyBorder="1" applyAlignment="1">
      <alignment horizontal="left" vertical="center"/>
    </xf>
    <xf numFmtId="0" fontId="42" fillId="4" borderId="5" xfId="0" applyFont="1" applyFill="1" applyBorder="1" applyAlignment="1">
      <alignment horizontal="left" vertical="center"/>
    </xf>
    <xf numFmtId="0" fontId="42" fillId="4" borderId="20" xfId="0" applyFont="1" applyFill="1" applyBorder="1" applyAlignment="1">
      <alignment horizontal="left" vertical="center"/>
    </xf>
    <xf numFmtId="0" fontId="42" fillId="4" borderId="4" xfId="0" applyFont="1" applyFill="1" applyBorder="1" applyAlignment="1">
      <alignment horizontal="center" vertical="center"/>
    </xf>
    <xf numFmtId="0" fontId="42" fillId="4" borderId="5" xfId="0" applyFont="1" applyFill="1" applyBorder="1" applyAlignment="1">
      <alignment horizontal="center" vertical="center"/>
    </xf>
    <xf numFmtId="0" fontId="28" fillId="10" borderId="14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left" vertical="center"/>
    </xf>
    <xf numFmtId="0" fontId="32" fillId="6" borderId="3" xfId="0" applyFont="1" applyFill="1" applyBorder="1" applyAlignment="1">
      <alignment horizontal="left" vertical="center"/>
    </xf>
  </cellXfs>
  <cellStyles count="27">
    <cellStyle name="Celda de comprobación" xfId="26" builtinId="23"/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9525</xdr:rowOff>
    </xdr:from>
    <xdr:ext cx="3524250" cy="147014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2:A25" totalsRowShown="0">
  <autoFilter ref="A2:A25" xr:uid="{00000000-0009-0000-0100-000003000000}"/>
  <tableColumns count="1">
    <tableColumn id="1" xr3:uid="{00000000-0010-0000-0000-000001000000}" name="Proye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U5781"/>
  <sheetViews>
    <sheetView showGridLines="0" tabSelected="1" topLeftCell="A7" zoomScale="85" zoomScaleNormal="85" workbookViewId="0">
      <selection activeCell="H16" sqref="H16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5" customWidth="1"/>
    <col min="4" max="4" width="24.28515625" style="3" customWidth="1"/>
    <col min="5" max="5" width="30" style="3" customWidth="1"/>
    <col min="6" max="6" width="67.7109375" style="21" customWidth="1"/>
    <col min="7" max="7" width="32.85546875" style="3" customWidth="1"/>
    <col min="8" max="8" width="24.7109375" style="3" bestFit="1" customWidth="1"/>
    <col min="9" max="9" width="15.42578125" style="21" customWidth="1"/>
    <col min="10" max="10" width="26.140625" style="3" customWidth="1"/>
    <col min="11" max="11" width="29.7109375" style="21" customWidth="1"/>
    <col min="12" max="12" width="24.42578125" style="3" customWidth="1"/>
    <col min="13" max="13" width="22.5703125" style="21" customWidth="1"/>
    <col min="14" max="14" width="4.85546875" style="56" customWidth="1"/>
    <col min="15" max="15" width="1.42578125" style="2" customWidth="1"/>
    <col min="22" max="16384" width="14.7109375" style="2"/>
  </cols>
  <sheetData>
    <row r="1" spans="1:21" ht="9.75" customHeight="1">
      <c r="A1"/>
      <c r="B1" s="60"/>
      <c r="C1" s="61"/>
      <c r="D1" s="60"/>
      <c r="E1" s="60"/>
      <c r="F1" s="60"/>
      <c r="G1" s="73"/>
      <c r="H1" s="73"/>
      <c r="I1" s="73"/>
      <c r="J1" s="73"/>
      <c r="K1" s="73"/>
      <c r="L1" s="73"/>
      <c r="M1" s="73"/>
      <c r="N1" s="97"/>
      <c r="O1" s="1"/>
      <c r="P1" s="2"/>
      <c r="Q1" s="2"/>
      <c r="R1" s="2"/>
      <c r="S1" s="2"/>
      <c r="T1" s="2"/>
      <c r="U1" s="2"/>
    </row>
    <row r="2" spans="1:21" ht="39" customHeight="1">
      <c r="A2"/>
      <c r="B2" s="147" t="s">
        <v>86</v>
      </c>
      <c r="C2" s="148"/>
      <c r="D2" s="148"/>
      <c r="E2" s="148"/>
      <c r="F2" s="62"/>
      <c r="G2" s="62"/>
      <c r="H2" s="62"/>
      <c r="I2" s="88"/>
      <c r="J2" s="136"/>
      <c r="K2" s="178" t="s">
        <v>108</v>
      </c>
      <c r="L2" s="174">
        <v>12312</v>
      </c>
      <c r="M2" s="175"/>
      <c r="N2" s="41"/>
      <c r="O2" s="1"/>
      <c r="P2" s="2"/>
      <c r="Q2" s="2"/>
      <c r="R2" s="2"/>
      <c r="S2" s="2"/>
      <c r="T2" s="2"/>
      <c r="U2" s="2"/>
    </row>
    <row r="3" spans="1:21" ht="18.75" customHeight="1">
      <c r="A3"/>
      <c r="B3" s="155" t="s">
        <v>98</v>
      </c>
      <c r="C3" s="156"/>
      <c r="D3" s="156"/>
      <c r="E3" s="156"/>
      <c r="F3" s="63"/>
      <c r="G3" s="63"/>
      <c r="H3" s="63"/>
      <c r="I3" s="89"/>
      <c r="J3" s="137"/>
      <c r="K3" s="179"/>
      <c r="L3" s="176"/>
      <c r="M3" s="177"/>
      <c r="N3" s="41"/>
      <c r="O3" s="1"/>
      <c r="P3" s="2"/>
      <c r="Q3" s="2"/>
      <c r="R3" s="2"/>
      <c r="S3" s="2"/>
      <c r="T3" s="2"/>
      <c r="U3" s="2"/>
    </row>
    <row r="4" spans="1:21" ht="15" customHeight="1">
      <c r="A4"/>
      <c r="B4" s="60"/>
      <c r="C4" s="61"/>
      <c r="D4" s="60"/>
      <c r="E4" s="60"/>
      <c r="F4" s="60"/>
      <c r="G4" s="60"/>
      <c r="H4" s="60"/>
      <c r="I4" s="73"/>
      <c r="J4" s="73"/>
      <c r="K4" s="73"/>
      <c r="L4" s="73"/>
      <c r="M4" s="73"/>
      <c r="N4" s="41"/>
      <c r="O4" s="1"/>
      <c r="P4" s="2"/>
      <c r="Q4" s="2"/>
      <c r="R4" s="2"/>
      <c r="S4" s="2"/>
      <c r="T4" s="2"/>
      <c r="U4" s="2"/>
    </row>
    <row r="5" spans="1:21" ht="33.75" customHeight="1">
      <c r="A5"/>
      <c r="B5" s="181" t="s">
        <v>84</v>
      </c>
      <c r="C5" s="182"/>
      <c r="D5" s="163" t="s">
        <v>101</v>
      </c>
      <c r="E5" s="164"/>
      <c r="F5" s="57"/>
      <c r="G5" s="138"/>
      <c r="H5" s="138"/>
      <c r="I5" s="161" t="s">
        <v>87</v>
      </c>
      <c r="J5" s="162"/>
      <c r="K5" s="159" t="s">
        <v>104</v>
      </c>
      <c r="L5" s="159"/>
      <c r="M5" s="159"/>
      <c r="N5" s="98"/>
      <c r="O5" s="1"/>
      <c r="P5" s="2"/>
      <c r="Q5" s="2"/>
      <c r="R5" s="2"/>
      <c r="S5" s="2"/>
      <c r="T5" s="2"/>
      <c r="U5" s="2"/>
    </row>
    <row r="6" spans="1:21" ht="31.5" customHeight="1">
      <c r="A6"/>
      <c r="B6" s="181" t="s">
        <v>85</v>
      </c>
      <c r="C6" s="182"/>
      <c r="D6" s="163" t="s">
        <v>102</v>
      </c>
      <c r="E6" s="164"/>
      <c r="F6" s="57"/>
      <c r="G6" s="138"/>
      <c r="H6" s="138"/>
      <c r="I6" s="161" t="s">
        <v>1</v>
      </c>
      <c r="J6" s="162"/>
      <c r="K6" s="159">
        <v>43894</v>
      </c>
      <c r="L6" s="159"/>
      <c r="M6" s="159"/>
      <c r="N6" s="99"/>
      <c r="O6" s="1"/>
      <c r="P6" s="2"/>
      <c r="Q6" s="2"/>
      <c r="R6" s="2"/>
      <c r="S6" s="2"/>
      <c r="T6" s="2"/>
      <c r="U6" s="2"/>
    </row>
    <row r="7" spans="1:21" ht="33" customHeight="1">
      <c r="A7" s="6"/>
      <c r="B7" s="181" t="s">
        <v>88</v>
      </c>
      <c r="C7" s="182"/>
      <c r="D7" s="165" t="s">
        <v>103</v>
      </c>
      <c r="E7" s="166"/>
      <c r="F7" s="58"/>
      <c r="G7" s="139"/>
      <c r="H7" s="139"/>
      <c r="I7" s="161" t="s">
        <v>89</v>
      </c>
      <c r="J7" s="162"/>
      <c r="K7" s="160" t="s">
        <v>105</v>
      </c>
      <c r="L7" s="159"/>
      <c r="M7" s="159"/>
      <c r="N7" s="99"/>
      <c r="O7" s="1"/>
      <c r="P7" s="2"/>
      <c r="Q7" s="2"/>
      <c r="R7" s="2"/>
      <c r="S7" s="2"/>
      <c r="T7" s="2"/>
      <c r="U7" s="2"/>
    </row>
    <row r="8" spans="1:21" ht="31.5" customHeight="1">
      <c r="A8" s="6"/>
      <c r="B8" s="181" t="s">
        <v>0</v>
      </c>
      <c r="C8" s="182"/>
      <c r="D8" s="165">
        <v>7923647824</v>
      </c>
      <c r="E8" s="166"/>
      <c r="F8" s="58"/>
      <c r="G8" s="139"/>
      <c r="H8" s="139"/>
      <c r="I8" s="161" t="s">
        <v>90</v>
      </c>
      <c r="J8" s="162"/>
      <c r="K8" s="159" t="s">
        <v>106</v>
      </c>
      <c r="L8" s="159"/>
      <c r="M8" s="159"/>
      <c r="N8" s="99"/>
      <c r="O8" s="1"/>
      <c r="P8" s="2"/>
      <c r="Q8" s="2"/>
      <c r="R8" s="2"/>
      <c r="S8" s="2"/>
      <c r="T8" s="2"/>
      <c r="U8" s="2"/>
    </row>
    <row r="9" spans="1:21" ht="14.25" customHeight="1">
      <c r="A9" s="6"/>
      <c r="B9" s="64"/>
      <c r="C9" s="65"/>
      <c r="D9" s="66"/>
      <c r="E9" s="66"/>
      <c r="F9" s="66"/>
      <c r="G9" s="66"/>
      <c r="H9" s="66"/>
      <c r="I9" s="90"/>
      <c r="J9" s="91"/>
      <c r="K9" s="157"/>
      <c r="L9" s="157"/>
      <c r="M9" s="158"/>
      <c r="N9" s="100"/>
      <c r="O9" s="1"/>
      <c r="P9" s="2"/>
      <c r="Q9" s="2"/>
      <c r="R9" s="2"/>
      <c r="S9" s="2"/>
      <c r="T9" s="2"/>
      <c r="U9" s="2"/>
    </row>
    <row r="10" spans="1:21" ht="19.5" customHeight="1">
      <c r="A10" s="6"/>
      <c r="B10" s="64"/>
      <c r="C10" s="65"/>
      <c r="D10" s="66"/>
      <c r="E10" s="66"/>
      <c r="F10" s="66"/>
      <c r="G10" s="66"/>
      <c r="H10" s="66"/>
      <c r="I10" s="149" t="s">
        <v>99</v>
      </c>
      <c r="J10" s="150"/>
      <c r="K10" s="151">
        <f>SUM(M14:M591)</f>
        <v>8000</v>
      </c>
      <c r="L10" s="151"/>
      <c r="M10" s="152"/>
      <c r="N10" s="100"/>
      <c r="O10" s="1"/>
      <c r="P10" s="2"/>
      <c r="Q10" s="2"/>
      <c r="R10" s="2"/>
      <c r="S10" s="2"/>
      <c r="T10" s="2"/>
      <c r="U10" s="2"/>
    </row>
    <row r="11" spans="1:21" ht="13.5" customHeight="1">
      <c r="A11"/>
      <c r="B11" s="67"/>
      <c r="C11" s="61"/>
      <c r="D11" s="60"/>
      <c r="E11" s="60"/>
      <c r="F11" s="60"/>
      <c r="G11" s="60"/>
      <c r="H11" s="60"/>
      <c r="I11" s="92"/>
      <c r="J11" s="73"/>
      <c r="K11" s="73"/>
      <c r="L11" s="73"/>
      <c r="M11" s="109"/>
      <c r="N11" s="97"/>
      <c r="O11" s="1"/>
      <c r="P11" s="2"/>
      <c r="Q11" s="2"/>
      <c r="R11" s="2"/>
      <c r="S11" s="2"/>
      <c r="T11" s="2"/>
      <c r="U11" s="2"/>
    </row>
    <row r="12" spans="1:21" ht="26.25" customHeight="1">
      <c r="A12" s="6"/>
      <c r="B12" s="153" t="s">
        <v>2</v>
      </c>
      <c r="C12" s="167" t="s">
        <v>91</v>
      </c>
      <c r="D12" s="153" t="s">
        <v>92</v>
      </c>
      <c r="E12" s="153"/>
      <c r="F12" s="153" t="s">
        <v>93</v>
      </c>
      <c r="G12" s="112" t="s">
        <v>94</v>
      </c>
      <c r="H12" s="135" t="s">
        <v>115</v>
      </c>
      <c r="I12" s="153" t="s">
        <v>95</v>
      </c>
      <c r="J12" s="153" t="s">
        <v>96</v>
      </c>
      <c r="K12" s="153" t="s">
        <v>97</v>
      </c>
      <c r="L12" s="153" t="s">
        <v>100</v>
      </c>
      <c r="M12" s="153" t="s">
        <v>99</v>
      </c>
      <c r="N12" s="97"/>
      <c r="O12" s="1"/>
      <c r="P12" s="2"/>
      <c r="Q12" s="2"/>
      <c r="R12" s="2"/>
      <c r="S12" s="2"/>
      <c r="T12" s="2"/>
      <c r="U12" s="2"/>
    </row>
    <row r="13" spans="1:21" s="16" customFormat="1" ht="18.75" customHeight="1">
      <c r="A13" s="13"/>
      <c r="B13" s="154"/>
      <c r="C13" s="168"/>
      <c r="D13" s="154"/>
      <c r="E13" s="154"/>
      <c r="F13" s="154"/>
      <c r="G13" s="113" t="s">
        <v>109</v>
      </c>
      <c r="H13" s="113" t="s">
        <v>113</v>
      </c>
      <c r="I13" s="154"/>
      <c r="J13" s="154"/>
      <c r="K13" s="154"/>
      <c r="L13" s="154"/>
      <c r="M13" s="154"/>
      <c r="N13" s="110"/>
      <c r="O13" s="15">
        <v>1</v>
      </c>
      <c r="P13" s="50"/>
      <c r="Q13" s="50"/>
    </row>
    <row r="14" spans="1:21" ht="24.75" customHeight="1">
      <c r="A14" s="5"/>
      <c r="B14" s="7">
        <v>1</v>
      </c>
      <c r="C14" s="38">
        <v>123123</v>
      </c>
      <c r="D14" s="169" t="s">
        <v>117</v>
      </c>
      <c r="E14" s="170"/>
      <c r="F14" s="39" t="s">
        <v>119</v>
      </c>
      <c r="G14" s="131">
        <v>40</v>
      </c>
      <c r="H14" s="131"/>
      <c r="I14" s="79" t="s">
        <v>118</v>
      </c>
      <c r="J14" s="106" t="s">
        <v>116</v>
      </c>
      <c r="K14" s="39" t="s">
        <v>112</v>
      </c>
      <c r="L14" s="68">
        <v>200</v>
      </c>
      <c r="M14" s="111">
        <f>(L14*G14)</f>
        <v>8000</v>
      </c>
      <c r="N14" s="54"/>
      <c r="O14" s="1">
        <v>0</v>
      </c>
      <c r="P14" s="51"/>
      <c r="Q14" s="51"/>
      <c r="R14" s="2"/>
      <c r="S14" s="2"/>
      <c r="T14" s="2"/>
      <c r="U14" s="2"/>
    </row>
    <row r="15" spans="1:21" ht="24.75" customHeight="1">
      <c r="A15" s="5"/>
      <c r="B15" s="7">
        <f t="shared" ref="B15:B18" si="0">B14+1</f>
        <v>2</v>
      </c>
      <c r="C15" s="37"/>
      <c r="D15" s="169"/>
      <c r="E15" s="170"/>
      <c r="F15" s="39"/>
      <c r="G15" s="131"/>
      <c r="H15" s="131"/>
      <c r="I15" s="79"/>
      <c r="J15" s="106"/>
      <c r="K15" s="39"/>
      <c r="L15" s="69"/>
      <c r="M15" s="108">
        <f t="shared" ref="M15:M78" si="1">(L15*G15)</f>
        <v>0</v>
      </c>
      <c r="N15" s="54"/>
      <c r="O15" s="1">
        <v>1</v>
      </c>
      <c r="P15" s="51"/>
      <c r="Q15" s="51"/>
      <c r="R15" s="2"/>
      <c r="S15" s="2"/>
      <c r="T15" s="2"/>
      <c r="U15" s="2"/>
    </row>
    <row r="16" spans="1:21" ht="24.75" customHeight="1">
      <c r="A16" s="5"/>
      <c r="B16" s="7">
        <f t="shared" si="0"/>
        <v>3</v>
      </c>
      <c r="C16" s="37"/>
      <c r="D16" s="169"/>
      <c r="E16" s="170"/>
      <c r="F16" s="39"/>
      <c r="G16" s="131"/>
      <c r="H16" s="131"/>
      <c r="I16" s="79"/>
      <c r="J16" s="106"/>
      <c r="K16" s="39"/>
      <c r="L16" s="69"/>
      <c r="M16" s="108">
        <f t="shared" si="1"/>
        <v>0</v>
      </c>
      <c r="N16" s="54"/>
      <c r="O16" s="1">
        <v>0</v>
      </c>
      <c r="P16" s="51"/>
      <c r="Q16" s="51"/>
      <c r="R16" s="2"/>
      <c r="S16" s="2"/>
      <c r="T16" s="2"/>
      <c r="U16" s="2"/>
    </row>
    <row r="17" spans="1:21" ht="24.75" customHeight="1">
      <c r="A17" s="5"/>
      <c r="B17" s="7">
        <f t="shared" si="0"/>
        <v>4</v>
      </c>
      <c r="C17" s="37"/>
      <c r="D17" s="169"/>
      <c r="E17" s="170"/>
      <c r="F17" s="39"/>
      <c r="G17" s="131"/>
      <c r="H17" s="131"/>
      <c r="I17" s="79"/>
      <c r="J17" s="106"/>
      <c r="K17" s="39"/>
      <c r="L17" s="69"/>
      <c r="M17" s="108">
        <f t="shared" si="1"/>
        <v>0</v>
      </c>
      <c r="N17" s="54"/>
      <c r="O17" s="1"/>
      <c r="P17" s="2"/>
      <c r="Q17" s="2"/>
      <c r="R17" s="2"/>
      <c r="S17" s="2"/>
      <c r="T17" s="2"/>
      <c r="U17" s="2"/>
    </row>
    <row r="18" spans="1:21" ht="24.75" customHeight="1">
      <c r="A18" s="5"/>
      <c r="B18" s="7">
        <f t="shared" si="0"/>
        <v>5</v>
      </c>
      <c r="C18" s="37"/>
      <c r="D18" s="169"/>
      <c r="E18" s="170"/>
      <c r="F18" s="39"/>
      <c r="G18" s="131"/>
      <c r="H18" s="131"/>
      <c r="I18" s="79"/>
      <c r="J18" s="106"/>
      <c r="K18" s="39"/>
      <c r="L18" s="69"/>
      <c r="M18" s="108">
        <f t="shared" si="1"/>
        <v>0</v>
      </c>
      <c r="N18" s="54"/>
      <c r="O18" s="1"/>
      <c r="P18" s="2"/>
      <c r="Q18" s="2"/>
      <c r="R18" s="2"/>
      <c r="S18" s="2"/>
      <c r="T18" s="2"/>
      <c r="U18" s="2"/>
    </row>
    <row r="19" spans="1:21" ht="24.75" customHeight="1">
      <c r="A19" s="5"/>
      <c r="B19" s="7">
        <f>B18+1</f>
        <v>6</v>
      </c>
      <c r="C19" s="37"/>
      <c r="D19" s="169"/>
      <c r="E19" s="170"/>
      <c r="F19" s="39"/>
      <c r="G19" s="131"/>
      <c r="H19" s="131"/>
      <c r="I19" s="79"/>
      <c r="J19" s="106"/>
      <c r="K19" s="118"/>
      <c r="L19" s="69"/>
      <c r="M19" s="108">
        <f t="shared" si="1"/>
        <v>0</v>
      </c>
      <c r="N19" s="54"/>
      <c r="O19" s="1"/>
      <c r="P19" s="2"/>
      <c r="Q19" s="2"/>
      <c r="R19" s="2"/>
      <c r="S19" s="2"/>
      <c r="T19" s="2"/>
      <c r="U19" s="2"/>
    </row>
    <row r="20" spans="1:21" ht="24.75" customHeight="1">
      <c r="A20" s="5"/>
      <c r="B20" s="7">
        <f t="shared" ref="B20:B83" si="2">B19+1</f>
        <v>7</v>
      </c>
      <c r="C20" s="37"/>
      <c r="D20" s="169"/>
      <c r="E20" s="170"/>
      <c r="F20" s="26"/>
      <c r="G20" s="132"/>
      <c r="H20" s="132"/>
      <c r="I20" s="80"/>
      <c r="J20" s="74"/>
      <c r="K20" s="26"/>
      <c r="L20" s="69"/>
      <c r="M20" s="108">
        <f t="shared" si="1"/>
        <v>0</v>
      </c>
      <c r="N20" s="54"/>
      <c r="O20" s="1"/>
      <c r="P20" s="2"/>
      <c r="Q20" s="2"/>
      <c r="R20" s="2"/>
      <c r="S20" s="2"/>
      <c r="T20" s="2"/>
      <c r="U20" s="2"/>
    </row>
    <row r="21" spans="1:21" ht="24.75" customHeight="1">
      <c r="A21" s="5"/>
      <c r="B21" s="7">
        <f t="shared" si="2"/>
        <v>8</v>
      </c>
      <c r="C21" s="37"/>
      <c r="D21" s="169"/>
      <c r="E21" s="170"/>
      <c r="F21" s="26"/>
      <c r="G21" s="132"/>
      <c r="H21" s="132"/>
      <c r="I21" s="80"/>
      <c r="J21" s="74"/>
      <c r="K21" s="26"/>
      <c r="L21" s="69"/>
      <c r="M21" s="108">
        <f t="shared" si="1"/>
        <v>0</v>
      </c>
      <c r="N21" s="54"/>
      <c r="O21" s="1"/>
      <c r="P21" s="2"/>
      <c r="Q21" s="2"/>
      <c r="R21" s="2"/>
      <c r="S21" s="2"/>
      <c r="T21" s="2"/>
      <c r="U21" s="2"/>
    </row>
    <row r="22" spans="1:21" ht="24.75" customHeight="1">
      <c r="A22" s="5"/>
      <c r="B22" s="7">
        <f t="shared" si="2"/>
        <v>9</v>
      </c>
      <c r="C22" s="37"/>
      <c r="D22" s="169"/>
      <c r="E22" s="170"/>
      <c r="F22" s="26"/>
      <c r="G22" s="132"/>
      <c r="H22" s="132"/>
      <c r="I22" s="80"/>
      <c r="J22" s="74"/>
      <c r="K22" s="26"/>
      <c r="L22" s="69"/>
      <c r="M22" s="108">
        <f t="shared" si="1"/>
        <v>0</v>
      </c>
      <c r="N22" s="54"/>
      <c r="O22" s="1"/>
      <c r="P22" s="2"/>
      <c r="Q22" s="2"/>
      <c r="R22" s="2"/>
      <c r="S22" s="2"/>
      <c r="T22" s="2"/>
      <c r="U22" s="2"/>
    </row>
    <row r="23" spans="1:21" ht="24.75" customHeight="1">
      <c r="A23" s="5"/>
      <c r="B23" s="7">
        <f t="shared" si="2"/>
        <v>10</v>
      </c>
      <c r="C23" s="37"/>
      <c r="D23" s="169"/>
      <c r="E23" s="170"/>
      <c r="F23" s="26"/>
      <c r="G23" s="132"/>
      <c r="H23" s="132"/>
      <c r="I23" s="80"/>
      <c r="J23" s="74"/>
      <c r="K23" s="26"/>
      <c r="L23" s="69"/>
      <c r="M23" s="108">
        <f t="shared" si="1"/>
        <v>0</v>
      </c>
      <c r="N23" s="54"/>
      <c r="O23" s="1"/>
      <c r="P23" s="2"/>
      <c r="Q23" s="2"/>
      <c r="R23" s="2"/>
      <c r="S23" s="2"/>
      <c r="T23" s="2"/>
      <c r="U23" s="2"/>
    </row>
    <row r="24" spans="1:21" ht="24.75" customHeight="1">
      <c r="A24" s="5"/>
      <c r="B24" s="7">
        <f t="shared" si="2"/>
        <v>11</v>
      </c>
      <c r="C24" s="37"/>
      <c r="D24" s="169"/>
      <c r="E24" s="170"/>
      <c r="F24" s="26"/>
      <c r="G24" s="132"/>
      <c r="H24" s="132"/>
      <c r="I24" s="80"/>
      <c r="J24" s="74"/>
      <c r="K24" s="26"/>
      <c r="L24" s="69"/>
      <c r="M24" s="108">
        <f t="shared" si="1"/>
        <v>0</v>
      </c>
      <c r="N24" s="54"/>
      <c r="O24" s="1"/>
      <c r="P24" s="2"/>
      <c r="Q24" s="2"/>
      <c r="R24" s="2"/>
      <c r="S24" s="2"/>
      <c r="T24" s="2"/>
      <c r="U24" s="2"/>
    </row>
    <row r="25" spans="1:21" ht="24.75" customHeight="1">
      <c r="A25" s="5"/>
      <c r="B25" s="7">
        <f t="shared" si="2"/>
        <v>12</v>
      </c>
      <c r="C25" s="37"/>
      <c r="D25" s="169"/>
      <c r="E25" s="170"/>
      <c r="F25" s="26"/>
      <c r="G25" s="132"/>
      <c r="H25" s="132"/>
      <c r="I25" s="80"/>
      <c r="J25" s="74"/>
      <c r="K25" s="26"/>
      <c r="L25" s="69"/>
      <c r="M25" s="108">
        <f t="shared" si="1"/>
        <v>0</v>
      </c>
      <c r="N25" s="54"/>
      <c r="O25" s="1"/>
      <c r="P25" s="2"/>
      <c r="Q25" s="2"/>
      <c r="R25" s="2"/>
      <c r="S25" s="2"/>
      <c r="T25" s="2"/>
      <c r="U25" s="2"/>
    </row>
    <row r="26" spans="1:21" ht="24.75" customHeight="1">
      <c r="A26" s="5"/>
      <c r="B26" s="7">
        <f t="shared" si="2"/>
        <v>13</v>
      </c>
      <c r="C26" s="37"/>
      <c r="D26" s="169"/>
      <c r="E26" s="170"/>
      <c r="F26" s="26"/>
      <c r="G26" s="132"/>
      <c r="H26" s="132"/>
      <c r="I26" s="80"/>
      <c r="J26" s="74"/>
      <c r="K26" s="26"/>
      <c r="L26" s="69"/>
      <c r="M26" s="108">
        <f t="shared" si="1"/>
        <v>0</v>
      </c>
      <c r="N26" s="54"/>
      <c r="O26" s="1"/>
      <c r="P26" s="2"/>
      <c r="Q26" s="2"/>
      <c r="R26" s="2"/>
      <c r="S26" s="2"/>
      <c r="T26" s="2"/>
      <c r="U26" s="2"/>
    </row>
    <row r="27" spans="1:21" ht="24.75" customHeight="1">
      <c r="A27" s="5"/>
      <c r="B27" s="7">
        <f t="shared" si="2"/>
        <v>14</v>
      </c>
      <c r="C27" s="37"/>
      <c r="D27" s="169"/>
      <c r="E27" s="170"/>
      <c r="F27" s="26"/>
      <c r="G27" s="132"/>
      <c r="H27" s="132"/>
      <c r="I27" s="80"/>
      <c r="J27" s="74"/>
      <c r="K27" s="26"/>
      <c r="L27" s="69"/>
      <c r="M27" s="108">
        <f t="shared" si="1"/>
        <v>0</v>
      </c>
      <c r="N27" s="54"/>
      <c r="O27" s="1"/>
      <c r="P27" s="2"/>
      <c r="Q27" s="2"/>
      <c r="R27" s="2"/>
      <c r="S27" s="2"/>
      <c r="T27" s="2"/>
      <c r="U27" s="2"/>
    </row>
    <row r="28" spans="1:21" ht="24.75" customHeight="1">
      <c r="A28" s="5"/>
      <c r="B28" s="7">
        <f t="shared" si="2"/>
        <v>15</v>
      </c>
      <c r="C28" s="37"/>
      <c r="D28" s="169"/>
      <c r="E28" s="170"/>
      <c r="F28" s="26"/>
      <c r="G28" s="132"/>
      <c r="H28" s="132"/>
      <c r="I28" s="80"/>
      <c r="J28" s="74"/>
      <c r="K28" s="26"/>
      <c r="L28" s="69"/>
      <c r="M28" s="108">
        <f t="shared" si="1"/>
        <v>0</v>
      </c>
      <c r="N28" s="54"/>
      <c r="O28" s="1"/>
      <c r="P28" s="2"/>
      <c r="Q28" s="2"/>
      <c r="R28" s="2"/>
      <c r="S28" s="2"/>
      <c r="T28" s="2"/>
      <c r="U28" s="2"/>
    </row>
    <row r="29" spans="1:21" ht="24.75" customHeight="1">
      <c r="A29" s="5"/>
      <c r="B29" s="7">
        <f t="shared" si="2"/>
        <v>16</v>
      </c>
      <c r="C29" s="37"/>
      <c r="D29" s="169"/>
      <c r="E29" s="170"/>
      <c r="F29" s="26"/>
      <c r="G29" s="132"/>
      <c r="H29" s="132"/>
      <c r="I29" s="80"/>
      <c r="J29" s="74"/>
      <c r="K29" s="26"/>
      <c r="L29" s="69"/>
      <c r="M29" s="108">
        <f t="shared" si="1"/>
        <v>0</v>
      </c>
      <c r="N29" s="54"/>
      <c r="O29" s="1"/>
      <c r="P29" s="2"/>
      <c r="Q29" s="2"/>
      <c r="R29" s="2"/>
      <c r="S29" s="2"/>
      <c r="T29" s="2"/>
      <c r="U29" s="2"/>
    </row>
    <row r="30" spans="1:21" ht="24.75" customHeight="1">
      <c r="A30" s="5"/>
      <c r="B30" s="7">
        <f t="shared" si="2"/>
        <v>17</v>
      </c>
      <c r="C30" s="37"/>
      <c r="D30" s="169"/>
      <c r="E30" s="170"/>
      <c r="F30" s="26"/>
      <c r="G30" s="132"/>
      <c r="H30" s="132"/>
      <c r="I30" s="80"/>
      <c r="J30" s="74"/>
      <c r="K30" s="26"/>
      <c r="L30" s="69"/>
      <c r="M30" s="108">
        <f t="shared" si="1"/>
        <v>0</v>
      </c>
      <c r="N30" s="54"/>
      <c r="O30" s="1"/>
      <c r="P30" s="2"/>
      <c r="Q30" s="2"/>
      <c r="R30" s="2"/>
      <c r="S30" s="2"/>
      <c r="T30" s="2"/>
      <c r="U30" s="2"/>
    </row>
    <row r="31" spans="1:21" ht="24.75" customHeight="1">
      <c r="A31" s="5"/>
      <c r="B31" s="7">
        <f t="shared" si="2"/>
        <v>18</v>
      </c>
      <c r="C31" s="37"/>
      <c r="D31" s="169"/>
      <c r="E31" s="170"/>
      <c r="F31" s="26"/>
      <c r="G31" s="132"/>
      <c r="H31" s="132"/>
      <c r="I31" s="80"/>
      <c r="J31" s="74"/>
      <c r="K31" s="26"/>
      <c r="L31" s="69"/>
      <c r="M31" s="108">
        <f t="shared" si="1"/>
        <v>0</v>
      </c>
      <c r="N31" s="54"/>
      <c r="O31" s="1"/>
      <c r="P31" s="2"/>
      <c r="Q31" s="2"/>
      <c r="R31" s="2"/>
      <c r="S31" s="2"/>
      <c r="T31" s="2"/>
      <c r="U31" s="2"/>
    </row>
    <row r="32" spans="1:21" ht="24.75" customHeight="1">
      <c r="A32" s="5"/>
      <c r="B32" s="7">
        <f t="shared" si="2"/>
        <v>19</v>
      </c>
      <c r="C32" s="37"/>
      <c r="D32" s="169"/>
      <c r="E32" s="170"/>
      <c r="F32" s="26"/>
      <c r="G32" s="132"/>
      <c r="H32" s="132"/>
      <c r="I32" s="80"/>
      <c r="J32" s="74"/>
      <c r="K32" s="26"/>
      <c r="L32" s="69"/>
      <c r="M32" s="108">
        <f t="shared" si="1"/>
        <v>0</v>
      </c>
      <c r="N32" s="54"/>
      <c r="O32" s="1"/>
      <c r="P32" s="2"/>
      <c r="Q32" s="2"/>
      <c r="R32" s="2"/>
      <c r="S32" s="2"/>
      <c r="T32" s="2"/>
      <c r="U32" s="2"/>
    </row>
    <row r="33" spans="1:21" ht="24.75" customHeight="1">
      <c r="A33" s="5"/>
      <c r="B33" s="7">
        <f t="shared" si="2"/>
        <v>20</v>
      </c>
      <c r="C33" s="37"/>
      <c r="D33" s="169"/>
      <c r="E33" s="170"/>
      <c r="F33" s="26"/>
      <c r="G33" s="132"/>
      <c r="H33" s="132"/>
      <c r="I33" s="80"/>
      <c r="J33" s="74"/>
      <c r="K33" s="26"/>
      <c r="L33" s="69"/>
      <c r="M33" s="108">
        <f t="shared" si="1"/>
        <v>0</v>
      </c>
      <c r="N33" s="55"/>
      <c r="O33" s="1"/>
      <c r="P33" s="2"/>
      <c r="Q33" s="2"/>
      <c r="R33" s="2"/>
      <c r="S33" s="2"/>
      <c r="T33" s="2"/>
      <c r="U33" s="2"/>
    </row>
    <row r="34" spans="1:21" ht="24.75" customHeight="1">
      <c r="A34" s="5"/>
      <c r="B34" s="7">
        <f t="shared" si="2"/>
        <v>21</v>
      </c>
      <c r="C34" s="37"/>
      <c r="D34" s="169"/>
      <c r="E34" s="170"/>
      <c r="F34" s="26"/>
      <c r="G34" s="132"/>
      <c r="H34" s="132"/>
      <c r="I34" s="80"/>
      <c r="J34" s="74"/>
      <c r="K34" s="26"/>
      <c r="L34" s="69"/>
      <c r="M34" s="108">
        <f t="shared" si="1"/>
        <v>0</v>
      </c>
      <c r="N34" s="55"/>
      <c r="O34" s="1"/>
      <c r="P34" s="2"/>
      <c r="Q34" s="2"/>
      <c r="R34" s="2"/>
      <c r="S34" s="2"/>
      <c r="T34" s="2"/>
      <c r="U34" s="2"/>
    </row>
    <row r="35" spans="1:21" ht="24.75" customHeight="1">
      <c r="A35" s="5"/>
      <c r="B35" s="7">
        <f t="shared" si="2"/>
        <v>22</v>
      </c>
      <c r="C35" s="37"/>
      <c r="D35" s="169"/>
      <c r="E35" s="170"/>
      <c r="F35" s="26"/>
      <c r="G35" s="132"/>
      <c r="H35" s="132"/>
      <c r="I35" s="80"/>
      <c r="J35" s="74"/>
      <c r="K35" s="26"/>
      <c r="L35" s="69"/>
      <c r="M35" s="108">
        <f t="shared" si="1"/>
        <v>0</v>
      </c>
      <c r="N35" s="55"/>
      <c r="O35" s="1"/>
      <c r="P35" s="2"/>
      <c r="Q35" s="2"/>
      <c r="R35" s="2"/>
      <c r="S35" s="2"/>
      <c r="T35" s="2"/>
      <c r="U35" s="2"/>
    </row>
    <row r="36" spans="1:21" ht="24.75" customHeight="1">
      <c r="A36" s="5"/>
      <c r="B36" s="7">
        <f t="shared" si="2"/>
        <v>23</v>
      </c>
      <c r="C36" s="37"/>
      <c r="D36" s="169"/>
      <c r="E36" s="170"/>
      <c r="F36" s="26"/>
      <c r="G36" s="132"/>
      <c r="H36" s="132"/>
      <c r="I36" s="80"/>
      <c r="J36" s="74"/>
      <c r="K36" s="26"/>
      <c r="L36" s="69"/>
      <c r="M36" s="108">
        <f t="shared" si="1"/>
        <v>0</v>
      </c>
      <c r="N36" s="55"/>
      <c r="O36" s="1"/>
      <c r="P36" s="2"/>
      <c r="Q36" s="2"/>
      <c r="R36" s="2"/>
      <c r="S36" s="2"/>
      <c r="T36" s="2"/>
      <c r="U36" s="2"/>
    </row>
    <row r="37" spans="1:21" ht="24.75" customHeight="1">
      <c r="A37" s="5"/>
      <c r="B37" s="7">
        <f t="shared" si="2"/>
        <v>24</v>
      </c>
      <c r="C37" s="37"/>
      <c r="D37" s="169"/>
      <c r="E37" s="170"/>
      <c r="F37" s="26"/>
      <c r="G37" s="132"/>
      <c r="H37" s="132"/>
      <c r="I37" s="80"/>
      <c r="J37" s="74"/>
      <c r="K37" s="26"/>
      <c r="L37" s="69"/>
      <c r="M37" s="108">
        <f t="shared" si="1"/>
        <v>0</v>
      </c>
      <c r="N37" s="55"/>
      <c r="O37" s="1"/>
      <c r="P37" s="2"/>
      <c r="Q37" s="2"/>
      <c r="R37" s="2"/>
      <c r="S37" s="2"/>
      <c r="T37" s="2"/>
      <c r="U37" s="2"/>
    </row>
    <row r="38" spans="1:21" ht="24.75" customHeight="1">
      <c r="A38" s="5"/>
      <c r="B38" s="7">
        <f t="shared" si="2"/>
        <v>25</v>
      </c>
      <c r="C38" s="37"/>
      <c r="D38" s="169"/>
      <c r="E38" s="170"/>
      <c r="F38" s="26"/>
      <c r="G38" s="132"/>
      <c r="H38" s="132"/>
      <c r="I38" s="80"/>
      <c r="J38" s="74"/>
      <c r="K38" s="26"/>
      <c r="L38" s="69"/>
      <c r="M38" s="108">
        <f t="shared" si="1"/>
        <v>0</v>
      </c>
      <c r="N38" s="55"/>
      <c r="O38" s="1"/>
      <c r="P38" s="2"/>
      <c r="Q38" s="2"/>
      <c r="R38" s="2"/>
      <c r="S38" s="2"/>
      <c r="T38" s="2"/>
      <c r="U38" s="2"/>
    </row>
    <row r="39" spans="1:21" ht="24.75" customHeight="1">
      <c r="A39" s="5"/>
      <c r="B39" s="7">
        <f t="shared" si="2"/>
        <v>26</v>
      </c>
      <c r="C39" s="37"/>
      <c r="D39" s="169"/>
      <c r="E39" s="170"/>
      <c r="F39" s="26"/>
      <c r="G39" s="132"/>
      <c r="H39" s="132"/>
      <c r="I39" s="80"/>
      <c r="J39" s="74"/>
      <c r="K39" s="26"/>
      <c r="L39" s="69"/>
      <c r="M39" s="108">
        <f t="shared" si="1"/>
        <v>0</v>
      </c>
      <c r="N39" s="55"/>
      <c r="O39" s="1"/>
      <c r="P39" s="2"/>
      <c r="Q39" s="2"/>
      <c r="R39" s="2"/>
      <c r="S39" s="2"/>
      <c r="T39" s="2"/>
      <c r="U39" s="2"/>
    </row>
    <row r="40" spans="1:21" ht="24.75" customHeight="1">
      <c r="A40" s="5"/>
      <c r="B40" s="7">
        <f t="shared" si="2"/>
        <v>27</v>
      </c>
      <c r="C40" s="37"/>
      <c r="D40" s="169"/>
      <c r="E40" s="170"/>
      <c r="F40" s="26"/>
      <c r="G40" s="132"/>
      <c r="H40" s="132"/>
      <c r="I40" s="80"/>
      <c r="J40" s="74"/>
      <c r="K40" s="26"/>
      <c r="L40" s="69"/>
      <c r="M40" s="108">
        <f t="shared" si="1"/>
        <v>0</v>
      </c>
      <c r="N40" s="55"/>
      <c r="O40" s="1"/>
      <c r="P40" s="2"/>
      <c r="Q40" s="2"/>
      <c r="R40" s="2"/>
      <c r="S40" s="2"/>
      <c r="T40" s="2"/>
      <c r="U40" s="2"/>
    </row>
    <row r="41" spans="1:21" ht="24.75" customHeight="1">
      <c r="A41" s="5"/>
      <c r="B41" s="7">
        <f t="shared" si="2"/>
        <v>28</v>
      </c>
      <c r="C41" s="37"/>
      <c r="D41" s="169"/>
      <c r="E41" s="170"/>
      <c r="F41" s="26"/>
      <c r="G41" s="132"/>
      <c r="H41" s="132"/>
      <c r="I41" s="80"/>
      <c r="J41" s="74"/>
      <c r="K41" s="26"/>
      <c r="L41" s="69"/>
      <c r="M41" s="108">
        <f t="shared" si="1"/>
        <v>0</v>
      </c>
      <c r="N41" s="55"/>
      <c r="O41" s="1"/>
      <c r="P41" s="2"/>
      <c r="Q41" s="2"/>
      <c r="R41" s="2"/>
      <c r="S41" s="2"/>
      <c r="T41" s="2"/>
      <c r="U41" s="2"/>
    </row>
    <row r="42" spans="1:21" ht="24.75" customHeight="1">
      <c r="A42" s="5"/>
      <c r="B42" s="7">
        <f t="shared" si="2"/>
        <v>29</v>
      </c>
      <c r="C42" s="37"/>
      <c r="D42" s="169"/>
      <c r="E42" s="170"/>
      <c r="F42" s="26"/>
      <c r="G42" s="132"/>
      <c r="H42" s="132"/>
      <c r="I42" s="80"/>
      <c r="J42" s="74"/>
      <c r="K42" s="26"/>
      <c r="L42" s="69"/>
      <c r="M42" s="108">
        <f t="shared" si="1"/>
        <v>0</v>
      </c>
      <c r="N42" s="55"/>
      <c r="O42" s="1"/>
      <c r="P42" s="2"/>
      <c r="Q42" s="2"/>
      <c r="R42" s="2"/>
      <c r="S42" s="2"/>
      <c r="T42" s="2"/>
      <c r="U42" s="2"/>
    </row>
    <row r="43" spans="1:21" ht="24.75" customHeight="1">
      <c r="A43" s="5"/>
      <c r="B43" s="7">
        <f t="shared" si="2"/>
        <v>30</v>
      </c>
      <c r="C43" s="37"/>
      <c r="D43" s="169"/>
      <c r="E43" s="170"/>
      <c r="F43" s="26"/>
      <c r="G43" s="132"/>
      <c r="H43" s="132"/>
      <c r="I43" s="80"/>
      <c r="J43" s="74"/>
      <c r="K43" s="26"/>
      <c r="L43" s="69"/>
      <c r="M43" s="108">
        <f t="shared" si="1"/>
        <v>0</v>
      </c>
      <c r="N43" s="55"/>
      <c r="O43" s="1"/>
      <c r="P43" s="2"/>
      <c r="Q43" s="2"/>
      <c r="R43" s="2"/>
      <c r="S43" s="2"/>
      <c r="T43" s="2"/>
      <c r="U43" s="2"/>
    </row>
    <row r="44" spans="1:21" ht="24.75" customHeight="1">
      <c r="A44" s="5"/>
      <c r="B44" s="7">
        <f t="shared" si="2"/>
        <v>31</v>
      </c>
      <c r="C44" s="37"/>
      <c r="D44" s="169"/>
      <c r="E44" s="170"/>
      <c r="F44" s="26"/>
      <c r="G44" s="132"/>
      <c r="H44" s="132"/>
      <c r="I44" s="80"/>
      <c r="J44" s="74"/>
      <c r="K44" s="26"/>
      <c r="L44" s="69"/>
      <c r="M44" s="108">
        <f t="shared" si="1"/>
        <v>0</v>
      </c>
      <c r="N44" s="55"/>
      <c r="O44" s="1"/>
      <c r="P44" s="2"/>
      <c r="Q44" s="2"/>
      <c r="R44" s="2"/>
      <c r="S44" s="2"/>
      <c r="T44" s="2"/>
      <c r="U44" s="2"/>
    </row>
    <row r="45" spans="1:21" ht="24.75" customHeight="1">
      <c r="A45" s="5"/>
      <c r="B45" s="7">
        <f t="shared" si="2"/>
        <v>32</v>
      </c>
      <c r="C45" s="37"/>
      <c r="D45" s="169"/>
      <c r="E45" s="170"/>
      <c r="F45" s="26"/>
      <c r="G45" s="132"/>
      <c r="H45" s="132"/>
      <c r="I45" s="80"/>
      <c r="J45" s="74"/>
      <c r="K45" s="26"/>
      <c r="L45" s="69"/>
      <c r="M45" s="108">
        <f t="shared" si="1"/>
        <v>0</v>
      </c>
      <c r="N45" s="55"/>
      <c r="O45" s="1"/>
      <c r="P45" s="2"/>
      <c r="Q45" s="2"/>
      <c r="R45" s="2"/>
      <c r="S45" s="2"/>
      <c r="T45" s="2"/>
      <c r="U45" s="2"/>
    </row>
    <row r="46" spans="1:21" ht="24.75" customHeight="1">
      <c r="A46" s="5"/>
      <c r="B46" s="7">
        <f t="shared" si="2"/>
        <v>33</v>
      </c>
      <c r="C46" s="37"/>
      <c r="D46" s="169"/>
      <c r="E46" s="170"/>
      <c r="F46" s="26"/>
      <c r="G46" s="132"/>
      <c r="H46" s="132"/>
      <c r="I46" s="80"/>
      <c r="J46" s="74"/>
      <c r="K46" s="26"/>
      <c r="L46" s="69"/>
      <c r="M46" s="108">
        <f t="shared" si="1"/>
        <v>0</v>
      </c>
      <c r="N46" s="55"/>
      <c r="O46" s="1"/>
      <c r="P46" s="2"/>
      <c r="Q46" s="2"/>
      <c r="R46" s="2"/>
      <c r="S46" s="2"/>
      <c r="T46" s="2"/>
      <c r="U46" s="2"/>
    </row>
    <row r="47" spans="1:21" ht="24.75" customHeight="1">
      <c r="A47" s="5"/>
      <c r="B47" s="7">
        <f t="shared" si="2"/>
        <v>34</v>
      </c>
      <c r="C47" s="37"/>
      <c r="D47" s="169"/>
      <c r="E47" s="170"/>
      <c r="F47" s="26"/>
      <c r="G47" s="132"/>
      <c r="H47" s="132"/>
      <c r="I47" s="80"/>
      <c r="J47" s="74"/>
      <c r="K47" s="26"/>
      <c r="L47" s="69"/>
      <c r="M47" s="108">
        <f t="shared" si="1"/>
        <v>0</v>
      </c>
      <c r="N47" s="55"/>
      <c r="O47" s="1"/>
      <c r="P47" s="2"/>
      <c r="Q47" s="2"/>
      <c r="R47" s="2"/>
      <c r="S47" s="2"/>
      <c r="T47" s="2"/>
      <c r="U47" s="2"/>
    </row>
    <row r="48" spans="1:21" ht="24.75" customHeight="1">
      <c r="A48" s="5"/>
      <c r="B48" s="7">
        <f t="shared" si="2"/>
        <v>35</v>
      </c>
      <c r="C48" s="37"/>
      <c r="D48" s="169"/>
      <c r="E48" s="170"/>
      <c r="F48" s="26"/>
      <c r="G48" s="132"/>
      <c r="H48" s="132"/>
      <c r="I48" s="80"/>
      <c r="J48" s="74"/>
      <c r="K48" s="26"/>
      <c r="L48" s="69"/>
      <c r="M48" s="108">
        <f t="shared" si="1"/>
        <v>0</v>
      </c>
      <c r="N48" s="55"/>
      <c r="O48" s="1"/>
      <c r="P48" s="2"/>
      <c r="Q48" s="2"/>
      <c r="R48" s="2"/>
      <c r="S48" s="2"/>
      <c r="T48" s="2"/>
      <c r="U48" s="2"/>
    </row>
    <row r="49" spans="1:21" ht="24.75" customHeight="1">
      <c r="A49" s="5"/>
      <c r="B49" s="7">
        <f t="shared" si="2"/>
        <v>36</v>
      </c>
      <c r="C49" s="37"/>
      <c r="D49" s="169"/>
      <c r="E49" s="170"/>
      <c r="F49" s="26"/>
      <c r="G49" s="132"/>
      <c r="H49" s="132"/>
      <c r="I49" s="80"/>
      <c r="J49" s="74"/>
      <c r="K49" s="26"/>
      <c r="L49" s="69"/>
      <c r="M49" s="108">
        <f t="shared" si="1"/>
        <v>0</v>
      </c>
      <c r="N49" s="55"/>
      <c r="O49" s="1"/>
      <c r="P49" s="2"/>
      <c r="Q49" s="2"/>
      <c r="R49" s="2"/>
      <c r="S49" s="2"/>
      <c r="T49" s="2"/>
      <c r="U49" s="2"/>
    </row>
    <row r="50" spans="1:21" ht="24.75" customHeight="1">
      <c r="A50" s="5"/>
      <c r="B50" s="7">
        <f t="shared" si="2"/>
        <v>37</v>
      </c>
      <c r="C50" s="37"/>
      <c r="D50" s="169"/>
      <c r="E50" s="170"/>
      <c r="F50" s="26"/>
      <c r="G50" s="132"/>
      <c r="H50" s="132"/>
      <c r="I50" s="80"/>
      <c r="J50" s="74"/>
      <c r="K50" s="26"/>
      <c r="L50" s="69"/>
      <c r="M50" s="108">
        <f t="shared" si="1"/>
        <v>0</v>
      </c>
      <c r="N50" s="55"/>
      <c r="O50" s="1"/>
      <c r="P50" s="2"/>
      <c r="Q50" s="2"/>
      <c r="R50" s="2"/>
      <c r="S50" s="2"/>
      <c r="T50" s="2"/>
      <c r="U50" s="2"/>
    </row>
    <row r="51" spans="1:21" ht="24.75" customHeight="1">
      <c r="A51" s="5"/>
      <c r="B51" s="7">
        <f t="shared" si="2"/>
        <v>38</v>
      </c>
      <c r="C51" s="37"/>
      <c r="D51" s="169"/>
      <c r="E51" s="170"/>
      <c r="F51" s="26"/>
      <c r="G51" s="132"/>
      <c r="H51" s="132"/>
      <c r="I51" s="80"/>
      <c r="J51" s="74"/>
      <c r="K51" s="26"/>
      <c r="L51" s="69"/>
      <c r="M51" s="108">
        <f t="shared" si="1"/>
        <v>0</v>
      </c>
      <c r="N51" s="55"/>
      <c r="O51" s="1"/>
      <c r="P51" s="2"/>
      <c r="Q51" s="2"/>
      <c r="R51" s="2"/>
      <c r="S51" s="2"/>
      <c r="T51" s="2"/>
      <c r="U51" s="2"/>
    </row>
    <row r="52" spans="1:21" ht="24.75" customHeight="1">
      <c r="A52" s="5"/>
      <c r="B52" s="7">
        <f t="shared" si="2"/>
        <v>39</v>
      </c>
      <c r="C52" s="37"/>
      <c r="D52" s="169"/>
      <c r="E52" s="170"/>
      <c r="F52" s="26"/>
      <c r="G52" s="132"/>
      <c r="H52" s="132"/>
      <c r="I52" s="80"/>
      <c r="J52" s="74"/>
      <c r="K52" s="26"/>
      <c r="L52" s="69"/>
      <c r="M52" s="108">
        <f t="shared" si="1"/>
        <v>0</v>
      </c>
      <c r="N52" s="55"/>
      <c r="O52" s="1"/>
      <c r="P52" s="2"/>
      <c r="Q52" s="2"/>
      <c r="R52" s="2"/>
      <c r="S52" s="2"/>
      <c r="T52" s="2"/>
      <c r="U52" s="2"/>
    </row>
    <row r="53" spans="1:21" ht="24.75" customHeight="1">
      <c r="A53" s="5"/>
      <c r="B53" s="7">
        <f t="shared" si="2"/>
        <v>40</v>
      </c>
      <c r="C53" s="37"/>
      <c r="D53" s="169"/>
      <c r="E53" s="170"/>
      <c r="F53" s="26"/>
      <c r="G53" s="132"/>
      <c r="H53" s="132"/>
      <c r="I53" s="80"/>
      <c r="J53" s="74"/>
      <c r="K53" s="26"/>
      <c r="L53" s="69"/>
      <c r="M53" s="108">
        <f t="shared" si="1"/>
        <v>0</v>
      </c>
      <c r="N53" s="55"/>
      <c r="O53" s="1"/>
      <c r="P53" s="2"/>
      <c r="Q53" s="2"/>
      <c r="R53" s="2"/>
      <c r="S53" s="2"/>
      <c r="T53" s="2"/>
      <c r="U53" s="2"/>
    </row>
    <row r="54" spans="1:21" ht="24.75" customHeight="1">
      <c r="A54" s="5"/>
      <c r="B54" s="7">
        <f t="shared" si="2"/>
        <v>41</v>
      </c>
      <c r="C54" s="37"/>
      <c r="D54" s="169"/>
      <c r="E54" s="170"/>
      <c r="F54" s="26"/>
      <c r="G54" s="132"/>
      <c r="H54" s="132"/>
      <c r="I54" s="80"/>
      <c r="J54" s="74"/>
      <c r="K54" s="26"/>
      <c r="L54" s="69"/>
      <c r="M54" s="108">
        <f t="shared" si="1"/>
        <v>0</v>
      </c>
      <c r="N54" s="55"/>
      <c r="O54" s="1"/>
      <c r="P54" s="2"/>
      <c r="Q54" s="2"/>
      <c r="R54" s="2"/>
      <c r="S54" s="2"/>
      <c r="T54" s="2"/>
      <c r="U54" s="2"/>
    </row>
    <row r="55" spans="1:21" ht="24.75" customHeight="1">
      <c r="A55" s="5"/>
      <c r="B55" s="7">
        <f t="shared" si="2"/>
        <v>42</v>
      </c>
      <c r="C55" s="37"/>
      <c r="D55" s="169"/>
      <c r="E55" s="170"/>
      <c r="F55" s="26"/>
      <c r="G55" s="132"/>
      <c r="H55" s="132"/>
      <c r="I55" s="80"/>
      <c r="J55" s="74"/>
      <c r="K55" s="26"/>
      <c r="L55" s="69"/>
      <c r="M55" s="108">
        <f t="shared" si="1"/>
        <v>0</v>
      </c>
      <c r="N55" s="55"/>
      <c r="O55" s="1"/>
      <c r="P55" s="2"/>
      <c r="Q55" s="2"/>
      <c r="R55" s="2"/>
      <c r="S55" s="2"/>
      <c r="T55" s="2"/>
      <c r="U55" s="2"/>
    </row>
    <row r="56" spans="1:21" ht="24.75" customHeight="1">
      <c r="A56" s="5"/>
      <c r="B56" s="7">
        <f t="shared" si="2"/>
        <v>43</v>
      </c>
      <c r="C56" s="37"/>
      <c r="D56" s="169"/>
      <c r="E56" s="170"/>
      <c r="F56" s="26"/>
      <c r="G56" s="132"/>
      <c r="H56" s="132"/>
      <c r="I56" s="80"/>
      <c r="J56" s="74"/>
      <c r="K56" s="26"/>
      <c r="L56" s="69"/>
      <c r="M56" s="108">
        <f t="shared" si="1"/>
        <v>0</v>
      </c>
      <c r="N56" s="55"/>
      <c r="O56" s="1"/>
      <c r="P56" s="2"/>
      <c r="Q56" s="2"/>
      <c r="R56" s="2"/>
      <c r="S56" s="2"/>
      <c r="T56" s="2"/>
      <c r="U56" s="2"/>
    </row>
    <row r="57" spans="1:21" ht="24.75" customHeight="1">
      <c r="A57" s="5"/>
      <c r="B57" s="7">
        <f t="shared" si="2"/>
        <v>44</v>
      </c>
      <c r="C57" s="37"/>
      <c r="D57" s="169"/>
      <c r="E57" s="170"/>
      <c r="F57" s="26"/>
      <c r="G57" s="132"/>
      <c r="H57" s="132"/>
      <c r="I57" s="80"/>
      <c r="J57" s="74"/>
      <c r="K57" s="26"/>
      <c r="L57" s="69"/>
      <c r="M57" s="108">
        <f t="shared" si="1"/>
        <v>0</v>
      </c>
      <c r="N57" s="55"/>
      <c r="O57" s="1"/>
      <c r="P57" s="2"/>
      <c r="Q57" s="2"/>
      <c r="R57" s="2"/>
      <c r="S57" s="2"/>
      <c r="T57" s="2"/>
      <c r="U57" s="2"/>
    </row>
    <row r="58" spans="1:21" ht="24.75" customHeight="1">
      <c r="A58" s="5"/>
      <c r="B58" s="7">
        <f t="shared" si="2"/>
        <v>45</v>
      </c>
      <c r="C58" s="37"/>
      <c r="D58" s="169"/>
      <c r="E58" s="170"/>
      <c r="F58" s="26"/>
      <c r="G58" s="132"/>
      <c r="H58" s="132"/>
      <c r="I58" s="80"/>
      <c r="J58" s="74"/>
      <c r="K58" s="26"/>
      <c r="L58" s="69"/>
      <c r="M58" s="108">
        <f t="shared" si="1"/>
        <v>0</v>
      </c>
      <c r="N58" s="55"/>
      <c r="O58" s="1"/>
      <c r="P58" s="2"/>
      <c r="Q58" s="2"/>
      <c r="R58" s="2"/>
      <c r="S58" s="2"/>
      <c r="T58" s="2"/>
      <c r="U58" s="2"/>
    </row>
    <row r="59" spans="1:21" ht="24.75" customHeight="1">
      <c r="A59" s="5"/>
      <c r="B59" s="7">
        <f t="shared" si="2"/>
        <v>46</v>
      </c>
      <c r="C59" s="37"/>
      <c r="D59" s="169"/>
      <c r="E59" s="170"/>
      <c r="F59" s="26"/>
      <c r="G59" s="132"/>
      <c r="H59" s="132"/>
      <c r="I59" s="80"/>
      <c r="J59" s="74"/>
      <c r="K59" s="26"/>
      <c r="L59" s="69"/>
      <c r="M59" s="108">
        <f t="shared" si="1"/>
        <v>0</v>
      </c>
      <c r="N59" s="55"/>
      <c r="O59" s="1"/>
      <c r="P59" s="2"/>
      <c r="Q59" s="2"/>
      <c r="R59" s="2"/>
      <c r="S59" s="2"/>
      <c r="T59" s="2"/>
      <c r="U59" s="2"/>
    </row>
    <row r="60" spans="1:21" ht="24.75" customHeight="1">
      <c r="A60" s="5"/>
      <c r="B60" s="7">
        <f t="shared" si="2"/>
        <v>47</v>
      </c>
      <c r="C60" s="37"/>
      <c r="D60" s="169"/>
      <c r="E60" s="170"/>
      <c r="F60" s="26"/>
      <c r="G60" s="132"/>
      <c r="H60" s="132"/>
      <c r="I60" s="80"/>
      <c r="J60" s="74"/>
      <c r="K60" s="26"/>
      <c r="L60" s="69"/>
      <c r="M60" s="108">
        <f t="shared" si="1"/>
        <v>0</v>
      </c>
      <c r="N60" s="55"/>
      <c r="O60" s="1"/>
      <c r="P60" s="2"/>
      <c r="Q60" s="2"/>
      <c r="R60" s="2"/>
      <c r="S60" s="2"/>
      <c r="T60" s="2"/>
      <c r="U60" s="2"/>
    </row>
    <row r="61" spans="1:21" ht="24.75" customHeight="1">
      <c r="A61" s="5"/>
      <c r="B61" s="7">
        <f t="shared" si="2"/>
        <v>48</v>
      </c>
      <c r="C61" s="37"/>
      <c r="D61" s="169"/>
      <c r="E61" s="170"/>
      <c r="F61" s="26"/>
      <c r="G61" s="132"/>
      <c r="H61" s="132"/>
      <c r="I61" s="80"/>
      <c r="J61" s="74"/>
      <c r="K61" s="26"/>
      <c r="L61" s="69"/>
      <c r="M61" s="108">
        <f t="shared" si="1"/>
        <v>0</v>
      </c>
      <c r="N61" s="55"/>
      <c r="O61" s="1"/>
      <c r="P61" s="2"/>
      <c r="Q61" s="2"/>
      <c r="R61" s="2"/>
      <c r="S61" s="2"/>
      <c r="T61" s="2"/>
      <c r="U61" s="2"/>
    </row>
    <row r="62" spans="1:21" ht="24.75" customHeight="1">
      <c r="A62" s="5"/>
      <c r="B62" s="7">
        <f t="shared" si="2"/>
        <v>49</v>
      </c>
      <c r="C62" s="37"/>
      <c r="D62" s="169"/>
      <c r="E62" s="170"/>
      <c r="F62" s="26"/>
      <c r="G62" s="132"/>
      <c r="H62" s="132"/>
      <c r="I62" s="80"/>
      <c r="J62" s="74"/>
      <c r="K62" s="26"/>
      <c r="L62" s="69"/>
      <c r="M62" s="108">
        <f t="shared" si="1"/>
        <v>0</v>
      </c>
      <c r="N62" s="55"/>
      <c r="O62" s="1"/>
      <c r="P62" s="2"/>
      <c r="Q62" s="2"/>
      <c r="R62" s="2"/>
      <c r="S62" s="2"/>
      <c r="T62" s="2"/>
      <c r="U62" s="2"/>
    </row>
    <row r="63" spans="1:21" ht="24.75" customHeight="1">
      <c r="A63" s="5"/>
      <c r="B63" s="7">
        <f t="shared" si="2"/>
        <v>50</v>
      </c>
      <c r="C63" s="37"/>
      <c r="D63" s="169"/>
      <c r="E63" s="170"/>
      <c r="F63" s="26"/>
      <c r="G63" s="132"/>
      <c r="H63" s="132"/>
      <c r="I63" s="80"/>
      <c r="J63" s="74"/>
      <c r="K63" s="26"/>
      <c r="L63" s="69"/>
      <c r="M63" s="108">
        <f t="shared" si="1"/>
        <v>0</v>
      </c>
      <c r="N63" s="55"/>
      <c r="O63" s="1"/>
      <c r="P63" s="2"/>
      <c r="Q63" s="2"/>
      <c r="R63" s="2"/>
      <c r="S63" s="2"/>
      <c r="T63" s="2"/>
      <c r="U63" s="2"/>
    </row>
    <row r="64" spans="1:21" ht="24.75" customHeight="1">
      <c r="A64" s="5"/>
      <c r="B64" s="7">
        <f t="shared" si="2"/>
        <v>51</v>
      </c>
      <c r="C64" s="37"/>
      <c r="D64" s="169"/>
      <c r="E64" s="170"/>
      <c r="F64" s="26"/>
      <c r="G64" s="132"/>
      <c r="H64" s="132"/>
      <c r="I64" s="80"/>
      <c r="J64" s="74"/>
      <c r="K64" s="26"/>
      <c r="L64" s="69"/>
      <c r="M64" s="108">
        <f t="shared" si="1"/>
        <v>0</v>
      </c>
      <c r="N64" s="55"/>
      <c r="O64" s="1"/>
      <c r="P64" s="2"/>
      <c r="Q64" s="2"/>
      <c r="R64" s="2"/>
      <c r="S64" s="2"/>
      <c r="T64" s="2"/>
      <c r="U64" s="2"/>
    </row>
    <row r="65" spans="1:21" ht="24.75" customHeight="1">
      <c r="A65" s="5"/>
      <c r="B65" s="7">
        <f t="shared" si="2"/>
        <v>52</v>
      </c>
      <c r="C65" s="37"/>
      <c r="D65" s="169"/>
      <c r="E65" s="170"/>
      <c r="F65" s="26"/>
      <c r="G65" s="132"/>
      <c r="H65" s="132"/>
      <c r="I65" s="80"/>
      <c r="J65" s="74"/>
      <c r="K65" s="26"/>
      <c r="L65" s="69"/>
      <c r="M65" s="108">
        <f t="shared" si="1"/>
        <v>0</v>
      </c>
      <c r="N65" s="55"/>
      <c r="O65" s="1"/>
      <c r="P65" s="2"/>
      <c r="Q65" s="2"/>
      <c r="R65" s="2"/>
      <c r="S65" s="2"/>
      <c r="T65" s="2"/>
      <c r="U65" s="2"/>
    </row>
    <row r="66" spans="1:21" ht="24.75" customHeight="1">
      <c r="A66" s="5"/>
      <c r="B66" s="7">
        <f t="shared" si="2"/>
        <v>53</v>
      </c>
      <c r="C66" s="37"/>
      <c r="D66" s="169"/>
      <c r="E66" s="170"/>
      <c r="F66" s="26"/>
      <c r="G66" s="132"/>
      <c r="H66" s="132"/>
      <c r="I66" s="80"/>
      <c r="J66" s="74"/>
      <c r="K66" s="26"/>
      <c r="L66" s="69"/>
      <c r="M66" s="108">
        <f t="shared" si="1"/>
        <v>0</v>
      </c>
      <c r="N66" s="55"/>
      <c r="O66" s="1"/>
      <c r="P66" s="2"/>
      <c r="Q66" s="2"/>
      <c r="R66" s="2"/>
      <c r="S66" s="2"/>
      <c r="T66" s="2"/>
      <c r="U66" s="2"/>
    </row>
    <row r="67" spans="1:21" ht="24.75" customHeight="1">
      <c r="A67" s="5"/>
      <c r="B67" s="7">
        <f t="shared" si="2"/>
        <v>54</v>
      </c>
      <c r="C67" s="37"/>
      <c r="D67" s="169"/>
      <c r="E67" s="170"/>
      <c r="F67" s="26"/>
      <c r="G67" s="132"/>
      <c r="H67" s="132"/>
      <c r="I67" s="80"/>
      <c r="J67" s="74"/>
      <c r="K67" s="26"/>
      <c r="L67" s="69"/>
      <c r="M67" s="108">
        <f t="shared" si="1"/>
        <v>0</v>
      </c>
      <c r="N67" s="55"/>
      <c r="O67" s="1"/>
      <c r="P67" s="2"/>
      <c r="Q67" s="2"/>
      <c r="R67" s="2"/>
      <c r="S67" s="2"/>
      <c r="T67" s="2"/>
      <c r="U67" s="2"/>
    </row>
    <row r="68" spans="1:21" ht="24.75" customHeight="1">
      <c r="A68" s="5"/>
      <c r="B68" s="7">
        <f t="shared" si="2"/>
        <v>55</v>
      </c>
      <c r="C68" s="37"/>
      <c r="D68" s="169"/>
      <c r="E68" s="170"/>
      <c r="F68" s="26"/>
      <c r="G68" s="132"/>
      <c r="H68" s="132"/>
      <c r="I68" s="80"/>
      <c r="J68" s="74"/>
      <c r="K68" s="26"/>
      <c r="L68" s="69"/>
      <c r="M68" s="108">
        <f t="shared" si="1"/>
        <v>0</v>
      </c>
      <c r="N68" s="55"/>
      <c r="O68" s="1"/>
      <c r="P68" s="2"/>
      <c r="Q68" s="2"/>
      <c r="R68" s="2"/>
      <c r="S68" s="2"/>
      <c r="T68" s="2"/>
      <c r="U68" s="2"/>
    </row>
    <row r="69" spans="1:21" ht="24.75" customHeight="1">
      <c r="A69" s="5"/>
      <c r="B69" s="7">
        <f t="shared" si="2"/>
        <v>56</v>
      </c>
      <c r="C69" s="37"/>
      <c r="D69" s="169"/>
      <c r="E69" s="170"/>
      <c r="F69" s="26"/>
      <c r="G69" s="132"/>
      <c r="H69" s="132"/>
      <c r="I69" s="80"/>
      <c r="J69" s="74"/>
      <c r="K69" s="26"/>
      <c r="L69" s="69"/>
      <c r="M69" s="108">
        <f t="shared" si="1"/>
        <v>0</v>
      </c>
      <c r="N69" s="55"/>
      <c r="O69" s="1"/>
      <c r="P69" s="2"/>
      <c r="Q69" s="2"/>
      <c r="R69" s="2"/>
      <c r="S69" s="2"/>
      <c r="T69" s="2"/>
      <c r="U69" s="2"/>
    </row>
    <row r="70" spans="1:21" ht="24.75" customHeight="1">
      <c r="A70" s="5"/>
      <c r="B70" s="7">
        <f t="shared" si="2"/>
        <v>57</v>
      </c>
      <c r="C70" s="37"/>
      <c r="D70" s="169"/>
      <c r="E70" s="170"/>
      <c r="F70" s="26"/>
      <c r="G70" s="132"/>
      <c r="H70" s="132"/>
      <c r="I70" s="80"/>
      <c r="J70" s="74"/>
      <c r="K70" s="26"/>
      <c r="L70" s="69"/>
      <c r="M70" s="108">
        <f t="shared" si="1"/>
        <v>0</v>
      </c>
      <c r="N70" s="55"/>
      <c r="O70" s="1"/>
      <c r="P70" s="2"/>
      <c r="Q70" s="2"/>
      <c r="R70" s="2"/>
      <c r="S70" s="2"/>
      <c r="T70" s="2"/>
      <c r="U70" s="2"/>
    </row>
    <row r="71" spans="1:21" ht="24.75" customHeight="1">
      <c r="A71" s="5"/>
      <c r="B71" s="7">
        <f t="shared" si="2"/>
        <v>58</v>
      </c>
      <c r="C71" s="37"/>
      <c r="D71" s="169"/>
      <c r="E71" s="170"/>
      <c r="F71" s="26"/>
      <c r="G71" s="132"/>
      <c r="H71" s="132"/>
      <c r="I71" s="80"/>
      <c r="J71" s="74"/>
      <c r="K71" s="26"/>
      <c r="L71" s="69"/>
      <c r="M71" s="108">
        <f t="shared" si="1"/>
        <v>0</v>
      </c>
      <c r="N71" s="55"/>
      <c r="O71" s="1"/>
      <c r="P71" s="2"/>
      <c r="Q71" s="2"/>
      <c r="R71" s="2"/>
      <c r="S71" s="2"/>
      <c r="T71" s="2"/>
      <c r="U71" s="2"/>
    </row>
    <row r="72" spans="1:21" ht="24.75" customHeight="1">
      <c r="A72" s="5"/>
      <c r="B72" s="7">
        <f t="shared" si="2"/>
        <v>59</v>
      </c>
      <c r="C72" s="37"/>
      <c r="D72" s="169"/>
      <c r="E72" s="170"/>
      <c r="F72" s="26"/>
      <c r="G72" s="132"/>
      <c r="H72" s="132"/>
      <c r="I72" s="80"/>
      <c r="J72" s="74"/>
      <c r="K72" s="26"/>
      <c r="L72" s="69"/>
      <c r="M72" s="108">
        <f t="shared" si="1"/>
        <v>0</v>
      </c>
      <c r="N72" s="55"/>
      <c r="O72" s="1"/>
      <c r="P72" s="2"/>
      <c r="Q72" s="2"/>
      <c r="R72" s="2"/>
      <c r="S72" s="2"/>
      <c r="T72" s="2"/>
      <c r="U72" s="2"/>
    </row>
    <row r="73" spans="1:21" ht="24.75" customHeight="1">
      <c r="A73" s="5"/>
      <c r="B73" s="7">
        <f t="shared" si="2"/>
        <v>60</v>
      </c>
      <c r="C73" s="37"/>
      <c r="D73" s="169"/>
      <c r="E73" s="170"/>
      <c r="F73" s="26"/>
      <c r="G73" s="132"/>
      <c r="H73" s="132"/>
      <c r="I73" s="80"/>
      <c r="J73" s="74"/>
      <c r="K73" s="26"/>
      <c r="L73" s="69"/>
      <c r="M73" s="108">
        <f t="shared" si="1"/>
        <v>0</v>
      </c>
      <c r="N73" s="55"/>
      <c r="O73" s="1"/>
      <c r="P73" s="2"/>
      <c r="Q73" s="2"/>
      <c r="R73" s="2"/>
      <c r="S73" s="2"/>
      <c r="T73" s="2"/>
      <c r="U73" s="2"/>
    </row>
    <row r="74" spans="1:21" ht="24.75" customHeight="1">
      <c r="A74" s="5"/>
      <c r="B74" s="7">
        <f t="shared" si="2"/>
        <v>61</v>
      </c>
      <c r="C74" s="37"/>
      <c r="D74" s="169"/>
      <c r="E74" s="170"/>
      <c r="F74" s="26"/>
      <c r="G74" s="132"/>
      <c r="H74" s="132"/>
      <c r="I74" s="80"/>
      <c r="J74" s="74"/>
      <c r="K74" s="26"/>
      <c r="L74" s="69"/>
      <c r="M74" s="108">
        <f t="shared" si="1"/>
        <v>0</v>
      </c>
      <c r="N74" s="55"/>
      <c r="O74" s="1"/>
      <c r="P74" s="2"/>
      <c r="Q74" s="2"/>
      <c r="R74" s="2"/>
      <c r="S74" s="2"/>
      <c r="T74" s="2"/>
      <c r="U74" s="2"/>
    </row>
    <row r="75" spans="1:21" ht="24.75" customHeight="1">
      <c r="A75" s="5"/>
      <c r="B75" s="7">
        <f t="shared" si="2"/>
        <v>62</v>
      </c>
      <c r="C75" s="37"/>
      <c r="D75" s="169"/>
      <c r="E75" s="170"/>
      <c r="F75" s="26"/>
      <c r="G75" s="132"/>
      <c r="H75" s="132"/>
      <c r="I75" s="80"/>
      <c r="J75" s="74"/>
      <c r="K75" s="26"/>
      <c r="L75" s="69"/>
      <c r="M75" s="108">
        <f t="shared" si="1"/>
        <v>0</v>
      </c>
      <c r="N75" s="55"/>
      <c r="O75" s="1"/>
      <c r="P75" s="2"/>
      <c r="Q75" s="2"/>
      <c r="R75" s="2"/>
      <c r="S75" s="2"/>
      <c r="T75" s="2"/>
      <c r="U75" s="2"/>
    </row>
    <row r="76" spans="1:21" ht="24.75" customHeight="1">
      <c r="A76" s="5"/>
      <c r="B76" s="7">
        <f t="shared" si="2"/>
        <v>63</v>
      </c>
      <c r="C76" s="37"/>
      <c r="D76" s="169"/>
      <c r="E76" s="170"/>
      <c r="F76" s="26"/>
      <c r="G76" s="132"/>
      <c r="H76" s="132"/>
      <c r="I76" s="80"/>
      <c r="J76" s="74"/>
      <c r="K76" s="26"/>
      <c r="L76" s="69"/>
      <c r="M76" s="108">
        <f t="shared" si="1"/>
        <v>0</v>
      </c>
      <c r="N76" s="55"/>
      <c r="O76" s="1"/>
      <c r="P76" s="2"/>
      <c r="Q76" s="2"/>
      <c r="R76" s="2"/>
      <c r="S76" s="2"/>
      <c r="T76" s="2"/>
      <c r="U76" s="2"/>
    </row>
    <row r="77" spans="1:21" ht="24.75" customHeight="1">
      <c r="A77" s="5"/>
      <c r="B77" s="7">
        <f t="shared" si="2"/>
        <v>64</v>
      </c>
      <c r="C77" s="37"/>
      <c r="D77" s="169"/>
      <c r="E77" s="170"/>
      <c r="F77" s="26"/>
      <c r="G77" s="132"/>
      <c r="H77" s="132"/>
      <c r="I77" s="80"/>
      <c r="J77" s="74"/>
      <c r="K77" s="26"/>
      <c r="L77" s="69"/>
      <c r="M77" s="108">
        <f t="shared" si="1"/>
        <v>0</v>
      </c>
      <c r="N77" s="55"/>
      <c r="O77" s="1"/>
      <c r="P77" s="2"/>
      <c r="Q77" s="2"/>
      <c r="R77" s="2"/>
      <c r="S77" s="2"/>
      <c r="T77" s="2"/>
      <c r="U77" s="2"/>
    </row>
    <row r="78" spans="1:21" ht="24.75" customHeight="1">
      <c r="A78" s="5"/>
      <c r="B78" s="7">
        <f t="shared" si="2"/>
        <v>65</v>
      </c>
      <c r="C78" s="37"/>
      <c r="D78" s="169"/>
      <c r="E78" s="170"/>
      <c r="F78" s="26"/>
      <c r="G78" s="132"/>
      <c r="H78" s="132"/>
      <c r="I78" s="80"/>
      <c r="J78" s="74"/>
      <c r="K78" s="26"/>
      <c r="L78" s="69"/>
      <c r="M78" s="108">
        <f t="shared" si="1"/>
        <v>0</v>
      </c>
      <c r="N78" s="55"/>
      <c r="O78" s="1"/>
      <c r="P78" s="2"/>
      <c r="Q78" s="2"/>
      <c r="R78" s="2"/>
      <c r="S78" s="2"/>
      <c r="T78" s="2"/>
      <c r="U78" s="2"/>
    </row>
    <row r="79" spans="1:21" ht="24.75" customHeight="1">
      <c r="A79" s="5"/>
      <c r="B79" s="7">
        <f t="shared" si="2"/>
        <v>66</v>
      </c>
      <c r="C79" s="37"/>
      <c r="D79" s="169"/>
      <c r="E79" s="170"/>
      <c r="F79" s="26"/>
      <c r="G79" s="132"/>
      <c r="H79" s="132"/>
      <c r="I79" s="80"/>
      <c r="J79" s="74"/>
      <c r="K79" s="26"/>
      <c r="L79" s="69"/>
      <c r="M79" s="108">
        <f t="shared" ref="M79:M142" si="3">(L79*G79)</f>
        <v>0</v>
      </c>
      <c r="N79" s="55"/>
      <c r="O79" s="1"/>
      <c r="P79" s="2"/>
      <c r="Q79" s="2"/>
      <c r="R79" s="2"/>
      <c r="S79" s="2"/>
      <c r="T79" s="2"/>
      <c r="U79" s="2"/>
    </row>
    <row r="80" spans="1:21" ht="24.75" customHeight="1">
      <c r="A80" s="5"/>
      <c r="B80" s="7">
        <f t="shared" si="2"/>
        <v>67</v>
      </c>
      <c r="C80" s="37"/>
      <c r="D80" s="169"/>
      <c r="E80" s="170"/>
      <c r="F80" s="26"/>
      <c r="G80" s="132"/>
      <c r="H80" s="132"/>
      <c r="I80" s="80"/>
      <c r="J80" s="74"/>
      <c r="K80" s="26"/>
      <c r="L80" s="69"/>
      <c r="M80" s="108">
        <f t="shared" si="3"/>
        <v>0</v>
      </c>
      <c r="N80" s="55"/>
      <c r="O80" s="1"/>
      <c r="P80" s="2"/>
      <c r="Q80" s="2"/>
      <c r="R80" s="2"/>
      <c r="S80" s="2"/>
      <c r="T80" s="2"/>
      <c r="U80" s="2"/>
    </row>
    <row r="81" spans="1:21" ht="24.75" customHeight="1">
      <c r="A81" s="5"/>
      <c r="B81" s="7">
        <f t="shared" si="2"/>
        <v>68</v>
      </c>
      <c r="C81" s="37"/>
      <c r="D81" s="169"/>
      <c r="E81" s="170"/>
      <c r="F81" s="26"/>
      <c r="G81" s="132"/>
      <c r="H81" s="132"/>
      <c r="I81" s="80"/>
      <c r="J81" s="74"/>
      <c r="K81" s="26"/>
      <c r="L81" s="69"/>
      <c r="M81" s="108">
        <f t="shared" si="3"/>
        <v>0</v>
      </c>
      <c r="N81" s="55"/>
      <c r="O81" s="1"/>
      <c r="P81" s="2"/>
      <c r="Q81" s="2"/>
      <c r="R81" s="2"/>
      <c r="S81" s="2"/>
      <c r="T81" s="2"/>
      <c r="U81" s="2"/>
    </row>
    <row r="82" spans="1:21" ht="24.75" customHeight="1">
      <c r="A82" s="5"/>
      <c r="B82" s="7">
        <f t="shared" si="2"/>
        <v>69</v>
      </c>
      <c r="C82" s="37"/>
      <c r="D82" s="169"/>
      <c r="E82" s="170"/>
      <c r="F82" s="26"/>
      <c r="G82" s="132"/>
      <c r="H82" s="132"/>
      <c r="I82" s="80"/>
      <c r="J82" s="74"/>
      <c r="K82" s="26"/>
      <c r="L82" s="69"/>
      <c r="M82" s="108">
        <f t="shared" si="3"/>
        <v>0</v>
      </c>
      <c r="N82" s="55"/>
      <c r="O82" s="1"/>
      <c r="P82" s="2"/>
      <c r="Q82" s="2"/>
      <c r="R82" s="2"/>
      <c r="S82" s="2"/>
      <c r="T82" s="2"/>
      <c r="U82" s="2"/>
    </row>
    <row r="83" spans="1:21" ht="24.75" customHeight="1">
      <c r="A83" s="5"/>
      <c r="B83" s="7">
        <f t="shared" si="2"/>
        <v>70</v>
      </c>
      <c r="C83" s="37"/>
      <c r="D83" s="169"/>
      <c r="E83" s="170"/>
      <c r="F83" s="26"/>
      <c r="G83" s="132"/>
      <c r="H83" s="132"/>
      <c r="I83" s="80"/>
      <c r="J83" s="74"/>
      <c r="K83" s="26"/>
      <c r="L83" s="69"/>
      <c r="M83" s="108">
        <f t="shared" si="3"/>
        <v>0</v>
      </c>
      <c r="N83" s="55"/>
      <c r="O83" s="1"/>
      <c r="P83" s="2"/>
      <c r="Q83" s="2"/>
      <c r="R83" s="2"/>
      <c r="S83" s="2"/>
      <c r="T83" s="2"/>
      <c r="U83" s="2"/>
    </row>
    <row r="84" spans="1:21" ht="24.75" customHeight="1">
      <c r="A84" s="5"/>
      <c r="B84" s="7">
        <f t="shared" ref="B84:B147" si="4">B83+1</f>
        <v>71</v>
      </c>
      <c r="C84" s="37"/>
      <c r="D84" s="169"/>
      <c r="E84" s="170"/>
      <c r="F84" s="26"/>
      <c r="G84" s="132"/>
      <c r="H84" s="132"/>
      <c r="I84" s="80"/>
      <c r="J84" s="74"/>
      <c r="K84" s="26"/>
      <c r="L84" s="69"/>
      <c r="M84" s="108">
        <f t="shared" si="3"/>
        <v>0</v>
      </c>
      <c r="N84" s="55"/>
      <c r="O84" s="1"/>
      <c r="P84" s="2"/>
      <c r="Q84" s="2"/>
      <c r="R84" s="2"/>
      <c r="S84" s="2"/>
      <c r="T84" s="2"/>
      <c r="U84" s="2"/>
    </row>
    <row r="85" spans="1:21" ht="24.75" customHeight="1">
      <c r="A85" s="5"/>
      <c r="B85" s="7">
        <f t="shared" si="4"/>
        <v>72</v>
      </c>
      <c r="C85" s="37"/>
      <c r="D85" s="169"/>
      <c r="E85" s="170"/>
      <c r="F85" s="26"/>
      <c r="G85" s="132"/>
      <c r="H85" s="132"/>
      <c r="I85" s="80"/>
      <c r="J85" s="74"/>
      <c r="K85" s="26"/>
      <c r="L85" s="69"/>
      <c r="M85" s="108">
        <f t="shared" si="3"/>
        <v>0</v>
      </c>
      <c r="N85" s="55"/>
      <c r="O85" s="1"/>
      <c r="P85" s="2"/>
      <c r="Q85" s="2"/>
      <c r="R85" s="2"/>
      <c r="S85" s="2"/>
      <c r="T85" s="2"/>
      <c r="U85" s="2"/>
    </row>
    <row r="86" spans="1:21" ht="24.75" customHeight="1">
      <c r="A86" s="5"/>
      <c r="B86" s="7">
        <f t="shared" si="4"/>
        <v>73</v>
      </c>
      <c r="C86" s="37"/>
      <c r="D86" s="169"/>
      <c r="E86" s="170"/>
      <c r="F86" s="26"/>
      <c r="G86" s="132"/>
      <c r="H86" s="132"/>
      <c r="I86" s="80"/>
      <c r="J86" s="74"/>
      <c r="K86" s="26"/>
      <c r="L86" s="69"/>
      <c r="M86" s="108">
        <f t="shared" si="3"/>
        <v>0</v>
      </c>
      <c r="N86" s="55"/>
      <c r="O86" s="1"/>
      <c r="P86" s="2"/>
      <c r="Q86" s="2"/>
      <c r="R86" s="2"/>
      <c r="S86" s="2"/>
      <c r="T86" s="2"/>
      <c r="U86" s="2"/>
    </row>
    <row r="87" spans="1:21" ht="24.75" customHeight="1">
      <c r="A87" s="5"/>
      <c r="B87" s="7">
        <f t="shared" si="4"/>
        <v>74</v>
      </c>
      <c r="C87" s="37"/>
      <c r="D87" s="169"/>
      <c r="E87" s="170"/>
      <c r="F87" s="26"/>
      <c r="G87" s="132"/>
      <c r="H87" s="132"/>
      <c r="I87" s="80"/>
      <c r="J87" s="74"/>
      <c r="K87" s="26"/>
      <c r="L87" s="69"/>
      <c r="M87" s="108">
        <f t="shared" si="3"/>
        <v>0</v>
      </c>
      <c r="N87" s="55"/>
      <c r="O87" s="1"/>
      <c r="P87" s="2"/>
      <c r="Q87" s="2"/>
      <c r="R87" s="2"/>
      <c r="S87" s="2"/>
      <c r="T87" s="2"/>
      <c r="U87" s="2"/>
    </row>
    <row r="88" spans="1:21" ht="24.75" customHeight="1">
      <c r="A88" s="5"/>
      <c r="B88" s="7">
        <f t="shared" si="4"/>
        <v>75</v>
      </c>
      <c r="C88" s="37"/>
      <c r="D88" s="169"/>
      <c r="E88" s="170"/>
      <c r="F88" s="26"/>
      <c r="G88" s="132"/>
      <c r="H88" s="132"/>
      <c r="I88" s="80"/>
      <c r="J88" s="74"/>
      <c r="K88" s="26"/>
      <c r="L88" s="69"/>
      <c r="M88" s="108">
        <f t="shared" si="3"/>
        <v>0</v>
      </c>
      <c r="N88" s="55"/>
      <c r="O88" s="1"/>
      <c r="P88" s="2"/>
      <c r="Q88" s="2"/>
      <c r="R88" s="2"/>
      <c r="S88" s="2"/>
      <c r="T88" s="2"/>
      <c r="U88" s="2"/>
    </row>
    <row r="89" spans="1:21" ht="24.75" customHeight="1">
      <c r="A89" s="5"/>
      <c r="B89" s="7">
        <f t="shared" si="4"/>
        <v>76</v>
      </c>
      <c r="C89" s="37"/>
      <c r="D89" s="169"/>
      <c r="E89" s="170"/>
      <c r="F89" s="26"/>
      <c r="G89" s="132"/>
      <c r="H89" s="132"/>
      <c r="I89" s="80"/>
      <c r="J89" s="74"/>
      <c r="K89" s="26"/>
      <c r="L89" s="69"/>
      <c r="M89" s="108">
        <f t="shared" si="3"/>
        <v>0</v>
      </c>
      <c r="N89" s="55"/>
      <c r="O89" s="1"/>
      <c r="P89" s="2"/>
      <c r="Q89" s="2"/>
      <c r="R89" s="2"/>
      <c r="S89" s="2"/>
      <c r="T89" s="2"/>
      <c r="U89" s="2"/>
    </row>
    <row r="90" spans="1:21" ht="24.75" customHeight="1">
      <c r="A90" s="5"/>
      <c r="B90" s="7">
        <f t="shared" si="4"/>
        <v>77</v>
      </c>
      <c r="C90" s="37"/>
      <c r="D90" s="169"/>
      <c r="E90" s="170"/>
      <c r="F90" s="26"/>
      <c r="G90" s="132"/>
      <c r="H90" s="132"/>
      <c r="I90" s="80"/>
      <c r="J90" s="74"/>
      <c r="K90" s="26"/>
      <c r="L90" s="69"/>
      <c r="M90" s="108">
        <f t="shared" si="3"/>
        <v>0</v>
      </c>
      <c r="N90" s="55"/>
      <c r="O90" s="1"/>
      <c r="P90" s="2"/>
      <c r="Q90" s="2"/>
      <c r="R90" s="2"/>
      <c r="S90" s="2"/>
      <c r="T90" s="2"/>
      <c r="U90" s="2"/>
    </row>
    <row r="91" spans="1:21" ht="24.75" customHeight="1">
      <c r="A91" s="5"/>
      <c r="B91" s="7">
        <f t="shared" si="4"/>
        <v>78</v>
      </c>
      <c r="C91" s="37"/>
      <c r="D91" s="169"/>
      <c r="E91" s="170"/>
      <c r="F91" s="26"/>
      <c r="G91" s="132"/>
      <c r="H91" s="132"/>
      <c r="I91" s="80"/>
      <c r="J91" s="74"/>
      <c r="K91" s="26"/>
      <c r="L91" s="69"/>
      <c r="M91" s="108">
        <f t="shared" si="3"/>
        <v>0</v>
      </c>
      <c r="N91" s="55"/>
      <c r="O91" s="1"/>
      <c r="P91" s="2"/>
      <c r="Q91" s="2"/>
      <c r="R91" s="2"/>
      <c r="S91" s="2"/>
      <c r="T91" s="2"/>
      <c r="U91" s="2"/>
    </row>
    <row r="92" spans="1:21" ht="24.75" customHeight="1">
      <c r="A92" s="5"/>
      <c r="B92" s="7">
        <f t="shared" si="4"/>
        <v>79</v>
      </c>
      <c r="C92" s="37"/>
      <c r="D92" s="169"/>
      <c r="E92" s="170"/>
      <c r="F92" s="26"/>
      <c r="G92" s="132"/>
      <c r="H92" s="132"/>
      <c r="I92" s="80"/>
      <c r="J92" s="74"/>
      <c r="K92" s="26"/>
      <c r="L92" s="69"/>
      <c r="M92" s="108">
        <f t="shared" si="3"/>
        <v>0</v>
      </c>
      <c r="N92" s="55"/>
      <c r="O92" s="1"/>
      <c r="P92" s="2"/>
      <c r="Q92" s="2"/>
      <c r="R92" s="2"/>
      <c r="S92" s="2"/>
      <c r="T92" s="2"/>
      <c r="U92" s="2"/>
    </row>
    <row r="93" spans="1:21" ht="24.75" customHeight="1">
      <c r="A93" s="5"/>
      <c r="B93" s="7">
        <f t="shared" si="4"/>
        <v>80</v>
      </c>
      <c r="C93" s="37"/>
      <c r="D93" s="169"/>
      <c r="E93" s="170"/>
      <c r="F93" s="26"/>
      <c r="G93" s="132"/>
      <c r="H93" s="132"/>
      <c r="I93" s="80"/>
      <c r="J93" s="74"/>
      <c r="K93" s="26"/>
      <c r="L93" s="69"/>
      <c r="M93" s="108">
        <f t="shared" si="3"/>
        <v>0</v>
      </c>
      <c r="N93" s="55"/>
      <c r="O93" s="1"/>
      <c r="P93" s="2"/>
      <c r="Q93" s="2"/>
      <c r="R93" s="2"/>
      <c r="S93" s="2"/>
      <c r="T93" s="2"/>
      <c r="U93" s="2"/>
    </row>
    <row r="94" spans="1:21" ht="24.75" customHeight="1">
      <c r="A94" s="5"/>
      <c r="B94" s="7">
        <f t="shared" si="4"/>
        <v>81</v>
      </c>
      <c r="C94" s="37"/>
      <c r="D94" s="169"/>
      <c r="E94" s="170"/>
      <c r="F94" s="26"/>
      <c r="G94" s="132"/>
      <c r="H94" s="132"/>
      <c r="I94" s="80"/>
      <c r="J94" s="74"/>
      <c r="K94" s="26"/>
      <c r="L94" s="69"/>
      <c r="M94" s="108">
        <f t="shared" si="3"/>
        <v>0</v>
      </c>
      <c r="N94" s="55"/>
      <c r="O94" s="1"/>
      <c r="P94" s="2"/>
      <c r="Q94" s="2"/>
      <c r="R94" s="2"/>
      <c r="S94" s="2"/>
      <c r="T94" s="2"/>
      <c r="U94" s="2"/>
    </row>
    <row r="95" spans="1:21" ht="24.75" customHeight="1">
      <c r="A95" s="5"/>
      <c r="B95" s="7">
        <f t="shared" si="4"/>
        <v>82</v>
      </c>
      <c r="C95" s="37"/>
      <c r="D95" s="169"/>
      <c r="E95" s="170"/>
      <c r="F95" s="26"/>
      <c r="G95" s="132"/>
      <c r="H95" s="132"/>
      <c r="I95" s="80"/>
      <c r="J95" s="74"/>
      <c r="K95" s="26"/>
      <c r="L95" s="69"/>
      <c r="M95" s="108">
        <f t="shared" si="3"/>
        <v>0</v>
      </c>
      <c r="N95" s="55"/>
      <c r="O95" s="1"/>
      <c r="P95" s="2"/>
      <c r="Q95" s="2"/>
      <c r="R95" s="2"/>
      <c r="S95" s="2"/>
      <c r="T95" s="2"/>
      <c r="U95" s="2"/>
    </row>
    <row r="96" spans="1:21" ht="24.75" customHeight="1">
      <c r="A96" s="5"/>
      <c r="B96" s="7">
        <f t="shared" si="4"/>
        <v>83</v>
      </c>
      <c r="C96" s="37"/>
      <c r="D96" s="169"/>
      <c r="E96" s="170"/>
      <c r="F96" s="26"/>
      <c r="G96" s="132"/>
      <c r="H96" s="132"/>
      <c r="I96" s="80"/>
      <c r="J96" s="74"/>
      <c r="K96" s="26"/>
      <c r="L96" s="69"/>
      <c r="M96" s="108">
        <f t="shared" si="3"/>
        <v>0</v>
      </c>
      <c r="N96" s="55"/>
      <c r="O96" s="1"/>
      <c r="P96" s="2"/>
      <c r="Q96" s="2"/>
      <c r="R96" s="2"/>
      <c r="S96" s="2"/>
      <c r="T96" s="2"/>
      <c r="U96" s="2"/>
    </row>
    <row r="97" spans="1:21" ht="24.75" customHeight="1">
      <c r="A97" s="5"/>
      <c r="B97" s="7">
        <f t="shared" si="4"/>
        <v>84</v>
      </c>
      <c r="C97" s="37"/>
      <c r="D97" s="169"/>
      <c r="E97" s="170"/>
      <c r="F97" s="26"/>
      <c r="G97" s="132"/>
      <c r="H97" s="132"/>
      <c r="I97" s="80"/>
      <c r="J97" s="74"/>
      <c r="K97" s="26"/>
      <c r="L97" s="69"/>
      <c r="M97" s="108">
        <f t="shared" si="3"/>
        <v>0</v>
      </c>
      <c r="N97" s="55"/>
      <c r="O97" s="1"/>
      <c r="P97" s="2"/>
      <c r="Q97" s="2"/>
      <c r="R97" s="2"/>
      <c r="S97" s="2"/>
      <c r="T97" s="2"/>
      <c r="U97" s="2"/>
    </row>
    <row r="98" spans="1:21" ht="24.75" customHeight="1">
      <c r="A98" s="5"/>
      <c r="B98" s="7">
        <f t="shared" si="4"/>
        <v>85</v>
      </c>
      <c r="C98" s="37"/>
      <c r="D98" s="169"/>
      <c r="E98" s="170"/>
      <c r="F98" s="26"/>
      <c r="G98" s="132"/>
      <c r="H98" s="132"/>
      <c r="I98" s="80"/>
      <c r="J98" s="74"/>
      <c r="K98" s="26"/>
      <c r="L98" s="69"/>
      <c r="M98" s="108">
        <f t="shared" si="3"/>
        <v>0</v>
      </c>
      <c r="N98" s="55"/>
      <c r="O98" s="1"/>
      <c r="P98" s="2"/>
      <c r="Q98" s="2"/>
      <c r="R98" s="2"/>
      <c r="S98" s="2"/>
      <c r="T98" s="2"/>
      <c r="U98" s="2"/>
    </row>
    <row r="99" spans="1:21" ht="24.75" customHeight="1">
      <c r="A99" s="5"/>
      <c r="B99" s="7">
        <f t="shared" si="4"/>
        <v>86</v>
      </c>
      <c r="C99" s="37"/>
      <c r="D99" s="169"/>
      <c r="E99" s="170"/>
      <c r="F99" s="26"/>
      <c r="G99" s="132"/>
      <c r="H99" s="132"/>
      <c r="I99" s="80"/>
      <c r="J99" s="74"/>
      <c r="K99" s="26"/>
      <c r="L99" s="69"/>
      <c r="M99" s="108">
        <f t="shared" si="3"/>
        <v>0</v>
      </c>
      <c r="N99" s="55"/>
      <c r="O99" s="1"/>
      <c r="P99" s="2"/>
      <c r="Q99" s="2"/>
      <c r="R99" s="2"/>
      <c r="S99" s="2"/>
      <c r="T99" s="2"/>
      <c r="U99" s="2"/>
    </row>
    <row r="100" spans="1:21" ht="24.75" customHeight="1">
      <c r="A100" s="5"/>
      <c r="B100" s="7">
        <f t="shared" si="4"/>
        <v>87</v>
      </c>
      <c r="C100" s="37"/>
      <c r="D100" s="169"/>
      <c r="E100" s="170"/>
      <c r="F100" s="26"/>
      <c r="G100" s="132"/>
      <c r="H100" s="132"/>
      <c r="I100" s="80"/>
      <c r="J100" s="74"/>
      <c r="K100" s="26"/>
      <c r="L100" s="69"/>
      <c r="M100" s="108">
        <f t="shared" si="3"/>
        <v>0</v>
      </c>
      <c r="N100" s="55"/>
      <c r="O100" s="1"/>
      <c r="P100" s="2"/>
      <c r="Q100" s="2"/>
      <c r="R100" s="2"/>
      <c r="S100" s="2"/>
      <c r="T100" s="2"/>
      <c r="U100" s="2"/>
    </row>
    <row r="101" spans="1:21" ht="24.75" customHeight="1">
      <c r="A101" s="5"/>
      <c r="B101" s="7">
        <f t="shared" si="4"/>
        <v>88</v>
      </c>
      <c r="C101" s="37"/>
      <c r="D101" s="169"/>
      <c r="E101" s="170"/>
      <c r="F101" s="26"/>
      <c r="G101" s="132"/>
      <c r="H101" s="132"/>
      <c r="I101" s="80"/>
      <c r="J101" s="74"/>
      <c r="K101" s="26"/>
      <c r="L101" s="69"/>
      <c r="M101" s="108">
        <f t="shared" si="3"/>
        <v>0</v>
      </c>
      <c r="N101" s="55"/>
      <c r="O101" s="1"/>
      <c r="P101" s="2"/>
      <c r="Q101" s="2"/>
      <c r="R101" s="2"/>
      <c r="S101" s="2"/>
      <c r="T101" s="2"/>
      <c r="U101" s="2"/>
    </row>
    <row r="102" spans="1:21" ht="24.75" customHeight="1">
      <c r="A102" s="5"/>
      <c r="B102" s="7">
        <f t="shared" si="4"/>
        <v>89</v>
      </c>
      <c r="C102" s="37"/>
      <c r="D102" s="169"/>
      <c r="E102" s="170"/>
      <c r="F102" s="26"/>
      <c r="G102" s="132"/>
      <c r="H102" s="132"/>
      <c r="I102" s="80"/>
      <c r="J102" s="74"/>
      <c r="K102" s="26"/>
      <c r="L102" s="69"/>
      <c r="M102" s="108">
        <f t="shared" si="3"/>
        <v>0</v>
      </c>
      <c r="N102" s="55"/>
      <c r="O102" s="1"/>
      <c r="P102" s="2"/>
      <c r="Q102" s="2"/>
      <c r="R102" s="2"/>
      <c r="S102" s="2"/>
      <c r="T102" s="2"/>
      <c r="U102" s="2"/>
    </row>
    <row r="103" spans="1:21" ht="24.75" customHeight="1">
      <c r="A103" s="5"/>
      <c r="B103" s="7">
        <f t="shared" si="4"/>
        <v>90</v>
      </c>
      <c r="C103" s="37"/>
      <c r="D103" s="169"/>
      <c r="E103" s="170"/>
      <c r="F103" s="26"/>
      <c r="G103" s="132"/>
      <c r="H103" s="132"/>
      <c r="I103" s="80"/>
      <c r="J103" s="74"/>
      <c r="K103" s="26"/>
      <c r="L103" s="69"/>
      <c r="M103" s="108">
        <f t="shared" si="3"/>
        <v>0</v>
      </c>
      <c r="N103" s="55"/>
      <c r="O103" s="1"/>
      <c r="P103" s="2"/>
      <c r="Q103" s="2"/>
      <c r="R103" s="2"/>
      <c r="S103" s="2"/>
      <c r="T103" s="2"/>
      <c r="U103" s="2"/>
    </row>
    <row r="104" spans="1:21" ht="24.75" customHeight="1">
      <c r="A104" s="5"/>
      <c r="B104" s="7">
        <f t="shared" si="4"/>
        <v>91</v>
      </c>
      <c r="C104" s="37"/>
      <c r="D104" s="169"/>
      <c r="E104" s="170"/>
      <c r="F104" s="26"/>
      <c r="G104" s="132"/>
      <c r="H104" s="132"/>
      <c r="I104" s="80"/>
      <c r="J104" s="74"/>
      <c r="K104" s="26"/>
      <c r="L104" s="69"/>
      <c r="M104" s="108">
        <f t="shared" si="3"/>
        <v>0</v>
      </c>
      <c r="N104" s="55"/>
      <c r="O104" s="1"/>
      <c r="P104" s="2"/>
      <c r="Q104" s="2"/>
      <c r="R104" s="2"/>
      <c r="S104" s="2"/>
      <c r="T104" s="2"/>
      <c r="U104" s="2"/>
    </row>
    <row r="105" spans="1:21" ht="24.75" customHeight="1">
      <c r="A105" s="5"/>
      <c r="B105" s="7">
        <f t="shared" si="4"/>
        <v>92</v>
      </c>
      <c r="C105" s="37"/>
      <c r="D105" s="169"/>
      <c r="E105" s="170"/>
      <c r="F105" s="26"/>
      <c r="G105" s="132"/>
      <c r="H105" s="132"/>
      <c r="I105" s="80"/>
      <c r="J105" s="74"/>
      <c r="K105" s="26"/>
      <c r="L105" s="69"/>
      <c r="M105" s="108">
        <f t="shared" si="3"/>
        <v>0</v>
      </c>
      <c r="N105" s="55"/>
      <c r="O105" s="1"/>
      <c r="P105" s="2"/>
      <c r="Q105" s="2"/>
      <c r="R105" s="2"/>
      <c r="S105" s="2"/>
      <c r="T105" s="2"/>
      <c r="U105" s="2"/>
    </row>
    <row r="106" spans="1:21" ht="24.75" customHeight="1">
      <c r="A106" s="5"/>
      <c r="B106" s="7">
        <f t="shared" si="4"/>
        <v>93</v>
      </c>
      <c r="C106" s="37"/>
      <c r="D106" s="169"/>
      <c r="E106" s="170"/>
      <c r="F106" s="26"/>
      <c r="G106" s="132"/>
      <c r="H106" s="132"/>
      <c r="I106" s="80"/>
      <c r="J106" s="74"/>
      <c r="K106" s="26"/>
      <c r="L106" s="69"/>
      <c r="M106" s="108">
        <f t="shared" si="3"/>
        <v>0</v>
      </c>
      <c r="N106" s="55"/>
      <c r="O106" s="1"/>
      <c r="P106" s="2"/>
      <c r="Q106" s="2"/>
      <c r="R106" s="2"/>
      <c r="S106" s="2"/>
      <c r="T106" s="2"/>
      <c r="U106" s="2"/>
    </row>
    <row r="107" spans="1:21" ht="24.75" customHeight="1">
      <c r="A107" s="5"/>
      <c r="B107" s="7">
        <f t="shared" si="4"/>
        <v>94</v>
      </c>
      <c r="C107" s="37"/>
      <c r="D107" s="169"/>
      <c r="E107" s="170"/>
      <c r="F107" s="26"/>
      <c r="G107" s="132"/>
      <c r="H107" s="132"/>
      <c r="I107" s="80"/>
      <c r="J107" s="74"/>
      <c r="K107" s="26"/>
      <c r="L107" s="69"/>
      <c r="M107" s="108">
        <f t="shared" si="3"/>
        <v>0</v>
      </c>
      <c r="N107" s="55"/>
      <c r="O107" s="1"/>
      <c r="P107" s="2"/>
      <c r="Q107" s="2"/>
      <c r="R107" s="2"/>
      <c r="S107" s="2"/>
      <c r="T107" s="2"/>
      <c r="U107" s="2"/>
    </row>
    <row r="108" spans="1:21" ht="24.75" customHeight="1">
      <c r="A108" s="5"/>
      <c r="B108" s="7">
        <f t="shared" si="4"/>
        <v>95</v>
      </c>
      <c r="C108" s="37"/>
      <c r="D108" s="169"/>
      <c r="E108" s="170"/>
      <c r="F108" s="26"/>
      <c r="G108" s="132"/>
      <c r="H108" s="132"/>
      <c r="I108" s="80"/>
      <c r="J108" s="74"/>
      <c r="K108" s="26"/>
      <c r="L108" s="69"/>
      <c r="M108" s="108">
        <f t="shared" si="3"/>
        <v>0</v>
      </c>
      <c r="N108" s="55"/>
      <c r="O108" s="1"/>
      <c r="P108" s="2"/>
      <c r="Q108" s="2"/>
      <c r="R108" s="2"/>
      <c r="S108" s="2"/>
      <c r="T108" s="2"/>
      <c r="U108" s="2"/>
    </row>
    <row r="109" spans="1:21" ht="24.75" customHeight="1">
      <c r="A109" s="5"/>
      <c r="B109" s="7">
        <f t="shared" si="4"/>
        <v>96</v>
      </c>
      <c r="C109" s="37"/>
      <c r="D109" s="169"/>
      <c r="E109" s="170"/>
      <c r="F109" s="26"/>
      <c r="G109" s="132"/>
      <c r="H109" s="132"/>
      <c r="I109" s="80"/>
      <c r="J109" s="74"/>
      <c r="K109" s="26"/>
      <c r="L109" s="69"/>
      <c r="M109" s="108">
        <f t="shared" si="3"/>
        <v>0</v>
      </c>
      <c r="N109" s="55"/>
      <c r="O109" s="1"/>
      <c r="P109" s="2"/>
      <c r="Q109" s="2"/>
      <c r="R109" s="2"/>
      <c r="S109" s="2"/>
      <c r="T109" s="2"/>
      <c r="U109" s="2"/>
    </row>
    <row r="110" spans="1:21" ht="24.75" customHeight="1">
      <c r="A110" s="5"/>
      <c r="B110" s="7">
        <f t="shared" si="4"/>
        <v>97</v>
      </c>
      <c r="C110" s="37"/>
      <c r="D110" s="169"/>
      <c r="E110" s="170"/>
      <c r="F110" s="26"/>
      <c r="G110" s="132"/>
      <c r="H110" s="132"/>
      <c r="I110" s="80"/>
      <c r="J110" s="74"/>
      <c r="K110" s="26"/>
      <c r="L110" s="69"/>
      <c r="M110" s="108">
        <f t="shared" si="3"/>
        <v>0</v>
      </c>
      <c r="N110" s="55"/>
      <c r="O110" s="1"/>
      <c r="P110" s="2"/>
      <c r="Q110" s="2"/>
      <c r="R110" s="2"/>
      <c r="S110" s="2"/>
      <c r="T110" s="2"/>
      <c r="U110" s="2"/>
    </row>
    <row r="111" spans="1:21" ht="24.75" customHeight="1">
      <c r="A111" s="5"/>
      <c r="B111" s="7">
        <f t="shared" si="4"/>
        <v>98</v>
      </c>
      <c r="C111" s="37"/>
      <c r="D111" s="169"/>
      <c r="E111" s="170"/>
      <c r="F111" s="26"/>
      <c r="G111" s="132"/>
      <c r="H111" s="132"/>
      <c r="I111" s="80"/>
      <c r="J111" s="74"/>
      <c r="K111" s="26"/>
      <c r="L111" s="69"/>
      <c r="M111" s="108">
        <f t="shared" si="3"/>
        <v>0</v>
      </c>
      <c r="N111" s="55"/>
      <c r="O111" s="1"/>
      <c r="P111" s="2"/>
      <c r="Q111" s="2"/>
      <c r="R111" s="2"/>
      <c r="S111" s="2"/>
      <c r="T111" s="2"/>
      <c r="U111" s="2"/>
    </row>
    <row r="112" spans="1:21" ht="24.75" customHeight="1">
      <c r="A112" s="5"/>
      <c r="B112" s="7">
        <f t="shared" si="4"/>
        <v>99</v>
      </c>
      <c r="C112" s="37"/>
      <c r="D112" s="169"/>
      <c r="E112" s="170"/>
      <c r="F112" s="26"/>
      <c r="G112" s="132"/>
      <c r="H112" s="132"/>
      <c r="I112" s="80"/>
      <c r="J112" s="74"/>
      <c r="K112" s="26"/>
      <c r="L112" s="69"/>
      <c r="M112" s="108">
        <f t="shared" si="3"/>
        <v>0</v>
      </c>
      <c r="N112" s="55"/>
      <c r="O112" s="1"/>
      <c r="P112" s="2"/>
      <c r="Q112" s="2"/>
      <c r="R112" s="2"/>
      <c r="S112" s="2"/>
      <c r="T112" s="2"/>
      <c r="U112" s="2"/>
    </row>
    <row r="113" spans="1:21" ht="24.75" customHeight="1">
      <c r="A113" s="5"/>
      <c r="B113" s="7">
        <f t="shared" si="4"/>
        <v>100</v>
      </c>
      <c r="C113" s="37"/>
      <c r="D113" s="169"/>
      <c r="E113" s="170"/>
      <c r="F113" s="26"/>
      <c r="G113" s="132"/>
      <c r="H113" s="132"/>
      <c r="I113" s="80"/>
      <c r="J113" s="74"/>
      <c r="K113" s="26"/>
      <c r="L113" s="69"/>
      <c r="M113" s="108">
        <f t="shared" si="3"/>
        <v>0</v>
      </c>
      <c r="N113" s="55"/>
      <c r="O113" s="1"/>
      <c r="P113" s="2"/>
      <c r="Q113" s="2"/>
      <c r="R113" s="2"/>
      <c r="S113" s="2"/>
      <c r="T113" s="2"/>
      <c r="U113" s="2"/>
    </row>
    <row r="114" spans="1:21" ht="24.75" customHeight="1">
      <c r="A114" s="5"/>
      <c r="B114" s="7">
        <f t="shared" si="4"/>
        <v>101</v>
      </c>
      <c r="C114" s="37"/>
      <c r="D114" s="169"/>
      <c r="E114" s="170"/>
      <c r="F114" s="26"/>
      <c r="G114" s="132"/>
      <c r="H114" s="132"/>
      <c r="I114" s="80"/>
      <c r="J114" s="74"/>
      <c r="K114" s="26"/>
      <c r="L114" s="69"/>
      <c r="M114" s="108">
        <f t="shared" si="3"/>
        <v>0</v>
      </c>
      <c r="N114" s="55"/>
      <c r="O114" s="1"/>
      <c r="P114" s="2"/>
      <c r="Q114" s="2"/>
      <c r="R114" s="2"/>
      <c r="S114" s="2"/>
      <c r="T114" s="2"/>
      <c r="U114" s="2"/>
    </row>
    <row r="115" spans="1:21" ht="24.75" customHeight="1">
      <c r="A115" s="5"/>
      <c r="B115" s="7">
        <f t="shared" si="4"/>
        <v>102</v>
      </c>
      <c r="C115" s="37"/>
      <c r="D115" s="169"/>
      <c r="E115" s="170"/>
      <c r="F115" s="26"/>
      <c r="G115" s="132"/>
      <c r="H115" s="132"/>
      <c r="I115" s="80"/>
      <c r="J115" s="74"/>
      <c r="K115" s="26"/>
      <c r="L115" s="69"/>
      <c r="M115" s="108">
        <f t="shared" si="3"/>
        <v>0</v>
      </c>
      <c r="N115" s="55"/>
      <c r="O115" s="1"/>
      <c r="P115" s="2"/>
      <c r="Q115" s="2"/>
      <c r="R115" s="2"/>
      <c r="S115" s="2"/>
      <c r="T115" s="2"/>
      <c r="U115" s="2"/>
    </row>
    <row r="116" spans="1:21" ht="24.75" customHeight="1">
      <c r="A116" s="5"/>
      <c r="B116" s="7">
        <f t="shared" si="4"/>
        <v>103</v>
      </c>
      <c r="C116" s="37"/>
      <c r="D116" s="169"/>
      <c r="E116" s="170"/>
      <c r="F116" s="26"/>
      <c r="G116" s="132"/>
      <c r="H116" s="132"/>
      <c r="I116" s="80"/>
      <c r="J116" s="74"/>
      <c r="K116" s="26"/>
      <c r="L116" s="69"/>
      <c r="M116" s="108">
        <f t="shared" si="3"/>
        <v>0</v>
      </c>
      <c r="N116" s="55"/>
      <c r="O116" s="1"/>
      <c r="P116" s="2"/>
      <c r="Q116" s="2"/>
      <c r="R116" s="2"/>
      <c r="S116" s="2"/>
      <c r="T116" s="2"/>
      <c r="U116" s="2"/>
    </row>
    <row r="117" spans="1:21" ht="24.75" customHeight="1">
      <c r="A117" s="5"/>
      <c r="B117" s="7">
        <f t="shared" si="4"/>
        <v>104</v>
      </c>
      <c r="C117" s="37"/>
      <c r="D117" s="169"/>
      <c r="E117" s="170"/>
      <c r="F117" s="26"/>
      <c r="G117" s="132"/>
      <c r="H117" s="132"/>
      <c r="I117" s="80"/>
      <c r="J117" s="74"/>
      <c r="K117" s="26"/>
      <c r="L117" s="69"/>
      <c r="M117" s="108">
        <f t="shared" si="3"/>
        <v>0</v>
      </c>
      <c r="N117" s="55"/>
      <c r="O117" s="1"/>
      <c r="P117" s="2"/>
      <c r="Q117" s="2"/>
      <c r="R117" s="2"/>
      <c r="S117" s="2"/>
      <c r="T117" s="2"/>
      <c r="U117" s="2"/>
    </row>
    <row r="118" spans="1:21" ht="24.75" customHeight="1">
      <c r="A118" s="5"/>
      <c r="B118" s="7">
        <f t="shared" si="4"/>
        <v>105</v>
      </c>
      <c r="C118" s="37"/>
      <c r="D118" s="169"/>
      <c r="E118" s="170"/>
      <c r="F118" s="26"/>
      <c r="G118" s="132"/>
      <c r="H118" s="132"/>
      <c r="I118" s="80"/>
      <c r="J118" s="74"/>
      <c r="K118" s="26"/>
      <c r="L118" s="69"/>
      <c r="M118" s="108">
        <f t="shared" si="3"/>
        <v>0</v>
      </c>
      <c r="N118" s="55"/>
      <c r="O118" s="1"/>
      <c r="P118" s="2"/>
      <c r="Q118" s="2"/>
      <c r="R118" s="2"/>
      <c r="S118" s="2"/>
      <c r="T118" s="2"/>
      <c r="U118" s="2"/>
    </row>
    <row r="119" spans="1:21" ht="24.75" customHeight="1">
      <c r="A119" s="5"/>
      <c r="B119" s="7">
        <f t="shared" si="4"/>
        <v>106</v>
      </c>
      <c r="C119" s="37"/>
      <c r="D119" s="169"/>
      <c r="E119" s="170"/>
      <c r="F119" s="26"/>
      <c r="G119" s="132"/>
      <c r="H119" s="132"/>
      <c r="I119" s="80"/>
      <c r="J119" s="74"/>
      <c r="K119" s="26"/>
      <c r="L119" s="69"/>
      <c r="M119" s="108">
        <f t="shared" si="3"/>
        <v>0</v>
      </c>
      <c r="N119" s="55"/>
      <c r="O119" s="1"/>
      <c r="P119" s="2"/>
      <c r="Q119" s="2"/>
      <c r="R119" s="2"/>
      <c r="S119" s="2"/>
      <c r="T119" s="2"/>
      <c r="U119" s="2"/>
    </row>
    <row r="120" spans="1:21" ht="24.75" customHeight="1">
      <c r="A120" s="5"/>
      <c r="B120" s="7">
        <f t="shared" si="4"/>
        <v>107</v>
      </c>
      <c r="C120" s="37"/>
      <c r="D120" s="169"/>
      <c r="E120" s="170"/>
      <c r="F120" s="26"/>
      <c r="G120" s="132"/>
      <c r="H120" s="132"/>
      <c r="I120" s="80"/>
      <c r="J120" s="74"/>
      <c r="K120" s="26"/>
      <c r="L120" s="69"/>
      <c r="M120" s="108">
        <f t="shared" si="3"/>
        <v>0</v>
      </c>
      <c r="N120" s="55"/>
      <c r="O120" s="1"/>
      <c r="P120" s="2"/>
      <c r="Q120" s="2"/>
      <c r="R120" s="2"/>
      <c r="S120" s="2"/>
      <c r="T120" s="2"/>
      <c r="U120" s="2"/>
    </row>
    <row r="121" spans="1:21" ht="24.75" customHeight="1">
      <c r="A121" s="5"/>
      <c r="B121" s="7">
        <f t="shared" si="4"/>
        <v>108</v>
      </c>
      <c r="C121" s="37"/>
      <c r="D121" s="169"/>
      <c r="E121" s="170"/>
      <c r="F121" s="26"/>
      <c r="G121" s="132"/>
      <c r="H121" s="132"/>
      <c r="I121" s="80"/>
      <c r="J121" s="74"/>
      <c r="K121" s="26"/>
      <c r="L121" s="69"/>
      <c r="M121" s="108">
        <f t="shared" si="3"/>
        <v>0</v>
      </c>
      <c r="N121" s="55"/>
      <c r="O121" s="1"/>
      <c r="P121" s="2"/>
      <c r="Q121" s="2"/>
      <c r="R121" s="2"/>
      <c r="S121" s="2"/>
      <c r="T121" s="2"/>
      <c r="U121" s="2"/>
    </row>
    <row r="122" spans="1:21" ht="24.75" customHeight="1">
      <c r="A122" s="5"/>
      <c r="B122" s="7">
        <f t="shared" si="4"/>
        <v>109</v>
      </c>
      <c r="C122" s="37"/>
      <c r="D122" s="169"/>
      <c r="E122" s="170"/>
      <c r="F122" s="26"/>
      <c r="G122" s="132"/>
      <c r="H122" s="132"/>
      <c r="I122" s="80"/>
      <c r="J122" s="74"/>
      <c r="K122" s="26"/>
      <c r="L122" s="69"/>
      <c r="M122" s="108">
        <f t="shared" si="3"/>
        <v>0</v>
      </c>
      <c r="N122" s="55"/>
      <c r="O122" s="1"/>
      <c r="P122" s="2"/>
      <c r="Q122" s="2"/>
      <c r="R122" s="2"/>
      <c r="S122" s="2"/>
      <c r="T122" s="2"/>
      <c r="U122" s="2"/>
    </row>
    <row r="123" spans="1:21" ht="24.75" customHeight="1">
      <c r="A123" s="5"/>
      <c r="B123" s="7">
        <f t="shared" si="4"/>
        <v>110</v>
      </c>
      <c r="C123" s="37"/>
      <c r="D123" s="169"/>
      <c r="E123" s="170"/>
      <c r="F123" s="26"/>
      <c r="G123" s="132"/>
      <c r="H123" s="132"/>
      <c r="I123" s="80"/>
      <c r="J123" s="74"/>
      <c r="K123" s="26"/>
      <c r="L123" s="69"/>
      <c r="M123" s="108">
        <f t="shared" si="3"/>
        <v>0</v>
      </c>
      <c r="N123" s="55"/>
      <c r="O123" s="1"/>
      <c r="P123" s="2"/>
      <c r="Q123" s="2"/>
      <c r="R123" s="2"/>
      <c r="S123" s="2"/>
      <c r="T123" s="2"/>
      <c r="U123" s="2"/>
    </row>
    <row r="124" spans="1:21" ht="24.75" customHeight="1">
      <c r="A124" s="5"/>
      <c r="B124" s="7">
        <f t="shared" si="4"/>
        <v>111</v>
      </c>
      <c r="C124" s="37"/>
      <c r="D124" s="169"/>
      <c r="E124" s="170"/>
      <c r="F124" s="26"/>
      <c r="G124" s="132"/>
      <c r="H124" s="132"/>
      <c r="I124" s="80"/>
      <c r="J124" s="74"/>
      <c r="K124" s="26"/>
      <c r="L124" s="69"/>
      <c r="M124" s="108">
        <f t="shared" si="3"/>
        <v>0</v>
      </c>
      <c r="N124" s="55"/>
      <c r="O124" s="1"/>
      <c r="P124" s="2"/>
      <c r="Q124" s="2"/>
      <c r="R124" s="2"/>
      <c r="S124" s="2"/>
      <c r="T124" s="2"/>
      <c r="U124" s="2"/>
    </row>
    <row r="125" spans="1:21" ht="24.75" customHeight="1">
      <c r="A125" s="5"/>
      <c r="B125" s="7">
        <f t="shared" si="4"/>
        <v>112</v>
      </c>
      <c r="C125" s="37"/>
      <c r="D125" s="169"/>
      <c r="E125" s="170"/>
      <c r="F125" s="26"/>
      <c r="G125" s="132"/>
      <c r="H125" s="132"/>
      <c r="I125" s="80"/>
      <c r="J125" s="74"/>
      <c r="K125" s="26"/>
      <c r="L125" s="69"/>
      <c r="M125" s="108">
        <f t="shared" si="3"/>
        <v>0</v>
      </c>
      <c r="N125" s="55"/>
      <c r="O125" s="1"/>
      <c r="P125" s="2"/>
      <c r="Q125" s="2"/>
      <c r="R125" s="2"/>
      <c r="S125" s="2"/>
      <c r="T125" s="2"/>
      <c r="U125" s="2"/>
    </row>
    <row r="126" spans="1:21" ht="24.75" customHeight="1">
      <c r="A126" s="5"/>
      <c r="B126" s="7">
        <f t="shared" si="4"/>
        <v>113</v>
      </c>
      <c r="C126" s="37"/>
      <c r="D126" s="169"/>
      <c r="E126" s="170"/>
      <c r="F126" s="26"/>
      <c r="G126" s="132"/>
      <c r="H126" s="132"/>
      <c r="I126" s="80"/>
      <c r="J126" s="74"/>
      <c r="K126" s="26"/>
      <c r="L126" s="69"/>
      <c r="M126" s="108">
        <f t="shared" si="3"/>
        <v>0</v>
      </c>
      <c r="N126" s="55"/>
      <c r="O126" s="1"/>
      <c r="P126" s="2"/>
      <c r="Q126" s="2"/>
      <c r="R126" s="2"/>
      <c r="S126" s="2"/>
      <c r="T126" s="2"/>
      <c r="U126" s="2"/>
    </row>
    <row r="127" spans="1:21" ht="24.75" customHeight="1">
      <c r="A127" s="5"/>
      <c r="B127" s="7">
        <f t="shared" si="4"/>
        <v>114</v>
      </c>
      <c r="C127" s="37"/>
      <c r="D127" s="169"/>
      <c r="E127" s="170"/>
      <c r="F127" s="26"/>
      <c r="G127" s="132"/>
      <c r="H127" s="132"/>
      <c r="I127" s="80"/>
      <c r="J127" s="74"/>
      <c r="K127" s="26"/>
      <c r="L127" s="69"/>
      <c r="M127" s="108">
        <f t="shared" si="3"/>
        <v>0</v>
      </c>
      <c r="N127" s="55"/>
      <c r="O127" s="1"/>
      <c r="P127" s="2"/>
      <c r="Q127" s="2"/>
      <c r="R127" s="2"/>
      <c r="S127" s="2"/>
      <c r="T127" s="2"/>
      <c r="U127" s="2"/>
    </row>
    <row r="128" spans="1:21" ht="24.75" customHeight="1">
      <c r="A128" s="5"/>
      <c r="B128" s="7">
        <f t="shared" si="4"/>
        <v>115</v>
      </c>
      <c r="C128" s="37"/>
      <c r="D128" s="169"/>
      <c r="E128" s="170"/>
      <c r="F128" s="26"/>
      <c r="G128" s="132"/>
      <c r="H128" s="132"/>
      <c r="I128" s="80"/>
      <c r="J128" s="74"/>
      <c r="K128" s="26"/>
      <c r="L128" s="69"/>
      <c r="M128" s="108">
        <f t="shared" si="3"/>
        <v>0</v>
      </c>
      <c r="N128" s="55"/>
      <c r="O128" s="1"/>
      <c r="P128" s="2"/>
      <c r="Q128" s="2"/>
      <c r="R128" s="2"/>
      <c r="S128" s="2"/>
      <c r="T128" s="2"/>
      <c r="U128" s="2"/>
    </row>
    <row r="129" spans="1:21" ht="24.75" customHeight="1">
      <c r="A129" s="5"/>
      <c r="B129" s="7">
        <f t="shared" si="4"/>
        <v>116</v>
      </c>
      <c r="C129" s="37"/>
      <c r="D129" s="169"/>
      <c r="E129" s="170"/>
      <c r="F129" s="26"/>
      <c r="G129" s="132"/>
      <c r="H129" s="132"/>
      <c r="I129" s="80"/>
      <c r="J129" s="74"/>
      <c r="K129" s="26"/>
      <c r="L129" s="69"/>
      <c r="M129" s="108">
        <f t="shared" si="3"/>
        <v>0</v>
      </c>
      <c r="N129" s="55"/>
      <c r="O129" s="1"/>
      <c r="P129" s="2"/>
      <c r="Q129" s="2"/>
      <c r="R129" s="2"/>
      <c r="S129" s="2"/>
      <c r="T129" s="2"/>
      <c r="U129" s="2"/>
    </row>
    <row r="130" spans="1:21" ht="24.75" customHeight="1">
      <c r="A130" s="5"/>
      <c r="B130" s="7">
        <f t="shared" si="4"/>
        <v>117</v>
      </c>
      <c r="C130" s="37"/>
      <c r="D130" s="169"/>
      <c r="E130" s="170"/>
      <c r="F130" s="26"/>
      <c r="G130" s="132"/>
      <c r="H130" s="132"/>
      <c r="I130" s="80"/>
      <c r="J130" s="74"/>
      <c r="K130" s="26"/>
      <c r="L130" s="69"/>
      <c r="M130" s="108">
        <f t="shared" si="3"/>
        <v>0</v>
      </c>
      <c r="N130" s="55"/>
      <c r="O130" s="1"/>
      <c r="P130" s="2"/>
      <c r="Q130" s="2"/>
      <c r="R130" s="2"/>
      <c r="S130" s="2"/>
      <c r="T130" s="2"/>
      <c r="U130" s="2"/>
    </row>
    <row r="131" spans="1:21" ht="24.75" customHeight="1">
      <c r="A131" s="5"/>
      <c r="B131" s="7">
        <f t="shared" si="4"/>
        <v>118</v>
      </c>
      <c r="C131" s="37"/>
      <c r="D131" s="169"/>
      <c r="E131" s="170"/>
      <c r="F131" s="26"/>
      <c r="G131" s="132"/>
      <c r="H131" s="132"/>
      <c r="I131" s="80"/>
      <c r="J131" s="74"/>
      <c r="K131" s="26"/>
      <c r="L131" s="69"/>
      <c r="M131" s="108">
        <f t="shared" si="3"/>
        <v>0</v>
      </c>
      <c r="N131" s="55"/>
      <c r="O131" s="1"/>
      <c r="P131" s="2"/>
      <c r="Q131" s="2"/>
      <c r="R131" s="2"/>
      <c r="S131" s="2"/>
      <c r="T131" s="2"/>
      <c r="U131" s="2"/>
    </row>
    <row r="132" spans="1:21" ht="24.75" customHeight="1">
      <c r="A132" s="5"/>
      <c r="B132" s="7">
        <f t="shared" si="4"/>
        <v>119</v>
      </c>
      <c r="C132" s="37"/>
      <c r="D132" s="169"/>
      <c r="E132" s="170"/>
      <c r="F132" s="26"/>
      <c r="G132" s="132"/>
      <c r="H132" s="132"/>
      <c r="I132" s="80"/>
      <c r="J132" s="74"/>
      <c r="K132" s="26"/>
      <c r="L132" s="69"/>
      <c r="M132" s="108">
        <f t="shared" si="3"/>
        <v>0</v>
      </c>
      <c r="N132" s="55"/>
      <c r="O132" s="1"/>
      <c r="P132" s="2"/>
      <c r="Q132" s="2"/>
      <c r="R132" s="2"/>
      <c r="S132" s="2"/>
      <c r="T132" s="2"/>
      <c r="U132" s="2"/>
    </row>
    <row r="133" spans="1:21" ht="24.75" customHeight="1">
      <c r="A133" s="5"/>
      <c r="B133" s="7">
        <f t="shared" si="4"/>
        <v>120</v>
      </c>
      <c r="C133" s="37"/>
      <c r="D133" s="169"/>
      <c r="E133" s="170"/>
      <c r="F133" s="26"/>
      <c r="G133" s="132"/>
      <c r="H133" s="132"/>
      <c r="I133" s="80"/>
      <c r="J133" s="74"/>
      <c r="K133" s="26"/>
      <c r="L133" s="69"/>
      <c r="M133" s="108">
        <f t="shared" si="3"/>
        <v>0</v>
      </c>
      <c r="N133" s="55"/>
      <c r="O133" s="1"/>
      <c r="P133" s="2"/>
      <c r="Q133" s="2"/>
      <c r="R133" s="2"/>
      <c r="S133" s="2"/>
      <c r="T133" s="2"/>
      <c r="U133" s="2"/>
    </row>
    <row r="134" spans="1:21" ht="24.75" customHeight="1">
      <c r="A134" s="5"/>
      <c r="B134" s="7">
        <f t="shared" si="4"/>
        <v>121</v>
      </c>
      <c r="C134" s="37"/>
      <c r="D134" s="169"/>
      <c r="E134" s="170"/>
      <c r="F134" s="26"/>
      <c r="G134" s="132"/>
      <c r="H134" s="132"/>
      <c r="I134" s="80"/>
      <c r="J134" s="74"/>
      <c r="K134" s="26"/>
      <c r="L134" s="69"/>
      <c r="M134" s="108">
        <f t="shared" si="3"/>
        <v>0</v>
      </c>
      <c r="N134" s="55"/>
      <c r="O134" s="1"/>
      <c r="P134" s="2"/>
      <c r="Q134" s="2"/>
      <c r="R134" s="2"/>
      <c r="S134" s="2"/>
      <c r="T134" s="2"/>
      <c r="U134" s="2"/>
    </row>
    <row r="135" spans="1:21" ht="24.75" customHeight="1">
      <c r="A135" s="5"/>
      <c r="B135" s="7">
        <f t="shared" si="4"/>
        <v>122</v>
      </c>
      <c r="C135" s="37"/>
      <c r="D135" s="169"/>
      <c r="E135" s="170"/>
      <c r="F135" s="26"/>
      <c r="G135" s="132"/>
      <c r="H135" s="132"/>
      <c r="I135" s="80"/>
      <c r="J135" s="74"/>
      <c r="K135" s="26"/>
      <c r="L135" s="69"/>
      <c r="M135" s="108">
        <f t="shared" si="3"/>
        <v>0</v>
      </c>
      <c r="N135" s="55"/>
      <c r="O135" s="1"/>
      <c r="P135" s="2"/>
      <c r="Q135" s="2"/>
      <c r="R135" s="2"/>
      <c r="S135" s="2"/>
      <c r="T135" s="2"/>
      <c r="U135" s="2"/>
    </row>
    <row r="136" spans="1:21" ht="24.75" customHeight="1">
      <c r="A136" s="5"/>
      <c r="B136" s="7">
        <f t="shared" si="4"/>
        <v>123</v>
      </c>
      <c r="C136" s="37"/>
      <c r="D136" s="169"/>
      <c r="E136" s="170"/>
      <c r="F136" s="26"/>
      <c r="G136" s="132"/>
      <c r="H136" s="132"/>
      <c r="I136" s="80"/>
      <c r="J136" s="74"/>
      <c r="K136" s="26"/>
      <c r="L136" s="69"/>
      <c r="M136" s="108">
        <f t="shared" si="3"/>
        <v>0</v>
      </c>
      <c r="N136" s="55"/>
      <c r="O136" s="1"/>
      <c r="P136" s="2"/>
      <c r="Q136" s="2"/>
      <c r="R136" s="2"/>
      <c r="S136" s="2"/>
      <c r="T136" s="2"/>
      <c r="U136" s="2"/>
    </row>
    <row r="137" spans="1:21" ht="24.75" customHeight="1">
      <c r="A137" s="5"/>
      <c r="B137" s="7">
        <f t="shared" si="4"/>
        <v>124</v>
      </c>
      <c r="C137" s="37"/>
      <c r="D137" s="169"/>
      <c r="E137" s="170"/>
      <c r="F137" s="26"/>
      <c r="G137" s="132"/>
      <c r="H137" s="132"/>
      <c r="I137" s="80"/>
      <c r="J137" s="74"/>
      <c r="K137" s="26"/>
      <c r="L137" s="69"/>
      <c r="M137" s="108">
        <f t="shared" si="3"/>
        <v>0</v>
      </c>
      <c r="N137" s="55"/>
      <c r="O137" s="1"/>
      <c r="P137" s="2"/>
      <c r="Q137" s="2"/>
      <c r="R137" s="2"/>
      <c r="S137" s="2"/>
      <c r="T137" s="2"/>
      <c r="U137" s="2"/>
    </row>
    <row r="138" spans="1:21" ht="24.75" customHeight="1">
      <c r="A138" s="5"/>
      <c r="B138" s="7">
        <f t="shared" si="4"/>
        <v>125</v>
      </c>
      <c r="C138" s="37"/>
      <c r="D138" s="169"/>
      <c r="E138" s="170"/>
      <c r="F138" s="26"/>
      <c r="G138" s="132"/>
      <c r="H138" s="132"/>
      <c r="I138" s="80"/>
      <c r="J138" s="74"/>
      <c r="K138" s="26"/>
      <c r="L138" s="69"/>
      <c r="M138" s="108">
        <f t="shared" si="3"/>
        <v>0</v>
      </c>
      <c r="N138" s="55"/>
      <c r="O138" s="1"/>
      <c r="P138" s="2"/>
      <c r="Q138" s="2"/>
      <c r="R138" s="2"/>
      <c r="S138" s="2"/>
      <c r="T138" s="2"/>
      <c r="U138" s="2"/>
    </row>
    <row r="139" spans="1:21" ht="24.75" customHeight="1">
      <c r="A139" s="5"/>
      <c r="B139" s="7">
        <f t="shared" si="4"/>
        <v>126</v>
      </c>
      <c r="C139" s="37"/>
      <c r="D139" s="169"/>
      <c r="E139" s="170"/>
      <c r="F139" s="26"/>
      <c r="G139" s="132"/>
      <c r="H139" s="132"/>
      <c r="I139" s="80"/>
      <c r="J139" s="74"/>
      <c r="K139" s="26"/>
      <c r="L139" s="69"/>
      <c r="M139" s="108">
        <f t="shared" si="3"/>
        <v>0</v>
      </c>
      <c r="N139" s="55"/>
      <c r="O139" s="1"/>
      <c r="P139" s="2"/>
      <c r="Q139" s="2"/>
      <c r="R139" s="2"/>
      <c r="S139" s="2"/>
      <c r="T139" s="2"/>
      <c r="U139" s="2"/>
    </row>
    <row r="140" spans="1:21" ht="24.75" customHeight="1">
      <c r="A140" s="5"/>
      <c r="B140" s="7">
        <f t="shared" si="4"/>
        <v>127</v>
      </c>
      <c r="C140" s="37"/>
      <c r="D140" s="169"/>
      <c r="E140" s="170"/>
      <c r="F140" s="26"/>
      <c r="G140" s="132"/>
      <c r="H140" s="132"/>
      <c r="I140" s="80"/>
      <c r="J140" s="74"/>
      <c r="K140" s="26"/>
      <c r="L140" s="69"/>
      <c r="M140" s="108">
        <f t="shared" si="3"/>
        <v>0</v>
      </c>
      <c r="N140" s="55"/>
      <c r="O140" s="1"/>
      <c r="P140" s="2"/>
      <c r="Q140" s="2"/>
      <c r="R140" s="2"/>
      <c r="S140" s="2"/>
      <c r="T140" s="2"/>
      <c r="U140" s="2"/>
    </row>
    <row r="141" spans="1:21" ht="24.75" customHeight="1">
      <c r="A141" s="5"/>
      <c r="B141" s="7">
        <f t="shared" si="4"/>
        <v>128</v>
      </c>
      <c r="C141" s="37"/>
      <c r="D141" s="169"/>
      <c r="E141" s="170"/>
      <c r="F141" s="26"/>
      <c r="G141" s="132"/>
      <c r="H141" s="132"/>
      <c r="I141" s="80"/>
      <c r="J141" s="74"/>
      <c r="K141" s="26"/>
      <c r="L141" s="69"/>
      <c r="M141" s="108">
        <f t="shared" si="3"/>
        <v>0</v>
      </c>
      <c r="N141" s="55"/>
      <c r="O141" s="1"/>
      <c r="P141" s="2"/>
      <c r="Q141" s="2"/>
      <c r="R141" s="2"/>
      <c r="S141" s="2"/>
      <c r="T141" s="2"/>
      <c r="U141" s="2"/>
    </row>
    <row r="142" spans="1:21" ht="24.75" customHeight="1">
      <c r="A142" s="5"/>
      <c r="B142" s="7">
        <f t="shared" si="4"/>
        <v>129</v>
      </c>
      <c r="C142" s="37"/>
      <c r="D142" s="169"/>
      <c r="E142" s="170"/>
      <c r="F142" s="26"/>
      <c r="G142" s="132"/>
      <c r="H142" s="132"/>
      <c r="I142" s="80"/>
      <c r="J142" s="74"/>
      <c r="K142" s="26"/>
      <c r="L142" s="69"/>
      <c r="M142" s="108">
        <f t="shared" si="3"/>
        <v>0</v>
      </c>
      <c r="N142" s="55"/>
      <c r="O142" s="1"/>
      <c r="P142" s="2"/>
      <c r="Q142" s="2"/>
      <c r="R142" s="2"/>
      <c r="S142" s="2"/>
      <c r="T142" s="2"/>
      <c r="U142" s="2"/>
    </row>
    <row r="143" spans="1:21" ht="24.75" customHeight="1">
      <c r="A143" s="5"/>
      <c r="B143" s="7">
        <f t="shared" si="4"/>
        <v>130</v>
      </c>
      <c r="C143" s="37"/>
      <c r="D143" s="169"/>
      <c r="E143" s="170"/>
      <c r="F143" s="26"/>
      <c r="G143" s="132"/>
      <c r="H143" s="132"/>
      <c r="I143" s="80"/>
      <c r="J143" s="74"/>
      <c r="K143" s="26"/>
      <c r="L143" s="69"/>
      <c r="M143" s="108">
        <f t="shared" ref="M143:M206" si="5">(L143*G143)</f>
        <v>0</v>
      </c>
      <c r="N143" s="55"/>
      <c r="O143" s="1"/>
      <c r="P143" s="2"/>
      <c r="Q143" s="2"/>
      <c r="R143" s="2"/>
      <c r="S143" s="2"/>
      <c r="T143" s="2"/>
      <c r="U143" s="2"/>
    </row>
    <row r="144" spans="1:21" ht="24.75" customHeight="1">
      <c r="A144" s="5"/>
      <c r="B144" s="7">
        <f t="shared" si="4"/>
        <v>131</v>
      </c>
      <c r="C144" s="37"/>
      <c r="D144" s="169"/>
      <c r="E144" s="170"/>
      <c r="F144" s="26"/>
      <c r="G144" s="132"/>
      <c r="H144" s="132"/>
      <c r="I144" s="80"/>
      <c r="J144" s="74"/>
      <c r="K144" s="26"/>
      <c r="L144" s="69"/>
      <c r="M144" s="108">
        <f t="shared" si="5"/>
        <v>0</v>
      </c>
      <c r="N144" s="55"/>
      <c r="O144" s="1"/>
      <c r="P144" s="2"/>
      <c r="Q144" s="2"/>
      <c r="R144" s="2"/>
      <c r="S144" s="2"/>
      <c r="T144" s="2"/>
      <c r="U144" s="2"/>
    </row>
    <row r="145" spans="1:21" ht="24.75" customHeight="1">
      <c r="A145" s="5"/>
      <c r="B145" s="7">
        <f t="shared" si="4"/>
        <v>132</v>
      </c>
      <c r="C145" s="37"/>
      <c r="D145" s="169"/>
      <c r="E145" s="170"/>
      <c r="F145" s="26"/>
      <c r="G145" s="132"/>
      <c r="H145" s="132"/>
      <c r="I145" s="80"/>
      <c r="J145" s="74"/>
      <c r="K145" s="26"/>
      <c r="L145" s="69"/>
      <c r="M145" s="108">
        <f t="shared" si="5"/>
        <v>0</v>
      </c>
      <c r="N145" s="55"/>
      <c r="O145" s="1"/>
      <c r="P145" s="2"/>
      <c r="Q145" s="2"/>
      <c r="R145" s="2"/>
      <c r="S145" s="2"/>
      <c r="T145" s="2"/>
      <c r="U145" s="2"/>
    </row>
    <row r="146" spans="1:21" ht="24.75" customHeight="1">
      <c r="A146" s="5"/>
      <c r="B146" s="7">
        <f t="shared" si="4"/>
        <v>133</v>
      </c>
      <c r="C146" s="37"/>
      <c r="D146" s="169"/>
      <c r="E146" s="170"/>
      <c r="F146" s="26"/>
      <c r="G146" s="132"/>
      <c r="H146" s="132"/>
      <c r="I146" s="80"/>
      <c r="J146" s="74"/>
      <c r="K146" s="26"/>
      <c r="L146" s="69"/>
      <c r="M146" s="108">
        <f t="shared" si="5"/>
        <v>0</v>
      </c>
      <c r="N146" s="55"/>
      <c r="O146" s="1"/>
      <c r="P146" s="2"/>
      <c r="Q146" s="2"/>
      <c r="R146" s="2"/>
      <c r="S146" s="2"/>
      <c r="T146" s="2"/>
      <c r="U146" s="2"/>
    </row>
    <row r="147" spans="1:21" ht="24.75" customHeight="1">
      <c r="A147" s="5"/>
      <c r="B147" s="7">
        <f t="shared" si="4"/>
        <v>134</v>
      </c>
      <c r="C147" s="37"/>
      <c r="D147" s="169"/>
      <c r="E147" s="170"/>
      <c r="F147" s="26"/>
      <c r="G147" s="132"/>
      <c r="H147" s="132"/>
      <c r="I147" s="80"/>
      <c r="J147" s="74"/>
      <c r="K147" s="26"/>
      <c r="L147" s="69"/>
      <c r="M147" s="108">
        <f t="shared" si="5"/>
        <v>0</v>
      </c>
      <c r="N147" s="55"/>
      <c r="O147" s="1"/>
      <c r="P147" s="2"/>
      <c r="Q147" s="2"/>
      <c r="R147" s="2"/>
      <c r="S147" s="2"/>
      <c r="T147" s="2"/>
      <c r="U147" s="2"/>
    </row>
    <row r="148" spans="1:21" ht="24.75" customHeight="1">
      <c r="A148" s="5"/>
      <c r="B148" s="7">
        <f t="shared" ref="B148:B211" si="6">B147+1</f>
        <v>135</v>
      </c>
      <c r="C148" s="37"/>
      <c r="D148" s="169"/>
      <c r="E148" s="170"/>
      <c r="F148" s="26"/>
      <c r="G148" s="132"/>
      <c r="H148" s="132"/>
      <c r="I148" s="80"/>
      <c r="J148" s="74"/>
      <c r="K148" s="26"/>
      <c r="L148" s="69"/>
      <c r="M148" s="108">
        <f t="shared" si="5"/>
        <v>0</v>
      </c>
      <c r="N148" s="55"/>
      <c r="O148" s="1"/>
      <c r="P148" s="2"/>
      <c r="Q148" s="2"/>
      <c r="R148" s="2"/>
      <c r="S148" s="2"/>
      <c r="T148" s="2"/>
      <c r="U148" s="2"/>
    </row>
    <row r="149" spans="1:21" ht="24.75" customHeight="1">
      <c r="A149" s="5"/>
      <c r="B149" s="7">
        <f t="shared" si="6"/>
        <v>136</v>
      </c>
      <c r="C149" s="37"/>
      <c r="D149" s="169"/>
      <c r="E149" s="170"/>
      <c r="F149" s="26"/>
      <c r="G149" s="132"/>
      <c r="H149" s="132"/>
      <c r="I149" s="80"/>
      <c r="J149" s="74"/>
      <c r="K149" s="26"/>
      <c r="L149" s="69"/>
      <c r="M149" s="108">
        <f t="shared" si="5"/>
        <v>0</v>
      </c>
      <c r="N149" s="55"/>
      <c r="O149" s="1"/>
      <c r="P149" s="2"/>
      <c r="Q149" s="2"/>
      <c r="R149" s="2"/>
      <c r="S149" s="2"/>
      <c r="T149" s="2"/>
      <c r="U149" s="2"/>
    </row>
    <row r="150" spans="1:21" ht="24.75" customHeight="1">
      <c r="A150" s="5"/>
      <c r="B150" s="7">
        <f t="shared" si="6"/>
        <v>137</v>
      </c>
      <c r="C150" s="37"/>
      <c r="D150" s="169"/>
      <c r="E150" s="170"/>
      <c r="F150" s="26"/>
      <c r="G150" s="132"/>
      <c r="H150" s="132"/>
      <c r="I150" s="80"/>
      <c r="J150" s="74"/>
      <c r="K150" s="26"/>
      <c r="L150" s="69"/>
      <c r="M150" s="108">
        <f t="shared" si="5"/>
        <v>0</v>
      </c>
      <c r="N150" s="55"/>
      <c r="O150" s="1"/>
      <c r="P150" s="2"/>
      <c r="Q150" s="2"/>
      <c r="R150" s="2"/>
      <c r="S150" s="2"/>
      <c r="T150" s="2"/>
      <c r="U150" s="2"/>
    </row>
    <row r="151" spans="1:21" ht="24.75" customHeight="1">
      <c r="A151" s="5"/>
      <c r="B151" s="7">
        <f t="shared" si="6"/>
        <v>138</v>
      </c>
      <c r="C151" s="37"/>
      <c r="D151" s="169"/>
      <c r="E151" s="170"/>
      <c r="F151" s="26"/>
      <c r="G151" s="132"/>
      <c r="H151" s="132"/>
      <c r="I151" s="80"/>
      <c r="J151" s="74"/>
      <c r="K151" s="26"/>
      <c r="L151" s="69"/>
      <c r="M151" s="108">
        <f t="shared" si="5"/>
        <v>0</v>
      </c>
      <c r="N151" s="55"/>
      <c r="O151" s="1"/>
      <c r="P151" s="2"/>
      <c r="Q151" s="2"/>
      <c r="R151" s="2"/>
      <c r="S151" s="2"/>
      <c r="T151" s="2"/>
      <c r="U151" s="2"/>
    </row>
    <row r="152" spans="1:21" ht="24.75" customHeight="1">
      <c r="A152" s="5"/>
      <c r="B152" s="7">
        <f t="shared" si="6"/>
        <v>139</v>
      </c>
      <c r="C152" s="37"/>
      <c r="D152" s="169"/>
      <c r="E152" s="170"/>
      <c r="F152" s="26"/>
      <c r="G152" s="132"/>
      <c r="H152" s="132"/>
      <c r="I152" s="80"/>
      <c r="J152" s="74"/>
      <c r="K152" s="26"/>
      <c r="L152" s="69"/>
      <c r="M152" s="108">
        <f t="shared" si="5"/>
        <v>0</v>
      </c>
      <c r="N152" s="55"/>
      <c r="O152" s="1"/>
      <c r="P152" s="2"/>
      <c r="Q152" s="2"/>
      <c r="R152" s="2"/>
      <c r="S152" s="2"/>
      <c r="T152" s="2"/>
      <c r="U152" s="2"/>
    </row>
    <row r="153" spans="1:21" ht="24.75" customHeight="1">
      <c r="A153" s="5"/>
      <c r="B153" s="7">
        <f t="shared" si="6"/>
        <v>140</v>
      </c>
      <c r="C153" s="37"/>
      <c r="D153" s="169"/>
      <c r="E153" s="170"/>
      <c r="F153" s="26"/>
      <c r="G153" s="132"/>
      <c r="H153" s="132"/>
      <c r="I153" s="80"/>
      <c r="J153" s="74"/>
      <c r="K153" s="26"/>
      <c r="L153" s="69"/>
      <c r="M153" s="108">
        <f t="shared" si="5"/>
        <v>0</v>
      </c>
      <c r="N153" s="55"/>
      <c r="O153" s="1"/>
      <c r="P153" s="2"/>
      <c r="Q153" s="2"/>
      <c r="R153" s="2"/>
      <c r="S153" s="2"/>
      <c r="T153" s="2"/>
      <c r="U153" s="2"/>
    </row>
    <row r="154" spans="1:21" ht="24.75" customHeight="1">
      <c r="A154" s="5"/>
      <c r="B154" s="7">
        <f t="shared" si="6"/>
        <v>141</v>
      </c>
      <c r="C154" s="37"/>
      <c r="D154" s="169"/>
      <c r="E154" s="170"/>
      <c r="F154" s="26"/>
      <c r="G154" s="132"/>
      <c r="H154" s="132"/>
      <c r="I154" s="80"/>
      <c r="J154" s="74"/>
      <c r="K154" s="26"/>
      <c r="L154" s="69"/>
      <c r="M154" s="108">
        <f t="shared" si="5"/>
        <v>0</v>
      </c>
      <c r="N154" s="55"/>
      <c r="O154" s="1"/>
      <c r="P154" s="2"/>
      <c r="Q154" s="2"/>
      <c r="R154" s="2"/>
      <c r="S154" s="2"/>
      <c r="T154" s="2"/>
      <c r="U154" s="2"/>
    </row>
    <row r="155" spans="1:21" ht="24.75" customHeight="1">
      <c r="A155" s="5"/>
      <c r="B155" s="7">
        <f t="shared" si="6"/>
        <v>142</v>
      </c>
      <c r="C155" s="37"/>
      <c r="D155" s="169"/>
      <c r="E155" s="170"/>
      <c r="F155" s="26"/>
      <c r="G155" s="132"/>
      <c r="H155" s="132"/>
      <c r="I155" s="80"/>
      <c r="J155" s="74"/>
      <c r="K155" s="26"/>
      <c r="L155" s="69"/>
      <c r="M155" s="108">
        <f t="shared" si="5"/>
        <v>0</v>
      </c>
      <c r="N155" s="55"/>
      <c r="O155" s="1"/>
      <c r="P155" s="2"/>
      <c r="Q155" s="2"/>
      <c r="R155" s="2"/>
      <c r="S155" s="2"/>
      <c r="T155" s="2"/>
      <c r="U155" s="2"/>
    </row>
    <row r="156" spans="1:21" ht="24.75" customHeight="1">
      <c r="A156" s="5"/>
      <c r="B156" s="7">
        <f t="shared" si="6"/>
        <v>143</v>
      </c>
      <c r="C156" s="37"/>
      <c r="D156" s="169"/>
      <c r="E156" s="170"/>
      <c r="F156" s="26"/>
      <c r="G156" s="132"/>
      <c r="H156" s="132"/>
      <c r="I156" s="80"/>
      <c r="J156" s="74"/>
      <c r="K156" s="26"/>
      <c r="L156" s="69"/>
      <c r="M156" s="108">
        <f t="shared" si="5"/>
        <v>0</v>
      </c>
      <c r="N156" s="55"/>
      <c r="O156" s="1"/>
      <c r="P156" s="2"/>
      <c r="Q156" s="2"/>
      <c r="R156" s="2"/>
      <c r="S156" s="2"/>
      <c r="T156" s="2"/>
      <c r="U156" s="2"/>
    </row>
    <row r="157" spans="1:21" ht="24.75" customHeight="1">
      <c r="A157" s="5"/>
      <c r="B157" s="7">
        <f t="shared" si="6"/>
        <v>144</v>
      </c>
      <c r="C157" s="37"/>
      <c r="D157" s="169"/>
      <c r="E157" s="170"/>
      <c r="F157" s="26"/>
      <c r="G157" s="132"/>
      <c r="H157" s="132"/>
      <c r="I157" s="80"/>
      <c r="J157" s="74"/>
      <c r="K157" s="26"/>
      <c r="L157" s="69"/>
      <c r="M157" s="108">
        <f t="shared" si="5"/>
        <v>0</v>
      </c>
      <c r="N157" s="55"/>
      <c r="O157" s="1"/>
      <c r="P157" s="2"/>
      <c r="Q157" s="2"/>
      <c r="R157" s="2"/>
      <c r="S157" s="2"/>
      <c r="T157" s="2"/>
      <c r="U157" s="2"/>
    </row>
    <row r="158" spans="1:21" ht="24.75" customHeight="1">
      <c r="A158" s="5"/>
      <c r="B158" s="7">
        <f t="shared" si="6"/>
        <v>145</v>
      </c>
      <c r="C158" s="37"/>
      <c r="D158" s="169"/>
      <c r="E158" s="170"/>
      <c r="F158" s="26"/>
      <c r="G158" s="132"/>
      <c r="H158" s="132"/>
      <c r="I158" s="80"/>
      <c r="J158" s="74"/>
      <c r="K158" s="26"/>
      <c r="L158" s="69"/>
      <c r="M158" s="108">
        <f t="shared" si="5"/>
        <v>0</v>
      </c>
      <c r="N158" s="55"/>
      <c r="O158" s="1"/>
      <c r="P158" s="2"/>
      <c r="Q158" s="2"/>
      <c r="R158" s="2"/>
      <c r="S158" s="2"/>
      <c r="T158" s="2"/>
      <c r="U158" s="2"/>
    </row>
    <row r="159" spans="1:21" ht="24.75" customHeight="1">
      <c r="A159" s="5"/>
      <c r="B159" s="7">
        <f t="shared" si="6"/>
        <v>146</v>
      </c>
      <c r="C159" s="37"/>
      <c r="D159" s="169"/>
      <c r="E159" s="170"/>
      <c r="F159" s="26"/>
      <c r="G159" s="132"/>
      <c r="H159" s="132"/>
      <c r="I159" s="80"/>
      <c r="J159" s="74"/>
      <c r="K159" s="26"/>
      <c r="L159" s="69"/>
      <c r="M159" s="108">
        <f t="shared" si="5"/>
        <v>0</v>
      </c>
      <c r="N159" s="55"/>
      <c r="O159" s="1"/>
      <c r="P159" s="2"/>
      <c r="Q159" s="2"/>
      <c r="R159" s="2"/>
      <c r="S159" s="2"/>
      <c r="T159" s="2"/>
      <c r="U159" s="2"/>
    </row>
    <row r="160" spans="1:21" ht="24.75" customHeight="1">
      <c r="A160" s="5"/>
      <c r="B160" s="7">
        <f t="shared" si="6"/>
        <v>147</v>
      </c>
      <c r="C160" s="37"/>
      <c r="D160" s="169"/>
      <c r="E160" s="170"/>
      <c r="F160" s="26"/>
      <c r="G160" s="132"/>
      <c r="H160" s="132"/>
      <c r="I160" s="80"/>
      <c r="J160" s="74"/>
      <c r="K160" s="26"/>
      <c r="L160" s="69"/>
      <c r="M160" s="108">
        <f t="shared" si="5"/>
        <v>0</v>
      </c>
      <c r="N160" s="55"/>
      <c r="O160" s="1"/>
      <c r="P160" s="2"/>
      <c r="Q160" s="2"/>
      <c r="R160" s="2"/>
      <c r="S160" s="2"/>
      <c r="T160" s="2"/>
      <c r="U160" s="2"/>
    </row>
    <row r="161" spans="1:21" ht="24.75" customHeight="1">
      <c r="A161" s="5"/>
      <c r="B161" s="7">
        <f t="shared" si="6"/>
        <v>148</v>
      </c>
      <c r="C161" s="37"/>
      <c r="D161" s="169"/>
      <c r="E161" s="170"/>
      <c r="F161" s="26"/>
      <c r="G161" s="132"/>
      <c r="H161" s="132"/>
      <c r="I161" s="80"/>
      <c r="J161" s="74"/>
      <c r="K161" s="26"/>
      <c r="L161" s="69"/>
      <c r="M161" s="108">
        <f t="shared" si="5"/>
        <v>0</v>
      </c>
      <c r="N161" s="55"/>
      <c r="O161" s="1"/>
      <c r="P161" s="2"/>
      <c r="Q161" s="2"/>
      <c r="R161" s="2"/>
      <c r="S161" s="2"/>
      <c r="T161" s="2"/>
      <c r="U161" s="2"/>
    </row>
    <row r="162" spans="1:21" ht="24.75" customHeight="1">
      <c r="A162" s="5"/>
      <c r="B162" s="7">
        <f t="shared" si="6"/>
        <v>149</v>
      </c>
      <c r="C162" s="37"/>
      <c r="D162" s="169"/>
      <c r="E162" s="170"/>
      <c r="F162" s="26"/>
      <c r="G162" s="132"/>
      <c r="H162" s="132"/>
      <c r="I162" s="80"/>
      <c r="J162" s="74"/>
      <c r="K162" s="26"/>
      <c r="L162" s="69"/>
      <c r="M162" s="108">
        <f t="shared" si="5"/>
        <v>0</v>
      </c>
      <c r="N162" s="55"/>
      <c r="O162" s="1"/>
      <c r="P162" s="2"/>
      <c r="Q162" s="2"/>
      <c r="R162" s="2"/>
      <c r="S162" s="2"/>
      <c r="T162" s="2"/>
      <c r="U162" s="2"/>
    </row>
    <row r="163" spans="1:21" ht="24.75" customHeight="1">
      <c r="A163" s="5"/>
      <c r="B163" s="7">
        <f t="shared" si="6"/>
        <v>150</v>
      </c>
      <c r="C163" s="37"/>
      <c r="D163" s="169"/>
      <c r="E163" s="170"/>
      <c r="F163" s="26"/>
      <c r="G163" s="132"/>
      <c r="H163" s="132"/>
      <c r="I163" s="80"/>
      <c r="J163" s="74"/>
      <c r="K163" s="26"/>
      <c r="L163" s="69"/>
      <c r="M163" s="108">
        <f t="shared" si="5"/>
        <v>0</v>
      </c>
      <c r="N163" s="55"/>
      <c r="O163" s="1"/>
      <c r="P163" s="2"/>
      <c r="Q163" s="2"/>
      <c r="R163" s="2"/>
      <c r="S163" s="2"/>
      <c r="T163" s="2"/>
      <c r="U163" s="2"/>
    </row>
    <row r="164" spans="1:21" ht="24.75" customHeight="1">
      <c r="A164" s="5"/>
      <c r="B164" s="7">
        <f t="shared" si="6"/>
        <v>151</v>
      </c>
      <c r="C164" s="37"/>
      <c r="D164" s="169"/>
      <c r="E164" s="170"/>
      <c r="F164" s="26"/>
      <c r="G164" s="132"/>
      <c r="H164" s="132"/>
      <c r="I164" s="80"/>
      <c r="J164" s="74"/>
      <c r="K164" s="26"/>
      <c r="L164" s="69"/>
      <c r="M164" s="108">
        <f t="shared" si="5"/>
        <v>0</v>
      </c>
      <c r="N164" s="55"/>
      <c r="O164" s="1"/>
      <c r="P164" s="2"/>
      <c r="Q164" s="2"/>
      <c r="R164" s="2"/>
      <c r="S164" s="2"/>
      <c r="T164" s="2"/>
      <c r="U164" s="2"/>
    </row>
    <row r="165" spans="1:21" ht="24.75" customHeight="1">
      <c r="A165" s="5"/>
      <c r="B165" s="7">
        <f t="shared" si="6"/>
        <v>152</v>
      </c>
      <c r="C165" s="37"/>
      <c r="D165" s="169"/>
      <c r="E165" s="170"/>
      <c r="F165" s="26"/>
      <c r="G165" s="132"/>
      <c r="H165" s="132"/>
      <c r="I165" s="80"/>
      <c r="J165" s="74"/>
      <c r="K165" s="26"/>
      <c r="L165" s="69"/>
      <c r="M165" s="108">
        <f t="shared" si="5"/>
        <v>0</v>
      </c>
      <c r="N165" s="55"/>
      <c r="O165" s="1"/>
      <c r="P165" s="2"/>
      <c r="Q165" s="2"/>
      <c r="R165" s="2"/>
      <c r="S165" s="2"/>
      <c r="T165" s="2"/>
      <c r="U165" s="2"/>
    </row>
    <row r="166" spans="1:21" ht="24.75" customHeight="1">
      <c r="A166" s="5"/>
      <c r="B166" s="7">
        <f t="shared" si="6"/>
        <v>153</v>
      </c>
      <c r="C166" s="37"/>
      <c r="D166" s="169"/>
      <c r="E166" s="170"/>
      <c r="F166" s="26"/>
      <c r="G166" s="132"/>
      <c r="H166" s="132"/>
      <c r="I166" s="80"/>
      <c r="J166" s="74"/>
      <c r="K166" s="26"/>
      <c r="L166" s="69"/>
      <c r="M166" s="108">
        <f t="shared" si="5"/>
        <v>0</v>
      </c>
      <c r="N166" s="55"/>
      <c r="O166" s="1"/>
      <c r="P166" s="2"/>
      <c r="Q166" s="2"/>
      <c r="R166" s="2"/>
      <c r="S166" s="2"/>
      <c r="T166" s="2"/>
      <c r="U166" s="2"/>
    </row>
    <row r="167" spans="1:21" ht="24.75" customHeight="1">
      <c r="A167" s="5"/>
      <c r="B167" s="7">
        <f t="shared" si="6"/>
        <v>154</v>
      </c>
      <c r="C167" s="37"/>
      <c r="D167" s="169"/>
      <c r="E167" s="170"/>
      <c r="F167" s="26"/>
      <c r="G167" s="132"/>
      <c r="H167" s="132"/>
      <c r="I167" s="80"/>
      <c r="J167" s="74"/>
      <c r="K167" s="26"/>
      <c r="L167" s="69"/>
      <c r="M167" s="108">
        <f t="shared" si="5"/>
        <v>0</v>
      </c>
      <c r="N167" s="55"/>
      <c r="O167" s="1"/>
      <c r="P167" s="2"/>
      <c r="Q167" s="2"/>
      <c r="R167" s="2"/>
      <c r="S167" s="2"/>
      <c r="T167" s="2"/>
      <c r="U167" s="2"/>
    </row>
    <row r="168" spans="1:21" ht="24.75" customHeight="1">
      <c r="A168" s="5"/>
      <c r="B168" s="7">
        <f t="shared" si="6"/>
        <v>155</v>
      </c>
      <c r="C168" s="37"/>
      <c r="D168" s="169"/>
      <c r="E168" s="170"/>
      <c r="F168" s="26"/>
      <c r="G168" s="132"/>
      <c r="H168" s="132"/>
      <c r="I168" s="80"/>
      <c r="J168" s="74"/>
      <c r="K168" s="26"/>
      <c r="L168" s="69"/>
      <c r="M168" s="108">
        <f t="shared" si="5"/>
        <v>0</v>
      </c>
      <c r="N168" s="55"/>
      <c r="O168" s="1"/>
      <c r="P168" s="2"/>
      <c r="Q168" s="2"/>
      <c r="R168" s="2"/>
      <c r="S168" s="2"/>
      <c r="T168" s="2"/>
      <c r="U168" s="2"/>
    </row>
    <row r="169" spans="1:21" ht="24.75" customHeight="1">
      <c r="A169" s="5"/>
      <c r="B169" s="7">
        <f t="shared" si="6"/>
        <v>156</v>
      </c>
      <c r="C169" s="37"/>
      <c r="D169" s="169"/>
      <c r="E169" s="170"/>
      <c r="F169" s="26"/>
      <c r="G169" s="132"/>
      <c r="H169" s="132"/>
      <c r="I169" s="80"/>
      <c r="J169" s="74"/>
      <c r="K169" s="26"/>
      <c r="L169" s="69"/>
      <c r="M169" s="108">
        <f t="shared" si="5"/>
        <v>0</v>
      </c>
      <c r="N169" s="55"/>
      <c r="O169" s="1"/>
      <c r="P169" s="2"/>
      <c r="Q169" s="2"/>
      <c r="R169" s="2"/>
      <c r="S169" s="2"/>
      <c r="T169" s="2"/>
      <c r="U169" s="2"/>
    </row>
    <row r="170" spans="1:21" ht="24.75" customHeight="1">
      <c r="A170" s="5"/>
      <c r="B170" s="7">
        <f t="shared" si="6"/>
        <v>157</v>
      </c>
      <c r="C170" s="37"/>
      <c r="D170" s="169"/>
      <c r="E170" s="170"/>
      <c r="F170" s="26"/>
      <c r="G170" s="132"/>
      <c r="H170" s="132"/>
      <c r="I170" s="80"/>
      <c r="J170" s="74"/>
      <c r="K170" s="26"/>
      <c r="L170" s="69"/>
      <c r="M170" s="108">
        <f t="shared" si="5"/>
        <v>0</v>
      </c>
      <c r="N170" s="55"/>
      <c r="O170" s="1"/>
      <c r="P170" s="2"/>
      <c r="Q170" s="2"/>
      <c r="R170" s="2"/>
      <c r="S170" s="2"/>
      <c r="T170" s="2"/>
      <c r="U170" s="2"/>
    </row>
    <row r="171" spans="1:21" ht="24.75" customHeight="1">
      <c r="A171" s="5"/>
      <c r="B171" s="7">
        <f t="shared" si="6"/>
        <v>158</v>
      </c>
      <c r="C171" s="37"/>
      <c r="D171" s="169"/>
      <c r="E171" s="170"/>
      <c r="F171" s="26"/>
      <c r="G171" s="132"/>
      <c r="H171" s="132"/>
      <c r="I171" s="80"/>
      <c r="J171" s="74"/>
      <c r="K171" s="26"/>
      <c r="L171" s="69"/>
      <c r="M171" s="108">
        <f t="shared" si="5"/>
        <v>0</v>
      </c>
      <c r="N171" s="55"/>
      <c r="O171" s="1"/>
      <c r="P171" s="2"/>
      <c r="Q171" s="2"/>
      <c r="R171" s="2"/>
      <c r="S171" s="2"/>
      <c r="T171" s="2"/>
      <c r="U171" s="2"/>
    </row>
    <row r="172" spans="1:21" ht="24.75" customHeight="1">
      <c r="A172" s="5"/>
      <c r="B172" s="7">
        <f t="shared" si="6"/>
        <v>159</v>
      </c>
      <c r="C172" s="37"/>
      <c r="D172" s="169"/>
      <c r="E172" s="170"/>
      <c r="F172" s="26"/>
      <c r="G172" s="132"/>
      <c r="H172" s="132"/>
      <c r="I172" s="80"/>
      <c r="J172" s="74"/>
      <c r="K172" s="26"/>
      <c r="L172" s="69"/>
      <c r="M172" s="108">
        <f t="shared" si="5"/>
        <v>0</v>
      </c>
      <c r="N172" s="55"/>
      <c r="O172" s="1"/>
      <c r="P172" s="2"/>
      <c r="Q172" s="2"/>
      <c r="R172" s="2"/>
      <c r="S172" s="2"/>
      <c r="T172" s="2"/>
      <c r="U172" s="2"/>
    </row>
    <row r="173" spans="1:21" ht="24.75" customHeight="1">
      <c r="A173" s="5"/>
      <c r="B173" s="7">
        <f t="shared" si="6"/>
        <v>160</v>
      </c>
      <c r="C173" s="37"/>
      <c r="D173" s="169"/>
      <c r="E173" s="170"/>
      <c r="F173" s="26"/>
      <c r="G173" s="132"/>
      <c r="H173" s="132"/>
      <c r="I173" s="80"/>
      <c r="J173" s="74"/>
      <c r="K173" s="26"/>
      <c r="L173" s="69"/>
      <c r="M173" s="108">
        <f t="shared" si="5"/>
        <v>0</v>
      </c>
      <c r="N173" s="55"/>
      <c r="O173" s="1"/>
      <c r="P173" s="2"/>
      <c r="Q173" s="2"/>
      <c r="R173" s="2"/>
      <c r="S173" s="2"/>
      <c r="T173" s="2"/>
      <c r="U173" s="2"/>
    </row>
    <row r="174" spans="1:21" ht="24.75" customHeight="1">
      <c r="A174" s="5"/>
      <c r="B174" s="7">
        <f t="shared" si="6"/>
        <v>161</v>
      </c>
      <c r="C174" s="37"/>
      <c r="D174" s="169"/>
      <c r="E174" s="170"/>
      <c r="F174" s="26"/>
      <c r="G174" s="132"/>
      <c r="H174" s="132"/>
      <c r="I174" s="80"/>
      <c r="J174" s="74"/>
      <c r="K174" s="26"/>
      <c r="L174" s="69"/>
      <c r="M174" s="108">
        <f t="shared" si="5"/>
        <v>0</v>
      </c>
      <c r="N174" s="55"/>
      <c r="O174" s="1"/>
      <c r="P174" s="2"/>
      <c r="Q174" s="2"/>
      <c r="R174" s="2"/>
      <c r="S174" s="2"/>
      <c r="T174" s="2"/>
      <c r="U174" s="2"/>
    </row>
    <row r="175" spans="1:21" ht="24.75" customHeight="1">
      <c r="A175" s="5"/>
      <c r="B175" s="7">
        <f t="shared" si="6"/>
        <v>162</v>
      </c>
      <c r="C175" s="37"/>
      <c r="D175" s="169"/>
      <c r="E175" s="170"/>
      <c r="F175" s="26"/>
      <c r="G175" s="132"/>
      <c r="H175" s="132"/>
      <c r="I175" s="80"/>
      <c r="J175" s="74"/>
      <c r="K175" s="26"/>
      <c r="L175" s="69"/>
      <c r="M175" s="108">
        <f t="shared" si="5"/>
        <v>0</v>
      </c>
      <c r="N175" s="55"/>
      <c r="O175" s="1"/>
      <c r="P175" s="2"/>
      <c r="Q175" s="2"/>
      <c r="R175" s="2"/>
      <c r="S175" s="2"/>
      <c r="T175" s="2"/>
      <c r="U175" s="2"/>
    </row>
    <row r="176" spans="1:21" ht="24.75" customHeight="1">
      <c r="A176" s="5"/>
      <c r="B176" s="7">
        <f t="shared" si="6"/>
        <v>163</v>
      </c>
      <c r="C176" s="37"/>
      <c r="D176" s="169"/>
      <c r="E176" s="170"/>
      <c r="F176" s="26"/>
      <c r="G176" s="132"/>
      <c r="H176" s="132"/>
      <c r="I176" s="80"/>
      <c r="J176" s="74"/>
      <c r="K176" s="26"/>
      <c r="L176" s="69"/>
      <c r="M176" s="108">
        <f t="shared" si="5"/>
        <v>0</v>
      </c>
      <c r="N176" s="55"/>
      <c r="O176" s="1"/>
      <c r="P176" s="2"/>
      <c r="Q176" s="2"/>
      <c r="R176" s="2"/>
      <c r="S176" s="2"/>
      <c r="T176" s="2"/>
      <c r="U176" s="2"/>
    </row>
    <row r="177" spans="1:21" ht="24.75" customHeight="1">
      <c r="A177" s="5"/>
      <c r="B177" s="7">
        <f t="shared" si="6"/>
        <v>164</v>
      </c>
      <c r="C177" s="37"/>
      <c r="D177" s="169"/>
      <c r="E177" s="170"/>
      <c r="F177" s="26"/>
      <c r="G177" s="132"/>
      <c r="H177" s="132"/>
      <c r="I177" s="80"/>
      <c r="J177" s="74"/>
      <c r="K177" s="26"/>
      <c r="L177" s="69"/>
      <c r="M177" s="108">
        <f t="shared" si="5"/>
        <v>0</v>
      </c>
      <c r="N177" s="55"/>
      <c r="O177" s="1"/>
      <c r="P177" s="2"/>
      <c r="Q177" s="2"/>
      <c r="R177" s="2"/>
      <c r="S177" s="2"/>
      <c r="T177" s="2"/>
      <c r="U177" s="2"/>
    </row>
    <row r="178" spans="1:21" ht="24.75" customHeight="1">
      <c r="A178" s="5"/>
      <c r="B178" s="7">
        <f t="shared" si="6"/>
        <v>165</v>
      </c>
      <c r="C178" s="37"/>
      <c r="D178" s="169"/>
      <c r="E178" s="170"/>
      <c r="F178" s="26"/>
      <c r="G178" s="132"/>
      <c r="H178" s="132"/>
      <c r="I178" s="80"/>
      <c r="J178" s="74"/>
      <c r="K178" s="26"/>
      <c r="L178" s="69"/>
      <c r="M178" s="108">
        <f t="shared" si="5"/>
        <v>0</v>
      </c>
      <c r="N178" s="55"/>
      <c r="O178" s="1"/>
      <c r="P178" s="2"/>
      <c r="Q178" s="2"/>
      <c r="R178" s="2"/>
      <c r="S178" s="2"/>
      <c r="T178" s="2"/>
      <c r="U178" s="2"/>
    </row>
    <row r="179" spans="1:21" ht="24.75" customHeight="1">
      <c r="A179" s="5"/>
      <c r="B179" s="7">
        <f t="shared" si="6"/>
        <v>166</v>
      </c>
      <c r="C179" s="37"/>
      <c r="D179" s="169"/>
      <c r="E179" s="170"/>
      <c r="F179" s="26"/>
      <c r="G179" s="132"/>
      <c r="H179" s="132"/>
      <c r="I179" s="80"/>
      <c r="J179" s="74"/>
      <c r="K179" s="26"/>
      <c r="L179" s="69"/>
      <c r="M179" s="108">
        <f t="shared" si="5"/>
        <v>0</v>
      </c>
      <c r="N179" s="55"/>
      <c r="O179" s="1"/>
      <c r="P179" s="2"/>
      <c r="Q179" s="2"/>
      <c r="R179" s="2"/>
      <c r="S179" s="2"/>
      <c r="T179" s="2"/>
      <c r="U179" s="2"/>
    </row>
    <row r="180" spans="1:21" ht="24.75" customHeight="1">
      <c r="A180" s="5"/>
      <c r="B180" s="7">
        <f t="shared" si="6"/>
        <v>167</v>
      </c>
      <c r="C180" s="37"/>
      <c r="D180" s="169"/>
      <c r="E180" s="170"/>
      <c r="F180" s="26"/>
      <c r="G180" s="132"/>
      <c r="H180" s="132"/>
      <c r="I180" s="80"/>
      <c r="J180" s="74"/>
      <c r="K180" s="26"/>
      <c r="L180" s="69"/>
      <c r="M180" s="108">
        <f t="shared" si="5"/>
        <v>0</v>
      </c>
      <c r="N180" s="55"/>
      <c r="O180" s="1"/>
      <c r="P180" s="2"/>
      <c r="Q180" s="2"/>
      <c r="R180" s="2"/>
      <c r="S180" s="2"/>
      <c r="T180" s="2"/>
      <c r="U180" s="2"/>
    </row>
    <row r="181" spans="1:21" ht="24.75" customHeight="1">
      <c r="A181" s="5"/>
      <c r="B181" s="7">
        <f t="shared" si="6"/>
        <v>168</v>
      </c>
      <c r="C181" s="37"/>
      <c r="D181" s="169"/>
      <c r="E181" s="170"/>
      <c r="F181" s="26"/>
      <c r="G181" s="132"/>
      <c r="H181" s="132"/>
      <c r="I181" s="80"/>
      <c r="J181" s="74"/>
      <c r="K181" s="26"/>
      <c r="L181" s="69"/>
      <c r="M181" s="108">
        <f t="shared" si="5"/>
        <v>0</v>
      </c>
      <c r="N181" s="55"/>
      <c r="O181" s="1"/>
      <c r="P181" s="2"/>
      <c r="Q181" s="2"/>
      <c r="R181" s="2"/>
      <c r="S181" s="2"/>
      <c r="T181" s="2"/>
      <c r="U181" s="2"/>
    </row>
    <row r="182" spans="1:21" ht="24.75" customHeight="1">
      <c r="A182" s="5"/>
      <c r="B182" s="7">
        <f t="shared" si="6"/>
        <v>169</v>
      </c>
      <c r="C182" s="37"/>
      <c r="D182" s="169"/>
      <c r="E182" s="170"/>
      <c r="F182" s="26"/>
      <c r="G182" s="132"/>
      <c r="H182" s="132"/>
      <c r="I182" s="80"/>
      <c r="J182" s="74"/>
      <c r="K182" s="26"/>
      <c r="L182" s="69"/>
      <c r="M182" s="108">
        <f t="shared" si="5"/>
        <v>0</v>
      </c>
      <c r="N182" s="55"/>
      <c r="O182" s="1"/>
      <c r="P182" s="2"/>
      <c r="Q182" s="2"/>
      <c r="R182" s="2"/>
      <c r="S182" s="2"/>
      <c r="T182" s="2"/>
      <c r="U182" s="2"/>
    </row>
    <row r="183" spans="1:21" ht="24.75" customHeight="1">
      <c r="A183" s="5"/>
      <c r="B183" s="7">
        <f t="shared" si="6"/>
        <v>170</v>
      </c>
      <c r="C183" s="37"/>
      <c r="D183" s="169"/>
      <c r="E183" s="170"/>
      <c r="F183" s="26"/>
      <c r="G183" s="132"/>
      <c r="H183" s="132"/>
      <c r="I183" s="80"/>
      <c r="J183" s="74"/>
      <c r="K183" s="26"/>
      <c r="L183" s="69"/>
      <c r="M183" s="108">
        <f t="shared" si="5"/>
        <v>0</v>
      </c>
      <c r="N183" s="55"/>
      <c r="O183" s="1"/>
      <c r="P183" s="2"/>
      <c r="Q183" s="2"/>
      <c r="R183" s="2"/>
      <c r="S183" s="2"/>
      <c r="T183" s="2"/>
      <c r="U183" s="2"/>
    </row>
    <row r="184" spans="1:21" ht="24.75" customHeight="1">
      <c r="A184" s="5"/>
      <c r="B184" s="7">
        <f t="shared" si="6"/>
        <v>171</v>
      </c>
      <c r="C184" s="37"/>
      <c r="D184" s="169"/>
      <c r="E184" s="170"/>
      <c r="F184" s="26"/>
      <c r="G184" s="132"/>
      <c r="H184" s="132"/>
      <c r="I184" s="80"/>
      <c r="J184" s="74"/>
      <c r="K184" s="26"/>
      <c r="L184" s="69"/>
      <c r="M184" s="108">
        <f t="shared" si="5"/>
        <v>0</v>
      </c>
      <c r="N184" s="55"/>
      <c r="O184" s="1"/>
      <c r="P184" s="2"/>
      <c r="Q184" s="2"/>
      <c r="R184" s="2"/>
      <c r="S184" s="2"/>
      <c r="T184" s="2"/>
      <c r="U184" s="2"/>
    </row>
    <row r="185" spans="1:21" ht="24.75" customHeight="1">
      <c r="A185" s="5"/>
      <c r="B185" s="7">
        <f t="shared" si="6"/>
        <v>172</v>
      </c>
      <c r="C185" s="37"/>
      <c r="D185" s="169"/>
      <c r="E185" s="170"/>
      <c r="F185" s="26"/>
      <c r="G185" s="132"/>
      <c r="H185" s="132"/>
      <c r="I185" s="80"/>
      <c r="J185" s="74"/>
      <c r="K185" s="26"/>
      <c r="L185" s="69"/>
      <c r="M185" s="108">
        <f t="shared" si="5"/>
        <v>0</v>
      </c>
      <c r="N185" s="55"/>
      <c r="O185" s="1"/>
      <c r="P185" s="2"/>
      <c r="Q185" s="2"/>
      <c r="R185" s="2"/>
      <c r="S185" s="2"/>
      <c r="T185" s="2"/>
      <c r="U185" s="2"/>
    </row>
    <row r="186" spans="1:21" ht="24.75" customHeight="1">
      <c r="A186" s="5"/>
      <c r="B186" s="7">
        <f t="shared" si="6"/>
        <v>173</v>
      </c>
      <c r="C186" s="37"/>
      <c r="D186" s="169"/>
      <c r="E186" s="170"/>
      <c r="F186" s="26"/>
      <c r="G186" s="132"/>
      <c r="H186" s="132"/>
      <c r="I186" s="80"/>
      <c r="J186" s="74"/>
      <c r="K186" s="26"/>
      <c r="L186" s="69"/>
      <c r="M186" s="108">
        <f t="shared" si="5"/>
        <v>0</v>
      </c>
      <c r="N186" s="55"/>
      <c r="O186" s="1"/>
      <c r="P186" s="2"/>
      <c r="Q186" s="2"/>
      <c r="R186" s="2"/>
      <c r="S186" s="2"/>
      <c r="T186" s="2"/>
      <c r="U186" s="2"/>
    </row>
    <row r="187" spans="1:21" ht="24.75" customHeight="1">
      <c r="A187" s="5"/>
      <c r="B187" s="7">
        <f t="shared" si="6"/>
        <v>174</v>
      </c>
      <c r="C187" s="37"/>
      <c r="D187" s="169"/>
      <c r="E187" s="170"/>
      <c r="F187" s="26"/>
      <c r="G187" s="132"/>
      <c r="H187" s="132"/>
      <c r="I187" s="80"/>
      <c r="J187" s="74"/>
      <c r="K187" s="26"/>
      <c r="L187" s="69"/>
      <c r="M187" s="108">
        <f t="shared" si="5"/>
        <v>0</v>
      </c>
      <c r="N187" s="55"/>
      <c r="O187" s="1"/>
      <c r="P187" s="2"/>
      <c r="Q187" s="2"/>
      <c r="R187" s="2"/>
      <c r="S187" s="2"/>
      <c r="T187" s="2"/>
      <c r="U187" s="2"/>
    </row>
    <row r="188" spans="1:21" ht="24.75" customHeight="1">
      <c r="A188" s="5"/>
      <c r="B188" s="7">
        <f t="shared" si="6"/>
        <v>175</v>
      </c>
      <c r="C188" s="37"/>
      <c r="D188" s="169"/>
      <c r="E188" s="170"/>
      <c r="F188" s="26"/>
      <c r="G188" s="132"/>
      <c r="H188" s="132"/>
      <c r="I188" s="80"/>
      <c r="J188" s="74"/>
      <c r="K188" s="26"/>
      <c r="L188" s="69"/>
      <c r="M188" s="108">
        <f t="shared" si="5"/>
        <v>0</v>
      </c>
      <c r="N188" s="55"/>
      <c r="O188" s="1"/>
      <c r="P188" s="2"/>
      <c r="Q188" s="2"/>
      <c r="R188" s="2"/>
      <c r="S188" s="2"/>
      <c r="T188" s="2"/>
      <c r="U188" s="2"/>
    </row>
    <row r="189" spans="1:21" ht="24.75" customHeight="1">
      <c r="A189" s="5"/>
      <c r="B189" s="7">
        <f t="shared" si="6"/>
        <v>176</v>
      </c>
      <c r="C189" s="37"/>
      <c r="D189" s="169"/>
      <c r="E189" s="170"/>
      <c r="F189" s="26"/>
      <c r="G189" s="132"/>
      <c r="H189" s="132"/>
      <c r="I189" s="80"/>
      <c r="J189" s="74"/>
      <c r="K189" s="26"/>
      <c r="L189" s="69"/>
      <c r="M189" s="108">
        <f t="shared" si="5"/>
        <v>0</v>
      </c>
      <c r="N189" s="55"/>
      <c r="O189" s="1"/>
      <c r="P189" s="2"/>
      <c r="Q189" s="2"/>
      <c r="R189" s="2"/>
      <c r="S189" s="2"/>
      <c r="T189" s="2"/>
      <c r="U189" s="2"/>
    </row>
    <row r="190" spans="1:21" ht="24.75" customHeight="1">
      <c r="A190" s="5"/>
      <c r="B190" s="7">
        <f t="shared" si="6"/>
        <v>177</v>
      </c>
      <c r="C190" s="37"/>
      <c r="D190" s="169"/>
      <c r="E190" s="170"/>
      <c r="F190" s="26"/>
      <c r="G190" s="132"/>
      <c r="H190" s="132"/>
      <c r="I190" s="80"/>
      <c r="J190" s="74"/>
      <c r="K190" s="26"/>
      <c r="L190" s="69"/>
      <c r="M190" s="108">
        <f t="shared" si="5"/>
        <v>0</v>
      </c>
      <c r="N190" s="55"/>
      <c r="O190" s="1"/>
      <c r="P190" s="2"/>
      <c r="Q190" s="2"/>
      <c r="R190" s="2"/>
      <c r="S190" s="2"/>
      <c r="T190" s="2"/>
      <c r="U190" s="2"/>
    </row>
    <row r="191" spans="1:21" ht="24.75" customHeight="1">
      <c r="A191" s="5"/>
      <c r="B191" s="7">
        <f t="shared" si="6"/>
        <v>178</v>
      </c>
      <c r="C191" s="37"/>
      <c r="D191" s="169"/>
      <c r="E191" s="170"/>
      <c r="F191" s="26"/>
      <c r="G191" s="132"/>
      <c r="H191" s="132"/>
      <c r="I191" s="80"/>
      <c r="J191" s="74"/>
      <c r="K191" s="26"/>
      <c r="L191" s="69"/>
      <c r="M191" s="108">
        <f t="shared" si="5"/>
        <v>0</v>
      </c>
      <c r="N191" s="55"/>
      <c r="O191" s="1"/>
      <c r="P191" s="2"/>
      <c r="Q191" s="2"/>
      <c r="R191" s="2"/>
      <c r="S191" s="2"/>
      <c r="T191" s="2"/>
      <c r="U191" s="2"/>
    </row>
    <row r="192" spans="1:21" ht="24.75" customHeight="1">
      <c r="A192" s="5"/>
      <c r="B192" s="7">
        <f t="shared" si="6"/>
        <v>179</v>
      </c>
      <c r="C192" s="37"/>
      <c r="D192" s="169"/>
      <c r="E192" s="170"/>
      <c r="F192" s="26"/>
      <c r="G192" s="132"/>
      <c r="H192" s="132"/>
      <c r="I192" s="80"/>
      <c r="J192" s="74"/>
      <c r="K192" s="26"/>
      <c r="L192" s="69"/>
      <c r="M192" s="108">
        <f t="shared" si="5"/>
        <v>0</v>
      </c>
      <c r="N192" s="55"/>
      <c r="O192" s="1"/>
      <c r="P192" s="2"/>
      <c r="Q192" s="2"/>
      <c r="R192" s="2"/>
      <c r="S192" s="2"/>
      <c r="T192" s="2"/>
      <c r="U192" s="2"/>
    </row>
    <row r="193" spans="1:21" ht="24.75" customHeight="1">
      <c r="A193" s="5"/>
      <c r="B193" s="7">
        <f t="shared" si="6"/>
        <v>180</v>
      </c>
      <c r="C193" s="37"/>
      <c r="D193" s="169"/>
      <c r="E193" s="170"/>
      <c r="F193" s="26"/>
      <c r="G193" s="132"/>
      <c r="H193" s="132"/>
      <c r="I193" s="80"/>
      <c r="J193" s="74"/>
      <c r="K193" s="26"/>
      <c r="L193" s="69"/>
      <c r="M193" s="108">
        <f t="shared" si="5"/>
        <v>0</v>
      </c>
      <c r="N193" s="55"/>
      <c r="O193" s="1"/>
      <c r="P193" s="2"/>
      <c r="Q193" s="2"/>
      <c r="R193" s="2"/>
      <c r="S193" s="2"/>
      <c r="T193" s="2"/>
      <c r="U193" s="2"/>
    </row>
    <row r="194" spans="1:21" ht="24.75" customHeight="1">
      <c r="A194" s="5"/>
      <c r="B194" s="7">
        <f t="shared" si="6"/>
        <v>181</v>
      </c>
      <c r="C194" s="37"/>
      <c r="D194" s="169"/>
      <c r="E194" s="170"/>
      <c r="F194" s="26"/>
      <c r="G194" s="132"/>
      <c r="H194" s="132"/>
      <c r="I194" s="80"/>
      <c r="J194" s="74"/>
      <c r="K194" s="26"/>
      <c r="L194" s="69"/>
      <c r="M194" s="108">
        <f t="shared" si="5"/>
        <v>0</v>
      </c>
      <c r="N194" s="55"/>
      <c r="O194" s="1"/>
      <c r="P194" s="2"/>
      <c r="Q194" s="2"/>
      <c r="R194" s="2"/>
      <c r="S194" s="2"/>
      <c r="T194" s="2"/>
      <c r="U194" s="2"/>
    </row>
    <row r="195" spans="1:21" ht="24.75" customHeight="1">
      <c r="A195" s="5"/>
      <c r="B195" s="7">
        <f t="shared" si="6"/>
        <v>182</v>
      </c>
      <c r="C195" s="37"/>
      <c r="D195" s="169"/>
      <c r="E195" s="170"/>
      <c r="F195" s="26"/>
      <c r="G195" s="132"/>
      <c r="H195" s="132"/>
      <c r="I195" s="80"/>
      <c r="J195" s="74"/>
      <c r="K195" s="26"/>
      <c r="L195" s="69"/>
      <c r="M195" s="108">
        <f t="shared" si="5"/>
        <v>0</v>
      </c>
      <c r="N195" s="55"/>
      <c r="O195" s="1"/>
      <c r="P195" s="2"/>
      <c r="Q195" s="2"/>
      <c r="R195" s="2"/>
      <c r="S195" s="2"/>
      <c r="T195" s="2"/>
      <c r="U195" s="2"/>
    </row>
    <row r="196" spans="1:21" ht="24.75" customHeight="1">
      <c r="A196" s="5"/>
      <c r="B196" s="7">
        <f t="shared" si="6"/>
        <v>183</v>
      </c>
      <c r="C196" s="37"/>
      <c r="D196" s="169"/>
      <c r="E196" s="170"/>
      <c r="F196" s="26"/>
      <c r="G196" s="132"/>
      <c r="H196" s="132"/>
      <c r="I196" s="80"/>
      <c r="J196" s="74"/>
      <c r="K196" s="26"/>
      <c r="L196" s="69"/>
      <c r="M196" s="108">
        <f t="shared" si="5"/>
        <v>0</v>
      </c>
      <c r="N196" s="55"/>
      <c r="O196" s="1"/>
      <c r="P196" s="2"/>
      <c r="Q196" s="2"/>
      <c r="R196" s="2"/>
      <c r="S196" s="2"/>
      <c r="T196" s="2"/>
      <c r="U196" s="2"/>
    </row>
    <row r="197" spans="1:21" ht="24.75" customHeight="1">
      <c r="A197" s="5"/>
      <c r="B197" s="7">
        <f t="shared" si="6"/>
        <v>184</v>
      </c>
      <c r="C197" s="37"/>
      <c r="D197" s="169"/>
      <c r="E197" s="170"/>
      <c r="F197" s="26"/>
      <c r="G197" s="132"/>
      <c r="H197" s="132"/>
      <c r="I197" s="80"/>
      <c r="J197" s="74"/>
      <c r="K197" s="26"/>
      <c r="L197" s="69"/>
      <c r="M197" s="108">
        <f t="shared" si="5"/>
        <v>0</v>
      </c>
      <c r="N197" s="55"/>
      <c r="O197" s="1"/>
      <c r="P197" s="2"/>
      <c r="Q197" s="2"/>
      <c r="R197" s="2"/>
      <c r="S197" s="2"/>
      <c r="T197" s="2"/>
      <c r="U197" s="2"/>
    </row>
    <row r="198" spans="1:21" ht="24.75" customHeight="1">
      <c r="A198" s="5"/>
      <c r="B198" s="7">
        <f t="shared" si="6"/>
        <v>185</v>
      </c>
      <c r="C198" s="37"/>
      <c r="D198" s="169"/>
      <c r="E198" s="170"/>
      <c r="F198" s="26"/>
      <c r="G198" s="132"/>
      <c r="H198" s="132"/>
      <c r="I198" s="80"/>
      <c r="J198" s="74"/>
      <c r="K198" s="26"/>
      <c r="L198" s="69"/>
      <c r="M198" s="108">
        <f t="shared" si="5"/>
        <v>0</v>
      </c>
      <c r="N198" s="55"/>
      <c r="O198" s="1"/>
      <c r="P198" s="2"/>
      <c r="Q198" s="2"/>
      <c r="R198" s="2"/>
      <c r="S198" s="2"/>
      <c r="T198" s="2"/>
      <c r="U198" s="2"/>
    </row>
    <row r="199" spans="1:21" ht="24.75" customHeight="1">
      <c r="A199" s="5"/>
      <c r="B199" s="7">
        <f t="shared" si="6"/>
        <v>186</v>
      </c>
      <c r="C199" s="37"/>
      <c r="D199" s="169"/>
      <c r="E199" s="170"/>
      <c r="F199" s="26"/>
      <c r="G199" s="132"/>
      <c r="H199" s="132"/>
      <c r="I199" s="80"/>
      <c r="J199" s="74"/>
      <c r="K199" s="26"/>
      <c r="L199" s="69"/>
      <c r="M199" s="108">
        <f t="shared" si="5"/>
        <v>0</v>
      </c>
      <c r="N199" s="55"/>
      <c r="O199" s="1"/>
      <c r="P199" s="2"/>
      <c r="Q199" s="2"/>
      <c r="R199" s="2"/>
      <c r="S199" s="2"/>
      <c r="T199" s="2"/>
      <c r="U199" s="2"/>
    </row>
    <row r="200" spans="1:21" ht="59.25" customHeight="1">
      <c r="A200" s="5"/>
      <c r="B200" s="7">
        <f t="shared" si="6"/>
        <v>187</v>
      </c>
      <c r="C200" s="40"/>
      <c r="D200" s="169"/>
      <c r="E200" s="170"/>
      <c r="F200" s="27"/>
      <c r="G200" s="132"/>
      <c r="H200" s="132"/>
      <c r="I200" s="27"/>
      <c r="J200" s="75"/>
      <c r="K200" s="27"/>
      <c r="L200" s="70"/>
      <c r="M200" s="108">
        <f t="shared" si="5"/>
        <v>0</v>
      </c>
      <c r="N200" s="41"/>
      <c r="O200" s="1"/>
      <c r="P200" s="2"/>
      <c r="Q200" s="2"/>
      <c r="R200" s="2"/>
      <c r="S200" s="2"/>
      <c r="T200" s="2"/>
      <c r="U200" s="2"/>
    </row>
    <row r="201" spans="1:21" ht="59.25" customHeight="1">
      <c r="A201" s="5"/>
      <c r="B201" s="7">
        <f t="shared" si="6"/>
        <v>188</v>
      </c>
      <c r="C201" s="40"/>
      <c r="D201" s="169"/>
      <c r="E201" s="170"/>
      <c r="F201" s="27"/>
      <c r="G201" s="132"/>
      <c r="H201" s="132"/>
      <c r="I201" s="27"/>
      <c r="J201" s="75"/>
      <c r="K201" s="27"/>
      <c r="L201" s="70"/>
      <c r="M201" s="108">
        <f t="shared" si="5"/>
        <v>0</v>
      </c>
      <c r="N201" s="41"/>
      <c r="O201" s="1"/>
      <c r="P201" s="2"/>
      <c r="Q201" s="2"/>
      <c r="R201" s="2"/>
      <c r="S201" s="2"/>
      <c r="T201" s="2"/>
      <c r="U201" s="2"/>
    </row>
    <row r="202" spans="1:21" ht="59.25" customHeight="1">
      <c r="A202" s="5"/>
      <c r="B202" s="7">
        <f t="shared" si="6"/>
        <v>189</v>
      </c>
      <c r="C202" s="40"/>
      <c r="D202" s="169"/>
      <c r="E202" s="170"/>
      <c r="F202" s="28"/>
      <c r="G202" s="132"/>
      <c r="H202" s="132"/>
      <c r="I202" s="27"/>
      <c r="J202" s="75"/>
      <c r="K202" s="27"/>
      <c r="L202" s="70"/>
      <c r="M202" s="108">
        <f t="shared" si="5"/>
        <v>0</v>
      </c>
      <c r="N202" s="41"/>
      <c r="O202" s="1"/>
      <c r="P202" s="2"/>
      <c r="Q202" s="2"/>
      <c r="R202" s="2"/>
      <c r="S202" s="2"/>
      <c r="T202" s="2"/>
      <c r="U202" s="2"/>
    </row>
    <row r="203" spans="1:21" ht="59.25" customHeight="1">
      <c r="A203" s="5"/>
      <c r="B203" s="7">
        <f t="shared" si="6"/>
        <v>190</v>
      </c>
      <c r="C203" s="40"/>
      <c r="D203" s="169"/>
      <c r="E203" s="170"/>
      <c r="F203" s="28"/>
      <c r="G203" s="132"/>
      <c r="H203" s="132"/>
      <c r="I203" s="27"/>
      <c r="J203" s="75"/>
      <c r="K203" s="27"/>
      <c r="L203" s="70"/>
      <c r="M203" s="108">
        <f t="shared" si="5"/>
        <v>0</v>
      </c>
      <c r="N203" s="41"/>
      <c r="O203" s="1"/>
      <c r="P203" s="2"/>
      <c r="Q203" s="2"/>
      <c r="R203" s="2"/>
      <c r="S203" s="2"/>
      <c r="T203" s="2"/>
      <c r="U203" s="2"/>
    </row>
    <row r="204" spans="1:21" ht="59.25" customHeight="1">
      <c r="A204" s="5"/>
      <c r="B204" s="7">
        <f t="shared" si="6"/>
        <v>191</v>
      </c>
      <c r="C204" s="40"/>
      <c r="D204" s="169"/>
      <c r="E204" s="170"/>
      <c r="F204" s="28"/>
      <c r="G204" s="132"/>
      <c r="H204" s="132"/>
      <c r="I204" s="27"/>
      <c r="J204" s="75"/>
      <c r="K204" s="27"/>
      <c r="L204" s="70"/>
      <c r="M204" s="108">
        <f t="shared" si="5"/>
        <v>0</v>
      </c>
      <c r="N204" s="41"/>
      <c r="O204" s="1"/>
      <c r="P204" s="2"/>
      <c r="Q204" s="2"/>
      <c r="R204" s="2"/>
      <c r="S204" s="2"/>
      <c r="T204" s="2"/>
      <c r="U204" s="2"/>
    </row>
    <row r="205" spans="1:21" ht="59.25" customHeight="1">
      <c r="A205" s="5"/>
      <c r="B205" s="7">
        <f t="shared" si="6"/>
        <v>192</v>
      </c>
      <c r="C205" s="40"/>
      <c r="D205" s="169"/>
      <c r="E205" s="170"/>
      <c r="F205" s="28"/>
      <c r="G205" s="132"/>
      <c r="H205" s="132"/>
      <c r="I205" s="27"/>
      <c r="J205" s="75"/>
      <c r="K205" s="27"/>
      <c r="L205" s="70"/>
      <c r="M205" s="108">
        <f t="shared" si="5"/>
        <v>0</v>
      </c>
      <c r="N205" s="41"/>
      <c r="O205" s="1"/>
      <c r="P205" s="2"/>
      <c r="Q205" s="2"/>
      <c r="R205" s="2"/>
      <c r="S205" s="2"/>
      <c r="T205" s="2"/>
      <c r="U205" s="2"/>
    </row>
    <row r="206" spans="1:21" ht="59.25" customHeight="1">
      <c r="A206" s="5"/>
      <c r="B206" s="7">
        <f t="shared" si="6"/>
        <v>193</v>
      </c>
      <c r="C206" s="40"/>
      <c r="D206" s="169"/>
      <c r="E206" s="170"/>
      <c r="F206" s="27"/>
      <c r="G206" s="132"/>
      <c r="H206" s="132"/>
      <c r="I206" s="27"/>
      <c r="J206" s="75"/>
      <c r="K206" s="27"/>
      <c r="L206" s="70"/>
      <c r="M206" s="108">
        <f t="shared" si="5"/>
        <v>0</v>
      </c>
      <c r="N206" s="41"/>
      <c r="O206" s="1"/>
      <c r="P206" s="2"/>
      <c r="Q206" s="2"/>
      <c r="R206" s="2"/>
      <c r="S206" s="2"/>
      <c r="T206" s="2"/>
      <c r="U206" s="2"/>
    </row>
    <row r="207" spans="1:21" ht="59.25" customHeight="1">
      <c r="A207" s="5"/>
      <c r="B207" s="7">
        <f t="shared" si="6"/>
        <v>194</v>
      </c>
      <c r="C207" s="40"/>
      <c r="D207" s="169"/>
      <c r="E207" s="170"/>
      <c r="F207" s="27"/>
      <c r="G207" s="132"/>
      <c r="H207" s="132"/>
      <c r="I207" s="27"/>
      <c r="J207" s="75"/>
      <c r="K207" s="27"/>
      <c r="L207" s="70"/>
      <c r="M207" s="108">
        <f t="shared" ref="M207:M270" si="7">(L207*G207)</f>
        <v>0</v>
      </c>
      <c r="N207" s="41"/>
      <c r="O207" s="1"/>
      <c r="P207" s="2"/>
      <c r="Q207" s="2"/>
      <c r="R207" s="2"/>
      <c r="S207" s="2"/>
      <c r="T207" s="2"/>
      <c r="U207" s="2"/>
    </row>
    <row r="208" spans="1:21" ht="59.25" customHeight="1">
      <c r="A208" s="5"/>
      <c r="B208" s="7">
        <f t="shared" si="6"/>
        <v>195</v>
      </c>
      <c r="C208" s="40"/>
      <c r="D208" s="169"/>
      <c r="E208" s="170"/>
      <c r="F208" s="27"/>
      <c r="G208" s="132"/>
      <c r="H208" s="132"/>
      <c r="I208" s="27"/>
      <c r="J208" s="75"/>
      <c r="K208" s="27"/>
      <c r="L208" s="70"/>
      <c r="M208" s="108">
        <f t="shared" si="7"/>
        <v>0</v>
      </c>
      <c r="N208" s="41"/>
      <c r="O208" s="1"/>
      <c r="P208" s="2"/>
      <c r="Q208" s="2"/>
      <c r="R208" s="2"/>
      <c r="S208" s="2"/>
      <c r="T208" s="2"/>
      <c r="U208" s="2"/>
    </row>
    <row r="209" spans="1:21" ht="59.25" customHeight="1">
      <c r="A209" s="5"/>
      <c r="B209" s="7">
        <f t="shared" si="6"/>
        <v>196</v>
      </c>
      <c r="C209" s="40"/>
      <c r="D209" s="169"/>
      <c r="E209" s="170"/>
      <c r="F209" s="27"/>
      <c r="G209" s="132"/>
      <c r="H209" s="132"/>
      <c r="I209" s="27"/>
      <c r="J209" s="75"/>
      <c r="K209" s="27"/>
      <c r="L209" s="70"/>
      <c r="M209" s="108">
        <f t="shared" si="7"/>
        <v>0</v>
      </c>
      <c r="N209" s="41"/>
      <c r="O209" s="1"/>
      <c r="P209" s="2"/>
      <c r="Q209" s="2"/>
      <c r="R209" s="2"/>
      <c r="S209" s="2"/>
      <c r="T209" s="2"/>
      <c r="U209" s="2"/>
    </row>
    <row r="210" spans="1:21" ht="59.25" customHeight="1">
      <c r="A210" s="5"/>
      <c r="B210" s="7">
        <f t="shared" si="6"/>
        <v>197</v>
      </c>
      <c r="C210" s="40"/>
      <c r="D210" s="169"/>
      <c r="E210" s="170"/>
      <c r="F210" s="27"/>
      <c r="G210" s="132"/>
      <c r="H210" s="132"/>
      <c r="I210" s="27"/>
      <c r="J210" s="75"/>
      <c r="K210" s="27"/>
      <c r="L210" s="70"/>
      <c r="M210" s="108">
        <f t="shared" si="7"/>
        <v>0</v>
      </c>
      <c r="N210" s="41"/>
      <c r="O210" s="1"/>
      <c r="P210" s="2"/>
      <c r="Q210" s="2"/>
      <c r="R210" s="2"/>
      <c r="S210" s="2"/>
      <c r="T210" s="2"/>
      <c r="U210" s="2"/>
    </row>
    <row r="211" spans="1:21" ht="59.25" customHeight="1">
      <c r="A211" s="5"/>
      <c r="B211" s="7">
        <f t="shared" si="6"/>
        <v>198</v>
      </c>
      <c r="C211" s="40"/>
      <c r="D211" s="169"/>
      <c r="E211" s="170"/>
      <c r="F211" s="27"/>
      <c r="G211" s="132"/>
      <c r="H211" s="132"/>
      <c r="I211" s="27"/>
      <c r="J211" s="75"/>
      <c r="K211" s="27"/>
      <c r="L211" s="70"/>
      <c r="M211" s="108">
        <f t="shared" si="7"/>
        <v>0</v>
      </c>
      <c r="N211" s="41"/>
      <c r="O211" s="1"/>
      <c r="P211" s="2"/>
      <c r="Q211" s="2"/>
      <c r="R211" s="2"/>
      <c r="S211" s="2"/>
      <c r="T211" s="2"/>
      <c r="U211" s="2"/>
    </row>
    <row r="212" spans="1:21" ht="59.25" customHeight="1">
      <c r="A212" s="5"/>
      <c r="B212" s="7">
        <f t="shared" ref="B212:B275" si="8">B211+1</f>
        <v>199</v>
      </c>
      <c r="C212" s="22"/>
      <c r="D212" s="169"/>
      <c r="E212" s="170"/>
      <c r="F212" s="27"/>
      <c r="G212" s="132"/>
      <c r="H212" s="132"/>
      <c r="I212" s="27"/>
      <c r="J212" s="75"/>
      <c r="K212" s="27"/>
      <c r="L212" s="52"/>
      <c r="M212" s="108">
        <f t="shared" si="7"/>
        <v>0</v>
      </c>
      <c r="N212" s="41"/>
      <c r="O212" s="1"/>
      <c r="P212" s="2"/>
      <c r="Q212" s="2"/>
      <c r="R212" s="2"/>
      <c r="S212" s="2"/>
      <c r="T212" s="2"/>
      <c r="U212" s="2"/>
    </row>
    <row r="213" spans="1:21" ht="59.25" customHeight="1">
      <c r="A213" s="5"/>
      <c r="B213" s="7">
        <f t="shared" si="8"/>
        <v>200</v>
      </c>
      <c r="C213" s="22"/>
      <c r="D213" s="169"/>
      <c r="E213" s="170"/>
      <c r="F213" s="27"/>
      <c r="G213" s="132"/>
      <c r="H213" s="132"/>
      <c r="I213" s="27"/>
      <c r="J213" s="75"/>
      <c r="K213" s="27"/>
      <c r="L213" s="52"/>
      <c r="M213" s="108">
        <f t="shared" si="7"/>
        <v>0</v>
      </c>
      <c r="N213" s="41"/>
      <c r="O213" s="1"/>
      <c r="P213" s="2"/>
      <c r="Q213" s="2"/>
      <c r="R213" s="2"/>
      <c r="S213" s="2"/>
      <c r="T213" s="2"/>
      <c r="U213" s="2"/>
    </row>
    <row r="214" spans="1:21" ht="59.25" customHeight="1">
      <c r="A214" s="5"/>
      <c r="B214" s="7">
        <f t="shared" si="8"/>
        <v>201</v>
      </c>
      <c r="C214" s="22"/>
      <c r="D214" s="169"/>
      <c r="E214" s="170"/>
      <c r="F214" s="27"/>
      <c r="G214" s="132"/>
      <c r="H214" s="132"/>
      <c r="I214" s="27"/>
      <c r="J214" s="75"/>
      <c r="K214" s="27"/>
      <c r="L214" s="52"/>
      <c r="M214" s="108">
        <f t="shared" si="7"/>
        <v>0</v>
      </c>
      <c r="N214" s="41"/>
      <c r="O214" s="1"/>
      <c r="P214" s="2"/>
      <c r="Q214" s="2"/>
      <c r="R214" s="2"/>
      <c r="S214" s="2"/>
      <c r="T214" s="2"/>
      <c r="U214" s="2"/>
    </row>
    <row r="215" spans="1:21" ht="59.25" customHeight="1">
      <c r="A215" s="5"/>
      <c r="B215" s="7">
        <f t="shared" si="8"/>
        <v>202</v>
      </c>
      <c r="C215" s="22"/>
      <c r="D215" s="169"/>
      <c r="E215" s="170"/>
      <c r="F215" s="27"/>
      <c r="G215" s="132"/>
      <c r="H215" s="132"/>
      <c r="I215" s="27"/>
      <c r="J215" s="75"/>
      <c r="K215" s="27"/>
      <c r="L215" s="52"/>
      <c r="M215" s="108">
        <f t="shared" si="7"/>
        <v>0</v>
      </c>
      <c r="N215" s="41"/>
      <c r="O215" s="1"/>
      <c r="P215" s="2"/>
      <c r="Q215" s="2"/>
      <c r="R215" s="2"/>
      <c r="S215" s="2"/>
      <c r="T215" s="2"/>
      <c r="U215" s="2"/>
    </row>
    <row r="216" spans="1:21" ht="59.25" customHeight="1">
      <c r="A216" s="5"/>
      <c r="B216" s="7">
        <f t="shared" si="8"/>
        <v>203</v>
      </c>
      <c r="C216" s="22"/>
      <c r="D216" s="169"/>
      <c r="E216" s="170"/>
      <c r="F216" s="19"/>
      <c r="G216" s="132"/>
      <c r="H216" s="140"/>
      <c r="I216" s="19"/>
      <c r="J216" s="76"/>
      <c r="K216" s="19"/>
      <c r="L216" s="35"/>
      <c r="M216" s="108">
        <f t="shared" si="7"/>
        <v>0</v>
      </c>
      <c r="N216" s="41"/>
      <c r="O216" s="1"/>
      <c r="P216" s="2"/>
      <c r="Q216" s="2"/>
      <c r="R216" s="2"/>
      <c r="S216" s="2"/>
      <c r="T216" s="2"/>
      <c r="U216" s="2"/>
    </row>
    <row r="217" spans="1:21" ht="59.25" customHeight="1">
      <c r="A217" s="5"/>
      <c r="B217" s="7">
        <f t="shared" si="8"/>
        <v>204</v>
      </c>
      <c r="C217" s="22"/>
      <c r="D217" s="169"/>
      <c r="E217" s="170"/>
      <c r="F217" s="19"/>
      <c r="G217" s="132"/>
      <c r="H217" s="140"/>
      <c r="I217" s="19"/>
      <c r="J217" s="76"/>
      <c r="K217" s="19"/>
      <c r="L217" s="35"/>
      <c r="M217" s="108">
        <f t="shared" si="7"/>
        <v>0</v>
      </c>
      <c r="N217" s="41"/>
      <c r="O217" s="1"/>
      <c r="P217" s="2"/>
      <c r="Q217" s="2"/>
      <c r="R217" s="2"/>
      <c r="S217" s="2"/>
      <c r="T217" s="2"/>
      <c r="U217" s="2"/>
    </row>
    <row r="218" spans="1:21" ht="59.25" customHeight="1">
      <c r="A218" s="5"/>
      <c r="B218" s="7">
        <f t="shared" si="8"/>
        <v>205</v>
      </c>
      <c r="C218" s="22"/>
      <c r="D218" s="169"/>
      <c r="E218" s="170"/>
      <c r="F218" s="19"/>
      <c r="G218" s="132"/>
      <c r="H218" s="140"/>
      <c r="I218" s="19"/>
      <c r="J218" s="76"/>
      <c r="K218" s="19"/>
      <c r="L218" s="35"/>
      <c r="M218" s="108">
        <f t="shared" si="7"/>
        <v>0</v>
      </c>
      <c r="N218" s="41"/>
      <c r="O218" s="1"/>
      <c r="P218" s="2"/>
      <c r="Q218" s="2"/>
      <c r="R218" s="2"/>
      <c r="S218" s="2"/>
      <c r="T218" s="2"/>
      <c r="U218" s="2"/>
    </row>
    <row r="219" spans="1:21" ht="59.25" customHeight="1">
      <c r="A219" s="5"/>
      <c r="B219" s="7">
        <f t="shared" si="8"/>
        <v>206</v>
      </c>
      <c r="C219" s="22"/>
      <c r="D219" s="169"/>
      <c r="E219" s="170"/>
      <c r="F219" s="19"/>
      <c r="G219" s="132"/>
      <c r="H219" s="140"/>
      <c r="I219" s="19"/>
      <c r="J219" s="76"/>
      <c r="K219" s="19"/>
      <c r="L219" s="35"/>
      <c r="M219" s="108">
        <f t="shared" si="7"/>
        <v>0</v>
      </c>
      <c r="N219" s="41"/>
      <c r="O219" s="1"/>
      <c r="P219" s="2"/>
      <c r="Q219" s="2"/>
      <c r="R219" s="2"/>
      <c r="S219" s="2"/>
      <c r="T219" s="2"/>
      <c r="U219" s="2"/>
    </row>
    <row r="220" spans="1:21" ht="59.25" customHeight="1">
      <c r="A220" s="5"/>
      <c r="B220" s="7">
        <f t="shared" si="8"/>
        <v>207</v>
      </c>
      <c r="C220" s="22"/>
      <c r="D220" s="169"/>
      <c r="E220" s="170"/>
      <c r="F220" s="19"/>
      <c r="G220" s="132"/>
      <c r="H220" s="140"/>
      <c r="I220" s="19"/>
      <c r="J220" s="76"/>
      <c r="K220" s="19"/>
      <c r="L220" s="35"/>
      <c r="M220" s="108">
        <f t="shared" si="7"/>
        <v>0</v>
      </c>
      <c r="N220" s="41"/>
      <c r="O220" s="1"/>
      <c r="P220" s="2"/>
      <c r="Q220" s="2"/>
      <c r="R220" s="2"/>
      <c r="S220" s="2"/>
      <c r="T220" s="2"/>
      <c r="U220" s="2"/>
    </row>
    <row r="221" spans="1:21" ht="59.25" customHeight="1">
      <c r="A221" s="5"/>
      <c r="B221" s="7">
        <f t="shared" si="8"/>
        <v>208</v>
      </c>
      <c r="C221" s="22"/>
      <c r="D221" s="169"/>
      <c r="E221" s="170"/>
      <c r="F221" s="20"/>
      <c r="G221" s="132"/>
      <c r="H221" s="140"/>
      <c r="I221" s="19"/>
      <c r="J221" s="76"/>
      <c r="K221" s="19"/>
      <c r="L221" s="35"/>
      <c r="M221" s="108">
        <f t="shared" si="7"/>
        <v>0</v>
      </c>
      <c r="N221" s="41"/>
      <c r="O221" s="1"/>
      <c r="P221" s="2"/>
      <c r="Q221" s="2"/>
      <c r="R221" s="2"/>
      <c r="S221" s="2"/>
      <c r="T221" s="2"/>
      <c r="U221" s="2"/>
    </row>
    <row r="222" spans="1:21" ht="59.25" customHeight="1">
      <c r="A222" s="5"/>
      <c r="B222" s="7">
        <f t="shared" si="8"/>
        <v>209</v>
      </c>
      <c r="C222" s="22"/>
      <c r="D222" s="169"/>
      <c r="E222" s="170"/>
      <c r="F222" s="20"/>
      <c r="G222" s="132"/>
      <c r="H222" s="140"/>
      <c r="I222" s="19"/>
      <c r="J222" s="76"/>
      <c r="K222" s="19"/>
      <c r="L222" s="35"/>
      <c r="M222" s="108">
        <f t="shared" si="7"/>
        <v>0</v>
      </c>
      <c r="N222" s="41"/>
      <c r="O222" s="1"/>
      <c r="P222" s="2"/>
      <c r="Q222" s="2"/>
      <c r="R222" s="2"/>
      <c r="S222" s="2"/>
      <c r="T222" s="2"/>
      <c r="U222" s="2"/>
    </row>
    <row r="223" spans="1:21" ht="59.25" customHeight="1">
      <c r="A223" s="5"/>
      <c r="B223" s="7">
        <f t="shared" si="8"/>
        <v>210</v>
      </c>
      <c r="C223" s="22"/>
      <c r="D223" s="169"/>
      <c r="E223" s="170"/>
      <c r="F223" s="20"/>
      <c r="G223" s="132"/>
      <c r="H223" s="140"/>
      <c r="I223" s="19"/>
      <c r="J223" s="76"/>
      <c r="K223" s="19"/>
      <c r="L223" s="35"/>
      <c r="M223" s="108">
        <f t="shared" si="7"/>
        <v>0</v>
      </c>
      <c r="N223" s="41"/>
      <c r="O223" s="1"/>
      <c r="P223" s="2"/>
      <c r="Q223" s="2"/>
      <c r="R223" s="2"/>
      <c r="S223" s="2"/>
      <c r="T223" s="2"/>
      <c r="U223" s="2"/>
    </row>
    <row r="224" spans="1:21" ht="59.25" customHeight="1">
      <c r="A224" s="5"/>
      <c r="B224" s="7">
        <f t="shared" si="8"/>
        <v>211</v>
      </c>
      <c r="C224" s="22"/>
      <c r="D224" s="169"/>
      <c r="E224" s="170"/>
      <c r="F224" s="20"/>
      <c r="G224" s="132"/>
      <c r="H224" s="140"/>
      <c r="I224" s="19"/>
      <c r="J224" s="76"/>
      <c r="K224" s="19"/>
      <c r="L224" s="35"/>
      <c r="M224" s="108">
        <f t="shared" si="7"/>
        <v>0</v>
      </c>
      <c r="N224" s="41"/>
      <c r="O224" s="1"/>
      <c r="P224" s="2"/>
      <c r="Q224" s="2"/>
      <c r="R224" s="2"/>
      <c r="S224" s="2"/>
      <c r="T224" s="2"/>
      <c r="U224" s="2"/>
    </row>
    <row r="225" spans="1:21" ht="59.25" customHeight="1">
      <c r="A225" s="5"/>
      <c r="B225" s="7">
        <f t="shared" si="8"/>
        <v>212</v>
      </c>
      <c r="C225" s="22"/>
      <c r="D225" s="169"/>
      <c r="E225" s="170"/>
      <c r="F225" s="20"/>
      <c r="G225" s="132"/>
      <c r="H225" s="140"/>
      <c r="I225" s="19"/>
      <c r="J225" s="76"/>
      <c r="K225" s="19"/>
      <c r="L225" s="35"/>
      <c r="M225" s="108">
        <f t="shared" si="7"/>
        <v>0</v>
      </c>
      <c r="N225" s="41"/>
      <c r="O225" s="1"/>
      <c r="P225" s="2"/>
      <c r="Q225" s="2"/>
      <c r="R225" s="2"/>
      <c r="S225" s="2"/>
      <c r="T225" s="2"/>
      <c r="U225" s="2"/>
    </row>
    <row r="226" spans="1:21" ht="59.25" customHeight="1">
      <c r="A226" s="5"/>
      <c r="B226" s="7">
        <f t="shared" si="8"/>
        <v>213</v>
      </c>
      <c r="C226" s="22"/>
      <c r="D226" s="169"/>
      <c r="E226" s="170"/>
      <c r="F226" s="20"/>
      <c r="G226" s="132"/>
      <c r="H226" s="140"/>
      <c r="I226" s="19"/>
      <c r="J226" s="76"/>
      <c r="K226" s="19"/>
      <c r="L226" s="35"/>
      <c r="M226" s="108">
        <f t="shared" si="7"/>
        <v>0</v>
      </c>
      <c r="N226" s="41"/>
      <c r="O226" s="1"/>
      <c r="P226" s="2"/>
      <c r="Q226" s="2"/>
      <c r="R226" s="2"/>
      <c r="S226" s="2"/>
      <c r="T226" s="2"/>
      <c r="U226" s="2"/>
    </row>
    <row r="227" spans="1:21" ht="59.25" customHeight="1">
      <c r="A227" s="5"/>
      <c r="B227" s="7">
        <f t="shared" si="8"/>
        <v>214</v>
      </c>
      <c r="C227" s="22"/>
      <c r="D227" s="169"/>
      <c r="E227" s="170"/>
      <c r="F227" s="20"/>
      <c r="G227" s="132"/>
      <c r="H227" s="140"/>
      <c r="I227" s="19"/>
      <c r="J227" s="76"/>
      <c r="K227" s="19"/>
      <c r="L227" s="35"/>
      <c r="M227" s="108">
        <f t="shared" si="7"/>
        <v>0</v>
      </c>
      <c r="N227" s="41"/>
      <c r="O227" s="1"/>
      <c r="P227" s="2"/>
      <c r="Q227" s="2"/>
      <c r="R227" s="2"/>
      <c r="S227" s="2"/>
      <c r="T227" s="2"/>
      <c r="U227" s="2"/>
    </row>
    <row r="228" spans="1:21" ht="59.25" customHeight="1">
      <c r="A228" s="5"/>
      <c r="B228" s="7">
        <f t="shared" si="8"/>
        <v>215</v>
      </c>
      <c r="C228" s="22"/>
      <c r="D228" s="169"/>
      <c r="E228" s="170"/>
      <c r="F228" s="19"/>
      <c r="G228" s="132"/>
      <c r="H228" s="140"/>
      <c r="I228" s="19"/>
      <c r="J228" s="76"/>
      <c r="K228" s="19"/>
      <c r="L228" s="35"/>
      <c r="M228" s="108">
        <f t="shared" si="7"/>
        <v>0</v>
      </c>
      <c r="N228" s="41"/>
      <c r="O228" s="1"/>
      <c r="P228" s="2"/>
      <c r="Q228" s="2"/>
      <c r="R228" s="2"/>
      <c r="S228" s="2"/>
      <c r="T228" s="2"/>
      <c r="U228" s="2"/>
    </row>
    <row r="229" spans="1:21" ht="59.25" customHeight="1">
      <c r="A229" s="5"/>
      <c r="B229" s="7">
        <f t="shared" si="8"/>
        <v>216</v>
      </c>
      <c r="C229" s="22"/>
      <c r="D229" s="169"/>
      <c r="E229" s="170"/>
      <c r="F229" s="19"/>
      <c r="G229" s="132"/>
      <c r="H229" s="140"/>
      <c r="I229" s="19"/>
      <c r="J229" s="76"/>
      <c r="K229" s="19"/>
      <c r="L229" s="35"/>
      <c r="M229" s="108">
        <f t="shared" si="7"/>
        <v>0</v>
      </c>
      <c r="N229" s="41"/>
      <c r="O229" s="1"/>
      <c r="P229" s="2"/>
      <c r="Q229" s="2"/>
      <c r="R229" s="2"/>
      <c r="S229" s="2"/>
      <c r="T229" s="2"/>
      <c r="U229" s="2"/>
    </row>
    <row r="230" spans="1:21" ht="59.25" customHeight="1">
      <c r="A230" s="5"/>
      <c r="B230" s="7">
        <f t="shared" si="8"/>
        <v>217</v>
      </c>
      <c r="C230" s="22"/>
      <c r="D230" s="169"/>
      <c r="E230" s="170"/>
      <c r="F230" s="19"/>
      <c r="G230" s="132"/>
      <c r="H230" s="140"/>
      <c r="I230" s="19"/>
      <c r="J230" s="76"/>
      <c r="K230" s="19"/>
      <c r="L230" s="35"/>
      <c r="M230" s="108">
        <f t="shared" si="7"/>
        <v>0</v>
      </c>
      <c r="N230" s="41"/>
      <c r="O230" s="1"/>
      <c r="P230" s="2"/>
      <c r="Q230" s="2"/>
      <c r="R230" s="2"/>
      <c r="S230" s="2"/>
      <c r="T230" s="2"/>
      <c r="U230" s="2"/>
    </row>
    <row r="231" spans="1:21" ht="59.25" customHeight="1">
      <c r="A231" s="5"/>
      <c r="B231" s="7">
        <f t="shared" si="8"/>
        <v>218</v>
      </c>
      <c r="C231" s="22"/>
      <c r="D231" s="169"/>
      <c r="E231" s="170"/>
      <c r="F231" s="19"/>
      <c r="G231" s="132"/>
      <c r="H231" s="140"/>
      <c r="I231" s="19"/>
      <c r="J231" s="76"/>
      <c r="K231" s="19"/>
      <c r="L231" s="35"/>
      <c r="M231" s="108">
        <f t="shared" si="7"/>
        <v>0</v>
      </c>
      <c r="N231" s="41"/>
      <c r="O231" s="1"/>
      <c r="P231" s="2"/>
      <c r="Q231" s="2"/>
      <c r="R231" s="2"/>
      <c r="S231" s="2"/>
      <c r="T231" s="2"/>
      <c r="U231" s="2"/>
    </row>
    <row r="232" spans="1:21" ht="59.25" customHeight="1">
      <c r="A232" s="5"/>
      <c r="B232" s="7">
        <f t="shared" si="8"/>
        <v>219</v>
      </c>
      <c r="C232" s="22"/>
      <c r="D232" s="169"/>
      <c r="E232" s="170"/>
      <c r="F232" s="19"/>
      <c r="G232" s="132"/>
      <c r="H232" s="140"/>
      <c r="I232" s="19"/>
      <c r="J232" s="76"/>
      <c r="K232" s="19"/>
      <c r="L232" s="35"/>
      <c r="M232" s="108">
        <f t="shared" si="7"/>
        <v>0</v>
      </c>
      <c r="N232" s="41"/>
      <c r="O232" s="1"/>
      <c r="P232" s="2"/>
      <c r="Q232" s="2"/>
      <c r="R232" s="2"/>
      <c r="S232" s="2"/>
      <c r="T232" s="2"/>
      <c r="U232" s="2"/>
    </row>
    <row r="233" spans="1:21" ht="59.25" customHeight="1">
      <c r="A233" s="5"/>
      <c r="B233" s="7">
        <f t="shared" si="8"/>
        <v>220</v>
      </c>
      <c r="C233" s="22"/>
      <c r="D233" s="169"/>
      <c r="E233" s="170"/>
      <c r="F233" s="19"/>
      <c r="G233" s="132"/>
      <c r="H233" s="140"/>
      <c r="I233" s="19"/>
      <c r="J233" s="76"/>
      <c r="K233" s="19"/>
      <c r="L233" s="35"/>
      <c r="M233" s="108">
        <f t="shared" si="7"/>
        <v>0</v>
      </c>
      <c r="N233" s="41"/>
      <c r="O233" s="1"/>
      <c r="P233" s="2"/>
      <c r="Q233" s="2"/>
      <c r="R233" s="2"/>
      <c r="S233" s="2"/>
      <c r="T233" s="2"/>
      <c r="U233" s="2"/>
    </row>
    <row r="234" spans="1:21" ht="59.25" customHeight="1">
      <c r="A234" s="5"/>
      <c r="B234" s="7">
        <f t="shared" si="8"/>
        <v>221</v>
      </c>
      <c r="C234" s="22"/>
      <c r="D234" s="169"/>
      <c r="E234" s="170"/>
      <c r="F234" s="19"/>
      <c r="G234" s="132"/>
      <c r="H234" s="140"/>
      <c r="I234" s="19"/>
      <c r="J234" s="76"/>
      <c r="K234" s="19"/>
      <c r="L234" s="35"/>
      <c r="M234" s="108">
        <f t="shared" si="7"/>
        <v>0</v>
      </c>
      <c r="N234" s="41"/>
      <c r="O234" s="1"/>
      <c r="P234" s="2"/>
      <c r="Q234" s="2"/>
      <c r="R234" s="2"/>
      <c r="S234" s="2"/>
      <c r="T234" s="2"/>
      <c r="U234" s="2"/>
    </row>
    <row r="235" spans="1:21" ht="59.25" customHeight="1">
      <c r="A235" s="5"/>
      <c r="B235" s="7">
        <f t="shared" si="8"/>
        <v>222</v>
      </c>
      <c r="C235" s="22"/>
      <c r="D235" s="169"/>
      <c r="E235" s="170"/>
      <c r="F235" s="19"/>
      <c r="G235" s="132"/>
      <c r="H235" s="140"/>
      <c r="I235" s="19"/>
      <c r="J235" s="76"/>
      <c r="K235" s="19"/>
      <c r="L235" s="35"/>
      <c r="M235" s="108">
        <f t="shared" si="7"/>
        <v>0</v>
      </c>
      <c r="N235" s="41"/>
      <c r="O235" s="1"/>
      <c r="P235" s="2"/>
      <c r="Q235" s="2"/>
      <c r="R235" s="2"/>
      <c r="S235" s="2"/>
      <c r="T235" s="2"/>
      <c r="U235" s="2"/>
    </row>
    <row r="236" spans="1:21" ht="59.25" customHeight="1">
      <c r="A236" s="5"/>
      <c r="B236" s="7">
        <f t="shared" si="8"/>
        <v>223</v>
      </c>
      <c r="C236" s="22"/>
      <c r="D236" s="169"/>
      <c r="E236" s="170"/>
      <c r="F236" s="19"/>
      <c r="G236" s="132"/>
      <c r="H236" s="140"/>
      <c r="I236" s="19"/>
      <c r="J236" s="76"/>
      <c r="K236" s="19"/>
      <c r="L236" s="35"/>
      <c r="M236" s="108">
        <f t="shared" si="7"/>
        <v>0</v>
      </c>
      <c r="N236" s="41"/>
      <c r="O236" s="1"/>
      <c r="P236" s="2"/>
      <c r="Q236" s="2"/>
      <c r="R236" s="2"/>
      <c r="S236" s="2"/>
      <c r="T236" s="2"/>
      <c r="U236" s="2"/>
    </row>
    <row r="237" spans="1:21" ht="59.25" customHeight="1">
      <c r="A237" s="5"/>
      <c r="B237" s="7">
        <f t="shared" si="8"/>
        <v>224</v>
      </c>
      <c r="C237" s="22"/>
      <c r="D237" s="169"/>
      <c r="E237" s="170"/>
      <c r="F237" s="19"/>
      <c r="G237" s="132"/>
      <c r="H237" s="140"/>
      <c r="I237" s="19"/>
      <c r="J237" s="76"/>
      <c r="K237" s="19"/>
      <c r="L237" s="35"/>
      <c r="M237" s="108">
        <f t="shared" si="7"/>
        <v>0</v>
      </c>
      <c r="N237" s="41"/>
      <c r="O237" s="1"/>
      <c r="P237" s="2"/>
      <c r="Q237" s="2"/>
      <c r="R237" s="2"/>
      <c r="S237" s="2"/>
      <c r="T237" s="2"/>
      <c r="U237" s="2"/>
    </row>
    <row r="238" spans="1:21" ht="59.25" customHeight="1">
      <c r="A238" s="5"/>
      <c r="B238" s="7">
        <f t="shared" si="8"/>
        <v>225</v>
      </c>
      <c r="C238" s="22"/>
      <c r="D238" s="169"/>
      <c r="E238" s="170"/>
      <c r="F238" s="19"/>
      <c r="G238" s="132"/>
      <c r="H238" s="140"/>
      <c r="I238" s="19"/>
      <c r="J238" s="76"/>
      <c r="K238" s="19"/>
      <c r="L238" s="35"/>
      <c r="M238" s="108">
        <f t="shared" si="7"/>
        <v>0</v>
      </c>
      <c r="N238" s="41"/>
      <c r="O238" s="1"/>
      <c r="P238" s="2"/>
      <c r="Q238" s="2"/>
      <c r="R238" s="2"/>
      <c r="S238" s="2"/>
      <c r="T238" s="2"/>
      <c r="U238" s="2"/>
    </row>
    <row r="239" spans="1:21" ht="59.25" customHeight="1">
      <c r="A239" s="5"/>
      <c r="B239" s="7">
        <f t="shared" si="8"/>
        <v>226</v>
      </c>
      <c r="C239" s="22"/>
      <c r="D239" s="169"/>
      <c r="E239" s="170"/>
      <c r="F239" s="19"/>
      <c r="G239" s="132"/>
      <c r="H239" s="140"/>
      <c r="I239" s="19"/>
      <c r="J239" s="76"/>
      <c r="K239" s="19"/>
      <c r="L239" s="35"/>
      <c r="M239" s="108">
        <f t="shared" si="7"/>
        <v>0</v>
      </c>
      <c r="N239" s="41"/>
      <c r="O239" s="1"/>
      <c r="P239" s="2"/>
      <c r="Q239" s="2"/>
      <c r="R239" s="2"/>
      <c r="S239" s="2"/>
      <c r="T239" s="2"/>
      <c r="U239" s="2"/>
    </row>
    <row r="240" spans="1:21" ht="59.25" customHeight="1">
      <c r="A240" s="5"/>
      <c r="B240" s="7">
        <f t="shared" si="8"/>
        <v>227</v>
      </c>
      <c r="C240" s="22"/>
      <c r="D240" s="169"/>
      <c r="E240" s="170"/>
      <c r="F240" s="19"/>
      <c r="G240" s="132"/>
      <c r="H240" s="140"/>
      <c r="I240" s="19"/>
      <c r="J240" s="76"/>
      <c r="K240" s="19"/>
      <c r="L240" s="35"/>
      <c r="M240" s="108">
        <f t="shared" si="7"/>
        <v>0</v>
      </c>
      <c r="N240" s="41"/>
      <c r="O240" s="1"/>
      <c r="P240" s="2"/>
      <c r="Q240" s="2"/>
      <c r="R240" s="2"/>
      <c r="S240" s="2"/>
      <c r="T240" s="2"/>
      <c r="U240" s="2"/>
    </row>
    <row r="241" spans="1:21" ht="59.25" customHeight="1">
      <c r="A241" s="5"/>
      <c r="B241" s="7">
        <f t="shared" si="8"/>
        <v>228</v>
      </c>
      <c r="C241" s="22"/>
      <c r="D241" s="169"/>
      <c r="E241" s="170"/>
      <c r="F241" s="19"/>
      <c r="G241" s="132"/>
      <c r="H241" s="140"/>
      <c r="I241" s="19"/>
      <c r="J241" s="76"/>
      <c r="K241" s="19"/>
      <c r="L241" s="35"/>
      <c r="M241" s="108">
        <f t="shared" si="7"/>
        <v>0</v>
      </c>
      <c r="N241" s="41"/>
      <c r="O241" s="1"/>
      <c r="P241" s="2"/>
      <c r="Q241" s="2"/>
      <c r="R241" s="2"/>
      <c r="S241" s="2"/>
      <c r="T241" s="2"/>
      <c r="U241" s="2"/>
    </row>
    <row r="242" spans="1:21" ht="59.25" customHeight="1">
      <c r="A242" s="5"/>
      <c r="B242" s="7">
        <f t="shared" si="8"/>
        <v>229</v>
      </c>
      <c r="C242" s="22"/>
      <c r="D242" s="169"/>
      <c r="E242" s="170"/>
      <c r="F242" s="19"/>
      <c r="G242" s="132"/>
      <c r="H242" s="140"/>
      <c r="I242" s="19"/>
      <c r="J242" s="76"/>
      <c r="K242" s="19"/>
      <c r="L242" s="35"/>
      <c r="M242" s="108">
        <f t="shared" si="7"/>
        <v>0</v>
      </c>
      <c r="N242" s="41"/>
      <c r="O242" s="1"/>
      <c r="P242" s="2"/>
      <c r="Q242" s="2"/>
      <c r="R242" s="2"/>
      <c r="S242" s="2"/>
      <c r="T242" s="2"/>
      <c r="U242" s="2"/>
    </row>
    <row r="243" spans="1:21" ht="59.25" customHeight="1">
      <c r="A243" s="5"/>
      <c r="B243" s="7">
        <f t="shared" si="8"/>
        <v>230</v>
      </c>
      <c r="C243" s="22"/>
      <c r="D243" s="169"/>
      <c r="E243" s="170"/>
      <c r="F243" s="19"/>
      <c r="G243" s="132"/>
      <c r="H243" s="140"/>
      <c r="I243" s="19"/>
      <c r="J243" s="76"/>
      <c r="K243" s="19"/>
      <c r="L243" s="35"/>
      <c r="M243" s="108">
        <f t="shared" si="7"/>
        <v>0</v>
      </c>
      <c r="N243" s="41"/>
      <c r="O243" s="1"/>
      <c r="P243" s="2"/>
      <c r="Q243" s="2"/>
      <c r="R243" s="2"/>
      <c r="S243" s="2"/>
      <c r="T243" s="2"/>
      <c r="U243" s="2"/>
    </row>
    <row r="244" spans="1:21" ht="59.25" customHeight="1">
      <c r="A244" s="5"/>
      <c r="B244" s="7">
        <f t="shared" si="8"/>
        <v>231</v>
      </c>
      <c r="C244" s="22"/>
      <c r="D244" s="169"/>
      <c r="E244" s="170"/>
      <c r="F244" s="19"/>
      <c r="G244" s="132"/>
      <c r="H244" s="140"/>
      <c r="I244" s="19"/>
      <c r="J244" s="76"/>
      <c r="K244" s="19"/>
      <c r="L244" s="35"/>
      <c r="M244" s="108">
        <f t="shared" si="7"/>
        <v>0</v>
      </c>
      <c r="N244" s="41"/>
      <c r="O244" s="1"/>
      <c r="P244" s="2"/>
      <c r="Q244" s="2"/>
      <c r="R244" s="2"/>
      <c r="S244" s="2"/>
      <c r="T244" s="2"/>
      <c r="U244" s="2"/>
    </row>
    <row r="245" spans="1:21" ht="59.25" customHeight="1">
      <c r="A245" s="5"/>
      <c r="B245" s="7">
        <f t="shared" si="8"/>
        <v>232</v>
      </c>
      <c r="C245" s="22"/>
      <c r="D245" s="169"/>
      <c r="E245" s="170"/>
      <c r="F245" s="19"/>
      <c r="G245" s="132"/>
      <c r="H245" s="140"/>
      <c r="I245" s="19"/>
      <c r="J245" s="76"/>
      <c r="K245" s="19"/>
      <c r="L245" s="35"/>
      <c r="M245" s="108">
        <f t="shared" si="7"/>
        <v>0</v>
      </c>
      <c r="N245" s="41"/>
      <c r="O245" s="1"/>
      <c r="P245" s="2"/>
      <c r="Q245" s="2"/>
      <c r="R245" s="2"/>
      <c r="S245" s="2"/>
      <c r="T245" s="2"/>
      <c r="U245" s="2"/>
    </row>
    <row r="246" spans="1:21" ht="59.25" customHeight="1">
      <c r="A246" s="5"/>
      <c r="B246" s="7">
        <f t="shared" si="8"/>
        <v>233</v>
      </c>
      <c r="C246" s="22"/>
      <c r="D246" s="169"/>
      <c r="E246" s="170"/>
      <c r="F246" s="19"/>
      <c r="G246" s="132"/>
      <c r="H246" s="140"/>
      <c r="I246" s="19"/>
      <c r="J246" s="76"/>
      <c r="K246" s="19"/>
      <c r="L246" s="35"/>
      <c r="M246" s="108">
        <f t="shared" si="7"/>
        <v>0</v>
      </c>
      <c r="N246" s="41"/>
      <c r="O246" s="1"/>
      <c r="P246" s="2"/>
      <c r="Q246" s="2"/>
      <c r="R246" s="2"/>
      <c r="S246" s="2"/>
      <c r="T246" s="2"/>
      <c r="U246" s="2"/>
    </row>
    <row r="247" spans="1:21" ht="59.25" customHeight="1">
      <c r="A247" s="5"/>
      <c r="B247" s="7">
        <f t="shared" si="8"/>
        <v>234</v>
      </c>
      <c r="C247" s="22"/>
      <c r="D247" s="169"/>
      <c r="E247" s="170"/>
      <c r="F247" s="19"/>
      <c r="G247" s="132"/>
      <c r="H247" s="140"/>
      <c r="I247" s="19"/>
      <c r="J247" s="76"/>
      <c r="K247" s="19"/>
      <c r="L247" s="35"/>
      <c r="M247" s="108">
        <f t="shared" si="7"/>
        <v>0</v>
      </c>
      <c r="N247" s="41"/>
      <c r="O247" s="1"/>
      <c r="P247" s="2"/>
      <c r="Q247" s="2"/>
      <c r="R247" s="2"/>
      <c r="S247" s="2"/>
      <c r="T247" s="2"/>
      <c r="U247" s="2"/>
    </row>
    <row r="248" spans="1:21" ht="59.25" customHeight="1">
      <c r="A248" s="5"/>
      <c r="B248" s="7">
        <f t="shared" si="8"/>
        <v>235</v>
      </c>
      <c r="C248" s="22"/>
      <c r="D248" s="169"/>
      <c r="E248" s="170"/>
      <c r="F248" s="19"/>
      <c r="G248" s="132"/>
      <c r="H248" s="140"/>
      <c r="I248" s="19"/>
      <c r="J248" s="76"/>
      <c r="K248" s="19"/>
      <c r="L248" s="35"/>
      <c r="M248" s="108">
        <f t="shared" si="7"/>
        <v>0</v>
      </c>
      <c r="N248" s="41"/>
      <c r="O248" s="1"/>
      <c r="P248" s="2"/>
      <c r="Q248" s="2"/>
      <c r="R248" s="2"/>
      <c r="S248" s="2"/>
      <c r="T248" s="2"/>
      <c r="U248" s="2"/>
    </row>
    <row r="249" spans="1:21" ht="59.25" customHeight="1">
      <c r="A249" s="5"/>
      <c r="B249" s="7">
        <f t="shared" si="8"/>
        <v>236</v>
      </c>
      <c r="C249" s="22"/>
      <c r="D249" s="169"/>
      <c r="E249" s="170"/>
      <c r="F249" s="19"/>
      <c r="G249" s="132"/>
      <c r="H249" s="140"/>
      <c r="I249" s="19"/>
      <c r="J249" s="76"/>
      <c r="K249" s="19"/>
      <c r="L249" s="35"/>
      <c r="M249" s="108">
        <f t="shared" si="7"/>
        <v>0</v>
      </c>
      <c r="N249" s="41"/>
      <c r="O249" s="1"/>
      <c r="P249" s="2"/>
      <c r="Q249" s="2"/>
      <c r="R249" s="2"/>
      <c r="S249" s="2"/>
      <c r="T249" s="2"/>
      <c r="U249" s="2"/>
    </row>
    <row r="250" spans="1:21" ht="59.25" customHeight="1">
      <c r="A250" s="5"/>
      <c r="B250" s="7">
        <f t="shared" si="8"/>
        <v>237</v>
      </c>
      <c r="C250" s="22"/>
      <c r="D250" s="169"/>
      <c r="E250" s="170"/>
      <c r="F250" s="19"/>
      <c r="G250" s="132"/>
      <c r="H250" s="140"/>
      <c r="I250" s="19"/>
      <c r="J250" s="76"/>
      <c r="K250" s="19"/>
      <c r="L250" s="35"/>
      <c r="M250" s="108">
        <f t="shared" si="7"/>
        <v>0</v>
      </c>
      <c r="N250" s="41"/>
      <c r="O250" s="1"/>
      <c r="P250" s="2"/>
      <c r="Q250" s="2"/>
      <c r="R250" s="2"/>
      <c r="S250" s="2"/>
      <c r="T250" s="2"/>
      <c r="U250" s="2"/>
    </row>
    <row r="251" spans="1:21" ht="59.25" customHeight="1">
      <c r="A251" s="5"/>
      <c r="B251" s="7">
        <f t="shared" si="8"/>
        <v>238</v>
      </c>
      <c r="C251" s="22"/>
      <c r="D251" s="169"/>
      <c r="E251" s="170"/>
      <c r="F251" s="19"/>
      <c r="G251" s="132"/>
      <c r="H251" s="140"/>
      <c r="I251" s="19"/>
      <c r="J251" s="76"/>
      <c r="K251" s="19"/>
      <c r="L251" s="35"/>
      <c r="M251" s="108">
        <f t="shared" si="7"/>
        <v>0</v>
      </c>
      <c r="N251" s="41"/>
      <c r="O251" s="1"/>
      <c r="P251" s="2"/>
      <c r="Q251" s="2"/>
      <c r="R251" s="2"/>
      <c r="S251" s="2"/>
      <c r="T251" s="2"/>
      <c r="U251" s="2"/>
    </row>
    <row r="252" spans="1:21" ht="59.25" customHeight="1">
      <c r="A252" s="5"/>
      <c r="B252" s="7">
        <f t="shared" si="8"/>
        <v>239</v>
      </c>
      <c r="C252" s="22"/>
      <c r="D252" s="169"/>
      <c r="E252" s="170"/>
      <c r="F252" s="19"/>
      <c r="G252" s="132"/>
      <c r="H252" s="140"/>
      <c r="I252" s="19"/>
      <c r="J252" s="76"/>
      <c r="K252" s="19"/>
      <c r="L252" s="35"/>
      <c r="M252" s="108">
        <f t="shared" si="7"/>
        <v>0</v>
      </c>
      <c r="N252" s="41"/>
      <c r="O252" s="1"/>
      <c r="P252" s="2"/>
      <c r="Q252" s="2"/>
      <c r="R252" s="2"/>
      <c r="S252" s="2"/>
      <c r="T252" s="2"/>
      <c r="U252" s="2"/>
    </row>
    <row r="253" spans="1:21" ht="59.25" customHeight="1">
      <c r="A253" s="5"/>
      <c r="B253" s="7">
        <f t="shared" si="8"/>
        <v>240</v>
      </c>
      <c r="C253" s="22"/>
      <c r="D253" s="169"/>
      <c r="E253" s="170"/>
      <c r="F253" s="19"/>
      <c r="G253" s="132"/>
      <c r="H253" s="140"/>
      <c r="I253" s="19"/>
      <c r="J253" s="76"/>
      <c r="K253" s="19"/>
      <c r="L253" s="35"/>
      <c r="M253" s="108">
        <f t="shared" si="7"/>
        <v>0</v>
      </c>
      <c r="N253" s="41"/>
      <c r="O253" s="1"/>
      <c r="P253" s="2"/>
      <c r="Q253" s="2"/>
      <c r="R253" s="2"/>
      <c r="S253" s="2"/>
      <c r="T253" s="2"/>
      <c r="U253" s="2"/>
    </row>
    <row r="254" spans="1:21" ht="59.25" customHeight="1">
      <c r="A254" s="5"/>
      <c r="B254" s="7">
        <f t="shared" si="8"/>
        <v>241</v>
      </c>
      <c r="C254" s="22"/>
      <c r="D254" s="169"/>
      <c r="E254" s="170"/>
      <c r="F254" s="19"/>
      <c r="G254" s="132"/>
      <c r="H254" s="140"/>
      <c r="I254" s="19"/>
      <c r="J254" s="76"/>
      <c r="K254" s="19"/>
      <c r="L254" s="35"/>
      <c r="M254" s="108">
        <f t="shared" si="7"/>
        <v>0</v>
      </c>
      <c r="N254" s="41"/>
      <c r="O254" s="1"/>
      <c r="P254" s="2"/>
      <c r="Q254" s="2"/>
      <c r="R254" s="2"/>
      <c r="S254" s="2"/>
      <c r="T254" s="2"/>
      <c r="U254" s="2"/>
    </row>
    <row r="255" spans="1:21" ht="59.25" customHeight="1">
      <c r="A255" s="5"/>
      <c r="B255" s="7">
        <f t="shared" si="8"/>
        <v>242</v>
      </c>
      <c r="C255" s="22"/>
      <c r="D255" s="169"/>
      <c r="E255" s="170"/>
      <c r="F255" s="19"/>
      <c r="G255" s="132"/>
      <c r="H255" s="140"/>
      <c r="I255" s="19"/>
      <c r="J255" s="76"/>
      <c r="K255" s="19"/>
      <c r="L255" s="35"/>
      <c r="M255" s="108">
        <f t="shared" si="7"/>
        <v>0</v>
      </c>
      <c r="N255" s="41"/>
      <c r="O255" s="1"/>
      <c r="P255" s="2"/>
      <c r="Q255" s="2"/>
      <c r="R255" s="2"/>
      <c r="S255" s="2"/>
      <c r="T255" s="2"/>
      <c r="U255" s="2"/>
    </row>
    <row r="256" spans="1:21" ht="59.25" customHeight="1">
      <c r="A256" s="5"/>
      <c r="B256" s="7">
        <f t="shared" si="8"/>
        <v>243</v>
      </c>
      <c r="C256" s="22"/>
      <c r="D256" s="169"/>
      <c r="E256" s="170"/>
      <c r="F256" s="19"/>
      <c r="G256" s="132"/>
      <c r="H256" s="140"/>
      <c r="I256" s="19"/>
      <c r="J256" s="76"/>
      <c r="K256" s="19"/>
      <c r="L256" s="35"/>
      <c r="M256" s="108">
        <f t="shared" si="7"/>
        <v>0</v>
      </c>
      <c r="N256" s="41"/>
      <c r="O256" s="1"/>
      <c r="P256" s="2"/>
      <c r="Q256" s="2"/>
      <c r="R256" s="2"/>
      <c r="S256" s="2"/>
      <c r="T256" s="2"/>
      <c r="U256" s="2"/>
    </row>
    <row r="257" spans="1:21" ht="59.25" customHeight="1">
      <c r="A257" s="5"/>
      <c r="B257" s="7">
        <f t="shared" si="8"/>
        <v>244</v>
      </c>
      <c r="C257" s="22"/>
      <c r="D257" s="169"/>
      <c r="E257" s="170"/>
      <c r="F257" s="19"/>
      <c r="G257" s="132"/>
      <c r="H257" s="140"/>
      <c r="I257" s="19"/>
      <c r="J257" s="76"/>
      <c r="K257" s="19"/>
      <c r="L257" s="35"/>
      <c r="M257" s="108">
        <f t="shared" si="7"/>
        <v>0</v>
      </c>
      <c r="N257" s="41"/>
      <c r="O257" s="1"/>
      <c r="P257" s="2"/>
      <c r="Q257" s="2"/>
      <c r="R257" s="2"/>
      <c r="S257" s="2"/>
      <c r="T257" s="2"/>
      <c r="U257" s="2"/>
    </row>
    <row r="258" spans="1:21" ht="59.25" customHeight="1">
      <c r="A258" s="5"/>
      <c r="B258" s="7">
        <f t="shared" si="8"/>
        <v>245</v>
      </c>
      <c r="C258" s="22"/>
      <c r="D258" s="169"/>
      <c r="E258" s="170"/>
      <c r="F258" s="20"/>
      <c r="G258" s="132"/>
      <c r="H258" s="140"/>
      <c r="I258" s="19"/>
      <c r="J258" s="76"/>
      <c r="K258" s="19"/>
      <c r="L258" s="35"/>
      <c r="M258" s="108">
        <f t="shared" si="7"/>
        <v>0</v>
      </c>
      <c r="N258" s="41"/>
      <c r="O258" s="1"/>
      <c r="P258" s="2"/>
      <c r="Q258" s="2"/>
      <c r="R258" s="2"/>
      <c r="S258" s="2"/>
      <c r="T258" s="2"/>
      <c r="U258" s="2"/>
    </row>
    <row r="259" spans="1:21" ht="59.25" customHeight="1">
      <c r="A259" s="5"/>
      <c r="B259" s="7">
        <f t="shared" si="8"/>
        <v>246</v>
      </c>
      <c r="C259" s="22"/>
      <c r="D259" s="169"/>
      <c r="E259" s="170"/>
      <c r="F259" s="20"/>
      <c r="G259" s="132"/>
      <c r="H259" s="140"/>
      <c r="I259" s="19"/>
      <c r="J259" s="76"/>
      <c r="K259" s="19"/>
      <c r="L259" s="35"/>
      <c r="M259" s="108">
        <f t="shared" si="7"/>
        <v>0</v>
      </c>
      <c r="N259" s="41"/>
      <c r="O259" s="1"/>
      <c r="P259" s="2"/>
      <c r="Q259" s="2"/>
      <c r="R259" s="2"/>
      <c r="S259" s="2"/>
      <c r="T259" s="2"/>
      <c r="U259" s="2"/>
    </row>
    <row r="260" spans="1:21" ht="59.25" customHeight="1">
      <c r="A260" s="5"/>
      <c r="B260" s="7">
        <f t="shared" si="8"/>
        <v>247</v>
      </c>
      <c r="C260" s="22"/>
      <c r="D260" s="169"/>
      <c r="E260" s="170"/>
      <c r="F260" s="20"/>
      <c r="G260" s="132"/>
      <c r="H260" s="140"/>
      <c r="I260" s="19"/>
      <c r="J260" s="76"/>
      <c r="K260" s="19"/>
      <c r="L260" s="35"/>
      <c r="M260" s="108">
        <f t="shared" si="7"/>
        <v>0</v>
      </c>
      <c r="N260" s="41"/>
      <c r="O260" s="1"/>
      <c r="P260" s="2"/>
      <c r="Q260" s="2"/>
      <c r="R260" s="2"/>
      <c r="S260" s="2"/>
      <c r="T260" s="2"/>
      <c r="U260" s="2"/>
    </row>
    <row r="261" spans="1:21" ht="59.25" customHeight="1">
      <c r="A261" s="5"/>
      <c r="B261" s="7">
        <f t="shared" si="8"/>
        <v>248</v>
      </c>
      <c r="C261" s="22"/>
      <c r="D261" s="169"/>
      <c r="E261" s="170"/>
      <c r="F261" s="19"/>
      <c r="G261" s="132"/>
      <c r="H261" s="140"/>
      <c r="I261" s="19"/>
      <c r="J261" s="76"/>
      <c r="K261" s="19"/>
      <c r="L261" s="35"/>
      <c r="M261" s="108">
        <f t="shared" si="7"/>
        <v>0</v>
      </c>
      <c r="N261" s="41"/>
      <c r="O261" s="1"/>
      <c r="P261" s="2"/>
      <c r="Q261" s="2"/>
      <c r="R261" s="2"/>
      <c r="S261" s="2"/>
      <c r="T261" s="2"/>
      <c r="U261" s="2"/>
    </row>
    <row r="262" spans="1:21" ht="59.25" customHeight="1">
      <c r="A262" s="5"/>
      <c r="B262" s="7">
        <f t="shared" si="8"/>
        <v>249</v>
      </c>
      <c r="C262" s="22"/>
      <c r="D262" s="169"/>
      <c r="E262" s="170"/>
      <c r="F262" s="19"/>
      <c r="G262" s="132"/>
      <c r="H262" s="140"/>
      <c r="I262" s="19"/>
      <c r="J262" s="76"/>
      <c r="K262" s="19"/>
      <c r="L262" s="35"/>
      <c r="M262" s="108">
        <f t="shared" si="7"/>
        <v>0</v>
      </c>
      <c r="N262" s="41"/>
      <c r="O262" s="1"/>
      <c r="P262" s="2"/>
      <c r="Q262" s="2"/>
      <c r="R262" s="2"/>
      <c r="S262" s="2"/>
      <c r="T262" s="2"/>
      <c r="U262" s="2"/>
    </row>
    <row r="263" spans="1:21" ht="59.25" customHeight="1">
      <c r="A263" s="5"/>
      <c r="B263" s="7">
        <f t="shared" si="8"/>
        <v>250</v>
      </c>
      <c r="C263" s="22"/>
      <c r="D263" s="169"/>
      <c r="E263" s="170"/>
      <c r="F263" s="19"/>
      <c r="G263" s="132"/>
      <c r="H263" s="140"/>
      <c r="I263" s="19"/>
      <c r="J263" s="76"/>
      <c r="K263" s="19"/>
      <c r="L263" s="35"/>
      <c r="M263" s="108">
        <f t="shared" si="7"/>
        <v>0</v>
      </c>
      <c r="N263" s="41"/>
      <c r="O263" s="1"/>
      <c r="P263" s="2"/>
      <c r="Q263" s="2"/>
      <c r="R263" s="2"/>
      <c r="S263" s="2"/>
      <c r="T263" s="2"/>
      <c r="U263" s="2"/>
    </row>
    <row r="264" spans="1:21" ht="59.25" customHeight="1">
      <c r="A264" s="5"/>
      <c r="B264" s="7">
        <f t="shared" si="8"/>
        <v>251</v>
      </c>
      <c r="C264" s="22"/>
      <c r="D264" s="169"/>
      <c r="E264" s="170"/>
      <c r="F264" s="19"/>
      <c r="G264" s="132"/>
      <c r="H264" s="140"/>
      <c r="I264" s="19"/>
      <c r="J264" s="76"/>
      <c r="K264" s="19"/>
      <c r="L264" s="35"/>
      <c r="M264" s="108">
        <f t="shared" si="7"/>
        <v>0</v>
      </c>
      <c r="N264" s="41"/>
      <c r="O264" s="1"/>
      <c r="P264" s="2"/>
      <c r="Q264" s="2"/>
      <c r="R264" s="2"/>
      <c r="S264" s="2"/>
      <c r="T264" s="2"/>
      <c r="U264" s="2"/>
    </row>
    <row r="265" spans="1:21" ht="59.25" customHeight="1">
      <c r="A265" s="5"/>
      <c r="B265" s="7">
        <f t="shared" si="8"/>
        <v>252</v>
      </c>
      <c r="C265" s="22"/>
      <c r="D265" s="169"/>
      <c r="E265" s="170"/>
      <c r="F265" s="19"/>
      <c r="G265" s="132"/>
      <c r="H265" s="140"/>
      <c r="I265" s="19"/>
      <c r="J265" s="76"/>
      <c r="K265" s="19"/>
      <c r="L265" s="35"/>
      <c r="M265" s="108">
        <f t="shared" si="7"/>
        <v>0</v>
      </c>
      <c r="N265" s="41"/>
      <c r="O265" s="1"/>
      <c r="P265" s="2"/>
      <c r="Q265" s="2"/>
      <c r="R265" s="2"/>
      <c r="S265" s="2"/>
      <c r="T265" s="2"/>
      <c r="U265" s="2"/>
    </row>
    <row r="266" spans="1:21" ht="59.25" customHeight="1">
      <c r="A266" s="5"/>
      <c r="B266" s="7">
        <f t="shared" si="8"/>
        <v>253</v>
      </c>
      <c r="C266" s="22"/>
      <c r="D266" s="169"/>
      <c r="E266" s="170"/>
      <c r="F266" s="20"/>
      <c r="G266" s="132"/>
      <c r="H266" s="140"/>
      <c r="I266" s="19"/>
      <c r="J266" s="76"/>
      <c r="K266" s="19"/>
      <c r="L266" s="35"/>
      <c r="M266" s="108">
        <f t="shared" si="7"/>
        <v>0</v>
      </c>
      <c r="N266" s="41"/>
      <c r="O266" s="1"/>
      <c r="P266" s="2"/>
      <c r="Q266" s="2"/>
      <c r="R266" s="2"/>
      <c r="S266" s="2"/>
      <c r="T266" s="2"/>
      <c r="U266" s="2"/>
    </row>
    <row r="267" spans="1:21" ht="59.25" customHeight="1">
      <c r="A267" s="5"/>
      <c r="B267" s="7">
        <f t="shared" si="8"/>
        <v>254</v>
      </c>
      <c r="C267" s="22"/>
      <c r="D267" s="169"/>
      <c r="E267" s="170"/>
      <c r="F267" s="20"/>
      <c r="G267" s="132"/>
      <c r="H267" s="140"/>
      <c r="I267" s="19"/>
      <c r="J267" s="76"/>
      <c r="K267" s="19"/>
      <c r="L267" s="35"/>
      <c r="M267" s="108">
        <f t="shared" si="7"/>
        <v>0</v>
      </c>
      <c r="N267" s="41"/>
      <c r="O267" s="1"/>
      <c r="P267" s="2"/>
      <c r="Q267" s="2"/>
      <c r="R267" s="2"/>
      <c r="S267" s="2"/>
      <c r="T267" s="2"/>
      <c r="U267" s="2"/>
    </row>
    <row r="268" spans="1:21" ht="59.25" customHeight="1">
      <c r="A268" s="5"/>
      <c r="B268" s="7">
        <f t="shared" si="8"/>
        <v>255</v>
      </c>
      <c r="C268" s="22"/>
      <c r="D268" s="169"/>
      <c r="E268" s="170"/>
      <c r="F268" s="20"/>
      <c r="G268" s="132"/>
      <c r="H268" s="140"/>
      <c r="I268" s="19"/>
      <c r="J268" s="76"/>
      <c r="K268" s="19"/>
      <c r="L268" s="35"/>
      <c r="M268" s="108">
        <f t="shared" si="7"/>
        <v>0</v>
      </c>
      <c r="N268" s="41"/>
      <c r="O268" s="1"/>
      <c r="P268" s="2"/>
      <c r="Q268" s="2"/>
      <c r="R268" s="2"/>
      <c r="S268" s="2"/>
      <c r="T268" s="2"/>
      <c r="U268" s="2"/>
    </row>
    <row r="269" spans="1:21" ht="59.25" customHeight="1">
      <c r="A269" s="5"/>
      <c r="B269" s="7">
        <f t="shared" si="8"/>
        <v>256</v>
      </c>
      <c r="C269" s="22"/>
      <c r="D269" s="169"/>
      <c r="E269" s="170"/>
      <c r="F269" s="20"/>
      <c r="G269" s="132"/>
      <c r="H269" s="140"/>
      <c r="I269" s="19"/>
      <c r="J269" s="76"/>
      <c r="K269" s="19"/>
      <c r="L269" s="35"/>
      <c r="M269" s="108">
        <f t="shared" si="7"/>
        <v>0</v>
      </c>
      <c r="N269" s="41"/>
      <c r="O269" s="1"/>
      <c r="P269" s="2"/>
      <c r="Q269" s="2"/>
      <c r="R269" s="2"/>
      <c r="S269" s="2"/>
      <c r="T269" s="2"/>
      <c r="U269" s="2"/>
    </row>
    <row r="270" spans="1:21" ht="59.25" customHeight="1">
      <c r="A270" s="5"/>
      <c r="B270" s="7">
        <f t="shared" si="8"/>
        <v>257</v>
      </c>
      <c r="C270" s="22"/>
      <c r="D270" s="169"/>
      <c r="E270" s="170"/>
      <c r="F270" s="19"/>
      <c r="G270" s="132"/>
      <c r="H270" s="140"/>
      <c r="I270" s="19"/>
      <c r="J270" s="35"/>
      <c r="K270" s="19"/>
      <c r="L270" s="35"/>
      <c r="M270" s="108">
        <f t="shared" si="7"/>
        <v>0</v>
      </c>
      <c r="N270" s="53"/>
      <c r="O270" s="1"/>
      <c r="P270" s="2"/>
      <c r="Q270" s="2"/>
      <c r="R270" s="2"/>
      <c r="S270" s="2"/>
      <c r="T270" s="2"/>
      <c r="U270" s="2"/>
    </row>
    <row r="271" spans="1:21" ht="59.25" customHeight="1">
      <c r="A271" s="5"/>
      <c r="B271" s="7">
        <f t="shared" si="8"/>
        <v>258</v>
      </c>
      <c r="C271" s="22"/>
      <c r="D271" s="169"/>
      <c r="E271" s="170"/>
      <c r="F271" s="19"/>
      <c r="G271" s="132"/>
      <c r="H271" s="140"/>
      <c r="I271" s="19"/>
      <c r="J271" s="35"/>
      <c r="K271" s="19"/>
      <c r="L271" s="35"/>
      <c r="M271" s="108">
        <f t="shared" ref="M271:M334" si="9">(L271*G271)</f>
        <v>0</v>
      </c>
      <c r="N271" s="53"/>
      <c r="O271" s="1"/>
      <c r="P271" s="2"/>
      <c r="Q271" s="2"/>
      <c r="R271" s="2"/>
      <c r="S271" s="2"/>
      <c r="T271" s="2"/>
      <c r="U271" s="2"/>
    </row>
    <row r="272" spans="1:21" ht="59.25" customHeight="1">
      <c r="A272" s="5"/>
      <c r="B272" s="7">
        <f t="shared" si="8"/>
        <v>259</v>
      </c>
      <c r="C272" s="22"/>
      <c r="D272" s="169"/>
      <c r="E272" s="170"/>
      <c r="F272" s="19"/>
      <c r="G272" s="132"/>
      <c r="H272" s="140"/>
      <c r="I272" s="19"/>
      <c r="J272" s="35"/>
      <c r="K272" s="19"/>
      <c r="L272" s="35"/>
      <c r="M272" s="108">
        <f t="shared" si="9"/>
        <v>0</v>
      </c>
      <c r="N272" s="53"/>
      <c r="O272" s="1"/>
      <c r="P272" s="2"/>
      <c r="Q272" s="2"/>
      <c r="R272" s="2"/>
      <c r="S272" s="2"/>
      <c r="T272" s="2"/>
      <c r="U272" s="2"/>
    </row>
    <row r="273" spans="1:21" ht="59.25" customHeight="1">
      <c r="A273" s="5"/>
      <c r="B273" s="7">
        <f t="shared" si="8"/>
        <v>260</v>
      </c>
      <c r="C273" s="22"/>
      <c r="D273" s="169"/>
      <c r="E273" s="170"/>
      <c r="F273" s="19"/>
      <c r="G273" s="132"/>
      <c r="H273" s="140"/>
      <c r="I273" s="19"/>
      <c r="J273" s="35"/>
      <c r="K273" s="19"/>
      <c r="L273" s="35"/>
      <c r="M273" s="108">
        <f t="shared" si="9"/>
        <v>0</v>
      </c>
      <c r="N273" s="53"/>
      <c r="O273" s="1"/>
      <c r="P273" s="2"/>
      <c r="Q273" s="2"/>
      <c r="R273" s="2"/>
      <c r="S273" s="2"/>
      <c r="T273" s="2"/>
      <c r="U273" s="2"/>
    </row>
    <row r="274" spans="1:21" ht="59.25" customHeight="1">
      <c r="A274" s="5"/>
      <c r="B274" s="7">
        <f t="shared" si="8"/>
        <v>261</v>
      </c>
      <c r="C274" s="22"/>
      <c r="D274" s="169"/>
      <c r="E274" s="170"/>
      <c r="F274" s="19"/>
      <c r="G274" s="132"/>
      <c r="H274" s="140"/>
      <c r="I274" s="19"/>
      <c r="J274" s="35"/>
      <c r="K274" s="19"/>
      <c r="L274" s="35"/>
      <c r="M274" s="108">
        <f t="shared" si="9"/>
        <v>0</v>
      </c>
      <c r="N274" s="53"/>
      <c r="O274" s="1"/>
      <c r="P274" s="2"/>
      <c r="Q274" s="2"/>
      <c r="R274" s="2"/>
      <c r="S274" s="2"/>
      <c r="T274" s="2"/>
      <c r="U274" s="2"/>
    </row>
    <row r="275" spans="1:21" ht="59.25" customHeight="1">
      <c r="A275" s="5"/>
      <c r="B275" s="7">
        <f t="shared" si="8"/>
        <v>262</v>
      </c>
      <c r="C275" s="22"/>
      <c r="D275" s="169"/>
      <c r="E275" s="170"/>
      <c r="F275" s="19"/>
      <c r="G275" s="132"/>
      <c r="H275" s="140"/>
      <c r="I275" s="19"/>
      <c r="J275" s="35"/>
      <c r="K275" s="19"/>
      <c r="L275" s="35"/>
      <c r="M275" s="108">
        <f t="shared" si="9"/>
        <v>0</v>
      </c>
      <c r="N275" s="53"/>
      <c r="O275" s="1"/>
      <c r="P275" s="2"/>
      <c r="Q275" s="2"/>
      <c r="R275" s="2"/>
      <c r="S275" s="2"/>
      <c r="T275" s="2"/>
      <c r="U275" s="2"/>
    </row>
    <row r="276" spans="1:21" ht="59.25" customHeight="1">
      <c r="A276" s="5"/>
      <c r="B276" s="7">
        <f t="shared" ref="B276:B339" si="10">B275+1</f>
        <v>263</v>
      </c>
      <c r="C276" s="22"/>
      <c r="D276" s="169"/>
      <c r="E276" s="170"/>
      <c r="F276" s="19"/>
      <c r="G276" s="132"/>
      <c r="H276" s="140"/>
      <c r="I276" s="19"/>
      <c r="J276" s="35"/>
      <c r="K276" s="19"/>
      <c r="L276" s="35"/>
      <c r="M276" s="108">
        <f t="shared" si="9"/>
        <v>0</v>
      </c>
      <c r="N276" s="53"/>
      <c r="O276" s="1"/>
      <c r="P276" s="2"/>
      <c r="Q276" s="2"/>
      <c r="R276" s="2"/>
      <c r="S276" s="2"/>
      <c r="T276" s="2"/>
      <c r="U276" s="2"/>
    </row>
    <row r="277" spans="1:21" ht="59.25" customHeight="1">
      <c r="A277" s="5"/>
      <c r="B277" s="7">
        <f t="shared" si="10"/>
        <v>264</v>
      </c>
      <c r="C277" s="22"/>
      <c r="D277" s="169"/>
      <c r="E277" s="170"/>
      <c r="F277" s="19"/>
      <c r="G277" s="132"/>
      <c r="H277" s="140"/>
      <c r="I277" s="19"/>
      <c r="J277" s="35"/>
      <c r="K277" s="19"/>
      <c r="L277" s="35"/>
      <c r="M277" s="108">
        <f t="shared" si="9"/>
        <v>0</v>
      </c>
      <c r="N277" s="53"/>
      <c r="O277" s="1"/>
      <c r="P277" s="2"/>
      <c r="Q277" s="2"/>
      <c r="R277" s="2"/>
      <c r="S277" s="2"/>
      <c r="T277" s="2"/>
      <c r="U277" s="2"/>
    </row>
    <row r="278" spans="1:21" ht="59.25" customHeight="1">
      <c r="A278" s="5"/>
      <c r="B278" s="7">
        <f t="shared" si="10"/>
        <v>265</v>
      </c>
      <c r="C278" s="22"/>
      <c r="D278" s="169"/>
      <c r="E278" s="170"/>
      <c r="F278" s="19"/>
      <c r="G278" s="132"/>
      <c r="H278" s="140"/>
      <c r="I278" s="19"/>
      <c r="J278" s="35"/>
      <c r="K278" s="19"/>
      <c r="L278" s="35"/>
      <c r="M278" s="108">
        <f t="shared" si="9"/>
        <v>0</v>
      </c>
      <c r="N278" s="53"/>
      <c r="O278" s="1"/>
      <c r="P278" s="2"/>
      <c r="Q278" s="2"/>
      <c r="R278" s="2"/>
      <c r="S278" s="2"/>
      <c r="T278" s="2"/>
      <c r="U278" s="2"/>
    </row>
    <row r="279" spans="1:21" ht="59.25" customHeight="1">
      <c r="A279" s="5"/>
      <c r="B279" s="7">
        <f t="shared" si="10"/>
        <v>266</v>
      </c>
      <c r="C279" s="22"/>
      <c r="D279" s="169"/>
      <c r="E279" s="170"/>
      <c r="F279" s="19"/>
      <c r="G279" s="132"/>
      <c r="H279" s="140"/>
      <c r="I279" s="19"/>
      <c r="J279" s="35"/>
      <c r="K279" s="19"/>
      <c r="L279" s="35"/>
      <c r="M279" s="108">
        <f t="shared" si="9"/>
        <v>0</v>
      </c>
      <c r="N279" s="41"/>
      <c r="O279" s="1"/>
      <c r="P279" s="2"/>
      <c r="Q279" s="2"/>
      <c r="R279" s="2"/>
      <c r="S279" s="2"/>
      <c r="T279" s="2"/>
      <c r="U279" s="2"/>
    </row>
    <row r="280" spans="1:21" ht="59.25" customHeight="1">
      <c r="A280" s="5"/>
      <c r="B280" s="7">
        <f t="shared" si="10"/>
        <v>267</v>
      </c>
      <c r="C280" s="22"/>
      <c r="D280" s="169"/>
      <c r="E280" s="170"/>
      <c r="F280" s="19"/>
      <c r="G280" s="132"/>
      <c r="H280" s="140"/>
      <c r="I280" s="19"/>
      <c r="J280" s="35"/>
      <c r="K280" s="19"/>
      <c r="L280" s="35"/>
      <c r="M280" s="108">
        <f t="shared" si="9"/>
        <v>0</v>
      </c>
      <c r="N280" s="41"/>
      <c r="O280" s="1"/>
      <c r="P280" s="2"/>
      <c r="Q280" s="2"/>
      <c r="R280" s="2"/>
      <c r="S280" s="2"/>
      <c r="T280" s="2"/>
      <c r="U280" s="2"/>
    </row>
    <row r="281" spans="1:21" ht="59.25" customHeight="1">
      <c r="A281" s="5"/>
      <c r="B281" s="7">
        <f t="shared" si="10"/>
        <v>268</v>
      </c>
      <c r="C281" s="22"/>
      <c r="D281" s="169"/>
      <c r="E281" s="170"/>
      <c r="F281" s="19"/>
      <c r="G281" s="132"/>
      <c r="H281" s="140"/>
      <c r="I281" s="19"/>
      <c r="J281" s="35"/>
      <c r="K281" s="19"/>
      <c r="L281" s="35"/>
      <c r="M281" s="108">
        <f t="shared" si="9"/>
        <v>0</v>
      </c>
      <c r="N281" s="41"/>
      <c r="O281" s="1"/>
      <c r="P281" s="2"/>
      <c r="Q281" s="2"/>
      <c r="R281" s="2"/>
      <c r="S281" s="2"/>
      <c r="T281" s="2"/>
      <c r="U281" s="2"/>
    </row>
    <row r="282" spans="1:21" ht="59.25" customHeight="1">
      <c r="A282" s="5"/>
      <c r="B282" s="7">
        <f t="shared" si="10"/>
        <v>269</v>
      </c>
      <c r="C282" s="22"/>
      <c r="D282" s="169"/>
      <c r="E282" s="170"/>
      <c r="F282" s="19"/>
      <c r="G282" s="132"/>
      <c r="H282" s="140"/>
      <c r="I282" s="19"/>
      <c r="J282" s="35"/>
      <c r="K282" s="19"/>
      <c r="L282" s="35"/>
      <c r="M282" s="108">
        <f t="shared" si="9"/>
        <v>0</v>
      </c>
      <c r="N282" s="41"/>
      <c r="O282" s="1"/>
      <c r="P282" s="2"/>
      <c r="Q282" s="2"/>
      <c r="R282" s="2"/>
      <c r="S282" s="2"/>
      <c r="T282" s="2"/>
      <c r="U282" s="2"/>
    </row>
    <row r="283" spans="1:21" ht="59.25" customHeight="1">
      <c r="A283" s="5"/>
      <c r="B283" s="7">
        <f t="shared" si="10"/>
        <v>270</v>
      </c>
      <c r="C283" s="42"/>
      <c r="D283" s="172"/>
      <c r="E283" s="173"/>
      <c r="F283" s="43"/>
      <c r="G283" s="132"/>
      <c r="H283" s="141"/>
      <c r="I283" s="43"/>
      <c r="J283" s="71"/>
      <c r="K283" s="43"/>
      <c r="L283" s="71"/>
      <c r="M283" s="108">
        <f t="shared" si="9"/>
        <v>0</v>
      </c>
      <c r="N283" s="41"/>
      <c r="O283" s="1"/>
      <c r="P283" s="2"/>
      <c r="Q283" s="2"/>
      <c r="R283" s="2"/>
      <c r="S283" s="2"/>
      <c r="T283" s="2"/>
      <c r="U283" s="2"/>
    </row>
    <row r="284" spans="1:21" ht="59.25" customHeight="1">
      <c r="A284" s="5"/>
      <c r="B284" s="7">
        <f t="shared" si="10"/>
        <v>271</v>
      </c>
      <c r="C284" s="40"/>
      <c r="D284" s="171"/>
      <c r="E284" s="171"/>
      <c r="F284" s="30"/>
      <c r="G284" s="132"/>
      <c r="H284" s="132"/>
      <c r="I284" s="30"/>
      <c r="J284" s="72"/>
      <c r="K284" s="30"/>
      <c r="L284" s="72"/>
      <c r="M284" s="108">
        <f t="shared" si="9"/>
        <v>0</v>
      </c>
      <c r="N284" s="41"/>
      <c r="O284" s="1"/>
      <c r="P284" s="2"/>
      <c r="Q284" s="2"/>
      <c r="R284" s="2"/>
      <c r="S284" s="2"/>
      <c r="T284" s="2"/>
      <c r="U284" s="2"/>
    </row>
    <row r="285" spans="1:21" ht="59.25" customHeight="1">
      <c r="A285" s="5"/>
      <c r="B285" s="7">
        <f t="shared" si="10"/>
        <v>272</v>
      </c>
      <c r="C285" s="40"/>
      <c r="D285" s="171"/>
      <c r="E285" s="171"/>
      <c r="F285" s="30"/>
      <c r="G285" s="132"/>
      <c r="H285" s="132"/>
      <c r="I285" s="30"/>
      <c r="J285" s="72"/>
      <c r="K285" s="30"/>
      <c r="L285" s="72"/>
      <c r="M285" s="108">
        <f t="shared" si="9"/>
        <v>0</v>
      </c>
      <c r="N285" s="41"/>
      <c r="O285" s="1"/>
      <c r="P285" s="2"/>
      <c r="Q285" s="2"/>
      <c r="R285" s="2"/>
      <c r="S285" s="2"/>
      <c r="T285" s="2"/>
      <c r="U285" s="2"/>
    </row>
    <row r="286" spans="1:21" ht="59.25" customHeight="1">
      <c r="A286" s="5"/>
      <c r="B286" s="7">
        <f t="shared" si="10"/>
        <v>273</v>
      </c>
      <c r="C286" s="40"/>
      <c r="D286" s="171"/>
      <c r="E286" s="171"/>
      <c r="F286" s="30"/>
      <c r="G286" s="132"/>
      <c r="H286" s="132"/>
      <c r="I286" s="30"/>
      <c r="J286" s="72"/>
      <c r="K286" s="30"/>
      <c r="L286" s="72"/>
      <c r="M286" s="108">
        <f t="shared" si="9"/>
        <v>0</v>
      </c>
      <c r="N286" s="41"/>
      <c r="O286" s="1"/>
      <c r="P286" s="2"/>
      <c r="Q286" s="2"/>
      <c r="R286" s="2"/>
      <c r="S286" s="2"/>
      <c r="T286" s="2"/>
      <c r="U286" s="2"/>
    </row>
    <row r="287" spans="1:21" ht="59.25" customHeight="1">
      <c r="A287" s="5"/>
      <c r="B287" s="7">
        <f t="shared" si="10"/>
        <v>274</v>
      </c>
      <c r="C287" s="40"/>
      <c r="D287" s="171"/>
      <c r="E287" s="171"/>
      <c r="F287" s="30"/>
      <c r="G287" s="132"/>
      <c r="H287" s="132"/>
      <c r="I287" s="30"/>
      <c r="J287" s="72"/>
      <c r="K287" s="30"/>
      <c r="L287" s="72"/>
      <c r="M287" s="108">
        <f t="shared" si="9"/>
        <v>0</v>
      </c>
      <c r="N287" s="41"/>
      <c r="O287" s="1"/>
      <c r="P287" s="2"/>
      <c r="Q287" s="2"/>
      <c r="R287" s="2"/>
      <c r="S287" s="2"/>
      <c r="T287" s="2"/>
      <c r="U287" s="2"/>
    </row>
    <row r="288" spans="1:21" ht="59.25" customHeight="1">
      <c r="A288" s="5"/>
      <c r="B288" s="7">
        <f t="shared" si="10"/>
        <v>275</v>
      </c>
      <c r="C288" s="40"/>
      <c r="D288" s="171"/>
      <c r="E288" s="171"/>
      <c r="F288" s="30"/>
      <c r="G288" s="132"/>
      <c r="H288" s="132"/>
      <c r="I288" s="30"/>
      <c r="J288" s="72"/>
      <c r="K288" s="30"/>
      <c r="L288" s="72"/>
      <c r="M288" s="108">
        <f t="shared" si="9"/>
        <v>0</v>
      </c>
      <c r="N288" s="41"/>
      <c r="O288" s="1"/>
      <c r="P288" s="2"/>
      <c r="Q288" s="2"/>
      <c r="R288" s="2"/>
      <c r="S288" s="2"/>
      <c r="T288" s="2"/>
      <c r="U288" s="2"/>
    </row>
    <row r="289" spans="1:21" ht="59.25" customHeight="1">
      <c r="A289" s="5"/>
      <c r="B289" s="7">
        <f t="shared" si="10"/>
        <v>276</v>
      </c>
      <c r="C289" s="40"/>
      <c r="D289" s="171"/>
      <c r="E289" s="171"/>
      <c r="F289" s="30"/>
      <c r="G289" s="132"/>
      <c r="H289" s="132"/>
      <c r="I289" s="30"/>
      <c r="J289" s="72"/>
      <c r="K289" s="30"/>
      <c r="L289" s="72"/>
      <c r="M289" s="108">
        <f t="shared" si="9"/>
        <v>0</v>
      </c>
      <c r="N289" s="41"/>
      <c r="O289" s="1"/>
      <c r="P289" s="2"/>
      <c r="Q289" s="2"/>
      <c r="R289" s="2"/>
      <c r="S289" s="2"/>
      <c r="T289" s="2"/>
      <c r="U289" s="2"/>
    </row>
    <row r="290" spans="1:21" ht="59.25" customHeight="1">
      <c r="A290" s="5"/>
      <c r="B290" s="7">
        <f t="shared" si="10"/>
        <v>277</v>
      </c>
      <c r="C290" s="40"/>
      <c r="D290" s="171"/>
      <c r="E290" s="171"/>
      <c r="F290" s="30"/>
      <c r="G290" s="132"/>
      <c r="H290" s="132"/>
      <c r="I290" s="30"/>
      <c r="J290" s="72"/>
      <c r="K290" s="30"/>
      <c r="L290" s="72"/>
      <c r="M290" s="108">
        <f t="shared" si="9"/>
        <v>0</v>
      </c>
      <c r="N290" s="41"/>
      <c r="O290" s="1"/>
      <c r="P290" s="2"/>
      <c r="Q290" s="2"/>
      <c r="R290" s="2"/>
      <c r="S290" s="2"/>
      <c r="T290" s="2"/>
      <c r="U290" s="2"/>
    </row>
    <row r="291" spans="1:21" ht="59.25" customHeight="1">
      <c r="A291" s="5"/>
      <c r="B291" s="7">
        <f t="shared" si="10"/>
        <v>278</v>
      </c>
      <c r="C291" s="40"/>
      <c r="D291" s="171"/>
      <c r="E291" s="171"/>
      <c r="F291" s="30"/>
      <c r="G291" s="132"/>
      <c r="H291" s="132"/>
      <c r="I291" s="30"/>
      <c r="J291" s="72"/>
      <c r="K291" s="30"/>
      <c r="L291" s="72"/>
      <c r="M291" s="108">
        <f t="shared" si="9"/>
        <v>0</v>
      </c>
      <c r="N291" s="41"/>
      <c r="O291" s="1"/>
      <c r="P291" s="2"/>
      <c r="Q291" s="2"/>
      <c r="R291" s="2"/>
      <c r="S291" s="2"/>
      <c r="T291" s="2"/>
      <c r="U291" s="2"/>
    </row>
    <row r="292" spans="1:21" ht="59.25" customHeight="1">
      <c r="A292" s="5"/>
      <c r="B292" s="7">
        <f t="shared" si="10"/>
        <v>279</v>
      </c>
      <c r="C292" s="40"/>
      <c r="D292" s="171"/>
      <c r="E292" s="171"/>
      <c r="F292" s="30"/>
      <c r="G292" s="132"/>
      <c r="H292" s="132"/>
      <c r="I292" s="30"/>
      <c r="J292" s="72"/>
      <c r="K292" s="30"/>
      <c r="L292" s="72"/>
      <c r="M292" s="108">
        <f t="shared" si="9"/>
        <v>0</v>
      </c>
      <c r="N292" s="41"/>
      <c r="O292" s="1"/>
      <c r="P292" s="2"/>
      <c r="Q292" s="2"/>
      <c r="R292" s="2"/>
      <c r="S292" s="2"/>
      <c r="T292" s="2"/>
      <c r="U292" s="2"/>
    </row>
    <row r="293" spans="1:21" ht="59.25" customHeight="1">
      <c r="A293" s="5"/>
      <c r="B293" s="7">
        <f t="shared" si="10"/>
        <v>280</v>
      </c>
      <c r="C293" s="40"/>
      <c r="D293" s="171"/>
      <c r="E293" s="171"/>
      <c r="F293" s="30"/>
      <c r="G293" s="132"/>
      <c r="H293" s="132"/>
      <c r="I293" s="30"/>
      <c r="J293" s="72"/>
      <c r="K293" s="30"/>
      <c r="L293" s="72"/>
      <c r="M293" s="108">
        <f t="shared" si="9"/>
        <v>0</v>
      </c>
      <c r="N293" s="41"/>
      <c r="O293" s="1"/>
      <c r="P293" s="2"/>
      <c r="Q293" s="2"/>
      <c r="R293" s="2"/>
      <c r="S293" s="2"/>
      <c r="T293" s="2"/>
      <c r="U293" s="2"/>
    </row>
    <row r="294" spans="1:21" ht="59.25" customHeight="1">
      <c r="A294" s="5"/>
      <c r="B294" s="7">
        <f t="shared" si="10"/>
        <v>281</v>
      </c>
      <c r="C294" s="40"/>
      <c r="D294" s="171"/>
      <c r="E294" s="171"/>
      <c r="F294" s="30"/>
      <c r="G294" s="132"/>
      <c r="H294" s="132"/>
      <c r="I294" s="30"/>
      <c r="J294" s="72"/>
      <c r="K294" s="30"/>
      <c r="L294" s="72"/>
      <c r="M294" s="108">
        <f t="shared" si="9"/>
        <v>0</v>
      </c>
      <c r="N294" s="41"/>
      <c r="O294" s="1"/>
      <c r="P294" s="2"/>
      <c r="Q294" s="2"/>
      <c r="R294" s="2"/>
      <c r="S294" s="2"/>
      <c r="T294" s="2"/>
      <c r="U294" s="2"/>
    </row>
    <row r="295" spans="1:21" ht="59.25" customHeight="1">
      <c r="A295" s="5"/>
      <c r="B295" s="7">
        <f t="shared" si="10"/>
        <v>282</v>
      </c>
      <c r="C295" s="40"/>
      <c r="D295" s="171"/>
      <c r="E295" s="171"/>
      <c r="F295" s="30"/>
      <c r="G295" s="132"/>
      <c r="H295" s="132"/>
      <c r="I295" s="30"/>
      <c r="J295" s="72"/>
      <c r="K295" s="30"/>
      <c r="L295" s="72"/>
      <c r="M295" s="108">
        <f t="shared" si="9"/>
        <v>0</v>
      </c>
      <c r="N295" s="41"/>
      <c r="O295" s="1"/>
      <c r="P295" s="2"/>
      <c r="Q295" s="2"/>
      <c r="R295" s="2"/>
      <c r="S295" s="2"/>
      <c r="T295" s="2"/>
      <c r="U295" s="2"/>
    </row>
    <row r="296" spans="1:21" ht="59.25" customHeight="1">
      <c r="A296" s="5"/>
      <c r="B296" s="7">
        <f t="shared" si="10"/>
        <v>283</v>
      </c>
      <c r="C296" s="40"/>
      <c r="D296" s="171"/>
      <c r="E296" s="171"/>
      <c r="F296" s="30"/>
      <c r="G296" s="132"/>
      <c r="H296" s="132"/>
      <c r="I296" s="30"/>
      <c r="J296" s="72"/>
      <c r="K296" s="30"/>
      <c r="L296" s="72"/>
      <c r="M296" s="108">
        <f t="shared" si="9"/>
        <v>0</v>
      </c>
      <c r="N296" s="41"/>
      <c r="O296" s="1"/>
      <c r="P296" s="2"/>
      <c r="Q296" s="2"/>
      <c r="R296" s="2"/>
      <c r="S296" s="2"/>
      <c r="T296" s="2"/>
      <c r="U296" s="2"/>
    </row>
    <row r="297" spans="1:21" ht="59.25" customHeight="1">
      <c r="A297" s="5"/>
      <c r="B297" s="7">
        <f t="shared" si="10"/>
        <v>284</v>
      </c>
      <c r="C297" s="40"/>
      <c r="D297" s="171"/>
      <c r="E297" s="171"/>
      <c r="F297" s="30"/>
      <c r="G297" s="132"/>
      <c r="H297" s="132"/>
      <c r="I297" s="30"/>
      <c r="J297" s="72"/>
      <c r="K297" s="30"/>
      <c r="L297" s="72"/>
      <c r="M297" s="108">
        <f t="shared" si="9"/>
        <v>0</v>
      </c>
      <c r="N297" s="41"/>
      <c r="O297" s="1"/>
      <c r="P297" s="2"/>
      <c r="Q297" s="2"/>
      <c r="R297" s="2"/>
      <c r="S297" s="2"/>
      <c r="T297" s="2"/>
      <c r="U297" s="2"/>
    </row>
    <row r="298" spans="1:21" ht="59.25" customHeight="1">
      <c r="A298" s="5"/>
      <c r="B298" s="7">
        <f t="shared" si="10"/>
        <v>285</v>
      </c>
      <c r="C298" s="40"/>
      <c r="D298" s="171"/>
      <c r="E298" s="171"/>
      <c r="F298" s="30"/>
      <c r="G298" s="132"/>
      <c r="H298" s="132"/>
      <c r="I298" s="30"/>
      <c r="J298" s="72"/>
      <c r="K298" s="30"/>
      <c r="L298" s="72"/>
      <c r="M298" s="108">
        <f t="shared" si="9"/>
        <v>0</v>
      </c>
      <c r="N298" s="41"/>
      <c r="O298" s="1"/>
      <c r="P298" s="2"/>
      <c r="Q298" s="2"/>
      <c r="R298" s="2"/>
      <c r="S298" s="2"/>
      <c r="T298" s="2"/>
      <c r="U298" s="2"/>
    </row>
    <row r="299" spans="1:21" ht="59.25" customHeight="1">
      <c r="A299" s="5"/>
      <c r="B299" s="7">
        <f t="shared" si="10"/>
        <v>286</v>
      </c>
      <c r="C299" s="40"/>
      <c r="D299" s="171"/>
      <c r="E299" s="171"/>
      <c r="F299" s="30"/>
      <c r="G299" s="132"/>
      <c r="H299" s="132"/>
      <c r="I299" s="30"/>
      <c r="J299" s="72"/>
      <c r="K299" s="30"/>
      <c r="L299" s="72"/>
      <c r="M299" s="108">
        <f t="shared" si="9"/>
        <v>0</v>
      </c>
      <c r="N299" s="41"/>
      <c r="O299" s="1"/>
      <c r="P299" s="2"/>
      <c r="Q299" s="2"/>
      <c r="R299" s="2"/>
      <c r="S299" s="2"/>
      <c r="T299" s="2"/>
      <c r="U299" s="2"/>
    </row>
    <row r="300" spans="1:21" ht="59.25" customHeight="1">
      <c r="A300" s="5"/>
      <c r="B300" s="7">
        <f t="shared" si="10"/>
        <v>287</v>
      </c>
      <c r="C300" s="40"/>
      <c r="D300" s="171"/>
      <c r="E300" s="171"/>
      <c r="F300" s="30"/>
      <c r="G300" s="132"/>
      <c r="H300" s="132"/>
      <c r="I300" s="30"/>
      <c r="J300" s="72"/>
      <c r="K300" s="30"/>
      <c r="L300" s="72"/>
      <c r="M300" s="108">
        <f t="shared" si="9"/>
        <v>0</v>
      </c>
      <c r="N300" s="41"/>
      <c r="O300" s="1"/>
      <c r="P300" s="2"/>
      <c r="Q300" s="2"/>
      <c r="R300" s="2"/>
      <c r="S300" s="2"/>
      <c r="T300" s="2"/>
      <c r="U300" s="2"/>
    </row>
    <row r="301" spans="1:21" ht="59.25" customHeight="1">
      <c r="A301" s="5"/>
      <c r="B301" s="7">
        <f t="shared" si="10"/>
        <v>288</v>
      </c>
      <c r="C301" s="40"/>
      <c r="D301" s="171"/>
      <c r="E301" s="171"/>
      <c r="F301" s="30"/>
      <c r="G301" s="132"/>
      <c r="H301" s="132"/>
      <c r="I301" s="30"/>
      <c r="J301" s="72"/>
      <c r="K301" s="30"/>
      <c r="L301" s="72"/>
      <c r="M301" s="108">
        <f t="shared" si="9"/>
        <v>0</v>
      </c>
      <c r="N301" s="41"/>
      <c r="O301" s="1"/>
      <c r="P301" s="2"/>
      <c r="Q301" s="2"/>
      <c r="R301" s="2"/>
      <c r="S301" s="2"/>
      <c r="T301" s="2"/>
      <c r="U301" s="2"/>
    </row>
    <row r="302" spans="1:21" ht="59.25" customHeight="1">
      <c r="A302" s="5"/>
      <c r="B302" s="7">
        <f t="shared" si="10"/>
        <v>289</v>
      </c>
      <c r="C302" s="40"/>
      <c r="D302" s="171"/>
      <c r="E302" s="171"/>
      <c r="F302" s="30"/>
      <c r="G302" s="132"/>
      <c r="H302" s="132"/>
      <c r="I302" s="30"/>
      <c r="J302" s="72"/>
      <c r="K302" s="30"/>
      <c r="L302" s="72"/>
      <c r="M302" s="108">
        <f t="shared" si="9"/>
        <v>0</v>
      </c>
      <c r="N302" s="41"/>
      <c r="O302" s="1"/>
      <c r="P302" s="2"/>
      <c r="Q302" s="2"/>
      <c r="R302" s="2"/>
      <c r="S302" s="2"/>
      <c r="T302" s="2"/>
      <c r="U302" s="2"/>
    </row>
    <row r="303" spans="1:21" ht="59.25" customHeight="1">
      <c r="A303" s="5"/>
      <c r="B303" s="7">
        <f t="shared" si="10"/>
        <v>290</v>
      </c>
      <c r="C303" s="40"/>
      <c r="D303" s="171"/>
      <c r="E303" s="171"/>
      <c r="F303" s="30"/>
      <c r="G303" s="132"/>
      <c r="H303" s="132"/>
      <c r="I303" s="30"/>
      <c r="J303" s="72"/>
      <c r="K303" s="30"/>
      <c r="L303" s="72"/>
      <c r="M303" s="108">
        <f t="shared" si="9"/>
        <v>0</v>
      </c>
      <c r="N303" s="41"/>
      <c r="O303" s="1"/>
      <c r="P303" s="2"/>
      <c r="Q303" s="2"/>
      <c r="R303" s="2"/>
      <c r="S303" s="2"/>
      <c r="T303" s="2"/>
      <c r="U303" s="2"/>
    </row>
    <row r="304" spans="1:21" ht="59.25" customHeight="1">
      <c r="A304" s="5"/>
      <c r="B304" s="7">
        <f t="shared" si="10"/>
        <v>291</v>
      </c>
      <c r="C304" s="40"/>
      <c r="D304" s="171"/>
      <c r="E304" s="171"/>
      <c r="F304" s="30"/>
      <c r="G304" s="132"/>
      <c r="H304" s="132"/>
      <c r="I304" s="30"/>
      <c r="J304" s="72"/>
      <c r="K304" s="30"/>
      <c r="L304" s="72"/>
      <c r="M304" s="108">
        <f t="shared" si="9"/>
        <v>0</v>
      </c>
      <c r="N304" s="53"/>
      <c r="O304" s="1"/>
      <c r="P304" s="2"/>
      <c r="Q304" s="2"/>
      <c r="R304" s="2"/>
      <c r="S304" s="2"/>
      <c r="T304" s="2"/>
      <c r="U304" s="2"/>
    </row>
    <row r="305" spans="1:21" ht="59.25" customHeight="1">
      <c r="A305" s="5"/>
      <c r="B305" s="7">
        <f t="shared" si="10"/>
        <v>292</v>
      </c>
      <c r="C305" s="40"/>
      <c r="D305" s="171"/>
      <c r="E305" s="171"/>
      <c r="F305" s="30"/>
      <c r="G305" s="132"/>
      <c r="H305" s="132"/>
      <c r="I305" s="30"/>
      <c r="J305" s="72"/>
      <c r="K305" s="30"/>
      <c r="L305" s="72"/>
      <c r="M305" s="108">
        <f t="shared" si="9"/>
        <v>0</v>
      </c>
      <c r="N305" s="53"/>
      <c r="O305" s="1"/>
      <c r="P305" s="2"/>
      <c r="Q305" s="2"/>
      <c r="R305" s="2"/>
      <c r="S305" s="2"/>
      <c r="T305" s="2"/>
      <c r="U305" s="2"/>
    </row>
    <row r="306" spans="1:21" ht="59.25" customHeight="1">
      <c r="A306" s="5"/>
      <c r="B306" s="7">
        <f t="shared" si="10"/>
        <v>293</v>
      </c>
      <c r="C306" s="40"/>
      <c r="D306" s="171"/>
      <c r="E306" s="171"/>
      <c r="F306" s="30"/>
      <c r="G306" s="132"/>
      <c r="H306" s="132"/>
      <c r="I306" s="30"/>
      <c r="J306" s="72"/>
      <c r="K306" s="30"/>
      <c r="L306" s="72"/>
      <c r="M306" s="108">
        <f t="shared" si="9"/>
        <v>0</v>
      </c>
      <c r="N306" s="53"/>
      <c r="O306" s="1"/>
      <c r="P306" s="2"/>
      <c r="Q306" s="2"/>
      <c r="R306" s="2"/>
      <c r="S306" s="2"/>
      <c r="T306" s="2"/>
      <c r="U306" s="2"/>
    </row>
    <row r="307" spans="1:21" ht="59.25" customHeight="1">
      <c r="A307" s="5"/>
      <c r="B307" s="7">
        <f t="shared" si="10"/>
        <v>294</v>
      </c>
      <c r="C307" s="40"/>
      <c r="D307" s="171"/>
      <c r="E307" s="171"/>
      <c r="F307" s="30"/>
      <c r="G307" s="132"/>
      <c r="H307" s="132"/>
      <c r="I307" s="30"/>
      <c r="J307" s="72"/>
      <c r="K307" s="30"/>
      <c r="L307" s="72"/>
      <c r="M307" s="108">
        <f t="shared" si="9"/>
        <v>0</v>
      </c>
      <c r="N307" s="53"/>
      <c r="O307" s="1"/>
      <c r="P307" s="2"/>
      <c r="Q307" s="2"/>
      <c r="R307" s="2"/>
      <c r="S307" s="2"/>
      <c r="T307" s="2"/>
      <c r="U307" s="2"/>
    </row>
    <row r="308" spans="1:21" ht="59.25" customHeight="1">
      <c r="A308" s="5"/>
      <c r="B308" s="7">
        <f t="shared" si="10"/>
        <v>295</v>
      </c>
      <c r="C308" s="40"/>
      <c r="D308" s="171"/>
      <c r="E308" s="171"/>
      <c r="F308" s="30"/>
      <c r="G308" s="132"/>
      <c r="H308" s="132"/>
      <c r="I308" s="30"/>
      <c r="J308" s="72"/>
      <c r="K308" s="30"/>
      <c r="L308" s="72"/>
      <c r="M308" s="108">
        <f t="shared" si="9"/>
        <v>0</v>
      </c>
      <c r="N308" s="53"/>
      <c r="O308" s="1"/>
      <c r="P308" s="2"/>
      <c r="Q308" s="2"/>
      <c r="R308" s="2"/>
      <c r="S308" s="2"/>
      <c r="T308" s="2"/>
      <c r="U308" s="2"/>
    </row>
    <row r="309" spans="1:21" ht="59.25" customHeight="1">
      <c r="A309" s="5"/>
      <c r="B309" s="7">
        <f t="shared" si="10"/>
        <v>296</v>
      </c>
      <c r="C309" s="40"/>
      <c r="D309" s="171"/>
      <c r="E309" s="171"/>
      <c r="F309" s="30"/>
      <c r="G309" s="132"/>
      <c r="H309" s="132"/>
      <c r="I309" s="30"/>
      <c r="J309" s="72"/>
      <c r="K309" s="30"/>
      <c r="L309" s="72"/>
      <c r="M309" s="108">
        <f t="shared" si="9"/>
        <v>0</v>
      </c>
      <c r="N309" s="53"/>
      <c r="O309" s="1"/>
      <c r="P309" s="2"/>
      <c r="Q309" s="2"/>
      <c r="R309" s="2"/>
      <c r="S309" s="2"/>
      <c r="T309" s="2"/>
      <c r="U309" s="2"/>
    </row>
    <row r="310" spans="1:21" ht="59.25" customHeight="1">
      <c r="A310" s="5"/>
      <c r="B310" s="7">
        <f t="shared" si="10"/>
        <v>297</v>
      </c>
      <c r="C310" s="40"/>
      <c r="D310" s="171"/>
      <c r="E310" s="171"/>
      <c r="F310" s="30"/>
      <c r="G310" s="132"/>
      <c r="H310" s="132"/>
      <c r="I310" s="30"/>
      <c r="J310" s="72"/>
      <c r="K310" s="30"/>
      <c r="L310" s="72"/>
      <c r="M310" s="108">
        <f t="shared" si="9"/>
        <v>0</v>
      </c>
      <c r="N310" s="53"/>
      <c r="O310" s="1"/>
      <c r="P310" s="2"/>
      <c r="Q310" s="2"/>
      <c r="R310" s="2"/>
      <c r="S310" s="2"/>
      <c r="T310" s="2"/>
      <c r="U310" s="2"/>
    </row>
    <row r="311" spans="1:21" ht="59.25" customHeight="1">
      <c r="A311" s="5"/>
      <c r="B311" s="7">
        <f t="shared" si="10"/>
        <v>298</v>
      </c>
      <c r="C311" s="40"/>
      <c r="D311" s="171"/>
      <c r="E311" s="171"/>
      <c r="F311" s="30"/>
      <c r="G311" s="132"/>
      <c r="H311" s="132"/>
      <c r="I311" s="30"/>
      <c r="J311" s="72"/>
      <c r="K311" s="30"/>
      <c r="L311" s="72"/>
      <c r="M311" s="108">
        <f t="shared" si="9"/>
        <v>0</v>
      </c>
      <c r="N311" s="41"/>
      <c r="O311" s="1"/>
      <c r="P311" s="2"/>
      <c r="Q311" s="2"/>
      <c r="R311" s="2"/>
      <c r="S311" s="2"/>
      <c r="T311" s="2"/>
      <c r="U311" s="2"/>
    </row>
    <row r="312" spans="1:21" ht="59.25" customHeight="1">
      <c r="A312" s="5"/>
      <c r="B312" s="7">
        <f t="shared" si="10"/>
        <v>299</v>
      </c>
      <c r="C312" s="40"/>
      <c r="D312" s="171"/>
      <c r="E312" s="171"/>
      <c r="F312" s="30"/>
      <c r="G312" s="132"/>
      <c r="H312" s="132"/>
      <c r="I312" s="30"/>
      <c r="J312" s="72"/>
      <c r="K312" s="30"/>
      <c r="L312" s="72"/>
      <c r="M312" s="108">
        <f t="shared" si="9"/>
        <v>0</v>
      </c>
      <c r="N312" s="41"/>
      <c r="O312" s="1"/>
      <c r="P312" s="2"/>
      <c r="Q312" s="2"/>
      <c r="R312" s="2"/>
      <c r="S312" s="2"/>
      <c r="T312" s="2"/>
      <c r="U312" s="2"/>
    </row>
    <row r="313" spans="1:21" ht="59.25" customHeight="1">
      <c r="A313" s="5"/>
      <c r="B313" s="7">
        <f t="shared" si="10"/>
        <v>300</v>
      </c>
      <c r="C313" s="40"/>
      <c r="D313" s="171"/>
      <c r="E313" s="171"/>
      <c r="F313" s="30"/>
      <c r="G313" s="132"/>
      <c r="H313" s="132"/>
      <c r="I313" s="30"/>
      <c r="J313" s="72"/>
      <c r="K313" s="30"/>
      <c r="L313" s="72"/>
      <c r="M313" s="108">
        <f t="shared" si="9"/>
        <v>0</v>
      </c>
      <c r="N313" s="41"/>
      <c r="O313" s="1"/>
      <c r="P313" s="2"/>
      <c r="Q313" s="2"/>
      <c r="R313" s="2"/>
      <c r="S313" s="2"/>
      <c r="T313" s="2"/>
      <c r="U313" s="2"/>
    </row>
    <row r="314" spans="1:21" ht="48" customHeight="1">
      <c r="A314" s="5"/>
      <c r="B314" s="7">
        <f t="shared" si="10"/>
        <v>301</v>
      </c>
      <c r="C314" s="40"/>
      <c r="D314" s="171"/>
      <c r="E314" s="171"/>
      <c r="F314" s="29"/>
      <c r="G314" s="132"/>
      <c r="H314" s="132"/>
      <c r="I314" s="30"/>
      <c r="J314" s="72"/>
      <c r="K314" s="30"/>
      <c r="L314" s="72"/>
      <c r="M314" s="108">
        <f t="shared" si="9"/>
        <v>0</v>
      </c>
      <c r="N314" s="41"/>
      <c r="O314" s="1"/>
      <c r="P314" s="2"/>
      <c r="Q314" s="2"/>
      <c r="R314" s="2"/>
      <c r="S314" s="2"/>
      <c r="T314" s="2"/>
      <c r="U314" s="2"/>
    </row>
    <row r="315" spans="1:21" ht="42.75" customHeight="1">
      <c r="A315" s="5"/>
      <c r="B315" s="7">
        <f t="shared" si="10"/>
        <v>302</v>
      </c>
      <c r="C315" s="40"/>
      <c r="D315" s="171"/>
      <c r="E315" s="171"/>
      <c r="F315" s="30"/>
      <c r="G315" s="132"/>
      <c r="H315" s="132"/>
      <c r="I315" s="30"/>
      <c r="J315" s="72"/>
      <c r="K315" s="30"/>
      <c r="L315" s="72"/>
      <c r="M315" s="108">
        <f t="shared" si="9"/>
        <v>0</v>
      </c>
      <c r="N315" s="41"/>
      <c r="O315" s="1"/>
      <c r="P315" s="2"/>
      <c r="Q315" s="2"/>
      <c r="R315" s="2"/>
      <c r="S315" s="2"/>
      <c r="T315" s="2"/>
      <c r="U315" s="2"/>
    </row>
    <row r="316" spans="1:21" ht="42.75" customHeight="1">
      <c r="A316" s="5"/>
      <c r="B316" s="7">
        <f t="shared" si="10"/>
        <v>303</v>
      </c>
      <c r="C316" s="40"/>
      <c r="D316" s="171"/>
      <c r="E316" s="171"/>
      <c r="F316" s="31"/>
      <c r="G316" s="132"/>
      <c r="H316" s="132"/>
      <c r="I316" s="30"/>
      <c r="J316" s="72"/>
      <c r="K316" s="30"/>
      <c r="L316" s="72"/>
      <c r="M316" s="108">
        <f t="shared" si="9"/>
        <v>0</v>
      </c>
      <c r="N316" s="41"/>
      <c r="O316" s="1"/>
      <c r="P316" s="2"/>
      <c r="Q316" s="2"/>
      <c r="R316" s="2"/>
      <c r="S316" s="2"/>
      <c r="T316" s="2"/>
      <c r="U316" s="2"/>
    </row>
    <row r="317" spans="1:21" ht="42.75" customHeight="1">
      <c r="A317"/>
      <c r="B317" s="7">
        <f t="shared" si="10"/>
        <v>304</v>
      </c>
      <c r="C317" s="40"/>
      <c r="D317" s="171"/>
      <c r="E317" s="171"/>
      <c r="F317" s="30"/>
      <c r="G317" s="132"/>
      <c r="H317" s="132"/>
      <c r="I317" s="30"/>
      <c r="J317" s="72"/>
      <c r="K317" s="30"/>
      <c r="L317" s="72"/>
      <c r="M317" s="108">
        <f t="shared" si="9"/>
        <v>0</v>
      </c>
      <c r="N317" s="41"/>
      <c r="O317" s="1"/>
      <c r="P317" s="2"/>
      <c r="Q317" s="2"/>
      <c r="R317" s="2"/>
      <c r="S317" s="2"/>
      <c r="T317" s="2"/>
      <c r="U317" s="2"/>
    </row>
    <row r="318" spans="1:21" ht="42.75" customHeight="1">
      <c r="A318"/>
      <c r="B318" s="7">
        <f t="shared" si="10"/>
        <v>305</v>
      </c>
      <c r="C318" s="40"/>
      <c r="D318" s="171"/>
      <c r="E318" s="171"/>
      <c r="F318" s="27"/>
      <c r="G318" s="132"/>
      <c r="H318" s="132"/>
      <c r="I318" s="27"/>
      <c r="J318" s="75"/>
      <c r="K318" s="27"/>
      <c r="L318" s="70"/>
      <c r="M318" s="108">
        <f t="shared" si="9"/>
        <v>0</v>
      </c>
      <c r="N318" s="41"/>
      <c r="O318" s="1"/>
      <c r="P318" s="2"/>
      <c r="Q318" s="2"/>
      <c r="R318" s="2"/>
      <c r="S318" s="2"/>
      <c r="T318" s="2"/>
      <c r="U318" s="2"/>
    </row>
    <row r="319" spans="1:21" ht="42.75" customHeight="1">
      <c r="A319"/>
      <c r="B319" s="7">
        <f t="shared" si="10"/>
        <v>306</v>
      </c>
      <c r="C319" s="40"/>
      <c r="D319" s="171"/>
      <c r="E319" s="171"/>
      <c r="F319" s="27"/>
      <c r="G319" s="132"/>
      <c r="H319" s="132"/>
      <c r="I319" s="27"/>
      <c r="J319" s="75"/>
      <c r="K319" s="27"/>
      <c r="L319" s="70"/>
      <c r="M319" s="108">
        <f t="shared" si="9"/>
        <v>0</v>
      </c>
      <c r="N319" s="41"/>
      <c r="O319" s="1"/>
      <c r="P319" s="2"/>
      <c r="Q319" s="2"/>
      <c r="R319" s="2"/>
      <c r="S319" s="2"/>
      <c r="T319" s="2"/>
      <c r="U319" s="2"/>
    </row>
    <row r="320" spans="1:21" ht="42.75" customHeight="1">
      <c r="A320"/>
      <c r="B320" s="7">
        <f t="shared" si="10"/>
        <v>307</v>
      </c>
      <c r="C320" s="40"/>
      <c r="D320" s="171"/>
      <c r="E320" s="171"/>
      <c r="F320" s="27"/>
      <c r="G320" s="132"/>
      <c r="H320" s="132"/>
      <c r="I320" s="27"/>
      <c r="J320" s="75"/>
      <c r="K320" s="27"/>
      <c r="L320" s="70"/>
      <c r="M320" s="108">
        <f t="shared" si="9"/>
        <v>0</v>
      </c>
      <c r="N320" s="41"/>
      <c r="O320" s="1"/>
      <c r="P320" s="2"/>
      <c r="Q320" s="2"/>
      <c r="R320" s="2"/>
      <c r="S320" s="2"/>
      <c r="T320" s="2"/>
      <c r="U320" s="2"/>
    </row>
    <row r="321" spans="1:21" ht="42.75" customHeight="1">
      <c r="A321"/>
      <c r="B321" s="7">
        <f t="shared" si="10"/>
        <v>308</v>
      </c>
      <c r="C321" s="40"/>
      <c r="D321" s="171"/>
      <c r="E321" s="171"/>
      <c r="F321" s="27"/>
      <c r="G321" s="132"/>
      <c r="H321" s="132"/>
      <c r="I321" s="27"/>
      <c r="J321" s="75"/>
      <c r="K321" s="27"/>
      <c r="L321" s="70"/>
      <c r="M321" s="108">
        <f t="shared" si="9"/>
        <v>0</v>
      </c>
      <c r="N321" s="41"/>
      <c r="O321" s="1"/>
      <c r="P321" s="2"/>
      <c r="Q321" s="2"/>
      <c r="R321" s="2"/>
      <c r="S321" s="2"/>
      <c r="T321" s="2"/>
      <c r="U321" s="2"/>
    </row>
    <row r="322" spans="1:21" ht="42.75" customHeight="1">
      <c r="A322"/>
      <c r="B322" s="7">
        <f t="shared" si="10"/>
        <v>309</v>
      </c>
      <c r="C322" s="40"/>
      <c r="D322" s="171"/>
      <c r="E322" s="171"/>
      <c r="F322" s="32"/>
      <c r="G322" s="132"/>
      <c r="H322" s="132"/>
      <c r="I322" s="81"/>
      <c r="J322" s="75"/>
      <c r="K322" s="27"/>
      <c r="L322" s="70"/>
      <c r="M322" s="108">
        <f t="shared" si="9"/>
        <v>0</v>
      </c>
      <c r="N322" s="41"/>
      <c r="O322" s="1"/>
      <c r="P322" s="2"/>
      <c r="Q322" s="2"/>
      <c r="R322" s="2"/>
      <c r="S322" s="2"/>
      <c r="T322" s="2"/>
      <c r="U322" s="2"/>
    </row>
    <row r="323" spans="1:21" ht="95.25" customHeight="1">
      <c r="A323"/>
      <c r="B323" s="7">
        <f t="shared" si="10"/>
        <v>310</v>
      </c>
      <c r="C323" s="45"/>
      <c r="D323" s="171"/>
      <c r="E323" s="171"/>
      <c r="F323" s="32"/>
      <c r="G323" s="132"/>
      <c r="H323" s="132"/>
      <c r="I323" s="81"/>
      <c r="J323" s="75"/>
      <c r="K323" s="27"/>
      <c r="L323" s="70"/>
      <c r="M323" s="108">
        <f t="shared" si="9"/>
        <v>0</v>
      </c>
      <c r="N323" s="41"/>
      <c r="O323" s="1"/>
      <c r="P323" s="2"/>
      <c r="Q323" s="2"/>
      <c r="R323" s="2"/>
      <c r="S323" s="2"/>
      <c r="T323" s="2"/>
      <c r="U323" s="2"/>
    </row>
    <row r="324" spans="1:21" ht="53.25" customHeight="1">
      <c r="A324"/>
      <c r="B324" s="7">
        <f t="shared" si="10"/>
        <v>311</v>
      </c>
      <c r="C324" s="45"/>
      <c r="D324" s="171"/>
      <c r="E324" s="171"/>
      <c r="F324" s="27"/>
      <c r="G324" s="132"/>
      <c r="H324" s="132"/>
      <c r="I324" s="81"/>
      <c r="J324" s="75"/>
      <c r="K324" s="27"/>
      <c r="L324" s="70"/>
      <c r="M324" s="108">
        <f t="shared" si="9"/>
        <v>0</v>
      </c>
      <c r="N324" s="41"/>
      <c r="O324" s="1"/>
      <c r="P324" s="2"/>
      <c r="Q324" s="2"/>
      <c r="R324" s="2"/>
      <c r="S324" s="2"/>
      <c r="T324" s="2"/>
      <c r="U324" s="2"/>
    </row>
    <row r="325" spans="1:21" ht="42.75" customHeight="1">
      <c r="A325"/>
      <c r="B325" s="7">
        <f t="shared" si="10"/>
        <v>312</v>
      </c>
      <c r="C325" s="45"/>
      <c r="D325" s="171"/>
      <c r="E325" s="171"/>
      <c r="F325" s="27"/>
      <c r="G325" s="132"/>
      <c r="H325" s="132"/>
      <c r="I325" s="81"/>
      <c r="J325" s="75"/>
      <c r="K325" s="27"/>
      <c r="L325" s="70"/>
      <c r="M325" s="108">
        <f t="shared" si="9"/>
        <v>0</v>
      </c>
      <c r="N325" s="41"/>
      <c r="O325" s="1"/>
      <c r="P325" s="2"/>
      <c r="Q325" s="2"/>
      <c r="R325" s="2"/>
      <c r="S325" s="2"/>
      <c r="T325" s="2"/>
      <c r="U325" s="2"/>
    </row>
    <row r="326" spans="1:21" ht="59.25" customHeight="1">
      <c r="A326"/>
      <c r="B326" s="7">
        <f t="shared" si="10"/>
        <v>313</v>
      </c>
      <c r="C326" s="45"/>
      <c r="D326" s="171"/>
      <c r="E326" s="171"/>
      <c r="F326" s="27"/>
      <c r="G326" s="132"/>
      <c r="H326" s="132"/>
      <c r="I326" s="81"/>
      <c r="J326" s="75"/>
      <c r="K326" s="27"/>
      <c r="L326" s="70"/>
      <c r="M326" s="108">
        <f t="shared" si="9"/>
        <v>0</v>
      </c>
      <c r="N326" s="41"/>
      <c r="O326" s="1"/>
      <c r="P326" s="2"/>
      <c r="Q326" s="2"/>
      <c r="R326" s="2"/>
      <c r="S326" s="2"/>
      <c r="T326" s="2"/>
      <c r="U326" s="2"/>
    </row>
    <row r="327" spans="1:21" ht="42.75" customHeight="1">
      <c r="A327"/>
      <c r="B327" s="7">
        <f t="shared" si="10"/>
        <v>314</v>
      </c>
      <c r="C327" s="45"/>
      <c r="D327" s="171"/>
      <c r="E327" s="171"/>
      <c r="F327" s="27"/>
      <c r="G327" s="132"/>
      <c r="H327" s="132"/>
      <c r="I327" s="81"/>
      <c r="J327" s="75"/>
      <c r="K327" s="27"/>
      <c r="L327" s="70"/>
      <c r="M327" s="108">
        <f t="shared" si="9"/>
        <v>0</v>
      </c>
      <c r="N327" s="41"/>
      <c r="O327" s="1"/>
      <c r="P327" s="2"/>
      <c r="Q327" s="2"/>
      <c r="R327" s="2"/>
      <c r="S327" s="2"/>
      <c r="T327" s="2"/>
      <c r="U327" s="2"/>
    </row>
    <row r="328" spans="1:21" ht="42.75" customHeight="1">
      <c r="A328"/>
      <c r="B328" s="7">
        <f t="shared" si="10"/>
        <v>315</v>
      </c>
      <c r="C328" s="45"/>
      <c r="D328" s="171"/>
      <c r="E328" s="171"/>
      <c r="F328" s="27"/>
      <c r="G328" s="132"/>
      <c r="H328" s="132"/>
      <c r="I328" s="81"/>
      <c r="J328" s="75"/>
      <c r="K328" s="27"/>
      <c r="L328" s="70"/>
      <c r="M328" s="108">
        <f t="shared" si="9"/>
        <v>0</v>
      </c>
      <c r="N328" s="41"/>
      <c r="O328" s="1"/>
      <c r="P328" s="2"/>
      <c r="Q328" s="2"/>
      <c r="R328" s="2"/>
      <c r="S328" s="2"/>
      <c r="T328" s="2"/>
      <c r="U328" s="2"/>
    </row>
    <row r="329" spans="1:21" ht="57.75" customHeight="1">
      <c r="A329"/>
      <c r="B329" s="7">
        <f t="shared" si="10"/>
        <v>316</v>
      </c>
      <c r="C329" s="45"/>
      <c r="D329" s="171"/>
      <c r="E329" s="171"/>
      <c r="F329" s="27"/>
      <c r="G329" s="132"/>
      <c r="H329" s="132"/>
      <c r="I329" s="81"/>
      <c r="J329" s="75"/>
      <c r="K329" s="27"/>
      <c r="L329" s="70"/>
      <c r="M329" s="108">
        <f t="shared" si="9"/>
        <v>0</v>
      </c>
      <c r="N329" s="41"/>
      <c r="O329" s="1"/>
      <c r="P329" s="2"/>
      <c r="Q329" s="2"/>
      <c r="R329" s="2"/>
      <c r="S329" s="2"/>
      <c r="T329" s="2"/>
      <c r="U329" s="2"/>
    </row>
    <row r="330" spans="1:21" ht="50.25" customHeight="1">
      <c r="A330"/>
      <c r="B330" s="7">
        <f t="shared" si="10"/>
        <v>317</v>
      </c>
      <c r="C330" s="45"/>
      <c r="D330" s="171"/>
      <c r="E330" s="171"/>
      <c r="F330" s="27"/>
      <c r="G330" s="132"/>
      <c r="H330" s="132"/>
      <c r="I330" s="81"/>
      <c r="J330" s="75"/>
      <c r="K330" s="27"/>
      <c r="L330" s="70"/>
      <c r="M330" s="108">
        <f t="shared" si="9"/>
        <v>0</v>
      </c>
      <c r="N330" s="41"/>
      <c r="O330" s="1"/>
      <c r="P330" s="2"/>
      <c r="Q330" s="2"/>
      <c r="R330" s="2"/>
      <c r="S330" s="2"/>
      <c r="T330" s="2"/>
      <c r="U330" s="2"/>
    </row>
    <row r="331" spans="1:21" ht="42.75" customHeight="1">
      <c r="A331"/>
      <c r="B331" s="7">
        <f t="shared" si="10"/>
        <v>318</v>
      </c>
      <c r="C331" s="45"/>
      <c r="D331" s="171"/>
      <c r="E331" s="171"/>
      <c r="F331" s="27"/>
      <c r="G331" s="132"/>
      <c r="H331" s="132"/>
      <c r="I331" s="81"/>
      <c r="J331" s="75"/>
      <c r="K331" s="27"/>
      <c r="L331" s="70"/>
      <c r="M331" s="108">
        <f t="shared" si="9"/>
        <v>0</v>
      </c>
      <c r="N331" s="41"/>
      <c r="O331" s="1"/>
      <c r="P331" s="2"/>
      <c r="Q331" s="2"/>
      <c r="R331" s="2"/>
      <c r="S331" s="2"/>
      <c r="T331" s="2"/>
      <c r="U331" s="2"/>
    </row>
    <row r="332" spans="1:21" ht="63.75" customHeight="1">
      <c r="A332"/>
      <c r="B332" s="7">
        <f t="shared" si="10"/>
        <v>319</v>
      </c>
      <c r="C332" s="45"/>
      <c r="D332" s="171"/>
      <c r="E332" s="171"/>
      <c r="F332" s="30"/>
      <c r="G332" s="132"/>
      <c r="H332" s="132"/>
      <c r="I332" s="81"/>
      <c r="J332" s="77"/>
      <c r="K332" s="46"/>
      <c r="L332" s="77"/>
      <c r="M332" s="108">
        <f t="shared" si="9"/>
        <v>0</v>
      </c>
      <c r="N332" s="41"/>
      <c r="O332" s="1"/>
      <c r="P332" s="2"/>
      <c r="Q332" s="2"/>
      <c r="R332" s="2"/>
      <c r="S332" s="2"/>
      <c r="T332" s="2"/>
      <c r="U332" s="2"/>
    </row>
    <row r="333" spans="1:21" ht="42.75" customHeight="1">
      <c r="A333"/>
      <c r="B333" s="7">
        <f t="shared" si="10"/>
        <v>320</v>
      </c>
      <c r="C333" s="45"/>
      <c r="D333" s="171"/>
      <c r="E333" s="171"/>
      <c r="F333" s="30"/>
      <c r="G333" s="132"/>
      <c r="H333" s="132"/>
      <c r="I333" s="81"/>
      <c r="J333" s="77"/>
      <c r="K333" s="46"/>
      <c r="L333" s="77"/>
      <c r="M333" s="108">
        <f t="shared" si="9"/>
        <v>0</v>
      </c>
      <c r="N333" s="41"/>
      <c r="O333" s="1"/>
      <c r="P333" s="2"/>
      <c r="Q333" s="2"/>
      <c r="R333" s="2"/>
      <c r="S333" s="2"/>
      <c r="T333" s="2"/>
      <c r="U333" s="2"/>
    </row>
    <row r="334" spans="1:21" ht="42.75" customHeight="1">
      <c r="A334"/>
      <c r="B334" s="7">
        <f t="shared" si="10"/>
        <v>321</v>
      </c>
      <c r="C334" s="45"/>
      <c r="D334" s="171"/>
      <c r="E334" s="171"/>
      <c r="F334" s="30"/>
      <c r="G334" s="132"/>
      <c r="H334" s="132"/>
      <c r="I334" s="81"/>
      <c r="J334" s="77"/>
      <c r="K334" s="46"/>
      <c r="L334" s="77"/>
      <c r="M334" s="108">
        <f t="shared" si="9"/>
        <v>0</v>
      </c>
      <c r="N334" s="41"/>
      <c r="O334" s="1"/>
      <c r="P334" s="2"/>
      <c r="Q334" s="2"/>
      <c r="R334" s="2"/>
      <c r="S334" s="2"/>
      <c r="T334" s="2"/>
      <c r="U334" s="2"/>
    </row>
    <row r="335" spans="1:21" ht="59.25" customHeight="1">
      <c r="A335"/>
      <c r="B335" s="7">
        <f t="shared" si="10"/>
        <v>322</v>
      </c>
      <c r="C335" s="45"/>
      <c r="D335" s="171"/>
      <c r="E335" s="171"/>
      <c r="F335" s="30"/>
      <c r="G335" s="132"/>
      <c r="H335" s="132"/>
      <c r="I335" s="81"/>
      <c r="J335" s="77"/>
      <c r="K335" s="46"/>
      <c r="L335" s="77"/>
      <c r="M335" s="108">
        <f t="shared" ref="M335:M398" si="11">(L335*G335)</f>
        <v>0</v>
      </c>
      <c r="N335" s="41"/>
      <c r="O335" s="1"/>
      <c r="P335" s="2"/>
      <c r="Q335" s="2"/>
      <c r="R335" s="2"/>
      <c r="S335" s="2"/>
      <c r="T335" s="2"/>
      <c r="U335" s="2"/>
    </row>
    <row r="336" spans="1:21" ht="50.25" customHeight="1">
      <c r="A336"/>
      <c r="B336" s="7">
        <f t="shared" si="10"/>
        <v>323</v>
      </c>
      <c r="C336" s="45"/>
      <c r="D336" s="171"/>
      <c r="E336" s="171"/>
      <c r="F336" s="27"/>
      <c r="G336" s="132"/>
      <c r="H336" s="132"/>
      <c r="I336" s="81"/>
      <c r="J336" s="75"/>
      <c r="K336" s="27"/>
      <c r="L336" s="70"/>
      <c r="M336" s="108">
        <f t="shared" si="11"/>
        <v>0</v>
      </c>
      <c r="N336" s="41"/>
      <c r="O336" s="1"/>
      <c r="P336" s="2"/>
      <c r="Q336" s="2"/>
      <c r="R336" s="2"/>
      <c r="S336" s="2"/>
      <c r="T336" s="2"/>
      <c r="U336" s="2"/>
    </row>
    <row r="337" spans="1:21" ht="50.25" customHeight="1">
      <c r="A337"/>
      <c r="B337" s="7">
        <f t="shared" si="10"/>
        <v>324</v>
      </c>
      <c r="C337" s="45"/>
      <c r="D337" s="171"/>
      <c r="E337" s="171"/>
      <c r="F337" s="27"/>
      <c r="G337" s="132"/>
      <c r="H337" s="132"/>
      <c r="I337" s="81"/>
      <c r="J337" s="75"/>
      <c r="K337" s="27"/>
      <c r="L337" s="70"/>
      <c r="M337" s="108">
        <f t="shared" si="11"/>
        <v>0</v>
      </c>
      <c r="N337" s="41"/>
      <c r="O337" s="1"/>
      <c r="P337" s="2"/>
      <c r="Q337" s="2"/>
      <c r="R337" s="2"/>
      <c r="S337" s="2"/>
      <c r="T337" s="2"/>
      <c r="U337" s="2"/>
    </row>
    <row r="338" spans="1:21" ht="42.75" customHeight="1">
      <c r="A338"/>
      <c r="B338" s="7">
        <f t="shared" si="10"/>
        <v>325</v>
      </c>
      <c r="C338" s="45"/>
      <c r="D338" s="171"/>
      <c r="E338" s="171"/>
      <c r="F338" s="27"/>
      <c r="G338" s="132"/>
      <c r="H338" s="132"/>
      <c r="I338" s="81"/>
      <c r="J338" s="75"/>
      <c r="K338" s="27"/>
      <c r="L338" s="70"/>
      <c r="M338" s="108">
        <f t="shared" si="11"/>
        <v>0</v>
      </c>
      <c r="N338" s="41"/>
      <c r="O338" s="1"/>
      <c r="P338" s="2"/>
      <c r="Q338" s="2"/>
      <c r="R338" s="2"/>
      <c r="S338" s="2"/>
      <c r="T338" s="2"/>
      <c r="U338" s="2"/>
    </row>
    <row r="339" spans="1:21" ht="63.75" customHeight="1">
      <c r="A339"/>
      <c r="B339" s="7">
        <f t="shared" si="10"/>
        <v>326</v>
      </c>
      <c r="C339" s="45"/>
      <c r="D339" s="171"/>
      <c r="E339" s="171"/>
      <c r="F339" s="27"/>
      <c r="G339" s="132"/>
      <c r="H339" s="132"/>
      <c r="I339" s="81"/>
      <c r="J339" s="75"/>
      <c r="K339" s="27"/>
      <c r="L339" s="70"/>
      <c r="M339" s="108">
        <f t="shared" si="11"/>
        <v>0</v>
      </c>
      <c r="N339" s="41"/>
      <c r="O339" s="1"/>
      <c r="P339" s="2"/>
      <c r="Q339" s="2"/>
      <c r="R339" s="2"/>
      <c r="S339" s="2"/>
      <c r="T339" s="2"/>
      <c r="U339" s="2"/>
    </row>
    <row r="340" spans="1:21" ht="42.75" customHeight="1">
      <c r="A340"/>
      <c r="B340" s="7">
        <f t="shared" ref="B340:B403" si="12">B339+1</f>
        <v>327</v>
      </c>
      <c r="C340" s="45"/>
      <c r="D340" s="171"/>
      <c r="E340" s="171"/>
      <c r="F340" s="27"/>
      <c r="G340" s="132"/>
      <c r="H340" s="132"/>
      <c r="I340" s="81"/>
      <c r="J340" s="75"/>
      <c r="K340" s="27"/>
      <c r="L340" s="70"/>
      <c r="M340" s="108">
        <f t="shared" si="11"/>
        <v>0</v>
      </c>
      <c r="N340" s="41"/>
      <c r="O340" s="1"/>
      <c r="P340" s="2"/>
      <c r="Q340" s="2"/>
      <c r="R340" s="2"/>
      <c r="S340" s="2"/>
      <c r="T340" s="2"/>
      <c r="U340" s="2"/>
    </row>
    <row r="341" spans="1:21" ht="42.75" customHeight="1">
      <c r="A341"/>
      <c r="B341" s="7">
        <f t="shared" si="12"/>
        <v>328</v>
      </c>
      <c r="C341" s="45"/>
      <c r="D341" s="171"/>
      <c r="E341" s="171"/>
      <c r="F341" s="27"/>
      <c r="G341" s="132"/>
      <c r="H341" s="132"/>
      <c r="I341" s="81"/>
      <c r="J341" s="75"/>
      <c r="K341" s="27"/>
      <c r="L341" s="70"/>
      <c r="M341" s="108">
        <f t="shared" si="11"/>
        <v>0</v>
      </c>
      <c r="N341" s="41"/>
      <c r="O341" s="1"/>
      <c r="P341" s="2"/>
      <c r="Q341" s="2"/>
      <c r="R341" s="2"/>
      <c r="S341" s="2"/>
      <c r="T341" s="2"/>
      <c r="U341" s="2"/>
    </row>
    <row r="342" spans="1:21" ht="56.25" customHeight="1">
      <c r="A342"/>
      <c r="B342" s="7">
        <f t="shared" si="12"/>
        <v>329</v>
      </c>
      <c r="C342" s="45"/>
      <c r="D342" s="171"/>
      <c r="E342" s="171"/>
      <c r="F342" s="27"/>
      <c r="G342" s="132"/>
      <c r="H342" s="132"/>
      <c r="I342" s="81"/>
      <c r="J342" s="75"/>
      <c r="K342" s="27"/>
      <c r="L342" s="70"/>
      <c r="M342" s="108">
        <f t="shared" si="11"/>
        <v>0</v>
      </c>
      <c r="N342" s="41"/>
      <c r="O342" s="1"/>
      <c r="P342" s="2"/>
      <c r="Q342" s="2"/>
      <c r="R342" s="2"/>
      <c r="S342" s="2"/>
      <c r="T342" s="2"/>
      <c r="U342" s="2"/>
    </row>
    <row r="343" spans="1:21" ht="42.75" customHeight="1">
      <c r="A343"/>
      <c r="B343" s="7">
        <f t="shared" si="12"/>
        <v>330</v>
      </c>
      <c r="C343" s="45"/>
      <c r="D343" s="171"/>
      <c r="E343" s="171"/>
      <c r="F343" s="27"/>
      <c r="G343" s="132"/>
      <c r="H343" s="132"/>
      <c r="I343" s="81"/>
      <c r="J343" s="75"/>
      <c r="K343" s="27"/>
      <c r="L343" s="70"/>
      <c r="M343" s="108">
        <f t="shared" si="11"/>
        <v>0</v>
      </c>
      <c r="N343" s="41"/>
      <c r="O343" s="1"/>
      <c r="P343" s="2"/>
      <c r="Q343" s="2"/>
      <c r="R343" s="2"/>
      <c r="S343" s="2"/>
      <c r="T343" s="2"/>
      <c r="U343" s="2"/>
    </row>
    <row r="344" spans="1:21" ht="42.75" customHeight="1">
      <c r="A344"/>
      <c r="B344" s="7">
        <f t="shared" si="12"/>
        <v>331</v>
      </c>
      <c r="C344" s="45"/>
      <c r="D344" s="171"/>
      <c r="E344" s="171"/>
      <c r="F344" s="27"/>
      <c r="G344" s="132"/>
      <c r="H344" s="132"/>
      <c r="I344" s="81"/>
      <c r="J344" s="75"/>
      <c r="K344" s="27"/>
      <c r="L344" s="70"/>
      <c r="M344" s="108">
        <f t="shared" si="11"/>
        <v>0</v>
      </c>
      <c r="N344" s="41"/>
      <c r="O344" s="1"/>
      <c r="P344" s="2"/>
      <c r="Q344" s="2"/>
      <c r="R344" s="2"/>
      <c r="S344" s="2"/>
      <c r="T344" s="2"/>
      <c r="U344" s="2"/>
    </row>
    <row r="345" spans="1:21" ht="60" customHeight="1">
      <c r="A345"/>
      <c r="B345" s="7">
        <f t="shared" si="12"/>
        <v>332</v>
      </c>
      <c r="C345" s="45"/>
      <c r="D345" s="171"/>
      <c r="E345" s="171"/>
      <c r="F345" s="27"/>
      <c r="G345" s="132"/>
      <c r="H345" s="132"/>
      <c r="I345" s="81"/>
      <c r="J345" s="75"/>
      <c r="K345" s="27"/>
      <c r="L345" s="70"/>
      <c r="M345" s="108">
        <f t="shared" si="11"/>
        <v>0</v>
      </c>
      <c r="N345" s="41"/>
      <c r="O345" s="1"/>
      <c r="P345" s="2"/>
      <c r="Q345" s="2"/>
      <c r="R345" s="2"/>
      <c r="S345" s="2"/>
      <c r="T345" s="2"/>
      <c r="U345" s="2"/>
    </row>
    <row r="346" spans="1:21" ht="57" customHeight="1">
      <c r="A346"/>
      <c r="B346" s="7">
        <f t="shared" si="12"/>
        <v>333</v>
      </c>
      <c r="C346" s="45"/>
      <c r="D346" s="171"/>
      <c r="E346" s="171"/>
      <c r="F346" s="27"/>
      <c r="G346" s="132"/>
      <c r="H346" s="132"/>
      <c r="I346" s="81"/>
      <c r="J346" s="75"/>
      <c r="K346" s="27"/>
      <c r="L346" s="70"/>
      <c r="M346" s="108">
        <f t="shared" si="11"/>
        <v>0</v>
      </c>
      <c r="N346" s="41"/>
      <c r="O346" s="1"/>
      <c r="P346" s="2"/>
      <c r="Q346" s="2"/>
      <c r="R346" s="2"/>
      <c r="S346" s="2"/>
      <c r="T346" s="2"/>
      <c r="U346" s="2"/>
    </row>
    <row r="347" spans="1:21" ht="63" customHeight="1">
      <c r="A347"/>
      <c r="B347" s="7">
        <f t="shared" si="12"/>
        <v>334</v>
      </c>
      <c r="C347" s="45"/>
      <c r="D347" s="171"/>
      <c r="E347" s="171"/>
      <c r="F347" s="27"/>
      <c r="G347" s="132"/>
      <c r="H347" s="132"/>
      <c r="I347" s="81"/>
      <c r="J347" s="75"/>
      <c r="K347" s="27"/>
      <c r="L347" s="70"/>
      <c r="M347" s="108">
        <f t="shared" si="11"/>
        <v>0</v>
      </c>
      <c r="N347" s="41"/>
      <c r="O347" s="1"/>
      <c r="P347" s="2"/>
      <c r="Q347" s="2"/>
      <c r="R347" s="2"/>
      <c r="S347" s="2"/>
      <c r="T347" s="2"/>
      <c r="U347" s="2"/>
    </row>
    <row r="348" spans="1:21" ht="54" customHeight="1">
      <c r="A348"/>
      <c r="B348" s="7">
        <f t="shared" si="12"/>
        <v>335</v>
      </c>
      <c r="C348" s="45"/>
      <c r="D348" s="171"/>
      <c r="E348" s="171"/>
      <c r="F348" s="27"/>
      <c r="G348" s="132"/>
      <c r="H348" s="132"/>
      <c r="I348" s="81"/>
      <c r="J348" s="75"/>
      <c r="K348" s="27"/>
      <c r="L348" s="70"/>
      <c r="M348" s="108">
        <f t="shared" si="11"/>
        <v>0</v>
      </c>
      <c r="N348" s="41"/>
      <c r="O348" s="1"/>
      <c r="P348" s="2"/>
      <c r="Q348" s="2"/>
      <c r="R348" s="2"/>
      <c r="S348" s="2"/>
      <c r="T348" s="2"/>
      <c r="U348" s="2"/>
    </row>
    <row r="349" spans="1:21" ht="42.75" customHeight="1">
      <c r="A349"/>
      <c r="B349" s="7">
        <f t="shared" si="12"/>
        <v>336</v>
      </c>
      <c r="C349" s="45"/>
      <c r="D349" s="171"/>
      <c r="E349" s="171"/>
      <c r="F349" s="27"/>
      <c r="G349" s="132"/>
      <c r="H349" s="132"/>
      <c r="I349" s="81"/>
      <c r="J349" s="75"/>
      <c r="K349" s="27"/>
      <c r="L349" s="70"/>
      <c r="M349" s="108">
        <f t="shared" si="11"/>
        <v>0</v>
      </c>
      <c r="N349" s="41"/>
      <c r="O349" s="1"/>
      <c r="P349" s="2"/>
      <c r="Q349" s="2"/>
      <c r="R349" s="2"/>
      <c r="S349" s="2"/>
      <c r="T349" s="2"/>
      <c r="U349" s="2"/>
    </row>
    <row r="350" spans="1:21" ht="42.75" customHeight="1">
      <c r="A350"/>
      <c r="B350" s="7">
        <f t="shared" si="12"/>
        <v>337</v>
      </c>
      <c r="C350" s="45"/>
      <c r="D350" s="171"/>
      <c r="E350" s="171"/>
      <c r="F350" s="27"/>
      <c r="G350" s="132"/>
      <c r="H350" s="132"/>
      <c r="I350" s="81"/>
      <c r="J350" s="75"/>
      <c r="K350" s="27"/>
      <c r="L350" s="70"/>
      <c r="M350" s="108">
        <f t="shared" si="11"/>
        <v>0</v>
      </c>
      <c r="N350" s="41"/>
      <c r="O350" s="1"/>
      <c r="P350" s="2"/>
      <c r="Q350" s="2"/>
      <c r="R350" s="2"/>
      <c r="S350" s="2"/>
      <c r="T350" s="2"/>
      <c r="U350" s="2"/>
    </row>
    <row r="351" spans="1:21" ht="63" customHeight="1">
      <c r="A351"/>
      <c r="B351" s="7">
        <f t="shared" si="12"/>
        <v>338</v>
      </c>
      <c r="C351" s="45"/>
      <c r="D351" s="171"/>
      <c r="E351" s="171"/>
      <c r="F351" s="27"/>
      <c r="G351" s="132"/>
      <c r="H351" s="132"/>
      <c r="I351" s="81"/>
      <c r="J351" s="75"/>
      <c r="K351" s="27"/>
      <c r="L351" s="70"/>
      <c r="M351" s="108">
        <f t="shared" si="11"/>
        <v>0</v>
      </c>
      <c r="N351" s="41"/>
      <c r="O351" s="1"/>
      <c r="P351" s="2"/>
      <c r="Q351" s="2"/>
      <c r="R351" s="2"/>
      <c r="S351" s="2"/>
      <c r="T351" s="2"/>
      <c r="U351" s="2"/>
    </row>
    <row r="352" spans="1:21" ht="56.25" customHeight="1">
      <c r="A352"/>
      <c r="B352" s="7">
        <f t="shared" si="12"/>
        <v>339</v>
      </c>
      <c r="C352" s="45"/>
      <c r="D352" s="171"/>
      <c r="E352" s="171"/>
      <c r="F352" s="27"/>
      <c r="G352" s="132"/>
      <c r="H352" s="132"/>
      <c r="I352" s="81"/>
      <c r="J352" s="75"/>
      <c r="K352" s="27"/>
      <c r="L352" s="70"/>
      <c r="M352" s="108">
        <f t="shared" si="11"/>
        <v>0</v>
      </c>
      <c r="N352" s="41"/>
      <c r="O352" s="1"/>
      <c r="P352" s="2"/>
      <c r="Q352" s="2"/>
      <c r="R352" s="2"/>
      <c r="S352" s="2"/>
      <c r="T352" s="2"/>
      <c r="U352" s="2"/>
    </row>
    <row r="353" spans="1:21" ht="61.5" customHeight="1">
      <c r="A353"/>
      <c r="B353" s="7">
        <f t="shared" si="12"/>
        <v>340</v>
      </c>
      <c r="C353" s="45"/>
      <c r="D353" s="171"/>
      <c r="E353" s="171"/>
      <c r="F353" s="27"/>
      <c r="G353" s="132"/>
      <c r="H353" s="132"/>
      <c r="I353" s="81"/>
      <c r="J353" s="75"/>
      <c r="K353" s="27"/>
      <c r="L353" s="70"/>
      <c r="M353" s="108">
        <f t="shared" si="11"/>
        <v>0</v>
      </c>
      <c r="N353" s="41"/>
      <c r="O353" s="1"/>
      <c r="P353" s="2"/>
      <c r="Q353" s="2"/>
      <c r="R353" s="2"/>
      <c r="S353" s="2"/>
      <c r="T353" s="2"/>
      <c r="U353" s="2"/>
    </row>
    <row r="354" spans="1:21" ht="42.75" customHeight="1">
      <c r="A354"/>
      <c r="B354" s="7">
        <f t="shared" si="12"/>
        <v>341</v>
      </c>
      <c r="C354" s="45"/>
      <c r="D354" s="171"/>
      <c r="E354" s="171"/>
      <c r="F354" s="27"/>
      <c r="G354" s="132"/>
      <c r="H354" s="132"/>
      <c r="I354" s="81"/>
      <c r="J354" s="75"/>
      <c r="K354" s="27"/>
      <c r="L354" s="70"/>
      <c r="M354" s="108">
        <f t="shared" si="11"/>
        <v>0</v>
      </c>
      <c r="N354" s="41"/>
      <c r="O354" s="1"/>
      <c r="P354" s="2"/>
      <c r="Q354" s="2"/>
      <c r="R354" s="2"/>
      <c r="S354" s="2"/>
      <c r="T354" s="2"/>
      <c r="U354" s="2"/>
    </row>
    <row r="355" spans="1:21" ht="42.75" customHeight="1">
      <c r="A355"/>
      <c r="B355" s="7">
        <f t="shared" si="12"/>
        <v>342</v>
      </c>
      <c r="C355" s="47"/>
      <c r="D355" s="171"/>
      <c r="E355" s="171"/>
      <c r="F355" s="27"/>
      <c r="G355" s="132"/>
      <c r="H355" s="132"/>
      <c r="I355" s="81"/>
      <c r="J355" s="75"/>
      <c r="K355" s="27"/>
      <c r="L355" s="70"/>
      <c r="M355" s="108">
        <f t="shared" si="11"/>
        <v>0</v>
      </c>
      <c r="N355" s="41"/>
      <c r="O355" s="1"/>
      <c r="P355" s="2"/>
      <c r="Q355" s="2"/>
      <c r="R355" s="2"/>
      <c r="S355" s="2"/>
      <c r="T355" s="2"/>
      <c r="U355" s="2"/>
    </row>
    <row r="356" spans="1:21" ht="42.75" customHeight="1">
      <c r="A356"/>
      <c r="B356" s="7">
        <f t="shared" si="12"/>
        <v>343</v>
      </c>
      <c r="C356" s="47"/>
      <c r="D356" s="171"/>
      <c r="E356" s="171"/>
      <c r="F356" s="27"/>
      <c r="G356" s="132"/>
      <c r="H356" s="132"/>
      <c r="I356" s="81"/>
      <c r="J356" s="75"/>
      <c r="K356" s="27"/>
      <c r="L356" s="70"/>
      <c r="M356" s="108">
        <f t="shared" si="11"/>
        <v>0</v>
      </c>
      <c r="N356" s="41"/>
      <c r="O356" s="1"/>
      <c r="P356" s="2"/>
      <c r="Q356" s="2"/>
      <c r="R356" s="2"/>
      <c r="S356" s="2"/>
      <c r="T356" s="2"/>
      <c r="U356" s="2"/>
    </row>
    <row r="357" spans="1:21" ht="42.75" customHeight="1">
      <c r="A357"/>
      <c r="B357" s="7">
        <f t="shared" si="12"/>
        <v>344</v>
      </c>
      <c r="C357" s="47"/>
      <c r="D357" s="171"/>
      <c r="E357" s="171"/>
      <c r="F357" s="27"/>
      <c r="G357" s="132"/>
      <c r="H357" s="132"/>
      <c r="I357" s="81"/>
      <c r="J357" s="75"/>
      <c r="K357" s="27"/>
      <c r="L357" s="70"/>
      <c r="M357" s="108">
        <f t="shared" si="11"/>
        <v>0</v>
      </c>
      <c r="N357" s="41"/>
      <c r="O357" s="1"/>
      <c r="P357" s="2"/>
      <c r="Q357" s="2"/>
      <c r="R357" s="2"/>
      <c r="S357" s="2"/>
      <c r="T357" s="2"/>
      <c r="U357" s="2"/>
    </row>
    <row r="358" spans="1:21" ht="42.75" customHeight="1">
      <c r="A358"/>
      <c r="B358" s="7">
        <f t="shared" si="12"/>
        <v>345</v>
      </c>
      <c r="C358" s="47"/>
      <c r="D358" s="171"/>
      <c r="E358" s="171"/>
      <c r="F358" s="27"/>
      <c r="G358" s="132"/>
      <c r="H358" s="132"/>
      <c r="I358" s="81"/>
      <c r="J358" s="75"/>
      <c r="K358" s="27"/>
      <c r="L358" s="70"/>
      <c r="M358" s="108">
        <f t="shared" si="11"/>
        <v>0</v>
      </c>
      <c r="N358" s="41"/>
      <c r="O358" s="1"/>
      <c r="P358" s="2"/>
      <c r="Q358" s="2"/>
      <c r="R358" s="2"/>
      <c r="S358" s="2"/>
      <c r="T358" s="2"/>
      <c r="U358" s="2"/>
    </row>
    <row r="359" spans="1:21" ht="42.75" customHeight="1">
      <c r="A359"/>
      <c r="B359" s="7">
        <f t="shared" si="12"/>
        <v>346</v>
      </c>
      <c r="C359" s="47"/>
      <c r="D359" s="171"/>
      <c r="E359" s="171"/>
      <c r="F359" s="27"/>
      <c r="G359" s="132"/>
      <c r="H359" s="132"/>
      <c r="I359" s="81"/>
      <c r="J359" s="75"/>
      <c r="K359" s="27"/>
      <c r="L359" s="70"/>
      <c r="M359" s="108">
        <f t="shared" si="11"/>
        <v>0</v>
      </c>
      <c r="N359" s="41"/>
      <c r="O359" s="1"/>
      <c r="P359" s="2"/>
      <c r="Q359" s="2"/>
      <c r="R359" s="2"/>
      <c r="S359" s="2"/>
      <c r="T359" s="2"/>
      <c r="U359" s="2"/>
    </row>
    <row r="360" spans="1:21" ht="42.75" customHeight="1">
      <c r="A360"/>
      <c r="B360" s="7">
        <f t="shared" si="12"/>
        <v>347</v>
      </c>
      <c r="C360" s="47"/>
      <c r="D360" s="171"/>
      <c r="E360" s="171"/>
      <c r="F360" s="27"/>
      <c r="G360" s="132"/>
      <c r="H360" s="132"/>
      <c r="I360" s="81"/>
      <c r="J360" s="75"/>
      <c r="K360" s="27"/>
      <c r="L360" s="70"/>
      <c r="M360" s="108">
        <f t="shared" si="11"/>
        <v>0</v>
      </c>
      <c r="N360" s="41"/>
      <c r="O360" s="1"/>
      <c r="P360" s="2"/>
      <c r="Q360" s="2"/>
      <c r="R360" s="2"/>
      <c r="S360" s="2"/>
      <c r="T360" s="2"/>
      <c r="U360" s="2"/>
    </row>
    <row r="361" spans="1:21" ht="42.75" customHeight="1">
      <c r="A361"/>
      <c r="B361" s="7">
        <f t="shared" si="12"/>
        <v>348</v>
      </c>
      <c r="C361" s="47"/>
      <c r="D361" s="171"/>
      <c r="E361" s="171"/>
      <c r="F361" s="27"/>
      <c r="G361" s="132"/>
      <c r="H361" s="132"/>
      <c r="I361" s="81"/>
      <c r="J361" s="75"/>
      <c r="K361" s="27"/>
      <c r="L361" s="70"/>
      <c r="M361" s="108">
        <f t="shared" si="11"/>
        <v>0</v>
      </c>
      <c r="N361" s="41"/>
      <c r="O361" s="1"/>
      <c r="P361" s="2"/>
      <c r="Q361" s="2"/>
      <c r="R361" s="2"/>
      <c r="S361" s="2"/>
      <c r="T361" s="2"/>
      <c r="U361" s="2"/>
    </row>
    <row r="362" spans="1:21" ht="42.75" customHeight="1">
      <c r="A362"/>
      <c r="B362" s="7">
        <f t="shared" si="12"/>
        <v>349</v>
      </c>
      <c r="C362" s="47"/>
      <c r="D362" s="171"/>
      <c r="E362" s="171"/>
      <c r="F362" s="27"/>
      <c r="G362" s="132"/>
      <c r="H362" s="132"/>
      <c r="I362" s="81"/>
      <c r="J362" s="75"/>
      <c r="K362" s="27"/>
      <c r="L362" s="70"/>
      <c r="M362" s="108">
        <f t="shared" si="11"/>
        <v>0</v>
      </c>
      <c r="N362" s="41"/>
      <c r="O362" s="1"/>
      <c r="P362" s="2"/>
      <c r="Q362" s="2"/>
      <c r="R362" s="2"/>
      <c r="S362" s="2"/>
      <c r="T362" s="2"/>
      <c r="U362" s="2"/>
    </row>
    <row r="363" spans="1:21" ht="42.75" customHeight="1">
      <c r="A363"/>
      <c r="B363" s="7">
        <f t="shared" si="12"/>
        <v>350</v>
      </c>
      <c r="C363" s="47"/>
      <c r="D363" s="171"/>
      <c r="E363" s="171"/>
      <c r="F363" s="27"/>
      <c r="G363" s="132"/>
      <c r="H363" s="132"/>
      <c r="I363" s="81"/>
      <c r="J363" s="75"/>
      <c r="K363" s="27"/>
      <c r="L363" s="70"/>
      <c r="M363" s="108">
        <f t="shared" si="11"/>
        <v>0</v>
      </c>
      <c r="N363" s="41"/>
      <c r="O363" s="1"/>
      <c r="P363" s="2"/>
      <c r="Q363" s="2"/>
      <c r="R363" s="2"/>
      <c r="S363" s="2"/>
      <c r="T363" s="2"/>
      <c r="U363" s="2"/>
    </row>
    <row r="364" spans="1:21" ht="42.75" customHeight="1">
      <c r="A364"/>
      <c r="B364" s="7">
        <f t="shared" si="12"/>
        <v>351</v>
      </c>
      <c r="C364" s="47"/>
      <c r="D364" s="171"/>
      <c r="E364" s="171"/>
      <c r="F364" s="27"/>
      <c r="G364" s="132"/>
      <c r="H364" s="132"/>
      <c r="I364" s="81"/>
      <c r="J364" s="75"/>
      <c r="K364" s="27"/>
      <c r="L364" s="70"/>
      <c r="M364" s="108">
        <f t="shared" si="11"/>
        <v>0</v>
      </c>
      <c r="N364" s="41"/>
      <c r="O364" s="1"/>
      <c r="P364" s="2"/>
      <c r="Q364" s="2"/>
      <c r="R364" s="2"/>
      <c r="S364" s="2"/>
      <c r="T364" s="2"/>
      <c r="U364" s="2"/>
    </row>
    <row r="365" spans="1:21" ht="42.75" customHeight="1">
      <c r="A365"/>
      <c r="B365" s="7">
        <f t="shared" si="12"/>
        <v>352</v>
      </c>
      <c r="C365" s="47"/>
      <c r="D365" s="171"/>
      <c r="E365" s="171"/>
      <c r="F365" s="27"/>
      <c r="G365" s="132"/>
      <c r="H365" s="132"/>
      <c r="I365" s="81"/>
      <c r="J365" s="75"/>
      <c r="K365" s="27"/>
      <c r="L365" s="70"/>
      <c r="M365" s="108">
        <f t="shared" si="11"/>
        <v>0</v>
      </c>
      <c r="N365" s="41"/>
      <c r="O365" s="1"/>
      <c r="P365" s="2"/>
      <c r="Q365" s="2"/>
      <c r="R365" s="2"/>
      <c r="S365" s="2"/>
      <c r="T365" s="2"/>
      <c r="U365" s="2"/>
    </row>
    <row r="366" spans="1:21" ht="42.75" customHeight="1">
      <c r="A366"/>
      <c r="B366" s="7">
        <f t="shared" si="12"/>
        <v>353</v>
      </c>
      <c r="C366" s="47"/>
      <c r="D366" s="171"/>
      <c r="E366" s="171"/>
      <c r="F366" s="27"/>
      <c r="G366" s="132"/>
      <c r="H366" s="132"/>
      <c r="I366" s="81"/>
      <c r="J366" s="75"/>
      <c r="K366" s="27"/>
      <c r="L366" s="70"/>
      <c r="M366" s="108">
        <f t="shared" si="11"/>
        <v>0</v>
      </c>
      <c r="N366" s="41"/>
      <c r="O366" s="1"/>
      <c r="P366" s="2"/>
      <c r="Q366" s="2"/>
      <c r="R366" s="2"/>
      <c r="S366" s="2"/>
      <c r="T366" s="2"/>
      <c r="U366" s="2"/>
    </row>
    <row r="367" spans="1:21" ht="42.75" customHeight="1">
      <c r="A367"/>
      <c r="B367" s="7">
        <f t="shared" si="12"/>
        <v>354</v>
      </c>
      <c r="C367" s="47"/>
      <c r="D367" s="171"/>
      <c r="E367" s="171"/>
      <c r="F367" s="27"/>
      <c r="G367" s="132"/>
      <c r="H367" s="132"/>
      <c r="I367" s="81"/>
      <c r="J367" s="75"/>
      <c r="K367" s="27"/>
      <c r="L367" s="70"/>
      <c r="M367" s="108">
        <f t="shared" si="11"/>
        <v>0</v>
      </c>
      <c r="N367" s="41"/>
      <c r="O367" s="1"/>
      <c r="P367" s="2"/>
      <c r="Q367" s="2"/>
      <c r="R367" s="2"/>
      <c r="S367" s="2"/>
      <c r="T367" s="2"/>
      <c r="U367" s="2"/>
    </row>
    <row r="368" spans="1:21" ht="35.1" customHeight="1">
      <c r="A368"/>
      <c r="B368" s="7">
        <f t="shared" si="12"/>
        <v>355</v>
      </c>
      <c r="C368" s="47"/>
      <c r="D368" s="171"/>
      <c r="E368" s="171"/>
      <c r="F368" s="30"/>
      <c r="G368" s="132"/>
      <c r="H368" s="132"/>
      <c r="I368" s="81"/>
      <c r="J368" s="75"/>
      <c r="K368" s="34"/>
      <c r="L368" s="75"/>
      <c r="M368" s="108">
        <f t="shared" si="11"/>
        <v>0</v>
      </c>
      <c r="N368" s="41"/>
      <c r="O368" s="1"/>
      <c r="P368" s="2"/>
      <c r="Q368" s="2"/>
      <c r="R368" s="2"/>
      <c r="S368" s="2"/>
      <c r="T368" s="2"/>
      <c r="U368" s="2"/>
    </row>
    <row r="369" spans="1:98" ht="35.1" customHeight="1">
      <c r="A369"/>
      <c r="B369" s="7">
        <f t="shared" si="12"/>
        <v>356</v>
      </c>
      <c r="C369" s="47"/>
      <c r="D369" s="171"/>
      <c r="E369" s="171"/>
      <c r="F369" s="30"/>
      <c r="G369" s="132"/>
      <c r="H369" s="132"/>
      <c r="I369" s="81"/>
      <c r="J369" s="75"/>
      <c r="K369" s="34"/>
      <c r="L369" s="75"/>
      <c r="M369" s="108">
        <f t="shared" si="11"/>
        <v>0</v>
      </c>
      <c r="N369" s="41"/>
      <c r="O369" s="1"/>
      <c r="P369" s="2"/>
      <c r="Q369" s="2"/>
      <c r="R369" s="2"/>
      <c r="S369" s="2"/>
      <c r="T369" s="2"/>
      <c r="U369" s="2"/>
    </row>
    <row r="370" spans="1:98" ht="35.1" customHeight="1">
      <c r="A370"/>
      <c r="B370" s="7">
        <f t="shared" si="12"/>
        <v>357</v>
      </c>
      <c r="C370" s="47"/>
      <c r="D370" s="171"/>
      <c r="E370" s="171"/>
      <c r="F370" s="30"/>
      <c r="G370" s="132"/>
      <c r="H370" s="132"/>
      <c r="I370" s="81"/>
      <c r="J370" s="75"/>
      <c r="K370" s="34"/>
      <c r="L370" s="75"/>
      <c r="M370" s="108">
        <f t="shared" si="11"/>
        <v>0</v>
      </c>
      <c r="N370" s="41"/>
      <c r="O370" s="1"/>
      <c r="P370" s="2"/>
      <c r="Q370" s="2"/>
      <c r="R370" s="2"/>
      <c r="S370" s="2"/>
      <c r="T370" s="2"/>
      <c r="U370" s="2"/>
    </row>
    <row r="371" spans="1:98" ht="35.1" customHeight="1">
      <c r="A371"/>
      <c r="B371" s="7">
        <f t="shared" si="12"/>
        <v>358</v>
      </c>
      <c r="C371" s="47"/>
      <c r="D371" s="171"/>
      <c r="E371" s="171"/>
      <c r="F371" s="30"/>
      <c r="G371" s="132"/>
      <c r="H371" s="132"/>
      <c r="I371" s="81"/>
      <c r="J371" s="75"/>
      <c r="K371" s="34"/>
      <c r="L371" s="75"/>
      <c r="M371" s="108">
        <f t="shared" si="11"/>
        <v>0</v>
      </c>
      <c r="N371" s="41"/>
      <c r="O371" s="1"/>
      <c r="P371" s="2"/>
      <c r="Q371" s="2"/>
      <c r="R371" s="2"/>
      <c r="S371" s="2"/>
      <c r="T371" s="2"/>
      <c r="U371" s="2"/>
    </row>
    <row r="372" spans="1:98" ht="48" customHeight="1">
      <c r="A372"/>
      <c r="B372" s="7">
        <f t="shared" si="12"/>
        <v>359</v>
      </c>
      <c r="C372" s="47"/>
      <c r="D372" s="171"/>
      <c r="E372" s="171"/>
      <c r="F372" s="27"/>
      <c r="G372" s="132"/>
      <c r="H372" s="132"/>
      <c r="I372" s="81"/>
      <c r="J372" s="75"/>
      <c r="K372" s="27"/>
      <c r="L372" s="70"/>
      <c r="M372" s="108">
        <f t="shared" si="11"/>
        <v>0</v>
      </c>
      <c r="N372" s="41"/>
      <c r="O372" s="1"/>
      <c r="P372" s="2"/>
      <c r="Q372" s="2"/>
      <c r="R372" s="2"/>
      <c r="S372" s="2"/>
      <c r="T372" s="2"/>
      <c r="U372" s="2"/>
    </row>
    <row r="373" spans="1:98" ht="48" customHeight="1">
      <c r="A373"/>
      <c r="B373" s="7">
        <f t="shared" si="12"/>
        <v>360</v>
      </c>
      <c r="C373" s="47"/>
      <c r="D373" s="171"/>
      <c r="E373" s="171"/>
      <c r="F373" s="27"/>
      <c r="G373" s="132"/>
      <c r="H373" s="132"/>
      <c r="I373" s="81"/>
      <c r="J373" s="75"/>
      <c r="K373" s="27"/>
      <c r="L373" s="70"/>
      <c r="M373" s="108">
        <f t="shared" si="11"/>
        <v>0</v>
      </c>
      <c r="N373" s="41"/>
      <c r="O373" s="1"/>
      <c r="P373" s="2"/>
      <c r="Q373" s="2"/>
      <c r="R373" s="2"/>
      <c r="S373" s="2"/>
      <c r="T373" s="2"/>
      <c r="U373" s="2"/>
    </row>
    <row r="374" spans="1:98" ht="48" customHeight="1">
      <c r="A374"/>
      <c r="B374" s="7">
        <f t="shared" si="12"/>
        <v>361</v>
      </c>
      <c r="C374" s="47"/>
      <c r="D374" s="171"/>
      <c r="E374" s="171"/>
      <c r="F374" s="27"/>
      <c r="G374" s="132"/>
      <c r="H374" s="132"/>
      <c r="I374" s="81"/>
      <c r="J374" s="75"/>
      <c r="K374" s="27"/>
      <c r="L374" s="70"/>
      <c r="M374" s="108">
        <f t="shared" si="11"/>
        <v>0</v>
      </c>
      <c r="N374" s="41"/>
      <c r="O374" s="1"/>
      <c r="P374" s="2"/>
      <c r="Q374" s="2"/>
      <c r="R374" s="2"/>
      <c r="S374" s="2"/>
      <c r="T374" s="2"/>
      <c r="U374" s="2"/>
    </row>
    <row r="375" spans="1:98" ht="48" customHeight="1">
      <c r="A375"/>
      <c r="B375" s="7">
        <f t="shared" si="12"/>
        <v>362</v>
      </c>
      <c r="C375" s="47"/>
      <c r="D375" s="171"/>
      <c r="E375" s="171"/>
      <c r="F375" s="27"/>
      <c r="G375" s="132"/>
      <c r="H375" s="132"/>
      <c r="I375" s="81"/>
      <c r="J375" s="75"/>
      <c r="K375" s="27"/>
      <c r="L375" s="70"/>
      <c r="M375" s="108">
        <f t="shared" si="11"/>
        <v>0</v>
      </c>
      <c r="N375" s="41"/>
      <c r="O375" s="1"/>
      <c r="P375" s="2"/>
      <c r="Q375" s="2"/>
      <c r="R375" s="2"/>
      <c r="S375" s="2"/>
      <c r="T375" s="2"/>
      <c r="U375" s="2"/>
    </row>
    <row r="376" spans="1:98" ht="48" customHeight="1">
      <c r="A376"/>
      <c r="B376" s="7">
        <f t="shared" si="12"/>
        <v>363</v>
      </c>
      <c r="C376" s="47"/>
      <c r="D376" s="171"/>
      <c r="E376" s="171"/>
      <c r="F376" s="27"/>
      <c r="G376" s="132"/>
      <c r="H376" s="132"/>
      <c r="I376" s="81"/>
      <c r="J376" s="75"/>
      <c r="K376" s="27"/>
      <c r="L376" s="70"/>
      <c r="M376" s="108">
        <f t="shared" si="11"/>
        <v>0</v>
      </c>
      <c r="N376" s="41"/>
      <c r="O376" s="1"/>
      <c r="P376" s="2"/>
      <c r="Q376" s="2"/>
      <c r="R376" s="2"/>
      <c r="S376" s="2"/>
      <c r="T376" s="2"/>
      <c r="U376" s="2"/>
    </row>
    <row r="377" spans="1:98" ht="35.1" customHeight="1">
      <c r="A377"/>
      <c r="B377" s="7">
        <f t="shared" si="12"/>
        <v>364</v>
      </c>
      <c r="C377" s="47"/>
      <c r="D377" s="171"/>
      <c r="E377" s="171"/>
      <c r="F377" s="27"/>
      <c r="G377" s="132"/>
      <c r="H377" s="132"/>
      <c r="I377" s="81"/>
      <c r="J377" s="75"/>
      <c r="K377" s="27"/>
      <c r="L377" s="70"/>
      <c r="M377" s="108">
        <f t="shared" si="11"/>
        <v>0</v>
      </c>
      <c r="N377" s="41"/>
      <c r="O377" s="1"/>
      <c r="P377" s="2"/>
      <c r="Q377" s="2"/>
      <c r="R377" s="2"/>
      <c r="S377" s="2"/>
      <c r="T377" s="2"/>
      <c r="U377" s="2"/>
    </row>
    <row r="378" spans="1:98" ht="35.1" customHeight="1">
      <c r="A378"/>
      <c r="B378" s="7">
        <f t="shared" si="12"/>
        <v>365</v>
      </c>
      <c r="C378" s="47"/>
      <c r="D378" s="171"/>
      <c r="E378" s="171"/>
      <c r="F378" s="27"/>
      <c r="G378" s="132"/>
      <c r="H378" s="132"/>
      <c r="I378" s="81"/>
      <c r="J378" s="75"/>
      <c r="K378" s="27"/>
      <c r="L378" s="70"/>
      <c r="M378" s="108">
        <f t="shared" si="11"/>
        <v>0</v>
      </c>
      <c r="N378" s="41"/>
      <c r="O378" s="1"/>
      <c r="P378" s="2"/>
      <c r="Q378" s="2"/>
      <c r="R378" s="2"/>
      <c r="S378" s="2"/>
      <c r="T378" s="2"/>
      <c r="U378" s="2"/>
    </row>
    <row r="379" spans="1:98" ht="35.1" customHeight="1">
      <c r="A379"/>
      <c r="B379" s="7">
        <f t="shared" si="12"/>
        <v>366</v>
      </c>
      <c r="C379" s="47"/>
      <c r="D379" s="171"/>
      <c r="E379" s="171"/>
      <c r="F379" s="27"/>
      <c r="G379" s="132"/>
      <c r="H379" s="132"/>
      <c r="I379" s="81"/>
      <c r="J379" s="75"/>
      <c r="K379" s="27"/>
      <c r="L379" s="70"/>
      <c r="M379" s="108">
        <f t="shared" si="11"/>
        <v>0</v>
      </c>
      <c r="N379" s="41"/>
      <c r="O379" s="1"/>
      <c r="P379" s="2"/>
      <c r="Q379" s="2"/>
      <c r="R379" s="2"/>
      <c r="S379" s="2"/>
      <c r="T379" s="2"/>
      <c r="U379" s="2"/>
    </row>
    <row r="380" spans="1:98" ht="35.1" customHeight="1">
      <c r="A380"/>
      <c r="B380" s="7">
        <f t="shared" si="12"/>
        <v>367</v>
      </c>
      <c r="C380" s="47"/>
      <c r="D380" s="171"/>
      <c r="E380" s="171"/>
      <c r="F380" s="27"/>
      <c r="G380" s="132"/>
      <c r="H380" s="132"/>
      <c r="I380" s="81"/>
      <c r="J380" s="75"/>
      <c r="K380" s="27"/>
      <c r="L380" s="70"/>
      <c r="M380" s="108">
        <f t="shared" si="11"/>
        <v>0</v>
      </c>
      <c r="N380" s="41"/>
      <c r="O380" s="1"/>
      <c r="P380" s="2"/>
      <c r="Q380" s="2"/>
      <c r="R380" s="2"/>
      <c r="S380" s="2"/>
      <c r="T380" s="2"/>
      <c r="U380" s="2"/>
    </row>
    <row r="381" spans="1:98" ht="35.1" customHeight="1">
      <c r="A381"/>
      <c r="B381" s="7">
        <f t="shared" si="12"/>
        <v>368</v>
      </c>
      <c r="C381" s="47"/>
      <c r="D381" s="171"/>
      <c r="E381" s="171"/>
      <c r="F381" s="27"/>
      <c r="G381" s="132"/>
      <c r="H381" s="132"/>
      <c r="I381" s="81"/>
      <c r="J381" s="75"/>
      <c r="K381" s="27"/>
      <c r="L381" s="70"/>
      <c r="M381" s="108">
        <f t="shared" si="11"/>
        <v>0</v>
      </c>
      <c r="N381" s="41"/>
      <c r="O381" s="1"/>
      <c r="P381" s="2"/>
      <c r="Q381" s="2"/>
      <c r="R381" s="2"/>
      <c r="S381" s="2"/>
      <c r="T381" s="2"/>
      <c r="U381" s="2"/>
    </row>
    <row r="382" spans="1:98" ht="35.1" customHeight="1">
      <c r="A382"/>
      <c r="B382" s="7">
        <f t="shared" si="12"/>
        <v>369</v>
      </c>
      <c r="C382" s="47"/>
      <c r="D382" s="171"/>
      <c r="E382" s="171"/>
      <c r="F382" s="27"/>
      <c r="G382" s="132"/>
      <c r="H382" s="132"/>
      <c r="I382" s="81"/>
      <c r="J382" s="75"/>
      <c r="K382" s="27"/>
      <c r="L382" s="70"/>
      <c r="M382" s="108">
        <f t="shared" si="11"/>
        <v>0</v>
      </c>
      <c r="N382" s="41"/>
      <c r="O382" s="1"/>
      <c r="P382" s="2"/>
      <c r="Q382" s="2"/>
      <c r="R382" s="2"/>
      <c r="S382" s="2"/>
      <c r="T382" s="2"/>
      <c r="U382" s="2"/>
    </row>
    <row r="383" spans="1:98" ht="35.1" customHeight="1">
      <c r="A383"/>
      <c r="B383" s="7">
        <f t="shared" si="12"/>
        <v>370</v>
      </c>
      <c r="C383" s="93"/>
      <c r="D383" s="171"/>
      <c r="E383" s="171"/>
      <c r="F383" s="27"/>
      <c r="G383" s="132"/>
      <c r="H383" s="132"/>
      <c r="I383" s="81"/>
      <c r="J383" s="75"/>
      <c r="K383" s="27"/>
      <c r="L383" s="70"/>
      <c r="M383" s="108">
        <f t="shared" si="11"/>
        <v>0</v>
      </c>
      <c r="N383" s="41"/>
      <c r="O383" s="1"/>
      <c r="P383" s="2"/>
      <c r="Q383" s="2"/>
      <c r="R383" s="2"/>
      <c r="S383" s="2"/>
      <c r="T383" s="2"/>
      <c r="U383" s="2"/>
    </row>
    <row r="384" spans="1:98" ht="35.1" customHeight="1">
      <c r="A384"/>
      <c r="B384" s="7">
        <f t="shared" si="12"/>
        <v>371</v>
      </c>
      <c r="C384" s="93"/>
      <c r="D384" s="171"/>
      <c r="E384" s="171"/>
      <c r="F384" s="27"/>
      <c r="G384" s="132"/>
      <c r="H384" s="132"/>
      <c r="I384" s="81"/>
      <c r="J384" s="75"/>
      <c r="K384" s="27"/>
      <c r="L384" s="70"/>
      <c r="M384" s="108">
        <f t="shared" si="11"/>
        <v>0</v>
      </c>
      <c r="N384" s="41"/>
      <c r="O384" s="1"/>
      <c r="P384" s="2"/>
      <c r="Q384" s="2"/>
      <c r="R384" s="2"/>
      <c r="S384" s="2"/>
      <c r="T384" s="2"/>
      <c r="U384" s="2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  <c r="BB384" s="48"/>
      <c r="BC384" s="48"/>
      <c r="BD384" s="48"/>
      <c r="BE384" s="48"/>
      <c r="BF384" s="48"/>
      <c r="BG384" s="48"/>
      <c r="BH384" s="48"/>
      <c r="BI384" s="48"/>
      <c r="BJ384" s="48"/>
      <c r="BK384" s="48"/>
      <c r="BL384" s="48"/>
      <c r="BM384" s="48"/>
      <c r="BN384" s="48"/>
      <c r="BO384" s="48"/>
      <c r="BP384" s="48"/>
      <c r="BQ384" s="48"/>
      <c r="BR384" s="48"/>
      <c r="BS384" s="48"/>
      <c r="BT384" s="48"/>
      <c r="BU384" s="48"/>
      <c r="BV384" s="48"/>
      <c r="BW384" s="48"/>
      <c r="BX384" s="48"/>
      <c r="BY384" s="48"/>
      <c r="BZ384" s="48"/>
      <c r="CA384" s="48"/>
      <c r="CB384" s="48"/>
      <c r="CC384" s="48"/>
      <c r="CD384" s="48"/>
      <c r="CE384" s="48"/>
      <c r="CF384" s="48"/>
      <c r="CG384" s="48"/>
      <c r="CH384" s="48"/>
      <c r="CI384" s="48"/>
      <c r="CJ384" s="48"/>
      <c r="CK384" s="48"/>
      <c r="CL384" s="48"/>
      <c r="CM384" s="48"/>
      <c r="CN384" s="48"/>
      <c r="CO384" s="48"/>
      <c r="CP384" s="48"/>
      <c r="CQ384" s="48"/>
      <c r="CR384" s="48"/>
      <c r="CS384" s="48"/>
      <c r="CT384" s="48"/>
    </row>
    <row r="385" spans="1:125" ht="35.1" customHeight="1">
      <c r="A385"/>
      <c r="B385" s="7">
        <f t="shared" si="12"/>
        <v>372</v>
      </c>
      <c r="C385" s="93"/>
      <c r="D385" s="171"/>
      <c r="E385" s="171"/>
      <c r="F385" s="27"/>
      <c r="G385" s="132"/>
      <c r="H385" s="132"/>
      <c r="I385" s="81"/>
      <c r="J385" s="75"/>
      <c r="K385" s="27"/>
      <c r="L385" s="70"/>
      <c r="M385" s="108">
        <f t="shared" si="11"/>
        <v>0</v>
      </c>
      <c r="N385" s="41"/>
      <c r="O385" s="1"/>
      <c r="P385" s="2"/>
      <c r="Q385" s="2"/>
      <c r="R385" s="2"/>
      <c r="S385" s="2"/>
      <c r="T385" s="2"/>
      <c r="U385" s="2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  <c r="BB385" s="48"/>
      <c r="BC385" s="48"/>
      <c r="BD385" s="48"/>
      <c r="BE385" s="48"/>
      <c r="BF385" s="48"/>
      <c r="BG385" s="48"/>
      <c r="BH385" s="48"/>
      <c r="BI385" s="48"/>
      <c r="BJ385" s="48"/>
      <c r="BK385" s="48"/>
      <c r="BL385" s="48"/>
      <c r="BM385" s="48"/>
      <c r="BN385" s="48"/>
      <c r="BO385" s="48"/>
      <c r="BP385" s="48"/>
      <c r="BQ385" s="48"/>
      <c r="BR385" s="48"/>
      <c r="BS385" s="48"/>
      <c r="BT385" s="48"/>
      <c r="BU385" s="48"/>
      <c r="BV385" s="48"/>
      <c r="BW385" s="48"/>
      <c r="BX385" s="48"/>
      <c r="BY385" s="48"/>
      <c r="BZ385" s="48"/>
      <c r="CA385" s="48"/>
      <c r="CB385" s="48"/>
      <c r="CC385" s="48"/>
      <c r="CD385" s="48"/>
      <c r="CE385" s="48"/>
      <c r="CF385" s="48"/>
      <c r="CG385" s="48"/>
      <c r="CH385" s="48"/>
      <c r="CI385" s="48"/>
      <c r="CJ385" s="48"/>
      <c r="CK385" s="48"/>
      <c r="CL385" s="48"/>
      <c r="CM385" s="48"/>
      <c r="CN385" s="48"/>
      <c r="CO385" s="48"/>
      <c r="CP385" s="48"/>
      <c r="CQ385" s="48"/>
      <c r="CR385" s="48"/>
      <c r="CS385" s="48"/>
      <c r="CT385" s="48"/>
    </row>
    <row r="386" spans="1:125" ht="35.1" customHeight="1">
      <c r="A386"/>
      <c r="B386" s="7">
        <f t="shared" si="12"/>
        <v>373</v>
      </c>
      <c r="C386" s="93"/>
      <c r="D386" s="171"/>
      <c r="E386" s="171"/>
      <c r="F386" s="27"/>
      <c r="G386" s="132"/>
      <c r="H386" s="132"/>
      <c r="I386" s="81"/>
      <c r="J386" s="75"/>
      <c r="K386" s="27"/>
      <c r="L386" s="70"/>
      <c r="M386" s="108">
        <f t="shared" si="11"/>
        <v>0</v>
      </c>
      <c r="N386" s="41"/>
      <c r="O386" s="1"/>
      <c r="P386" s="2"/>
      <c r="Q386" s="2"/>
      <c r="R386" s="2"/>
      <c r="S386" s="2"/>
      <c r="T386" s="2"/>
      <c r="U386" s="2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  <c r="BB386" s="48"/>
      <c r="BC386" s="48"/>
      <c r="BD386" s="48"/>
      <c r="BE386" s="48"/>
      <c r="BF386" s="48"/>
      <c r="BG386" s="48"/>
      <c r="BH386" s="48"/>
      <c r="BI386" s="48"/>
      <c r="BJ386" s="48"/>
      <c r="BK386" s="48"/>
      <c r="BL386" s="48"/>
      <c r="BM386" s="48"/>
      <c r="BN386" s="48"/>
      <c r="BO386" s="48"/>
      <c r="BP386" s="48"/>
      <c r="BQ386" s="48"/>
      <c r="BR386" s="48"/>
      <c r="BS386" s="48"/>
      <c r="BT386" s="48"/>
      <c r="BU386" s="48"/>
      <c r="BV386" s="48"/>
      <c r="BW386" s="48"/>
      <c r="BX386" s="48"/>
      <c r="BY386" s="48"/>
      <c r="BZ386" s="48"/>
      <c r="CA386" s="48"/>
      <c r="CB386" s="48"/>
      <c r="CC386" s="48"/>
      <c r="CD386" s="48"/>
      <c r="CE386" s="48"/>
      <c r="CF386" s="48"/>
      <c r="CG386" s="48"/>
      <c r="CH386" s="48"/>
      <c r="CI386" s="48"/>
      <c r="CJ386" s="48"/>
      <c r="CK386" s="48"/>
      <c r="CL386" s="48"/>
      <c r="CM386" s="48"/>
      <c r="CN386" s="48"/>
      <c r="CO386" s="48"/>
      <c r="CP386" s="48"/>
      <c r="CQ386" s="48"/>
      <c r="CR386" s="48"/>
      <c r="CS386" s="48"/>
      <c r="CT386" s="48"/>
    </row>
    <row r="387" spans="1:125" ht="35.1" customHeight="1">
      <c r="A387"/>
      <c r="B387" s="7">
        <f t="shared" si="12"/>
        <v>374</v>
      </c>
      <c r="C387" s="93"/>
      <c r="D387" s="171"/>
      <c r="E387" s="171"/>
      <c r="F387" s="27"/>
      <c r="G387" s="132"/>
      <c r="H387" s="132"/>
      <c r="I387" s="81"/>
      <c r="J387" s="75"/>
      <c r="K387" s="27"/>
      <c r="L387" s="70"/>
      <c r="M387" s="108">
        <f t="shared" si="11"/>
        <v>0</v>
      </c>
      <c r="N387" s="41"/>
      <c r="O387" s="1"/>
      <c r="P387" s="2"/>
      <c r="Q387" s="2"/>
      <c r="R387" s="2"/>
      <c r="S387" s="2"/>
      <c r="T387" s="2"/>
      <c r="U387" s="2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  <c r="BB387" s="48"/>
      <c r="BC387" s="48"/>
      <c r="BD387" s="48"/>
      <c r="BE387" s="48"/>
      <c r="BF387" s="48"/>
      <c r="BG387" s="48"/>
      <c r="BH387" s="48"/>
      <c r="BI387" s="48"/>
      <c r="BJ387" s="48"/>
      <c r="BK387" s="48"/>
      <c r="BL387" s="48"/>
      <c r="BM387" s="48"/>
      <c r="BN387" s="48"/>
      <c r="BO387" s="48"/>
      <c r="BP387" s="48"/>
      <c r="BQ387" s="48"/>
      <c r="BR387" s="48"/>
      <c r="BS387" s="48"/>
      <c r="BT387" s="48"/>
      <c r="BU387" s="48"/>
      <c r="BV387" s="48"/>
      <c r="BW387" s="48"/>
      <c r="BX387" s="48"/>
      <c r="BY387" s="48"/>
      <c r="BZ387" s="48"/>
      <c r="CA387" s="48"/>
      <c r="CB387" s="48"/>
      <c r="CC387" s="48"/>
      <c r="CD387" s="48"/>
      <c r="CE387" s="48"/>
      <c r="CF387" s="48"/>
      <c r="CG387" s="48"/>
      <c r="CH387" s="48"/>
      <c r="CI387" s="48"/>
      <c r="CJ387" s="48"/>
      <c r="CK387" s="48"/>
      <c r="CL387" s="48"/>
      <c r="CM387" s="48"/>
      <c r="CN387" s="48"/>
      <c r="CO387" s="48"/>
      <c r="CP387" s="48"/>
      <c r="CQ387" s="48"/>
      <c r="CR387" s="48"/>
      <c r="CS387" s="48"/>
      <c r="CT387" s="48"/>
    </row>
    <row r="388" spans="1:125" ht="35.1" customHeight="1">
      <c r="A388"/>
      <c r="B388" s="7">
        <f t="shared" si="12"/>
        <v>375</v>
      </c>
      <c r="C388" s="94"/>
      <c r="D388" s="171"/>
      <c r="E388" s="171"/>
      <c r="F388" s="27"/>
      <c r="G388" s="132"/>
      <c r="H388" s="132"/>
      <c r="I388" s="81"/>
      <c r="J388" s="75"/>
      <c r="K388" s="44"/>
      <c r="L388" s="78"/>
      <c r="M388" s="108">
        <f t="shared" si="11"/>
        <v>0</v>
      </c>
      <c r="N388" s="41"/>
      <c r="O388" s="1"/>
      <c r="P388" s="2"/>
      <c r="Q388" s="2"/>
      <c r="R388" s="2"/>
      <c r="S388" s="2"/>
      <c r="T388" s="2"/>
      <c r="U388" s="2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  <c r="BB388" s="48"/>
      <c r="BC388" s="48"/>
      <c r="BD388" s="48"/>
      <c r="BE388" s="48"/>
      <c r="BF388" s="48"/>
      <c r="BG388" s="48"/>
      <c r="BH388" s="48"/>
      <c r="BI388" s="48"/>
      <c r="BJ388" s="48"/>
      <c r="BK388" s="48"/>
      <c r="BL388" s="48"/>
      <c r="BM388" s="48"/>
      <c r="BN388" s="48"/>
      <c r="BO388" s="48"/>
      <c r="BP388" s="48"/>
      <c r="BQ388" s="48"/>
      <c r="BR388" s="48"/>
      <c r="BS388" s="48"/>
      <c r="BT388" s="48"/>
      <c r="BU388" s="48"/>
      <c r="BV388" s="48"/>
      <c r="BW388" s="48"/>
      <c r="BX388" s="48"/>
      <c r="BY388" s="48"/>
      <c r="BZ388" s="48"/>
      <c r="CA388" s="48"/>
      <c r="CB388" s="48"/>
      <c r="CC388" s="48"/>
      <c r="CD388" s="48"/>
      <c r="CE388" s="48"/>
      <c r="CF388" s="48"/>
      <c r="CG388" s="48"/>
      <c r="CH388" s="48"/>
      <c r="CI388" s="48"/>
      <c r="CJ388" s="48"/>
      <c r="CK388" s="48"/>
      <c r="CL388" s="48"/>
      <c r="CM388" s="48"/>
      <c r="CN388" s="48"/>
      <c r="CO388" s="48"/>
      <c r="CP388" s="48"/>
      <c r="CQ388" s="48"/>
      <c r="CR388" s="48"/>
      <c r="CS388" s="48"/>
      <c r="CT388" s="48"/>
    </row>
    <row r="389" spans="1:125" ht="35.1" customHeight="1">
      <c r="A389"/>
      <c r="B389" s="7">
        <f t="shared" si="12"/>
        <v>376</v>
      </c>
      <c r="C389" s="95"/>
      <c r="D389" s="171"/>
      <c r="E389" s="171"/>
      <c r="F389" s="27"/>
      <c r="G389" s="132"/>
      <c r="H389" s="132"/>
      <c r="I389" s="81"/>
      <c r="J389" s="75"/>
      <c r="K389" s="27"/>
      <c r="L389" s="52"/>
      <c r="M389" s="108">
        <f t="shared" si="11"/>
        <v>0</v>
      </c>
      <c r="N389" s="41"/>
      <c r="O389" s="1"/>
      <c r="P389" s="2"/>
      <c r="Q389" s="2"/>
      <c r="R389" s="2"/>
      <c r="S389" s="2"/>
      <c r="T389" s="2"/>
      <c r="U389" s="2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  <c r="CT389" s="48"/>
    </row>
    <row r="390" spans="1:125" ht="35.1" customHeight="1">
      <c r="A390"/>
      <c r="B390" s="7">
        <f t="shared" si="12"/>
        <v>377</v>
      </c>
      <c r="C390" s="95"/>
      <c r="D390" s="171"/>
      <c r="E390" s="171"/>
      <c r="F390" s="27"/>
      <c r="G390" s="132"/>
      <c r="H390" s="132"/>
      <c r="I390" s="81"/>
      <c r="J390" s="75"/>
      <c r="K390" s="27"/>
      <c r="L390" s="52"/>
      <c r="M390" s="108">
        <f t="shared" si="11"/>
        <v>0</v>
      </c>
      <c r="N390" s="41"/>
      <c r="O390" s="1"/>
      <c r="P390" s="2"/>
      <c r="Q390" s="2"/>
      <c r="R390" s="2"/>
      <c r="S390" s="2"/>
      <c r="T390" s="2"/>
      <c r="U390" s="2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  <c r="CT390" s="48"/>
    </row>
    <row r="391" spans="1:125" ht="48.75" customHeight="1">
      <c r="A391"/>
      <c r="B391" s="7">
        <f t="shared" si="12"/>
        <v>378</v>
      </c>
      <c r="C391" s="95"/>
      <c r="D391" s="171"/>
      <c r="E391" s="171"/>
      <c r="F391" s="27"/>
      <c r="G391" s="132"/>
      <c r="H391" s="132"/>
      <c r="I391" s="81"/>
      <c r="J391" s="75"/>
      <c r="K391" s="27"/>
      <c r="L391" s="52"/>
      <c r="M391" s="108">
        <f t="shared" si="11"/>
        <v>0</v>
      </c>
      <c r="N391" s="41"/>
      <c r="O391" s="1"/>
      <c r="P391" s="2"/>
      <c r="Q391" s="2"/>
      <c r="R391" s="2"/>
      <c r="S391" s="2"/>
      <c r="T391" s="2"/>
      <c r="U391" s="2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48"/>
      <c r="CV391" s="48"/>
      <c r="CW391" s="48"/>
      <c r="CX391" s="48"/>
      <c r="CY391" s="48"/>
      <c r="CZ391" s="48"/>
      <c r="DA391" s="48"/>
      <c r="DB391" s="48"/>
      <c r="DC391" s="48"/>
      <c r="DD391" s="48"/>
      <c r="DE391" s="48"/>
      <c r="DF391" s="48"/>
      <c r="DG391" s="48"/>
      <c r="DH391" s="48"/>
      <c r="DI391" s="48"/>
      <c r="DJ391" s="48"/>
      <c r="DK391" s="48"/>
      <c r="DL391" s="48"/>
      <c r="DM391" s="48"/>
      <c r="DN391" s="48"/>
      <c r="DO391" s="48"/>
      <c r="DP391" s="48"/>
      <c r="DQ391" s="48"/>
      <c r="DR391" s="48"/>
      <c r="DS391" s="48"/>
      <c r="DT391" s="48"/>
      <c r="DU391" s="48"/>
    </row>
    <row r="392" spans="1:125" ht="48.75" customHeight="1">
      <c r="A392"/>
      <c r="B392" s="7">
        <f t="shared" si="12"/>
        <v>379</v>
      </c>
      <c r="C392" s="95"/>
      <c r="D392" s="171"/>
      <c r="E392" s="171"/>
      <c r="F392" s="27"/>
      <c r="G392" s="132"/>
      <c r="H392" s="132"/>
      <c r="I392" s="81"/>
      <c r="J392" s="75"/>
      <c r="K392" s="27"/>
      <c r="L392" s="52"/>
      <c r="M392" s="108">
        <f t="shared" si="11"/>
        <v>0</v>
      </c>
      <c r="N392" s="41"/>
      <c r="O392" s="1"/>
      <c r="P392" s="2"/>
      <c r="Q392" s="2"/>
      <c r="R392" s="2"/>
      <c r="S392" s="2"/>
      <c r="T392" s="2"/>
      <c r="U392" s="2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48"/>
      <c r="CV392" s="48"/>
      <c r="CW392" s="48"/>
      <c r="CX392" s="48"/>
      <c r="CY392" s="48"/>
      <c r="CZ392" s="48"/>
      <c r="DA392" s="48"/>
      <c r="DB392" s="48"/>
      <c r="DC392" s="48"/>
      <c r="DD392" s="48"/>
      <c r="DE392" s="48"/>
      <c r="DF392" s="48"/>
      <c r="DG392" s="48"/>
      <c r="DH392" s="48"/>
      <c r="DI392" s="48"/>
      <c r="DJ392" s="48"/>
      <c r="DK392" s="48"/>
      <c r="DL392" s="48"/>
      <c r="DM392" s="48"/>
      <c r="DN392" s="48"/>
      <c r="DO392" s="48"/>
      <c r="DP392" s="48"/>
      <c r="DQ392" s="48"/>
      <c r="DR392" s="48"/>
      <c r="DS392" s="48"/>
      <c r="DT392" s="48"/>
      <c r="DU392" s="48"/>
    </row>
    <row r="393" spans="1:125" ht="48.75" customHeight="1">
      <c r="A393"/>
      <c r="B393" s="7">
        <f t="shared" si="12"/>
        <v>380</v>
      </c>
      <c r="C393" s="95"/>
      <c r="D393" s="171"/>
      <c r="E393" s="171"/>
      <c r="F393" s="27"/>
      <c r="G393" s="132"/>
      <c r="H393" s="132"/>
      <c r="I393" s="81"/>
      <c r="J393" s="75"/>
      <c r="K393" s="27"/>
      <c r="L393" s="52"/>
      <c r="M393" s="108">
        <f t="shared" si="11"/>
        <v>0</v>
      </c>
      <c r="N393" s="41"/>
      <c r="O393" s="1"/>
      <c r="P393" s="2"/>
      <c r="Q393" s="2"/>
      <c r="R393" s="2"/>
      <c r="S393" s="2"/>
      <c r="T393" s="2"/>
      <c r="U393" s="2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48"/>
      <c r="CV393" s="48"/>
      <c r="CW393" s="48"/>
      <c r="CX393" s="48"/>
      <c r="CY393" s="48"/>
      <c r="CZ393" s="48"/>
      <c r="DA393" s="48"/>
      <c r="DB393" s="48"/>
      <c r="DC393" s="48"/>
      <c r="DD393" s="48"/>
      <c r="DE393" s="48"/>
      <c r="DF393" s="48"/>
      <c r="DG393" s="48"/>
      <c r="DH393" s="48"/>
      <c r="DI393" s="48"/>
      <c r="DJ393" s="48"/>
      <c r="DK393" s="48"/>
      <c r="DL393" s="48"/>
      <c r="DM393" s="48"/>
      <c r="DN393" s="48"/>
      <c r="DO393" s="48"/>
      <c r="DP393" s="48"/>
      <c r="DQ393" s="48"/>
      <c r="DR393" s="48"/>
      <c r="DS393" s="48"/>
      <c r="DT393" s="48"/>
      <c r="DU393" s="48"/>
    </row>
    <row r="394" spans="1:125" ht="48.75" customHeight="1">
      <c r="A394"/>
      <c r="B394" s="7">
        <f t="shared" si="12"/>
        <v>381</v>
      </c>
      <c r="C394" s="95"/>
      <c r="D394" s="171"/>
      <c r="E394" s="171"/>
      <c r="F394" s="27"/>
      <c r="G394" s="132"/>
      <c r="H394" s="132"/>
      <c r="I394" s="81"/>
      <c r="J394" s="75"/>
      <c r="K394" s="27"/>
      <c r="L394" s="52"/>
      <c r="M394" s="108">
        <f t="shared" si="11"/>
        <v>0</v>
      </c>
      <c r="N394" s="41"/>
      <c r="O394" s="1"/>
      <c r="P394" s="2"/>
      <c r="Q394" s="2"/>
      <c r="R394" s="2"/>
      <c r="S394" s="2"/>
      <c r="T394" s="2"/>
      <c r="U394" s="2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48"/>
      <c r="CV394" s="48"/>
      <c r="CW394" s="48"/>
      <c r="CX394" s="48"/>
      <c r="CY394" s="48"/>
      <c r="CZ394" s="48"/>
      <c r="DA394" s="48"/>
      <c r="DB394" s="48"/>
      <c r="DC394" s="48"/>
      <c r="DD394" s="48"/>
      <c r="DE394" s="48"/>
      <c r="DF394" s="48"/>
      <c r="DG394" s="48"/>
      <c r="DH394" s="48"/>
      <c r="DI394" s="48"/>
      <c r="DJ394" s="48"/>
      <c r="DK394" s="48"/>
      <c r="DL394" s="48"/>
      <c r="DM394" s="48"/>
      <c r="DN394" s="48"/>
      <c r="DO394" s="48"/>
      <c r="DP394" s="48"/>
      <c r="DQ394" s="48"/>
      <c r="DR394" s="48"/>
      <c r="DS394" s="48"/>
      <c r="DT394" s="48"/>
      <c r="DU394" s="48"/>
    </row>
    <row r="395" spans="1:125" ht="35.1" customHeight="1">
      <c r="A395"/>
      <c r="B395" s="7">
        <f t="shared" si="12"/>
        <v>382</v>
      </c>
      <c r="C395" s="95"/>
      <c r="D395" s="171"/>
      <c r="E395" s="171"/>
      <c r="F395" s="27"/>
      <c r="G395" s="132"/>
      <c r="H395" s="132"/>
      <c r="I395" s="81"/>
      <c r="J395" s="75"/>
      <c r="K395" s="27"/>
      <c r="L395" s="52"/>
      <c r="M395" s="108">
        <f t="shared" si="11"/>
        <v>0</v>
      </c>
      <c r="N395" s="41"/>
      <c r="O395" s="1"/>
      <c r="P395" s="2"/>
      <c r="Q395" s="2"/>
      <c r="R395" s="2"/>
      <c r="S395" s="2"/>
      <c r="T395" s="2"/>
      <c r="U395" s="2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48"/>
      <c r="CV395" s="48"/>
      <c r="CW395" s="48"/>
      <c r="CX395" s="48"/>
      <c r="CY395" s="48"/>
      <c r="CZ395" s="48"/>
      <c r="DA395" s="48"/>
      <c r="DB395" s="48"/>
      <c r="DC395" s="48"/>
      <c r="DD395" s="48"/>
      <c r="DE395" s="48"/>
      <c r="DF395" s="48"/>
      <c r="DG395" s="48"/>
      <c r="DH395" s="48"/>
      <c r="DI395" s="48"/>
      <c r="DJ395" s="48"/>
      <c r="DK395" s="48"/>
      <c r="DL395" s="48"/>
      <c r="DM395" s="48"/>
      <c r="DN395" s="48"/>
      <c r="DO395" s="48"/>
      <c r="DP395" s="48"/>
      <c r="DQ395" s="48"/>
      <c r="DR395" s="48"/>
      <c r="DS395" s="48"/>
      <c r="DT395" s="48"/>
      <c r="DU395" s="48"/>
    </row>
    <row r="396" spans="1:125" ht="35.1" customHeight="1">
      <c r="A396"/>
      <c r="B396" s="7">
        <f t="shared" si="12"/>
        <v>383</v>
      </c>
      <c r="C396" s="95"/>
      <c r="D396" s="171"/>
      <c r="E396" s="171"/>
      <c r="F396" s="27"/>
      <c r="G396" s="132"/>
      <c r="H396" s="132"/>
      <c r="I396" s="81"/>
      <c r="J396" s="75"/>
      <c r="K396" s="27"/>
      <c r="L396" s="52"/>
      <c r="M396" s="108">
        <f t="shared" si="11"/>
        <v>0</v>
      </c>
      <c r="N396" s="41"/>
      <c r="O396" s="1"/>
      <c r="P396" s="2"/>
      <c r="Q396" s="2"/>
      <c r="R396" s="2"/>
      <c r="S396" s="2"/>
      <c r="T396" s="2"/>
      <c r="U396" s="2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48"/>
      <c r="CV396" s="48"/>
      <c r="CW396" s="48"/>
      <c r="CX396" s="48"/>
      <c r="CY396" s="48"/>
      <c r="CZ396" s="48"/>
      <c r="DA396" s="48"/>
      <c r="DB396" s="48"/>
      <c r="DC396" s="48"/>
      <c r="DD396" s="48"/>
      <c r="DE396" s="48"/>
      <c r="DF396" s="48"/>
      <c r="DG396" s="48"/>
      <c r="DH396" s="48"/>
      <c r="DI396" s="48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  <c r="DU396" s="48"/>
    </row>
    <row r="397" spans="1:125" ht="47.25" customHeight="1">
      <c r="A397"/>
      <c r="B397" s="7">
        <f t="shared" si="12"/>
        <v>384</v>
      </c>
      <c r="C397" s="95"/>
      <c r="D397" s="171"/>
      <c r="E397" s="171"/>
      <c r="F397" s="27"/>
      <c r="G397" s="132"/>
      <c r="H397" s="132"/>
      <c r="I397" s="81"/>
      <c r="J397" s="75"/>
      <c r="K397" s="27"/>
      <c r="L397" s="52"/>
      <c r="M397" s="108">
        <f t="shared" si="11"/>
        <v>0</v>
      </c>
      <c r="N397" s="41"/>
      <c r="O397" s="1"/>
      <c r="P397" s="2"/>
      <c r="Q397" s="2"/>
      <c r="R397" s="2"/>
      <c r="S397" s="2"/>
      <c r="T397" s="2"/>
      <c r="U397" s="2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48"/>
      <c r="CV397" s="48"/>
      <c r="CW397" s="48"/>
      <c r="CX397" s="48"/>
      <c r="CY397" s="48"/>
      <c r="CZ397" s="48"/>
      <c r="DA397" s="48"/>
      <c r="DB397" s="48"/>
      <c r="DC397" s="48"/>
      <c r="DD397" s="48"/>
      <c r="DE397" s="48"/>
      <c r="DF397" s="48"/>
      <c r="DG397" s="48"/>
      <c r="DH397" s="48"/>
      <c r="DI397" s="48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  <c r="DU397" s="48"/>
    </row>
    <row r="398" spans="1:125" ht="47.25" customHeight="1">
      <c r="A398"/>
      <c r="B398" s="7">
        <f t="shared" si="12"/>
        <v>385</v>
      </c>
      <c r="C398" s="95"/>
      <c r="D398" s="171"/>
      <c r="E398" s="171"/>
      <c r="F398" s="27"/>
      <c r="G398" s="132"/>
      <c r="H398" s="132"/>
      <c r="I398" s="81"/>
      <c r="J398" s="75"/>
      <c r="K398" s="27"/>
      <c r="L398" s="52"/>
      <c r="M398" s="108">
        <f t="shared" si="11"/>
        <v>0</v>
      </c>
      <c r="N398" s="41"/>
      <c r="O398" s="1"/>
      <c r="P398" s="2"/>
      <c r="Q398" s="2"/>
      <c r="R398" s="2"/>
      <c r="S398" s="2"/>
      <c r="T398" s="2"/>
      <c r="U398" s="2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48"/>
      <c r="CV398" s="48"/>
      <c r="CW398" s="48"/>
      <c r="CX398" s="48"/>
      <c r="CY398" s="48"/>
      <c r="CZ398" s="48"/>
      <c r="DA398" s="48"/>
      <c r="DB398" s="48"/>
      <c r="DC398" s="48"/>
      <c r="DD398" s="48"/>
      <c r="DE398" s="48"/>
      <c r="DF398" s="48"/>
      <c r="DG398" s="48"/>
      <c r="DH398" s="48"/>
      <c r="DI398" s="48"/>
      <c r="DJ398" s="48"/>
      <c r="DK398" s="48"/>
      <c r="DL398" s="48"/>
      <c r="DM398" s="48"/>
      <c r="DN398" s="48"/>
      <c r="DO398" s="48"/>
      <c r="DP398" s="48"/>
      <c r="DQ398" s="48"/>
      <c r="DR398" s="48"/>
      <c r="DS398" s="48"/>
      <c r="DT398" s="48"/>
      <c r="DU398" s="48"/>
    </row>
    <row r="399" spans="1:125" ht="54" customHeight="1">
      <c r="A399"/>
      <c r="B399" s="7">
        <f t="shared" si="12"/>
        <v>386</v>
      </c>
      <c r="C399" s="95"/>
      <c r="D399" s="171"/>
      <c r="E399" s="171"/>
      <c r="F399" s="27"/>
      <c r="G399" s="132"/>
      <c r="H399" s="132"/>
      <c r="I399" s="81"/>
      <c r="J399" s="75"/>
      <c r="K399" s="27"/>
      <c r="L399" s="52"/>
      <c r="M399" s="108">
        <f t="shared" ref="M399:M462" si="13">(L399*G399)</f>
        <v>0</v>
      </c>
      <c r="N399" s="41"/>
      <c r="O399" s="1"/>
      <c r="P399" s="2"/>
      <c r="Q399" s="2"/>
      <c r="R399" s="2"/>
      <c r="S399" s="2"/>
      <c r="T399" s="2"/>
      <c r="U399" s="2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  <c r="BB399" s="48"/>
      <c r="BC399" s="48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48"/>
      <c r="CV399" s="48"/>
      <c r="CW399" s="48"/>
      <c r="CX399" s="48"/>
      <c r="CY399" s="48"/>
      <c r="CZ399" s="48"/>
      <c r="DA399" s="48"/>
      <c r="DB399" s="48"/>
      <c r="DC399" s="48"/>
      <c r="DD399" s="48"/>
      <c r="DE399" s="48"/>
      <c r="DF399" s="48"/>
      <c r="DG399" s="48"/>
      <c r="DH399" s="48"/>
      <c r="DI399" s="48"/>
      <c r="DJ399" s="48"/>
      <c r="DK399" s="48"/>
      <c r="DL399" s="48"/>
      <c r="DM399" s="48"/>
      <c r="DN399" s="48"/>
      <c r="DO399" s="48"/>
      <c r="DP399" s="48"/>
      <c r="DQ399" s="48"/>
      <c r="DR399" s="48"/>
      <c r="DS399" s="48"/>
      <c r="DT399" s="48"/>
      <c r="DU399" s="48"/>
    </row>
    <row r="400" spans="1:125" ht="35.1" customHeight="1">
      <c r="A400"/>
      <c r="B400" s="7">
        <f t="shared" si="12"/>
        <v>387</v>
      </c>
      <c r="C400" s="95"/>
      <c r="D400" s="171"/>
      <c r="E400" s="171"/>
      <c r="F400" s="27"/>
      <c r="G400" s="132"/>
      <c r="H400" s="132"/>
      <c r="I400" s="81"/>
      <c r="J400" s="75"/>
      <c r="K400" s="27"/>
      <c r="L400" s="52"/>
      <c r="M400" s="108">
        <f t="shared" si="13"/>
        <v>0</v>
      </c>
      <c r="N400" s="41"/>
      <c r="O400" s="1"/>
      <c r="P400" s="2"/>
      <c r="Q400" s="2"/>
      <c r="R400" s="2"/>
      <c r="S400" s="2"/>
      <c r="T400" s="2"/>
      <c r="U400" s="2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48"/>
      <c r="CV400" s="48"/>
      <c r="CW400" s="48"/>
      <c r="CX400" s="48"/>
      <c r="CY400" s="48"/>
      <c r="CZ400" s="48"/>
      <c r="DA400" s="48"/>
      <c r="DB400" s="48"/>
      <c r="DC400" s="48"/>
      <c r="DD400" s="48"/>
      <c r="DE400" s="48"/>
      <c r="DF400" s="48"/>
      <c r="DG400" s="48"/>
      <c r="DH400" s="48"/>
      <c r="DI400" s="48"/>
      <c r="DJ400" s="48"/>
      <c r="DK400" s="48"/>
      <c r="DL400" s="48"/>
      <c r="DM400" s="48"/>
      <c r="DN400" s="48"/>
      <c r="DO400" s="48"/>
      <c r="DP400" s="48"/>
      <c r="DQ400" s="48"/>
      <c r="DR400" s="48"/>
      <c r="DS400" s="48"/>
      <c r="DT400" s="48"/>
      <c r="DU400" s="48"/>
    </row>
    <row r="401" spans="1:125" ht="51.75" customHeight="1">
      <c r="A401"/>
      <c r="B401" s="7">
        <f t="shared" si="12"/>
        <v>388</v>
      </c>
      <c r="C401" s="95"/>
      <c r="D401" s="171"/>
      <c r="E401" s="171"/>
      <c r="F401" s="27"/>
      <c r="G401" s="132"/>
      <c r="H401" s="132"/>
      <c r="I401" s="81"/>
      <c r="J401" s="75"/>
      <c r="K401" s="27"/>
      <c r="L401" s="52"/>
      <c r="M401" s="108">
        <f t="shared" si="13"/>
        <v>0</v>
      </c>
      <c r="N401" s="41"/>
      <c r="O401" s="1"/>
      <c r="P401" s="2"/>
      <c r="Q401" s="2"/>
      <c r="R401" s="2"/>
      <c r="S401" s="2"/>
      <c r="T401" s="2"/>
      <c r="U401" s="2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48"/>
      <c r="CV401" s="48"/>
      <c r="CW401" s="48"/>
      <c r="CX401" s="48"/>
      <c r="CY401" s="48"/>
      <c r="CZ401" s="48"/>
      <c r="DA401" s="48"/>
      <c r="DB401" s="48"/>
      <c r="DC401" s="48"/>
      <c r="DD401" s="48"/>
      <c r="DE401" s="48"/>
      <c r="DF401" s="48"/>
      <c r="DG401" s="48"/>
      <c r="DH401" s="48"/>
      <c r="DI401" s="48"/>
      <c r="DJ401" s="48"/>
      <c r="DK401" s="48"/>
      <c r="DL401" s="48"/>
      <c r="DM401" s="48"/>
      <c r="DN401" s="48"/>
      <c r="DO401" s="48"/>
      <c r="DP401" s="48"/>
      <c r="DQ401" s="48"/>
      <c r="DR401" s="48"/>
      <c r="DS401" s="48"/>
      <c r="DT401" s="48"/>
      <c r="DU401" s="48"/>
    </row>
    <row r="402" spans="1:125" ht="51.75" customHeight="1">
      <c r="A402"/>
      <c r="B402" s="7">
        <f t="shared" si="12"/>
        <v>389</v>
      </c>
      <c r="C402" s="95"/>
      <c r="D402" s="171"/>
      <c r="E402" s="171"/>
      <c r="F402" s="27"/>
      <c r="G402" s="132"/>
      <c r="H402" s="132"/>
      <c r="I402" s="81"/>
      <c r="J402" s="75"/>
      <c r="K402" s="27"/>
      <c r="L402" s="52"/>
      <c r="M402" s="108">
        <f t="shared" si="13"/>
        <v>0</v>
      </c>
      <c r="N402" s="41"/>
      <c r="O402" s="1"/>
      <c r="P402" s="2"/>
      <c r="Q402" s="2"/>
      <c r="R402" s="2"/>
      <c r="S402" s="2"/>
      <c r="T402" s="2"/>
      <c r="U402" s="2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48"/>
      <c r="CV402" s="48"/>
      <c r="CW402" s="48"/>
      <c r="CX402" s="48"/>
      <c r="CY402" s="48"/>
      <c r="CZ402" s="48"/>
      <c r="DA402" s="48"/>
      <c r="DB402" s="48"/>
      <c r="DC402" s="48"/>
      <c r="DD402" s="48"/>
      <c r="DE402" s="48"/>
      <c r="DF402" s="48"/>
      <c r="DG402" s="48"/>
      <c r="DH402" s="48"/>
      <c r="DI402" s="48"/>
      <c r="DJ402" s="48"/>
      <c r="DK402" s="48"/>
      <c r="DL402" s="48"/>
      <c r="DM402" s="48"/>
      <c r="DN402" s="48"/>
      <c r="DO402" s="48"/>
      <c r="DP402" s="48"/>
      <c r="DQ402" s="48"/>
      <c r="DR402" s="48"/>
      <c r="DS402" s="48"/>
      <c r="DT402" s="48"/>
      <c r="DU402" s="48"/>
    </row>
    <row r="403" spans="1:125" ht="51.75" customHeight="1">
      <c r="A403"/>
      <c r="B403" s="7">
        <f t="shared" si="12"/>
        <v>390</v>
      </c>
      <c r="C403" s="95"/>
      <c r="D403" s="171"/>
      <c r="E403" s="171"/>
      <c r="F403" s="27"/>
      <c r="G403" s="132"/>
      <c r="H403" s="132"/>
      <c r="I403" s="81"/>
      <c r="J403" s="75"/>
      <c r="K403" s="27"/>
      <c r="L403" s="52"/>
      <c r="M403" s="108">
        <f t="shared" si="13"/>
        <v>0</v>
      </c>
      <c r="N403" s="41"/>
      <c r="O403" s="1"/>
      <c r="P403" s="2"/>
      <c r="Q403" s="2"/>
      <c r="R403" s="2"/>
      <c r="S403" s="2"/>
      <c r="T403" s="2"/>
      <c r="U403" s="2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48"/>
      <c r="CV403" s="48"/>
      <c r="CW403" s="48"/>
      <c r="CX403" s="48"/>
      <c r="CY403" s="48"/>
      <c r="CZ403" s="48"/>
      <c r="DA403" s="48"/>
      <c r="DB403" s="48"/>
      <c r="DC403" s="48"/>
      <c r="DD403" s="48"/>
      <c r="DE403" s="48"/>
      <c r="DF403" s="48"/>
      <c r="DG403" s="48"/>
      <c r="DH403" s="48"/>
      <c r="DI403" s="48"/>
      <c r="DJ403" s="48"/>
      <c r="DK403" s="48"/>
      <c r="DL403" s="48"/>
      <c r="DM403" s="48"/>
      <c r="DN403" s="48"/>
      <c r="DO403" s="48"/>
      <c r="DP403" s="48"/>
      <c r="DQ403" s="48"/>
      <c r="DR403" s="48"/>
      <c r="DS403" s="48"/>
      <c r="DT403" s="48"/>
      <c r="DU403" s="48"/>
    </row>
    <row r="404" spans="1:125" ht="51.75" customHeight="1">
      <c r="A404"/>
      <c r="B404" s="7">
        <f t="shared" ref="B404:B467" si="14">B403+1</f>
        <v>391</v>
      </c>
      <c r="C404" s="95"/>
      <c r="D404" s="171"/>
      <c r="E404" s="171"/>
      <c r="F404" s="27"/>
      <c r="G404" s="132"/>
      <c r="H404" s="132"/>
      <c r="I404" s="81"/>
      <c r="J404" s="75"/>
      <c r="K404" s="27"/>
      <c r="L404" s="52"/>
      <c r="M404" s="108">
        <f t="shared" si="13"/>
        <v>0</v>
      </c>
      <c r="N404" s="41"/>
      <c r="O404" s="1"/>
      <c r="P404" s="2"/>
      <c r="Q404" s="2"/>
      <c r="R404" s="2"/>
      <c r="S404" s="2"/>
      <c r="T404" s="2"/>
      <c r="U404" s="2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48"/>
      <c r="CV404" s="48"/>
      <c r="CW404" s="48"/>
      <c r="CX404" s="48"/>
      <c r="CY404" s="48"/>
      <c r="CZ404" s="48"/>
      <c r="DA404" s="48"/>
      <c r="DB404" s="48"/>
      <c r="DC404" s="48"/>
      <c r="DD404" s="48"/>
      <c r="DE404" s="48"/>
      <c r="DF404" s="48"/>
      <c r="DG404" s="48"/>
      <c r="DH404" s="48"/>
      <c r="DI404" s="48"/>
      <c r="DJ404" s="48"/>
      <c r="DK404" s="48"/>
      <c r="DL404" s="48"/>
      <c r="DM404" s="48"/>
      <c r="DN404" s="48"/>
      <c r="DO404" s="48"/>
      <c r="DP404" s="48"/>
      <c r="DQ404" s="48"/>
      <c r="DR404" s="48"/>
      <c r="DS404" s="48"/>
      <c r="DT404" s="48"/>
      <c r="DU404" s="48"/>
    </row>
    <row r="405" spans="1:125" ht="51.75" customHeight="1">
      <c r="A405"/>
      <c r="B405" s="7">
        <f t="shared" si="14"/>
        <v>392</v>
      </c>
      <c r="C405" s="95"/>
      <c r="D405" s="171"/>
      <c r="E405" s="171"/>
      <c r="F405" s="27"/>
      <c r="G405" s="132"/>
      <c r="H405" s="132"/>
      <c r="I405" s="81"/>
      <c r="J405" s="75"/>
      <c r="K405" s="27"/>
      <c r="L405" s="52"/>
      <c r="M405" s="108">
        <f t="shared" si="13"/>
        <v>0</v>
      </c>
      <c r="N405" s="41"/>
      <c r="O405" s="1"/>
      <c r="P405" s="2"/>
      <c r="Q405" s="2"/>
      <c r="R405" s="2"/>
      <c r="S405" s="2"/>
      <c r="T405" s="2"/>
      <c r="U405" s="2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48"/>
      <c r="CV405" s="48"/>
      <c r="CW405" s="48"/>
      <c r="CX405" s="48"/>
      <c r="CY405" s="48"/>
      <c r="CZ405" s="48"/>
      <c r="DA405" s="48"/>
      <c r="DB405" s="48"/>
      <c r="DC405" s="48"/>
      <c r="DD405" s="48"/>
      <c r="DE405" s="48"/>
      <c r="DF405" s="48"/>
      <c r="DG405" s="48"/>
      <c r="DH405" s="48"/>
      <c r="DI405" s="48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  <c r="DU405" s="48"/>
    </row>
    <row r="406" spans="1:125" ht="51.75" customHeight="1">
      <c r="A406"/>
      <c r="B406" s="7">
        <f t="shared" si="14"/>
        <v>393</v>
      </c>
      <c r="C406" s="95"/>
      <c r="D406" s="171"/>
      <c r="E406" s="171"/>
      <c r="F406" s="27"/>
      <c r="G406" s="132"/>
      <c r="H406" s="132"/>
      <c r="I406" s="81"/>
      <c r="J406" s="75"/>
      <c r="K406" s="27"/>
      <c r="L406" s="52"/>
      <c r="M406" s="108">
        <f t="shared" si="13"/>
        <v>0</v>
      </c>
      <c r="N406" s="41"/>
      <c r="O406" s="1"/>
      <c r="P406" s="2"/>
      <c r="Q406" s="2"/>
      <c r="R406" s="2"/>
      <c r="S406" s="2"/>
      <c r="T406" s="2"/>
      <c r="U406" s="2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48"/>
      <c r="CV406" s="48"/>
      <c r="CW406" s="48"/>
      <c r="CX406" s="48"/>
      <c r="CY406" s="48"/>
      <c r="CZ406" s="48"/>
      <c r="DA406" s="48"/>
      <c r="DB406" s="48"/>
      <c r="DC406" s="48"/>
      <c r="DD406" s="48"/>
      <c r="DE406" s="48"/>
      <c r="DF406" s="48"/>
      <c r="DG406" s="48"/>
      <c r="DH406" s="48"/>
      <c r="DI406" s="48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  <c r="DU406" s="48"/>
    </row>
    <row r="407" spans="1:125" ht="51.75" customHeight="1">
      <c r="A407"/>
      <c r="B407" s="7">
        <f t="shared" si="14"/>
        <v>394</v>
      </c>
      <c r="C407" s="95"/>
      <c r="D407" s="171"/>
      <c r="E407" s="171"/>
      <c r="F407" s="27"/>
      <c r="G407" s="132"/>
      <c r="H407" s="132"/>
      <c r="I407" s="81"/>
      <c r="J407" s="75"/>
      <c r="K407" s="27"/>
      <c r="L407" s="52"/>
      <c r="M407" s="108">
        <f t="shared" si="13"/>
        <v>0</v>
      </c>
      <c r="N407" s="41"/>
      <c r="O407" s="1"/>
      <c r="P407" s="2"/>
      <c r="Q407" s="2"/>
      <c r="R407" s="2"/>
      <c r="S407" s="2"/>
      <c r="T407" s="2"/>
      <c r="U407" s="2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48"/>
      <c r="CV407" s="48"/>
      <c r="CW407" s="48"/>
      <c r="CX407" s="48"/>
      <c r="CY407" s="48"/>
      <c r="CZ407" s="48"/>
      <c r="DA407" s="48"/>
      <c r="DB407" s="48"/>
      <c r="DC407" s="48"/>
      <c r="DD407" s="48"/>
      <c r="DE407" s="48"/>
      <c r="DF407" s="48"/>
      <c r="DG407" s="48"/>
      <c r="DH407" s="48"/>
      <c r="DI407" s="48"/>
      <c r="DJ407" s="48"/>
      <c r="DK407" s="48"/>
      <c r="DL407" s="48"/>
      <c r="DM407" s="48"/>
      <c r="DN407" s="48"/>
      <c r="DO407" s="48"/>
      <c r="DP407" s="48"/>
      <c r="DQ407" s="48"/>
      <c r="DR407" s="48"/>
      <c r="DS407" s="48"/>
      <c r="DT407" s="48"/>
      <c r="DU407" s="48"/>
    </row>
    <row r="408" spans="1:125" ht="51.75" customHeight="1">
      <c r="A408"/>
      <c r="B408" s="7">
        <f t="shared" si="14"/>
        <v>395</v>
      </c>
      <c r="C408" s="95"/>
      <c r="D408" s="171"/>
      <c r="E408" s="171"/>
      <c r="F408" s="27"/>
      <c r="G408" s="132"/>
      <c r="H408" s="132"/>
      <c r="I408" s="81"/>
      <c r="J408" s="75"/>
      <c r="K408" s="27"/>
      <c r="L408" s="52"/>
      <c r="M408" s="108">
        <f t="shared" si="13"/>
        <v>0</v>
      </c>
      <c r="N408" s="41"/>
      <c r="O408" s="1"/>
      <c r="P408" s="2"/>
      <c r="Q408" s="2"/>
      <c r="R408" s="2"/>
      <c r="S408" s="2"/>
      <c r="T408" s="2"/>
      <c r="U408" s="2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48"/>
      <c r="CV408" s="48"/>
      <c r="CW408" s="48"/>
      <c r="CX408" s="48"/>
      <c r="CY408" s="48"/>
      <c r="CZ408" s="48"/>
      <c r="DA408" s="48"/>
      <c r="DB408" s="48"/>
      <c r="DC408" s="48"/>
      <c r="DD408" s="48"/>
      <c r="DE408" s="48"/>
      <c r="DF408" s="48"/>
      <c r="DG408" s="48"/>
      <c r="DH408" s="48"/>
      <c r="DI408" s="48"/>
      <c r="DJ408" s="48"/>
      <c r="DK408" s="48"/>
      <c r="DL408" s="48"/>
      <c r="DM408" s="48"/>
      <c r="DN408" s="48"/>
      <c r="DO408" s="48"/>
      <c r="DP408" s="48"/>
      <c r="DQ408" s="48"/>
      <c r="DR408" s="48"/>
      <c r="DS408" s="48"/>
      <c r="DT408" s="48"/>
      <c r="DU408" s="48"/>
    </row>
    <row r="409" spans="1:125" ht="51.75" customHeight="1">
      <c r="A409"/>
      <c r="B409" s="7">
        <f t="shared" si="14"/>
        <v>396</v>
      </c>
      <c r="C409" s="95"/>
      <c r="D409" s="171"/>
      <c r="E409" s="171"/>
      <c r="F409" s="27"/>
      <c r="G409" s="132"/>
      <c r="H409" s="132"/>
      <c r="I409" s="81"/>
      <c r="J409" s="75"/>
      <c r="K409" s="27"/>
      <c r="L409" s="52"/>
      <c r="M409" s="108">
        <f t="shared" si="13"/>
        <v>0</v>
      </c>
      <c r="N409" s="41"/>
      <c r="O409" s="1"/>
      <c r="P409" s="2"/>
      <c r="Q409" s="2"/>
      <c r="R409" s="2"/>
      <c r="S409" s="2"/>
      <c r="T409" s="2"/>
      <c r="U409" s="2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48"/>
      <c r="CV409" s="48"/>
      <c r="CW409" s="48"/>
      <c r="CX409" s="48"/>
      <c r="CY409" s="48"/>
      <c r="CZ409" s="48"/>
      <c r="DA409" s="48"/>
      <c r="DB409" s="48"/>
      <c r="DC409" s="48"/>
      <c r="DD409" s="48"/>
      <c r="DE409" s="48"/>
      <c r="DF409" s="48"/>
      <c r="DG409" s="48"/>
      <c r="DH409" s="48"/>
      <c r="DI409" s="48"/>
      <c r="DJ409" s="48"/>
      <c r="DK409" s="48"/>
      <c r="DL409" s="48"/>
      <c r="DM409" s="48"/>
      <c r="DN409" s="48"/>
      <c r="DO409" s="48"/>
      <c r="DP409" s="48"/>
      <c r="DQ409" s="48"/>
      <c r="DR409" s="48"/>
      <c r="DS409" s="48"/>
      <c r="DT409" s="48"/>
      <c r="DU409" s="48"/>
    </row>
    <row r="410" spans="1:125" ht="51.75" customHeight="1">
      <c r="A410"/>
      <c r="B410" s="7">
        <f t="shared" si="14"/>
        <v>397</v>
      </c>
      <c r="C410" s="95"/>
      <c r="D410" s="171"/>
      <c r="E410" s="171"/>
      <c r="F410" s="27"/>
      <c r="G410" s="132"/>
      <c r="H410" s="132"/>
      <c r="I410" s="81"/>
      <c r="J410" s="75"/>
      <c r="K410" s="27"/>
      <c r="L410" s="52"/>
      <c r="M410" s="108">
        <f t="shared" si="13"/>
        <v>0</v>
      </c>
      <c r="N410" s="41"/>
      <c r="O410" s="1"/>
      <c r="P410" s="2"/>
      <c r="Q410" s="2"/>
      <c r="R410" s="2"/>
      <c r="S410" s="2"/>
      <c r="T410" s="2"/>
      <c r="U410" s="2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  <c r="BB410" s="48"/>
      <c r="BC410" s="48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48"/>
      <c r="CV410" s="48"/>
      <c r="CW410" s="48"/>
      <c r="CX410" s="48"/>
      <c r="CY410" s="48"/>
      <c r="CZ410" s="48"/>
      <c r="DA410" s="48"/>
      <c r="DB410" s="48"/>
      <c r="DC410" s="48"/>
      <c r="DD410" s="48"/>
      <c r="DE410" s="48"/>
      <c r="DF410" s="48"/>
      <c r="DG410" s="48"/>
      <c r="DH410" s="48"/>
      <c r="DI410" s="48"/>
      <c r="DJ410" s="48"/>
      <c r="DK410" s="48"/>
      <c r="DL410" s="48"/>
      <c r="DM410" s="48"/>
      <c r="DN410" s="48"/>
      <c r="DO410" s="48"/>
      <c r="DP410" s="48"/>
      <c r="DQ410" s="48"/>
      <c r="DR410" s="48"/>
      <c r="DS410" s="48"/>
      <c r="DT410" s="48"/>
      <c r="DU410" s="48"/>
    </row>
    <row r="411" spans="1:125" ht="51.75" customHeight="1">
      <c r="A411"/>
      <c r="B411" s="7">
        <f t="shared" si="14"/>
        <v>398</v>
      </c>
      <c r="C411" s="95"/>
      <c r="D411" s="171"/>
      <c r="E411" s="171"/>
      <c r="F411" s="27"/>
      <c r="G411" s="132"/>
      <c r="H411" s="132"/>
      <c r="I411" s="81"/>
      <c r="J411" s="75"/>
      <c r="K411" s="27"/>
      <c r="L411" s="52"/>
      <c r="M411" s="108">
        <f t="shared" si="13"/>
        <v>0</v>
      </c>
      <c r="N411" s="41"/>
      <c r="O411" s="1"/>
      <c r="P411" s="2"/>
      <c r="Q411" s="2"/>
      <c r="R411" s="2"/>
      <c r="S411" s="2"/>
      <c r="T411" s="2"/>
      <c r="U411" s="2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48"/>
      <c r="CV411" s="48"/>
      <c r="CW411" s="48"/>
      <c r="CX411" s="48"/>
      <c r="CY411" s="48"/>
      <c r="CZ411" s="48"/>
      <c r="DA411" s="48"/>
      <c r="DB411" s="48"/>
      <c r="DC411" s="48"/>
      <c r="DD411" s="48"/>
      <c r="DE411" s="48"/>
      <c r="DF411" s="48"/>
      <c r="DG411" s="48"/>
      <c r="DH411" s="48"/>
      <c r="DI411" s="48"/>
      <c r="DJ411" s="48"/>
      <c r="DK411" s="48"/>
      <c r="DL411" s="48"/>
      <c r="DM411" s="48"/>
      <c r="DN411" s="48"/>
      <c r="DO411" s="48"/>
      <c r="DP411" s="48"/>
      <c r="DQ411" s="48"/>
      <c r="DR411" s="48"/>
      <c r="DS411" s="48"/>
      <c r="DT411" s="48"/>
      <c r="DU411" s="48"/>
    </row>
    <row r="412" spans="1:125" ht="51.75" customHeight="1">
      <c r="A412"/>
      <c r="B412" s="7">
        <f t="shared" si="14"/>
        <v>399</v>
      </c>
      <c r="C412" s="95"/>
      <c r="D412" s="171"/>
      <c r="E412" s="171"/>
      <c r="F412" s="27"/>
      <c r="G412" s="132"/>
      <c r="H412" s="132"/>
      <c r="I412" s="81"/>
      <c r="J412" s="75"/>
      <c r="K412" s="27"/>
      <c r="L412" s="52"/>
      <c r="M412" s="108">
        <f t="shared" si="13"/>
        <v>0</v>
      </c>
      <c r="N412" s="41"/>
      <c r="O412" s="1"/>
      <c r="P412" s="2"/>
      <c r="Q412" s="2"/>
      <c r="R412" s="2"/>
      <c r="S412" s="2"/>
      <c r="T412" s="2"/>
      <c r="U412" s="2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48"/>
      <c r="CV412" s="48"/>
      <c r="CW412" s="48"/>
      <c r="CX412" s="48"/>
      <c r="CY412" s="48"/>
      <c r="CZ412" s="48"/>
      <c r="DA412" s="48"/>
      <c r="DB412" s="48"/>
      <c r="DC412" s="48"/>
      <c r="DD412" s="48"/>
      <c r="DE412" s="48"/>
      <c r="DF412" s="48"/>
      <c r="DG412" s="48"/>
      <c r="DH412" s="48"/>
      <c r="DI412" s="48"/>
      <c r="DJ412" s="48"/>
      <c r="DK412" s="48"/>
      <c r="DL412" s="48"/>
      <c r="DM412" s="48"/>
      <c r="DN412" s="48"/>
      <c r="DO412" s="48"/>
      <c r="DP412" s="48"/>
      <c r="DQ412" s="48"/>
      <c r="DR412" s="48"/>
      <c r="DS412" s="48"/>
      <c r="DT412" s="48"/>
      <c r="DU412" s="48"/>
    </row>
    <row r="413" spans="1:125" ht="35.1" customHeight="1">
      <c r="A413"/>
      <c r="B413" s="7">
        <f t="shared" si="14"/>
        <v>400</v>
      </c>
      <c r="C413" s="95"/>
      <c r="D413" s="171"/>
      <c r="E413" s="171"/>
      <c r="F413" s="27"/>
      <c r="G413" s="132"/>
      <c r="H413" s="132"/>
      <c r="I413" s="81"/>
      <c r="J413" s="75"/>
      <c r="K413" s="27"/>
      <c r="L413" s="52"/>
      <c r="M413" s="108">
        <f t="shared" si="13"/>
        <v>0</v>
      </c>
      <c r="N413" s="41"/>
      <c r="O413" s="1"/>
      <c r="P413" s="2"/>
      <c r="Q413" s="2"/>
      <c r="R413" s="2"/>
      <c r="S413" s="2"/>
      <c r="T413" s="2"/>
      <c r="U413" s="2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48"/>
      <c r="CV413" s="48"/>
      <c r="CW413" s="48"/>
      <c r="CX413" s="48"/>
      <c r="CY413" s="48"/>
      <c r="CZ413" s="48"/>
      <c r="DA413" s="48"/>
      <c r="DB413" s="48"/>
      <c r="DC413" s="48"/>
      <c r="DD413" s="48"/>
      <c r="DE413" s="48"/>
      <c r="DF413" s="48"/>
      <c r="DG413" s="48"/>
      <c r="DH413" s="48"/>
      <c r="DI413" s="48"/>
      <c r="DJ413" s="48"/>
      <c r="DK413" s="48"/>
      <c r="DL413" s="48"/>
      <c r="DM413" s="48"/>
      <c r="DN413" s="48"/>
      <c r="DO413" s="48"/>
      <c r="DP413" s="48"/>
      <c r="DQ413" s="48"/>
      <c r="DR413" s="48"/>
      <c r="DS413" s="48"/>
      <c r="DT413" s="48"/>
      <c r="DU413" s="48"/>
    </row>
    <row r="414" spans="1:125" ht="35.1" customHeight="1">
      <c r="A414"/>
      <c r="B414" s="7">
        <f t="shared" si="14"/>
        <v>401</v>
      </c>
      <c r="C414" s="95"/>
      <c r="D414" s="171"/>
      <c r="E414" s="171"/>
      <c r="F414" s="27"/>
      <c r="G414" s="132"/>
      <c r="H414" s="132"/>
      <c r="I414" s="81"/>
      <c r="J414" s="75"/>
      <c r="K414" s="27"/>
      <c r="L414" s="52"/>
      <c r="M414" s="108">
        <f t="shared" si="13"/>
        <v>0</v>
      </c>
      <c r="N414" s="41"/>
      <c r="O414" s="1"/>
      <c r="P414" s="2"/>
      <c r="Q414" s="2"/>
      <c r="R414" s="2"/>
      <c r="S414" s="2"/>
      <c r="T414" s="2"/>
      <c r="U414" s="2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48"/>
      <c r="CV414" s="48"/>
      <c r="CW414" s="48"/>
      <c r="CX414" s="48"/>
      <c r="CY414" s="48"/>
      <c r="CZ414" s="48"/>
      <c r="DA414" s="48"/>
      <c r="DB414" s="48"/>
      <c r="DC414" s="48"/>
      <c r="DD414" s="48"/>
      <c r="DE414" s="48"/>
      <c r="DF414" s="48"/>
      <c r="DG414" s="48"/>
      <c r="DH414" s="48"/>
      <c r="DI414" s="48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  <c r="DU414" s="48"/>
    </row>
    <row r="415" spans="1:125" ht="35.1" customHeight="1">
      <c r="A415"/>
      <c r="B415" s="7">
        <f t="shared" si="14"/>
        <v>402</v>
      </c>
      <c r="C415" s="95"/>
      <c r="D415" s="171"/>
      <c r="E415" s="171"/>
      <c r="F415" s="27"/>
      <c r="G415" s="132"/>
      <c r="H415" s="132"/>
      <c r="I415" s="81"/>
      <c r="J415" s="75"/>
      <c r="K415" s="27"/>
      <c r="L415" s="52"/>
      <c r="M415" s="108">
        <f t="shared" si="13"/>
        <v>0</v>
      </c>
      <c r="N415" s="41"/>
      <c r="O415" s="1"/>
      <c r="P415" s="2"/>
      <c r="Q415" s="2"/>
      <c r="R415" s="2"/>
      <c r="S415" s="2"/>
      <c r="T415" s="2"/>
      <c r="U415" s="2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48"/>
      <c r="CV415" s="48"/>
      <c r="CW415" s="48"/>
      <c r="CX415" s="48"/>
      <c r="CY415" s="48"/>
      <c r="CZ415" s="48"/>
      <c r="DA415" s="48"/>
      <c r="DB415" s="48"/>
      <c r="DC415" s="48"/>
      <c r="DD415" s="48"/>
      <c r="DE415" s="48"/>
      <c r="DF415" s="48"/>
      <c r="DG415" s="48"/>
      <c r="DH415" s="48"/>
      <c r="DI415" s="48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  <c r="DU415" s="48"/>
    </row>
    <row r="416" spans="1:125" ht="35.1" customHeight="1">
      <c r="A416"/>
      <c r="B416" s="7">
        <f t="shared" si="14"/>
        <v>403</v>
      </c>
      <c r="C416" s="95"/>
      <c r="D416" s="171"/>
      <c r="E416" s="171"/>
      <c r="F416" s="27"/>
      <c r="G416" s="132"/>
      <c r="H416" s="132"/>
      <c r="I416" s="81"/>
      <c r="J416" s="75"/>
      <c r="K416" s="27"/>
      <c r="L416" s="52"/>
      <c r="M416" s="108">
        <f t="shared" si="13"/>
        <v>0</v>
      </c>
      <c r="N416" s="41"/>
      <c r="O416" s="1"/>
      <c r="P416" s="2"/>
      <c r="Q416" s="2"/>
      <c r="R416" s="2"/>
      <c r="S416" s="2"/>
      <c r="T416" s="2"/>
      <c r="U416" s="2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48"/>
      <c r="CV416" s="48"/>
      <c r="CW416" s="48"/>
      <c r="CX416" s="48"/>
      <c r="CY416" s="48"/>
      <c r="CZ416" s="48"/>
      <c r="DA416" s="48"/>
      <c r="DB416" s="48"/>
      <c r="DC416" s="48"/>
      <c r="DD416" s="48"/>
      <c r="DE416" s="48"/>
      <c r="DF416" s="48"/>
      <c r="DG416" s="48"/>
      <c r="DH416" s="48"/>
      <c r="DI416" s="48"/>
      <c r="DJ416" s="48"/>
      <c r="DK416" s="48"/>
      <c r="DL416" s="48"/>
      <c r="DM416" s="48"/>
      <c r="DN416" s="48"/>
      <c r="DO416" s="48"/>
      <c r="DP416" s="48"/>
      <c r="DQ416" s="48"/>
      <c r="DR416" s="48"/>
      <c r="DS416" s="48"/>
      <c r="DT416" s="48"/>
      <c r="DU416" s="48"/>
    </row>
    <row r="417" spans="1:125" ht="35.1" customHeight="1">
      <c r="A417"/>
      <c r="B417" s="7">
        <f t="shared" si="14"/>
        <v>404</v>
      </c>
      <c r="C417" s="95"/>
      <c r="D417" s="171"/>
      <c r="E417" s="171"/>
      <c r="F417" s="27"/>
      <c r="G417" s="132"/>
      <c r="H417" s="132"/>
      <c r="I417" s="81"/>
      <c r="J417" s="75"/>
      <c r="K417" s="27"/>
      <c r="L417" s="52"/>
      <c r="M417" s="108">
        <f t="shared" si="13"/>
        <v>0</v>
      </c>
      <c r="N417" s="41"/>
      <c r="O417" s="1"/>
      <c r="P417" s="2"/>
      <c r="Q417" s="2"/>
      <c r="R417" s="2"/>
      <c r="S417" s="2"/>
      <c r="T417" s="2"/>
      <c r="U417" s="2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48"/>
      <c r="CV417" s="48"/>
      <c r="CW417" s="48"/>
      <c r="CX417" s="48"/>
      <c r="CY417" s="48"/>
      <c r="CZ417" s="48"/>
      <c r="DA417" s="48"/>
      <c r="DB417" s="48"/>
      <c r="DC417" s="48"/>
      <c r="DD417" s="48"/>
      <c r="DE417" s="48"/>
      <c r="DF417" s="48"/>
      <c r="DG417" s="48"/>
      <c r="DH417" s="48"/>
      <c r="DI417" s="48"/>
      <c r="DJ417" s="48"/>
      <c r="DK417" s="48"/>
      <c r="DL417" s="48"/>
      <c r="DM417" s="48"/>
      <c r="DN417" s="48"/>
      <c r="DO417" s="48"/>
      <c r="DP417" s="48"/>
      <c r="DQ417" s="48"/>
      <c r="DR417" s="48"/>
      <c r="DS417" s="48"/>
      <c r="DT417" s="48"/>
      <c r="DU417" s="48"/>
    </row>
    <row r="418" spans="1:125" ht="35.1" customHeight="1">
      <c r="A418"/>
      <c r="B418" s="7">
        <f t="shared" si="14"/>
        <v>405</v>
      </c>
      <c r="C418" s="95"/>
      <c r="D418" s="171"/>
      <c r="E418" s="171"/>
      <c r="F418" s="27"/>
      <c r="G418" s="132"/>
      <c r="H418" s="132"/>
      <c r="I418" s="81"/>
      <c r="J418" s="75"/>
      <c r="K418" s="27"/>
      <c r="L418" s="52"/>
      <c r="M418" s="108">
        <f t="shared" si="13"/>
        <v>0</v>
      </c>
      <c r="N418" s="41"/>
      <c r="O418" s="1"/>
      <c r="P418" s="2"/>
      <c r="Q418" s="2"/>
      <c r="R418" s="2"/>
      <c r="S418" s="2"/>
      <c r="T418" s="2"/>
      <c r="U418" s="2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  <c r="BB418" s="48"/>
      <c r="BC418" s="48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48"/>
      <c r="CV418" s="48"/>
      <c r="CW418" s="48"/>
      <c r="CX418" s="48"/>
      <c r="CY418" s="48"/>
      <c r="CZ418" s="48"/>
      <c r="DA418" s="48"/>
      <c r="DB418" s="48"/>
      <c r="DC418" s="48"/>
      <c r="DD418" s="48"/>
      <c r="DE418" s="48"/>
      <c r="DF418" s="48"/>
      <c r="DG418" s="48"/>
      <c r="DH418" s="48"/>
      <c r="DI418" s="48"/>
      <c r="DJ418" s="48"/>
      <c r="DK418" s="48"/>
      <c r="DL418" s="48"/>
      <c r="DM418" s="48"/>
      <c r="DN418" s="48"/>
      <c r="DO418" s="48"/>
      <c r="DP418" s="48"/>
      <c r="DQ418" s="48"/>
      <c r="DR418" s="48"/>
      <c r="DS418" s="48"/>
      <c r="DT418" s="48"/>
      <c r="DU418" s="48"/>
    </row>
    <row r="419" spans="1:125" ht="35.1" customHeight="1">
      <c r="A419"/>
      <c r="B419" s="7">
        <f t="shared" si="14"/>
        <v>406</v>
      </c>
      <c r="C419" s="95"/>
      <c r="D419" s="171"/>
      <c r="E419" s="171"/>
      <c r="F419" s="27"/>
      <c r="G419" s="132"/>
      <c r="H419" s="132"/>
      <c r="I419" s="81"/>
      <c r="J419" s="75"/>
      <c r="K419" s="27"/>
      <c r="L419" s="52"/>
      <c r="M419" s="108">
        <f t="shared" si="13"/>
        <v>0</v>
      </c>
      <c r="N419" s="41"/>
      <c r="O419" s="1"/>
      <c r="P419" s="2"/>
      <c r="Q419" s="2"/>
      <c r="R419" s="2"/>
      <c r="S419" s="2"/>
      <c r="T419" s="2"/>
      <c r="U419" s="2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  <c r="BB419" s="48"/>
      <c r="BC419" s="48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48"/>
      <c r="CV419" s="48"/>
      <c r="CW419" s="48"/>
      <c r="CX419" s="48"/>
      <c r="CY419" s="48"/>
      <c r="CZ419" s="48"/>
      <c r="DA419" s="48"/>
      <c r="DB419" s="48"/>
      <c r="DC419" s="48"/>
      <c r="DD419" s="48"/>
      <c r="DE419" s="48"/>
      <c r="DF419" s="48"/>
      <c r="DG419" s="48"/>
      <c r="DH419" s="48"/>
      <c r="DI419" s="48"/>
      <c r="DJ419" s="48"/>
      <c r="DK419" s="48"/>
      <c r="DL419" s="48"/>
      <c r="DM419" s="48"/>
      <c r="DN419" s="48"/>
      <c r="DO419" s="48"/>
      <c r="DP419" s="48"/>
      <c r="DQ419" s="48"/>
      <c r="DR419" s="48"/>
      <c r="DS419" s="48"/>
      <c r="DT419" s="48"/>
      <c r="DU419" s="48"/>
    </row>
    <row r="420" spans="1:125" ht="35.1" customHeight="1">
      <c r="A420"/>
      <c r="B420" s="7">
        <f t="shared" si="14"/>
        <v>407</v>
      </c>
      <c r="C420" s="95"/>
      <c r="D420" s="171"/>
      <c r="E420" s="171"/>
      <c r="F420" s="27"/>
      <c r="G420" s="132"/>
      <c r="H420" s="132"/>
      <c r="I420" s="81"/>
      <c r="J420" s="75"/>
      <c r="K420" s="27"/>
      <c r="L420" s="52"/>
      <c r="M420" s="108">
        <f t="shared" si="13"/>
        <v>0</v>
      </c>
      <c r="N420" s="41"/>
      <c r="O420" s="1"/>
      <c r="P420" s="2"/>
      <c r="Q420" s="2"/>
      <c r="R420" s="2"/>
      <c r="S420" s="2"/>
      <c r="T420" s="2"/>
      <c r="U420" s="2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  <c r="BB420" s="48"/>
      <c r="BC420" s="48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48"/>
      <c r="CV420" s="48"/>
      <c r="CW420" s="48"/>
      <c r="CX420" s="48"/>
      <c r="CY420" s="48"/>
      <c r="CZ420" s="48"/>
      <c r="DA420" s="48"/>
      <c r="DB420" s="48"/>
      <c r="DC420" s="48"/>
      <c r="DD420" s="48"/>
      <c r="DE420" s="48"/>
      <c r="DF420" s="48"/>
      <c r="DG420" s="48"/>
      <c r="DH420" s="48"/>
      <c r="DI420" s="48"/>
      <c r="DJ420" s="48"/>
      <c r="DK420" s="48"/>
      <c r="DL420" s="48"/>
      <c r="DM420" s="48"/>
      <c r="DN420" s="48"/>
      <c r="DO420" s="48"/>
      <c r="DP420" s="48"/>
      <c r="DQ420" s="48"/>
      <c r="DR420" s="48"/>
      <c r="DS420" s="48"/>
      <c r="DT420" s="48"/>
      <c r="DU420" s="48"/>
    </row>
    <row r="421" spans="1:125" ht="35.1" customHeight="1">
      <c r="A421"/>
      <c r="B421" s="7">
        <f t="shared" si="14"/>
        <v>408</v>
      </c>
      <c r="C421" s="95"/>
      <c r="D421" s="171"/>
      <c r="E421" s="171"/>
      <c r="F421" s="27"/>
      <c r="G421" s="132"/>
      <c r="H421" s="132"/>
      <c r="I421" s="81"/>
      <c r="J421" s="75"/>
      <c r="K421" s="27"/>
      <c r="L421" s="52"/>
      <c r="M421" s="108">
        <f t="shared" si="13"/>
        <v>0</v>
      </c>
      <c r="N421" s="41"/>
      <c r="O421" s="1"/>
      <c r="P421" s="2"/>
      <c r="Q421" s="2"/>
      <c r="R421" s="2"/>
      <c r="S421" s="2"/>
      <c r="T421" s="2"/>
      <c r="U421" s="2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  <c r="BB421" s="48"/>
      <c r="BC421" s="48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48"/>
      <c r="CV421" s="48"/>
      <c r="CW421" s="48"/>
      <c r="CX421" s="48"/>
      <c r="CY421" s="48"/>
      <c r="CZ421" s="48"/>
      <c r="DA421" s="48"/>
      <c r="DB421" s="48"/>
      <c r="DC421" s="48"/>
      <c r="DD421" s="48"/>
      <c r="DE421" s="48"/>
      <c r="DF421" s="48"/>
      <c r="DG421" s="48"/>
      <c r="DH421" s="48"/>
      <c r="DI421" s="48"/>
      <c r="DJ421" s="48"/>
      <c r="DK421" s="48"/>
      <c r="DL421" s="48"/>
      <c r="DM421" s="48"/>
      <c r="DN421" s="48"/>
      <c r="DO421" s="48"/>
      <c r="DP421" s="48"/>
      <c r="DQ421" s="48"/>
      <c r="DR421" s="48"/>
      <c r="DS421" s="48"/>
      <c r="DT421" s="48"/>
      <c r="DU421" s="48"/>
    </row>
    <row r="422" spans="1:125" ht="35.1" customHeight="1">
      <c r="A422"/>
      <c r="B422" s="7">
        <f t="shared" si="14"/>
        <v>409</v>
      </c>
      <c r="C422" s="95"/>
      <c r="D422" s="171"/>
      <c r="E422" s="171"/>
      <c r="F422" s="27"/>
      <c r="G422" s="132"/>
      <c r="H422" s="132"/>
      <c r="I422" s="81"/>
      <c r="J422" s="75"/>
      <c r="K422" s="27"/>
      <c r="L422" s="52"/>
      <c r="M422" s="108">
        <f t="shared" si="13"/>
        <v>0</v>
      </c>
      <c r="N422" s="41"/>
      <c r="O422" s="1"/>
      <c r="P422" s="2"/>
      <c r="Q422" s="2"/>
      <c r="R422" s="2"/>
      <c r="S422" s="2"/>
      <c r="T422" s="2"/>
      <c r="U422" s="2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  <c r="BB422" s="48"/>
      <c r="BC422" s="48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48"/>
      <c r="CV422" s="48"/>
      <c r="CW422" s="48"/>
      <c r="CX422" s="48"/>
      <c r="CY422" s="48"/>
      <c r="CZ422" s="48"/>
      <c r="DA422" s="48"/>
      <c r="DB422" s="48"/>
      <c r="DC422" s="48"/>
      <c r="DD422" s="48"/>
      <c r="DE422" s="48"/>
      <c r="DF422" s="48"/>
      <c r="DG422" s="48"/>
      <c r="DH422" s="48"/>
      <c r="DI422" s="48"/>
      <c r="DJ422" s="48"/>
      <c r="DK422" s="48"/>
      <c r="DL422" s="48"/>
      <c r="DM422" s="48"/>
      <c r="DN422" s="48"/>
      <c r="DO422" s="48"/>
      <c r="DP422" s="48"/>
      <c r="DQ422" s="48"/>
      <c r="DR422" s="48"/>
      <c r="DS422" s="48"/>
      <c r="DT422" s="48"/>
      <c r="DU422" s="48"/>
    </row>
    <row r="423" spans="1:125" ht="35.1" customHeight="1">
      <c r="A423"/>
      <c r="B423" s="7">
        <f t="shared" si="14"/>
        <v>410</v>
      </c>
      <c r="C423" s="95"/>
      <c r="D423" s="171"/>
      <c r="E423" s="171"/>
      <c r="F423" s="27"/>
      <c r="G423" s="132"/>
      <c r="H423" s="132"/>
      <c r="I423" s="81"/>
      <c r="J423" s="75"/>
      <c r="K423" s="27"/>
      <c r="L423" s="52"/>
      <c r="M423" s="108">
        <f t="shared" si="13"/>
        <v>0</v>
      </c>
      <c r="N423" s="41"/>
      <c r="O423" s="1"/>
      <c r="P423" s="2"/>
      <c r="Q423" s="2"/>
      <c r="R423" s="2"/>
      <c r="S423" s="2"/>
      <c r="T423" s="2"/>
      <c r="U423" s="2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48"/>
      <c r="CV423" s="48"/>
      <c r="CW423" s="48"/>
      <c r="CX423" s="48"/>
      <c r="CY423" s="48"/>
      <c r="CZ423" s="48"/>
      <c r="DA423" s="48"/>
      <c r="DB423" s="48"/>
      <c r="DC423" s="48"/>
      <c r="DD423" s="48"/>
      <c r="DE423" s="48"/>
      <c r="DF423" s="48"/>
      <c r="DG423" s="48"/>
      <c r="DH423" s="48"/>
      <c r="DI423" s="48"/>
      <c r="DJ423" s="48"/>
      <c r="DK423" s="48"/>
      <c r="DL423" s="48"/>
      <c r="DM423" s="48"/>
      <c r="DN423" s="48"/>
      <c r="DO423" s="48"/>
      <c r="DP423" s="48"/>
      <c r="DQ423" s="48"/>
      <c r="DR423" s="48"/>
      <c r="DS423" s="48"/>
      <c r="DT423" s="48"/>
      <c r="DU423" s="48"/>
    </row>
    <row r="424" spans="1:125" ht="35.1" customHeight="1">
      <c r="A424"/>
      <c r="B424" s="7">
        <f t="shared" si="14"/>
        <v>411</v>
      </c>
      <c r="C424" s="95"/>
      <c r="D424" s="171"/>
      <c r="E424" s="171"/>
      <c r="F424" s="27"/>
      <c r="G424" s="132"/>
      <c r="H424" s="132"/>
      <c r="I424" s="81"/>
      <c r="J424" s="75"/>
      <c r="K424" s="27"/>
      <c r="L424" s="52"/>
      <c r="M424" s="108">
        <f t="shared" si="13"/>
        <v>0</v>
      </c>
      <c r="N424" s="41"/>
      <c r="O424" s="1"/>
      <c r="P424" s="2"/>
      <c r="Q424" s="2"/>
      <c r="R424" s="2"/>
      <c r="S424" s="2"/>
      <c r="T424" s="2"/>
      <c r="U424" s="2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48"/>
      <c r="CV424" s="48"/>
      <c r="CW424" s="48"/>
      <c r="CX424" s="48"/>
      <c r="CY424" s="48"/>
      <c r="CZ424" s="48"/>
      <c r="DA424" s="48"/>
      <c r="DB424" s="48"/>
      <c r="DC424" s="48"/>
      <c r="DD424" s="48"/>
      <c r="DE424" s="48"/>
      <c r="DF424" s="48"/>
      <c r="DG424" s="48"/>
      <c r="DH424" s="48"/>
      <c r="DI424" s="48"/>
      <c r="DJ424" s="48"/>
      <c r="DK424" s="48"/>
      <c r="DL424" s="48"/>
      <c r="DM424" s="48"/>
      <c r="DN424" s="48"/>
      <c r="DO424" s="48"/>
      <c r="DP424" s="48"/>
      <c r="DQ424" s="48"/>
      <c r="DR424" s="48"/>
      <c r="DS424" s="48"/>
      <c r="DT424" s="48"/>
      <c r="DU424" s="48"/>
    </row>
    <row r="425" spans="1:125" ht="35.1" customHeight="1">
      <c r="A425"/>
      <c r="B425" s="7">
        <f t="shared" si="14"/>
        <v>412</v>
      </c>
      <c r="C425" s="95"/>
      <c r="D425" s="171"/>
      <c r="E425" s="171"/>
      <c r="F425" s="27"/>
      <c r="G425" s="132"/>
      <c r="H425" s="132"/>
      <c r="I425" s="81"/>
      <c r="J425" s="75"/>
      <c r="K425" s="27"/>
      <c r="L425" s="52"/>
      <c r="M425" s="108">
        <f t="shared" si="13"/>
        <v>0</v>
      </c>
      <c r="N425" s="41"/>
      <c r="O425" s="1"/>
      <c r="P425" s="2"/>
      <c r="Q425" s="2"/>
      <c r="R425" s="2"/>
      <c r="S425" s="2"/>
      <c r="T425" s="2"/>
      <c r="U425" s="2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  <c r="BB425" s="48"/>
      <c r="BC425" s="48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48"/>
      <c r="CV425" s="48"/>
      <c r="CW425" s="48"/>
      <c r="CX425" s="48"/>
      <c r="CY425" s="48"/>
      <c r="CZ425" s="48"/>
      <c r="DA425" s="48"/>
      <c r="DB425" s="48"/>
      <c r="DC425" s="48"/>
      <c r="DD425" s="48"/>
      <c r="DE425" s="48"/>
      <c r="DF425" s="48"/>
      <c r="DG425" s="48"/>
      <c r="DH425" s="48"/>
      <c r="DI425" s="48"/>
      <c r="DJ425" s="48"/>
      <c r="DK425" s="48"/>
      <c r="DL425" s="48"/>
      <c r="DM425" s="48"/>
      <c r="DN425" s="48"/>
      <c r="DO425" s="48"/>
      <c r="DP425" s="48"/>
      <c r="DQ425" s="48"/>
      <c r="DR425" s="48"/>
      <c r="DS425" s="48"/>
      <c r="DT425" s="48"/>
      <c r="DU425" s="48"/>
    </row>
    <row r="426" spans="1:125" ht="34.5" customHeight="1">
      <c r="A426"/>
      <c r="B426" s="7">
        <f t="shared" si="14"/>
        <v>413</v>
      </c>
      <c r="C426" s="95"/>
      <c r="D426" s="171"/>
      <c r="E426" s="171"/>
      <c r="F426" s="27"/>
      <c r="G426" s="132"/>
      <c r="H426" s="132"/>
      <c r="I426" s="27"/>
      <c r="J426" s="75"/>
      <c r="K426" s="27"/>
      <c r="L426" s="52"/>
      <c r="M426" s="108">
        <f t="shared" si="13"/>
        <v>0</v>
      </c>
      <c r="N426" s="41"/>
      <c r="O426" s="1"/>
      <c r="P426" s="2"/>
      <c r="Q426" s="2"/>
      <c r="R426" s="2"/>
      <c r="S426" s="2"/>
      <c r="T426" s="2"/>
      <c r="U426" s="2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  <c r="BB426" s="48"/>
      <c r="BC426" s="48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48"/>
      <c r="CV426" s="48"/>
      <c r="CW426" s="48"/>
      <c r="CX426" s="48"/>
      <c r="CY426" s="48"/>
      <c r="CZ426" s="48"/>
      <c r="DA426" s="48"/>
      <c r="DB426" s="48"/>
      <c r="DC426" s="48"/>
      <c r="DD426" s="48"/>
      <c r="DE426" s="48"/>
      <c r="DF426" s="48"/>
      <c r="DG426" s="48"/>
      <c r="DH426" s="48"/>
      <c r="DI426" s="48"/>
      <c r="DJ426" s="48"/>
      <c r="DK426" s="48"/>
      <c r="DL426" s="48"/>
      <c r="DM426" s="48"/>
      <c r="DN426" s="48"/>
      <c r="DO426" s="48"/>
      <c r="DP426" s="48"/>
      <c r="DQ426" s="48"/>
      <c r="DR426" s="48"/>
      <c r="DS426" s="48"/>
      <c r="DT426" s="48"/>
      <c r="DU426" s="48"/>
    </row>
    <row r="427" spans="1:125" ht="34.5" customHeight="1">
      <c r="A427"/>
      <c r="B427" s="7">
        <f t="shared" si="14"/>
        <v>414</v>
      </c>
      <c r="C427" s="95"/>
      <c r="D427" s="171"/>
      <c r="E427" s="171"/>
      <c r="F427" s="27"/>
      <c r="G427" s="132"/>
      <c r="H427" s="132"/>
      <c r="I427" s="27"/>
      <c r="J427" s="75"/>
      <c r="K427" s="27"/>
      <c r="L427" s="52"/>
      <c r="M427" s="108">
        <f t="shared" si="13"/>
        <v>0</v>
      </c>
      <c r="N427" s="41"/>
      <c r="O427" s="1"/>
      <c r="P427" s="2"/>
      <c r="Q427" s="2"/>
      <c r="R427" s="2"/>
      <c r="S427" s="2"/>
      <c r="T427" s="2"/>
      <c r="U427" s="2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  <c r="BB427" s="48"/>
      <c r="BC427" s="48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48"/>
      <c r="CV427" s="48"/>
      <c r="CW427" s="48"/>
      <c r="CX427" s="48"/>
      <c r="CY427" s="48"/>
      <c r="CZ427" s="48"/>
      <c r="DA427" s="48"/>
      <c r="DB427" s="48"/>
      <c r="DC427" s="48"/>
      <c r="DD427" s="48"/>
      <c r="DE427" s="48"/>
      <c r="DF427" s="48"/>
      <c r="DG427" s="48"/>
      <c r="DH427" s="48"/>
      <c r="DI427" s="48"/>
      <c r="DJ427" s="48"/>
      <c r="DK427" s="48"/>
      <c r="DL427" s="48"/>
      <c r="DM427" s="48"/>
      <c r="DN427" s="48"/>
      <c r="DO427" s="48"/>
      <c r="DP427" s="48"/>
      <c r="DQ427" s="48"/>
      <c r="DR427" s="48"/>
      <c r="DS427" s="48"/>
      <c r="DT427" s="48"/>
      <c r="DU427" s="48"/>
    </row>
    <row r="428" spans="1:125" ht="34.5" customHeight="1">
      <c r="A428"/>
      <c r="B428" s="7">
        <f t="shared" si="14"/>
        <v>415</v>
      </c>
      <c r="C428" s="95"/>
      <c r="D428" s="171"/>
      <c r="E428" s="171"/>
      <c r="F428" s="27"/>
      <c r="G428" s="132"/>
      <c r="H428" s="132"/>
      <c r="I428" s="27"/>
      <c r="J428" s="75"/>
      <c r="K428" s="27"/>
      <c r="L428" s="52"/>
      <c r="M428" s="108">
        <f t="shared" si="13"/>
        <v>0</v>
      </c>
      <c r="N428" s="41"/>
      <c r="O428" s="1"/>
      <c r="P428" s="2"/>
      <c r="Q428" s="2"/>
      <c r="R428" s="2"/>
      <c r="S428" s="2"/>
      <c r="T428" s="2"/>
      <c r="U428" s="2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  <c r="BB428" s="48"/>
      <c r="BC428" s="48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48"/>
      <c r="CV428" s="48"/>
      <c r="CW428" s="48"/>
      <c r="CX428" s="48"/>
      <c r="CY428" s="48"/>
      <c r="CZ428" s="48"/>
      <c r="DA428" s="48"/>
      <c r="DB428" s="48"/>
      <c r="DC428" s="48"/>
      <c r="DD428" s="48"/>
      <c r="DE428" s="48"/>
      <c r="DF428" s="48"/>
      <c r="DG428" s="48"/>
      <c r="DH428" s="48"/>
      <c r="DI428" s="48"/>
      <c r="DJ428" s="48"/>
      <c r="DK428" s="48"/>
      <c r="DL428" s="48"/>
      <c r="DM428" s="48"/>
      <c r="DN428" s="48"/>
      <c r="DO428" s="48"/>
      <c r="DP428" s="48"/>
      <c r="DQ428" s="48"/>
      <c r="DR428" s="48"/>
      <c r="DS428" s="48"/>
      <c r="DT428" s="48"/>
      <c r="DU428" s="48"/>
    </row>
    <row r="429" spans="1:125" ht="34.5" customHeight="1">
      <c r="A429"/>
      <c r="B429" s="7">
        <f t="shared" si="14"/>
        <v>416</v>
      </c>
      <c r="C429" s="95"/>
      <c r="D429" s="171"/>
      <c r="E429" s="171"/>
      <c r="F429" s="27"/>
      <c r="G429" s="132"/>
      <c r="H429" s="132"/>
      <c r="I429" s="27"/>
      <c r="J429" s="75"/>
      <c r="K429" s="27"/>
      <c r="L429" s="52"/>
      <c r="M429" s="108">
        <f t="shared" si="13"/>
        <v>0</v>
      </c>
      <c r="N429" s="41"/>
      <c r="O429" s="1"/>
      <c r="P429" s="2"/>
      <c r="Q429" s="2"/>
      <c r="R429" s="2"/>
      <c r="S429" s="2"/>
      <c r="T429" s="2"/>
      <c r="U429" s="2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  <c r="BB429" s="48"/>
      <c r="BC429" s="48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48"/>
      <c r="CV429" s="48"/>
      <c r="CW429" s="48"/>
      <c r="CX429" s="48"/>
      <c r="CY429" s="48"/>
      <c r="CZ429" s="48"/>
      <c r="DA429" s="48"/>
      <c r="DB429" s="48"/>
      <c r="DC429" s="48"/>
      <c r="DD429" s="48"/>
      <c r="DE429" s="48"/>
      <c r="DF429" s="48"/>
      <c r="DG429" s="48"/>
      <c r="DH429" s="48"/>
      <c r="DI429" s="48"/>
      <c r="DJ429" s="48"/>
      <c r="DK429" s="48"/>
      <c r="DL429" s="48"/>
      <c r="DM429" s="48"/>
      <c r="DN429" s="48"/>
      <c r="DO429" s="48"/>
      <c r="DP429" s="48"/>
      <c r="DQ429" s="48"/>
      <c r="DR429" s="48"/>
      <c r="DS429" s="48"/>
      <c r="DT429" s="48"/>
      <c r="DU429" s="48"/>
    </row>
    <row r="430" spans="1:125" ht="34.5" customHeight="1">
      <c r="A430"/>
      <c r="B430" s="7">
        <f t="shared" si="14"/>
        <v>417</v>
      </c>
      <c r="C430" s="95"/>
      <c r="D430" s="171"/>
      <c r="E430" s="171"/>
      <c r="F430" s="27"/>
      <c r="G430" s="132"/>
      <c r="H430" s="132"/>
      <c r="I430" s="27"/>
      <c r="J430" s="75"/>
      <c r="K430" s="27"/>
      <c r="L430" s="52"/>
      <c r="M430" s="108">
        <f t="shared" si="13"/>
        <v>0</v>
      </c>
      <c r="N430" s="41"/>
      <c r="O430" s="1"/>
      <c r="P430" s="2"/>
      <c r="Q430" s="2"/>
      <c r="R430" s="2"/>
      <c r="S430" s="2"/>
      <c r="T430" s="2"/>
      <c r="U430" s="2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  <c r="BB430" s="48"/>
      <c r="BC430" s="48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48"/>
      <c r="CV430" s="48"/>
      <c r="CW430" s="48"/>
      <c r="CX430" s="48"/>
      <c r="CY430" s="48"/>
      <c r="CZ430" s="48"/>
      <c r="DA430" s="48"/>
      <c r="DB430" s="48"/>
      <c r="DC430" s="48"/>
      <c r="DD430" s="48"/>
      <c r="DE430" s="48"/>
      <c r="DF430" s="48"/>
      <c r="DG430" s="48"/>
      <c r="DH430" s="48"/>
      <c r="DI430" s="48"/>
      <c r="DJ430" s="48"/>
      <c r="DK430" s="48"/>
      <c r="DL430" s="48"/>
      <c r="DM430" s="48"/>
      <c r="DN430" s="48"/>
      <c r="DO430" s="48"/>
      <c r="DP430" s="48"/>
      <c r="DQ430" s="48"/>
      <c r="DR430" s="48"/>
      <c r="DS430" s="48"/>
      <c r="DT430" s="48"/>
      <c r="DU430" s="48"/>
    </row>
    <row r="431" spans="1:125" ht="34.5" customHeight="1">
      <c r="A431"/>
      <c r="B431" s="7">
        <f t="shared" si="14"/>
        <v>418</v>
      </c>
      <c r="C431" s="95"/>
      <c r="D431" s="171"/>
      <c r="E431" s="171"/>
      <c r="F431" s="27"/>
      <c r="G431" s="132"/>
      <c r="H431" s="132"/>
      <c r="I431" s="27"/>
      <c r="J431" s="75"/>
      <c r="K431" s="27"/>
      <c r="L431" s="52"/>
      <c r="M431" s="108">
        <f t="shared" si="13"/>
        <v>0</v>
      </c>
      <c r="N431" s="41"/>
      <c r="O431" s="1"/>
      <c r="P431" s="2"/>
      <c r="Q431" s="2"/>
      <c r="R431" s="2"/>
      <c r="S431" s="2"/>
      <c r="T431" s="2"/>
      <c r="U431" s="2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  <c r="BB431" s="48"/>
      <c r="BC431" s="48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48"/>
      <c r="CV431" s="48"/>
      <c r="CW431" s="48"/>
      <c r="CX431" s="48"/>
      <c r="CY431" s="48"/>
      <c r="CZ431" s="48"/>
      <c r="DA431" s="48"/>
      <c r="DB431" s="48"/>
      <c r="DC431" s="48"/>
      <c r="DD431" s="48"/>
      <c r="DE431" s="48"/>
      <c r="DF431" s="48"/>
      <c r="DG431" s="48"/>
      <c r="DH431" s="48"/>
      <c r="DI431" s="48"/>
      <c r="DJ431" s="48"/>
      <c r="DK431" s="48"/>
      <c r="DL431" s="48"/>
      <c r="DM431" s="48"/>
      <c r="DN431" s="48"/>
      <c r="DO431" s="48"/>
      <c r="DP431" s="48"/>
      <c r="DQ431" s="48"/>
      <c r="DR431" s="48"/>
      <c r="DS431" s="48"/>
      <c r="DT431" s="48"/>
      <c r="DU431" s="48"/>
    </row>
    <row r="432" spans="1:125" ht="34.5" customHeight="1">
      <c r="A432"/>
      <c r="B432" s="7">
        <f t="shared" si="14"/>
        <v>419</v>
      </c>
      <c r="C432" s="95"/>
      <c r="D432" s="171"/>
      <c r="E432" s="171"/>
      <c r="F432" s="27"/>
      <c r="G432" s="132"/>
      <c r="H432" s="132"/>
      <c r="I432" s="27"/>
      <c r="J432" s="75"/>
      <c r="K432" s="27"/>
      <c r="L432" s="52"/>
      <c r="M432" s="108">
        <f t="shared" si="13"/>
        <v>0</v>
      </c>
      <c r="N432" s="41"/>
      <c r="O432" s="1"/>
      <c r="P432" s="2"/>
      <c r="Q432" s="2"/>
      <c r="R432" s="2"/>
      <c r="S432" s="2"/>
      <c r="T432" s="2"/>
      <c r="U432" s="2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48"/>
      <c r="CV432" s="48"/>
      <c r="CW432" s="48"/>
      <c r="CX432" s="48"/>
      <c r="CY432" s="48"/>
      <c r="CZ432" s="48"/>
      <c r="DA432" s="48"/>
      <c r="DB432" s="48"/>
      <c r="DC432" s="48"/>
      <c r="DD432" s="48"/>
      <c r="DE432" s="48"/>
      <c r="DF432" s="48"/>
      <c r="DG432" s="48"/>
      <c r="DH432" s="48"/>
      <c r="DI432" s="48"/>
      <c r="DJ432" s="48"/>
      <c r="DK432" s="48"/>
      <c r="DL432" s="48"/>
      <c r="DM432" s="48"/>
      <c r="DN432" s="48"/>
      <c r="DO432" s="48"/>
      <c r="DP432" s="48"/>
      <c r="DQ432" s="48"/>
      <c r="DR432" s="48"/>
      <c r="DS432" s="48"/>
      <c r="DT432" s="48"/>
      <c r="DU432" s="48"/>
    </row>
    <row r="433" spans="1:125" ht="34.5" customHeight="1">
      <c r="A433"/>
      <c r="B433" s="7">
        <f t="shared" si="14"/>
        <v>420</v>
      </c>
      <c r="C433" s="95"/>
      <c r="D433" s="171"/>
      <c r="E433" s="171"/>
      <c r="F433" s="27"/>
      <c r="G433" s="132"/>
      <c r="H433" s="132"/>
      <c r="I433" s="27"/>
      <c r="J433" s="75"/>
      <c r="K433" s="27"/>
      <c r="L433" s="52"/>
      <c r="M433" s="108">
        <f t="shared" si="13"/>
        <v>0</v>
      </c>
      <c r="N433" s="41"/>
      <c r="O433" s="1"/>
      <c r="P433" s="2"/>
      <c r="Q433" s="2"/>
      <c r="R433" s="2"/>
      <c r="S433" s="2"/>
      <c r="T433" s="2"/>
      <c r="U433" s="2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48"/>
      <c r="CV433" s="48"/>
      <c r="CW433" s="48"/>
      <c r="CX433" s="48"/>
      <c r="CY433" s="48"/>
      <c r="CZ433" s="48"/>
      <c r="DA433" s="48"/>
      <c r="DB433" s="48"/>
      <c r="DC433" s="48"/>
      <c r="DD433" s="48"/>
      <c r="DE433" s="48"/>
      <c r="DF433" s="48"/>
      <c r="DG433" s="48"/>
      <c r="DH433" s="48"/>
      <c r="DI433" s="48"/>
      <c r="DJ433" s="48"/>
      <c r="DK433" s="48"/>
      <c r="DL433" s="48"/>
      <c r="DM433" s="48"/>
      <c r="DN433" s="48"/>
      <c r="DO433" s="48"/>
      <c r="DP433" s="48"/>
      <c r="DQ433" s="48"/>
      <c r="DR433" s="48"/>
      <c r="DS433" s="48"/>
      <c r="DT433" s="48"/>
      <c r="DU433" s="48"/>
    </row>
    <row r="434" spans="1:125" ht="34.5" customHeight="1">
      <c r="A434"/>
      <c r="B434" s="7">
        <f t="shared" si="14"/>
        <v>421</v>
      </c>
      <c r="C434" s="95"/>
      <c r="D434" s="171"/>
      <c r="E434" s="171"/>
      <c r="F434" s="27"/>
      <c r="G434" s="132"/>
      <c r="H434" s="132"/>
      <c r="I434" s="27"/>
      <c r="J434" s="75"/>
      <c r="K434" s="27"/>
      <c r="L434" s="52"/>
      <c r="M434" s="108">
        <f t="shared" si="13"/>
        <v>0</v>
      </c>
      <c r="N434" s="41"/>
      <c r="O434" s="1"/>
      <c r="P434" s="2"/>
      <c r="Q434" s="2"/>
      <c r="R434" s="2"/>
      <c r="S434" s="2"/>
      <c r="T434" s="2"/>
      <c r="U434" s="2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  <c r="BB434" s="48"/>
      <c r="BC434" s="48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48"/>
      <c r="CV434" s="48"/>
      <c r="CW434" s="48"/>
      <c r="CX434" s="48"/>
      <c r="CY434" s="48"/>
      <c r="CZ434" s="48"/>
      <c r="DA434" s="48"/>
      <c r="DB434" s="48"/>
      <c r="DC434" s="48"/>
      <c r="DD434" s="48"/>
      <c r="DE434" s="48"/>
      <c r="DF434" s="48"/>
      <c r="DG434" s="48"/>
      <c r="DH434" s="48"/>
      <c r="DI434" s="48"/>
      <c r="DJ434" s="48"/>
      <c r="DK434" s="48"/>
      <c r="DL434" s="48"/>
      <c r="DM434" s="48"/>
      <c r="DN434" s="48"/>
      <c r="DO434" s="48"/>
      <c r="DP434" s="48"/>
      <c r="DQ434" s="48"/>
      <c r="DR434" s="48"/>
      <c r="DS434" s="48"/>
      <c r="DT434" s="48"/>
      <c r="DU434" s="48"/>
    </row>
    <row r="435" spans="1:125" ht="35.1" customHeight="1">
      <c r="A435"/>
      <c r="B435" s="7">
        <f t="shared" si="14"/>
        <v>422</v>
      </c>
      <c r="C435" s="95"/>
      <c r="D435" s="171"/>
      <c r="E435" s="171"/>
      <c r="F435" s="27"/>
      <c r="G435" s="132"/>
      <c r="H435" s="132"/>
      <c r="I435" s="27"/>
      <c r="J435" s="75"/>
      <c r="K435" s="27"/>
      <c r="L435" s="52"/>
      <c r="M435" s="108">
        <f t="shared" si="13"/>
        <v>0</v>
      </c>
      <c r="N435" s="41"/>
      <c r="O435" s="1"/>
      <c r="P435" s="2"/>
      <c r="Q435" s="2"/>
      <c r="R435" s="2"/>
      <c r="S435" s="2"/>
      <c r="T435" s="2"/>
      <c r="U435" s="2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  <c r="BB435" s="48"/>
      <c r="BC435" s="48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48"/>
      <c r="CV435" s="48"/>
      <c r="CW435" s="48"/>
      <c r="CX435" s="48"/>
      <c r="CY435" s="48"/>
      <c r="CZ435" s="48"/>
      <c r="DA435" s="48"/>
      <c r="DB435" s="48"/>
      <c r="DC435" s="48"/>
      <c r="DD435" s="48"/>
      <c r="DE435" s="48"/>
      <c r="DF435" s="48"/>
      <c r="DG435" s="48"/>
      <c r="DH435" s="48"/>
      <c r="DI435" s="48"/>
      <c r="DJ435" s="48"/>
      <c r="DK435" s="48"/>
      <c r="DL435" s="48"/>
      <c r="DM435" s="48"/>
      <c r="DN435" s="48"/>
      <c r="DO435" s="48"/>
      <c r="DP435" s="48"/>
      <c r="DQ435" s="48"/>
      <c r="DR435" s="48"/>
      <c r="DS435" s="48"/>
      <c r="DT435" s="48"/>
      <c r="DU435" s="48"/>
    </row>
    <row r="436" spans="1:125" ht="35.1" customHeight="1">
      <c r="A436"/>
      <c r="B436" s="7">
        <f t="shared" si="14"/>
        <v>423</v>
      </c>
      <c r="C436" s="95"/>
      <c r="D436" s="171"/>
      <c r="E436" s="171"/>
      <c r="F436" s="27"/>
      <c r="G436" s="132"/>
      <c r="H436" s="132"/>
      <c r="I436" s="27"/>
      <c r="J436" s="75"/>
      <c r="K436" s="27"/>
      <c r="L436" s="52"/>
      <c r="M436" s="108">
        <f t="shared" si="13"/>
        <v>0</v>
      </c>
      <c r="N436" s="41"/>
      <c r="O436" s="1"/>
      <c r="P436" s="2"/>
      <c r="Q436" s="2"/>
      <c r="R436" s="2"/>
      <c r="S436" s="2"/>
      <c r="T436" s="2"/>
      <c r="U436" s="2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  <c r="BB436" s="48"/>
      <c r="BC436" s="48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48"/>
      <c r="CV436" s="48"/>
      <c r="CW436" s="48"/>
      <c r="CX436" s="48"/>
      <c r="CY436" s="48"/>
      <c r="CZ436" s="48"/>
      <c r="DA436" s="48"/>
      <c r="DB436" s="48"/>
      <c r="DC436" s="48"/>
      <c r="DD436" s="48"/>
      <c r="DE436" s="48"/>
      <c r="DF436" s="48"/>
      <c r="DG436" s="48"/>
      <c r="DH436" s="48"/>
      <c r="DI436" s="48"/>
      <c r="DJ436" s="48"/>
      <c r="DK436" s="48"/>
      <c r="DL436" s="48"/>
      <c r="DM436" s="48"/>
      <c r="DN436" s="48"/>
      <c r="DO436" s="48"/>
      <c r="DP436" s="48"/>
      <c r="DQ436" s="48"/>
      <c r="DR436" s="48"/>
      <c r="DS436" s="48"/>
      <c r="DT436" s="48"/>
      <c r="DU436" s="48"/>
    </row>
    <row r="437" spans="1:125" ht="35.1" customHeight="1">
      <c r="A437"/>
      <c r="B437" s="7">
        <f t="shared" si="14"/>
        <v>424</v>
      </c>
      <c r="C437" s="95"/>
      <c r="D437" s="171"/>
      <c r="E437" s="171"/>
      <c r="F437" s="27"/>
      <c r="G437" s="132"/>
      <c r="H437" s="132"/>
      <c r="I437" s="27"/>
      <c r="J437" s="75"/>
      <c r="K437" s="27"/>
      <c r="L437" s="52"/>
      <c r="M437" s="108">
        <f t="shared" si="13"/>
        <v>0</v>
      </c>
      <c r="N437" s="41"/>
      <c r="O437" s="1"/>
      <c r="P437" s="2"/>
      <c r="Q437" s="2"/>
      <c r="R437" s="2"/>
      <c r="S437" s="2"/>
      <c r="T437" s="2"/>
      <c r="U437" s="2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  <c r="BB437" s="48"/>
      <c r="BC437" s="48"/>
      <c r="BD437" s="48"/>
      <c r="BE437" s="48"/>
      <c r="BF437" s="48"/>
      <c r="BG437" s="48"/>
      <c r="BH437" s="48"/>
      <c r="BI437" s="48"/>
      <c r="BJ437" s="48"/>
      <c r="BK437" s="48"/>
      <c r="BL437" s="48"/>
      <c r="BM437" s="48"/>
      <c r="BN437" s="48"/>
      <c r="BO437" s="48"/>
      <c r="BP437" s="48"/>
      <c r="BQ437" s="48"/>
      <c r="BR437" s="48"/>
      <c r="BS437" s="48"/>
      <c r="BT437" s="48"/>
      <c r="BU437" s="48"/>
      <c r="BV437" s="48"/>
      <c r="BW437" s="48"/>
      <c r="BX437" s="48"/>
      <c r="BY437" s="48"/>
      <c r="BZ437" s="48"/>
      <c r="CA437" s="48"/>
      <c r="CB437" s="48"/>
      <c r="CC437" s="48"/>
      <c r="CD437" s="48"/>
      <c r="CE437" s="48"/>
      <c r="CF437" s="48"/>
      <c r="CG437" s="48"/>
      <c r="CH437" s="48"/>
      <c r="CI437" s="48"/>
      <c r="CJ437" s="48"/>
      <c r="CK437" s="48"/>
      <c r="CL437" s="48"/>
      <c r="CM437" s="48"/>
      <c r="CN437" s="48"/>
      <c r="CO437" s="48"/>
      <c r="CP437" s="48"/>
      <c r="CQ437" s="48"/>
      <c r="CR437" s="48"/>
      <c r="CS437" s="48"/>
      <c r="CT437" s="48"/>
      <c r="CU437" s="48"/>
      <c r="CV437" s="48"/>
      <c r="CW437" s="48"/>
      <c r="CX437" s="48"/>
      <c r="CY437" s="48"/>
      <c r="CZ437" s="48"/>
      <c r="DA437" s="48"/>
      <c r="DB437" s="48"/>
      <c r="DC437" s="48"/>
      <c r="DD437" s="48"/>
      <c r="DE437" s="48"/>
      <c r="DF437" s="48"/>
      <c r="DG437" s="48"/>
      <c r="DH437" s="48"/>
      <c r="DI437" s="48"/>
      <c r="DJ437" s="48"/>
      <c r="DK437" s="48"/>
      <c r="DL437" s="48"/>
      <c r="DM437" s="48"/>
      <c r="DN437" s="48"/>
      <c r="DO437" s="48"/>
      <c r="DP437" s="48"/>
      <c r="DQ437" s="48"/>
      <c r="DR437" s="48"/>
      <c r="DS437" s="48"/>
      <c r="DT437" s="48"/>
      <c r="DU437" s="48"/>
    </row>
    <row r="438" spans="1:125" ht="35.1" customHeight="1">
      <c r="A438"/>
      <c r="B438" s="7">
        <f t="shared" si="14"/>
        <v>425</v>
      </c>
      <c r="C438" s="95"/>
      <c r="D438" s="171"/>
      <c r="E438" s="171"/>
      <c r="F438" s="27"/>
      <c r="G438" s="132"/>
      <c r="H438" s="132"/>
      <c r="I438" s="27"/>
      <c r="J438" s="75"/>
      <c r="K438" s="27"/>
      <c r="L438" s="52"/>
      <c r="M438" s="108">
        <f t="shared" si="13"/>
        <v>0</v>
      </c>
      <c r="N438" s="41"/>
      <c r="O438" s="1"/>
      <c r="P438" s="2"/>
      <c r="Q438" s="2"/>
      <c r="R438" s="2"/>
      <c r="S438" s="2"/>
      <c r="T438" s="2"/>
      <c r="U438" s="2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  <c r="BB438" s="48"/>
      <c r="BC438" s="48"/>
      <c r="BD438" s="48"/>
      <c r="BE438" s="48"/>
      <c r="BF438" s="48"/>
      <c r="BG438" s="48"/>
      <c r="BH438" s="48"/>
      <c r="BI438" s="48"/>
      <c r="BJ438" s="48"/>
      <c r="BK438" s="48"/>
      <c r="BL438" s="48"/>
      <c r="BM438" s="48"/>
      <c r="BN438" s="48"/>
      <c r="BO438" s="48"/>
      <c r="BP438" s="48"/>
      <c r="BQ438" s="48"/>
      <c r="BR438" s="48"/>
      <c r="BS438" s="48"/>
      <c r="BT438" s="48"/>
      <c r="BU438" s="48"/>
      <c r="BV438" s="48"/>
      <c r="BW438" s="48"/>
      <c r="BX438" s="48"/>
      <c r="BY438" s="48"/>
      <c r="BZ438" s="48"/>
      <c r="CA438" s="48"/>
      <c r="CB438" s="48"/>
      <c r="CC438" s="48"/>
      <c r="CD438" s="48"/>
      <c r="CE438" s="48"/>
      <c r="CF438" s="48"/>
      <c r="CG438" s="48"/>
      <c r="CH438" s="48"/>
      <c r="CI438" s="48"/>
      <c r="CJ438" s="48"/>
      <c r="CK438" s="48"/>
      <c r="CL438" s="48"/>
      <c r="CM438" s="48"/>
      <c r="CN438" s="48"/>
      <c r="CO438" s="48"/>
      <c r="CP438" s="48"/>
      <c r="CQ438" s="48"/>
      <c r="CR438" s="48"/>
      <c r="CS438" s="48"/>
      <c r="CT438" s="48"/>
      <c r="CU438" s="48"/>
      <c r="CV438" s="48"/>
      <c r="CW438" s="48"/>
      <c r="CX438" s="48"/>
      <c r="CY438" s="48"/>
      <c r="CZ438" s="48"/>
      <c r="DA438" s="48"/>
      <c r="DB438" s="48"/>
      <c r="DC438" s="48"/>
      <c r="DD438" s="48"/>
      <c r="DE438" s="48"/>
      <c r="DF438" s="48"/>
      <c r="DG438" s="48"/>
      <c r="DH438" s="48"/>
      <c r="DI438" s="48"/>
      <c r="DJ438" s="48"/>
      <c r="DK438" s="48"/>
      <c r="DL438" s="48"/>
      <c r="DM438" s="48"/>
      <c r="DN438" s="48"/>
      <c r="DO438" s="48"/>
      <c r="DP438" s="48"/>
      <c r="DQ438" s="48"/>
      <c r="DR438" s="48"/>
      <c r="DS438" s="48"/>
      <c r="DT438" s="48"/>
      <c r="DU438" s="48"/>
    </row>
    <row r="439" spans="1:125" ht="35.1" customHeight="1">
      <c r="A439"/>
      <c r="B439" s="7">
        <f t="shared" si="14"/>
        <v>426</v>
      </c>
      <c r="C439" s="95"/>
      <c r="D439" s="171"/>
      <c r="E439" s="171"/>
      <c r="F439" s="27"/>
      <c r="G439" s="132"/>
      <c r="H439" s="132"/>
      <c r="I439" s="27"/>
      <c r="J439" s="75"/>
      <c r="K439" s="27"/>
      <c r="L439" s="52"/>
      <c r="M439" s="108">
        <f t="shared" si="13"/>
        <v>0</v>
      </c>
      <c r="N439" s="41"/>
      <c r="O439" s="1"/>
      <c r="P439" s="2"/>
      <c r="Q439" s="2"/>
      <c r="R439" s="2"/>
      <c r="S439" s="2"/>
      <c r="T439" s="2"/>
      <c r="U439" s="2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  <c r="BB439" s="48"/>
      <c r="BC439" s="48"/>
      <c r="BD439" s="48"/>
      <c r="BE439" s="48"/>
      <c r="BF439" s="48"/>
      <c r="BG439" s="48"/>
      <c r="BH439" s="48"/>
      <c r="BI439" s="48"/>
      <c r="BJ439" s="48"/>
      <c r="BK439" s="48"/>
      <c r="BL439" s="48"/>
      <c r="BM439" s="48"/>
      <c r="BN439" s="48"/>
      <c r="BO439" s="48"/>
      <c r="BP439" s="48"/>
      <c r="BQ439" s="48"/>
      <c r="BR439" s="48"/>
      <c r="BS439" s="48"/>
      <c r="BT439" s="48"/>
      <c r="BU439" s="48"/>
      <c r="BV439" s="48"/>
      <c r="BW439" s="48"/>
      <c r="BX439" s="48"/>
      <c r="BY439" s="48"/>
      <c r="BZ439" s="48"/>
      <c r="CA439" s="48"/>
      <c r="CB439" s="48"/>
      <c r="CC439" s="48"/>
      <c r="CD439" s="48"/>
      <c r="CE439" s="48"/>
      <c r="CF439" s="48"/>
      <c r="CG439" s="48"/>
      <c r="CH439" s="48"/>
      <c r="CI439" s="48"/>
      <c r="CJ439" s="48"/>
      <c r="CK439" s="48"/>
      <c r="CL439" s="48"/>
      <c r="CM439" s="48"/>
      <c r="CN439" s="48"/>
      <c r="CO439" s="48"/>
      <c r="CP439" s="48"/>
      <c r="CQ439" s="48"/>
      <c r="CR439" s="48"/>
      <c r="CS439" s="48"/>
      <c r="CT439" s="48"/>
      <c r="CU439" s="48"/>
      <c r="CV439" s="48"/>
      <c r="CW439" s="48"/>
      <c r="CX439" s="48"/>
      <c r="CY439" s="48"/>
      <c r="CZ439" s="48"/>
      <c r="DA439" s="48"/>
      <c r="DB439" s="48"/>
      <c r="DC439" s="48"/>
      <c r="DD439" s="48"/>
      <c r="DE439" s="48"/>
      <c r="DF439" s="48"/>
      <c r="DG439" s="48"/>
      <c r="DH439" s="48"/>
      <c r="DI439" s="48"/>
      <c r="DJ439" s="48"/>
      <c r="DK439" s="48"/>
      <c r="DL439" s="48"/>
      <c r="DM439" s="48"/>
      <c r="DN439" s="48"/>
      <c r="DO439" s="48"/>
      <c r="DP439" s="48"/>
      <c r="DQ439" s="48"/>
      <c r="DR439" s="48"/>
      <c r="DS439" s="48"/>
      <c r="DT439" s="48"/>
      <c r="DU439" s="48"/>
    </row>
    <row r="440" spans="1:125" ht="35.1" customHeight="1">
      <c r="A440"/>
      <c r="B440" s="7">
        <f t="shared" si="14"/>
        <v>427</v>
      </c>
      <c r="C440" s="95"/>
      <c r="D440" s="171"/>
      <c r="E440" s="171"/>
      <c r="F440" s="27"/>
      <c r="G440" s="132"/>
      <c r="H440" s="132"/>
      <c r="I440" s="27"/>
      <c r="J440" s="75"/>
      <c r="K440" s="27"/>
      <c r="L440" s="52"/>
      <c r="M440" s="108">
        <f t="shared" si="13"/>
        <v>0</v>
      </c>
      <c r="N440" s="41"/>
      <c r="O440" s="1"/>
      <c r="P440" s="2"/>
      <c r="Q440" s="2"/>
      <c r="R440" s="2"/>
      <c r="S440" s="2"/>
      <c r="T440" s="2"/>
      <c r="U440" s="2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  <c r="BB440" s="48"/>
      <c r="BC440" s="48"/>
      <c r="BD440" s="48"/>
      <c r="BE440" s="48"/>
      <c r="BF440" s="48"/>
      <c r="BG440" s="48"/>
      <c r="BH440" s="48"/>
      <c r="BI440" s="48"/>
      <c r="BJ440" s="48"/>
      <c r="BK440" s="48"/>
      <c r="BL440" s="48"/>
      <c r="BM440" s="48"/>
      <c r="BN440" s="48"/>
      <c r="BO440" s="48"/>
      <c r="BP440" s="48"/>
      <c r="BQ440" s="48"/>
      <c r="BR440" s="48"/>
      <c r="BS440" s="48"/>
      <c r="BT440" s="48"/>
      <c r="BU440" s="48"/>
      <c r="BV440" s="48"/>
      <c r="BW440" s="48"/>
      <c r="BX440" s="48"/>
      <c r="BY440" s="48"/>
      <c r="BZ440" s="48"/>
      <c r="CA440" s="48"/>
      <c r="CB440" s="48"/>
      <c r="CC440" s="48"/>
      <c r="CD440" s="48"/>
      <c r="CE440" s="48"/>
      <c r="CF440" s="48"/>
      <c r="CG440" s="48"/>
      <c r="CH440" s="48"/>
      <c r="CI440" s="48"/>
      <c r="CJ440" s="48"/>
      <c r="CK440" s="48"/>
      <c r="CL440" s="48"/>
      <c r="CM440" s="48"/>
      <c r="CN440" s="48"/>
      <c r="CO440" s="48"/>
      <c r="CP440" s="48"/>
      <c r="CQ440" s="48"/>
      <c r="CR440" s="48"/>
      <c r="CS440" s="48"/>
      <c r="CT440" s="48"/>
      <c r="CU440" s="48"/>
      <c r="CV440" s="48"/>
      <c r="CW440" s="48"/>
      <c r="CX440" s="48"/>
      <c r="CY440" s="48"/>
      <c r="CZ440" s="48"/>
      <c r="DA440" s="48"/>
      <c r="DB440" s="48"/>
      <c r="DC440" s="48"/>
      <c r="DD440" s="48"/>
      <c r="DE440" s="48"/>
      <c r="DF440" s="48"/>
      <c r="DG440" s="48"/>
      <c r="DH440" s="48"/>
      <c r="DI440" s="48"/>
      <c r="DJ440" s="48"/>
      <c r="DK440" s="48"/>
      <c r="DL440" s="48"/>
      <c r="DM440" s="48"/>
      <c r="DN440" s="48"/>
      <c r="DO440" s="48"/>
      <c r="DP440" s="48"/>
      <c r="DQ440" s="48"/>
      <c r="DR440" s="48"/>
      <c r="DS440" s="48"/>
      <c r="DT440" s="48"/>
      <c r="DU440" s="48"/>
    </row>
    <row r="441" spans="1:125" ht="35.1" customHeight="1">
      <c r="A441"/>
      <c r="B441" s="7">
        <f t="shared" si="14"/>
        <v>428</v>
      </c>
      <c r="C441" s="95"/>
      <c r="D441" s="171"/>
      <c r="E441" s="171"/>
      <c r="F441" s="27"/>
      <c r="G441" s="132"/>
      <c r="H441" s="132"/>
      <c r="I441" s="27"/>
      <c r="J441" s="75"/>
      <c r="K441" s="27"/>
      <c r="L441" s="52"/>
      <c r="M441" s="108">
        <f t="shared" si="13"/>
        <v>0</v>
      </c>
      <c r="N441" s="41"/>
      <c r="O441" s="1"/>
      <c r="P441" s="2"/>
      <c r="Q441" s="2"/>
      <c r="R441" s="2"/>
      <c r="S441" s="2"/>
      <c r="T441" s="2"/>
      <c r="U441" s="2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  <c r="BB441" s="48"/>
      <c r="BC441" s="48"/>
      <c r="BD441" s="48"/>
      <c r="BE441" s="48"/>
      <c r="BF441" s="48"/>
      <c r="BG441" s="48"/>
      <c r="BH441" s="48"/>
      <c r="BI441" s="48"/>
      <c r="BJ441" s="48"/>
      <c r="BK441" s="48"/>
      <c r="BL441" s="48"/>
      <c r="BM441" s="48"/>
      <c r="BN441" s="48"/>
      <c r="BO441" s="48"/>
      <c r="BP441" s="48"/>
      <c r="BQ441" s="48"/>
      <c r="BR441" s="48"/>
      <c r="BS441" s="48"/>
      <c r="BT441" s="48"/>
      <c r="BU441" s="48"/>
      <c r="BV441" s="48"/>
      <c r="BW441" s="48"/>
      <c r="BX441" s="48"/>
      <c r="BY441" s="48"/>
      <c r="BZ441" s="48"/>
      <c r="CA441" s="48"/>
      <c r="CB441" s="48"/>
      <c r="CC441" s="48"/>
      <c r="CD441" s="48"/>
      <c r="CE441" s="48"/>
      <c r="CF441" s="48"/>
      <c r="CG441" s="48"/>
      <c r="CH441" s="48"/>
      <c r="CI441" s="48"/>
      <c r="CJ441" s="48"/>
      <c r="CK441" s="48"/>
      <c r="CL441" s="48"/>
      <c r="CM441" s="48"/>
      <c r="CN441" s="48"/>
      <c r="CO441" s="48"/>
      <c r="CP441" s="48"/>
      <c r="CQ441" s="48"/>
      <c r="CR441" s="48"/>
      <c r="CS441" s="48"/>
      <c r="CT441" s="48"/>
      <c r="CU441" s="48"/>
      <c r="CV441" s="48"/>
      <c r="CW441" s="48"/>
      <c r="CX441" s="48"/>
      <c r="CY441" s="48"/>
      <c r="CZ441" s="48"/>
      <c r="DA441" s="48"/>
      <c r="DB441" s="48"/>
      <c r="DC441" s="48"/>
      <c r="DD441" s="48"/>
      <c r="DE441" s="48"/>
      <c r="DF441" s="48"/>
      <c r="DG441" s="48"/>
      <c r="DH441" s="48"/>
      <c r="DI441" s="48"/>
      <c r="DJ441" s="48"/>
      <c r="DK441" s="48"/>
      <c r="DL441" s="48"/>
      <c r="DM441" s="48"/>
      <c r="DN441" s="48"/>
      <c r="DO441" s="48"/>
      <c r="DP441" s="48"/>
      <c r="DQ441" s="48"/>
      <c r="DR441" s="48"/>
      <c r="DS441" s="48"/>
      <c r="DT441" s="48"/>
      <c r="DU441" s="48"/>
    </row>
    <row r="442" spans="1:125" ht="35.1" customHeight="1">
      <c r="A442"/>
      <c r="B442" s="7">
        <f t="shared" si="14"/>
        <v>429</v>
      </c>
      <c r="C442" s="95"/>
      <c r="D442" s="171"/>
      <c r="E442" s="171"/>
      <c r="F442" s="27"/>
      <c r="G442" s="132"/>
      <c r="H442" s="132"/>
      <c r="I442" s="27"/>
      <c r="J442" s="75"/>
      <c r="K442" s="27"/>
      <c r="L442" s="52"/>
      <c r="M442" s="108">
        <f t="shared" si="13"/>
        <v>0</v>
      </c>
      <c r="N442" s="41"/>
      <c r="O442" s="1"/>
      <c r="P442" s="2"/>
      <c r="Q442" s="2"/>
      <c r="R442" s="2"/>
      <c r="S442" s="2"/>
      <c r="T442" s="2"/>
      <c r="U442" s="2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  <c r="BB442" s="48"/>
      <c r="BC442" s="48"/>
      <c r="BD442" s="48"/>
      <c r="BE442" s="48"/>
      <c r="BF442" s="48"/>
      <c r="BG442" s="48"/>
      <c r="BH442" s="48"/>
      <c r="BI442" s="48"/>
      <c r="BJ442" s="48"/>
      <c r="BK442" s="48"/>
      <c r="BL442" s="48"/>
      <c r="BM442" s="48"/>
      <c r="BN442" s="48"/>
      <c r="BO442" s="48"/>
      <c r="BP442" s="48"/>
      <c r="BQ442" s="48"/>
      <c r="BR442" s="48"/>
      <c r="BS442" s="48"/>
      <c r="BT442" s="48"/>
      <c r="BU442" s="48"/>
      <c r="BV442" s="48"/>
      <c r="BW442" s="48"/>
      <c r="BX442" s="48"/>
      <c r="BY442" s="48"/>
      <c r="BZ442" s="48"/>
      <c r="CA442" s="48"/>
      <c r="CB442" s="48"/>
      <c r="CC442" s="48"/>
      <c r="CD442" s="48"/>
      <c r="CE442" s="48"/>
      <c r="CF442" s="48"/>
      <c r="CG442" s="48"/>
      <c r="CH442" s="48"/>
      <c r="CI442" s="48"/>
      <c r="CJ442" s="48"/>
      <c r="CK442" s="48"/>
      <c r="CL442" s="48"/>
      <c r="CM442" s="48"/>
      <c r="CN442" s="48"/>
      <c r="CO442" s="48"/>
      <c r="CP442" s="48"/>
      <c r="CQ442" s="48"/>
      <c r="CR442" s="48"/>
      <c r="CS442" s="48"/>
      <c r="CT442" s="48"/>
      <c r="CU442" s="48"/>
      <c r="CV442" s="48"/>
      <c r="CW442" s="48"/>
      <c r="CX442" s="48"/>
      <c r="CY442" s="48"/>
      <c r="CZ442" s="48"/>
      <c r="DA442" s="48"/>
      <c r="DB442" s="48"/>
      <c r="DC442" s="48"/>
      <c r="DD442" s="48"/>
      <c r="DE442" s="48"/>
      <c r="DF442" s="48"/>
      <c r="DG442" s="48"/>
      <c r="DH442" s="48"/>
      <c r="DI442" s="48"/>
      <c r="DJ442" s="48"/>
      <c r="DK442" s="48"/>
      <c r="DL442" s="48"/>
      <c r="DM442" s="48"/>
      <c r="DN442" s="48"/>
      <c r="DO442" s="48"/>
      <c r="DP442" s="48"/>
      <c r="DQ442" s="48"/>
      <c r="DR442" s="48"/>
      <c r="DS442" s="48"/>
      <c r="DT442" s="48"/>
      <c r="DU442" s="48"/>
    </row>
    <row r="443" spans="1:125" ht="35.1" customHeight="1">
      <c r="A443"/>
      <c r="B443" s="7">
        <f t="shared" si="14"/>
        <v>430</v>
      </c>
      <c r="C443" s="95"/>
      <c r="D443" s="171"/>
      <c r="E443" s="171"/>
      <c r="F443" s="27"/>
      <c r="G443" s="132"/>
      <c r="H443" s="132"/>
      <c r="I443" s="27"/>
      <c r="J443" s="75"/>
      <c r="K443" s="27"/>
      <c r="L443" s="52"/>
      <c r="M443" s="108">
        <f t="shared" si="13"/>
        <v>0</v>
      </c>
      <c r="N443" s="41"/>
      <c r="O443" s="1"/>
      <c r="P443" s="2"/>
      <c r="Q443" s="2"/>
      <c r="R443" s="2"/>
      <c r="S443" s="2"/>
      <c r="T443" s="2"/>
      <c r="U443" s="2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  <c r="BB443" s="48"/>
      <c r="BC443" s="48"/>
      <c r="BD443" s="48"/>
      <c r="BE443" s="48"/>
      <c r="BF443" s="48"/>
      <c r="BG443" s="48"/>
      <c r="BH443" s="48"/>
      <c r="BI443" s="48"/>
      <c r="BJ443" s="48"/>
      <c r="BK443" s="48"/>
      <c r="BL443" s="48"/>
      <c r="BM443" s="48"/>
      <c r="BN443" s="48"/>
      <c r="BO443" s="48"/>
      <c r="BP443" s="48"/>
      <c r="BQ443" s="48"/>
      <c r="BR443" s="48"/>
      <c r="BS443" s="48"/>
      <c r="BT443" s="48"/>
      <c r="BU443" s="48"/>
      <c r="BV443" s="48"/>
      <c r="BW443" s="48"/>
      <c r="BX443" s="48"/>
      <c r="BY443" s="48"/>
      <c r="BZ443" s="48"/>
      <c r="CA443" s="48"/>
      <c r="CB443" s="48"/>
      <c r="CC443" s="48"/>
      <c r="CD443" s="48"/>
      <c r="CE443" s="48"/>
      <c r="CF443" s="48"/>
      <c r="CG443" s="48"/>
      <c r="CH443" s="48"/>
      <c r="CI443" s="48"/>
      <c r="CJ443" s="48"/>
      <c r="CK443" s="48"/>
      <c r="CL443" s="48"/>
      <c r="CM443" s="48"/>
      <c r="CN443" s="48"/>
      <c r="CO443" s="48"/>
      <c r="CP443" s="48"/>
      <c r="CQ443" s="48"/>
      <c r="CR443" s="48"/>
      <c r="CS443" s="48"/>
      <c r="CT443" s="48"/>
      <c r="CU443" s="48"/>
      <c r="CV443" s="48"/>
      <c r="CW443" s="48"/>
      <c r="CX443" s="48"/>
      <c r="CY443" s="48"/>
      <c r="CZ443" s="48"/>
      <c r="DA443" s="48"/>
      <c r="DB443" s="48"/>
      <c r="DC443" s="48"/>
      <c r="DD443" s="48"/>
      <c r="DE443" s="48"/>
      <c r="DF443" s="48"/>
      <c r="DG443" s="48"/>
      <c r="DH443" s="48"/>
      <c r="DI443" s="48"/>
      <c r="DJ443" s="48"/>
      <c r="DK443" s="48"/>
      <c r="DL443" s="48"/>
      <c r="DM443" s="48"/>
      <c r="DN443" s="48"/>
      <c r="DO443" s="48"/>
      <c r="DP443" s="48"/>
      <c r="DQ443" s="48"/>
      <c r="DR443" s="48"/>
      <c r="DS443" s="48"/>
      <c r="DT443" s="48"/>
      <c r="DU443" s="48"/>
    </row>
    <row r="444" spans="1:125" ht="35.1" customHeight="1">
      <c r="A444"/>
      <c r="B444" s="7">
        <f t="shared" si="14"/>
        <v>431</v>
      </c>
      <c r="C444" s="95"/>
      <c r="D444" s="171"/>
      <c r="E444" s="171"/>
      <c r="F444" s="27"/>
      <c r="G444" s="132"/>
      <c r="H444" s="132"/>
      <c r="I444" s="27"/>
      <c r="J444" s="75"/>
      <c r="K444" s="27"/>
      <c r="L444" s="52"/>
      <c r="M444" s="108">
        <f t="shared" si="13"/>
        <v>0</v>
      </c>
      <c r="N444" s="41"/>
      <c r="O444" s="1"/>
      <c r="P444" s="2"/>
      <c r="Q444" s="2"/>
      <c r="R444" s="2"/>
      <c r="S444" s="2"/>
      <c r="T444" s="2"/>
      <c r="U444" s="2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  <c r="BL444" s="48"/>
      <c r="BM444" s="48"/>
      <c r="BN444" s="48"/>
      <c r="BO444" s="48"/>
      <c r="BP444" s="48"/>
      <c r="BQ444" s="48"/>
      <c r="BR444" s="48"/>
      <c r="BS444" s="48"/>
      <c r="BT444" s="48"/>
      <c r="BU444" s="48"/>
      <c r="BV444" s="48"/>
      <c r="BW444" s="48"/>
      <c r="BX444" s="48"/>
      <c r="BY444" s="48"/>
      <c r="BZ444" s="48"/>
      <c r="CA444" s="48"/>
      <c r="CB444" s="48"/>
      <c r="CC444" s="48"/>
      <c r="CD444" s="48"/>
      <c r="CE444" s="48"/>
      <c r="CF444" s="48"/>
      <c r="CG444" s="48"/>
      <c r="CH444" s="48"/>
      <c r="CI444" s="48"/>
      <c r="CJ444" s="48"/>
      <c r="CK444" s="48"/>
      <c r="CL444" s="48"/>
      <c r="CM444" s="48"/>
      <c r="CN444" s="48"/>
      <c r="CO444" s="48"/>
      <c r="CP444" s="48"/>
      <c r="CQ444" s="48"/>
      <c r="CR444" s="48"/>
      <c r="CS444" s="48"/>
      <c r="CT444" s="48"/>
      <c r="CU444" s="48"/>
      <c r="CV444" s="48"/>
      <c r="CW444" s="48"/>
      <c r="CX444" s="48"/>
      <c r="CY444" s="48"/>
      <c r="CZ444" s="48"/>
      <c r="DA444" s="48"/>
      <c r="DB444" s="48"/>
      <c r="DC444" s="48"/>
      <c r="DD444" s="48"/>
      <c r="DE444" s="48"/>
      <c r="DF444" s="48"/>
      <c r="DG444" s="48"/>
      <c r="DH444" s="48"/>
      <c r="DI444" s="48"/>
      <c r="DJ444" s="48"/>
      <c r="DK444" s="48"/>
      <c r="DL444" s="48"/>
      <c r="DM444" s="48"/>
      <c r="DN444" s="48"/>
      <c r="DO444" s="48"/>
      <c r="DP444" s="48"/>
      <c r="DQ444" s="48"/>
      <c r="DR444" s="48"/>
      <c r="DS444" s="48"/>
      <c r="DT444" s="48"/>
      <c r="DU444" s="48"/>
    </row>
    <row r="445" spans="1:125" ht="35.1" customHeight="1">
      <c r="A445"/>
      <c r="B445" s="7">
        <f t="shared" si="14"/>
        <v>432</v>
      </c>
      <c r="C445" s="95"/>
      <c r="D445" s="171"/>
      <c r="E445" s="171"/>
      <c r="F445" s="27"/>
      <c r="G445" s="132"/>
      <c r="H445" s="132"/>
      <c r="I445" s="27"/>
      <c r="J445" s="75"/>
      <c r="K445" s="27"/>
      <c r="L445" s="52"/>
      <c r="M445" s="108">
        <f t="shared" si="13"/>
        <v>0</v>
      </c>
      <c r="N445" s="41"/>
      <c r="O445" s="1"/>
      <c r="P445" s="2"/>
      <c r="Q445" s="2"/>
      <c r="R445" s="2"/>
      <c r="S445" s="2"/>
      <c r="T445" s="2"/>
      <c r="U445" s="2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  <c r="BB445" s="48"/>
      <c r="BC445" s="48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48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48"/>
      <c r="CL445" s="48"/>
      <c r="CM445" s="48"/>
      <c r="CN445" s="48"/>
      <c r="CO445" s="48"/>
      <c r="CP445" s="48"/>
      <c r="CQ445" s="48"/>
      <c r="CR445" s="48"/>
      <c r="CS445" s="48"/>
      <c r="CT445" s="48"/>
      <c r="CU445" s="48"/>
      <c r="CV445" s="48"/>
      <c r="CW445" s="48"/>
      <c r="CX445" s="48"/>
      <c r="CY445" s="48"/>
      <c r="CZ445" s="48"/>
      <c r="DA445" s="48"/>
      <c r="DB445" s="48"/>
      <c r="DC445" s="48"/>
      <c r="DD445" s="48"/>
      <c r="DE445" s="48"/>
      <c r="DF445" s="48"/>
      <c r="DG445" s="48"/>
      <c r="DH445" s="48"/>
      <c r="DI445" s="48"/>
      <c r="DJ445" s="48"/>
      <c r="DK445" s="48"/>
      <c r="DL445" s="48"/>
      <c r="DM445" s="48"/>
      <c r="DN445" s="48"/>
      <c r="DO445" s="48"/>
      <c r="DP445" s="48"/>
      <c r="DQ445" s="48"/>
      <c r="DR445" s="48"/>
      <c r="DS445" s="48"/>
      <c r="DT445" s="48"/>
      <c r="DU445" s="48"/>
    </row>
    <row r="446" spans="1:125" ht="35.1" customHeight="1">
      <c r="A446"/>
      <c r="B446" s="7">
        <f t="shared" si="14"/>
        <v>433</v>
      </c>
      <c r="C446" s="95"/>
      <c r="D446" s="171"/>
      <c r="E446" s="171"/>
      <c r="F446" s="27"/>
      <c r="G446" s="132"/>
      <c r="H446" s="132"/>
      <c r="I446" s="27"/>
      <c r="J446" s="75"/>
      <c r="K446" s="27"/>
      <c r="L446" s="52"/>
      <c r="M446" s="108">
        <f t="shared" si="13"/>
        <v>0</v>
      </c>
      <c r="N446" s="41"/>
      <c r="O446" s="1"/>
      <c r="P446" s="2"/>
      <c r="Q446" s="2"/>
      <c r="R446" s="2"/>
      <c r="S446" s="2"/>
      <c r="T446" s="2"/>
      <c r="U446" s="2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  <c r="BB446" s="48"/>
      <c r="BC446" s="48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48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48"/>
      <c r="CL446" s="48"/>
      <c r="CM446" s="48"/>
      <c r="CN446" s="48"/>
      <c r="CO446" s="48"/>
      <c r="CP446" s="48"/>
      <c r="CQ446" s="48"/>
      <c r="CR446" s="48"/>
      <c r="CS446" s="48"/>
      <c r="CT446" s="48"/>
      <c r="CU446" s="48"/>
      <c r="CV446" s="48"/>
      <c r="CW446" s="48"/>
      <c r="CX446" s="48"/>
      <c r="CY446" s="48"/>
      <c r="CZ446" s="48"/>
      <c r="DA446" s="48"/>
      <c r="DB446" s="48"/>
      <c r="DC446" s="48"/>
      <c r="DD446" s="48"/>
      <c r="DE446" s="48"/>
      <c r="DF446" s="48"/>
      <c r="DG446" s="48"/>
      <c r="DH446" s="48"/>
      <c r="DI446" s="48"/>
      <c r="DJ446" s="48"/>
      <c r="DK446" s="48"/>
      <c r="DL446" s="48"/>
      <c r="DM446" s="48"/>
      <c r="DN446" s="48"/>
      <c r="DO446" s="48"/>
      <c r="DP446" s="48"/>
      <c r="DQ446" s="48"/>
      <c r="DR446" s="48"/>
      <c r="DS446" s="48"/>
      <c r="DT446" s="48"/>
      <c r="DU446" s="48"/>
    </row>
    <row r="447" spans="1:125" ht="35.1" customHeight="1">
      <c r="A447"/>
      <c r="B447" s="7">
        <f t="shared" si="14"/>
        <v>434</v>
      </c>
      <c r="C447" s="95"/>
      <c r="D447" s="171"/>
      <c r="E447" s="171"/>
      <c r="F447" s="27"/>
      <c r="G447" s="132"/>
      <c r="H447" s="132"/>
      <c r="I447" s="27"/>
      <c r="J447" s="75"/>
      <c r="K447" s="27"/>
      <c r="L447" s="52"/>
      <c r="M447" s="108">
        <f t="shared" si="13"/>
        <v>0</v>
      </c>
      <c r="N447" s="41"/>
      <c r="O447" s="1"/>
      <c r="P447" s="2"/>
      <c r="Q447" s="2"/>
      <c r="R447" s="2"/>
      <c r="S447" s="2"/>
      <c r="T447" s="2"/>
      <c r="U447" s="2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  <c r="BB447" s="48"/>
      <c r="BC447" s="48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48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48"/>
      <c r="CL447" s="48"/>
      <c r="CM447" s="48"/>
      <c r="CN447" s="48"/>
      <c r="CO447" s="48"/>
      <c r="CP447" s="48"/>
      <c r="CQ447" s="48"/>
      <c r="CR447" s="48"/>
      <c r="CS447" s="48"/>
      <c r="CT447" s="48"/>
      <c r="CU447" s="48"/>
      <c r="CV447" s="48"/>
      <c r="CW447" s="48"/>
      <c r="CX447" s="48"/>
      <c r="CY447" s="48"/>
      <c r="CZ447" s="48"/>
      <c r="DA447" s="48"/>
      <c r="DB447" s="48"/>
      <c r="DC447" s="48"/>
      <c r="DD447" s="48"/>
      <c r="DE447" s="48"/>
      <c r="DF447" s="48"/>
      <c r="DG447" s="48"/>
      <c r="DH447" s="48"/>
      <c r="DI447" s="48"/>
      <c r="DJ447" s="48"/>
      <c r="DK447" s="48"/>
      <c r="DL447" s="48"/>
      <c r="DM447" s="48"/>
      <c r="DN447" s="48"/>
      <c r="DO447" s="48"/>
      <c r="DP447" s="48"/>
      <c r="DQ447" s="48"/>
      <c r="DR447" s="48"/>
      <c r="DS447" s="48"/>
      <c r="DT447" s="48"/>
      <c r="DU447" s="48"/>
    </row>
    <row r="448" spans="1:125" ht="35.1" customHeight="1">
      <c r="A448"/>
      <c r="B448" s="7">
        <f t="shared" si="14"/>
        <v>435</v>
      </c>
      <c r="C448" s="95"/>
      <c r="D448" s="171"/>
      <c r="E448" s="171"/>
      <c r="F448" s="27"/>
      <c r="G448" s="132"/>
      <c r="H448" s="132"/>
      <c r="I448" s="27"/>
      <c r="J448" s="75"/>
      <c r="K448" s="27"/>
      <c r="L448" s="52"/>
      <c r="M448" s="108">
        <f t="shared" si="13"/>
        <v>0</v>
      </c>
      <c r="N448" s="41"/>
      <c r="O448" s="1"/>
      <c r="P448" s="2"/>
      <c r="Q448" s="2"/>
      <c r="R448" s="2"/>
      <c r="S448" s="2"/>
      <c r="T448" s="2"/>
      <c r="U448" s="2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  <c r="BB448" s="48"/>
      <c r="BC448" s="48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48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48"/>
      <c r="CL448" s="48"/>
      <c r="CM448" s="48"/>
      <c r="CN448" s="48"/>
      <c r="CO448" s="48"/>
      <c r="CP448" s="48"/>
      <c r="CQ448" s="48"/>
      <c r="CR448" s="48"/>
      <c r="CS448" s="48"/>
      <c r="CT448" s="48"/>
      <c r="CU448" s="48"/>
      <c r="CV448" s="48"/>
      <c r="CW448" s="48"/>
      <c r="CX448" s="48"/>
      <c r="CY448" s="48"/>
      <c r="CZ448" s="48"/>
      <c r="DA448" s="48"/>
      <c r="DB448" s="48"/>
      <c r="DC448" s="48"/>
      <c r="DD448" s="48"/>
      <c r="DE448" s="48"/>
      <c r="DF448" s="48"/>
      <c r="DG448" s="48"/>
      <c r="DH448" s="48"/>
      <c r="DI448" s="48"/>
      <c r="DJ448" s="48"/>
      <c r="DK448" s="48"/>
      <c r="DL448" s="48"/>
      <c r="DM448" s="48"/>
      <c r="DN448" s="48"/>
      <c r="DO448" s="48"/>
      <c r="DP448" s="48"/>
      <c r="DQ448" s="48"/>
      <c r="DR448" s="48"/>
      <c r="DS448" s="48"/>
      <c r="DT448" s="48"/>
      <c r="DU448" s="48"/>
    </row>
    <row r="449" spans="1:125" ht="35.1" customHeight="1">
      <c r="A449"/>
      <c r="B449" s="7">
        <f t="shared" si="14"/>
        <v>436</v>
      </c>
      <c r="C449" s="95"/>
      <c r="D449" s="171"/>
      <c r="E449" s="171"/>
      <c r="F449" s="27"/>
      <c r="G449" s="132"/>
      <c r="H449" s="132"/>
      <c r="I449" s="27"/>
      <c r="J449" s="75"/>
      <c r="K449" s="27"/>
      <c r="L449" s="52"/>
      <c r="M449" s="108">
        <f t="shared" si="13"/>
        <v>0</v>
      </c>
      <c r="N449" s="41"/>
      <c r="O449" s="1"/>
      <c r="P449" s="2"/>
      <c r="Q449" s="2"/>
      <c r="R449" s="2"/>
      <c r="S449" s="2"/>
      <c r="T449" s="2"/>
      <c r="U449" s="2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  <c r="BB449" s="48"/>
      <c r="BC449" s="48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48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48"/>
      <c r="CL449" s="48"/>
      <c r="CM449" s="48"/>
      <c r="CN449" s="48"/>
      <c r="CO449" s="48"/>
      <c r="CP449" s="48"/>
      <c r="CQ449" s="48"/>
      <c r="CR449" s="48"/>
      <c r="CS449" s="48"/>
      <c r="CT449" s="48"/>
      <c r="CU449" s="48"/>
      <c r="CV449" s="48"/>
      <c r="CW449" s="48"/>
      <c r="CX449" s="48"/>
      <c r="CY449" s="48"/>
      <c r="CZ449" s="48"/>
      <c r="DA449" s="48"/>
      <c r="DB449" s="48"/>
      <c r="DC449" s="48"/>
      <c r="DD449" s="48"/>
      <c r="DE449" s="48"/>
      <c r="DF449" s="48"/>
      <c r="DG449" s="48"/>
      <c r="DH449" s="48"/>
      <c r="DI449" s="48"/>
      <c r="DJ449" s="48"/>
      <c r="DK449" s="48"/>
      <c r="DL449" s="48"/>
      <c r="DM449" s="48"/>
      <c r="DN449" s="48"/>
      <c r="DO449" s="48"/>
      <c r="DP449" s="48"/>
      <c r="DQ449" s="48"/>
      <c r="DR449" s="48"/>
      <c r="DS449" s="48"/>
      <c r="DT449" s="48"/>
      <c r="DU449" s="48"/>
    </row>
    <row r="450" spans="1:125" ht="35.1" customHeight="1">
      <c r="A450"/>
      <c r="B450" s="7">
        <f t="shared" si="14"/>
        <v>437</v>
      </c>
      <c r="C450" s="95"/>
      <c r="D450" s="171"/>
      <c r="E450" s="171"/>
      <c r="F450" s="27"/>
      <c r="G450" s="132"/>
      <c r="H450" s="132"/>
      <c r="I450" s="27"/>
      <c r="J450" s="75"/>
      <c r="K450" s="27"/>
      <c r="L450" s="52"/>
      <c r="M450" s="108">
        <f t="shared" si="13"/>
        <v>0</v>
      </c>
      <c r="N450" s="41"/>
      <c r="O450" s="1"/>
      <c r="P450" s="2"/>
      <c r="Q450" s="2"/>
      <c r="R450" s="2"/>
      <c r="S450" s="2"/>
      <c r="T450" s="2"/>
      <c r="U450" s="2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  <c r="BB450" s="48"/>
      <c r="BC450" s="48"/>
      <c r="BD450" s="48"/>
      <c r="BE450" s="48"/>
      <c r="BF450" s="48"/>
      <c r="BG450" s="48"/>
      <c r="BH450" s="48"/>
      <c r="BI450" s="48"/>
      <c r="BJ450" s="48"/>
      <c r="BK450" s="48"/>
      <c r="BL450" s="48"/>
      <c r="BM450" s="48"/>
      <c r="BN450" s="48"/>
      <c r="BO450" s="48"/>
      <c r="BP450" s="48"/>
      <c r="BQ450" s="48"/>
      <c r="BR450" s="48"/>
      <c r="BS450" s="48"/>
      <c r="BT450" s="48"/>
      <c r="BU450" s="48"/>
      <c r="BV450" s="48"/>
      <c r="BW450" s="48"/>
      <c r="BX450" s="48"/>
      <c r="BY450" s="48"/>
      <c r="BZ450" s="48"/>
      <c r="CA450" s="48"/>
      <c r="CB450" s="48"/>
      <c r="CC450" s="48"/>
      <c r="CD450" s="48"/>
      <c r="CE450" s="48"/>
      <c r="CF450" s="48"/>
      <c r="CG450" s="48"/>
      <c r="CH450" s="48"/>
      <c r="CI450" s="48"/>
      <c r="CJ450" s="48"/>
      <c r="CK450" s="48"/>
      <c r="CL450" s="48"/>
      <c r="CM450" s="48"/>
      <c r="CN450" s="48"/>
      <c r="CO450" s="48"/>
      <c r="CP450" s="48"/>
      <c r="CQ450" s="48"/>
      <c r="CR450" s="48"/>
      <c r="CS450" s="48"/>
      <c r="CT450" s="48"/>
      <c r="CU450" s="48"/>
      <c r="CV450" s="48"/>
      <c r="CW450" s="48"/>
      <c r="CX450" s="48"/>
      <c r="CY450" s="48"/>
      <c r="CZ450" s="48"/>
      <c r="DA450" s="48"/>
      <c r="DB450" s="48"/>
      <c r="DC450" s="48"/>
      <c r="DD450" s="48"/>
      <c r="DE450" s="48"/>
      <c r="DF450" s="48"/>
      <c r="DG450" s="48"/>
      <c r="DH450" s="48"/>
      <c r="DI450" s="48"/>
      <c r="DJ450" s="48"/>
      <c r="DK450" s="48"/>
      <c r="DL450" s="48"/>
      <c r="DM450" s="48"/>
      <c r="DN450" s="48"/>
      <c r="DO450" s="48"/>
      <c r="DP450" s="48"/>
      <c r="DQ450" s="48"/>
      <c r="DR450" s="48"/>
      <c r="DS450" s="48"/>
      <c r="DT450" s="48"/>
      <c r="DU450" s="48"/>
    </row>
    <row r="451" spans="1:125" ht="35.1" customHeight="1">
      <c r="A451"/>
      <c r="B451" s="7">
        <f t="shared" si="14"/>
        <v>438</v>
      </c>
      <c r="C451" s="95"/>
      <c r="D451" s="171"/>
      <c r="E451" s="171"/>
      <c r="F451" s="27"/>
      <c r="G451" s="132"/>
      <c r="H451" s="132"/>
      <c r="I451" s="27"/>
      <c r="J451" s="75"/>
      <c r="K451" s="27"/>
      <c r="L451" s="52"/>
      <c r="M451" s="108">
        <f t="shared" si="13"/>
        <v>0</v>
      </c>
      <c r="N451" s="41"/>
      <c r="O451" s="1"/>
      <c r="P451" s="2"/>
      <c r="Q451" s="2"/>
      <c r="R451" s="2"/>
      <c r="S451" s="2"/>
      <c r="T451" s="2"/>
      <c r="U451" s="2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48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48"/>
      <c r="CL451" s="48"/>
      <c r="CM451" s="48"/>
      <c r="CN451" s="48"/>
      <c r="CO451" s="48"/>
      <c r="CP451" s="48"/>
      <c r="CQ451" s="48"/>
      <c r="CR451" s="48"/>
      <c r="CS451" s="48"/>
      <c r="CT451" s="48"/>
    </row>
    <row r="452" spans="1:125" ht="35.1" customHeight="1">
      <c r="A452"/>
      <c r="B452" s="7">
        <f t="shared" si="14"/>
        <v>439</v>
      </c>
      <c r="C452" s="95"/>
      <c r="D452" s="171"/>
      <c r="E452" s="171"/>
      <c r="F452" s="27"/>
      <c r="G452" s="132"/>
      <c r="H452" s="132"/>
      <c r="I452" s="27"/>
      <c r="J452" s="75"/>
      <c r="K452" s="27"/>
      <c r="L452" s="52"/>
      <c r="M452" s="108">
        <f t="shared" si="13"/>
        <v>0</v>
      </c>
      <c r="N452" s="41"/>
      <c r="O452" s="1"/>
      <c r="P452" s="2"/>
      <c r="Q452" s="2"/>
      <c r="R452" s="2"/>
      <c r="S452" s="2"/>
      <c r="T452" s="2"/>
      <c r="U452" s="2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  <c r="BB452" s="48"/>
      <c r="BC452" s="48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48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48"/>
      <c r="CL452" s="48"/>
      <c r="CM452" s="48"/>
      <c r="CN452" s="48"/>
      <c r="CO452" s="48"/>
      <c r="CP452" s="48"/>
      <c r="CQ452" s="48"/>
      <c r="CR452" s="48"/>
      <c r="CS452" s="48"/>
      <c r="CT452" s="48"/>
    </row>
    <row r="453" spans="1:125" ht="35.1" customHeight="1">
      <c r="A453"/>
      <c r="B453" s="7">
        <f t="shared" si="14"/>
        <v>440</v>
      </c>
      <c r="C453" s="95"/>
      <c r="D453" s="171"/>
      <c r="E453" s="171"/>
      <c r="F453" s="27"/>
      <c r="G453" s="132"/>
      <c r="H453" s="132"/>
      <c r="I453" s="96"/>
      <c r="J453" s="75"/>
      <c r="K453" s="27"/>
      <c r="L453" s="52"/>
      <c r="M453" s="108">
        <f t="shared" si="13"/>
        <v>0</v>
      </c>
      <c r="N453" s="41"/>
      <c r="O453" s="1"/>
      <c r="P453" s="2"/>
      <c r="Q453" s="2"/>
      <c r="R453" s="2"/>
      <c r="S453" s="2"/>
      <c r="T453" s="2"/>
      <c r="U453" s="2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  <c r="BB453" s="48"/>
      <c r="BC453" s="48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48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48"/>
      <c r="CL453" s="48"/>
      <c r="CM453" s="48"/>
      <c r="CN453" s="48"/>
      <c r="CO453" s="48"/>
      <c r="CP453" s="48"/>
      <c r="CQ453" s="48"/>
      <c r="CR453" s="48"/>
      <c r="CS453" s="48"/>
      <c r="CT453" s="48"/>
    </row>
    <row r="454" spans="1:125" ht="35.1" customHeight="1">
      <c r="A454"/>
      <c r="B454" s="7">
        <f t="shared" si="14"/>
        <v>441</v>
      </c>
      <c r="C454" s="95"/>
      <c r="D454" s="171"/>
      <c r="E454" s="171"/>
      <c r="F454" s="27"/>
      <c r="G454" s="132"/>
      <c r="H454" s="132"/>
      <c r="I454" s="96"/>
      <c r="J454" s="75"/>
      <c r="K454" s="27"/>
      <c r="L454" s="52"/>
      <c r="M454" s="108">
        <f t="shared" si="13"/>
        <v>0</v>
      </c>
      <c r="N454" s="41"/>
      <c r="O454" s="1"/>
      <c r="P454" s="2"/>
      <c r="Q454" s="2"/>
      <c r="R454" s="2"/>
      <c r="S454" s="2"/>
      <c r="T454" s="2"/>
      <c r="U454" s="2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  <c r="BB454" s="48"/>
      <c r="BC454" s="48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48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48"/>
      <c r="CL454" s="48"/>
      <c r="CM454" s="48"/>
      <c r="CN454" s="48"/>
      <c r="CO454" s="48"/>
      <c r="CP454" s="48"/>
      <c r="CQ454" s="48"/>
      <c r="CR454" s="48"/>
      <c r="CS454" s="48"/>
      <c r="CT454" s="48"/>
    </row>
    <row r="455" spans="1:125" ht="35.1" customHeight="1">
      <c r="A455"/>
      <c r="B455" s="7">
        <f t="shared" si="14"/>
        <v>442</v>
      </c>
      <c r="C455" s="95"/>
      <c r="D455" s="171"/>
      <c r="E455" s="171"/>
      <c r="F455" s="27"/>
      <c r="G455" s="132"/>
      <c r="H455" s="132"/>
      <c r="I455" s="96"/>
      <c r="J455" s="75"/>
      <c r="K455" s="27"/>
      <c r="L455" s="52"/>
      <c r="M455" s="108">
        <f t="shared" si="13"/>
        <v>0</v>
      </c>
      <c r="N455" s="41"/>
      <c r="O455" s="1"/>
      <c r="P455" s="2"/>
      <c r="Q455" s="2"/>
      <c r="R455" s="2"/>
      <c r="S455" s="2"/>
      <c r="T455" s="2"/>
      <c r="U455" s="2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  <c r="BB455" s="48"/>
      <c r="BC455" s="48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48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48"/>
      <c r="CL455" s="48"/>
      <c r="CM455" s="48"/>
      <c r="CN455" s="48"/>
      <c r="CO455" s="48"/>
      <c r="CP455" s="48"/>
      <c r="CQ455" s="48"/>
      <c r="CR455" s="48"/>
      <c r="CS455" s="48"/>
      <c r="CT455" s="48"/>
    </row>
    <row r="456" spans="1:125" ht="35.1" customHeight="1">
      <c r="A456"/>
      <c r="B456" s="7">
        <f t="shared" si="14"/>
        <v>443</v>
      </c>
      <c r="C456" s="95"/>
      <c r="D456" s="171"/>
      <c r="E456" s="171"/>
      <c r="F456" s="27"/>
      <c r="G456" s="132"/>
      <c r="H456" s="132"/>
      <c r="I456" s="96"/>
      <c r="J456" s="75"/>
      <c r="K456" s="27"/>
      <c r="L456" s="52"/>
      <c r="M456" s="108">
        <f t="shared" si="13"/>
        <v>0</v>
      </c>
      <c r="N456" s="41"/>
      <c r="O456" s="1"/>
      <c r="P456" s="2"/>
      <c r="Q456" s="2"/>
      <c r="R456" s="2"/>
      <c r="S456" s="2"/>
      <c r="T456" s="2"/>
      <c r="U456" s="2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  <c r="BB456" s="48"/>
      <c r="BC456" s="48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48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48"/>
      <c r="CL456" s="48"/>
      <c r="CM456" s="48"/>
      <c r="CN456" s="48"/>
      <c r="CO456" s="48"/>
      <c r="CP456" s="48"/>
      <c r="CQ456" s="48"/>
      <c r="CR456" s="48"/>
      <c r="CS456" s="48"/>
      <c r="CT456" s="48"/>
    </row>
    <row r="457" spans="1:125" ht="35.1" customHeight="1">
      <c r="A457"/>
      <c r="B457" s="7">
        <f t="shared" si="14"/>
        <v>444</v>
      </c>
      <c r="C457" s="95"/>
      <c r="D457" s="171"/>
      <c r="E457" s="171"/>
      <c r="F457" s="27"/>
      <c r="G457" s="132"/>
      <c r="H457" s="132"/>
      <c r="I457" s="96"/>
      <c r="J457" s="75"/>
      <c r="K457" s="27"/>
      <c r="L457" s="52"/>
      <c r="M457" s="108">
        <f t="shared" si="13"/>
        <v>0</v>
      </c>
      <c r="N457" s="41"/>
      <c r="O457" s="1"/>
      <c r="P457" s="2"/>
      <c r="Q457" s="2"/>
      <c r="R457" s="2"/>
      <c r="S457" s="2"/>
      <c r="T457" s="2"/>
      <c r="U457" s="2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  <c r="BB457" s="48"/>
      <c r="BC457" s="48"/>
      <c r="BD457" s="48"/>
      <c r="BE457" s="48"/>
      <c r="BF457" s="48"/>
      <c r="BG457" s="48"/>
      <c r="BH457" s="48"/>
      <c r="BI457" s="48"/>
      <c r="BJ457" s="48"/>
      <c r="BK457" s="48"/>
      <c r="BL457" s="48"/>
      <c r="BM457" s="48"/>
      <c r="BN457" s="48"/>
      <c r="BO457" s="48"/>
      <c r="BP457" s="48"/>
      <c r="BQ457" s="48"/>
      <c r="BR457" s="48"/>
      <c r="BS457" s="48"/>
      <c r="BT457" s="48"/>
      <c r="BU457" s="48"/>
      <c r="BV457" s="48"/>
      <c r="BW457" s="48"/>
      <c r="BX457" s="48"/>
      <c r="BY457" s="48"/>
      <c r="BZ457" s="48"/>
      <c r="CA457" s="48"/>
      <c r="CB457" s="48"/>
      <c r="CC457" s="48"/>
      <c r="CD457" s="48"/>
      <c r="CE457" s="48"/>
      <c r="CF457" s="48"/>
      <c r="CG457" s="48"/>
      <c r="CH457" s="48"/>
      <c r="CI457" s="48"/>
      <c r="CJ457" s="48"/>
      <c r="CK457" s="48"/>
      <c r="CL457" s="48"/>
      <c r="CM457" s="48"/>
      <c r="CN457" s="48"/>
      <c r="CO457" s="48"/>
      <c r="CP457" s="48"/>
      <c r="CQ457" s="48"/>
      <c r="CR457" s="48"/>
      <c r="CS457" s="48"/>
      <c r="CT457" s="48"/>
    </row>
    <row r="458" spans="1:125" ht="35.1" customHeight="1">
      <c r="A458"/>
      <c r="B458" s="7">
        <f t="shared" si="14"/>
        <v>445</v>
      </c>
      <c r="C458" s="95"/>
      <c r="D458" s="171"/>
      <c r="E458" s="171"/>
      <c r="F458" s="27"/>
      <c r="G458" s="132"/>
      <c r="H458" s="132"/>
      <c r="I458" s="96"/>
      <c r="J458" s="75"/>
      <c r="K458" s="27"/>
      <c r="L458" s="52"/>
      <c r="M458" s="108">
        <f t="shared" si="13"/>
        <v>0</v>
      </c>
      <c r="N458" s="41"/>
      <c r="O458" s="1"/>
      <c r="P458" s="2"/>
      <c r="Q458" s="2"/>
      <c r="R458" s="2"/>
      <c r="S458" s="2"/>
      <c r="T458" s="2"/>
      <c r="U458" s="2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  <c r="BB458" s="48"/>
      <c r="BC458" s="48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48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48"/>
      <c r="CL458" s="48"/>
      <c r="CM458" s="48"/>
      <c r="CN458" s="48"/>
      <c r="CO458" s="48"/>
      <c r="CP458" s="48"/>
      <c r="CQ458" s="48"/>
      <c r="CR458" s="48"/>
      <c r="CS458" s="48"/>
      <c r="CT458" s="48"/>
    </row>
    <row r="459" spans="1:125" ht="35.1" customHeight="1">
      <c r="A459"/>
      <c r="B459" s="7">
        <f t="shared" si="14"/>
        <v>446</v>
      </c>
      <c r="C459" s="95"/>
      <c r="D459" s="171"/>
      <c r="E459" s="171"/>
      <c r="F459" s="27"/>
      <c r="G459" s="132"/>
      <c r="H459" s="132"/>
      <c r="I459" s="96"/>
      <c r="J459" s="75"/>
      <c r="K459" s="27"/>
      <c r="L459" s="52"/>
      <c r="M459" s="108">
        <f t="shared" si="13"/>
        <v>0</v>
      </c>
      <c r="N459" s="41"/>
      <c r="O459" s="1"/>
      <c r="P459" s="2"/>
      <c r="Q459" s="2"/>
      <c r="R459" s="2"/>
      <c r="S459" s="2"/>
      <c r="T459" s="2"/>
      <c r="U459" s="2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48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48"/>
      <c r="CL459" s="48"/>
      <c r="CM459" s="48"/>
      <c r="CN459" s="48"/>
      <c r="CO459" s="48"/>
      <c r="CP459" s="48"/>
      <c r="CQ459" s="48"/>
      <c r="CR459" s="48"/>
      <c r="CS459" s="48"/>
      <c r="CT459" s="48"/>
    </row>
    <row r="460" spans="1:125" ht="35.1" customHeight="1">
      <c r="A460"/>
      <c r="B460" s="7">
        <f t="shared" si="14"/>
        <v>447</v>
      </c>
      <c r="C460" s="95"/>
      <c r="D460" s="171"/>
      <c r="E460" s="171"/>
      <c r="F460" s="27"/>
      <c r="G460" s="132"/>
      <c r="H460" s="132"/>
      <c r="I460" s="96"/>
      <c r="J460" s="75"/>
      <c r="K460" s="27"/>
      <c r="L460" s="52"/>
      <c r="M460" s="108">
        <f t="shared" si="13"/>
        <v>0</v>
      </c>
      <c r="N460" s="41"/>
      <c r="O460" s="1"/>
      <c r="P460" s="2"/>
      <c r="Q460" s="2"/>
      <c r="R460" s="2"/>
      <c r="S460" s="2"/>
      <c r="T460" s="2"/>
      <c r="U460" s="2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48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48"/>
      <c r="CL460" s="48"/>
      <c r="CM460" s="48"/>
      <c r="CN460" s="48"/>
      <c r="CO460" s="48"/>
      <c r="CP460" s="48"/>
      <c r="CQ460" s="48"/>
      <c r="CR460" s="48"/>
      <c r="CS460" s="48"/>
      <c r="CT460" s="48"/>
    </row>
    <row r="461" spans="1:125" ht="35.1" customHeight="1">
      <c r="A461"/>
      <c r="B461" s="7">
        <f t="shared" si="14"/>
        <v>448</v>
      </c>
      <c r="C461" s="95"/>
      <c r="D461" s="171"/>
      <c r="E461" s="171"/>
      <c r="F461" s="27"/>
      <c r="G461" s="132"/>
      <c r="H461" s="132"/>
      <c r="I461" s="96"/>
      <c r="J461" s="75"/>
      <c r="K461" s="27"/>
      <c r="L461" s="52"/>
      <c r="M461" s="108">
        <f t="shared" si="13"/>
        <v>0</v>
      </c>
      <c r="N461" s="41"/>
      <c r="O461" s="1"/>
      <c r="P461" s="2"/>
      <c r="Q461" s="2"/>
      <c r="R461" s="2"/>
      <c r="S461" s="2"/>
      <c r="T461" s="2"/>
      <c r="U461" s="2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  <c r="BB461" s="48"/>
      <c r="BC461" s="48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48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48"/>
      <c r="CL461" s="48"/>
      <c r="CM461" s="48"/>
      <c r="CN461" s="48"/>
      <c r="CO461" s="48"/>
      <c r="CP461" s="48"/>
      <c r="CQ461" s="48"/>
      <c r="CR461" s="48"/>
      <c r="CS461" s="48"/>
      <c r="CT461" s="48"/>
    </row>
    <row r="462" spans="1:125" ht="35.1" customHeight="1">
      <c r="A462"/>
      <c r="B462" s="7">
        <f t="shared" si="14"/>
        <v>449</v>
      </c>
      <c r="C462" s="95"/>
      <c r="D462" s="171"/>
      <c r="E462" s="171"/>
      <c r="F462" s="27"/>
      <c r="G462" s="132"/>
      <c r="H462" s="132"/>
      <c r="I462" s="96"/>
      <c r="J462" s="75"/>
      <c r="K462" s="27"/>
      <c r="L462" s="52"/>
      <c r="M462" s="108">
        <f t="shared" si="13"/>
        <v>0</v>
      </c>
      <c r="N462" s="41"/>
      <c r="O462" s="1"/>
      <c r="P462" s="2"/>
      <c r="Q462" s="2"/>
      <c r="R462" s="2"/>
      <c r="S462" s="2"/>
      <c r="T462" s="2"/>
      <c r="U462" s="2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  <c r="BB462" s="48"/>
      <c r="BC462" s="48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48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48"/>
      <c r="CL462" s="48"/>
      <c r="CM462" s="48"/>
      <c r="CN462" s="48"/>
      <c r="CO462" s="48"/>
      <c r="CP462" s="48"/>
      <c r="CQ462" s="48"/>
      <c r="CR462" s="48"/>
      <c r="CS462" s="48"/>
      <c r="CT462" s="48"/>
    </row>
    <row r="463" spans="1:125" ht="35.1" customHeight="1">
      <c r="A463"/>
      <c r="B463" s="7">
        <f t="shared" si="14"/>
        <v>450</v>
      </c>
      <c r="C463" s="95"/>
      <c r="D463" s="171"/>
      <c r="E463" s="171"/>
      <c r="F463" s="27"/>
      <c r="G463" s="132"/>
      <c r="H463" s="132"/>
      <c r="I463" s="96"/>
      <c r="J463" s="75"/>
      <c r="K463" s="27"/>
      <c r="L463" s="52"/>
      <c r="M463" s="108">
        <f t="shared" ref="M463:M526" si="15">(L463*G463)</f>
        <v>0</v>
      </c>
      <c r="N463" s="41"/>
      <c r="O463" s="1"/>
      <c r="P463" s="2"/>
      <c r="Q463" s="2"/>
      <c r="R463" s="2"/>
      <c r="S463" s="2"/>
      <c r="T463" s="2"/>
      <c r="U463" s="2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  <c r="BB463" s="48"/>
      <c r="BC463" s="48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48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48"/>
      <c r="CL463" s="48"/>
      <c r="CM463" s="48"/>
      <c r="CN463" s="48"/>
      <c r="CO463" s="48"/>
      <c r="CP463" s="48"/>
      <c r="CQ463" s="48"/>
      <c r="CR463" s="48"/>
      <c r="CS463" s="48"/>
      <c r="CT463" s="48"/>
    </row>
    <row r="464" spans="1:125" ht="35.1" customHeight="1">
      <c r="A464"/>
      <c r="B464" s="7">
        <f t="shared" si="14"/>
        <v>451</v>
      </c>
      <c r="C464" s="95"/>
      <c r="D464" s="171"/>
      <c r="E464" s="171"/>
      <c r="F464" s="27"/>
      <c r="G464" s="132"/>
      <c r="H464" s="132"/>
      <c r="I464" s="96"/>
      <c r="J464" s="75"/>
      <c r="K464" s="27"/>
      <c r="L464" s="52"/>
      <c r="M464" s="108">
        <f t="shared" si="15"/>
        <v>0</v>
      </c>
      <c r="N464" s="41"/>
      <c r="O464" s="1"/>
      <c r="P464" s="2"/>
      <c r="Q464" s="2"/>
      <c r="R464" s="2"/>
      <c r="S464" s="2"/>
      <c r="T464" s="2"/>
      <c r="U464" s="2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  <c r="BB464" s="48"/>
      <c r="BC464" s="48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48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48"/>
      <c r="CL464" s="48"/>
      <c r="CM464" s="48"/>
      <c r="CN464" s="48"/>
      <c r="CO464" s="48"/>
      <c r="CP464" s="48"/>
      <c r="CQ464" s="48"/>
      <c r="CR464" s="48"/>
      <c r="CS464" s="48"/>
      <c r="CT464" s="48"/>
    </row>
    <row r="465" spans="1:98" ht="35.1" customHeight="1">
      <c r="A465"/>
      <c r="B465" s="7">
        <f t="shared" si="14"/>
        <v>452</v>
      </c>
      <c r="C465" s="95"/>
      <c r="D465" s="171"/>
      <c r="E465" s="171"/>
      <c r="F465" s="27"/>
      <c r="G465" s="132"/>
      <c r="H465" s="132"/>
      <c r="I465" s="96"/>
      <c r="J465" s="75"/>
      <c r="K465" s="27"/>
      <c r="L465" s="52"/>
      <c r="M465" s="108">
        <f t="shared" si="15"/>
        <v>0</v>
      </c>
      <c r="N465" s="41"/>
      <c r="O465" s="1"/>
      <c r="P465" s="2"/>
      <c r="Q465" s="2"/>
      <c r="R465" s="2"/>
      <c r="S465" s="2"/>
      <c r="T465" s="2"/>
      <c r="U465" s="2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  <c r="BB465" s="48"/>
      <c r="BC465" s="48"/>
      <c r="BD465" s="48"/>
      <c r="BE465" s="48"/>
      <c r="BF465" s="48"/>
      <c r="BG465" s="48"/>
      <c r="BH465" s="48"/>
      <c r="BI465" s="48"/>
      <c r="BJ465" s="48"/>
      <c r="BK465" s="48"/>
      <c r="BL465" s="48"/>
      <c r="BM465" s="48"/>
      <c r="BN465" s="48"/>
      <c r="BO465" s="48"/>
      <c r="BP465" s="48"/>
      <c r="BQ465" s="48"/>
      <c r="BR465" s="48"/>
      <c r="BS465" s="48"/>
      <c r="BT465" s="48"/>
      <c r="BU465" s="48"/>
      <c r="BV465" s="48"/>
      <c r="BW465" s="48"/>
      <c r="BX465" s="48"/>
      <c r="BY465" s="48"/>
      <c r="BZ465" s="48"/>
      <c r="CA465" s="48"/>
      <c r="CB465" s="48"/>
      <c r="CC465" s="48"/>
      <c r="CD465" s="48"/>
      <c r="CE465" s="48"/>
      <c r="CF465" s="48"/>
      <c r="CG465" s="48"/>
      <c r="CH465" s="48"/>
      <c r="CI465" s="48"/>
      <c r="CJ465" s="48"/>
      <c r="CK465" s="48"/>
      <c r="CL465" s="48"/>
      <c r="CM465" s="48"/>
      <c r="CN465" s="48"/>
      <c r="CO465" s="48"/>
      <c r="CP465" s="48"/>
      <c r="CQ465" s="48"/>
      <c r="CR465" s="48"/>
      <c r="CS465" s="48"/>
      <c r="CT465" s="48"/>
    </row>
    <row r="466" spans="1:98" ht="35.1" customHeight="1">
      <c r="A466"/>
      <c r="B466" s="7">
        <f t="shared" si="14"/>
        <v>453</v>
      </c>
      <c r="C466" s="23"/>
      <c r="D466" s="171"/>
      <c r="E466" s="171"/>
      <c r="F466" s="33"/>
      <c r="G466" s="132"/>
      <c r="H466" s="132"/>
      <c r="I466" s="27"/>
      <c r="J466" s="75"/>
      <c r="K466" s="27"/>
      <c r="L466" s="52"/>
      <c r="M466" s="108">
        <f t="shared" si="15"/>
        <v>0</v>
      </c>
      <c r="N466" s="41"/>
      <c r="O466" s="1"/>
      <c r="P466" s="2"/>
      <c r="Q466" s="2"/>
      <c r="R466" s="2"/>
      <c r="S466" s="2"/>
      <c r="T466" s="2"/>
      <c r="U466" s="2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  <c r="BB466" s="48"/>
      <c r="BC466" s="48"/>
      <c r="BD466" s="48"/>
      <c r="BE466" s="48"/>
      <c r="BF466" s="48"/>
      <c r="BG466" s="48"/>
      <c r="BH466" s="48"/>
      <c r="BI466" s="48"/>
      <c r="BJ466" s="48"/>
      <c r="BK466" s="48"/>
      <c r="BL466" s="48"/>
      <c r="BM466" s="48"/>
      <c r="BN466" s="48"/>
      <c r="BO466" s="48"/>
      <c r="BP466" s="48"/>
      <c r="BQ466" s="48"/>
      <c r="BR466" s="48"/>
      <c r="BS466" s="48"/>
      <c r="BT466" s="48"/>
      <c r="BU466" s="48"/>
      <c r="BV466" s="48"/>
      <c r="BW466" s="48"/>
      <c r="BX466" s="48"/>
      <c r="BY466" s="48"/>
      <c r="BZ466" s="48"/>
      <c r="CA466" s="48"/>
      <c r="CB466" s="48"/>
      <c r="CC466" s="48"/>
      <c r="CD466" s="48"/>
      <c r="CE466" s="48"/>
      <c r="CF466" s="48"/>
      <c r="CG466" s="48"/>
      <c r="CH466" s="48"/>
      <c r="CI466" s="48"/>
      <c r="CJ466" s="48"/>
      <c r="CK466" s="48"/>
      <c r="CL466" s="48"/>
      <c r="CM466" s="48"/>
      <c r="CN466" s="48"/>
      <c r="CO466" s="48"/>
      <c r="CP466" s="48"/>
      <c r="CQ466" s="48"/>
      <c r="CR466" s="48"/>
      <c r="CS466" s="48"/>
      <c r="CT466" s="48"/>
    </row>
    <row r="467" spans="1:98" ht="35.1" customHeight="1">
      <c r="A467"/>
      <c r="B467" s="7">
        <f t="shared" si="14"/>
        <v>454</v>
      </c>
      <c r="C467" s="23"/>
      <c r="D467" s="171"/>
      <c r="E467" s="171"/>
      <c r="F467" s="33"/>
      <c r="G467" s="132"/>
      <c r="H467" s="132"/>
      <c r="I467" s="27"/>
      <c r="J467" s="75"/>
      <c r="K467" s="27"/>
      <c r="L467" s="52"/>
      <c r="M467" s="108">
        <f t="shared" si="15"/>
        <v>0</v>
      </c>
      <c r="N467" s="41"/>
      <c r="O467" s="1"/>
      <c r="P467" s="2"/>
      <c r="Q467" s="2"/>
      <c r="R467" s="2"/>
      <c r="S467" s="2"/>
      <c r="T467" s="2"/>
      <c r="U467" s="2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  <c r="BB467" s="48"/>
      <c r="BC467" s="48"/>
      <c r="BD467" s="48"/>
      <c r="BE467" s="48"/>
      <c r="BF467" s="48"/>
      <c r="BG467" s="48"/>
      <c r="BH467" s="48"/>
      <c r="BI467" s="48"/>
      <c r="BJ467" s="48"/>
      <c r="BK467" s="48"/>
      <c r="BL467" s="48"/>
      <c r="BM467" s="48"/>
      <c r="BN467" s="48"/>
      <c r="BO467" s="48"/>
      <c r="BP467" s="48"/>
      <c r="BQ467" s="48"/>
      <c r="BR467" s="48"/>
      <c r="BS467" s="48"/>
      <c r="BT467" s="48"/>
      <c r="BU467" s="48"/>
      <c r="BV467" s="48"/>
      <c r="BW467" s="48"/>
      <c r="BX467" s="48"/>
      <c r="BY467" s="48"/>
      <c r="BZ467" s="48"/>
      <c r="CA467" s="48"/>
      <c r="CB467" s="48"/>
      <c r="CC467" s="48"/>
      <c r="CD467" s="48"/>
      <c r="CE467" s="48"/>
      <c r="CF467" s="48"/>
      <c r="CG467" s="48"/>
      <c r="CH467" s="48"/>
      <c r="CI467" s="48"/>
      <c r="CJ467" s="48"/>
      <c r="CK467" s="48"/>
      <c r="CL467" s="48"/>
      <c r="CM467" s="48"/>
      <c r="CN467" s="48"/>
      <c r="CO467" s="48"/>
      <c r="CP467" s="48"/>
      <c r="CQ467" s="48"/>
      <c r="CR467" s="48"/>
      <c r="CS467" s="48"/>
      <c r="CT467" s="48"/>
    </row>
    <row r="468" spans="1:98" ht="35.1" customHeight="1">
      <c r="A468"/>
      <c r="B468" s="7">
        <f t="shared" ref="B468:B531" si="16">B467+1</f>
        <v>455</v>
      </c>
      <c r="C468" s="23"/>
      <c r="D468" s="171"/>
      <c r="E468" s="171"/>
      <c r="F468" s="33"/>
      <c r="G468" s="132"/>
      <c r="H468" s="132"/>
      <c r="I468" s="27"/>
      <c r="J468" s="75"/>
      <c r="K468" s="27"/>
      <c r="L468" s="52"/>
      <c r="M468" s="108">
        <f t="shared" si="15"/>
        <v>0</v>
      </c>
      <c r="N468" s="41"/>
      <c r="O468" s="1"/>
      <c r="P468" s="2"/>
      <c r="Q468" s="2"/>
      <c r="R468" s="2"/>
      <c r="S468" s="2"/>
      <c r="T468" s="2"/>
      <c r="U468" s="2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  <c r="BB468" s="48"/>
      <c r="BC468" s="48"/>
      <c r="BD468" s="48"/>
      <c r="BE468" s="48"/>
      <c r="BF468" s="48"/>
      <c r="BG468" s="48"/>
      <c r="BH468" s="48"/>
      <c r="BI468" s="48"/>
      <c r="BJ468" s="48"/>
      <c r="BK468" s="48"/>
      <c r="BL468" s="48"/>
      <c r="BM468" s="48"/>
      <c r="BN468" s="48"/>
      <c r="BO468" s="48"/>
      <c r="BP468" s="48"/>
      <c r="BQ468" s="48"/>
      <c r="BR468" s="48"/>
      <c r="BS468" s="48"/>
      <c r="BT468" s="48"/>
      <c r="BU468" s="48"/>
      <c r="BV468" s="48"/>
      <c r="BW468" s="48"/>
      <c r="BX468" s="48"/>
      <c r="BY468" s="48"/>
      <c r="BZ468" s="48"/>
      <c r="CA468" s="48"/>
      <c r="CB468" s="48"/>
      <c r="CC468" s="48"/>
      <c r="CD468" s="48"/>
      <c r="CE468" s="48"/>
      <c r="CF468" s="48"/>
      <c r="CG468" s="48"/>
      <c r="CH468" s="48"/>
      <c r="CI468" s="48"/>
      <c r="CJ468" s="48"/>
      <c r="CK468" s="48"/>
      <c r="CL468" s="48"/>
      <c r="CM468" s="48"/>
      <c r="CN468" s="48"/>
      <c r="CO468" s="48"/>
      <c r="CP468" s="48"/>
      <c r="CQ468" s="48"/>
      <c r="CR468" s="48"/>
      <c r="CS468" s="48"/>
      <c r="CT468" s="48"/>
    </row>
    <row r="469" spans="1:98" ht="35.1" customHeight="1">
      <c r="A469"/>
      <c r="B469" s="7">
        <f t="shared" si="16"/>
        <v>456</v>
      </c>
      <c r="C469" s="23"/>
      <c r="D469" s="171"/>
      <c r="E469" s="171"/>
      <c r="F469" s="33"/>
      <c r="G469" s="132"/>
      <c r="H469" s="132"/>
      <c r="I469" s="27"/>
      <c r="J469" s="75"/>
      <c r="K469" s="27"/>
      <c r="L469" s="52"/>
      <c r="M469" s="108">
        <f t="shared" si="15"/>
        <v>0</v>
      </c>
      <c r="N469" s="41"/>
      <c r="O469" s="1"/>
      <c r="P469" s="2"/>
      <c r="Q469" s="2"/>
      <c r="R469" s="2"/>
      <c r="S469" s="2"/>
      <c r="T469" s="2"/>
      <c r="U469" s="2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  <c r="BB469" s="48"/>
      <c r="BC469" s="48"/>
      <c r="BD469" s="48"/>
      <c r="BE469" s="48"/>
      <c r="BF469" s="48"/>
      <c r="BG469" s="48"/>
      <c r="BH469" s="48"/>
      <c r="BI469" s="48"/>
      <c r="BJ469" s="48"/>
      <c r="BK469" s="48"/>
      <c r="BL469" s="48"/>
      <c r="BM469" s="48"/>
      <c r="BN469" s="48"/>
      <c r="BO469" s="48"/>
      <c r="BP469" s="48"/>
      <c r="BQ469" s="48"/>
      <c r="BR469" s="48"/>
      <c r="BS469" s="48"/>
      <c r="BT469" s="48"/>
      <c r="BU469" s="48"/>
      <c r="BV469" s="48"/>
      <c r="BW469" s="48"/>
      <c r="BX469" s="48"/>
      <c r="BY469" s="48"/>
      <c r="BZ469" s="48"/>
      <c r="CA469" s="48"/>
      <c r="CB469" s="48"/>
      <c r="CC469" s="48"/>
      <c r="CD469" s="48"/>
      <c r="CE469" s="48"/>
      <c r="CF469" s="48"/>
      <c r="CG469" s="48"/>
      <c r="CH469" s="48"/>
      <c r="CI469" s="48"/>
      <c r="CJ469" s="48"/>
      <c r="CK469" s="48"/>
      <c r="CL469" s="48"/>
      <c r="CM469" s="48"/>
      <c r="CN469" s="48"/>
      <c r="CO469" s="48"/>
      <c r="CP469" s="48"/>
      <c r="CQ469" s="48"/>
      <c r="CR469" s="48"/>
      <c r="CS469" s="48"/>
      <c r="CT469" s="48"/>
    </row>
    <row r="470" spans="1:98" ht="35.1" customHeight="1">
      <c r="A470"/>
      <c r="B470" s="7">
        <f t="shared" si="16"/>
        <v>457</v>
      </c>
      <c r="C470" s="23"/>
      <c r="D470" s="171"/>
      <c r="E470" s="171"/>
      <c r="F470" s="33"/>
      <c r="G470" s="132"/>
      <c r="H470" s="132"/>
      <c r="I470" s="27"/>
      <c r="J470" s="75"/>
      <c r="K470" s="27"/>
      <c r="L470" s="52"/>
      <c r="M470" s="108">
        <f t="shared" si="15"/>
        <v>0</v>
      </c>
      <c r="N470" s="41"/>
      <c r="O470" s="1"/>
      <c r="P470" s="2"/>
      <c r="Q470" s="2"/>
      <c r="R470" s="2"/>
      <c r="S470" s="2"/>
      <c r="T470" s="2"/>
      <c r="U470" s="2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  <c r="BB470" s="48"/>
      <c r="BC470" s="48"/>
      <c r="BD470" s="48"/>
      <c r="BE470" s="48"/>
      <c r="BF470" s="48"/>
      <c r="BG470" s="48"/>
      <c r="BH470" s="48"/>
      <c r="BI470" s="48"/>
      <c r="BJ470" s="48"/>
      <c r="BK470" s="48"/>
      <c r="BL470" s="48"/>
      <c r="BM470" s="48"/>
      <c r="BN470" s="48"/>
      <c r="BO470" s="48"/>
      <c r="BP470" s="48"/>
      <c r="BQ470" s="48"/>
      <c r="BR470" s="48"/>
      <c r="BS470" s="48"/>
      <c r="BT470" s="48"/>
      <c r="BU470" s="48"/>
      <c r="BV470" s="48"/>
      <c r="BW470" s="48"/>
      <c r="BX470" s="48"/>
      <c r="BY470" s="48"/>
      <c r="BZ470" s="48"/>
      <c r="CA470" s="48"/>
      <c r="CB470" s="48"/>
      <c r="CC470" s="48"/>
      <c r="CD470" s="48"/>
      <c r="CE470" s="48"/>
      <c r="CF470" s="48"/>
      <c r="CG470" s="48"/>
      <c r="CH470" s="48"/>
      <c r="CI470" s="48"/>
      <c r="CJ470" s="48"/>
      <c r="CK470" s="48"/>
      <c r="CL470" s="48"/>
      <c r="CM470" s="48"/>
      <c r="CN470" s="48"/>
      <c r="CO470" s="48"/>
      <c r="CP470" s="48"/>
      <c r="CQ470" s="48"/>
      <c r="CR470" s="48"/>
      <c r="CS470" s="48"/>
      <c r="CT470" s="48"/>
    </row>
    <row r="471" spans="1:98" ht="35.1" customHeight="1">
      <c r="A471"/>
      <c r="B471" s="7">
        <f t="shared" si="16"/>
        <v>458</v>
      </c>
      <c r="C471" s="23"/>
      <c r="D471" s="171"/>
      <c r="E471" s="171"/>
      <c r="F471" s="33"/>
      <c r="G471" s="132"/>
      <c r="H471" s="132"/>
      <c r="I471" s="27"/>
      <c r="J471" s="75"/>
      <c r="K471" s="27"/>
      <c r="L471" s="52"/>
      <c r="M471" s="108">
        <f t="shared" si="15"/>
        <v>0</v>
      </c>
      <c r="N471" s="41"/>
      <c r="O471" s="1"/>
      <c r="P471" s="2"/>
      <c r="Q471" s="2"/>
      <c r="R471" s="2"/>
      <c r="S471" s="2"/>
      <c r="T471" s="2"/>
      <c r="U471" s="2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  <c r="BB471" s="48"/>
      <c r="BC471" s="48"/>
      <c r="BD471" s="48"/>
      <c r="BE471" s="48"/>
      <c r="BF471" s="48"/>
      <c r="BG471" s="48"/>
      <c r="BH471" s="48"/>
      <c r="BI471" s="48"/>
      <c r="BJ471" s="48"/>
      <c r="BK471" s="48"/>
      <c r="BL471" s="48"/>
      <c r="BM471" s="48"/>
      <c r="BN471" s="48"/>
      <c r="BO471" s="48"/>
      <c r="BP471" s="48"/>
      <c r="BQ471" s="48"/>
      <c r="BR471" s="48"/>
      <c r="BS471" s="48"/>
      <c r="BT471" s="48"/>
      <c r="BU471" s="48"/>
      <c r="BV471" s="48"/>
      <c r="BW471" s="48"/>
      <c r="BX471" s="48"/>
      <c r="BY471" s="48"/>
      <c r="BZ471" s="48"/>
      <c r="CA471" s="48"/>
      <c r="CB471" s="48"/>
      <c r="CC471" s="48"/>
      <c r="CD471" s="48"/>
      <c r="CE471" s="48"/>
      <c r="CF471" s="48"/>
      <c r="CG471" s="48"/>
      <c r="CH471" s="48"/>
      <c r="CI471" s="48"/>
      <c r="CJ471" s="48"/>
      <c r="CK471" s="48"/>
      <c r="CL471" s="48"/>
      <c r="CM471" s="48"/>
      <c r="CN471" s="48"/>
      <c r="CO471" s="48"/>
      <c r="CP471" s="48"/>
      <c r="CQ471" s="48"/>
      <c r="CR471" s="48"/>
      <c r="CS471" s="48"/>
      <c r="CT471" s="48"/>
    </row>
    <row r="472" spans="1:98" ht="35.1" customHeight="1">
      <c r="A472"/>
      <c r="B472" s="7">
        <f t="shared" si="16"/>
        <v>459</v>
      </c>
      <c r="C472" s="23"/>
      <c r="D472" s="171"/>
      <c r="E472" s="171"/>
      <c r="F472" s="33"/>
      <c r="G472" s="132"/>
      <c r="H472" s="132"/>
      <c r="I472" s="27"/>
      <c r="J472" s="75"/>
      <c r="K472" s="27"/>
      <c r="L472" s="52"/>
      <c r="M472" s="108">
        <f t="shared" si="15"/>
        <v>0</v>
      </c>
      <c r="N472" s="41"/>
      <c r="O472" s="1"/>
      <c r="P472" s="2"/>
      <c r="Q472" s="2"/>
      <c r="R472" s="2"/>
      <c r="S472" s="2"/>
      <c r="T472" s="2"/>
      <c r="U472" s="2"/>
    </row>
    <row r="473" spans="1:98" ht="35.1" customHeight="1">
      <c r="A473"/>
      <c r="B473" s="7">
        <f t="shared" si="16"/>
        <v>460</v>
      </c>
      <c r="C473" s="23"/>
      <c r="D473" s="171"/>
      <c r="E473" s="171"/>
      <c r="F473" s="33"/>
      <c r="G473" s="132"/>
      <c r="H473" s="132"/>
      <c r="I473" s="27"/>
      <c r="J473" s="75"/>
      <c r="K473" s="27"/>
      <c r="L473" s="52"/>
      <c r="M473" s="108">
        <f t="shared" si="15"/>
        <v>0</v>
      </c>
      <c r="N473" s="41"/>
      <c r="O473" s="1"/>
      <c r="P473" s="2"/>
      <c r="Q473" s="2"/>
      <c r="R473" s="2"/>
      <c r="S473" s="2"/>
      <c r="T473" s="2"/>
      <c r="U473" s="2"/>
    </row>
    <row r="474" spans="1:98" ht="35.1" customHeight="1">
      <c r="A474"/>
      <c r="B474" s="7">
        <f t="shared" si="16"/>
        <v>461</v>
      </c>
      <c r="C474" s="23"/>
      <c r="D474" s="171"/>
      <c r="E474" s="171"/>
      <c r="F474" s="33"/>
      <c r="G474" s="132"/>
      <c r="H474" s="132"/>
      <c r="I474" s="27"/>
      <c r="J474" s="75"/>
      <c r="K474" s="27"/>
      <c r="L474" s="52"/>
      <c r="M474" s="108">
        <f t="shared" si="15"/>
        <v>0</v>
      </c>
      <c r="N474" s="41"/>
      <c r="O474" s="1"/>
      <c r="P474" s="2"/>
      <c r="Q474" s="2"/>
      <c r="R474" s="2"/>
      <c r="S474" s="2"/>
      <c r="T474" s="2"/>
      <c r="U474" s="2"/>
    </row>
    <row r="475" spans="1:98" ht="35.1" customHeight="1">
      <c r="A475"/>
      <c r="B475" s="7">
        <f t="shared" si="16"/>
        <v>462</v>
      </c>
      <c r="C475" s="23"/>
      <c r="D475" s="171"/>
      <c r="E475" s="171"/>
      <c r="F475" s="33"/>
      <c r="G475" s="132"/>
      <c r="H475" s="142"/>
      <c r="I475" s="59"/>
      <c r="J475" s="75"/>
      <c r="K475" s="27"/>
      <c r="L475" s="52"/>
      <c r="M475" s="108">
        <f t="shared" si="15"/>
        <v>0</v>
      </c>
      <c r="N475" s="41"/>
      <c r="O475" s="1"/>
      <c r="P475" s="2"/>
      <c r="Q475" s="2"/>
      <c r="R475" s="2"/>
      <c r="S475" s="2"/>
      <c r="T475" s="2"/>
      <c r="U475" s="2"/>
    </row>
    <row r="476" spans="1:98" ht="35.1" customHeight="1">
      <c r="A476"/>
      <c r="B476" s="7">
        <f t="shared" si="16"/>
        <v>463</v>
      </c>
      <c r="C476" s="23"/>
      <c r="D476" s="171"/>
      <c r="E476" s="171"/>
      <c r="F476" s="33"/>
      <c r="G476" s="132"/>
      <c r="H476" s="142"/>
      <c r="I476" s="59"/>
      <c r="J476" s="75"/>
      <c r="K476" s="27"/>
      <c r="L476" s="52"/>
      <c r="M476" s="108">
        <f t="shared" si="15"/>
        <v>0</v>
      </c>
      <c r="N476" s="41"/>
      <c r="O476" s="1"/>
      <c r="P476" s="2"/>
      <c r="Q476" s="2"/>
      <c r="R476" s="2"/>
      <c r="S476" s="2"/>
      <c r="T476" s="2"/>
      <c r="U476" s="2"/>
    </row>
    <row r="477" spans="1:98" ht="35.1" customHeight="1">
      <c r="A477"/>
      <c r="B477" s="7">
        <f t="shared" si="16"/>
        <v>464</v>
      </c>
      <c r="C477" s="23"/>
      <c r="D477" s="171"/>
      <c r="E477" s="171"/>
      <c r="F477" s="33"/>
      <c r="G477" s="132"/>
      <c r="H477" s="142"/>
      <c r="I477" s="59"/>
      <c r="J477" s="75"/>
      <c r="K477" s="27"/>
      <c r="L477" s="52"/>
      <c r="M477" s="108">
        <f t="shared" si="15"/>
        <v>0</v>
      </c>
      <c r="N477" s="41"/>
      <c r="O477" s="1"/>
      <c r="P477" s="2"/>
      <c r="Q477" s="2"/>
      <c r="R477" s="2"/>
      <c r="S477" s="2"/>
      <c r="T477" s="2"/>
      <c r="U477" s="2"/>
    </row>
    <row r="478" spans="1:98" ht="35.1" customHeight="1">
      <c r="A478"/>
      <c r="B478" s="7">
        <f t="shared" si="16"/>
        <v>465</v>
      </c>
      <c r="C478" s="23"/>
      <c r="D478" s="171"/>
      <c r="E478" s="171"/>
      <c r="F478" s="33"/>
      <c r="G478" s="132"/>
      <c r="H478" s="142"/>
      <c r="I478" s="59"/>
      <c r="J478" s="75"/>
      <c r="K478" s="27"/>
      <c r="L478" s="52"/>
      <c r="M478" s="108">
        <f t="shared" si="15"/>
        <v>0</v>
      </c>
      <c r="N478" s="41"/>
      <c r="O478" s="1"/>
      <c r="P478" s="2"/>
      <c r="Q478" s="2"/>
      <c r="R478" s="2"/>
      <c r="S478" s="2"/>
      <c r="T478" s="2"/>
      <c r="U478" s="2"/>
    </row>
    <row r="479" spans="1:98" ht="35.1" customHeight="1">
      <c r="A479"/>
      <c r="B479" s="7">
        <f t="shared" si="16"/>
        <v>466</v>
      </c>
      <c r="C479" s="23"/>
      <c r="D479" s="171"/>
      <c r="E479" s="171"/>
      <c r="F479" s="33"/>
      <c r="G479" s="132"/>
      <c r="H479" s="142"/>
      <c r="I479" s="59"/>
      <c r="J479" s="75"/>
      <c r="K479" s="27"/>
      <c r="L479" s="52"/>
      <c r="M479" s="108">
        <f t="shared" si="15"/>
        <v>0</v>
      </c>
      <c r="N479" s="41"/>
      <c r="O479" s="1"/>
      <c r="P479" s="2"/>
      <c r="Q479" s="2"/>
      <c r="R479" s="2"/>
      <c r="S479" s="2"/>
      <c r="T479" s="2"/>
      <c r="U479" s="2"/>
    </row>
    <row r="480" spans="1:98" ht="35.1" customHeight="1">
      <c r="A480"/>
      <c r="B480" s="7">
        <f t="shared" si="16"/>
        <v>467</v>
      </c>
      <c r="C480" s="23"/>
      <c r="D480" s="171"/>
      <c r="E480" s="171"/>
      <c r="F480" s="33"/>
      <c r="G480" s="132"/>
      <c r="H480" s="143"/>
      <c r="I480" s="82"/>
      <c r="J480" s="75"/>
      <c r="K480" s="27"/>
      <c r="L480" s="52"/>
      <c r="M480" s="108">
        <f t="shared" si="15"/>
        <v>0</v>
      </c>
      <c r="N480" s="41"/>
      <c r="O480" s="1"/>
      <c r="P480" s="2"/>
      <c r="Q480" s="2"/>
      <c r="R480" s="2"/>
      <c r="S480" s="2"/>
      <c r="T480" s="2"/>
      <c r="U480" s="2"/>
    </row>
    <row r="481" spans="1:21" ht="35.1" customHeight="1">
      <c r="A481"/>
      <c r="B481" s="7">
        <f t="shared" si="16"/>
        <v>468</v>
      </c>
      <c r="C481" s="23"/>
      <c r="D481" s="171"/>
      <c r="E481" s="171"/>
      <c r="F481" s="33"/>
      <c r="G481" s="132"/>
      <c r="H481" s="143"/>
      <c r="I481" s="82"/>
      <c r="J481" s="75"/>
      <c r="K481" s="27"/>
      <c r="L481" s="52"/>
      <c r="M481" s="108">
        <f t="shared" si="15"/>
        <v>0</v>
      </c>
      <c r="N481" s="41"/>
      <c r="O481" s="1"/>
      <c r="P481" s="2"/>
      <c r="Q481" s="2"/>
      <c r="R481" s="2"/>
      <c r="S481" s="2"/>
      <c r="T481" s="2"/>
      <c r="U481" s="2"/>
    </row>
    <row r="482" spans="1:21" ht="35.1" customHeight="1">
      <c r="A482"/>
      <c r="B482" s="7">
        <f t="shared" si="16"/>
        <v>469</v>
      </c>
      <c r="C482" s="23"/>
      <c r="D482" s="171"/>
      <c r="E482" s="171"/>
      <c r="F482" s="33"/>
      <c r="G482" s="132"/>
      <c r="H482" s="143"/>
      <c r="I482" s="82"/>
      <c r="J482" s="75"/>
      <c r="K482" s="27"/>
      <c r="L482" s="52"/>
      <c r="M482" s="108">
        <f t="shared" si="15"/>
        <v>0</v>
      </c>
      <c r="N482" s="41"/>
      <c r="O482" s="1"/>
      <c r="P482" s="2"/>
      <c r="Q482" s="2"/>
      <c r="R482" s="2"/>
      <c r="S482" s="2"/>
      <c r="T482" s="2"/>
      <c r="U482" s="2"/>
    </row>
    <row r="483" spans="1:21" ht="35.1" customHeight="1">
      <c r="A483"/>
      <c r="B483" s="7">
        <f t="shared" si="16"/>
        <v>470</v>
      </c>
      <c r="C483" s="23"/>
      <c r="D483" s="171"/>
      <c r="E483" s="171"/>
      <c r="F483" s="36"/>
      <c r="G483" s="132"/>
      <c r="H483" s="142"/>
      <c r="I483" s="59"/>
      <c r="J483" s="75"/>
      <c r="K483" s="27"/>
      <c r="L483" s="52"/>
      <c r="M483" s="108">
        <f t="shared" si="15"/>
        <v>0</v>
      </c>
      <c r="N483" s="41"/>
      <c r="O483" s="1"/>
      <c r="P483" s="2"/>
      <c r="Q483" s="2"/>
      <c r="R483" s="2"/>
      <c r="S483" s="2"/>
      <c r="T483" s="2"/>
      <c r="U483" s="2"/>
    </row>
    <row r="484" spans="1:21" ht="35.1" customHeight="1">
      <c r="A484"/>
      <c r="B484" s="7">
        <f t="shared" si="16"/>
        <v>471</v>
      </c>
      <c r="C484" s="23"/>
      <c r="D484" s="171"/>
      <c r="E484" s="171"/>
      <c r="F484" s="36"/>
      <c r="G484" s="132"/>
      <c r="H484" s="142"/>
      <c r="I484" s="59"/>
      <c r="J484" s="75"/>
      <c r="K484" s="27"/>
      <c r="L484" s="52"/>
      <c r="M484" s="108">
        <f t="shared" si="15"/>
        <v>0</v>
      </c>
      <c r="N484" s="41"/>
      <c r="O484" s="1"/>
      <c r="P484" s="2"/>
      <c r="Q484" s="2"/>
      <c r="R484" s="2"/>
      <c r="S484" s="2"/>
      <c r="T484" s="2"/>
      <c r="U484" s="2"/>
    </row>
    <row r="485" spans="1:21" ht="35.1" customHeight="1">
      <c r="A485"/>
      <c r="B485" s="7">
        <f t="shared" si="16"/>
        <v>472</v>
      </c>
      <c r="C485" s="23"/>
      <c r="D485" s="171"/>
      <c r="E485" s="171"/>
      <c r="F485" s="36"/>
      <c r="G485" s="132"/>
      <c r="H485" s="142"/>
      <c r="I485" s="59"/>
      <c r="J485" s="75"/>
      <c r="K485" s="27"/>
      <c r="L485" s="52"/>
      <c r="M485" s="108">
        <f t="shared" si="15"/>
        <v>0</v>
      </c>
      <c r="N485" s="41"/>
      <c r="O485" s="1"/>
      <c r="P485" s="2"/>
      <c r="Q485" s="2"/>
      <c r="R485" s="2"/>
      <c r="S485" s="2"/>
      <c r="T485" s="2"/>
      <c r="U485" s="2"/>
    </row>
    <row r="486" spans="1:21" ht="35.1" customHeight="1">
      <c r="A486"/>
      <c r="B486" s="7">
        <f t="shared" si="16"/>
        <v>473</v>
      </c>
      <c r="C486" s="23"/>
      <c r="D486" s="171"/>
      <c r="E486" s="171"/>
      <c r="F486" s="36"/>
      <c r="G486" s="132"/>
      <c r="H486" s="142"/>
      <c r="I486" s="59"/>
      <c r="J486" s="75"/>
      <c r="K486" s="27"/>
      <c r="L486" s="52"/>
      <c r="M486" s="108">
        <f t="shared" si="15"/>
        <v>0</v>
      </c>
      <c r="N486" s="41"/>
      <c r="O486" s="1"/>
      <c r="P486" s="2"/>
      <c r="Q486" s="2"/>
      <c r="R486" s="2"/>
      <c r="S486" s="2"/>
      <c r="T486" s="2"/>
      <c r="U486" s="2"/>
    </row>
    <row r="487" spans="1:21" ht="35.1" customHeight="1">
      <c r="A487"/>
      <c r="B487" s="7">
        <f t="shared" si="16"/>
        <v>474</v>
      </c>
      <c r="C487" s="23"/>
      <c r="D487" s="171"/>
      <c r="E487" s="171"/>
      <c r="F487" s="36"/>
      <c r="G487" s="132"/>
      <c r="H487" s="143"/>
      <c r="I487" s="82"/>
      <c r="J487" s="75"/>
      <c r="K487" s="27"/>
      <c r="L487" s="52"/>
      <c r="M487" s="108">
        <f t="shared" si="15"/>
        <v>0</v>
      </c>
      <c r="N487" s="41"/>
      <c r="O487" s="1"/>
      <c r="P487" s="2"/>
      <c r="Q487" s="2"/>
      <c r="R487" s="2"/>
      <c r="S487" s="2"/>
      <c r="T487" s="2"/>
      <c r="U487" s="2"/>
    </row>
    <row r="488" spans="1:21" ht="34.5" customHeight="1">
      <c r="A488"/>
      <c r="B488" s="7">
        <f t="shared" si="16"/>
        <v>475</v>
      </c>
      <c r="C488" s="23"/>
      <c r="D488" s="171"/>
      <c r="E488" s="171"/>
      <c r="F488" s="36"/>
      <c r="G488" s="132"/>
      <c r="H488" s="142"/>
      <c r="I488" s="59"/>
      <c r="J488" s="75"/>
      <c r="K488" s="27"/>
      <c r="L488" s="52"/>
      <c r="M488" s="108">
        <f t="shared" si="15"/>
        <v>0</v>
      </c>
      <c r="N488" s="41"/>
      <c r="O488" s="1"/>
      <c r="P488" s="2"/>
      <c r="Q488" s="2"/>
      <c r="R488" s="2"/>
      <c r="S488" s="2"/>
      <c r="T488" s="2"/>
      <c r="U488" s="2"/>
    </row>
    <row r="489" spans="1:21" ht="34.5" customHeight="1">
      <c r="A489"/>
      <c r="B489" s="7">
        <f t="shared" si="16"/>
        <v>476</v>
      </c>
      <c r="C489" s="23"/>
      <c r="D489" s="171"/>
      <c r="E489" s="171"/>
      <c r="F489" s="36"/>
      <c r="G489" s="132"/>
      <c r="H489" s="142"/>
      <c r="I489" s="59"/>
      <c r="J489" s="75"/>
      <c r="K489" s="27"/>
      <c r="L489" s="52"/>
      <c r="M489" s="108">
        <f t="shared" si="15"/>
        <v>0</v>
      </c>
      <c r="N489" s="41"/>
      <c r="O489" s="1"/>
      <c r="P489" s="2"/>
      <c r="Q489" s="2"/>
      <c r="R489" s="2"/>
      <c r="S489" s="2"/>
      <c r="T489" s="2"/>
      <c r="U489" s="2"/>
    </row>
    <row r="490" spans="1:21" ht="35.1" customHeight="1">
      <c r="A490"/>
      <c r="B490" s="7">
        <f t="shared" si="16"/>
        <v>477</v>
      </c>
      <c r="C490" s="23"/>
      <c r="D490" s="171"/>
      <c r="E490" s="171"/>
      <c r="F490" s="36"/>
      <c r="G490" s="132"/>
      <c r="H490" s="142"/>
      <c r="I490" s="59"/>
      <c r="J490" s="75"/>
      <c r="K490" s="27"/>
      <c r="L490" s="52"/>
      <c r="M490" s="108">
        <f t="shared" si="15"/>
        <v>0</v>
      </c>
      <c r="N490" s="41"/>
      <c r="O490" s="1"/>
      <c r="P490" s="2"/>
      <c r="Q490" s="2"/>
      <c r="R490" s="2"/>
      <c r="S490" s="2"/>
      <c r="T490" s="2"/>
      <c r="U490" s="2"/>
    </row>
    <row r="491" spans="1:21" ht="35.1" customHeight="1">
      <c r="A491"/>
      <c r="B491" s="7">
        <f t="shared" si="16"/>
        <v>478</v>
      </c>
      <c r="C491" s="23"/>
      <c r="D491" s="171"/>
      <c r="E491" s="171"/>
      <c r="F491" s="36"/>
      <c r="G491" s="132"/>
      <c r="H491" s="143"/>
      <c r="I491" s="82"/>
      <c r="J491" s="75"/>
      <c r="K491" s="27"/>
      <c r="L491" s="52"/>
      <c r="M491" s="108">
        <f t="shared" si="15"/>
        <v>0</v>
      </c>
      <c r="N491" s="41"/>
      <c r="O491" s="1"/>
      <c r="P491" s="2"/>
      <c r="Q491" s="2"/>
      <c r="R491" s="2"/>
      <c r="S491" s="2"/>
      <c r="T491" s="2"/>
      <c r="U491" s="2"/>
    </row>
    <row r="492" spans="1:21" ht="35.1" customHeight="1">
      <c r="A492"/>
      <c r="B492" s="7">
        <f t="shared" si="16"/>
        <v>479</v>
      </c>
      <c r="C492" s="23"/>
      <c r="D492" s="171"/>
      <c r="E492" s="171"/>
      <c r="F492" s="36"/>
      <c r="G492" s="132"/>
      <c r="H492" s="143"/>
      <c r="I492" s="82"/>
      <c r="J492" s="75"/>
      <c r="K492" s="27"/>
      <c r="L492" s="52"/>
      <c r="M492" s="108">
        <f t="shared" si="15"/>
        <v>0</v>
      </c>
      <c r="N492" s="41"/>
      <c r="O492" s="1"/>
      <c r="P492" s="2"/>
      <c r="Q492" s="2"/>
      <c r="R492" s="2"/>
      <c r="S492" s="2"/>
      <c r="T492" s="2"/>
      <c r="U492" s="2"/>
    </row>
    <row r="493" spans="1:21" ht="35.1" customHeight="1">
      <c r="A493"/>
      <c r="B493" s="7">
        <f t="shared" si="16"/>
        <v>480</v>
      </c>
      <c r="C493" s="23"/>
      <c r="D493" s="171"/>
      <c r="E493" s="171"/>
      <c r="F493" s="36"/>
      <c r="G493" s="132"/>
      <c r="H493" s="143"/>
      <c r="I493" s="82"/>
      <c r="J493" s="75"/>
      <c r="K493" s="27"/>
      <c r="L493" s="52"/>
      <c r="M493" s="108">
        <f t="shared" si="15"/>
        <v>0</v>
      </c>
      <c r="N493" s="41"/>
      <c r="O493" s="1"/>
      <c r="P493" s="2"/>
      <c r="Q493" s="2"/>
      <c r="R493" s="2"/>
      <c r="S493" s="2"/>
      <c r="T493" s="2"/>
      <c r="U493" s="2"/>
    </row>
    <row r="494" spans="1:21" ht="35.1" customHeight="1">
      <c r="A494"/>
      <c r="B494" s="7">
        <f t="shared" si="16"/>
        <v>481</v>
      </c>
      <c r="C494" s="23"/>
      <c r="D494" s="171"/>
      <c r="E494" s="171"/>
      <c r="F494" s="36"/>
      <c r="G494" s="132"/>
      <c r="H494" s="143"/>
      <c r="I494" s="82"/>
      <c r="J494" s="75"/>
      <c r="K494" s="27"/>
      <c r="L494" s="52"/>
      <c r="M494" s="108">
        <f t="shared" si="15"/>
        <v>0</v>
      </c>
      <c r="N494" s="41"/>
      <c r="O494" s="1"/>
      <c r="P494" s="2"/>
      <c r="Q494" s="2"/>
      <c r="R494" s="2"/>
      <c r="S494" s="2"/>
      <c r="T494" s="2"/>
      <c r="U494" s="2"/>
    </row>
    <row r="495" spans="1:21" ht="35.1" customHeight="1">
      <c r="A495"/>
      <c r="B495" s="7">
        <f t="shared" si="16"/>
        <v>482</v>
      </c>
      <c r="C495" s="23"/>
      <c r="D495" s="171"/>
      <c r="E495" s="171"/>
      <c r="F495" s="36"/>
      <c r="G495" s="132"/>
      <c r="H495" s="142"/>
      <c r="I495" s="59"/>
      <c r="J495" s="75"/>
      <c r="K495" s="27"/>
      <c r="L495" s="52"/>
      <c r="M495" s="108">
        <f t="shared" si="15"/>
        <v>0</v>
      </c>
      <c r="N495" s="41"/>
      <c r="O495" s="1"/>
      <c r="P495" s="2"/>
      <c r="Q495" s="2"/>
      <c r="R495" s="2"/>
      <c r="S495" s="2"/>
      <c r="T495" s="2"/>
      <c r="U495" s="2"/>
    </row>
    <row r="496" spans="1:21" ht="35.1" customHeight="1">
      <c r="A496"/>
      <c r="B496" s="7">
        <f t="shared" si="16"/>
        <v>483</v>
      </c>
      <c r="C496" s="23"/>
      <c r="D496" s="171"/>
      <c r="E496" s="171"/>
      <c r="F496" s="36"/>
      <c r="G496" s="132"/>
      <c r="H496" s="142"/>
      <c r="I496" s="59"/>
      <c r="J496" s="75"/>
      <c r="K496" s="27"/>
      <c r="L496" s="52"/>
      <c r="M496" s="108">
        <f t="shared" si="15"/>
        <v>0</v>
      </c>
      <c r="N496" s="41"/>
      <c r="O496" s="1"/>
      <c r="P496" s="2"/>
      <c r="Q496" s="2"/>
      <c r="R496" s="2"/>
      <c r="S496" s="2"/>
      <c r="T496" s="2"/>
      <c r="U496" s="2"/>
    </row>
    <row r="497" spans="1:21" ht="35.1" customHeight="1">
      <c r="A497"/>
      <c r="B497" s="7">
        <f t="shared" si="16"/>
        <v>484</v>
      </c>
      <c r="C497" s="23"/>
      <c r="D497" s="171"/>
      <c r="E497" s="171"/>
      <c r="F497" s="36"/>
      <c r="G497" s="132"/>
      <c r="H497" s="142"/>
      <c r="I497" s="59"/>
      <c r="J497" s="70"/>
      <c r="K497" s="27"/>
      <c r="L497" s="52"/>
      <c r="M497" s="108">
        <f t="shared" si="15"/>
        <v>0</v>
      </c>
      <c r="N497" s="41"/>
      <c r="O497" s="1"/>
      <c r="P497" s="2"/>
      <c r="Q497" s="2"/>
      <c r="R497" s="2"/>
      <c r="S497" s="2"/>
      <c r="T497" s="2"/>
      <c r="U497" s="2"/>
    </row>
    <row r="498" spans="1:21" ht="35.1" customHeight="1">
      <c r="A498"/>
      <c r="B498" s="7">
        <f t="shared" si="16"/>
        <v>485</v>
      </c>
      <c r="C498" s="23"/>
      <c r="D498" s="171"/>
      <c r="E498" s="171"/>
      <c r="F498" s="36"/>
      <c r="G498" s="132"/>
      <c r="H498" s="142"/>
      <c r="I498" s="59"/>
      <c r="J498" s="70"/>
      <c r="K498" s="27"/>
      <c r="L498" s="52"/>
      <c r="M498" s="108">
        <f t="shared" si="15"/>
        <v>0</v>
      </c>
      <c r="N498" s="41"/>
      <c r="O498" s="1"/>
      <c r="P498" s="2"/>
      <c r="Q498" s="2"/>
      <c r="R498" s="2"/>
      <c r="S498" s="2"/>
      <c r="T498" s="2"/>
      <c r="U498" s="2"/>
    </row>
    <row r="499" spans="1:21" ht="35.1" customHeight="1">
      <c r="A499"/>
      <c r="B499" s="7">
        <f t="shared" si="16"/>
        <v>486</v>
      </c>
      <c r="C499" s="23"/>
      <c r="D499" s="171"/>
      <c r="E499" s="171"/>
      <c r="F499" s="36"/>
      <c r="G499" s="132"/>
      <c r="H499" s="142"/>
      <c r="I499" s="59"/>
      <c r="J499" s="70"/>
      <c r="K499" s="27"/>
      <c r="L499" s="52"/>
      <c r="M499" s="108">
        <f t="shared" si="15"/>
        <v>0</v>
      </c>
      <c r="N499" s="41"/>
      <c r="O499" s="1"/>
      <c r="P499" s="2"/>
      <c r="Q499" s="2"/>
      <c r="R499" s="2"/>
      <c r="S499" s="2"/>
      <c r="T499" s="2"/>
      <c r="U499" s="2"/>
    </row>
    <row r="500" spans="1:21" ht="35.1" customHeight="1">
      <c r="A500"/>
      <c r="B500" s="7">
        <f t="shared" si="16"/>
        <v>487</v>
      </c>
      <c r="C500" s="23"/>
      <c r="D500" s="171"/>
      <c r="E500" s="171"/>
      <c r="F500" s="36"/>
      <c r="G500" s="132"/>
      <c r="H500" s="142"/>
      <c r="I500" s="59"/>
      <c r="J500" s="70"/>
      <c r="K500" s="27"/>
      <c r="L500" s="52"/>
      <c r="M500" s="108">
        <f t="shared" si="15"/>
        <v>0</v>
      </c>
      <c r="N500" s="41"/>
      <c r="O500" s="1"/>
      <c r="P500" s="2"/>
      <c r="Q500" s="2"/>
      <c r="R500" s="2"/>
      <c r="S500" s="2"/>
      <c r="T500" s="2"/>
      <c r="U500" s="2"/>
    </row>
    <row r="501" spans="1:21" ht="35.1" customHeight="1">
      <c r="A501"/>
      <c r="B501" s="7">
        <f t="shared" si="16"/>
        <v>488</v>
      </c>
      <c r="C501" s="23"/>
      <c r="D501" s="171"/>
      <c r="E501" s="171"/>
      <c r="F501" s="36"/>
      <c r="G501" s="132"/>
      <c r="H501" s="142"/>
      <c r="I501" s="59"/>
      <c r="J501" s="70"/>
      <c r="K501" s="27"/>
      <c r="L501" s="52"/>
      <c r="M501" s="108">
        <f t="shared" si="15"/>
        <v>0</v>
      </c>
      <c r="N501" s="41"/>
      <c r="O501" s="1"/>
      <c r="P501" s="2"/>
      <c r="Q501" s="2"/>
      <c r="R501" s="2"/>
      <c r="S501" s="2"/>
      <c r="T501" s="2"/>
      <c r="U501" s="2"/>
    </row>
    <row r="502" spans="1:21" ht="35.1" customHeight="1">
      <c r="A502"/>
      <c r="B502" s="7">
        <f t="shared" si="16"/>
        <v>489</v>
      </c>
      <c r="C502" s="23"/>
      <c r="D502" s="171"/>
      <c r="E502" s="171"/>
      <c r="F502" s="36"/>
      <c r="G502" s="132"/>
      <c r="H502" s="142"/>
      <c r="I502" s="59"/>
      <c r="J502" s="70"/>
      <c r="K502" s="27"/>
      <c r="L502" s="52"/>
      <c r="M502" s="108">
        <f t="shared" si="15"/>
        <v>0</v>
      </c>
      <c r="N502" s="41"/>
      <c r="O502" s="1"/>
      <c r="P502" s="2"/>
      <c r="Q502" s="2"/>
      <c r="R502" s="2"/>
      <c r="S502" s="2"/>
      <c r="T502" s="2"/>
      <c r="U502" s="2"/>
    </row>
    <row r="503" spans="1:21" ht="35.1" customHeight="1">
      <c r="A503"/>
      <c r="B503" s="7">
        <f t="shared" si="16"/>
        <v>490</v>
      </c>
      <c r="C503" s="23"/>
      <c r="D503" s="171"/>
      <c r="E503" s="171"/>
      <c r="F503" s="36"/>
      <c r="G503" s="132"/>
      <c r="H503" s="142"/>
      <c r="I503" s="59"/>
      <c r="J503" s="70"/>
      <c r="K503" s="27"/>
      <c r="L503" s="52"/>
      <c r="M503" s="108">
        <f t="shared" si="15"/>
        <v>0</v>
      </c>
      <c r="N503" s="41"/>
      <c r="O503" s="1"/>
      <c r="P503" s="2"/>
      <c r="Q503" s="2"/>
      <c r="R503" s="2"/>
      <c r="S503" s="2"/>
      <c r="T503" s="2"/>
      <c r="U503" s="2"/>
    </row>
    <row r="504" spans="1:21" ht="35.1" customHeight="1">
      <c r="A504"/>
      <c r="B504" s="7">
        <f t="shared" si="16"/>
        <v>491</v>
      </c>
      <c r="C504" s="23"/>
      <c r="D504" s="171"/>
      <c r="E504" s="171"/>
      <c r="F504" s="36"/>
      <c r="G504" s="132"/>
      <c r="H504" s="143"/>
      <c r="I504" s="82"/>
      <c r="J504" s="75"/>
      <c r="K504" s="27"/>
      <c r="L504" s="52"/>
      <c r="M504" s="108">
        <f t="shared" si="15"/>
        <v>0</v>
      </c>
      <c r="N504" s="41"/>
      <c r="O504" s="1"/>
      <c r="P504" s="2"/>
      <c r="Q504" s="2"/>
      <c r="R504" s="2"/>
      <c r="S504" s="2"/>
      <c r="T504" s="2"/>
      <c r="U504" s="2"/>
    </row>
    <row r="505" spans="1:21" ht="35.1" customHeight="1">
      <c r="A505"/>
      <c r="B505" s="7">
        <f t="shared" si="16"/>
        <v>492</v>
      </c>
      <c r="C505" s="23"/>
      <c r="D505" s="171"/>
      <c r="E505" s="171"/>
      <c r="F505" s="36"/>
      <c r="G505" s="132"/>
      <c r="H505" s="143"/>
      <c r="I505" s="82"/>
      <c r="J505" s="75"/>
      <c r="K505" s="27"/>
      <c r="L505" s="52"/>
      <c r="M505" s="108">
        <f t="shared" si="15"/>
        <v>0</v>
      </c>
      <c r="N505" s="41"/>
      <c r="O505" s="1"/>
      <c r="P505" s="2"/>
      <c r="Q505" s="2"/>
      <c r="R505" s="2"/>
      <c r="S505" s="2"/>
      <c r="T505" s="2"/>
      <c r="U505" s="2"/>
    </row>
    <row r="506" spans="1:21" ht="35.1" customHeight="1">
      <c r="A506"/>
      <c r="B506" s="7">
        <f t="shared" si="16"/>
        <v>493</v>
      </c>
      <c r="C506" s="23"/>
      <c r="D506" s="171"/>
      <c r="E506" s="171"/>
      <c r="F506" s="36"/>
      <c r="G506" s="132"/>
      <c r="H506" s="143"/>
      <c r="I506" s="82"/>
      <c r="J506" s="75"/>
      <c r="K506" s="27"/>
      <c r="L506" s="52"/>
      <c r="M506" s="108">
        <f t="shared" si="15"/>
        <v>0</v>
      </c>
      <c r="N506" s="41"/>
      <c r="O506" s="1"/>
      <c r="P506" s="2"/>
      <c r="Q506" s="2"/>
      <c r="R506" s="2"/>
      <c r="S506" s="2"/>
      <c r="T506" s="2"/>
      <c r="U506" s="2"/>
    </row>
    <row r="507" spans="1:21" ht="35.1" customHeight="1">
      <c r="A507"/>
      <c r="B507" s="7">
        <f t="shared" si="16"/>
        <v>494</v>
      </c>
      <c r="C507" s="23"/>
      <c r="D507" s="171"/>
      <c r="E507" s="171"/>
      <c r="F507" s="36"/>
      <c r="G507" s="132"/>
      <c r="H507" s="143"/>
      <c r="I507" s="82"/>
      <c r="J507" s="75"/>
      <c r="K507" s="27"/>
      <c r="L507" s="52"/>
      <c r="M507" s="108">
        <f t="shared" si="15"/>
        <v>0</v>
      </c>
      <c r="N507" s="41"/>
      <c r="O507" s="1"/>
      <c r="P507" s="2"/>
      <c r="Q507" s="2"/>
      <c r="R507" s="2"/>
      <c r="S507" s="2"/>
      <c r="T507" s="2"/>
      <c r="U507" s="2"/>
    </row>
    <row r="508" spans="1:21" ht="35.1" customHeight="1">
      <c r="A508"/>
      <c r="B508" s="7">
        <f t="shared" si="16"/>
        <v>495</v>
      </c>
      <c r="C508" s="23"/>
      <c r="D508" s="171"/>
      <c r="E508" s="171"/>
      <c r="F508" s="36"/>
      <c r="G508" s="132"/>
      <c r="H508" s="142"/>
      <c r="I508" s="59"/>
      <c r="J508" s="75"/>
      <c r="K508" s="27"/>
      <c r="L508" s="52"/>
      <c r="M508" s="108">
        <f t="shared" si="15"/>
        <v>0</v>
      </c>
      <c r="N508" s="41"/>
      <c r="O508" s="1"/>
      <c r="P508" s="2"/>
      <c r="Q508" s="2"/>
      <c r="R508" s="2"/>
      <c r="S508" s="2"/>
      <c r="T508" s="2"/>
      <c r="U508" s="2"/>
    </row>
    <row r="509" spans="1:21" ht="35.1" customHeight="1">
      <c r="A509"/>
      <c r="B509" s="7">
        <f t="shared" si="16"/>
        <v>496</v>
      </c>
      <c r="C509" s="23"/>
      <c r="D509" s="171"/>
      <c r="E509" s="171"/>
      <c r="F509" s="36"/>
      <c r="G509" s="132"/>
      <c r="H509" s="142"/>
      <c r="I509" s="59"/>
      <c r="J509" s="75"/>
      <c r="K509" s="27"/>
      <c r="L509" s="52"/>
      <c r="M509" s="108">
        <f t="shared" si="15"/>
        <v>0</v>
      </c>
      <c r="N509" s="41"/>
      <c r="O509" s="1"/>
      <c r="P509" s="2"/>
      <c r="Q509" s="2"/>
      <c r="R509" s="2"/>
      <c r="S509" s="2"/>
      <c r="T509" s="2"/>
      <c r="U509" s="2"/>
    </row>
    <row r="510" spans="1:21" ht="34.5" customHeight="1">
      <c r="A510"/>
      <c r="B510" s="7">
        <f t="shared" si="16"/>
        <v>497</v>
      </c>
      <c r="C510" s="23"/>
      <c r="D510" s="171"/>
      <c r="E510" s="171"/>
      <c r="F510" s="36"/>
      <c r="G510" s="132"/>
      <c r="H510" s="142"/>
      <c r="I510" s="59"/>
      <c r="J510" s="75"/>
      <c r="K510" s="27"/>
      <c r="L510" s="52"/>
      <c r="M510" s="108">
        <f t="shared" si="15"/>
        <v>0</v>
      </c>
      <c r="N510" s="41"/>
      <c r="O510" s="1"/>
      <c r="P510" s="2"/>
      <c r="Q510" s="2"/>
      <c r="R510" s="2"/>
      <c r="S510" s="2"/>
      <c r="T510" s="2"/>
      <c r="U510" s="2"/>
    </row>
    <row r="511" spans="1:21" ht="35.1" customHeight="1">
      <c r="A511"/>
      <c r="B511" s="7">
        <f t="shared" si="16"/>
        <v>498</v>
      </c>
      <c r="C511" s="23"/>
      <c r="D511" s="171"/>
      <c r="E511" s="171"/>
      <c r="F511" s="36"/>
      <c r="G511" s="132"/>
      <c r="H511" s="142"/>
      <c r="I511" s="59"/>
      <c r="J511" s="75"/>
      <c r="K511" s="27"/>
      <c r="L511" s="52"/>
      <c r="M511" s="108">
        <f t="shared" si="15"/>
        <v>0</v>
      </c>
      <c r="N511" s="41"/>
      <c r="O511" s="1"/>
      <c r="P511" s="2"/>
      <c r="Q511" s="2"/>
      <c r="R511" s="2"/>
      <c r="S511" s="2"/>
      <c r="T511" s="2"/>
      <c r="U511" s="2"/>
    </row>
    <row r="512" spans="1:21" ht="35.1" customHeight="1">
      <c r="A512"/>
      <c r="B512" s="7">
        <f t="shared" si="16"/>
        <v>499</v>
      </c>
      <c r="C512" s="22"/>
      <c r="D512" s="171"/>
      <c r="E512" s="171"/>
      <c r="F512" s="36"/>
      <c r="G512" s="132"/>
      <c r="H512" s="142"/>
      <c r="I512" s="59"/>
      <c r="J512" s="70"/>
      <c r="K512" s="27"/>
      <c r="L512" s="52"/>
      <c r="M512" s="108">
        <f t="shared" si="15"/>
        <v>0</v>
      </c>
      <c r="N512" s="41"/>
      <c r="O512" s="1"/>
      <c r="P512" s="2"/>
      <c r="Q512" s="2"/>
      <c r="R512" s="2"/>
      <c r="S512" s="2"/>
      <c r="T512" s="2"/>
      <c r="U512" s="2"/>
    </row>
    <row r="513" spans="1:21" ht="35.1" customHeight="1">
      <c r="A513"/>
      <c r="B513" s="7">
        <f t="shared" si="16"/>
        <v>500</v>
      </c>
      <c r="C513" s="23"/>
      <c r="D513" s="171"/>
      <c r="E513" s="171"/>
      <c r="F513" s="36"/>
      <c r="G513" s="132"/>
      <c r="H513" s="143"/>
      <c r="I513" s="82"/>
      <c r="J513" s="75"/>
      <c r="K513" s="27"/>
      <c r="L513" s="52"/>
      <c r="M513" s="108">
        <f t="shared" si="15"/>
        <v>0</v>
      </c>
      <c r="N513" s="41"/>
      <c r="O513" s="1"/>
      <c r="P513" s="2"/>
      <c r="Q513" s="2"/>
      <c r="R513" s="2"/>
      <c r="S513" s="2"/>
      <c r="T513" s="2"/>
      <c r="U513" s="2"/>
    </row>
    <row r="514" spans="1:21" ht="35.1" customHeight="1">
      <c r="A514"/>
      <c r="B514" s="7">
        <f t="shared" si="16"/>
        <v>501</v>
      </c>
      <c r="C514" s="23"/>
      <c r="D514" s="171"/>
      <c r="E514" s="171"/>
      <c r="F514" s="36"/>
      <c r="G514" s="132"/>
      <c r="H514" s="143"/>
      <c r="I514" s="82"/>
      <c r="J514" s="75"/>
      <c r="K514" s="27"/>
      <c r="L514" s="52"/>
      <c r="M514" s="108">
        <f t="shared" si="15"/>
        <v>0</v>
      </c>
      <c r="N514" s="41"/>
      <c r="O514" s="1"/>
      <c r="P514" s="2"/>
      <c r="Q514" s="2"/>
      <c r="R514" s="2"/>
      <c r="S514" s="2"/>
      <c r="T514" s="2"/>
      <c r="U514" s="2"/>
    </row>
    <row r="515" spans="1:21" ht="35.1" customHeight="1">
      <c r="A515"/>
      <c r="B515" s="7">
        <f t="shared" si="16"/>
        <v>502</v>
      </c>
      <c r="C515" s="23"/>
      <c r="D515" s="171"/>
      <c r="E515" s="171"/>
      <c r="F515" s="36"/>
      <c r="G515" s="132"/>
      <c r="H515" s="143"/>
      <c r="I515" s="82"/>
      <c r="J515" s="75"/>
      <c r="K515" s="27"/>
      <c r="L515" s="52"/>
      <c r="M515" s="108">
        <f t="shared" si="15"/>
        <v>0</v>
      </c>
      <c r="N515" s="41"/>
      <c r="O515" s="1"/>
      <c r="P515" s="2"/>
      <c r="Q515" s="2"/>
      <c r="R515" s="2"/>
      <c r="S515" s="2"/>
      <c r="T515" s="2"/>
      <c r="U515" s="2"/>
    </row>
    <row r="516" spans="1:21" ht="35.1" customHeight="1">
      <c r="A516"/>
      <c r="B516" s="7">
        <f t="shared" si="16"/>
        <v>503</v>
      </c>
      <c r="C516" s="23"/>
      <c r="D516" s="171"/>
      <c r="E516" s="171"/>
      <c r="F516" s="36"/>
      <c r="G516" s="132"/>
      <c r="H516" s="143"/>
      <c r="I516" s="82"/>
      <c r="J516" s="75"/>
      <c r="K516" s="27"/>
      <c r="L516" s="52"/>
      <c r="M516" s="108">
        <f t="shared" si="15"/>
        <v>0</v>
      </c>
      <c r="N516" s="41"/>
      <c r="O516" s="1"/>
      <c r="P516" s="2"/>
      <c r="Q516" s="2"/>
      <c r="R516" s="2"/>
      <c r="S516" s="2"/>
      <c r="T516" s="2"/>
      <c r="U516" s="2"/>
    </row>
    <row r="517" spans="1:21" ht="35.1" customHeight="1">
      <c r="A517"/>
      <c r="B517" s="7">
        <f t="shared" si="16"/>
        <v>504</v>
      </c>
      <c r="C517" s="24"/>
      <c r="D517" s="171"/>
      <c r="E517" s="171"/>
      <c r="F517" s="36"/>
      <c r="G517" s="132"/>
      <c r="H517" s="142"/>
      <c r="I517" s="59"/>
      <c r="J517" s="70"/>
      <c r="K517" s="27"/>
      <c r="L517" s="52"/>
      <c r="M517" s="108">
        <f t="shared" si="15"/>
        <v>0</v>
      </c>
      <c r="N517" s="41"/>
      <c r="O517" s="1"/>
      <c r="P517" s="2"/>
      <c r="Q517" s="2"/>
      <c r="R517" s="2"/>
      <c r="S517" s="2"/>
      <c r="T517" s="2"/>
      <c r="U517" s="2"/>
    </row>
    <row r="518" spans="1:21" ht="35.1" customHeight="1">
      <c r="A518"/>
      <c r="B518" s="7">
        <f t="shared" si="16"/>
        <v>505</v>
      </c>
      <c r="C518" s="24"/>
      <c r="D518" s="171"/>
      <c r="E518" s="171"/>
      <c r="F518" s="36"/>
      <c r="G518" s="132"/>
      <c r="H518" s="142"/>
      <c r="I518" s="59"/>
      <c r="J518" s="70"/>
      <c r="K518" s="27"/>
      <c r="L518" s="52"/>
      <c r="M518" s="108">
        <f t="shared" si="15"/>
        <v>0</v>
      </c>
      <c r="N518" s="41"/>
      <c r="O518" s="1"/>
      <c r="P518" s="2"/>
      <c r="Q518" s="2"/>
      <c r="R518" s="2"/>
      <c r="S518" s="2"/>
      <c r="T518" s="2"/>
      <c r="U518" s="2"/>
    </row>
    <row r="519" spans="1:21" ht="35.1" customHeight="1">
      <c r="A519"/>
      <c r="B519" s="7">
        <f t="shared" si="16"/>
        <v>506</v>
      </c>
      <c r="C519" s="24"/>
      <c r="D519" s="171"/>
      <c r="E519" s="171"/>
      <c r="F519" s="36"/>
      <c r="G519" s="132"/>
      <c r="H519" s="142"/>
      <c r="I519" s="59"/>
      <c r="J519" s="70"/>
      <c r="K519" s="27"/>
      <c r="L519" s="52"/>
      <c r="M519" s="108">
        <f t="shared" si="15"/>
        <v>0</v>
      </c>
      <c r="N519" s="41"/>
      <c r="O519" s="1"/>
      <c r="P519" s="2"/>
      <c r="Q519" s="2"/>
      <c r="R519" s="2"/>
      <c r="S519" s="2"/>
      <c r="T519" s="2"/>
      <c r="U519" s="2"/>
    </row>
    <row r="520" spans="1:21" ht="35.1" customHeight="1">
      <c r="A520"/>
      <c r="B520" s="7">
        <f t="shared" si="16"/>
        <v>507</v>
      </c>
      <c r="C520" s="24"/>
      <c r="D520" s="171"/>
      <c r="E520" s="171"/>
      <c r="F520" s="27"/>
      <c r="G520" s="132"/>
      <c r="H520" s="132"/>
      <c r="I520" s="27"/>
      <c r="J520" s="70"/>
      <c r="K520" s="27"/>
      <c r="L520" s="52"/>
      <c r="M520" s="108">
        <f t="shared" si="15"/>
        <v>0</v>
      </c>
      <c r="N520" s="41"/>
      <c r="O520" s="1"/>
      <c r="P520" s="2"/>
      <c r="Q520" s="2"/>
      <c r="R520" s="2"/>
      <c r="S520" s="2"/>
      <c r="T520" s="2"/>
      <c r="U520" s="2"/>
    </row>
    <row r="521" spans="1:21" ht="35.1" customHeight="1">
      <c r="A521"/>
      <c r="B521" s="7">
        <f t="shared" si="16"/>
        <v>508</v>
      </c>
      <c r="C521" s="24"/>
      <c r="D521" s="171"/>
      <c r="E521" s="171"/>
      <c r="F521" s="27"/>
      <c r="G521" s="132"/>
      <c r="H521" s="132"/>
      <c r="I521" s="27"/>
      <c r="J521" s="70"/>
      <c r="K521" s="27"/>
      <c r="L521" s="52"/>
      <c r="M521" s="108">
        <f t="shared" si="15"/>
        <v>0</v>
      </c>
      <c r="N521" s="41"/>
      <c r="O521" s="1"/>
      <c r="P521" s="2"/>
      <c r="Q521" s="2"/>
      <c r="R521" s="2"/>
      <c r="S521" s="2"/>
      <c r="T521" s="2"/>
      <c r="U521" s="2"/>
    </row>
    <row r="522" spans="1:21" ht="35.1" customHeight="1">
      <c r="A522"/>
      <c r="B522" s="7">
        <f t="shared" si="16"/>
        <v>509</v>
      </c>
      <c r="C522" s="24"/>
      <c r="D522" s="171"/>
      <c r="E522" s="171"/>
      <c r="F522" s="27"/>
      <c r="G522" s="132"/>
      <c r="H522" s="132"/>
      <c r="I522" s="27"/>
      <c r="J522" s="70"/>
      <c r="K522" s="27"/>
      <c r="L522" s="52"/>
      <c r="M522" s="108">
        <f t="shared" si="15"/>
        <v>0</v>
      </c>
      <c r="N522" s="41"/>
      <c r="O522" s="1"/>
      <c r="P522" s="2"/>
      <c r="Q522" s="2"/>
      <c r="R522" s="2"/>
      <c r="S522" s="2"/>
      <c r="T522" s="2"/>
      <c r="U522" s="2"/>
    </row>
    <row r="523" spans="1:21" ht="35.1" customHeight="1">
      <c r="A523"/>
      <c r="B523" s="7">
        <f t="shared" si="16"/>
        <v>510</v>
      </c>
      <c r="C523" s="24"/>
      <c r="D523" s="171"/>
      <c r="E523" s="171"/>
      <c r="F523" s="27"/>
      <c r="G523" s="132"/>
      <c r="H523" s="132"/>
      <c r="I523" s="27"/>
      <c r="J523" s="70"/>
      <c r="K523" s="27"/>
      <c r="L523" s="52"/>
      <c r="M523" s="108">
        <f t="shared" si="15"/>
        <v>0</v>
      </c>
      <c r="N523" s="41"/>
      <c r="O523" s="1"/>
      <c r="P523" s="2"/>
      <c r="Q523" s="2"/>
      <c r="R523" s="2"/>
      <c r="S523" s="2"/>
      <c r="T523" s="2"/>
      <c r="U523" s="2"/>
    </row>
    <row r="524" spans="1:21" ht="35.1" customHeight="1">
      <c r="A524"/>
      <c r="B524" s="7">
        <f t="shared" si="16"/>
        <v>511</v>
      </c>
      <c r="C524" s="24"/>
      <c r="D524" s="171"/>
      <c r="E524" s="171"/>
      <c r="F524" s="27"/>
      <c r="G524" s="132"/>
      <c r="H524" s="132"/>
      <c r="I524" s="27"/>
      <c r="J524" s="70"/>
      <c r="K524" s="27"/>
      <c r="L524" s="52"/>
      <c r="M524" s="108">
        <f t="shared" si="15"/>
        <v>0</v>
      </c>
      <c r="N524" s="41"/>
      <c r="O524" s="1"/>
      <c r="P524" s="2"/>
      <c r="Q524" s="2"/>
      <c r="R524" s="2"/>
      <c r="S524" s="2"/>
      <c r="T524" s="2"/>
      <c r="U524" s="2"/>
    </row>
    <row r="525" spans="1:21" ht="35.1" customHeight="1">
      <c r="A525"/>
      <c r="B525" s="7">
        <f t="shared" si="16"/>
        <v>512</v>
      </c>
      <c r="C525" s="24"/>
      <c r="D525" s="171"/>
      <c r="E525" s="171"/>
      <c r="F525" s="27"/>
      <c r="G525" s="132"/>
      <c r="H525" s="132"/>
      <c r="I525" s="27"/>
      <c r="J525" s="70"/>
      <c r="K525" s="27"/>
      <c r="L525" s="52"/>
      <c r="M525" s="108">
        <f t="shared" si="15"/>
        <v>0</v>
      </c>
      <c r="N525" s="41"/>
      <c r="O525" s="1"/>
      <c r="P525" s="2"/>
      <c r="Q525" s="2"/>
      <c r="R525" s="2"/>
      <c r="S525" s="2"/>
      <c r="T525" s="2"/>
      <c r="U525" s="2"/>
    </row>
    <row r="526" spans="1:21" ht="35.1" customHeight="1">
      <c r="A526"/>
      <c r="B526" s="7">
        <f t="shared" si="16"/>
        <v>513</v>
      </c>
      <c r="C526" s="22"/>
      <c r="D526" s="171"/>
      <c r="E526" s="171"/>
      <c r="F526" s="27"/>
      <c r="G526" s="132"/>
      <c r="H526" s="132"/>
      <c r="I526" s="27"/>
      <c r="J526" s="70"/>
      <c r="K526" s="27"/>
      <c r="L526" s="52"/>
      <c r="M526" s="108">
        <f t="shared" si="15"/>
        <v>0</v>
      </c>
      <c r="N526" s="41"/>
      <c r="O526" s="1"/>
      <c r="P526" s="2"/>
      <c r="Q526" s="2"/>
      <c r="R526" s="2"/>
      <c r="S526" s="2"/>
      <c r="T526" s="2"/>
      <c r="U526" s="2"/>
    </row>
    <row r="527" spans="1:21" ht="35.1" customHeight="1">
      <c r="A527"/>
      <c r="B527" s="7">
        <f t="shared" si="16"/>
        <v>514</v>
      </c>
      <c r="C527" s="22"/>
      <c r="D527" s="171"/>
      <c r="E527" s="171"/>
      <c r="F527" s="27"/>
      <c r="G527" s="132"/>
      <c r="H527" s="132"/>
      <c r="I527" s="27"/>
      <c r="J527" s="70"/>
      <c r="K527" s="27"/>
      <c r="L527" s="52"/>
      <c r="M527" s="108">
        <f t="shared" ref="M527:M590" si="17">(L527*G527)</f>
        <v>0</v>
      </c>
      <c r="N527" s="41"/>
      <c r="O527" s="1"/>
      <c r="P527" s="2"/>
      <c r="Q527" s="2"/>
      <c r="R527" s="2"/>
      <c r="S527" s="2"/>
      <c r="T527" s="2"/>
      <c r="U527" s="2"/>
    </row>
    <row r="528" spans="1:21" ht="35.1" customHeight="1">
      <c r="A528"/>
      <c r="B528" s="7">
        <f t="shared" si="16"/>
        <v>515</v>
      </c>
      <c r="C528" s="22"/>
      <c r="D528" s="171"/>
      <c r="E528" s="171"/>
      <c r="F528" s="27"/>
      <c r="G528" s="132"/>
      <c r="H528" s="132"/>
      <c r="I528" s="27"/>
      <c r="J528" s="70"/>
      <c r="K528" s="27"/>
      <c r="L528" s="52"/>
      <c r="M528" s="108">
        <f t="shared" si="17"/>
        <v>0</v>
      </c>
      <c r="N528" s="41"/>
      <c r="O528" s="1"/>
      <c r="P528" s="2"/>
      <c r="Q528" s="2"/>
      <c r="R528" s="2"/>
      <c r="S528" s="2"/>
      <c r="T528" s="2"/>
      <c r="U528" s="2"/>
    </row>
    <row r="529" spans="1:21" ht="35.1" customHeight="1">
      <c r="A529"/>
      <c r="B529" s="7">
        <f t="shared" si="16"/>
        <v>516</v>
      </c>
      <c r="C529" s="22"/>
      <c r="D529" s="171"/>
      <c r="E529" s="171"/>
      <c r="F529" s="27"/>
      <c r="G529" s="132"/>
      <c r="H529" s="132"/>
      <c r="I529" s="27"/>
      <c r="J529" s="70"/>
      <c r="K529" s="27"/>
      <c r="L529" s="52"/>
      <c r="M529" s="108">
        <f t="shared" si="17"/>
        <v>0</v>
      </c>
      <c r="N529" s="41"/>
      <c r="O529" s="1"/>
      <c r="P529" s="2"/>
      <c r="Q529" s="2"/>
      <c r="R529" s="2"/>
      <c r="S529" s="2"/>
      <c r="T529" s="2"/>
      <c r="U529" s="2"/>
    </row>
    <row r="530" spans="1:21" ht="35.1" customHeight="1">
      <c r="A530"/>
      <c r="B530" s="7">
        <f t="shared" si="16"/>
        <v>517</v>
      </c>
      <c r="C530" s="22"/>
      <c r="D530" s="171"/>
      <c r="E530" s="171"/>
      <c r="F530" s="27"/>
      <c r="G530" s="132"/>
      <c r="H530" s="132"/>
      <c r="I530" s="27"/>
      <c r="J530" s="70"/>
      <c r="K530" s="27"/>
      <c r="L530" s="52"/>
      <c r="M530" s="108">
        <f t="shared" si="17"/>
        <v>0</v>
      </c>
      <c r="N530" s="41"/>
      <c r="O530" s="1"/>
      <c r="P530" s="2"/>
      <c r="Q530" s="2"/>
      <c r="R530" s="2"/>
      <c r="S530" s="2"/>
      <c r="T530" s="2"/>
      <c r="U530" s="2"/>
    </row>
    <row r="531" spans="1:21" ht="35.1" customHeight="1">
      <c r="A531"/>
      <c r="B531" s="7">
        <f t="shared" si="16"/>
        <v>518</v>
      </c>
      <c r="C531" s="22"/>
      <c r="D531" s="171"/>
      <c r="E531" s="171"/>
      <c r="F531" s="27"/>
      <c r="G531" s="132"/>
      <c r="H531" s="132"/>
      <c r="I531" s="27"/>
      <c r="J531" s="70"/>
      <c r="K531" s="27"/>
      <c r="L531" s="52"/>
      <c r="M531" s="108">
        <f t="shared" si="17"/>
        <v>0</v>
      </c>
      <c r="N531" s="41"/>
      <c r="O531" s="1"/>
      <c r="P531" s="2"/>
      <c r="Q531" s="2"/>
      <c r="R531" s="2"/>
      <c r="S531" s="2"/>
      <c r="T531" s="2"/>
      <c r="U531" s="2"/>
    </row>
    <row r="532" spans="1:21" ht="35.1" customHeight="1">
      <c r="A532"/>
      <c r="B532" s="7">
        <f t="shared" ref="B532:B591" si="18">B531+1</f>
        <v>519</v>
      </c>
      <c r="C532" s="22"/>
      <c r="D532" s="171"/>
      <c r="E532" s="171"/>
      <c r="F532" s="27"/>
      <c r="G532" s="132"/>
      <c r="H532" s="132"/>
      <c r="I532" s="27"/>
      <c r="J532" s="70"/>
      <c r="K532" s="27"/>
      <c r="L532" s="52"/>
      <c r="M532" s="108">
        <f t="shared" si="17"/>
        <v>0</v>
      </c>
      <c r="N532" s="41"/>
      <c r="O532" s="1"/>
      <c r="P532" s="2"/>
      <c r="Q532" s="2"/>
      <c r="R532" s="2"/>
      <c r="S532" s="2"/>
      <c r="T532" s="2"/>
      <c r="U532" s="2"/>
    </row>
    <row r="533" spans="1:21" ht="35.1" customHeight="1">
      <c r="A533"/>
      <c r="B533" s="7">
        <f t="shared" si="18"/>
        <v>520</v>
      </c>
      <c r="C533" s="22"/>
      <c r="D533" s="171"/>
      <c r="E533" s="171"/>
      <c r="F533" s="27"/>
      <c r="G533" s="132"/>
      <c r="H533" s="132"/>
      <c r="I533" s="27"/>
      <c r="J533" s="70"/>
      <c r="K533" s="27"/>
      <c r="L533" s="52"/>
      <c r="M533" s="108">
        <f t="shared" si="17"/>
        <v>0</v>
      </c>
      <c r="N533" s="41"/>
      <c r="O533" s="1"/>
      <c r="P533" s="2"/>
      <c r="Q533" s="2"/>
      <c r="R533" s="2"/>
      <c r="S533" s="2"/>
      <c r="T533" s="2"/>
      <c r="U533" s="2"/>
    </row>
    <row r="534" spans="1:21" ht="35.1" customHeight="1">
      <c r="A534"/>
      <c r="B534" s="7">
        <f t="shared" si="18"/>
        <v>521</v>
      </c>
      <c r="C534" s="22"/>
      <c r="D534" s="171"/>
      <c r="E534" s="171"/>
      <c r="F534" s="27"/>
      <c r="G534" s="132"/>
      <c r="H534" s="132"/>
      <c r="I534" s="27"/>
      <c r="J534" s="70"/>
      <c r="K534" s="27"/>
      <c r="L534" s="52"/>
      <c r="M534" s="108">
        <f t="shared" si="17"/>
        <v>0</v>
      </c>
      <c r="N534" s="41"/>
      <c r="O534" s="1"/>
      <c r="P534" s="2"/>
      <c r="Q534" s="2"/>
      <c r="R534" s="2"/>
      <c r="S534" s="2"/>
      <c r="T534" s="2"/>
      <c r="U534" s="2"/>
    </row>
    <row r="535" spans="1:21" ht="35.1" customHeight="1">
      <c r="A535"/>
      <c r="B535" s="7">
        <f t="shared" si="18"/>
        <v>522</v>
      </c>
      <c r="C535" s="22"/>
      <c r="D535" s="171"/>
      <c r="E535" s="171"/>
      <c r="F535" s="27"/>
      <c r="G535" s="132"/>
      <c r="H535" s="132"/>
      <c r="I535" s="27"/>
      <c r="J535" s="70"/>
      <c r="K535" s="27"/>
      <c r="L535" s="52"/>
      <c r="M535" s="108">
        <f t="shared" si="17"/>
        <v>0</v>
      </c>
      <c r="N535" s="41"/>
      <c r="O535" s="1"/>
      <c r="P535" s="2"/>
      <c r="Q535" s="2"/>
      <c r="R535" s="2"/>
      <c r="S535" s="2"/>
      <c r="T535" s="2"/>
      <c r="U535" s="2"/>
    </row>
    <row r="536" spans="1:21" ht="35.1" customHeight="1">
      <c r="A536"/>
      <c r="B536" s="7">
        <f t="shared" si="18"/>
        <v>523</v>
      </c>
      <c r="C536" s="22"/>
      <c r="D536" s="171"/>
      <c r="E536" s="171"/>
      <c r="F536" s="27"/>
      <c r="G536" s="132"/>
      <c r="H536" s="132"/>
      <c r="I536" s="27"/>
      <c r="J536" s="70"/>
      <c r="K536" s="27"/>
      <c r="L536" s="52"/>
      <c r="M536" s="108">
        <f t="shared" si="17"/>
        <v>0</v>
      </c>
      <c r="N536" s="41"/>
      <c r="O536" s="1"/>
      <c r="P536" s="2"/>
      <c r="Q536" s="2"/>
      <c r="R536" s="2"/>
      <c r="S536" s="2"/>
      <c r="T536" s="2"/>
      <c r="U536" s="2"/>
    </row>
    <row r="537" spans="1:21" ht="35.1" customHeight="1">
      <c r="A537"/>
      <c r="B537" s="7">
        <f t="shared" si="18"/>
        <v>524</v>
      </c>
      <c r="C537" s="22"/>
      <c r="D537" s="171"/>
      <c r="E537" s="171"/>
      <c r="F537" s="27"/>
      <c r="G537" s="132"/>
      <c r="H537" s="132"/>
      <c r="I537" s="27"/>
      <c r="J537" s="70"/>
      <c r="K537" s="27"/>
      <c r="L537" s="52"/>
      <c r="M537" s="108">
        <f t="shared" si="17"/>
        <v>0</v>
      </c>
      <c r="N537" s="41"/>
      <c r="O537" s="1"/>
      <c r="P537" s="2"/>
      <c r="Q537" s="2"/>
      <c r="R537" s="2"/>
      <c r="S537" s="2"/>
      <c r="T537" s="2"/>
      <c r="U537" s="2"/>
    </row>
    <row r="538" spans="1:21" ht="35.1" customHeight="1">
      <c r="A538"/>
      <c r="B538" s="7">
        <f t="shared" si="18"/>
        <v>525</v>
      </c>
      <c r="C538" s="22"/>
      <c r="D538" s="171"/>
      <c r="E538" s="171"/>
      <c r="F538" s="27"/>
      <c r="G538" s="132"/>
      <c r="H538" s="132"/>
      <c r="I538" s="27"/>
      <c r="J538" s="70"/>
      <c r="K538" s="27"/>
      <c r="L538" s="52"/>
      <c r="M538" s="108">
        <f t="shared" si="17"/>
        <v>0</v>
      </c>
      <c r="N538" s="41"/>
      <c r="O538" s="1"/>
      <c r="P538" s="2"/>
      <c r="Q538" s="2"/>
      <c r="R538" s="2"/>
      <c r="S538" s="2"/>
      <c r="T538" s="2"/>
      <c r="U538" s="2"/>
    </row>
    <row r="539" spans="1:21" ht="35.1" customHeight="1">
      <c r="A539"/>
      <c r="B539" s="7">
        <f t="shared" si="18"/>
        <v>526</v>
      </c>
      <c r="C539" s="22"/>
      <c r="D539" s="171"/>
      <c r="E539" s="171"/>
      <c r="F539" s="27"/>
      <c r="G539" s="132"/>
      <c r="H539" s="132"/>
      <c r="I539" s="27"/>
      <c r="J539" s="70"/>
      <c r="K539" s="27"/>
      <c r="L539" s="52"/>
      <c r="M539" s="108">
        <f t="shared" si="17"/>
        <v>0</v>
      </c>
      <c r="N539" s="41"/>
      <c r="O539" s="1"/>
      <c r="P539" s="2"/>
      <c r="Q539" s="2"/>
      <c r="R539" s="2"/>
      <c r="S539" s="2"/>
      <c r="T539" s="2"/>
      <c r="U539" s="2"/>
    </row>
    <row r="540" spans="1:21" ht="35.1" customHeight="1">
      <c r="A540"/>
      <c r="B540" s="7">
        <f t="shared" si="18"/>
        <v>527</v>
      </c>
      <c r="C540" s="22"/>
      <c r="D540" s="171"/>
      <c r="E540" s="171"/>
      <c r="F540" s="27"/>
      <c r="G540" s="132"/>
      <c r="H540" s="132"/>
      <c r="I540" s="27"/>
      <c r="J540" s="70"/>
      <c r="K540" s="27"/>
      <c r="L540" s="52"/>
      <c r="M540" s="108">
        <f t="shared" si="17"/>
        <v>0</v>
      </c>
      <c r="N540" s="41"/>
      <c r="O540" s="1"/>
      <c r="P540" s="2"/>
      <c r="Q540" s="2"/>
      <c r="R540" s="2"/>
      <c r="S540" s="2"/>
      <c r="T540" s="2"/>
      <c r="U540" s="2"/>
    </row>
    <row r="541" spans="1:21" ht="35.1" customHeight="1">
      <c r="A541"/>
      <c r="B541" s="7">
        <f t="shared" si="18"/>
        <v>528</v>
      </c>
      <c r="C541" s="22"/>
      <c r="D541" s="171"/>
      <c r="E541" s="171"/>
      <c r="F541" s="27"/>
      <c r="G541" s="132"/>
      <c r="H541" s="132"/>
      <c r="I541" s="27"/>
      <c r="J541" s="70"/>
      <c r="K541" s="27"/>
      <c r="L541" s="52"/>
      <c r="M541" s="108">
        <f t="shared" si="17"/>
        <v>0</v>
      </c>
      <c r="N541" s="41"/>
      <c r="O541" s="1"/>
      <c r="P541" s="2"/>
      <c r="Q541" s="2"/>
      <c r="R541" s="2"/>
      <c r="S541" s="2"/>
      <c r="T541" s="2"/>
      <c r="U541" s="2"/>
    </row>
    <row r="542" spans="1:21" ht="35.1" customHeight="1">
      <c r="A542"/>
      <c r="B542" s="7">
        <f t="shared" si="18"/>
        <v>529</v>
      </c>
      <c r="C542" s="22"/>
      <c r="D542" s="171"/>
      <c r="E542" s="171"/>
      <c r="F542" s="27"/>
      <c r="G542" s="132"/>
      <c r="H542" s="132"/>
      <c r="I542" s="27"/>
      <c r="J542" s="70"/>
      <c r="K542" s="27"/>
      <c r="L542" s="52"/>
      <c r="M542" s="108">
        <f t="shared" si="17"/>
        <v>0</v>
      </c>
      <c r="N542" s="41"/>
      <c r="O542" s="1"/>
      <c r="P542" s="2"/>
      <c r="Q542" s="2"/>
      <c r="R542" s="2"/>
      <c r="S542" s="2"/>
      <c r="T542" s="2"/>
      <c r="U542" s="2"/>
    </row>
    <row r="543" spans="1:21" ht="35.1" customHeight="1">
      <c r="A543"/>
      <c r="B543" s="7">
        <f t="shared" si="18"/>
        <v>530</v>
      </c>
      <c r="C543" s="22"/>
      <c r="D543" s="171"/>
      <c r="E543" s="171"/>
      <c r="F543" s="27"/>
      <c r="G543" s="132"/>
      <c r="H543" s="132"/>
      <c r="I543" s="27"/>
      <c r="J543" s="70"/>
      <c r="K543" s="27"/>
      <c r="L543" s="52"/>
      <c r="M543" s="108">
        <f t="shared" si="17"/>
        <v>0</v>
      </c>
      <c r="N543" s="41"/>
      <c r="O543" s="1"/>
      <c r="P543" s="2"/>
      <c r="Q543" s="2"/>
      <c r="R543" s="2"/>
      <c r="S543" s="2"/>
      <c r="T543" s="2"/>
      <c r="U543" s="2"/>
    </row>
    <row r="544" spans="1:21" ht="35.1" customHeight="1">
      <c r="A544"/>
      <c r="B544" s="7">
        <f t="shared" si="18"/>
        <v>531</v>
      </c>
      <c r="C544" s="22"/>
      <c r="D544" s="171"/>
      <c r="E544" s="171"/>
      <c r="F544" s="27"/>
      <c r="G544" s="132"/>
      <c r="H544" s="132"/>
      <c r="I544" s="27"/>
      <c r="J544" s="70"/>
      <c r="K544" s="27"/>
      <c r="L544" s="52"/>
      <c r="M544" s="108">
        <f t="shared" si="17"/>
        <v>0</v>
      </c>
      <c r="N544" s="41"/>
      <c r="O544" s="1"/>
      <c r="P544" s="2"/>
      <c r="Q544" s="2"/>
      <c r="R544" s="2"/>
      <c r="S544" s="2"/>
      <c r="T544" s="2"/>
      <c r="U544" s="2"/>
    </row>
    <row r="545" spans="1:21" ht="35.1" customHeight="1">
      <c r="A545"/>
      <c r="B545" s="7">
        <f t="shared" si="18"/>
        <v>532</v>
      </c>
      <c r="C545" s="22"/>
      <c r="D545" s="171"/>
      <c r="E545" s="171"/>
      <c r="F545" s="27"/>
      <c r="G545" s="132"/>
      <c r="H545" s="132"/>
      <c r="I545" s="27"/>
      <c r="J545" s="70"/>
      <c r="K545" s="27"/>
      <c r="L545" s="52"/>
      <c r="M545" s="108">
        <f t="shared" si="17"/>
        <v>0</v>
      </c>
      <c r="N545" s="41"/>
      <c r="O545" s="1"/>
      <c r="P545" s="2"/>
      <c r="Q545" s="2"/>
      <c r="R545" s="2"/>
      <c r="S545" s="2"/>
      <c r="T545" s="2"/>
      <c r="U545" s="2"/>
    </row>
    <row r="546" spans="1:21" ht="35.1" customHeight="1">
      <c r="A546"/>
      <c r="B546" s="7">
        <f t="shared" si="18"/>
        <v>533</v>
      </c>
      <c r="C546" s="22"/>
      <c r="D546" s="171"/>
      <c r="E546" s="171"/>
      <c r="F546" s="27"/>
      <c r="G546" s="132"/>
      <c r="H546" s="132"/>
      <c r="I546" s="27"/>
      <c r="J546" s="70"/>
      <c r="K546" s="27"/>
      <c r="L546" s="52"/>
      <c r="M546" s="108">
        <f t="shared" si="17"/>
        <v>0</v>
      </c>
      <c r="N546" s="41"/>
      <c r="O546" s="1"/>
      <c r="P546" s="2"/>
      <c r="Q546" s="2"/>
      <c r="R546" s="2"/>
      <c r="S546" s="2"/>
      <c r="T546" s="2"/>
      <c r="U546" s="2"/>
    </row>
    <row r="547" spans="1:21" ht="35.1" customHeight="1">
      <c r="A547"/>
      <c r="B547" s="7">
        <f t="shared" si="18"/>
        <v>534</v>
      </c>
      <c r="C547" s="22"/>
      <c r="D547" s="171"/>
      <c r="E547" s="171"/>
      <c r="F547" s="27"/>
      <c r="G547" s="132"/>
      <c r="H547" s="132"/>
      <c r="I547" s="27"/>
      <c r="J547" s="70"/>
      <c r="K547" s="27"/>
      <c r="L547" s="52"/>
      <c r="M547" s="108">
        <f t="shared" si="17"/>
        <v>0</v>
      </c>
      <c r="N547" s="41"/>
      <c r="O547" s="1"/>
      <c r="P547" s="2"/>
      <c r="Q547" s="2"/>
      <c r="R547" s="2"/>
      <c r="S547" s="2"/>
      <c r="T547" s="2"/>
      <c r="U547" s="2"/>
    </row>
    <row r="548" spans="1:21" ht="35.1" customHeight="1">
      <c r="A548"/>
      <c r="B548" s="7">
        <f t="shared" si="18"/>
        <v>535</v>
      </c>
      <c r="C548" s="22"/>
      <c r="D548" s="171"/>
      <c r="E548" s="171"/>
      <c r="F548" s="27"/>
      <c r="G548" s="132"/>
      <c r="H548" s="132"/>
      <c r="I548" s="27"/>
      <c r="J548" s="70"/>
      <c r="K548" s="27"/>
      <c r="L548" s="52"/>
      <c r="M548" s="108">
        <f t="shared" si="17"/>
        <v>0</v>
      </c>
      <c r="N548" s="41"/>
      <c r="O548" s="1"/>
      <c r="P548" s="2"/>
      <c r="Q548" s="2"/>
      <c r="R548" s="2"/>
      <c r="S548" s="2"/>
      <c r="T548" s="2"/>
      <c r="U548" s="2"/>
    </row>
    <row r="549" spans="1:21" ht="35.1" customHeight="1">
      <c r="A549"/>
      <c r="B549" s="7">
        <f t="shared" si="18"/>
        <v>536</v>
      </c>
      <c r="C549" s="22"/>
      <c r="D549" s="171"/>
      <c r="E549" s="171"/>
      <c r="F549" s="27"/>
      <c r="G549" s="132"/>
      <c r="H549" s="132"/>
      <c r="I549" s="27"/>
      <c r="J549" s="70"/>
      <c r="K549" s="27"/>
      <c r="L549" s="52"/>
      <c r="M549" s="108">
        <f t="shared" si="17"/>
        <v>0</v>
      </c>
      <c r="N549" s="41"/>
      <c r="O549" s="1"/>
      <c r="P549" s="2"/>
      <c r="Q549" s="2"/>
      <c r="R549" s="2"/>
      <c r="S549" s="2"/>
      <c r="T549" s="2"/>
      <c r="U549" s="2"/>
    </row>
    <row r="550" spans="1:21" ht="35.1" customHeight="1">
      <c r="A550"/>
      <c r="B550" s="7">
        <f t="shared" si="18"/>
        <v>537</v>
      </c>
      <c r="C550" s="22"/>
      <c r="D550" s="171"/>
      <c r="E550" s="171"/>
      <c r="F550" s="27"/>
      <c r="G550" s="132"/>
      <c r="H550" s="132"/>
      <c r="I550" s="27"/>
      <c r="J550" s="70"/>
      <c r="K550" s="27"/>
      <c r="L550" s="52"/>
      <c r="M550" s="108">
        <f t="shared" si="17"/>
        <v>0</v>
      </c>
      <c r="N550" s="41"/>
      <c r="O550" s="1"/>
      <c r="P550" s="2"/>
      <c r="Q550" s="2"/>
      <c r="R550" s="2"/>
      <c r="S550" s="2"/>
      <c r="T550" s="2"/>
      <c r="U550" s="2"/>
    </row>
    <row r="551" spans="1:21" ht="35.1" customHeight="1">
      <c r="A551"/>
      <c r="B551" s="7">
        <f t="shared" si="18"/>
        <v>538</v>
      </c>
      <c r="C551" s="22"/>
      <c r="D551" s="171"/>
      <c r="E551" s="171"/>
      <c r="F551" s="27"/>
      <c r="G551" s="132"/>
      <c r="H551" s="132"/>
      <c r="I551" s="27"/>
      <c r="J551" s="70"/>
      <c r="K551" s="27"/>
      <c r="L551" s="52"/>
      <c r="M551" s="108">
        <f t="shared" si="17"/>
        <v>0</v>
      </c>
      <c r="N551" s="41"/>
      <c r="O551" s="1"/>
      <c r="P551" s="2"/>
      <c r="Q551" s="2"/>
      <c r="R551" s="2"/>
      <c r="S551" s="2"/>
      <c r="T551" s="2"/>
      <c r="U551" s="2"/>
    </row>
    <row r="552" spans="1:21" ht="35.1" customHeight="1">
      <c r="A552"/>
      <c r="B552" s="7">
        <f t="shared" si="18"/>
        <v>539</v>
      </c>
      <c r="C552" s="22"/>
      <c r="D552" s="171"/>
      <c r="E552" s="171"/>
      <c r="F552" s="27"/>
      <c r="G552" s="132"/>
      <c r="H552" s="132"/>
      <c r="I552" s="27"/>
      <c r="J552" s="70"/>
      <c r="K552" s="27"/>
      <c r="L552" s="52"/>
      <c r="M552" s="108">
        <f t="shared" si="17"/>
        <v>0</v>
      </c>
      <c r="N552" s="41"/>
      <c r="O552" s="1"/>
      <c r="P552" s="2"/>
      <c r="Q552" s="2"/>
      <c r="R552" s="2"/>
      <c r="S552" s="2"/>
      <c r="T552" s="2"/>
      <c r="U552" s="2"/>
    </row>
    <row r="553" spans="1:21" ht="35.1" customHeight="1">
      <c r="A553"/>
      <c r="B553" s="7">
        <f t="shared" si="18"/>
        <v>540</v>
      </c>
      <c r="C553" s="22"/>
      <c r="D553" s="171"/>
      <c r="E553" s="171"/>
      <c r="F553" s="27"/>
      <c r="G553" s="132"/>
      <c r="H553" s="132"/>
      <c r="I553" s="27"/>
      <c r="J553" s="70"/>
      <c r="K553" s="27"/>
      <c r="L553" s="52"/>
      <c r="M553" s="108">
        <f t="shared" si="17"/>
        <v>0</v>
      </c>
      <c r="N553" s="41"/>
      <c r="O553" s="1"/>
      <c r="P553" s="2"/>
      <c r="Q553" s="2"/>
      <c r="R553" s="2"/>
      <c r="S553" s="2"/>
      <c r="T553" s="2"/>
      <c r="U553" s="2"/>
    </row>
    <row r="554" spans="1:21" ht="35.1" customHeight="1">
      <c r="A554"/>
      <c r="B554" s="7">
        <f t="shared" si="18"/>
        <v>541</v>
      </c>
      <c r="C554" s="22"/>
      <c r="D554" s="171"/>
      <c r="E554" s="171"/>
      <c r="F554" s="27"/>
      <c r="G554" s="132"/>
      <c r="H554" s="132"/>
      <c r="I554" s="27"/>
      <c r="J554" s="70"/>
      <c r="K554" s="27"/>
      <c r="L554" s="52"/>
      <c r="M554" s="108">
        <f t="shared" si="17"/>
        <v>0</v>
      </c>
      <c r="N554" s="41"/>
      <c r="O554" s="1"/>
      <c r="P554" s="2"/>
      <c r="Q554" s="2"/>
      <c r="R554" s="2"/>
      <c r="S554" s="2"/>
      <c r="T554" s="2"/>
      <c r="U554" s="2"/>
    </row>
    <row r="555" spans="1:21" ht="35.1" customHeight="1">
      <c r="A555"/>
      <c r="B555" s="7">
        <f t="shared" si="18"/>
        <v>542</v>
      </c>
      <c r="C555" s="22"/>
      <c r="D555" s="171"/>
      <c r="E555" s="171"/>
      <c r="F555" s="27"/>
      <c r="G555" s="132"/>
      <c r="H555" s="132"/>
      <c r="I555" s="27"/>
      <c r="J555" s="70"/>
      <c r="K555" s="27"/>
      <c r="L555" s="52"/>
      <c r="M555" s="108">
        <f t="shared" si="17"/>
        <v>0</v>
      </c>
      <c r="N555" s="41"/>
      <c r="O555" s="1"/>
      <c r="P555" s="2"/>
      <c r="Q555" s="2"/>
      <c r="R555" s="2"/>
      <c r="S555" s="2"/>
      <c r="T555" s="2"/>
      <c r="U555" s="2"/>
    </row>
    <row r="556" spans="1:21" ht="35.1" customHeight="1">
      <c r="A556"/>
      <c r="B556" s="7">
        <f t="shared" si="18"/>
        <v>543</v>
      </c>
      <c r="C556" s="22"/>
      <c r="D556" s="171"/>
      <c r="E556" s="171"/>
      <c r="F556" s="27"/>
      <c r="G556" s="132"/>
      <c r="H556" s="132"/>
      <c r="I556" s="27"/>
      <c r="J556" s="70"/>
      <c r="K556" s="27"/>
      <c r="L556" s="52"/>
      <c r="M556" s="108">
        <f t="shared" si="17"/>
        <v>0</v>
      </c>
      <c r="N556" s="41"/>
      <c r="O556" s="1"/>
      <c r="P556" s="2"/>
      <c r="Q556" s="2"/>
      <c r="R556" s="2"/>
      <c r="S556" s="2"/>
      <c r="T556" s="2"/>
      <c r="U556" s="2"/>
    </row>
    <row r="557" spans="1:21" ht="35.1" customHeight="1">
      <c r="A557"/>
      <c r="B557" s="7">
        <f t="shared" si="18"/>
        <v>544</v>
      </c>
      <c r="C557" s="22"/>
      <c r="D557" s="171"/>
      <c r="E557" s="171"/>
      <c r="F557" s="27"/>
      <c r="G557" s="132"/>
      <c r="H557" s="132"/>
      <c r="I557" s="27"/>
      <c r="J557" s="70"/>
      <c r="K557" s="27"/>
      <c r="L557" s="52"/>
      <c r="M557" s="108">
        <f t="shared" si="17"/>
        <v>0</v>
      </c>
      <c r="N557" s="41"/>
      <c r="O557" s="1"/>
      <c r="P557" s="2"/>
      <c r="Q557" s="2"/>
      <c r="R557" s="2"/>
      <c r="S557" s="2"/>
      <c r="T557" s="2"/>
      <c r="U557" s="2"/>
    </row>
    <row r="558" spans="1:21" ht="35.1" customHeight="1">
      <c r="A558"/>
      <c r="B558" s="7">
        <f t="shared" si="18"/>
        <v>545</v>
      </c>
      <c r="C558" s="22"/>
      <c r="D558" s="171"/>
      <c r="E558" s="171"/>
      <c r="F558" s="27"/>
      <c r="G558" s="132"/>
      <c r="H558" s="132"/>
      <c r="I558" s="27"/>
      <c r="J558" s="70"/>
      <c r="K558" s="27"/>
      <c r="L558" s="52"/>
      <c r="M558" s="108">
        <f t="shared" si="17"/>
        <v>0</v>
      </c>
      <c r="N558" s="41"/>
      <c r="O558" s="1"/>
      <c r="P558" s="2"/>
      <c r="Q558" s="2"/>
      <c r="R558" s="2"/>
      <c r="S558" s="2"/>
      <c r="T558" s="2"/>
      <c r="U558" s="2"/>
    </row>
    <row r="559" spans="1:21" ht="35.1" customHeight="1">
      <c r="A559"/>
      <c r="B559" s="7">
        <f t="shared" si="18"/>
        <v>546</v>
      </c>
      <c r="C559" s="22"/>
      <c r="D559" s="171"/>
      <c r="E559" s="171"/>
      <c r="F559" s="27"/>
      <c r="G559" s="132"/>
      <c r="H559" s="132"/>
      <c r="I559" s="27"/>
      <c r="J559" s="70"/>
      <c r="K559" s="27"/>
      <c r="L559" s="52"/>
      <c r="M559" s="108">
        <f t="shared" si="17"/>
        <v>0</v>
      </c>
      <c r="N559" s="41"/>
      <c r="O559" s="1"/>
      <c r="P559" s="2"/>
      <c r="Q559" s="2"/>
      <c r="R559" s="2"/>
      <c r="S559" s="2"/>
      <c r="T559" s="2"/>
      <c r="U559" s="2"/>
    </row>
    <row r="560" spans="1:21" ht="35.1" customHeight="1">
      <c r="A560"/>
      <c r="B560" s="7">
        <f t="shared" si="18"/>
        <v>547</v>
      </c>
      <c r="C560" s="22"/>
      <c r="D560" s="171"/>
      <c r="E560" s="171"/>
      <c r="F560" s="27"/>
      <c r="G560" s="132"/>
      <c r="H560" s="132"/>
      <c r="I560" s="27"/>
      <c r="J560" s="70"/>
      <c r="K560" s="27"/>
      <c r="L560" s="52"/>
      <c r="M560" s="108">
        <f t="shared" si="17"/>
        <v>0</v>
      </c>
      <c r="N560" s="41"/>
      <c r="O560" s="1"/>
      <c r="P560" s="2"/>
      <c r="Q560" s="2"/>
      <c r="R560" s="2"/>
      <c r="S560" s="2"/>
      <c r="T560" s="2"/>
      <c r="U560" s="2"/>
    </row>
    <row r="561" spans="1:21" ht="35.1" customHeight="1">
      <c r="A561"/>
      <c r="B561" s="7">
        <f t="shared" si="18"/>
        <v>548</v>
      </c>
      <c r="C561" s="22"/>
      <c r="D561" s="171"/>
      <c r="E561" s="171"/>
      <c r="F561" s="27"/>
      <c r="G561" s="132"/>
      <c r="H561" s="132"/>
      <c r="I561" s="27"/>
      <c r="J561" s="70"/>
      <c r="K561" s="27"/>
      <c r="L561" s="52"/>
      <c r="M561" s="108">
        <f t="shared" si="17"/>
        <v>0</v>
      </c>
      <c r="N561" s="41"/>
      <c r="O561" s="1"/>
      <c r="P561" s="2"/>
      <c r="Q561" s="2"/>
      <c r="R561" s="2"/>
      <c r="S561" s="2"/>
      <c r="T561" s="2"/>
      <c r="U561" s="2"/>
    </row>
    <row r="562" spans="1:21" ht="35.1" customHeight="1">
      <c r="A562"/>
      <c r="B562" s="7">
        <f t="shared" si="18"/>
        <v>549</v>
      </c>
      <c r="C562" s="22"/>
      <c r="D562" s="171"/>
      <c r="E562" s="171"/>
      <c r="F562" s="27"/>
      <c r="G562" s="132"/>
      <c r="H562" s="132"/>
      <c r="I562" s="27"/>
      <c r="J562" s="70"/>
      <c r="K562" s="27"/>
      <c r="L562" s="52"/>
      <c r="M562" s="108">
        <f t="shared" si="17"/>
        <v>0</v>
      </c>
      <c r="N562" s="41"/>
      <c r="O562" s="1"/>
      <c r="P562" s="2"/>
      <c r="Q562" s="2"/>
      <c r="R562" s="2"/>
      <c r="S562" s="2"/>
      <c r="T562" s="2"/>
      <c r="U562" s="2"/>
    </row>
    <row r="563" spans="1:21" ht="35.1" customHeight="1">
      <c r="A563"/>
      <c r="B563" s="7">
        <f t="shared" si="18"/>
        <v>550</v>
      </c>
      <c r="C563" s="22"/>
      <c r="D563" s="171"/>
      <c r="E563" s="171"/>
      <c r="F563" s="27"/>
      <c r="G563" s="132"/>
      <c r="H563" s="132"/>
      <c r="I563" s="27"/>
      <c r="J563" s="70"/>
      <c r="K563" s="27"/>
      <c r="L563" s="52"/>
      <c r="M563" s="108">
        <f t="shared" si="17"/>
        <v>0</v>
      </c>
      <c r="N563" s="41"/>
      <c r="O563" s="1"/>
      <c r="P563" s="2"/>
      <c r="Q563" s="2"/>
      <c r="R563" s="2"/>
      <c r="S563" s="2"/>
      <c r="T563" s="2"/>
      <c r="U563" s="2"/>
    </row>
    <row r="564" spans="1:21" ht="35.1" customHeight="1">
      <c r="A564"/>
      <c r="B564" s="7">
        <f t="shared" si="18"/>
        <v>551</v>
      </c>
      <c r="C564" s="22"/>
      <c r="D564" s="171"/>
      <c r="E564" s="171"/>
      <c r="F564" s="27"/>
      <c r="G564" s="132"/>
      <c r="H564" s="132"/>
      <c r="I564" s="27"/>
      <c r="J564" s="70"/>
      <c r="K564" s="27"/>
      <c r="L564" s="52"/>
      <c r="M564" s="108">
        <f t="shared" si="17"/>
        <v>0</v>
      </c>
      <c r="N564" s="41"/>
      <c r="O564" s="1"/>
      <c r="P564" s="2"/>
      <c r="Q564" s="2"/>
      <c r="R564" s="2"/>
      <c r="S564" s="2"/>
      <c r="T564" s="2"/>
      <c r="U564" s="2"/>
    </row>
    <row r="565" spans="1:21" ht="35.1" customHeight="1">
      <c r="A565"/>
      <c r="B565" s="7">
        <f t="shared" si="18"/>
        <v>552</v>
      </c>
      <c r="C565" s="22"/>
      <c r="D565" s="171"/>
      <c r="E565" s="171"/>
      <c r="F565" s="27"/>
      <c r="G565" s="132"/>
      <c r="H565" s="132"/>
      <c r="I565" s="27"/>
      <c r="J565" s="70"/>
      <c r="K565" s="27"/>
      <c r="L565" s="52"/>
      <c r="M565" s="108">
        <f t="shared" si="17"/>
        <v>0</v>
      </c>
      <c r="N565" s="41"/>
      <c r="O565" s="1"/>
      <c r="P565" s="2"/>
      <c r="Q565" s="2"/>
      <c r="R565" s="2"/>
      <c r="S565" s="2"/>
      <c r="T565" s="2"/>
      <c r="U565" s="2"/>
    </row>
    <row r="566" spans="1:21" ht="35.1" customHeight="1">
      <c r="A566"/>
      <c r="B566" s="7">
        <f t="shared" si="18"/>
        <v>553</v>
      </c>
      <c r="C566" s="22"/>
      <c r="D566" s="171"/>
      <c r="E566" s="171"/>
      <c r="F566" s="27"/>
      <c r="G566" s="132"/>
      <c r="H566" s="132"/>
      <c r="I566" s="27"/>
      <c r="J566" s="70"/>
      <c r="K566" s="27"/>
      <c r="L566" s="52"/>
      <c r="M566" s="108">
        <f t="shared" si="17"/>
        <v>0</v>
      </c>
      <c r="N566" s="41"/>
      <c r="O566" s="1"/>
      <c r="P566" s="2"/>
      <c r="Q566" s="2"/>
      <c r="R566" s="2"/>
      <c r="S566" s="2"/>
      <c r="T566" s="2"/>
      <c r="U566" s="2"/>
    </row>
    <row r="567" spans="1:21" ht="35.1" customHeight="1">
      <c r="A567"/>
      <c r="B567" s="7">
        <f t="shared" si="18"/>
        <v>554</v>
      </c>
      <c r="C567" s="22"/>
      <c r="D567" s="171"/>
      <c r="E567" s="171"/>
      <c r="F567" s="27"/>
      <c r="G567" s="132"/>
      <c r="H567" s="132"/>
      <c r="I567" s="27"/>
      <c r="J567" s="70"/>
      <c r="K567" s="27"/>
      <c r="L567" s="52"/>
      <c r="M567" s="108">
        <f t="shared" si="17"/>
        <v>0</v>
      </c>
      <c r="N567" s="41"/>
      <c r="O567" s="1"/>
      <c r="P567" s="2"/>
      <c r="Q567" s="2"/>
      <c r="R567" s="2"/>
      <c r="S567" s="2"/>
      <c r="T567" s="2"/>
      <c r="U567" s="2"/>
    </row>
    <row r="568" spans="1:21" ht="35.1" customHeight="1">
      <c r="A568"/>
      <c r="B568" s="7">
        <f t="shared" si="18"/>
        <v>555</v>
      </c>
      <c r="C568" s="22"/>
      <c r="D568" s="171"/>
      <c r="E568" s="171"/>
      <c r="F568" s="27"/>
      <c r="G568" s="132"/>
      <c r="H568" s="132"/>
      <c r="I568" s="27"/>
      <c r="J568" s="70"/>
      <c r="K568" s="27"/>
      <c r="L568" s="52"/>
      <c r="M568" s="108">
        <f t="shared" si="17"/>
        <v>0</v>
      </c>
      <c r="N568" s="41"/>
      <c r="O568" s="1"/>
      <c r="P568" s="2"/>
      <c r="Q568" s="2"/>
      <c r="R568" s="2"/>
      <c r="S568" s="2"/>
      <c r="T568" s="2"/>
      <c r="U568" s="2"/>
    </row>
    <row r="569" spans="1:21" ht="35.1" customHeight="1">
      <c r="A569"/>
      <c r="B569" s="7">
        <f t="shared" si="18"/>
        <v>556</v>
      </c>
      <c r="C569" s="22"/>
      <c r="D569" s="171"/>
      <c r="E569" s="171"/>
      <c r="F569" s="27"/>
      <c r="G569" s="132"/>
      <c r="H569" s="132"/>
      <c r="I569" s="27"/>
      <c r="J569" s="70"/>
      <c r="K569" s="27"/>
      <c r="L569" s="52"/>
      <c r="M569" s="108">
        <f t="shared" si="17"/>
        <v>0</v>
      </c>
      <c r="N569" s="41"/>
      <c r="O569" s="1"/>
      <c r="P569" s="2"/>
      <c r="Q569" s="2"/>
      <c r="R569" s="2"/>
      <c r="S569" s="2"/>
      <c r="T569" s="2"/>
      <c r="U569" s="2"/>
    </row>
    <row r="570" spans="1:21" ht="35.1" customHeight="1">
      <c r="A570"/>
      <c r="B570" s="7">
        <f t="shared" si="18"/>
        <v>557</v>
      </c>
      <c r="C570" s="22"/>
      <c r="D570" s="171"/>
      <c r="E570" s="171"/>
      <c r="F570" s="27"/>
      <c r="G570" s="132"/>
      <c r="H570" s="132"/>
      <c r="I570" s="27"/>
      <c r="J570" s="70"/>
      <c r="K570" s="27"/>
      <c r="L570" s="52"/>
      <c r="M570" s="108">
        <f t="shared" si="17"/>
        <v>0</v>
      </c>
      <c r="N570" s="41"/>
      <c r="O570" s="1"/>
      <c r="P570" s="2"/>
      <c r="Q570" s="2"/>
      <c r="R570" s="2"/>
      <c r="S570" s="2"/>
      <c r="T570" s="2"/>
      <c r="U570" s="2"/>
    </row>
    <row r="571" spans="1:21" ht="35.1" customHeight="1">
      <c r="A571"/>
      <c r="B571" s="7">
        <f t="shared" si="18"/>
        <v>558</v>
      </c>
      <c r="C571" s="22"/>
      <c r="D571" s="171"/>
      <c r="E571" s="171"/>
      <c r="F571" s="27"/>
      <c r="G571" s="132"/>
      <c r="H571" s="132"/>
      <c r="I571" s="27"/>
      <c r="J571" s="70"/>
      <c r="K571" s="27"/>
      <c r="L571" s="52"/>
      <c r="M571" s="108">
        <f t="shared" si="17"/>
        <v>0</v>
      </c>
      <c r="N571" s="41"/>
      <c r="O571" s="1"/>
      <c r="P571" s="2"/>
      <c r="Q571" s="2"/>
      <c r="R571" s="2"/>
      <c r="S571" s="2"/>
      <c r="T571" s="2"/>
      <c r="U571" s="2"/>
    </row>
    <row r="572" spans="1:21" ht="35.1" customHeight="1">
      <c r="A572"/>
      <c r="B572" s="7">
        <f t="shared" si="18"/>
        <v>559</v>
      </c>
      <c r="C572" s="22"/>
      <c r="D572" s="171"/>
      <c r="E572" s="171"/>
      <c r="F572" s="27"/>
      <c r="G572" s="132"/>
      <c r="H572" s="132"/>
      <c r="I572" s="27"/>
      <c r="J572" s="70"/>
      <c r="K572" s="27"/>
      <c r="L572" s="52"/>
      <c r="M572" s="108">
        <f t="shared" si="17"/>
        <v>0</v>
      </c>
      <c r="N572" s="41"/>
      <c r="O572" s="1"/>
      <c r="P572" s="2"/>
      <c r="Q572" s="2"/>
      <c r="R572" s="2"/>
      <c r="S572" s="2"/>
      <c r="T572" s="2"/>
      <c r="U572" s="2"/>
    </row>
    <row r="573" spans="1:21" ht="35.1" customHeight="1">
      <c r="A573"/>
      <c r="B573" s="7">
        <f t="shared" si="18"/>
        <v>560</v>
      </c>
      <c r="C573" s="22"/>
      <c r="D573" s="171"/>
      <c r="E573" s="171"/>
      <c r="F573" s="27"/>
      <c r="G573" s="132"/>
      <c r="H573" s="132"/>
      <c r="I573" s="27"/>
      <c r="J573" s="70"/>
      <c r="K573" s="27"/>
      <c r="L573" s="52"/>
      <c r="M573" s="108">
        <f t="shared" si="17"/>
        <v>0</v>
      </c>
      <c r="N573" s="41"/>
      <c r="O573" s="1"/>
      <c r="P573" s="2"/>
      <c r="Q573" s="2"/>
      <c r="R573" s="2"/>
      <c r="S573" s="2"/>
      <c r="T573" s="2"/>
      <c r="U573" s="2"/>
    </row>
    <row r="574" spans="1:21" ht="35.1" customHeight="1">
      <c r="A574"/>
      <c r="B574" s="7">
        <f t="shared" si="18"/>
        <v>561</v>
      </c>
      <c r="C574" s="22"/>
      <c r="D574" s="171"/>
      <c r="E574" s="171"/>
      <c r="F574" s="27"/>
      <c r="G574" s="132"/>
      <c r="H574" s="132"/>
      <c r="I574" s="27"/>
      <c r="J574" s="70"/>
      <c r="K574" s="27"/>
      <c r="L574" s="52"/>
      <c r="M574" s="108">
        <f t="shared" si="17"/>
        <v>0</v>
      </c>
      <c r="N574" s="41"/>
      <c r="O574" s="1"/>
      <c r="P574" s="2"/>
      <c r="Q574" s="2"/>
      <c r="R574" s="2"/>
      <c r="S574" s="2"/>
      <c r="T574" s="2"/>
      <c r="U574" s="2"/>
    </row>
    <row r="575" spans="1:21" ht="35.1" customHeight="1">
      <c r="A575"/>
      <c r="B575" s="7">
        <f t="shared" si="18"/>
        <v>562</v>
      </c>
      <c r="C575" s="22"/>
      <c r="D575" s="171"/>
      <c r="E575" s="171"/>
      <c r="F575" s="27"/>
      <c r="G575" s="132"/>
      <c r="H575" s="132"/>
      <c r="I575" s="27"/>
      <c r="J575" s="70"/>
      <c r="K575" s="27"/>
      <c r="L575" s="52"/>
      <c r="M575" s="108">
        <f t="shared" si="17"/>
        <v>0</v>
      </c>
      <c r="N575" s="41"/>
      <c r="O575" s="1"/>
      <c r="P575" s="2"/>
      <c r="Q575" s="2"/>
      <c r="R575" s="2"/>
      <c r="S575" s="2"/>
      <c r="T575" s="2"/>
      <c r="U575" s="2"/>
    </row>
    <row r="576" spans="1:21" ht="35.1" customHeight="1">
      <c r="A576"/>
      <c r="B576" s="7">
        <f t="shared" si="18"/>
        <v>563</v>
      </c>
      <c r="C576" s="22"/>
      <c r="D576" s="171"/>
      <c r="E576" s="171"/>
      <c r="F576" s="27"/>
      <c r="G576" s="132"/>
      <c r="H576" s="132"/>
      <c r="I576" s="27"/>
      <c r="J576" s="70"/>
      <c r="K576" s="27"/>
      <c r="L576" s="52"/>
      <c r="M576" s="108">
        <f t="shared" si="17"/>
        <v>0</v>
      </c>
      <c r="N576" s="41"/>
      <c r="O576" s="1"/>
      <c r="P576" s="2"/>
      <c r="Q576" s="2"/>
      <c r="R576" s="2"/>
      <c r="S576" s="2"/>
      <c r="T576" s="2"/>
      <c r="U576" s="2"/>
    </row>
    <row r="577" spans="1:21" ht="35.1" customHeight="1">
      <c r="A577"/>
      <c r="B577" s="7">
        <f t="shared" si="18"/>
        <v>564</v>
      </c>
      <c r="C577" s="22"/>
      <c r="D577" s="171"/>
      <c r="E577" s="171"/>
      <c r="F577" s="27"/>
      <c r="G577" s="132"/>
      <c r="H577" s="132"/>
      <c r="I577" s="27"/>
      <c r="J577" s="70"/>
      <c r="K577" s="27"/>
      <c r="L577" s="52"/>
      <c r="M577" s="108">
        <f t="shared" si="17"/>
        <v>0</v>
      </c>
      <c r="N577" s="41"/>
      <c r="O577" s="1"/>
      <c r="P577" s="2"/>
      <c r="Q577" s="2"/>
      <c r="R577" s="2"/>
      <c r="S577" s="2"/>
      <c r="T577" s="2"/>
      <c r="U577" s="2"/>
    </row>
    <row r="578" spans="1:21" ht="35.1" customHeight="1">
      <c r="A578"/>
      <c r="B578" s="7">
        <f t="shared" si="18"/>
        <v>565</v>
      </c>
      <c r="C578" s="22"/>
      <c r="D578" s="171"/>
      <c r="E578" s="171"/>
      <c r="F578" s="27"/>
      <c r="G578" s="132"/>
      <c r="H578" s="132"/>
      <c r="I578" s="27"/>
      <c r="J578" s="70"/>
      <c r="K578" s="27"/>
      <c r="L578" s="52"/>
      <c r="M578" s="108">
        <f t="shared" si="17"/>
        <v>0</v>
      </c>
      <c r="N578" s="41"/>
      <c r="O578" s="1"/>
      <c r="P578" s="2"/>
      <c r="Q578" s="2"/>
      <c r="R578" s="2"/>
      <c r="S578" s="2"/>
      <c r="T578" s="2"/>
      <c r="U578" s="2"/>
    </row>
    <row r="579" spans="1:21" ht="35.1" customHeight="1">
      <c r="A579"/>
      <c r="B579" s="7">
        <f t="shared" si="18"/>
        <v>566</v>
      </c>
      <c r="C579" s="22"/>
      <c r="D579" s="171"/>
      <c r="E579" s="171"/>
      <c r="F579" s="27"/>
      <c r="G579" s="132"/>
      <c r="H579" s="132"/>
      <c r="I579" s="27"/>
      <c r="J579" s="70"/>
      <c r="K579" s="27"/>
      <c r="L579" s="52"/>
      <c r="M579" s="108">
        <f t="shared" si="17"/>
        <v>0</v>
      </c>
      <c r="N579" s="41"/>
      <c r="O579" s="1"/>
      <c r="P579" s="2"/>
      <c r="Q579" s="2"/>
      <c r="R579" s="2"/>
      <c r="S579" s="2"/>
      <c r="T579" s="2"/>
      <c r="U579" s="2"/>
    </row>
    <row r="580" spans="1:21" ht="35.1" customHeight="1">
      <c r="A580"/>
      <c r="B580" s="7">
        <f t="shared" si="18"/>
        <v>567</v>
      </c>
      <c r="C580" s="22"/>
      <c r="D580" s="171"/>
      <c r="E580" s="171"/>
      <c r="F580" s="27"/>
      <c r="G580" s="132"/>
      <c r="H580" s="132"/>
      <c r="I580" s="27"/>
      <c r="J580" s="70"/>
      <c r="K580" s="27"/>
      <c r="L580" s="52"/>
      <c r="M580" s="108">
        <f t="shared" si="17"/>
        <v>0</v>
      </c>
      <c r="N580" s="41"/>
      <c r="O580" s="1"/>
      <c r="P580" s="2"/>
      <c r="Q580" s="2"/>
      <c r="R580" s="2"/>
      <c r="S580" s="2"/>
      <c r="T580" s="2"/>
      <c r="U580" s="2"/>
    </row>
    <row r="581" spans="1:21" ht="35.1" customHeight="1">
      <c r="A581"/>
      <c r="B581" s="7">
        <f t="shared" si="18"/>
        <v>568</v>
      </c>
      <c r="C581" s="22"/>
      <c r="D581" s="171"/>
      <c r="E581" s="171"/>
      <c r="F581" s="27"/>
      <c r="G581" s="132"/>
      <c r="H581" s="132"/>
      <c r="I581" s="27"/>
      <c r="J581" s="70"/>
      <c r="K581" s="27"/>
      <c r="L581" s="52"/>
      <c r="M581" s="108">
        <f t="shared" si="17"/>
        <v>0</v>
      </c>
      <c r="N581" s="41"/>
      <c r="O581" s="1"/>
      <c r="P581" s="2"/>
      <c r="Q581" s="2"/>
      <c r="R581" s="2"/>
      <c r="S581" s="2"/>
      <c r="T581" s="2"/>
      <c r="U581" s="2"/>
    </row>
    <row r="582" spans="1:21" ht="35.1" customHeight="1">
      <c r="A582"/>
      <c r="B582" s="7">
        <f t="shared" si="18"/>
        <v>569</v>
      </c>
      <c r="C582" s="22"/>
      <c r="D582" s="171"/>
      <c r="E582" s="171"/>
      <c r="F582" s="27"/>
      <c r="G582" s="132"/>
      <c r="H582" s="132"/>
      <c r="I582" s="27"/>
      <c r="J582" s="70"/>
      <c r="K582" s="27"/>
      <c r="L582" s="52"/>
      <c r="M582" s="108">
        <f t="shared" si="17"/>
        <v>0</v>
      </c>
      <c r="N582" s="41"/>
      <c r="O582" s="1"/>
      <c r="P582" s="2"/>
      <c r="Q582" s="2"/>
      <c r="R582" s="2"/>
      <c r="S582" s="2"/>
      <c r="T582" s="2"/>
      <c r="U582" s="2"/>
    </row>
    <row r="583" spans="1:21" ht="35.1" customHeight="1">
      <c r="A583"/>
      <c r="B583" s="7">
        <f t="shared" si="18"/>
        <v>570</v>
      </c>
      <c r="C583" s="22"/>
      <c r="D583" s="171"/>
      <c r="E583" s="171"/>
      <c r="F583" s="27"/>
      <c r="G583" s="132"/>
      <c r="H583" s="132"/>
      <c r="I583" s="27"/>
      <c r="J583" s="70"/>
      <c r="K583" s="27"/>
      <c r="L583" s="52"/>
      <c r="M583" s="108">
        <f t="shared" si="17"/>
        <v>0</v>
      </c>
      <c r="N583" s="41"/>
      <c r="O583" s="1"/>
      <c r="P583" s="2"/>
      <c r="Q583" s="2"/>
      <c r="R583" s="2"/>
      <c r="S583" s="2"/>
      <c r="T583" s="2"/>
      <c r="U583" s="2"/>
    </row>
    <row r="584" spans="1:21" ht="35.1" customHeight="1">
      <c r="A584"/>
      <c r="B584" s="7">
        <f t="shared" si="18"/>
        <v>571</v>
      </c>
      <c r="C584" s="22"/>
      <c r="D584" s="171"/>
      <c r="E584" s="171"/>
      <c r="F584" s="27"/>
      <c r="G584" s="132"/>
      <c r="H584" s="132"/>
      <c r="I584" s="27"/>
      <c r="J584" s="70"/>
      <c r="K584" s="27"/>
      <c r="L584" s="52"/>
      <c r="M584" s="108">
        <f t="shared" si="17"/>
        <v>0</v>
      </c>
      <c r="N584" s="41"/>
      <c r="O584" s="1"/>
      <c r="P584" s="2"/>
      <c r="Q584" s="2"/>
      <c r="R584" s="2"/>
      <c r="S584" s="2"/>
      <c r="T584" s="2"/>
      <c r="U584" s="2"/>
    </row>
    <row r="585" spans="1:21" ht="35.1" customHeight="1">
      <c r="A585"/>
      <c r="B585" s="7">
        <f t="shared" si="18"/>
        <v>572</v>
      </c>
      <c r="C585" s="22"/>
      <c r="D585" s="171"/>
      <c r="E585" s="171"/>
      <c r="F585" s="27"/>
      <c r="G585" s="132"/>
      <c r="H585" s="132"/>
      <c r="I585" s="27"/>
      <c r="J585" s="70"/>
      <c r="K585" s="27"/>
      <c r="L585" s="52"/>
      <c r="M585" s="108">
        <f t="shared" si="17"/>
        <v>0</v>
      </c>
      <c r="N585" s="41"/>
      <c r="O585" s="1"/>
      <c r="P585" s="2"/>
      <c r="Q585" s="2"/>
      <c r="R585" s="2"/>
      <c r="S585" s="2"/>
      <c r="T585" s="2"/>
      <c r="U585" s="2"/>
    </row>
    <row r="586" spans="1:21" ht="35.1" customHeight="1">
      <c r="A586"/>
      <c r="B586" s="7">
        <f t="shared" si="18"/>
        <v>573</v>
      </c>
      <c r="C586" s="22"/>
      <c r="D586" s="171"/>
      <c r="E586" s="171"/>
      <c r="F586" s="27"/>
      <c r="G586" s="132"/>
      <c r="H586" s="132"/>
      <c r="I586" s="27"/>
      <c r="J586" s="70"/>
      <c r="K586" s="27"/>
      <c r="L586" s="52"/>
      <c r="M586" s="108">
        <f t="shared" si="17"/>
        <v>0</v>
      </c>
      <c r="N586" s="41"/>
      <c r="O586" s="1"/>
      <c r="P586" s="2"/>
      <c r="Q586" s="2"/>
      <c r="R586" s="2"/>
      <c r="S586" s="2"/>
      <c r="T586" s="2"/>
      <c r="U586" s="2"/>
    </row>
    <row r="587" spans="1:21" ht="35.1" customHeight="1">
      <c r="A587"/>
      <c r="B587" s="7">
        <f t="shared" si="18"/>
        <v>574</v>
      </c>
      <c r="C587" s="22"/>
      <c r="D587" s="171"/>
      <c r="E587" s="171"/>
      <c r="F587" s="27"/>
      <c r="G587" s="132"/>
      <c r="H587" s="132"/>
      <c r="I587" s="27"/>
      <c r="J587" s="70"/>
      <c r="K587" s="27"/>
      <c r="L587" s="52"/>
      <c r="M587" s="108">
        <f t="shared" si="17"/>
        <v>0</v>
      </c>
      <c r="N587" s="41"/>
      <c r="O587" s="1"/>
      <c r="P587" s="2"/>
      <c r="Q587" s="2"/>
      <c r="R587" s="2"/>
      <c r="S587" s="2"/>
      <c r="T587" s="2"/>
      <c r="U587" s="2"/>
    </row>
    <row r="588" spans="1:21" ht="35.1" customHeight="1">
      <c r="A588"/>
      <c r="B588" s="7">
        <f t="shared" si="18"/>
        <v>575</v>
      </c>
      <c r="C588" s="22"/>
      <c r="D588" s="171"/>
      <c r="E588" s="171"/>
      <c r="F588" s="27"/>
      <c r="G588" s="132"/>
      <c r="H588" s="132"/>
      <c r="I588" s="27"/>
      <c r="J588" s="70"/>
      <c r="K588" s="27"/>
      <c r="L588" s="52"/>
      <c r="M588" s="108">
        <f t="shared" si="17"/>
        <v>0</v>
      </c>
      <c r="N588" s="41"/>
      <c r="O588" s="1"/>
      <c r="P588" s="2"/>
      <c r="Q588" s="2"/>
      <c r="R588" s="2"/>
      <c r="S588" s="2"/>
      <c r="T588" s="2"/>
      <c r="U588" s="2"/>
    </row>
    <row r="589" spans="1:21" ht="35.1" customHeight="1">
      <c r="A589"/>
      <c r="B589" s="7">
        <f t="shared" si="18"/>
        <v>576</v>
      </c>
      <c r="C589" s="22"/>
      <c r="D589" s="171"/>
      <c r="E589" s="171"/>
      <c r="F589" s="27"/>
      <c r="G589" s="132"/>
      <c r="H589" s="132"/>
      <c r="I589" s="27"/>
      <c r="J589" s="70"/>
      <c r="K589" s="27"/>
      <c r="L589" s="52"/>
      <c r="M589" s="108">
        <f t="shared" si="17"/>
        <v>0</v>
      </c>
      <c r="N589" s="41"/>
      <c r="O589" s="1"/>
      <c r="P589" s="2"/>
      <c r="Q589" s="2"/>
      <c r="R589" s="2"/>
      <c r="S589" s="2"/>
      <c r="T589" s="2"/>
      <c r="U589" s="2"/>
    </row>
    <row r="590" spans="1:21" ht="35.1" customHeight="1">
      <c r="A590"/>
      <c r="B590" s="7">
        <f t="shared" si="18"/>
        <v>577</v>
      </c>
      <c r="C590" s="22"/>
      <c r="D590" s="171"/>
      <c r="E590" s="171"/>
      <c r="F590" s="27"/>
      <c r="G590" s="132"/>
      <c r="H590" s="132"/>
      <c r="I590" s="27"/>
      <c r="J590" s="70"/>
      <c r="K590" s="27"/>
      <c r="L590" s="52"/>
      <c r="M590" s="108">
        <f t="shared" si="17"/>
        <v>0</v>
      </c>
      <c r="N590" s="41"/>
      <c r="O590" s="1"/>
      <c r="P590" s="2"/>
      <c r="Q590" s="2"/>
      <c r="R590" s="2"/>
      <c r="S590" s="2"/>
      <c r="T590" s="2"/>
      <c r="U590" s="2"/>
    </row>
    <row r="591" spans="1:21" ht="35.1" customHeight="1">
      <c r="A591"/>
      <c r="B591" s="7">
        <f t="shared" si="18"/>
        <v>578</v>
      </c>
      <c r="C591" s="42"/>
      <c r="D591" s="180"/>
      <c r="E591" s="180"/>
      <c r="F591" s="83"/>
      <c r="G591" s="132"/>
      <c r="H591" s="144"/>
      <c r="I591" s="83"/>
      <c r="J591" s="84"/>
      <c r="K591" s="83"/>
      <c r="L591" s="85"/>
      <c r="M591" s="108">
        <f t="shared" ref="M591" si="19">(L591*G591)</f>
        <v>0</v>
      </c>
      <c r="N591" s="41"/>
      <c r="O591" s="1"/>
      <c r="P591" s="2"/>
      <c r="Q591" s="2"/>
      <c r="R591" s="2"/>
      <c r="S591" s="2"/>
      <c r="T591" s="2"/>
      <c r="U591" s="2"/>
    </row>
    <row r="592" spans="1:21">
      <c r="A592" s="86"/>
      <c r="B592" s="86"/>
      <c r="C592" s="87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48"/>
    </row>
    <row r="593" spans="1:21">
      <c r="A593" s="86"/>
      <c r="B593" s="86"/>
      <c r="C593" s="87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48"/>
    </row>
    <row r="594" spans="1:21">
      <c r="A594" s="86"/>
      <c r="B594" s="86"/>
      <c r="C594" s="87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48"/>
    </row>
    <row r="595" spans="1:21">
      <c r="A595" s="86"/>
      <c r="B595" s="86"/>
      <c r="C595" s="87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48"/>
    </row>
    <row r="596" spans="1:21">
      <c r="A596" s="86"/>
      <c r="B596" s="86"/>
      <c r="C596" s="87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48"/>
    </row>
    <row r="597" spans="1:21">
      <c r="A597" s="86"/>
      <c r="B597" s="86"/>
      <c r="C597" s="87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48"/>
    </row>
    <row r="598" spans="1:21">
      <c r="A598" s="86"/>
      <c r="B598" s="86"/>
      <c r="C598" s="87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48"/>
    </row>
    <row r="599" spans="1:21">
      <c r="A599" s="86"/>
      <c r="B599" s="86"/>
      <c r="C599" s="87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48"/>
    </row>
    <row r="600" spans="1:21">
      <c r="A600" s="86"/>
      <c r="B600" s="86"/>
      <c r="C600" s="87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48"/>
    </row>
    <row r="601" spans="1:21">
      <c r="A601" s="86"/>
      <c r="B601" s="86"/>
      <c r="C601" s="87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48"/>
    </row>
    <row r="602" spans="1:21">
      <c r="A602" s="86"/>
      <c r="B602" s="86"/>
      <c r="C602" s="87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48"/>
    </row>
    <row r="603" spans="1:21">
      <c r="A603" s="86"/>
      <c r="B603" s="86"/>
      <c r="C603" s="87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48"/>
    </row>
    <row r="604" spans="1:21">
      <c r="A604" s="86"/>
      <c r="B604" s="86"/>
      <c r="C604" s="87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48"/>
    </row>
    <row r="605" spans="1:21">
      <c r="A605" s="86"/>
      <c r="B605" s="86"/>
      <c r="C605" s="87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48"/>
    </row>
    <row r="606" spans="1:21">
      <c r="A606" s="86"/>
      <c r="B606" s="86"/>
      <c r="C606" s="87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48"/>
    </row>
    <row r="607" spans="1:21">
      <c r="A607" s="86"/>
      <c r="B607" s="86"/>
      <c r="C607" s="87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48"/>
    </row>
    <row r="608" spans="1:21">
      <c r="A608" s="86"/>
      <c r="B608" s="86"/>
      <c r="C608" s="87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48"/>
    </row>
    <row r="609" spans="1:21">
      <c r="A609" s="86"/>
      <c r="B609" s="86"/>
      <c r="C609" s="87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48"/>
    </row>
    <row r="610" spans="1:21">
      <c r="A610" s="86"/>
      <c r="B610" s="86"/>
      <c r="C610" s="87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48"/>
    </row>
    <row r="611" spans="1:21" ht="5.25" customHeight="1">
      <c r="A611" s="86"/>
      <c r="B611" s="86"/>
      <c r="C611" s="87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48"/>
    </row>
    <row r="612" spans="1:21">
      <c r="A612" s="86"/>
      <c r="B612" s="86"/>
      <c r="C612" s="87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48"/>
    </row>
    <row r="613" spans="1:21">
      <c r="A613" s="86"/>
      <c r="B613" s="86"/>
      <c r="C613" s="87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48"/>
    </row>
    <row r="614" spans="1:21">
      <c r="A614" s="86"/>
      <c r="B614" s="86"/>
      <c r="C614" s="87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48"/>
    </row>
    <row r="615" spans="1:21">
      <c r="A615" s="86"/>
      <c r="B615" s="86"/>
      <c r="C615" s="87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  <c r="S615" s="86"/>
      <c r="T615" s="86"/>
      <c r="U615" s="48"/>
    </row>
    <row r="616" spans="1:21">
      <c r="A616" s="86"/>
      <c r="B616" s="86"/>
      <c r="C616" s="87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48"/>
    </row>
    <row r="617" spans="1:21">
      <c r="A617" s="86"/>
      <c r="B617" s="86"/>
      <c r="C617" s="87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48"/>
    </row>
    <row r="618" spans="1:21">
      <c r="A618" s="86"/>
      <c r="B618" s="86"/>
      <c r="C618" s="87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48"/>
    </row>
    <row r="619" spans="1:21">
      <c r="A619" s="86"/>
      <c r="B619" s="86"/>
      <c r="C619" s="87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48"/>
    </row>
    <row r="620" spans="1:21">
      <c r="A620" s="86"/>
      <c r="B620" s="86"/>
      <c r="C620" s="87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48"/>
    </row>
    <row r="621" spans="1:21">
      <c r="A621" s="86"/>
      <c r="B621" s="86"/>
      <c r="C621" s="87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48"/>
    </row>
    <row r="622" spans="1:21">
      <c r="A622" s="86"/>
      <c r="B622" s="86"/>
      <c r="C622" s="87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48"/>
    </row>
    <row r="623" spans="1:21">
      <c r="A623" s="86"/>
      <c r="B623" s="86"/>
      <c r="C623" s="87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48"/>
    </row>
    <row r="624" spans="1:21">
      <c r="A624" s="86"/>
      <c r="B624" s="86"/>
      <c r="C624" s="87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48"/>
    </row>
    <row r="625" spans="1:21">
      <c r="A625" s="86"/>
      <c r="B625" s="86"/>
      <c r="C625" s="87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48"/>
    </row>
    <row r="626" spans="1:21">
      <c r="A626" s="86"/>
      <c r="B626" s="86"/>
      <c r="C626" s="87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48"/>
    </row>
    <row r="627" spans="1:21">
      <c r="A627" s="86"/>
      <c r="B627" s="86"/>
      <c r="C627" s="87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48"/>
    </row>
    <row r="628" spans="1:21">
      <c r="A628" s="86"/>
      <c r="B628" s="86"/>
      <c r="C628" s="87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48"/>
    </row>
    <row r="629" spans="1:21">
      <c r="A629" s="86"/>
      <c r="B629" s="86"/>
      <c r="C629" s="87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48"/>
    </row>
    <row r="630" spans="1:21">
      <c r="A630" s="86"/>
      <c r="B630" s="86"/>
      <c r="C630" s="87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48"/>
    </row>
    <row r="631" spans="1:21">
      <c r="A631" s="86"/>
      <c r="B631" s="86"/>
      <c r="C631" s="87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48"/>
    </row>
    <row r="632" spans="1:21">
      <c r="A632" s="86"/>
      <c r="B632" s="86"/>
      <c r="C632" s="87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  <c r="S632" s="86"/>
      <c r="T632" s="86"/>
      <c r="U632" s="48"/>
    </row>
    <row r="633" spans="1:21">
      <c r="A633" s="86"/>
      <c r="B633" s="86"/>
      <c r="C633" s="87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48"/>
    </row>
    <row r="634" spans="1:21">
      <c r="A634" s="86"/>
      <c r="B634" s="86"/>
      <c r="C634" s="87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48"/>
    </row>
    <row r="635" spans="1:21">
      <c r="A635" s="86"/>
      <c r="B635" s="86"/>
      <c r="C635" s="87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48"/>
    </row>
    <row r="636" spans="1:21">
      <c r="A636" s="86"/>
      <c r="B636" s="86"/>
      <c r="C636" s="87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48"/>
    </row>
    <row r="637" spans="1:21">
      <c r="A637" s="86"/>
      <c r="B637" s="86"/>
      <c r="C637" s="87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48"/>
    </row>
    <row r="638" spans="1:21">
      <c r="A638" s="86"/>
      <c r="B638" s="86"/>
      <c r="C638" s="87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48"/>
    </row>
    <row r="639" spans="1:21">
      <c r="A639" s="86"/>
      <c r="B639" s="86"/>
      <c r="C639" s="87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48"/>
    </row>
    <row r="640" spans="1:21">
      <c r="A640" s="86"/>
      <c r="B640" s="86"/>
      <c r="C640" s="87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48"/>
    </row>
    <row r="641" spans="1:21">
      <c r="A641" s="86"/>
      <c r="B641" s="86"/>
      <c r="C641" s="87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48"/>
    </row>
    <row r="642" spans="1:21">
      <c r="A642" s="86"/>
      <c r="B642" s="86"/>
      <c r="C642" s="87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48"/>
    </row>
    <row r="643" spans="1:21">
      <c r="A643" s="86"/>
      <c r="B643" s="86"/>
      <c r="C643" s="87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48"/>
    </row>
    <row r="644" spans="1:21">
      <c r="A644" s="86"/>
      <c r="B644" s="86"/>
      <c r="C644" s="87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48"/>
    </row>
    <row r="645" spans="1:21">
      <c r="A645" s="86"/>
      <c r="B645" s="86"/>
      <c r="C645" s="87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48"/>
    </row>
    <row r="646" spans="1:21">
      <c r="A646" s="86"/>
      <c r="B646" s="86"/>
      <c r="C646" s="87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48"/>
    </row>
    <row r="647" spans="1:21">
      <c r="A647" s="86"/>
      <c r="B647" s="86"/>
      <c r="C647" s="87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48"/>
    </row>
    <row r="648" spans="1:21">
      <c r="A648" s="86"/>
      <c r="B648" s="86"/>
      <c r="C648" s="87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48"/>
    </row>
    <row r="649" spans="1:21">
      <c r="A649" s="86"/>
      <c r="B649" s="86"/>
      <c r="C649" s="87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  <c r="S649" s="86"/>
      <c r="T649" s="86"/>
      <c r="U649" s="48"/>
    </row>
    <row r="650" spans="1:21">
      <c r="A650" s="86"/>
      <c r="B650" s="86"/>
      <c r="C650" s="87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48"/>
    </row>
    <row r="651" spans="1:21">
      <c r="A651" s="86"/>
      <c r="B651" s="86"/>
      <c r="C651" s="87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48"/>
    </row>
    <row r="652" spans="1:21">
      <c r="A652" s="86"/>
      <c r="B652" s="86"/>
      <c r="C652" s="87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48"/>
    </row>
    <row r="653" spans="1:21">
      <c r="A653" s="86"/>
      <c r="B653" s="86"/>
      <c r="C653" s="87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48"/>
    </row>
    <row r="654" spans="1:21">
      <c r="A654" s="86"/>
      <c r="B654" s="86"/>
      <c r="C654" s="87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48"/>
    </row>
    <row r="655" spans="1:21">
      <c r="A655" s="86"/>
      <c r="B655" s="86"/>
      <c r="C655" s="87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48"/>
    </row>
    <row r="656" spans="1:21">
      <c r="A656" s="86"/>
      <c r="B656" s="86"/>
      <c r="C656" s="87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48"/>
    </row>
    <row r="657" spans="1:21">
      <c r="A657" s="86"/>
      <c r="B657" s="86"/>
      <c r="C657" s="87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48"/>
    </row>
    <row r="658" spans="1:21">
      <c r="A658" s="86"/>
      <c r="B658" s="86"/>
      <c r="C658" s="87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48"/>
    </row>
    <row r="659" spans="1:21">
      <c r="A659" s="86"/>
      <c r="B659" s="86"/>
      <c r="C659" s="87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48"/>
    </row>
    <row r="660" spans="1:21">
      <c r="A660" s="86"/>
      <c r="B660" s="86"/>
      <c r="C660" s="87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48"/>
    </row>
    <row r="661" spans="1:21">
      <c r="A661" s="86"/>
      <c r="B661" s="86"/>
      <c r="C661" s="87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48"/>
    </row>
    <row r="662" spans="1:21">
      <c r="A662" s="86"/>
      <c r="B662" s="86"/>
      <c r="C662" s="87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48"/>
    </row>
    <row r="663" spans="1:21">
      <c r="A663" s="86"/>
      <c r="B663" s="86"/>
      <c r="C663" s="87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48"/>
    </row>
    <row r="664" spans="1:21">
      <c r="A664" s="86"/>
      <c r="B664" s="86"/>
      <c r="C664" s="87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48"/>
    </row>
    <row r="665" spans="1:21">
      <c r="A665" s="86"/>
      <c r="B665" s="86"/>
      <c r="C665" s="87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48"/>
    </row>
    <row r="666" spans="1:21">
      <c r="A666" s="86"/>
      <c r="B666" s="86"/>
      <c r="C666" s="87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  <c r="S666" s="86"/>
      <c r="T666" s="86"/>
      <c r="U666" s="48"/>
    </row>
    <row r="667" spans="1:21">
      <c r="A667" s="86"/>
      <c r="B667" s="86"/>
      <c r="C667" s="87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48"/>
    </row>
    <row r="668" spans="1:21">
      <c r="A668" s="86"/>
      <c r="B668" s="86"/>
      <c r="C668" s="87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48"/>
    </row>
    <row r="669" spans="1:21">
      <c r="A669" s="86"/>
      <c r="B669" s="86"/>
      <c r="C669" s="87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48"/>
    </row>
    <row r="670" spans="1:21">
      <c r="A670" s="86"/>
      <c r="B670" s="86"/>
      <c r="C670" s="87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48"/>
    </row>
    <row r="671" spans="1:21">
      <c r="A671" s="86"/>
      <c r="B671" s="86"/>
      <c r="C671" s="87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48"/>
    </row>
    <row r="672" spans="1:21">
      <c r="A672" s="86"/>
      <c r="B672" s="86"/>
      <c r="C672" s="87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48"/>
    </row>
    <row r="673" spans="1:21">
      <c r="A673" s="86"/>
      <c r="B673" s="86"/>
      <c r="C673" s="87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48"/>
    </row>
    <row r="674" spans="1:21">
      <c r="A674" s="86"/>
      <c r="B674" s="86"/>
      <c r="C674" s="87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48"/>
    </row>
    <row r="675" spans="1:21">
      <c r="A675" s="86"/>
      <c r="B675" s="86"/>
      <c r="C675" s="87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48"/>
    </row>
    <row r="676" spans="1:21">
      <c r="A676" s="86"/>
      <c r="B676" s="86"/>
      <c r="C676" s="87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48"/>
    </row>
    <row r="677" spans="1:21">
      <c r="A677" s="86"/>
      <c r="B677" s="86"/>
      <c r="C677" s="87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48"/>
    </row>
    <row r="678" spans="1:21">
      <c r="A678" s="86"/>
      <c r="B678" s="86"/>
      <c r="C678" s="87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48"/>
    </row>
    <row r="679" spans="1:21">
      <c r="A679" s="86"/>
      <c r="B679" s="86"/>
      <c r="C679" s="87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48"/>
    </row>
    <row r="680" spans="1:21">
      <c r="A680" s="86"/>
      <c r="B680" s="86"/>
      <c r="C680" s="87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48"/>
    </row>
    <row r="681" spans="1:21">
      <c r="A681" s="86"/>
      <c r="B681" s="86"/>
      <c r="C681" s="87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48"/>
    </row>
    <row r="682" spans="1:21">
      <c r="A682" s="86"/>
      <c r="B682" s="86"/>
      <c r="C682" s="87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48"/>
    </row>
    <row r="683" spans="1:21">
      <c r="A683" s="86"/>
      <c r="B683" s="86"/>
      <c r="C683" s="87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48"/>
    </row>
    <row r="684" spans="1:21">
      <c r="A684" s="86"/>
      <c r="B684" s="86"/>
      <c r="C684" s="87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48"/>
    </row>
    <row r="685" spans="1:21">
      <c r="A685" s="86"/>
      <c r="B685" s="86"/>
      <c r="C685" s="87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48"/>
    </row>
    <row r="686" spans="1:21">
      <c r="A686" s="86"/>
      <c r="B686" s="86"/>
      <c r="C686" s="87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48"/>
    </row>
    <row r="687" spans="1:21">
      <c r="A687" s="86"/>
      <c r="B687" s="86"/>
      <c r="C687" s="87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48"/>
    </row>
    <row r="688" spans="1:21">
      <c r="A688" s="86"/>
      <c r="B688" s="86"/>
      <c r="C688" s="87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48"/>
    </row>
    <row r="689" spans="1:21">
      <c r="A689" s="86"/>
      <c r="B689" s="86"/>
      <c r="C689" s="87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48"/>
    </row>
    <row r="690" spans="1:21">
      <c r="A690" s="86"/>
      <c r="B690" s="86"/>
      <c r="C690" s="87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48"/>
    </row>
    <row r="691" spans="1:21">
      <c r="A691" s="86"/>
      <c r="B691" s="86"/>
      <c r="C691" s="87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48"/>
    </row>
    <row r="692" spans="1:21">
      <c r="A692" s="86"/>
      <c r="B692" s="86"/>
      <c r="C692" s="87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48"/>
    </row>
    <row r="693" spans="1:21">
      <c r="A693" s="86"/>
      <c r="B693" s="86"/>
      <c r="C693" s="87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48"/>
    </row>
    <row r="694" spans="1:21">
      <c r="A694" s="86"/>
      <c r="B694" s="86"/>
      <c r="C694" s="87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48"/>
    </row>
    <row r="695" spans="1:21">
      <c r="A695" s="86"/>
      <c r="B695" s="86"/>
      <c r="C695" s="87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48"/>
    </row>
    <row r="696" spans="1:21">
      <c r="A696" s="86"/>
      <c r="B696" s="86"/>
      <c r="C696" s="87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48"/>
    </row>
    <row r="697" spans="1:21">
      <c r="A697" s="86"/>
      <c r="B697" s="86"/>
      <c r="C697" s="87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48"/>
    </row>
    <row r="698" spans="1:21">
      <c r="A698" s="86"/>
      <c r="B698" s="86"/>
      <c r="C698" s="87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48"/>
    </row>
    <row r="699" spans="1:21">
      <c r="A699" s="86"/>
      <c r="B699" s="86"/>
      <c r="C699" s="87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48"/>
    </row>
    <row r="700" spans="1:21">
      <c r="A700" s="86"/>
      <c r="B700" s="86"/>
      <c r="C700" s="87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48"/>
    </row>
    <row r="701" spans="1:21">
      <c r="A701" s="86"/>
      <c r="B701" s="86"/>
      <c r="C701" s="87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48"/>
    </row>
    <row r="702" spans="1:21">
      <c r="A702" s="86"/>
      <c r="B702" s="86"/>
      <c r="C702" s="87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48"/>
    </row>
    <row r="703" spans="1:21">
      <c r="A703" s="86"/>
      <c r="B703" s="86"/>
      <c r="C703" s="87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48"/>
    </row>
    <row r="704" spans="1:21">
      <c r="A704" s="86"/>
      <c r="B704" s="86"/>
      <c r="C704" s="87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48"/>
    </row>
    <row r="705" spans="1:21">
      <c r="A705" s="86"/>
      <c r="B705" s="86"/>
      <c r="C705" s="87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48"/>
    </row>
    <row r="706" spans="1:21">
      <c r="A706" s="86"/>
      <c r="B706" s="86"/>
      <c r="C706" s="87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48"/>
    </row>
    <row r="707" spans="1:21">
      <c r="A707" s="86"/>
      <c r="B707" s="86"/>
      <c r="C707" s="87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48"/>
    </row>
    <row r="708" spans="1:21">
      <c r="A708" s="86"/>
      <c r="B708" s="86"/>
      <c r="C708" s="87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48"/>
    </row>
    <row r="709" spans="1:21">
      <c r="A709" s="86"/>
      <c r="B709" s="86"/>
      <c r="C709" s="87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48"/>
    </row>
    <row r="710" spans="1:21">
      <c r="A710" s="86"/>
      <c r="B710" s="86"/>
      <c r="C710" s="87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48"/>
    </row>
    <row r="711" spans="1:21">
      <c r="A711" s="86"/>
      <c r="B711" s="86"/>
      <c r="C711" s="87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48"/>
    </row>
    <row r="712" spans="1:21">
      <c r="A712" s="86"/>
      <c r="B712" s="86"/>
      <c r="C712" s="87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48"/>
    </row>
    <row r="713" spans="1:21">
      <c r="A713" s="86"/>
      <c r="B713" s="86"/>
      <c r="C713" s="87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48"/>
    </row>
    <row r="714" spans="1:21">
      <c r="A714" s="86"/>
      <c r="B714" s="86"/>
      <c r="C714" s="87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48"/>
    </row>
    <row r="715" spans="1:21">
      <c r="A715" s="86"/>
      <c r="B715" s="86"/>
      <c r="C715" s="87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48"/>
    </row>
    <row r="716" spans="1:21">
      <c r="A716" s="86"/>
      <c r="B716" s="86"/>
      <c r="C716" s="87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48"/>
    </row>
    <row r="717" spans="1:21">
      <c r="A717" s="86"/>
      <c r="B717" s="86"/>
      <c r="C717" s="87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48"/>
    </row>
    <row r="718" spans="1:21">
      <c r="A718" s="86"/>
      <c r="B718" s="86"/>
      <c r="C718" s="87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48"/>
    </row>
    <row r="719" spans="1:21">
      <c r="A719" s="86"/>
      <c r="B719" s="86"/>
      <c r="C719" s="87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48"/>
    </row>
    <row r="720" spans="1:21">
      <c r="A720" s="86"/>
      <c r="B720" s="86"/>
      <c r="C720" s="87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48"/>
    </row>
    <row r="721" spans="1:21">
      <c r="A721" s="86"/>
      <c r="B721" s="86"/>
      <c r="C721" s="87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48"/>
    </row>
    <row r="722" spans="1:21">
      <c r="A722" s="86"/>
      <c r="B722" s="86"/>
      <c r="C722" s="87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48"/>
    </row>
    <row r="723" spans="1:21">
      <c r="A723" s="86"/>
      <c r="B723" s="86"/>
      <c r="C723" s="87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48"/>
    </row>
    <row r="724" spans="1:21">
      <c r="A724" s="86"/>
      <c r="B724" s="86"/>
      <c r="C724" s="87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48"/>
    </row>
    <row r="725" spans="1:21">
      <c r="A725" s="86"/>
      <c r="B725" s="86"/>
      <c r="C725" s="87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48"/>
    </row>
    <row r="726" spans="1:21">
      <c r="A726" s="86"/>
      <c r="B726" s="86"/>
      <c r="C726" s="87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48"/>
    </row>
    <row r="727" spans="1:21">
      <c r="A727" s="86"/>
      <c r="B727" s="86"/>
      <c r="C727" s="87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48"/>
    </row>
    <row r="728" spans="1:21">
      <c r="A728" s="86"/>
      <c r="B728" s="86"/>
      <c r="C728" s="87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48"/>
    </row>
    <row r="729" spans="1:21">
      <c r="A729" s="86"/>
      <c r="B729" s="86"/>
      <c r="C729" s="87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48"/>
    </row>
    <row r="730" spans="1:21">
      <c r="A730" s="86"/>
      <c r="B730" s="86"/>
      <c r="C730" s="87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48"/>
    </row>
    <row r="731" spans="1:21">
      <c r="A731" s="86"/>
      <c r="B731" s="86"/>
      <c r="C731" s="87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48"/>
    </row>
    <row r="732" spans="1:21">
      <c r="A732" s="86"/>
      <c r="B732" s="86"/>
      <c r="C732" s="87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48"/>
    </row>
    <row r="733" spans="1:21">
      <c r="A733" s="86"/>
      <c r="B733" s="86"/>
      <c r="C733" s="87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48"/>
    </row>
    <row r="734" spans="1:21">
      <c r="A734" s="86"/>
      <c r="B734" s="86"/>
      <c r="C734" s="87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48"/>
    </row>
    <row r="735" spans="1:21">
      <c r="A735" s="86"/>
      <c r="B735" s="86"/>
      <c r="C735" s="87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48"/>
    </row>
    <row r="736" spans="1:21">
      <c r="A736" s="86"/>
      <c r="B736" s="86"/>
      <c r="C736" s="87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48"/>
    </row>
    <row r="737" spans="1:21">
      <c r="A737" s="86"/>
      <c r="B737" s="86"/>
      <c r="C737" s="87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48"/>
    </row>
    <row r="738" spans="1:21">
      <c r="A738" s="86"/>
      <c r="B738" s="86"/>
      <c r="C738" s="87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48"/>
    </row>
    <row r="739" spans="1:21">
      <c r="A739" s="86"/>
      <c r="B739" s="86"/>
      <c r="C739" s="87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48"/>
    </row>
    <row r="740" spans="1:21">
      <c r="A740" s="86"/>
      <c r="B740" s="86"/>
      <c r="C740" s="87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48"/>
    </row>
    <row r="741" spans="1:21">
      <c r="A741" s="86"/>
      <c r="B741" s="86"/>
      <c r="C741" s="87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48"/>
    </row>
    <row r="742" spans="1:21">
      <c r="A742" s="86"/>
      <c r="B742" s="86"/>
      <c r="C742" s="87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48"/>
    </row>
    <row r="743" spans="1:21">
      <c r="A743" s="86"/>
      <c r="B743" s="86"/>
      <c r="C743" s="87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48"/>
    </row>
    <row r="744" spans="1:21">
      <c r="A744" s="86"/>
      <c r="B744" s="86"/>
      <c r="C744" s="87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48"/>
    </row>
    <row r="745" spans="1:21">
      <c r="A745" s="86"/>
      <c r="B745" s="86"/>
      <c r="C745" s="87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48"/>
    </row>
    <row r="746" spans="1:21">
      <c r="A746" s="86"/>
      <c r="B746" s="86"/>
      <c r="C746" s="87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48"/>
    </row>
    <row r="747" spans="1:21">
      <c r="A747" s="86"/>
      <c r="B747" s="86"/>
      <c r="C747" s="87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48"/>
    </row>
    <row r="748" spans="1:21">
      <c r="A748" s="86"/>
      <c r="B748" s="86"/>
      <c r="C748" s="87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48"/>
    </row>
    <row r="749" spans="1:21">
      <c r="A749" s="86"/>
      <c r="B749" s="86"/>
      <c r="C749" s="87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48"/>
    </row>
    <row r="750" spans="1:21">
      <c r="A750" s="86"/>
      <c r="B750" s="86"/>
      <c r="C750" s="87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48"/>
    </row>
    <row r="751" spans="1:21">
      <c r="A751" s="86"/>
      <c r="B751" s="86"/>
      <c r="C751" s="87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48"/>
    </row>
    <row r="752" spans="1:21">
      <c r="A752" s="86"/>
      <c r="B752" s="86"/>
      <c r="C752" s="87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48"/>
    </row>
    <row r="753" spans="1:21">
      <c r="A753" s="86"/>
      <c r="B753" s="86"/>
      <c r="C753" s="87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48"/>
    </row>
    <row r="754" spans="1:21">
      <c r="A754" s="86"/>
      <c r="B754" s="86"/>
      <c r="C754" s="87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48"/>
    </row>
    <row r="755" spans="1:21">
      <c r="A755" s="86"/>
      <c r="B755" s="86"/>
      <c r="C755" s="87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48"/>
    </row>
    <row r="756" spans="1:21">
      <c r="A756" s="86"/>
      <c r="B756" s="86"/>
      <c r="C756" s="87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48"/>
    </row>
    <row r="757" spans="1:21">
      <c r="A757" s="86"/>
      <c r="B757" s="86"/>
      <c r="C757" s="87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48"/>
    </row>
    <row r="758" spans="1:21">
      <c r="A758" s="86"/>
      <c r="B758" s="86"/>
      <c r="C758" s="87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48"/>
    </row>
    <row r="759" spans="1:21">
      <c r="A759" s="86"/>
      <c r="B759" s="86"/>
      <c r="C759" s="87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48"/>
    </row>
    <row r="760" spans="1:21">
      <c r="A760" s="86"/>
      <c r="B760" s="86"/>
      <c r="C760" s="87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48"/>
    </row>
    <row r="761" spans="1:21">
      <c r="A761" s="86"/>
      <c r="B761" s="86"/>
      <c r="C761" s="87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48"/>
    </row>
    <row r="762" spans="1:21">
      <c r="A762" s="86"/>
      <c r="B762" s="86"/>
      <c r="C762" s="87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48"/>
    </row>
    <row r="763" spans="1:21">
      <c r="A763" s="86"/>
      <c r="B763" s="86"/>
      <c r="C763" s="87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48"/>
    </row>
    <row r="764" spans="1:21">
      <c r="A764" s="86"/>
      <c r="B764" s="86"/>
      <c r="C764" s="87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48"/>
    </row>
    <row r="765" spans="1:21">
      <c r="A765" s="86"/>
      <c r="B765" s="86"/>
      <c r="C765" s="87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48"/>
    </row>
    <row r="766" spans="1:21">
      <c r="A766" s="86"/>
      <c r="B766" s="86"/>
      <c r="C766" s="87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48"/>
    </row>
    <row r="767" spans="1:21">
      <c r="A767" s="86"/>
      <c r="B767" s="86"/>
      <c r="C767" s="87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48"/>
    </row>
    <row r="768" spans="1:21">
      <c r="A768" s="86"/>
      <c r="B768" s="86"/>
      <c r="C768" s="87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48"/>
    </row>
    <row r="769" spans="1:21">
      <c r="A769" s="86"/>
      <c r="B769" s="86"/>
      <c r="C769" s="87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48"/>
    </row>
    <row r="770" spans="1:21">
      <c r="A770" s="86"/>
      <c r="B770" s="86"/>
      <c r="C770" s="87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48"/>
    </row>
    <row r="771" spans="1:21">
      <c r="A771" s="86"/>
      <c r="B771" s="86"/>
      <c r="C771" s="87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48"/>
    </row>
    <row r="772" spans="1:21">
      <c r="A772" s="86"/>
      <c r="B772" s="86"/>
      <c r="C772" s="87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48"/>
    </row>
    <row r="773" spans="1:21">
      <c r="A773" s="86"/>
      <c r="B773" s="86"/>
      <c r="C773" s="87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48"/>
    </row>
    <row r="774" spans="1:21">
      <c r="A774" s="86"/>
      <c r="B774" s="86"/>
      <c r="C774" s="87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48"/>
    </row>
    <row r="775" spans="1:21">
      <c r="A775" s="86"/>
      <c r="B775" s="86"/>
      <c r="C775" s="87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48"/>
    </row>
    <row r="776" spans="1:21">
      <c r="A776" s="86"/>
      <c r="B776" s="86"/>
      <c r="C776" s="87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48"/>
    </row>
    <row r="777" spans="1:21">
      <c r="A777" s="86"/>
      <c r="B777" s="86"/>
      <c r="C777" s="87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48"/>
    </row>
    <row r="778" spans="1:21">
      <c r="A778" s="86"/>
      <c r="B778" s="86"/>
      <c r="C778" s="87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48"/>
    </row>
    <row r="779" spans="1:21">
      <c r="A779" s="86"/>
      <c r="B779" s="86"/>
      <c r="C779" s="87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48"/>
    </row>
    <row r="780" spans="1:21">
      <c r="A780" s="86"/>
      <c r="B780" s="86"/>
      <c r="C780" s="87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48"/>
    </row>
    <row r="781" spans="1:21">
      <c r="A781" s="86"/>
      <c r="B781" s="86"/>
      <c r="C781" s="87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48"/>
    </row>
    <row r="782" spans="1:21">
      <c r="A782" s="86"/>
      <c r="B782" s="86"/>
      <c r="C782" s="87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48"/>
    </row>
    <row r="783" spans="1:21">
      <c r="A783" s="86"/>
      <c r="B783" s="86"/>
      <c r="C783" s="87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48"/>
    </row>
    <row r="784" spans="1:21">
      <c r="A784" s="86"/>
      <c r="B784" s="86"/>
      <c r="C784" s="87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48"/>
    </row>
    <row r="785" spans="1:21">
      <c r="A785" s="86"/>
      <c r="B785" s="86"/>
      <c r="C785" s="87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48"/>
    </row>
    <row r="786" spans="1:21">
      <c r="A786" s="86"/>
      <c r="B786" s="86"/>
      <c r="C786" s="87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48"/>
    </row>
    <row r="787" spans="1:21">
      <c r="A787" s="86"/>
      <c r="B787" s="86"/>
      <c r="C787" s="87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48"/>
    </row>
    <row r="788" spans="1:21">
      <c r="A788" s="86"/>
      <c r="B788" s="86"/>
      <c r="C788" s="87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48"/>
    </row>
    <row r="789" spans="1:21">
      <c r="A789" s="86"/>
      <c r="B789" s="86"/>
      <c r="C789" s="87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48"/>
    </row>
    <row r="790" spans="1:21">
      <c r="A790" s="86"/>
      <c r="B790" s="86"/>
      <c r="C790" s="87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48"/>
    </row>
    <row r="791" spans="1:21">
      <c r="A791" s="86"/>
      <c r="B791" s="86"/>
      <c r="C791" s="87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48"/>
    </row>
    <row r="792" spans="1:21">
      <c r="A792" s="86"/>
      <c r="B792" s="86"/>
      <c r="C792" s="87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48"/>
    </row>
    <row r="793" spans="1:21">
      <c r="A793" s="86"/>
      <c r="B793" s="86"/>
      <c r="C793" s="87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48"/>
    </row>
    <row r="794" spans="1:21">
      <c r="A794" s="86"/>
      <c r="B794" s="86"/>
      <c r="C794" s="87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48"/>
    </row>
    <row r="795" spans="1:21">
      <c r="A795" s="86"/>
      <c r="B795" s="86"/>
      <c r="C795" s="87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48"/>
    </row>
    <row r="796" spans="1:21">
      <c r="A796" s="86"/>
      <c r="B796" s="86"/>
      <c r="C796" s="87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48"/>
    </row>
    <row r="797" spans="1:21">
      <c r="A797" s="86"/>
      <c r="B797" s="86"/>
      <c r="C797" s="87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48"/>
    </row>
    <row r="798" spans="1:21">
      <c r="A798" s="86"/>
      <c r="B798" s="86"/>
      <c r="C798" s="87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48"/>
    </row>
    <row r="799" spans="1:21">
      <c r="A799" s="86"/>
      <c r="B799" s="86"/>
      <c r="C799" s="87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48"/>
    </row>
    <row r="800" spans="1:21">
      <c r="A800" s="86"/>
      <c r="B800" s="86"/>
      <c r="C800" s="87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48"/>
    </row>
    <row r="801" spans="1:21">
      <c r="A801" s="86"/>
      <c r="B801" s="86"/>
      <c r="C801" s="87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48"/>
    </row>
    <row r="802" spans="1:21">
      <c r="A802" s="86"/>
      <c r="B802" s="86"/>
      <c r="C802" s="87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48"/>
    </row>
    <row r="803" spans="1:21">
      <c r="A803" s="86"/>
      <c r="B803" s="86"/>
      <c r="C803" s="87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48"/>
    </row>
    <row r="804" spans="1:21">
      <c r="A804" s="86"/>
      <c r="B804" s="86"/>
      <c r="C804" s="87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48"/>
    </row>
    <row r="805" spans="1:21">
      <c r="A805" s="86"/>
      <c r="B805" s="86"/>
      <c r="C805" s="87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48"/>
    </row>
    <row r="806" spans="1:21">
      <c r="A806" s="86"/>
      <c r="B806" s="86"/>
      <c r="C806" s="87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48"/>
    </row>
    <row r="807" spans="1:21">
      <c r="A807" s="86"/>
      <c r="B807" s="86"/>
      <c r="C807" s="87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48"/>
    </row>
    <row r="808" spans="1:21">
      <c r="A808" s="86"/>
      <c r="B808" s="86"/>
      <c r="C808" s="87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48"/>
    </row>
    <row r="809" spans="1:21">
      <c r="A809" s="86"/>
      <c r="B809" s="86"/>
      <c r="C809" s="87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48"/>
    </row>
    <row r="810" spans="1:21">
      <c r="A810" s="86"/>
      <c r="B810" s="86"/>
      <c r="C810" s="87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48"/>
    </row>
    <row r="811" spans="1:21">
      <c r="A811" s="86"/>
      <c r="B811" s="86"/>
      <c r="C811" s="87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48"/>
    </row>
    <row r="812" spans="1:21">
      <c r="A812" s="86"/>
      <c r="B812" s="86"/>
      <c r="C812" s="87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48"/>
    </row>
    <row r="813" spans="1:21">
      <c r="A813" s="86"/>
      <c r="B813" s="86"/>
      <c r="C813" s="87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48"/>
    </row>
    <row r="814" spans="1:21">
      <c r="A814" s="86"/>
      <c r="B814" s="86"/>
      <c r="C814" s="87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48"/>
    </row>
    <row r="815" spans="1:21">
      <c r="A815" s="86"/>
      <c r="B815" s="86"/>
      <c r="C815" s="87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48"/>
    </row>
    <row r="816" spans="1:21">
      <c r="A816" s="86"/>
      <c r="B816" s="86"/>
      <c r="C816" s="87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48"/>
    </row>
    <row r="817" spans="1:21">
      <c r="A817" s="86"/>
      <c r="B817" s="86"/>
      <c r="C817" s="87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48"/>
    </row>
    <row r="818" spans="1:21">
      <c r="A818" s="86"/>
      <c r="B818" s="86"/>
      <c r="C818" s="87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48"/>
    </row>
    <row r="819" spans="1:21">
      <c r="A819" s="86"/>
      <c r="B819" s="86"/>
      <c r="C819" s="87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48"/>
    </row>
    <row r="820" spans="1:21">
      <c r="A820" s="86"/>
      <c r="B820" s="86"/>
      <c r="C820" s="87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48"/>
    </row>
    <row r="821" spans="1:21">
      <c r="A821" s="86"/>
      <c r="B821" s="86"/>
      <c r="C821" s="87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48"/>
    </row>
    <row r="822" spans="1:21">
      <c r="A822" s="86"/>
      <c r="B822" s="86"/>
      <c r="C822" s="87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48"/>
    </row>
    <row r="823" spans="1:21">
      <c r="A823" s="86"/>
      <c r="B823" s="86"/>
      <c r="C823" s="87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48"/>
    </row>
    <row r="824" spans="1:21">
      <c r="A824" s="86"/>
      <c r="B824" s="86"/>
      <c r="C824" s="87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48"/>
    </row>
    <row r="825" spans="1:21">
      <c r="A825" s="86"/>
      <c r="B825" s="86"/>
      <c r="C825" s="87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48"/>
    </row>
    <row r="826" spans="1:21">
      <c r="A826" s="86"/>
      <c r="B826" s="86"/>
      <c r="C826" s="87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48"/>
    </row>
    <row r="827" spans="1:21">
      <c r="A827" s="86"/>
      <c r="B827" s="86"/>
      <c r="C827" s="87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48"/>
    </row>
    <row r="828" spans="1:21">
      <c r="A828" s="86"/>
      <c r="B828" s="86"/>
      <c r="C828" s="87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48"/>
    </row>
    <row r="829" spans="1:21">
      <c r="A829" s="86"/>
      <c r="B829" s="86"/>
      <c r="C829" s="87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48"/>
    </row>
    <row r="830" spans="1:21">
      <c r="A830" s="86"/>
      <c r="B830" s="86"/>
      <c r="C830" s="87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48"/>
    </row>
    <row r="831" spans="1:21">
      <c r="A831" s="86"/>
      <c r="B831" s="86"/>
      <c r="C831" s="87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48"/>
    </row>
    <row r="832" spans="1:21">
      <c r="A832" s="86"/>
      <c r="B832" s="86"/>
      <c r="C832" s="87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48"/>
    </row>
    <row r="833" spans="1:21">
      <c r="A833" s="86"/>
      <c r="B833" s="86"/>
      <c r="C833" s="87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48"/>
    </row>
    <row r="834" spans="1:21">
      <c r="A834" s="86"/>
      <c r="B834" s="86"/>
      <c r="C834" s="87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48"/>
    </row>
    <row r="835" spans="1:21">
      <c r="A835" s="86"/>
      <c r="B835" s="86"/>
      <c r="C835" s="87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48"/>
    </row>
    <row r="836" spans="1:21">
      <c r="A836" s="86"/>
      <c r="B836" s="86"/>
      <c r="C836" s="87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48"/>
    </row>
    <row r="837" spans="1:21">
      <c r="A837" s="86"/>
      <c r="B837" s="86"/>
      <c r="C837" s="87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48"/>
    </row>
    <row r="838" spans="1:21">
      <c r="A838" s="86"/>
      <c r="B838" s="86"/>
      <c r="C838" s="87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48"/>
    </row>
    <row r="839" spans="1:21">
      <c r="A839" s="86"/>
      <c r="B839" s="86"/>
      <c r="C839" s="87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48"/>
    </row>
    <row r="840" spans="1:21">
      <c r="A840" s="86"/>
      <c r="B840" s="86"/>
      <c r="C840" s="87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48"/>
    </row>
    <row r="841" spans="1:21">
      <c r="A841" s="86"/>
      <c r="B841" s="86"/>
      <c r="C841" s="87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48"/>
    </row>
    <row r="842" spans="1:21">
      <c r="A842" s="86"/>
      <c r="B842" s="86"/>
      <c r="C842" s="87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48"/>
    </row>
    <row r="843" spans="1:21">
      <c r="A843" s="86"/>
      <c r="B843" s="86"/>
      <c r="C843" s="87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48"/>
    </row>
    <row r="844" spans="1:21">
      <c r="A844" s="86"/>
      <c r="B844" s="86"/>
      <c r="C844" s="87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48"/>
    </row>
    <row r="845" spans="1:21">
      <c r="A845" s="86"/>
      <c r="B845" s="86"/>
      <c r="C845" s="87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48"/>
    </row>
    <row r="846" spans="1:21">
      <c r="A846" s="86"/>
      <c r="B846" s="86"/>
      <c r="C846" s="87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48"/>
    </row>
    <row r="847" spans="1:21">
      <c r="A847" s="86"/>
      <c r="B847" s="86"/>
      <c r="C847" s="87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48"/>
    </row>
    <row r="848" spans="1:21">
      <c r="A848" s="86"/>
      <c r="B848" s="86"/>
      <c r="C848" s="87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48"/>
    </row>
    <row r="849" spans="1:21">
      <c r="A849" s="86"/>
      <c r="B849" s="86"/>
      <c r="C849" s="87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48"/>
    </row>
    <row r="850" spans="1:21">
      <c r="A850" s="86"/>
      <c r="B850" s="86"/>
      <c r="C850" s="87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48"/>
    </row>
    <row r="851" spans="1:21">
      <c r="A851" s="86"/>
      <c r="B851" s="86"/>
      <c r="C851" s="87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48"/>
    </row>
    <row r="852" spans="1:21">
      <c r="A852" s="86"/>
      <c r="B852" s="86"/>
      <c r="C852" s="87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48"/>
    </row>
    <row r="853" spans="1:21">
      <c r="A853" s="86"/>
      <c r="B853" s="86"/>
      <c r="C853" s="87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48"/>
    </row>
    <row r="854" spans="1:21">
      <c r="A854" s="86"/>
      <c r="B854" s="86"/>
      <c r="C854" s="87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48"/>
    </row>
    <row r="855" spans="1:21">
      <c r="A855" s="86"/>
      <c r="B855" s="86"/>
      <c r="C855" s="87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48"/>
    </row>
    <row r="856" spans="1:21">
      <c r="A856" s="86"/>
      <c r="B856" s="86"/>
      <c r="C856" s="87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48"/>
    </row>
    <row r="857" spans="1:21">
      <c r="A857" s="86"/>
      <c r="B857" s="86"/>
      <c r="C857" s="87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48"/>
    </row>
    <row r="858" spans="1:21">
      <c r="A858" s="86"/>
      <c r="B858" s="86"/>
      <c r="C858" s="87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48"/>
    </row>
    <row r="859" spans="1:21">
      <c r="A859" s="86"/>
      <c r="B859" s="86"/>
      <c r="C859" s="87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48"/>
    </row>
    <row r="860" spans="1:21">
      <c r="A860" s="86"/>
      <c r="B860" s="86"/>
      <c r="C860" s="87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48"/>
    </row>
    <row r="861" spans="1:21">
      <c r="A861" s="86"/>
      <c r="B861" s="86"/>
      <c r="C861" s="87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48"/>
    </row>
    <row r="862" spans="1:21">
      <c r="A862" s="86"/>
      <c r="B862" s="86"/>
      <c r="C862" s="87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48"/>
    </row>
    <row r="863" spans="1:21">
      <c r="A863" s="86"/>
      <c r="B863" s="86"/>
      <c r="C863" s="87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48"/>
    </row>
    <row r="864" spans="1:21">
      <c r="A864" s="86"/>
      <c r="B864" s="86"/>
      <c r="C864" s="87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48"/>
    </row>
    <row r="865" spans="1:21">
      <c r="A865" s="86"/>
      <c r="B865" s="86"/>
      <c r="C865" s="87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48"/>
    </row>
    <row r="866" spans="1:21">
      <c r="A866" s="86"/>
      <c r="B866" s="86"/>
      <c r="C866" s="87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48"/>
    </row>
    <row r="867" spans="1:21">
      <c r="A867" s="86"/>
      <c r="B867" s="86"/>
      <c r="C867" s="87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48"/>
    </row>
    <row r="868" spans="1:21">
      <c r="A868" s="86"/>
      <c r="B868" s="86"/>
      <c r="C868" s="87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48"/>
    </row>
    <row r="869" spans="1:21">
      <c r="A869" s="86"/>
      <c r="B869" s="86"/>
      <c r="C869" s="87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48"/>
    </row>
    <row r="870" spans="1:21">
      <c r="A870" s="86"/>
      <c r="B870" s="86"/>
      <c r="C870" s="87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48"/>
    </row>
    <row r="871" spans="1:21">
      <c r="A871" s="86"/>
      <c r="B871" s="86"/>
      <c r="C871" s="87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48"/>
    </row>
    <row r="872" spans="1:21">
      <c r="A872" s="86"/>
      <c r="B872" s="86"/>
      <c r="C872" s="87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48"/>
    </row>
    <row r="873" spans="1:21">
      <c r="A873" s="86"/>
      <c r="B873" s="86"/>
      <c r="C873" s="87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48"/>
    </row>
    <row r="874" spans="1:21">
      <c r="A874" s="86"/>
      <c r="B874" s="86"/>
      <c r="C874" s="87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48"/>
    </row>
    <row r="875" spans="1:21">
      <c r="A875" s="86"/>
      <c r="B875" s="86"/>
      <c r="C875" s="87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48"/>
    </row>
    <row r="876" spans="1:21">
      <c r="A876" s="86"/>
      <c r="B876" s="86"/>
      <c r="C876" s="87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48"/>
    </row>
    <row r="877" spans="1:21">
      <c r="A877" s="86"/>
      <c r="B877" s="86"/>
      <c r="C877" s="87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48"/>
    </row>
    <row r="878" spans="1:21">
      <c r="A878" s="86"/>
      <c r="B878" s="86"/>
      <c r="C878" s="87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48"/>
    </row>
    <row r="879" spans="1:21">
      <c r="A879" s="86"/>
      <c r="B879" s="86"/>
      <c r="C879" s="87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48"/>
    </row>
    <row r="880" spans="1:21">
      <c r="A880" s="86"/>
      <c r="B880" s="86"/>
      <c r="C880" s="87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48"/>
    </row>
    <row r="881" spans="1:21">
      <c r="A881" s="86"/>
      <c r="B881" s="86"/>
      <c r="C881" s="87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48"/>
    </row>
    <row r="882" spans="1:21">
      <c r="A882" s="86"/>
      <c r="B882" s="86"/>
      <c r="C882" s="87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48"/>
    </row>
    <row r="883" spans="1:21">
      <c r="A883" s="86"/>
      <c r="B883" s="86"/>
      <c r="C883" s="87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48"/>
    </row>
    <row r="884" spans="1:21">
      <c r="A884" s="86"/>
      <c r="B884" s="86"/>
      <c r="C884" s="87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48"/>
    </row>
    <row r="885" spans="1:21">
      <c r="A885" s="86"/>
      <c r="B885" s="86"/>
      <c r="C885" s="87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48"/>
    </row>
    <row r="886" spans="1:21">
      <c r="A886" s="86"/>
      <c r="B886" s="86"/>
      <c r="C886" s="87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48"/>
    </row>
    <row r="887" spans="1:21">
      <c r="A887" s="86"/>
      <c r="B887" s="86"/>
      <c r="C887" s="87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48"/>
    </row>
    <row r="888" spans="1:21">
      <c r="A888" s="86"/>
      <c r="B888" s="86"/>
      <c r="C888" s="87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48"/>
    </row>
    <row r="889" spans="1:21">
      <c r="A889" s="86"/>
      <c r="B889" s="86"/>
      <c r="C889" s="87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48"/>
    </row>
    <row r="890" spans="1:21">
      <c r="A890" s="86"/>
      <c r="B890" s="86"/>
      <c r="C890" s="87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48"/>
    </row>
    <row r="891" spans="1:21">
      <c r="A891" s="86"/>
      <c r="B891" s="86"/>
      <c r="C891" s="87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48"/>
    </row>
    <row r="892" spans="1:21">
      <c r="A892" s="86"/>
      <c r="B892" s="86"/>
      <c r="C892" s="87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48"/>
    </row>
    <row r="893" spans="1:21">
      <c r="A893" s="86"/>
      <c r="B893" s="86"/>
      <c r="C893" s="87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48"/>
    </row>
    <row r="894" spans="1:21">
      <c r="A894" s="86"/>
      <c r="B894" s="86"/>
      <c r="C894" s="87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48"/>
    </row>
    <row r="895" spans="1:21">
      <c r="A895" s="86"/>
      <c r="B895" s="86"/>
      <c r="C895" s="87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48"/>
    </row>
    <row r="896" spans="1:21">
      <c r="A896" s="86"/>
      <c r="B896" s="86"/>
      <c r="C896" s="87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48"/>
    </row>
    <row r="897" spans="1:21">
      <c r="A897" s="86"/>
      <c r="B897" s="86"/>
      <c r="C897" s="87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48"/>
    </row>
    <row r="898" spans="1:21">
      <c r="A898" s="86"/>
      <c r="B898" s="86"/>
      <c r="C898" s="87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48"/>
    </row>
    <row r="899" spans="1:21">
      <c r="A899" s="86"/>
      <c r="B899" s="86"/>
      <c r="C899" s="87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48"/>
    </row>
    <row r="900" spans="1:21">
      <c r="A900" s="86"/>
      <c r="B900" s="86"/>
      <c r="C900" s="87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48"/>
    </row>
    <row r="901" spans="1:21">
      <c r="A901" s="86"/>
      <c r="B901" s="86"/>
      <c r="C901" s="87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48"/>
    </row>
    <row r="902" spans="1:21">
      <c r="A902" s="86"/>
      <c r="B902" s="86"/>
      <c r="C902" s="87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48"/>
    </row>
    <row r="903" spans="1:21">
      <c r="A903" s="86"/>
      <c r="B903" s="86"/>
      <c r="C903" s="87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48"/>
    </row>
    <row r="904" spans="1:21">
      <c r="A904" s="86"/>
      <c r="B904" s="86"/>
      <c r="C904" s="87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48"/>
    </row>
    <row r="905" spans="1:21">
      <c r="A905" s="86"/>
      <c r="B905" s="86"/>
      <c r="C905" s="87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48"/>
    </row>
    <row r="906" spans="1:21">
      <c r="A906" s="86"/>
      <c r="B906" s="86"/>
      <c r="C906" s="87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48"/>
    </row>
    <row r="907" spans="1:21">
      <c r="A907" s="86"/>
      <c r="B907" s="86"/>
      <c r="C907" s="87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48"/>
    </row>
    <row r="908" spans="1:21">
      <c r="A908" s="86"/>
      <c r="B908" s="86"/>
      <c r="C908" s="87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48"/>
    </row>
    <row r="909" spans="1:21">
      <c r="A909" s="86"/>
      <c r="B909" s="86"/>
      <c r="C909" s="87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48"/>
    </row>
    <row r="910" spans="1:21">
      <c r="A910" s="86"/>
      <c r="B910" s="86"/>
      <c r="C910" s="87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48"/>
    </row>
    <row r="911" spans="1:21">
      <c r="A911" s="86"/>
      <c r="B911" s="86"/>
      <c r="C911" s="87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48"/>
    </row>
    <row r="912" spans="1:21">
      <c r="A912" s="86"/>
      <c r="B912" s="86"/>
      <c r="C912" s="87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48"/>
    </row>
    <row r="913" spans="1:21">
      <c r="A913" s="86"/>
      <c r="B913" s="86"/>
      <c r="C913" s="87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48"/>
    </row>
    <row r="914" spans="1:21">
      <c r="A914" s="86"/>
      <c r="B914" s="86"/>
      <c r="C914" s="87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48"/>
    </row>
    <row r="915" spans="1:21">
      <c r="A915" s="86"/>
      <c r="B915" s="86"/>
      <c r="C915" s="87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48"/>
    </row>
    <row r="916" spans="1:21">
      <c r="A916" s="86"/>
      <c r="B916" s="86"/>
      <c r="C916" s="87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48"/>
    </row>
    <row r="917" spans="1:21">
      <c r="A917" s="86"/>
      <c r="B917" s="86"/>
      <c r="C917" s="87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48"/>
    </row>
    <row r="918" spans="1:21">
      <c r="A918" s="86"/>
      <c r="B918" s="86"/>
      <c r="C918" s="87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48"/>
    </row>
    <row r="919" spans="1:21">
      <c r="A919" s="86"/>
      <c r="B919" s="86"/>
      <c r="C919" s="87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48"/>
    </row>
    <row r="920" spans="1:21">
      <c r="A920" s="86"/>
      <c r="B920" s="86"/>
      <c r="C920" s="87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48"/>
    </row>
    <row r="921" spans="1:21">
      <c r="A921" s="86"/>
      <c r="B921" s="86"/>
      <c r="C921" s="87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48"/>
    </row>
    <row r="922" spans="1:21">
      <c r="A922" s="86"/>
      <c r="B922" s="86"/>
      <c r="C922" s="87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48"/>
    </row>
    <row r="923" spans="1:21">
      <c r="A923" s="86"/>
      <c r="B923" s="86"/>
      <c r="C923" s="87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48"/>
    </row>
    <row r="924" spans="1:21">
      <c r="A924" s="86"/>
      <c r="B924" s="86"/>
      <c r="C924" s="87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48"/>
    </row>
    <row r="925" spans="1:21">
      <c r="A925" s="86"/>
      <c r="B925" s="86"/>
      <c r="C925" s="87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48"/>
    </row>
    <row r="926" spans="1:21">
      <c r="A926" s="86"/>
      <c r="B926" s="86"/>
      <c r="C926" s="87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48"/>
    </row>
    <row r="927" spans="1:21">
      <c r="A927" s="86"/>
      <c r="B927" s="86"/>
      <c r="C927" s="87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48"/>
    </row>
    <row r="928" spans="1:21">
      <c r="A928" s="86"/>
      <c r="B928" s="86"/>
      <c r="C928" s="87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48"/>
    </row>
    <row r="929" spans="1:21">
      <c r="A929" s="86"/>
      <c r="B929" s="86"/>
      <c r="C929" s="87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48"/>
    </row>
    <row r="930" spans="1:21">
      <c r="A930" s="86"/>
      <c r="B930" s="86"/>
      <c r="C930" s="87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48"/>
    </row>
    <row r="931" spans="1:21">
      <c r="A931" s="86"/>
      <c r="B931" s="86"/>
      <c r="C931" s="87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48"/>
    </row>
    <row r="932" spans="1:21">
      <c r="A932" s="86"/>
      <c r="B932" s="86"/>
      <c r="C932" s="87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48"/>
    </row>
    <row r="933" spans="1:21">
      <c r="A933" s="86"/>
      <c r="B933" s="86"/>
      <c r="C933" s="87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48"/>
    </row>
    <row r="934" spans="1:21">
      <c r="A934" s="86"/>
      <c r="B934" s="86"/>
      <c r="C934" s="87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48"/>
    </row>
    <row r="935" spans="1:21">
      <c r="A935" s="86"/>
      <c r="B935" s="86"/>
      <c r="C935" s="87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48"/>
    </row>
    <row r="936" spans="1:21">
      <c r="A936" s="86"/>
      <c r="B936" s="86"/>
      <c r="C936" s="87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48"/>
    </row>
    <row r="937" spans="1:21">
      <c r="A937" s="86"/>
      <c r="B937" s="86"/>
      <c r="C937" s="87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48"/>
    </row>
    <row r="938" spans="1:21">
      <c r="A938" s="86"/>
      <c r="B938" s="86"/>
      <c r="C938" s="87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48"/>
    </row>
    <row r="939" spans="1:21">
      <c r="A939" s="86"/>
      <c r="B939" s="86"/>
      <c r="C939" s="87"/>
      <c r="D939" s="86"/>
      <c r="E939" s="86"/>
      <c r="F939" s="86"/>
      <c r="G939" s="86"/>
      <c r="H939" s="86"/>
      <c r="I939" s="86"/>
      <c r="J939" s="86"/>
      <c r="K939" s="86"/>
      <c r="L939" s="86"/>
      <c r="M939" s="86"/>
      <c r="N939" s="86"/>
      <c r="O939" s="86"/>
      <c r="P939" s="86"/>
      <c r="Q939" s="86"/>
      <c r="R939" s="86"/>
      <c r="S939" s="86"/>
      <c r="T939" s="86"/>
      <c r="U939" s="48"/>
    </row>
    <row r="940" spans="1:21">
      <c r="A940" s="86"/>
      <c r="B940" s="86"/>
      <c r="C940" s="87"/>
      <c r="D940" s="86"/>
      <c r="E940" s="86"/>
      <c r="F940" s="86"/>
      <c r="G940" s="86"/>
      <c r="H940" s="86"/>
      <c r="I940" s="86"/>
      <c r="J940" s="86"/>
      <c r="K940" s="86"/>
      <c r="L940" s="86"/>
      <c r="M940" s="86"/>
      <c r="N940" s="86"/>
      <c r="O940" s="86"/>
      <c r="P940" s="86"/>
      <c r="Q940" s="86"/>
      <c r="R940" s="86"/>
      <c r="S940" s="86"/>
      <c r="T940" s="86"/>
      <c r="U940" s="48"/>
    </row>
    <row r="941" spans="1:21">
      <c r="A941" s="86"/>
      <c r="B941" s="86"/>
      <c r="C941" s="87"/>
      <c r="D941" s="86"/>
      <c r="E941" s="86"/>
      <c r="F941" s="86"/>
      <c r="G941" s="86"/>
      <c r="H941" s="86"/>
      <c r="I941" s="86"/>
      <c r="J941" s="86"/>
      <c r="K941" s="86"/>
      <c r="L941" s="86"/>
      <c r="M941" s="86"/>
      <c r="N941" s="86"/>
      <c r="O941" s="86"/>
      <c r="P941" s="86"/>
      <c r="Q941" s="86"/>
      <c r="R941" s="86"/>
      <c r="S941" s="86"/>
      <c r="T941" s="86"/>
      <c r="U941" s="48"/>
    </row>
    <row r="942" spans="1:21">
      <c r="A942" s="86"/>
      <c r="B942" s="86"/>
      <c r="C942" s="87"/>
      <c r="D942" s="86"/>
      <c r="E942" s="86"/>
      <c r="F942" s="86"/>
      <c r="G942" s="86"/>
      <c r="H942" s="86"/>
      <c r="I942" s="86"/>
      <c r="J942" s="86"/>
      <c r="K942" s="86"/>
      <c r="L942" s="86"/>
      <c r="M942" s="86"/>
      <c r="N942" s="86"/>
      <c r="O942" s="86"/>
      <c r="P942" s="86"/>
      <c r="Q942" s="86"/>
      <c r="R942" s="86"/>
      <c r="S942" s="86"/>
      <c r="T942" s="86"/>
      <c r="U942" s="48"/>
    </row>
    <row r="943" spans="1:21">
      <c r="A943" s="86"/>
      <c r="B943" s="86"/>
      <c r="C943" s="87"/>
      <c r="D943" s="86"/>
      <c r="E943" s="86"/>
      <c r="F943" s="86"/>
      <c r="G943" s="86"/>
      <c r="H943" s="86"/>
      <c r="I943" s="86"/>
      <c r="J943" s="86"/>
      <c r="K943" s="86"/>
      <c r="L943" s="86"/>
      <c r="M943" s="86"/>
      <c r="N943" s="86"/>
      <c r="O943" s="86"/>
      <c r="P943" s="86"/>
      <c r="Q943" s="86"/>
      <c r="R943" s="86"/>
      <c r="S943" s="86"/>
      <c r="T943" s="86"/>
      <c r="U943" s="48"/>
    </row>
    <row r="944" spans="1:21">
      <c r="A944" s="86"/>
      <c r="B944" s="86"/>
      <c r="C944" s="87"/>
      <c r="D944" s="86"/>
      <c r="E944" s="86"/>
      <c r="F944" s="86"/>
      <c r="G944" s="86"/>
      <c r="H944" s="86"/>
      <c r="I944" s="86"/>
      <c r="J944" s="86"/>
      <c r="K944" s="86"/>
      <c r="L944" s="86"/>
      <c r="M944" s="86"/>
      <c r="N944" s="86"/>
      <c r="O944" s="86"/>
      <c r="P944" s="86"/>
      <c r="Q944" s="86"/>
      <c r="R944" s="86"/>
      <c r="S944" s="86"/>
      <c r="T944" s="86"/>
      <c r="U944" s="48"/>
    </row>
    <row r="945" spans="1:21">
      <c r="A945" s="86"/>
      <c r="B945" s="86"/>
      <c r="C945" s="87"/>
      <c r="D945" s="86"/>
      <c r="E945" s="86"/>
      <c r="F945" s="86"/>
      <c r="G945" s="86"/>
      <c r="H945" s="86"/>
      <c r="I945" s="86"/>
      <c r="J945" s="86"/>
      <c r="K945" s="86"/>
      <c r="L945" s="86"/>
      <c r="M945" s="86"/>
      <c r="N945" s="86"/>
      <c r="O945" s="86"/>
      <c r="P945" s="86"/>
      <c r="Q945" s="86"/>
      <c r="R945" s="86"/>
      <c r="S945" s="86"/>
      <c r="T945" s="86"/>
      <c r="U945" s="48"/>
    </row>
    <row r="946" spans="1:21">
      <c r="A946" s="86"/>
      <c r="B946" s="86"/>
      <c r="C946" s="87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  <c r="S946" s="86"/>
      <c r="T946" s="86"/>
      <c r="U946" s="48"/>
    </row>
    <row r="947" spans="1:21">
      <c r="A947" s="86"/>
      <c r="B947" s="86"/>
      <c r="C947" s="87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  <c r="S947" s="86"/>
      <c r="T947" s="86"/>
      <c r="U947" s="48"/>
    </row>
    <row r="948" spans="1:21">
      <c r="A948" s="86"/>
      <c r="B948" s="86"/>
      <c r="C948" s="87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  <c r="S948" s="86"/>
      <c r="T948" s="86"/>
      <c r="U948" s="48"/>
    </row>
    <row r="949" spans="1:21">
      <c r="A949" s="86"/>
      <c r="B949" s="86"/>
      <c r="C949" s="87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  <c r="S949" s="86"/>
      <c r="T949" s="86"/>
      <c r="U949" s="48"/>
    </row>
    <row r="950" spans="1:21">
      <c r="A950" s="86"/>
      <c r="B950" s="86"/>
      <c r="C950" s="87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  <c r="S950" s="86"/>
      <c r="T950" s="86"/>
      <c r="U950" s="48"/>
    </row>
    <row r="951" spans="1:21">
      <c r="A951" s="86"/>
      <c r="B951" s="86"/>
      <c r="C951" s="87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  <c r="S951" s="86"/>
      <c r="T951" s="86"/>
      <c r="U951" s="48"/>
    </row>
    <row r="952" spans="1:21">
      <c r="A952" s="86"/>
      <c r="B952" s="86"/>
      <c r="C952" s="87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  <c r="S952" s="86"/>
      <c r="T952" s="86"/>
      <c r="U952" s="48"/>
    </row>
    <row r="953" spans="1:21">
      <c r="A953" s="86"/>
      <c r="B953" s="86"/>
      <c r="C953" s="87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  <c r="S953" s="86"/>
      <c r="T953" s="86"/>
      <c r="U953" s="48"/>
    </row>
    <row r="954" spans="1:21">
      <c r="A954" s="86"/>
      <c r="B954" s="86"/>
      <c r="C954" s="87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  <c r="S954" s="86"/>
      <c r="T954" s="86"/>
      <c r="U954" s="48"/>
    </row>
    <row r="955" spans="1:21">
      <c r="A955" s="86"/>
      <c r="B955" s="86"/>
      <c r="C955" s="87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  <c r="S955" s="86"/>
      <c r="T955" s="86"/>
      <c r="U955" s="48"/>
    </row>
    <row r="956" spans="1:21">
      <c r="A956" s="86"/>
      <c r="B956" s="86"/>
      <c r="C956" s="87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  <c r="S956" s="86"/>
      <c r="T956" s="86"/>
      <c r="U956" s="48"/>
    </row>
    <row r="957" spans="1:21">
      <c r="A957" s="86"/>
      <c r="B957" s="86"/>
      <c r="C957" s="87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  <c r="S957" s="86"/>
      <c r="T957" s="86"/>
      <c r="U957" s="48"/>
    </row>
    <row r="958" spans="1:21">
      <c r="A958" s="86"/>
      <c r="B958" s="86"/>
      <c r="C958" s="87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  <c r="S958" s="86"/>
      <c r="T958" s="86"/>
      <c r="U958" s="48"/>
    </row>
    <row r="959" spans="1:21">
      <c r="A959" s="86"/>
      <c r="B959" s="86"/>
      <c r="C959" s="87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  <c r="S959" s="86"/>
      <c r="T959" s="86"/>
      <c r="U959" s="48"/>
    </row>
    <row r="960" spans="1:21">
      <c r="A960" s="86"/>
      <c r="B960" s="86"/>
      <c r="C960" s="87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  <c r="S960" s="86"/>
      <c r="T960" s="86"/>
      <c r="U960" s="48"/>
    </row>
    <row r="961" spans="1:21">
      <c r="A961" s="86"/>
      <c r="B961" s="86"/>
      <c r="C961" s="87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  <c r="S961" s="86"/>
      <c r="T961" s="86"/>
      <c r="U961" s="48"/>
    </row>
    <row r="962" spans="1:21">
      <c r="A962" s="86"/>
      <c r="B962" s="86"/>
      <c r="C962" s="87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  <c r="S962" s="86"/>
      <c r="T962" s="86"/>
      <c r="U962" s="48"/>
    </row>
    <row r="963" spans="1:21">
      <c r="A963" s="86"/>
      <c r="B963" s="86"/>
      <c r="C963" s="87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  <c r="S963" s="86"/>
      <c r="T963" s="86"/>
      <c r="U963" s="48"/>
    </row>
    <row r="964" spans="1:21">
      <c r="A964" s="86"/>
      <c r="B964" s="86"/>
      <c r="C964" s="87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  <c r="S964" s="86"/>
      <c r="T964" s="86"/>
      <c r="U964" s="48"/>
    </row>
    <row r="965" spans="1:21">
      <c r="A965" s="86"/>
      <c r="B965" s="86"/>
      <c r="C965" s="87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  <c r="S965" s="86"/>
      <c r="T965" s="86"/>
      <c r="U965" s="48"/>
    </row>
    <row r="966" spans="1:21">
      <c r="A966" s="86"/>
      <c r="B966" s="86"/>
      <c r="C966" s="87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  <c r="S966" s="86"/>
      <c r="T966" s="86"/>
      <c r="U966" s="48"/>
    </row>
    <row r="967" spans="1:21">
      <c r="A967" s="86"/>
      <c r="B967" s="86"/>
      <c r="C967" s="87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  <c r="S967" s="86"/>
      <c r="T967" s="86"/>
      <c r="U967" s="48"/>
    </row>
    <row r="968" spans="1:21">
      <c r="A968" s="86"/>
      <c r="B968" s="86"/>
      <c r="C968" s="87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  <c r="S968" s="86"/>
      <c r="T968" s="86"/>
      <c r="U968" s="48"/>
    </row>
    <row r="969" spans="1:21">
      <c r="A969" s="86"/>
      <c r="B969" s="86"/>
      <c r="C969" s="87"/>
      <c r="D969" s="86"/>
      <c r="E969" s="86"/>
      <c r="F969" s="86"/>
      <c r="G969" s="86"/>
      <c r="H969" s="86"/>
      <c r="I969" s="86"/>
      <c r="J969" s="86"/>
      <c r="K969" s="86"/>
      <c r="L969" s="86"/>
      <c r="M969" s="86"/>
      <c r="N969" s="86"/>
      <c r="O969" s="86"/>
      <c r="P969" s="86"/>
      <c r="Q969" s="86"/>
      <c r="R969" s="86"/>
      <c r="S969" s="86"/>
      <c r="T969" s="86"/>
      <c r="U969" s="48"/>
    </row>
    <row r="970" spans="1:21">
      <c r="A970" s="86"/>
      <c r="B970" s="86"/>
      <c r="C970" s="87"/>
      <c r="D970" s="86"/>
      <c r="E970" s="86"/>
      <c r="F970" s="86"/>
      <c r="G970" s="86"/>
      <c r="H970" s="86"/>
      <c r="I970" s="86"/>
      <c r="J970" s="86"/>
      <c r="K970" s="86"/>
      <c r="L970" s="86"/>
      <c r="M970" s="86"/>
      <c r="N970" s="86"/>
      <c r="O970" s="86"/>
      <c r="P970" s="86"/>
      <c r="Q970" s="86"/>
      <c r="R970" s="86"/>
      <c r="S970" s="86"/>
      <c r="T970" s="86"/>
      <c r="U970" s="48"/>
    </row>
    <row r="971" spans="1:21">
      <c r="A971" s="86"/>
      <c r="B971" s="86"/>
      <c r="C971" s="87"/>
      <c r="D971" s="86"/>
      <c r="E971" s="86"/>
      <c r="F971" s="86"/>
      <c r="G971" s="86"/>
      <c r="H971" s="86"/>
      <c r="I971" s="86"/>
      <c r="J971" s="86"/>
      <c r="K971" s="86"/>
      <c r="L971" s="86"/>
      <c r="M971" s="86"/>
      <c r="N971" s="86"/>
      <c r="O971" s="86"/>
      <c r="P971" s="86"/>
      <c r="Q971" s="86"/>
      <c r="R971" s="86"/>
      <c r="S971" s="86"/>
      <c r="T971" s="86"/>
      <c r="U971" s="48"/>
    </row>
    <row r="972" spans="1:21">
      <c r="A972" s="86"/>
      <c r="B972" s="86"/>
      <c r="C972" s="87"/>
      <c r="D972" s="86"/>
      <c r="E972" s="86"/>
      <c r="F972" s="86"/>
      <c r="G972" s="86"/>
      <c r="H972" s="86"/>
      <c r="I972" s="86"/>
      <c r="J972" s="86"/>
      <c r="K972" s="86"/>
      <c r="L972" s="86"/>
      <c r="M972" s="86"/>
      <c r="N972" s="86"/>
      <c r="O972" s="86"/>
      <c r="P972" s="86"/>
      <c r="Q972" s="86"/>
      <c r="R972" s="86"/>
      <c r="S972" s="86"/>
      <c r="T972" s="86"/>
      <c r="U972" s="48"/>
    </row>
    <row r="973" spans="1:21">
      <c r="A973" s="86"/>
      <c r="B973" s="86"/>
      <c r="C973" s="87"/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48"/>
    </row>
    <row r="974" spans="1:21">
      <c r="A974" s="86"/>
      <c r="B974" s="86"/>
      <c r="C974" s="87"/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48"/>
    </row>
    <row r="975" spans="1:21">
      <c r="A975" s="86"/>
      <c r="B975" s="86"/>
      <c r="C975" s="87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  <c r="S975" s="86"/>
      <c r="T975" s="86"/>
      <c r="U975" s="48"/>
    </row>
    <row r="976" spans="1:21">
      <c r="A976" s="86"/>
      <c r="B976" s="86"/>
      <c r="C976" s="87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  <c r="S976" s="86"/>
      <c r="T976" s="86"/>
      <c r="U976" s="48"/>
    </row>
    <row r="977" spans="1:21">
      <c r="A977" s="86"/>
      <c r="B977" s="86"/>
      <c r="C977" s="87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  <c r="S977" s="86"/>
      <c r="T977" s="86"/>
      <c r="U977" s="48"/>
    </row>
    <row r="978" spans="1:21">
      <c r="A978" s="86"/>
      <c r="B978" s="86"/>
      <c r="C978" s="87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  <c r="S978" s="86"/>
      <c r="T978" s="86"/>
      <c r="U978" s="48"/>
    </row>
    <row r="979" spans="1:21">
      <c r="A979" s="86"/>
      <c r="B979" s="86"/>
      <c r="C979" s="87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48"/>
    </row>
    <row r="980" spans="1:21">
      <c r="A980" s="86"/>
      <c r="B980" s="86"/>
      <c r="C980" s="87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  <c r="S980" s="86"/>
      <c r="T980" s="86"/>
      <c r="U980" s="48"/>
    </row>
    <row r="981" spans="1:21">
      <c r="A981" s="86"/>
      <c r="B981" s="86"/>
      <c r="C981" s="87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  <c r="S981" s="86"/>
      <c r="T981" s="86"/>
      <c r="U981" s="48"/>
    </row>
    <row r="982" spans="1:21">
      <c r="A982" s="86"/>
      <c r="B982" s="86"/>
      <c r="C982" s="87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  <c r="S982" s="86"/>
      <c r="T982" s="86"/>
      <c r="U982" s="48"/>
    </row>
    <row r="983" spans="1:21">
      <c r="A983" s="86"/>
      <c r="B983" s="86"/>
      <c r="C983" s="87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  <c r="S983" s="86"/>
      <c r="T983" s="86"/>
      <c r="U983" s="48"/>
    </row>
    <row r="984" spans="1:21">
      <c r="A984" s="86"/>
      <c r="B984" s="86"/>
      <c r="C984" s="87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  <c r="S984" s="86"/>
      <c r="T984" s="86"/>
      <c r="U984" s="48"/>
    </row>
    <row r="985" spans="1:21">
      <c r="A985" s="86"/>
      <c r="B985" s="86"/>
      <c r="C985" s="87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  <c r="S985" s="86"/>
      <c r="T985" s="86"/>
      <c r="U985" s="48"/>
    </row>
    <row r="986" spans="1:21">
      <c r="A986" s="86"/>
      <c r="B986" s="86"/>
      <c r="C986" s="87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  <c r="S986" s="86"/>
      <c r="T986" s="86"/>
      <c r="U986" s="48"/>
    </row>
    <row r="987" spans="1:21">
      <c r="A987" s="86"/>
      <c r="B987" s="86"/>
      <c r="C987" s="87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  <c r="R987" s="86"/>
      <c r="S987" s="86"/>
      <c r="T987" s="86"/>
      <c r="U987" s="48"/>
    </row>
    <row r="988" spans="1:21">
      <c r="A988" s="86"/>
      <c r="B988" s="86"/>
      <c r="C988" s="87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  <c r="R988" s="86"/>
      <c r="S988" s="86"/>
      <c r="T988" s="86"/>
      <c r="U988" s="48"/>
    </row>
    <row r="989" spans="1:21">
      <c r="A989" s="86"/>
      <c r="B989" s="86"/>
      <c r="C989" s="87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  <c r="R989" s="86"/>
      <c r="S989" s="86"/>
      <c r="T989" s="86"/>
      <c r="U989" s="48"/>
    </row>
    <row r="990" spans="1:21">
      <c r="A990" s="86"/>
      <c r="B990" s="86"/>
      <c r="C990" s="87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  <c r="R990" s="86"/>
      <c r="S990" s="86"/>
      <c r="T990" s="86"/>
      <c r="U990" s="48"/>
    </row>
    <row r="991" spans="1:21">
      <c r="A991" s="86"/>
      <c r="B991" s="86"/>
      <c r="C991" s="87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  <c r="R991" s="86"/>
      <c r="S991" s="86"/>
      <c r="T991" s="86"/>
      <c r="U991" s="48"/>
    </row>
    <row r="992" spans="1:21">
      <c r="A992" s="86"/>
      <c r="B992" s="86"/>
      <c r="C992" s="87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  <c r="S992" s="86"/>
      <c r="T992" s="86"/>
      <c r="U992" s="48"/>
    </row>
    <row r="993" spans="1:21">
      <c r="A993" s="86"/>
      <c r="B993" s="86"/>
      <c r="C993" s="87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  <c r="S993" s="86"/>
      <c r="T993" s="86"/>
      <c r="U993" s="48"/>
    </row>
    <row r="994" spans="1:21">
      <c r="A994" s="86"/>
      <c r="B994" s="86"/>
      <c r="C994" s="87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  <c r="S994" s="86"/>
      <c r="T994" s="86"/>
      <c r="U994" s="48"/>
    </row>
    <row r="995" spans="1:21">
      <c r="A995" s="86"/>
      <c r="B995" s="86"/>
      <c r="C995" s="87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  <c r="S995" s="86"/>
      <c r="T995" s="86"/>
      <c r="U995" s="48"/>
    </row>
    <row r="996" spans="1:21">
      <c r="A996" s="86"/>
      <c r="B996" s="86"/>
      <c r="C996" s="87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  <c r="S996" s="86"/>
      <c r="T996" s="86"/>
      <c r="U996" s="48"/>
    </row>
    <row r="997" spans="1:21">
      <c r="A997" s="86"/>
      <c r="B997" s="86"/>
      <c r="C997" s="87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  <c r="S997" s="86"/>
      <c r="T997" s="86"/>
      <c r="U997" s="48"/>
    </row>
    <row r="998" spans="1:21">
      <c r="A998" s="86"/>
      <c r="B998" s="86"/>
      <c r="C998" s="87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  <c r="S998" s="86"/>
      <c r="T998" s="86"/>
      <c r="U998" s="48"/>
    </row>
    <row r="999" spans="1:21">
      <c r="A999" s="86"/>
      <c r="B999" s="86"/>
      <c r="C999" s="87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  <c r="S999" s="86"/>
      <c r="T999" s="86"/>
      <c r="U999" s="48"/>
    </row>
    <row r="1000" spans="1:21">
      <c r="A1000" s="86"/>
      <c r="B1000" s="86"/>
      <c r="C1000" s="87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  <c r="S1000" s="86"/>
      <c r="T1000" s="86"/>
      <c r="U1000" s="48"/>
    </row>
    <row r="1001" spans="1:21">
      <c r="A1001" s="86"/>
      <c r="B1001" s="86"/>
      <c r="C1001" s="87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  <c r="S1001" s="86"/>
      <c r="T1001" s="86"/>
      <c r="U1001" s="48"/>
    </row>
    <row r="1002" spans="1:21">
      <c r="A1002" s="86"/>
      <c r="B1002" s="86"/>
      <c r="C1002" s="87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  <c r="S1002" s="86"/>
      <c r="T1002" s="86"/>
      <c r="U1002" s="48"/>
    </row>
    <row r="1003" spans="1:21">
      <c r="A1003" s="86"/>
      <c r="B1003" s="86"/>
      <c r="C1003" s="87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  <c r="S1003" s="86"/>
      <c r="T1003" s="86"/>
      <c r="U1003" s="48"/>
    </row>
    <row r="1004" spans="1:21">
      <c r="A1004" s="86"/>
      <c r="B1004" s="86"/>
      <c r="C1004" s="87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  <c r="S1004" s="86"/>
      <c r="T1004" s="86"/>
      <c r="U1004" s="48"/>
    </row>
    <row r="1005" spans="1:21">
      <c r="A1005" s="86"/>
      <c r="B1005" s="86"/>
      <c r="C1005" s="87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  <c r="S1005" s="86"/>
      <c r="T1005" s="86"/>
      <c r="U1005" s="48"/>
    </row>
    <row r="1006" spans="1:21">
      <c r="A1006" s="86"/>
      <c r="B1006" s="86"/>
      <c r="C1006" s="87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  <c r="S1006" s="86"/>
      <c r="T1006" s="86"/>
      <c r="U1006" s="48"/>
    </row>
    <row r="1007" spans="1:21">
      <c r="A1007" s="86"/>
      <c r="B1007" s="86"/>
      <c r="C1007" s="87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  <c r="S1007" s="86"/>
      <c r="T1007" s="86"/>
      <c r="U1007" s="48"/>
    </row>
    <row r="1008" spans="1:21">
      <c r="A1008" s="86"/>
      <c r="B1008" s="86"/>
      <c r="C1008" s="87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  <c r="S1008" s="86"/>
      <c r="T1008" s="86"/>
      <c r="U1008" s="48"/>
    </row>
    <row r="1009" spans="1:21">
      <c r="A1009" s="86"/>
      <c r="B1009" s="86"/>
      <c r="C1009" s="87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  <c r="S1009" s="86"/>
      <c r="T1009" s="86"/>
      <c r="U1009" s="48"/>
    </row>
    <row r="1010" spans="1:21">
      <c r="A1010" s="86"/>
      <c r="B1010" s="86"/>
      <c r="C1010" s="87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  <c r="S1010" s="86"/>
      <c r="T1010" s="86"/>
      <c r="U1010" s="48"/>
    </row>
    <row r="1011" spans="1:21">
      <c r="A1011" s="86"/>
      <c r="B1011" s="86"/>
      <c r="C1011" s="87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  <c r="S1011" s="86"/>
      <c r="T1011" s="86"/>
      <c r="U1011" s="48"/>
    </row>
    <row r="1012" spans="1:21">
      <c r="A1012" s="86"/>
      <c r="B1012" s="86"/>
      <c r="C1012" s="87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  <c r="S1012" s="86"/>
      <c r="T1012" s="86"/>
      <c r="U1012" s="48"/>
    </row>
    <row r="1013" spans="1:21">
      <c r="A1013" s="86"/>
      <c r="B1013" s="86"/>
      <c r="C1013" s="87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  <c r="S1013" s="86"/>
      <c r="T1013" s="86"/>
      <c r="U1013" s="48"/>
    </row>
    <row r="1014" spans="1:21">
      <c r="A1014" s="86"/>
      <c r="B1014" s="86"/>
      <c r="C1014" s="87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  <c r="S1014" s="86"/>
      <c r="T1014" s="86"/>
      <c r="U1014" s="48"/>
    </row>
    <row r="1015" spans="1:21">
      <c r="A1015" s="86"/>
      <c r="B1015" s="86"/>
      <c r="C1015" s="87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  <c r="R1015" s="86"/>
      <c r="S1015" s="86"/>
      <c r="T1015" s="86"/>
      <c r="U1015" s="48"/>
    </row>
    <row r="1016" spans="1:21">
      <c r="A1016" s="86"/>
      <c r="B1016" s="86"/>
      <c r="C1016" s="87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  <c r="R1016" s="86"/>
      <c r="S1016" s="86"/>
      <c r="T1016" s="86"/>
      <c r="U1016" s="48"/>
    </row>
    <row r="1017" spans="1:21">
      <c r="A1017" s="86"/>
      <c r="B1017" s="86"/>
      <c r="C1017" s="87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  <c r="R1017" s="86"/>
      <c r="S1017" s="86"/>
      <c r="T1017" s="86"/>
      <c r="U1017" s="48"/>
    </row>
    <row r="1018" spans="1:21">
      <c r="A1018" s="86"/>
      <c r="B1018" s="86"/>
      <c r="C1018" s="87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  <c r="R1018" s="86"/>
      <c r="S1018" s="86"/>
      <c r="T1018" s="86"/>
      <c r="U1018" s="48"/>
    </row>
    <row r="1019" spans="1:21">
      <c r="A1019" s="86"/>
      <c r="B1019" s="86"/>
      <c r="C1019" s="87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  <c r="R1019" s="86"/>
      <c r="S1019" s="86"/>
      <c r="T1019" s="86"/>
      <c r="U1019" s="48"/>
    </row>
    <row r="1020" spans="1:21">
      <c r="A1020" s="86"/>
      <c r="B1020" s="86"/>
      <c r="C1020" s="87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  <c r="R1020" s="86"/>
      <c r="S1020" s="86"/>
      <c r="T1020" s="86"/>
      <c r="U1020" s="48"/>
    </row>
    <row r="1021" spans="1:21">
      <c r="A1021" s="86"/>
      <c r="B1021" s="86"/>
      <c r="C1021" s="87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  <c r="R1021" s="86"/>
      <c r="S1021" s="86"/>
      <c r="T1021" s="86"/>
      <c r="U1021" s="48"/>
    </row>
    <row r="1022" spans="1:21">
      <c r="A1022" s="86"/>
      <c r="B1022" s="86"/>
      <c r="C1022" s="87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  <c r="R1022" s="86"/>
      <c r="S1022" s="86"/>
      <c r="T1022" s="86"/>
      <c r="U1022" s="48"/>
    </row>
    <row r="1023" spans="1:21">
      <c r="A1023" s="86"/>
      <c r="B1023" s="86"/>
      <c r="C1023" s="87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  <c r="S1023" s="86"/>
      <c r="T1023" s="86"/>
      <c r="U1023" s="48"/>
    </row>
    <row r="1024" spans="1:21">
      <c r="A1024" s="86"/>
      <c r="B1024" s="86"/>
      <c r="C1024" s="87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  <c r="S1024" s="86"/>
      <c r="T1024" s="86"/>
      <c r="U1024" s="48"/>
    </row>
    <row r="1025" spans="1:21">
      <c r="A1025" s="86"/>
      <c r="B1025" s="86"/>
      <c r="C1025" s="87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  <c r="S1025" s="86"/>
      <c r="T1025" s="86"/>
      <c r="U1025" s="48"/>
    </row>
    <row r="1026" spans="1:21">
      <c r="A1026" s="86"/>
      <c r="B1026" s="86"/>
      <c r="C1026" s="87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  <c r="S1026" s="86"/>
      <c r="T1026" s="86"/>
      <c r="U1026" s="48"/>
    </row>
    <row r="1027" spans="1:21">
      <c r="A1027" s="86"/>
      <c r="B1027" s="86"/>
      <c r="C1027" s="87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  <c r="S1027" s="86"/>
      <c r="T1027" s="86"/>
      <c r="U1027" s="48"/>
    </row>
    <row r="1028" spans="1:21">
      <c r="A1028" s="86"/>
      <c r="B1028" s="86"/>
      <c r="C1028" s="87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  <c r="S1028" s="86"/>
      <c r="T1028" s="86"/>
      <c r="U1028" s="48"/>
    </row>
    <row r="1029" spans="1:21">
      <c r="A1029" s="86"/>
      <c r="B1029" s="86"/>
      <c r="C1029" s="87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  <c r="S1029" s="86"/>
      <c r="T1029" s="86"/>
      <c r="U1029" s="48"/>
    </row>
    <row r="1030" spans="1:21">
      <c r="A1030" s="86"/>
      <c r="B1030" s="86"/>
      <c r="C1030" s="87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  <c r="S1030" s="86"/>
      <c r="T1030" s="86"/>
      <c r="U1030" s="48"/>
    </row>
    <row r="1031" spans="1:21">
      <c r="A1031" s="86"/>
      <c r="B1031" s="86"/>
      <c r="C1031" s="87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  <c r="S1031" s="86"/>
      <c r="T1031" s="86"/>
      <c r="U1031" s="48"/>
    </row>
    <row r="1032" spans="1:21">
      <c r="A1032" s="86"/>
      <c r="B1032" s="86"/>
      <c r="C1032" s="87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  <c r="S1032" s="86"/>
      <c r="T1032" s="86"/>
      <c r="U1032" s="48"/>
    </row>
    <row r="1033" spans="1:21">
      <c r="A1033" s="86"/>
      <c r="B1033" s="86"/>
      <c r="C1033" s="87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  <c r="S1033" s="86"/>
      <c r="T1033" s="86"/>
      <c r="U1033" s="48"/>
    </row>
    <row r="1034" spans="1:21">
      <c r="A1034" s="86"/>
      <c r="B1034" s="86"/>
      <c r="C1034" s="87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  <c r="S1034" s="86"/>
      <c r="T1034" s="86"/>
      <c r="U1034" s="48"/>
    </row>
    <row r="1035" spans="1:21">
      <c r="A1035" s="86"/>
      <c r="B1035" s="86"/>
      <c r="C1035" s="87"/>
      <c r="D1035" s="86"/>
      <c r="E1035" s="86"/>
      <c r="F1035" s="86"/>
      <c r="G1035" s="86"/>
      <c r="H1035" s="86"/>
      <c r="I1035" s="86"/>
      <c r="J1035" s="86"/>
      <c r="K1035" s="86"/>
      <c r="L1035" s="86"/>
      <c r="M1035" s="86"/>
      <c r="N1035" s="86"/>
      <c r="O1035" s="86"/>
      <c r="P1035" s="86"/>
      <c r="Q1035" s="86"/>
      <c r="R1035" s="86"/>
      <c r="S1035" s="86"/>
      <c r="T1035" s="86"/>
      <c r="U1035" s="48"/>
    </row>
    <row r="1036" spans="1:21">
      <c r="A1036" s="86"/>
      <c r="B1036" s="86"/>
      <c r="C1036" s="87"/>
      <c r="D1036" s="86"/>
      <c r="E1036" s="86"/>
      <c r="F1036" s="86"/>
      <c r="G1036" s="86"/>
      <c r="H1036" s="86"/>
      <c r="I1036" s="86"/>
      <c r="J1036" s="86"/>
      <c r="K1036" s="86"/>
      <c r="L1036" s="86"/>
      <c r="M1036" s="86"/>
      <c r="N1036" s="86"/>
      <c r="O1036" s="86"/>
      <c r="P1036" s="86"/>
      <c r="Q1036" s="86"/>
      <c r="R1036" s="86"/>
      <c r="S1036" s="86"/>
      <c r="T1036" s="86"/>
      <c r="U1036" s="48"/>
    </row>
    <row r="1037" spans="1:21">
      <c r="A1037" s="86"/>
      <c r="B1037" s="86"/>
      <c r="C1037" s="87"/>
      <c r="D1037" s="86"/>
      <c r="E1037" s="86"/>
      <c r="F1037" s="86"/>
      <c r="G1037" s="86"/>
      <c r="H1037" s="86"/>
      <c r="I1037" s="86"/>
      <c r="J1037" s="86"/>
      <c r="K1037" s="86"/>
      <c r="L1037" s="86"/>
      <c r="M1037" s="86"/>
      <c r="N1037" s="86"/>
      <c r="O1037" s="86"/>
      <c r="P1037" s="86"/>
      <c r="Q1037" s="86"/>
      <c r="R1037" s="86"/>
      <c r="S1037" s="86"/>
      <c r="T1037" s="86"/>
      <c r="U1037" s="48"/>
    </row>
    <row r="1038" spans="1:21">
      <c r="A1038" s="86"/>
      <c r="B1038" s="86"/>
      <c r="C1038" s="87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  <c r="S1038" s="86"/>
      <c r="T1038" s="86"/>
      <c r="U1038" s="48"/>
    </row>
    <row r="1039" spans="1:21">
      <c r="A1039" s="86"/>
      <c r="B1039" s="86"/>
      <c r="C1039" s="87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  <c r="S1039" s="86"/>
      <c r="T1039" s="86"/>
      <c r="U1039" s="48"/>
    </row>
    <row r="1040" spans="1:21">
      <c r="A1040" s="86"/>
      <c r="B1040" s="86"/>
      <c r="C1040" s="87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  <c r="S1040" s="86"/>
      <c r="T1040" s="86"/>
      <c r="U1040" s="48"/>
    </row>
    <row r="1041" spans="1:21">
      <c r="A1041" s="86"/>
      <c r="B1041" s="86"/>
      <c r="C1041" s="87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  <c r="S1041" s="86"/>
      <c r="T1041" s="86"/>
      <c r="U1041" s="48"/>
    </row>
    <row r="1042" spans="1:21">
      <c r="A1042" s="86"/>
      <c r="B1042" s="86"/>
      <c r="C1042" s="87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  <c r="S1042" s="86"/>
      <c r="T1042" s="86"/>
      <c r="U1042" s="48"/>
    </row>
    <row r="1043" spans="1:21">
      <c r="A1043" s="86"/>
      <c r="B1043" s="86"/>
      <c r="C1043" s="87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  <c r="S1043" s="86"/>
      <c r="T1043" s="86"/>
      <c r="U1043" s="48"/>
    </row>
    <row r="1044" spans="1:21">
      <c r="A1044" s="86"/>
      <c r="B1044" s="86"/>
      <c r="C1044" s="87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  <c r="S1044" s="86"/>
      <c r="T1044" s="86"/>
      <c r="U1044" s="48"/>
    </row>
    <row r="1045" spans="1:21">
      <c r="A1045" s="86"/>
      <c r="B1045" s="86"/>
      <c r="C1045" s="87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  <c r="S1045" s="86"/>
      <c r="T1045" s="86"/>
      <c r="U1045" s="48"/>
    </row>
    <row r="1046" spans="1:21">
      <c r="A1046" s="86"/>
      <c r="B1046" s="86"/>
      <c r="C1046" s="87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  <c r="S1046" s="86"/>
      <c r="T1046" s="86"/>
      <c r="U1046" s="48"/>
    </row>
    <row r="1047" spans="1:21">
      <c r="A1047" s="86"/>
      <c r="B1047" s="86"/>
      <c r="C1047" s="87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  <c r="S1047" s="86"/>
      <c r="T1047" s="86"/>
      <c r="U1047" s="48"/>
    </row>
    <row r="1048" spans="1:21">
      <c r="A1048" s="86"/>
      <c r="B1048" s="86"/>
      <c r="C1048" s="87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  <c r="S1048" s="86"/>
      <c r="T1048" s="86"/>
      <c r="U1048" s="48"/>
    </row>
    <row r="1049" spans="1:21">
      <c r="A1049" s="86"/>
      <c r="B1049" s="86"/>
      <c r="C1049" s="87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  <c r="S1049" s="86"/>
      <c r="T1049" s="86"/>
      <c r="U1049" s="48"/>
    </row>
    <row r="1050" spans="1:21">
      <c r="A1050" s="86"/>
      <c r="B1050" s="86"/>
      <c r="C1050" s="87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  <c r="S1050" s="86"/>
      <c r="T1050" s="86"/>
      <c r="U1050" s="48"/>
    </row>
    <row r="1051" spans="1:21">
      <c r="A1051" s="86"/>
      <c r="B1051" s="86"/>
      <c r="C1051" s="87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  <c r="S1051" s="86"/>
      <c r="T1051" s="86"/>
      <c r="U1051" s="48"/>
    </row>
    <row r="1052" spans="1:21">
      <c r="A1052" s="86"/>
      <c r="B1052" s="86"/>
      <c r="C1052" s="87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  <c r="S1052" s="86"/>
      <c r="T1052" s="86"/>
      <c r="U1052" s="48"/>
    </row>
    <row r="1053" spans="1:21">
      <c r="A1053" s="86"/>
      <c r="B1053" s="86"/>
      <c r="C1053" s="87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  <c r="S1053" s="86"/>
      <c r="T1053" s="86"/>
      <c r="U1053" s="48"/>
    </row>
    <row r="1054" spans="1:21">
      <c r="A1054" s="86"/>
      <c r="B1054" s="86"/>
      <c r="C1054" s="87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  <c r="S1054" s="86"/>
      <c r="T1054" s="86"/>
      <c r="U1054" s="48"/>
    </row>
    <row r="1055" spans="1:21">
      <c r="A1055" s="86"/>
      <c r="B1055" s="86"/>
      <c r="C1055" s="87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  <c r="S1055" s="86"/>
      <c r="T1055" s="86"/>
      <c r="U1055" s="48"/>
    </row>
    <row r="1056" spans="1:21">
      <c r="A1056" s="86"/>
      <c r="B1056" s="86"/>
      <c r="C1056" s="87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  <c r="S1056" s="86"/>
      <c r="T1056" s="86"/>
      <c r="U1056" s="48"/>
    </row>
    <row r="1057" spans="1:21">
      <c r="A1057" s="86"/>
      <c r="B1057" s="86"/>
      <c r="C1057" s="87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  <c r="S1057" s="86"/>
      <c r="T1057" s="86"/>
      <c r="U1057" s="48"/>
    </row>
    <row r="1058" spans="1:21">
      <c r="A1058" s="86"/>
      <c r="B1058" s="86"/>
      <c r="C1058" s="87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  <c r="S1058" s="86"/>
      <c r="T1058" s="86"/>
      <c r="U1058" s="48"/>
    </row>
    <row r="1059" spans="1:21">
      <c r="A1059" s="86"/>
      <c r="B1059" s="86"/>
      <c r="C1059" s="87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  <c r="S1059" s="86"/>
      <c r="T1059" s="86"/>
      <c r="U1059" s="48"/>
    </row>
    <row r="1060" spans="1:21">
      <c r="A1060" s="86"/>
      <c r="B1060" s="86"/>
      <c r="C1060" s="87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  <c r="S1060" s="86"/>
      <c r="T1060" s="86"/>
      <c r="U1060" s="48"/>
    </row>
    <row r="1061" spans="1:21">
      <c r="A1061" s="86"/>
      <c r="B1061" s="86"/>
      <c r="C1061" s="87"/>
      <c r="D1061" s="86"/>
      <c r="E1061" s="86"/>
      <c r="F1061" s="86"/>
      <c r="G1061" s="86"/>
      <c r="H1061" s="86"/>
      <c r="I1061" s="86"/>
      <c r="J1061" s="86"/>
      <c r="K1061" s="86"/>
      <c r="L1061" s="86"/>
      <c r="M1061" s="86"/>
      <c r="N1061" s="86"/>
      <c r="O1061" s="86"/>
      <c r="P1061" s="86"/>
      <c r="Q1061" s="86"/>
      <c r="R1061" s="86"/>
      <c r="S1061" s="86"/>
      <c r="T1061" s="86"/>
      <c r="U1061" s="48"/>
    </row>
    <row r="1062" spans="1:21">
      <c r="A1062" s="86"/>
      <c r="B1062" s="86"/>
      <c r="C1062" s="87"/>
      <c r="D1062" s="86"/>
      <c r="E1062" s="86"/>
      <c r="F1062" s="86"/>
      <c r="G1062" s="86"/>
      <c r="H1062" s="86"/>
      <c r="I1062" s="86"/>
      <c r="J1062" s="86"/>
      <c r="K1062" s="86"/>
      <c r="L1062" s="86"/>
      <c r="M1062" s="86"/>
      <c r="N1062" s="86"/>
      <c r="O1062" s="86"/>
      <c r="P1062" s="86"/>
      <c r="Q1062" s="86"/>
      <c r="R1062" s="86"/>
      <c r="S1062" s="86"/>
      <c r="T1062" s="86"/>
      <c r="U1062" s="48"/>
    </row>
    <row r="1063" spans="1:21">
      <c r="A1063" s="86"/>
      <c r="B1063" s="86"/>
      <c r="C1063" s="87"/>
      <c r="D1063" s="86"/>
      <c r="E1063" s="86"/>
      <c r="F1063" s="86"/>
      <c r="G1063" s="86"/>
      <c r="H1063" s="86"/>
      <c r="I1063" s="86"/>
      <c r="J1063" s="86"/>
      <c r="K1063" s="86"/>
      <c r="L1063" s="86"/>
      <c r="M1063" s="86"/>
      <c r="N1063" s="86"/>
      <c r="O1063" s="86"/>
      <c r="P1063" s="86"/>
      <c r="Q1063" s="86"/>
      <c r="R1063" s="86"/>
      <c r="S1063" s="86"/>
      <c r="T1063" s="86"/>
      <c r="U1063" s="48"/>
    </row>
    <row r="1064" spans="1:21">
      <c r="A1064" s="86"/>
      <c r="B1064" s="86"/>
      <c r="C1064" s="87"/>
      <c r="D1064" s="86"/>
      <c r="E1064" s="86"/>
      <c r="F1064" s="86"/>
      <c r="G1064" s="86"/>
      <c r="H1064" s="86"/>
      <c r="I1064" s="86"/>
      <c r="J1064" s="86"/>
      <c r="K1064" s="86"/>
      <c r="L1064" s="86"/>
      <c r="M1064" s="86"/>
      <c r="N1064" s="86"/>
      <c r="O1064" s="86"/>
      <c r="P1064" s="86"/>
      <c r="Q1064" s="86"/>
      <c r="R1064" s="86"/>
      <c r="S1064" s="86"/>
      <c r="T1064" s="86"/>
      <c r="U1064" s="48"/>
    </row>
    <row r="1065" spans="1:21">
      <c r="A1065" s="86"/>
      <c r="B1065" s="86"/>
      <c r="C1065" s="87"/>
      <c r="D1065" s="86"/>
      <c r="E1065" s="86"/>
      <c r="F1065" s="86"/>
      <c r="G1065" s="86"/>
      <c r="H1065" s="86"/>
      <c r="I1065" s="86"/>
      <c r="J1065" s="86"/>
      <c r="K1065" s="86"/>
      <c r="L1065" s="86"/>
      <c r="M1065" s="86"/>
      <c r="N1065" s="86"/>
      <c r="O1065" s="86"/>
      <c r="P1065" s="86"/>
      <c r="Q1065" s="86"/>
      <c r="R1065" s="86"/>
      <c r="S1065" s="86"/>
      <c r="T1065" s="86"/>
      <c r="U1065" s="48"/>
    </row>
    <row r="1066" spans="1:21">
      <c r="A1066" s="86"/>
      <c r="B1066" s="86"/>
      <c r="C1066" s="87"/>
      <c r="D1066" s="86"/>
      <c r="E1066" s="86"/>
      <c r="F1066" s="86"/>
      <c r="G1066" s="86"/>
      <c r="H1066" s="86"/>
      <c r="I1066" s="86"/>
      <c r="J1066" s="86"/>
      <c r="K1066" s="86"/>
      <c r="L1066" s="86"/>
      <c r="M1066" s="86"/>
      <c r="N1066" s="86"/>
      <c r="O1066" s="86"/>
      <c r="P1066" s="86"/>
      <c r="Q1066" s="86"/>
      <c r="R1066" s="86"/>
      <c r="S1066" s="86"/>
      <c r="T1066" s="86"/>
      <c r="U1066" s="48"/>
    </row>
    <row r="1067" spans="1:21">
      <c r="A1067" s="86"/>
      <c r="B1067" s="86"/>
      <c r="C1067" s="87"/>
      <c r="D1067" s="86"/>
      <c r="E1067" s="86"/>
      <c r="F1067" s="86"/>
      <c r="G1067" s="86"/>
      <c r="H1067" s="86"/>
      <c r="I1067" s="86"/>
      <c r="J1067" s="86"/>
      <c r="K1067" s="86"/>
      <c r="L1067" s="86"/>
      <c r="M1067" s="86"/>
      <c r="N1067" s="86"/>
      <c r="O1067" s="86"/>
      <c r="P1067" s="86"/>
      <c r="Q1067" s="86"/>
      <c r="R1067" s="86"/>
      <c r="S1067" s="86"/>
      <c r="T1067" s="86"/>
      <c r="U1067" s="48"/>
    </row>
    <row r="1068" spans="1:21">
      <c r="A1068" s="86"/>
      <c r="B1068" s="86"/>
      <c r="C1068" s="87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  <c r="R1068" s="86"/>
      <c r="S1068" s="86"/>
      <c r="T1068" s="86"/>
      <c r="U1068" s="48"/>
    </row>
    <row r="1069" spans="1:21">
      <c r="A1069" s="86"/>
      <c r="B1069" s="86"/>
      <c r="C1069" s="87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  <c r="R1069" s="86"/>
      <c r="S1069" s="86"/>
      <c r="T1069" s="86"/>
      <c r="U1069" s="48"/>
    </row>
    <row r="1070" spans="1:21">
      <c r="A1070" s="86"/>
      <c r="B1070" s="86"/>
      <c r="C1070" s="87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  <c r="R1070" s="86"/>
      <c r="S1070" s="86"/>
      <c r="T1070" s="86"/>
      <c r="U1070" s="48"/>
    </row>
    <row r="1071" spans="1:21">
      <c r="A1071" s="86"/>
      <c r="B1071" s="86"/>
      <c r="C1071" s="87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  <c r="S1071" s="86"/>
      <c r="T1071" s="86"/>
      <c r="U1071" s="48"/>
    </row>
    <row r="1072" spans="1:21">
      <c r="A1072" s="86"/>
      <c r="B1072" s="86"/>
      <c r="C1072" s="87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  <c r="S1072" s="86"/>
      <c r="T1072" s="86"/>
      <c r="U1072" s="48"/>
    </row>
    <row r="1073" spans="1:21">
      <c r="A1073" s="86"/>
      <c r="B1073" s="86"/>
      <c r="C1073" s="87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  <c r="S1073" s="86"/>
      <c r="T1073" s="86"/>
      <c r="U1073" s="48"/>
    </row>
    <row r="1074" spans="1:21">
      <c r="A1074" s="86"/>
      <c r="B1074" s="86"/>
      <c r="C1074" s="87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  <c r="S1074" s="86"/>
      <c r="T1074" s="86"/>
      <c r="U1074" s="48"/>
    </row>
    <row r="1075" spans="1:21">
      <c r="A1075" s="86"/>
      <c r="B1075" s="86"/>
      <c r="C1075" s="87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  <c r="S1075" s="86"/>
      <c r="T1075" s="86"/>
      <c r="U1075" s="48"/>
    </row>
    <row r="1076" spans="1:21">
      <c r="A1076" s="86"/>
      <c r="B1076" s="86"/>
      <c r="C1076" s="87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  <c r="S1076" s="86"/>
      <c r="T1076" s="86"/>
      <c r="U1076" s="48"/>
    </row>
    <row r="1077" spans="1:21">
      <c r="A1077" s="86"/>
      <c r="B1077" s="86"/>
      <c r="C1077" s="87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  <c r="S1077" s="86"/>
      <c r="T1077" s="86"/>
      <c r="U1077" s="48"/>
    </row>
    <row r="1078" spans="1:21">
      <c r="A1078" s="86"/>
      <c r="B1078" s="86"/>
      <c r="C1078" s="87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  <c r="S1078" s="86"/>
      <c r="T1078" s="86"/>
      <c r="U1078" s="48"/>
    </row>
    <row r="1079" spans="1:21">
      <c r="A1079" s="86"/>
      <c r="B1079" s="86"/>
      <c r="C1079" s="87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  <c r="S1079" s="86"/>
      <c r="T1079" s="86"/>
      <c r="U1079" s="48"/>
    </row>
    <row r="1080" spans="1:21">
      <c r="A1080" s="86"/>
      <c r="B1080" s="86"/>
      <c r="C1080" s="87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  <c r="S1080" s="86"/>
      <c r="T1080" s="86"/>
      <c r="U1080" s="48"/>
    </row>
    <row r="1081" spans="1:21">
      <c r="A1081" s="86"/>
      <c r="B1081" s="86"/>
      <c r="C1081" s="87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  <c r="S1081" s="86"/>
      <c r="T1081" s="86"/>
      <c r="U1081" s="48"/>
    </row>
    <row r="1082" spans="1:21">
      <c r="A1082" s="86"/>
      <c r="B1082" s="86"/>
      <c r="C1082" s="87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  <c r="S1082" s="86"/>
      <c r="T1082" s="86"/>
      <c r="U1082" s="48"/>
    </row>
    <row r="1083" spans="1:21">
      <c r="A1083" s="86"/>
      <c r="B1083" s="86"/>
      <c r="C1083" s="87"/>
      <c r="D1083" s="86"/>
      <c r="E1083" s="86"/>
      <c r="F1083" s="86"/>
      <c r="G1083" s="86"/>
      <c r="H1083" s="86"/>
      <c r="I1083" s="86"/>
      <c r="J1083" s="86"/>
      <c r="K1083" s="86"/>
      <c r="L1083" s="86"/>
      <c r="M1083" s="86"/>
      <c r="N1083" s="86"/>
      <c r="O1083" s="86"/>
      <c r="P1083" s="86"/>
      <c r="Q1083" s="86"/>
      <c r="R1083" s="86"/>
      <c r="S1083" s="86"/>
      <c r="T1083" s="86"/>
      <c r="U1083" s="48"/>
    </row>
    <row r="1084" spans="1:21">
      <c r="A1084" s="86"/>
      <c r="B1084" s="86"/>
      <c r="C1084" s="87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  <c r="S1084" s="86"/>
      <c r="T1084" s="86"/>
      <c r="U1084" s="48"/>
    </row>
    <row r="1085" spans="1:21">
      <c r="A1085" s="86"/>
      <c r="B1085" s="86"/>
      <c r="C1085" s="87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  <c r="S1085" s="86"/>
      <c r="T1085" s="86"/>
      <c r="U1085" s="48"/>
    </row>
    <row r="1086" spans="1:21">
      <c r="A1086" s="86"/>
      <c r="B1086" s="86"/>
      <c r="C1086" s="87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  <c r="S1086" s="86"/>
      <c r="T1086" s="86"/>
      <c r="U1086" s="48"/>
    </row>
    <row r="1087" spans="1:21">
      <c r="A1087" s="86"/>
      <c r="B1087" s="86"/>
      <c r="C1087" s="87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  <c r="S1087" s="86"/>
      <c r="T1087" s="86"/>
      <c r="U1087" s="48"/>
    </row>
    <row r="1088" spans="1:21">
      <c r="A1088" s="86"/>
      <c r="B1088" s="86"/>
      <c r="C1088" s="87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  <c r="S1088" s="86"/>
      <c r="T1088" s="86"/>
      <c r="U1088" s="48"/>
    </row>
    <row r="1089" spans="1:21">
      <c r="A1089" s="86"/>
      <c r="B1089" s="86"/>
      <c r="C1089" s="87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  <c r="S1089" s="86"/>
      <c r="T1089" s="86"/>
      <c r="U1089" s="48"/>
    </row>
    <row r="1090" spans="1:21">
      <c r="A1090" s="86"/>
      <c r="B1090" s="86"/>
      <c r="C1090" s="87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  <c r="S1090" s="86"/>
      <c r="T1090" s="86"/>
      <c r="U1090" s="48"/>
    </row>
    <row r="1091" spans="1:21">
      <c r="A1091" s="86"/>
      <c r="B1091" s="86"/>
      <c r="C1091" s="87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  <c r="S1091" s="86"/>
      <c r="T1091" s="86"/>
      <c r="U1091" s="48"/>
    </row>
    <row r="1092" spans="1:21">
      <c r="A1092" s="86"/>
      <c r="B1092" s="86"/>
      <c r="C1092" s="87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  <c r="S1092" s="86"/>
      <c r="T1092" s="86"/>
      <c r="U1092" s="48"/>
    </row>
    <row r="1093" spans="1:21">
      <c r="A1093" s="86"/>
      <c r="B1093" s="86"/>
      <c r="C1093" s="87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  <c r="S1093" s="86"/>
      <c r="T1093" s="86"/>
      <c r="U1093" s="48"/>
    </row>
    <row r="1094" spans="1:21">
      <c r="A1094" s="86"/>
      <c r="B1094" s="86"/>
      <c r="C1094" s="87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  <c r="S1094" s="86"/>
      <c r="T1094" s="86"/>
      <c r="U1094" s="48"/>
    </row>
    <row r="1095" spans="1:21">
      <c r="A1095" s="86"/>
      <c r="B1095" s="86"/>
      <c r="C1095" s="87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  <c r="S1095" s="86"/>
      <c r="T1095" s="86"/>
      <c r="U1095" s="48"/>
    </row>
    <row r="1096" spans="1:21">
      <c r="A1096" s="86"/>
      <c r="B1096" s="86"/>
      <c r="C1096" s="87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  <c r="S1096" s="86"/>
      <c r="T1096" s="86"/>
      <c r="U1096" s="48"/>
    </row>
    <row r="1097" spans="1:21">
      <c r="A1097" s="86"/>
      <c r="B1097" s="86"/>
      <c r="C1097" s="87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  <c r="S1097" s="86"/>
      <c r="T1097" s="86"/>
      <c r="U1097" s="48"/>
    </row>
    <row r="1098" spans="1:21">
      <c r="A1098" s="86"/>
      <c r="B1098" s="86"/>
      <c r="C1098" s="87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  <c r="S1098" s="86"/>
      <c r="T1098" s="86"/>
      <c r="U1098" s="48"/>
    </row>
    <row r="1099" spans="1:21">
      <c r="A1099" s="86"/>
      <c r="B1099" s="86"/>
      <c r="C1099" s="87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  <c r="S1099" s="86"/>
      <c r="T1099" s="86"/>
      <c r="U1099" s="48"/>
    </row>
    <row r="1100" spans="1:21">
      <c r="A1100" s="86"/>
      <c r="B1100" s="86"/>
      <c r="C1100" s="87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  <c r="S1100" s="86"/>
      <c r="T1100" s="86"/>
      <c r="U1100" s="48"/>
    </row>
    <row r="1101" spans="1:21">
      <c r="A1101" s="86"/>
      <c r="B1101" s="86"/>
      <c r="C1101" s="87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  <c r="S1101" s="86"/>
      <c r="T1101" s="86"/>
      <c r="U1101" s="48"/>
    </row>
    <row r="1102" spans="1:21">
      <c r="A1102" s="86"/>
      <c r="B1102" s="86"/>
      <c r="C1102" s="87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  <c r="S1102" s="86"/>
      <c r="T1102" s="86"/>
      <c r="U1102" s="48"/>
    </row>
    <row r="1103" spans="1:21">
      <c r="A1103" s="86"/>
      <c r="B1103" s="86"/>
      <c r="C1103" s="87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  <c r="S1103" s="86"/>
      <c r="T1103" s="86"/>
      <c r="U1103" s="48"/>
    </row>
    <row r="1104" spans="1:21">
      <c r="A1104" s="86"/>
      <c r="B1104" s="86"/>
      <c r="C1104" s="87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  <c r="S1104" s="86"/>
      <c r="T1104" s="86"/>
      <c r="U1104" s="48"/>
    </row>
    <row r="1105" spans="1:21">
      <c r="A1105" s="86"/>
      <c r="B1105" s="86"/>
      <c r="C1105" s="87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  <c r="S1105" s="86"/>
      <c r="T1105" s="86"/>
      <c r="U1105" s="48"/>
    </row>
    <row r="1106" spans="1:21">
      <c r="A1106" s="86"/>
      <c r="B1106" s="86"/>
      <c r="C1106" s="87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  <c r="S1106" s="86"/>
      <c r="T1106" s="86"/>
      <c r="U1106" s="48"/>
    </row>
    <row r="1107" spans="1:21">
      <c r="A1107" s="86"/>
      <c r="B1107" s="86"/>
      <c r="C1107" s="87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  <c r="R1107" s="86"/>
      <c r="S1107" s="86"/>
      <c r="T1107" s="86"/>
      <c r="U1107" s="48"/>
    </row>
    <row r="1108" spans="1:21">
      <c r="A1108" s="86"/>
      <c r="B1108" s="86"/>
      <c r="C1108" s="87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  <c r="R1108" s="86"/>
      <c r="S1108" s="86"/>
      <c r="T1108" s="86"/>
      <c r="U1108" s="48"/>
    </row>
    <row r="1109" spans="1:21">
      <c r="A1109" s="86"/>
      <c r="B1109" s="86"/>
      <c r="C1109" s="87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  <c r="R1109" s="86"/>
      <c r="S1109" s="86"/>
      <c r="T1109" s="86"/>
      <c r="U1109" s="48"/>
    </row>
    <row r="1110" spans="1:21">
      <c r="A1110" s="86"/>
      <c r="B1110" s="86"/>
      <c r="C1110" s="87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  <c r="R1110" s="86"/>
      <c r="S1110" s="86"/>
      <c r="T1110" s="86"/>
      <c r="U1110" s="48"/>
    </row>
    <row r="1111" spans="1:21">
      <c r="A1111" s="86"/>
      <c r="B1111" s="86"/>
      <c r="C1111" s="87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  <c r="R1111" s="86"/>
      <c r="S1111" s="86"/>
      <c r="T1111" s="86"/>
      <c r="U1111" s="48"/>
    </row>
    <row r="1112" spans="1:21">
      <c r="A1112" s="86"/>
      <c r="B1112" s="86"/>
      <c r="C1112" s="87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  <c r="R1112" s="86"/>
      <c r="S1112" s="86"/>
      <c r="T1112" s="86"/>
      <c r="U1112" s="48"/>
    </row>
    <row r="1113" spans="1:21">
      <c r="A1113" s="86"/>
      <c r="B1113" s="86"/>
      <c r="C1113" s="87"/>
      <c r="D1113" s="86"/>
      <c r="E1113" s="86"/>
      <c r="F1113" s="86"/>
      <c r="G1113" s="86"/>
      <c r="H1113" s="86"/>
      <c r="I1113" s="86"/>
      <c r="J1113" s="86"/>
      <c r="K1113" s="86"/>
      <c r="L1113" s="86"/>
      <c r="M1113" s="86"/>
      <c r="N1113" s="86"/>
      <c r="O1113" s="86"/>
      <c r="P1113" s="86"/>
      <c r="Q1113" s="86"/>
      <c r="R1113" s="86"/>
      <c r="S1113" s="86"/>
      <c r="T1113" s="86"/>
      <c r="U1113" s="48"/>
    </row>
    <row r="1114" spans="1:21">
      <c r="A1114" s="86"/>
      <c r="B1114" s="86"/>
      <c r="C1114" s="87"/>
      <c r="D1114" s="86"/>
      <c r="E1114" s="86"/>
      <c r="F1114" s="86"/>
      <c r="G1114" s="86"/>
      <c r="H1114" s="86"/>
      <c r="I1114" s="86"/>
      <c r="J1114" s="86"/>
      <c r="K1114" s="86"/>
      <c r="L1114" s="86"/>
      <c r="M1114" s="86"/>
      <c r="N1114" s="86"/>
      <c r="O1114" s="86"/>
      <c r="P1114" s="86"/>
      <c r="Q1114" s="86"/>
      <c r="R1114" s="86"/>
      <c r="S1114" s="86"/>
      <c r="T1114" s="86"/>
      <c r="U1114" s="48"/>
    </row>
    <row r="1115" spans="1:21">
      <c r="A1115" s="86"/>
      <c r="B1115" s="86"/>
      <c r="C1115" s="87"/>
      <c r="D1115" s="86"/>
      <c r="E1115" s="86"/>
      <c r="F1115" s="86"/>
      <c r="G1115" s="86"/>
      <c r="H1115" s="86"/>
      <c r="I1115" s="86"/>
      <c r="J1115" s="86"/>
      <c r="K1115" s="86"/>
      <c r="L1115" s="86"/>
      <c r="M1115" s="86"/>
      <c r="N1115" s="86"/>
      <c r="O1115" s="86"/>
      <c r="P1115" s="86"/>
      <c r="Q1115" s="86"/>
      <c r="R1115" s="86"/>
      <c r="S1115" s="86"/>
      <c r="T1115" s="86"/>
      <c r="U1115" s="48"/>
    </row>
    <row r="1116" spans="1:21">
      <c r="A1116" s="86"/>
      <c r="B1116" s="86"/>
      <c r="C1116" s="87"/>
      <c r="D1116" s="86"/>
      <c r="E1116" s="86"/>
      <c r="F1116" s="86"/>
      <c r="G1116" s="86"/>
      <c r="H1116" s="86"/>
      <c r="I1116" s="86"/>
      <c r="J1116" s="86"/>
      <c r="K1116" s="86"/>
      <c r="L1116" s="86"/>
      <c r="M1116" s="86"/>
      <c r="N1116" s="86"/>
      <c r="O1116" s="86"/>
      <c r="P1116" s="86"/>
      <c r="Q1116" s="86"/>
      <c r="R1116" s="86"/>
      <c r="S1116" s="86"/>
      <c r="T1116" s="86"/>
      <c r="U1116" s="48"/>
    </row>
    <row r="1117" spans="1:21">
      <c r="A1117" s="86"/>
      <c r="B1117" s="86"/>
      <c r="C1117" s="87"/>
      <c r="D1117" s="86"/>
      <c r="E1117" s="86"/>
      <c r="F1117" s="86"/>
      <c r="G1117" s="86"/>
      <c r="H1117" s="86"/>
      <c r="I1117" s="86"/>
      <c r="J1117" s="86"/>
      <c r="K1117" s="86"/>
      <c r="L1117" s="86"/>
      <c r="M1117" s="86"/>
      <c r="N1117" s="86"/>
      <c r="O1117" s="86"/>
      <c r="P1117" s="86"/>
      <c r="Q1117" s="86"/>
      <c r="R1117" s="86"/>
      <c r="S1117" s="86"/>
      <c r="T1117" s="86"/>
      <c r="U1117" s="48"/>
    </row>
    <row r="1118" spans="1:21">
      <c r="A1118" s="86"/>
      <c r="B1118" s="86"/>
      <c r="C1118" s="87"/>
      <c r="D1118" s="86"/>
      <c r="E1118" s="86"/>
      <c r="F1118" s="86"/>
      <c r="G1118" s="86"/>
      <c r="H1118" s="86"/>
      <c r="I1118" s="86"/>
      <c r="J1118" s="86"/>
      <c r="K1118" s="86"/>
      <c r="L1118" s="86"/>
      <c r="M1118" s="86"/>
      <c r="N1118" s="86"/>
      <c r="O1118" s="86"/>
      <c r="P1118" s="86"/>
      <c r="Q1118" s="86"/>
      <c r="R1118" s="86"/>
      <c r="S1118" s="86"/>
      <c r="T1118" s="86"/>
      <c r="U1118" s="48"/>
    </row>
    <row r="1119" spans="1:21">
      <c r="A1119" s="86"/>
      <c r="B1119" s="86"/>
      <c r="C1119" s="87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  <c r="S1119" s="86"/>
      <c r="T1119" s="86"/>
      <c r="U1119" s="48"/>
    </row>
    <row r="1120" spans="1:21">
      <c r="A1120" s="86"/>
      <c r="B1120" s="86"/>
      <c r="C1120" s="87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  <c r="S1120" s="86"/>
      <c r="T1120" s="86"/>
      <c r="U1120" s="48"/>
    </row>
    <row r="1121" spans="1:21">
      <c r="A1121" s="86"/>
      <c r="B1121" s="86"/>
      <c r="C1121" s="87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  <c r="S1121" s="86"/>
      <c r="T1121" s="86"/>
      <c r="U1121" s="48"/>
    </row>
    <row r="1122" spans="1:21">
      <c r="A1122" s="86"/>
      <c r="B1122" s="86"/>
      <c r="C1122" s="87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  <c r="S1122" s="86"/>
      <c r="T1122" s="86"/>
      <c r="U1122" s="48"/>
    </row>
    <row r="1123" spans="1:21">
      <c r="A1123" s="86"/>
      <c r="B1123" s="86"/>
      <c r="C1123" s="87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  <c r="S1123" s="86"/>
      <c r="T1123" s="86"/>
      <c r="U1123" s="48"/>
    </row>
    <row r="1124" spans="1:21">
      <c r="A1124" s="86"/>
      <c r="B1124" s="86"/>
      <c r="C1124" s="87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  <c r="S1124" s="86"/>
      <c r="T1124" s="86"/>
      <c r="U1124" s="48"/>
    </row>
    <row r="1125" spans="1:21">
      <c r="A1125" s="86"/>
      <c r="B1125" s="86"/>
      <c r="C1125" s="87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  <c r="S1125" s="86"/>
      <c r="T1125" s="86"/>
      <c r="U1125" s="48"/>
    </row>
    <row r="1126" spans="1:21">
      <c r="A1126" s="86"/>
      <c r="B1126" s="86"/>
      <c r="C1126" s="87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  <c r="S1126" s="86"/>
      <c r="T1126" s="86"/>
      <c r="U1126" s="48"/>
    </row>
    <row r="1127" spans="1:21">
      <c r="A1127" s="86"/>
      <c r="B1127" s="86"/>
      <c r="C1127" s="87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  <c r="S1127" s="86"/>
      <c r="T1127" s="86"/>
      <c r="U1127" s="48"/>
    </row>
    <row r="1128" spans="1:21">
      <c r="A1128" s="86"/>
      <c r="B1128" s="86"/>
      <c r="C1128" s="87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  <c r="S1128" s="86"/>
      <c r="T1128" s="86"/>
      <c r="U1128" s="48"/>
    </row>
    <row r="1129" spans="1:21">
      <c r="A1129" s="86"/>
      <c r="B1129" s="86"/>
      <c r="C1129" s="87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  <c r="S1129" s="86"/>
      <c r="T1129" s="86"/>
      <c r="U1129" s="48"/>
    </row>
    <row r="1130" spans="1:21">
      <c r="A1130" s="86"/>
      <c r="B1130" s="86"/>
      <c r="C1130" s="87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  <c r="S1130" s="86"/>
      <c r="T1130" s="86"/>
      <c r="U1130" s="48"/>
    </row>
    <row r="1131" spans="1:21">
      <c r="A1131" s="86"/>
      <c r="B1131" s="86"/>
      <c r="C1131" s="87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  <c r="S1131" s="86"/>
      <c r="T1131" s="86"/>
      <c r="U1131" s="48"/>
    </row>
    <row r="1132" spans="1:21">
      <c r="A1132" s="86"/>
      <c r="B1132" s="86"/>
      <c r="C1132" s="87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  <c r="S1132" s="86"/>
      <c r="T1132" s="86"/>
      <c r="U1132" s="48"/>
    </row>
    <row r="1133" spans="1:21">
      <c r="A1133" s="86"/>
      <c r="B1133" s="86"/>
      <c r="C1133" s="87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  <c r="S1133" s="86"/>
      <c r="T1133" s="86"/>
      <c r="U1133" s="48"/>
    </row>
    <row r="1134" spans="1:21">
      <c r="A1134" s="86"/>
      <c r="B1134" s="86"/>
      <c r="C1134" s="87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  <c r="S1134" s="86"/>
      <c r="T1134" s="86"/>
      <c r="U1134" s="48"/>
    </row>
    <row r="1135" spans="1:21">
      <c r="A1135" s="86"/>
      <c r="B1135" s="86"/>
      <c r="C1135" s="87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  <c r="S1135" s="86"/>
      <c r="T1135" s="86"/>
      <c r="U1135" s="48"/>
    </row>
    <row r="1136" spans="1:21">
      <c r="A1136" s="86"/>
      <c r="B1136" s="86"/>
      <c r="C1136" s="87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  <c r="S1136" s="86"/>
      <c r="T1136" s="86"/>
      <c r="U1136" s="48"/>
    </row>
    <row r="1137" spans="1:21">
      <c r="A1137" s="86"/>
      <c r="B1137" s="86"/>
      <c r="C1137" s="87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  <c r="S1137" s="86"/>
      <c r="T1137" s="86"/>
      <c r="U1137" s="48"/>
    </row>
    <row r="1138" spans="1:21">
      <c r="A1138" s="86"/>
      <c r="B1138" s="86"/>
      <c r="C1138" s="87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  <c r="S1138" s="86"/>
      <c r="T1138" s="86"/>
      <c r="U1138" s="48"/>
    </row>
    <row r="1139" spans="1:21">
      <c r="A1139" s="86"/>
      <c r="B1139" s="86"/>
      <c r="C1139" s="87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  <c r="S1139" s="86"/>
      <c r="T1139" s="86"/>
      <c r="U1139" s="48"/>
    </row>
    <row r="1140" spans="1:21">
      <c r="A1140" s="86"/>
      <c r="B1140" s="86"/>
      <c r="C1140" s="87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  <c r="S1140" s="86"/>
      <c r="T1140" s="86"/>
      <c r="U1140" s="48"/>
    </row>
    <row r="1141" spans="1:21">
      <c r="A1141" s="86"/>
      <c r="B1141" s="86"/>
      <c r="C1141" s="87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  <c r="S1141" s="86"/>
      <c r="T1141" s="86"/>
      <c r="U1141" s="48"/>
    </row>
    <row r="1142" spans="1:21">
      <c r="A1142" s="86"/>
      <c r="B1142" s="86"/>
      <c r="C1142" s="87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  <c r="S1142" s="86"/>
      <c r="T1142" s="86"/>
      <c r="U1142" s="48"/>
    </row>
    <row r="1143" spans="1:21">
      <c r="A1143" s="86"/>
      <c r="B1143" s="86"/>
      <c r="C1143" s="87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  <c r="S1143" s="86"/>
      <c r="T1143" s="86"/>
      <c r="U1143" s="48"/>
    </row>
    <row r="1144" spans="1:21">
      <c r="A1144" s="86"/>
      <c r="B1144" s="86"/>
      <c r="C1144" s="87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  <c r="S1144" s="86"/>
      <c r="T1144" s="86"/>
      <c r="U1144" s="48"/>
    </row>
    <row r="1145" spans="1:21">
      <c r="A1145" s="86"/>
      <c r="B1145" s="86"/>
      <c r="C1145" s="87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  <c r="S1145" s="86"/>
      <c r="T1145" s="86"/>
      <c r="U1145" s="48"/>
    </row>
    <row r="1146" spans="1:21">
      <c r="A1146" s="86"/>
      <c r="B1146" s="86"/>
      <c r="C1146" s="87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  <c r="S1146" s="86"/>
      <c r="T1146" s="86"/>
      <c r="U1146" s="48"/>
    </row>
    <row r="1147" spans="1:21">
      <c r="A1147" s="86"/>
      <c r="B1147" s="86"/>
      <c r="C1147" s="87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  <c r="S1147" s="86"/>
      <c r="T1147" s="86"/>
      <c r="U1147" s="48"/>
    </row>
    <row r="1148" spans="1:21">
      <c r="A1148" s="86"/>
      <c r="B1148" s="86"/>
      <c r="C1148" s="87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  <c r="S1148" s="86"/>
      <c r="T1148" s="86"/>
      <c r="U1148" s="48"/>
    </row>
    <row r="1149" spans="1:21">
      <c r="A1149" s="86"/>
      <c r="B1149" s="86"/>
      <c r="C1149" s="87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  <c r="S1149" s="86"/>
      <c r="T1149" s="86"/>
      <c r="U1149" s="48"/>
    </row>
    <row r="1150" spans="1:21">
      <c r="A1150" s="86"/>
      <c r="B1150" s="86"/>
      <c r="C1150" s="87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  <c r="S1150" s="86"/>
      <c r="T1150" s="86"/>
      <c r="U1150" s="48"/>
    </row>
    <row r="1151" spans="1:21">
      <c r="A1151" s="86"/>
      <c r="B1151" s="86"/>
      <c r="C1151" s="87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  <c r="S1151" s="86"/>
      <c r="T1151" s="86"/>
      <c r="U1151" s="48"/>
    </row>
    <row r="1152" spans="1:21">
      <c r="A1152" s="86"/>
      <c r="B1152" s="86"/>
      <c r="C1152" s="87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  <c r="S1152" s="86"/>
      <c r="T1152" s="86"/>
      <c r="U1152" s="48"/>
    </row>
    <row r="1153" spans="1:21">
      <c r="A1153" s="86"/>
      <c r="B1153" s="86"/>
      <c r="C1153" s="87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  <c r="S1153" s="86"/>
      <c r="T1153" s="86"/>
      <c r="U1153" s="48"/>
    </row>
    <row r="1154" spans="1:21">
      <c r="A1154" s="86"/>
      <c r="B1154" s="86"/>
      <c r="C1154" s="87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  <c r="S1154" s="86"/>
      <c r="T1154" s="86"/>
      <c r="U1154" s="48"/>
    </row>
    <row r="1155" spans="1:21">
      <c r="A1155" s="86"/>
      <c r="B1155" s="86"/>
      <c r="C1155" s="87"/>
      <c r="D1155" s="86"/>
      <c r="E1155" s="86"/>
      <c r="F1155" s="86"/>
      <c r="G1155" s="86"/>
      <c r="H1155" s="86"/>
      <c r="I1155" s="86"/>
      <c r="J1155" s="86"/>
      <c r="K1155" s="86"/>
      <c r="L1155" s="86"/>
      <c r="M1155" s="86"/>
      <c r="N1155" s="86"/>
      <c r="O1155" s="86"/>
      <c r="P1155" s="86"/>
      <c r="Q1155" s="86"/>
      <c r="R1155" s="86"/>
      <c r="S1155" s="86"/>
      <c r="T1155" s="86"/>
      <c r="U1155" s="48"/>
    </row>
    <row r="1156" spans="1:21">
      <c r="A1156" s="86"/>
      <c r="B1156" s="86"/>
      <c r="C1156" s="87"/>
      <c r="D1156" s="86"/>
      <c r="E1156" s="86"/>
      <c r="F1156" s="86"/>
      <c r="G1156" s="86"/>
      <c r="H1156" s="86"/>
      <c r="I1156" s="86"/>
      <c r="J1156" s="86"/>
      <c r="K1156" s="86"/>
      <c r="L1156" s="86"/>
      <c r="M1156" s="86"/>
      <c r="N1156" s="86"/>
      <c r="O1156" s="86"/>
      <c r="P1156" s="86"/>
      <c r="Q1156" s="86"/>
      <c r="R1156" s="86"/>
      <c r="S1156" s="86"/>
      <c r="T1156" s="86"/>
      <c r="U1156" s="48"/>
    </row>
    <row r="1157" spans="1:21">
      <c r="A1157" s="86"/>
      <c r="B1157" s="86"/>
      <c r="C1157" s="87"/>
      <c r="D1157" s="86"/>
      <c r="E1157" s="86"/>
      <c r="F1157" s="86"/>
      <c r="G1157" s="86"/>
      <c r="H1157" s="86"/>
      <c r="I1157" s="86"/>
      <c r="J1157" s="86"/>
      <c r="K1157" s="86"/>
      <c r="L1157" s="86"/>
      <c r="M1157" s="86"/>
      <c r="N1157" s="86"/>
      <c r="O1157" s="86"/>
      <c r="P1157" s="86"/>
      <c r="Q1157" s="86"/>
      <c r="R1157" s="86"/>
      <c r="S1157" s="86"/>
      <c r="T1157" s="86"/>
      <c r="U1157" s="48"/>
    </row>
    <row r="1158" spans="1:21">
      <c r="A1158" s="86"/>
      <c r="B1158" s="86"/>
      <c r="C1158" s="87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  <c r="R1158" s="86"/>
      <c r="S1158" s="86"/>
      <c r="T1158" s="86"/>
      <c r="U1158" s="48"/>
    </row>
    <row r="1159" spans="1:21">
      <c r="A1159" s="86"/>
      <c r="B1159" s="86"/>
      <c r="C1159" s="87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  <c r="R1159" s="86"/>
      <c r="S1159" s="86"/>
      <c r="T1159" s="86"/>
      <c r="U1159" s="48"/>
    </row>
    <row r="1160" spans="1:21">
      <c r="A1160" s="86"/>
      <c r="B1160" s="86"/>
      <c r="C1160" s="87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  <c r="R1160" s="86"/>
      <c r="S1160" s="86"/>
      <c r="T1160" s="86"/>
      <c r="U1160" s="48"/>
    </row>
    <row r="1161" spans="1:21">
      <c r="A1161" s="86"/>
      <c r="B1161" s="86"/>
      <c r="C1161" s="87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  <c r="R1161" s="86"/>
      <c r="S1161" s="86"/>
      <c r="T1161" s="86"/>
      <c r="U1161" s="48"/>
    </row>
    <row r="1162" spans="1:21">
      <c r="A1162" s="86"/>
      <c r="B1162" s="86"/>
      <c r="C1162" s="87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  <c r="R1162" s="86"/>
      <c r="S1162" s="86"/>
      <c r="T1162" s="86"/>
      <c r="U1162" s="48"/>
    </row>
    <row r="1163" spans="1:21">
      <c r="A1163" s="86"/>
      <c r="B1163" s="86"/>
      <c r="C1163" s="87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  <c r="R1163" s="86"/>
      <c r="S1163" s="86"/>
      <c r="T1163" s="86"/>
      <c r="U1163" s="48"/>
    </row>
    <row r="1164" spans="1:21">
      <c r="A1164" s="86"/>
      <c r="B1164" s="86"/>
      <c r="C1164" s="87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  <c r="R1164" s="86"/>
      <c r="S1164" s="86"/>
      <c r="T1164" s="86"/>
      <c r="U1164" s="48"/>
    </row>
    <row r="1165" spans="1:21">
      <c r="A1165" s="86"/>
      <c r="B1165" s="86"/>
      <c r="C1165" s="87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  <c r="R1165" s="86"/>
      <c r="S1165" s="86"/>
      <c r="T1165" s="86"/>
      <c r="U1165" s="48"/>
    </row>
    <row r="1166" spans="1:21">
      <c r="A1166" s="86"/>
      <c r="B1166" s="86"/>
      <c r="C1166" s="87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  <c r="R1166" s="86"/>
      <c r="S1166" s="86"/>
      <c r="T1166" s="86"/>
      <c r="U1166" s="48"/>
    </row>
    <row r="1167" spans="1:21">
      <c r="A1167" s="86"/>
      <c r="B1167" s="86"/>
      <c r="C1167" s="87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  <c r="S1167" s="86"/>
      <c r="T1167" s="86"/>
      <c r="U1167" s="48"/>
    </row>
    <row r="1168" spans="1:21">
      <c r="A1168" s="86"/>
      <c r="B1168" s="86"/>
      <c r="C1168" s="87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  <c r="S1168" s="86"/>
      <c r="T1168" s="86"/>
      <c r="U1168" s="48"/>
    </row>
    <row r="1169" spans="1:21">
      <c r="A1169" s="86"/>
      <c r="B1169" s="86"/>
      <c r="C1169" s="87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  <c r="S1169" s="86"/>
      <c r="T1169" s="86"/>
      <c r="U1169" s="48"/>
    </row>
    <row r="1170" spans="1:21">
      <c r="A1170" s="86"/>
      <c r="B1170" s="86"/>
      <c r="C1170" s="87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  <c r="S1170" s="86"/>
      <c r="T1170" s="86"/>
      <c r="U1170" s="48"/>
    </row>
    <row r="1171" spans="1:21">
      <c r="A1171" s="86"/>
      <c r="B1171" s="86"/>
      <c r="C1171" s="87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  <c r="S1171" s="86"/>
      <c r="T1171" s="86"/>
      <c r="U1171" s="48"/>
    </row>
    <row r="1172" spans="1:21">
      <c r="A1172" s="86"/>
      <c r="B1172" s="86"/>
      <c r="C1172" s="87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  <c r="S1172" s="86"/>
      <c r="T1172" s="86"/>
      <c r="U1172" s="48"/>
    </row>
    <row r="1173" spans="1:21">
      <c r="A1173" s="86"/>
      <c r="B1173" s="86"/>
      <c r="C1173" s="87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  <c r="S1173" s="86"/>
      <c r="T1173" s="86"/>
      <c r="U1173" s="48"/>
    </row>
    <row r="1174" spans="1:21">
      <c r="A1174" s="86"/>
      <c r="B1174" s="86"/>
      <c r="C1174" s="87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  <c r="S1174" s="86"/>
      <c r="T1174" s="86"/>
      <c r="U1174" s="48"/>
    </row>
    <row r="1175" spans="1:21">
      <c r="A1175" s="86"/>
      <c r="B1175" s="86"/>
      <c r="C1175" s="87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  <c r="S1175" s="86"/>
      <c r="T1175" s="86"/>
      <c r="U1175" s="48"/>
    </row>
    <row r="1176" spans="1:21">
      <c r="A1176" s="86"/>
      <c r="B1176" s="86"/>
      <c r="C1176" s="87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  <c r="S1176" s="86"/>
      <c r="T1176" s="86"/>
      <c r="U1176" s="48"/>
    </row>
    <row r="1177" spans="1:21">
      <c r="A1177" s="86"/>
      <c r="B1177" s="86"/>
      <c r="C1177" s="87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  <c r="S1177" s="86"/>
      <c r="T1177" s="86"/>
      <c r="U1177" s="48"/>
    </row>
    <row r="1178" spans="1:21">
      <c r="A1178" s="86"/>
      <c r="B1178" s="86"/>
      <c r="C1178" s="87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  <c r="S1178" s="86"/>
      <c r="T1178" s="86"/>
      <c r="U1178" s="48"/>
    </row>
    <row r="1179" spans="1:21">
      <c r="A1179" s="86"/>
      <c r="B1179" s="86"/>
      <c r="C1179" s="87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  <c r="S1179" s="86"/>
      <c r="T1179" s="86"/>
      <c r="U1179" s="48"/>
    </row>
    <row r="1180" spans="1:21">
      <c r="A1180" s="86"/>
      <c r="B1180" s="86"/>
      <c r="C1180" s="87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  <c r="S1180" s="86"/>
      <c r="T1180" s="86"/>
      <c r="U1180" s="48"/>
    </row>
    <row r="1181" spans="1:21">
      <c r="A1181" s="86"/>
      <c r="B1181" s="86"/>
      <c r="C1181" s="87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  <c r="S1181" s="86"/>
      <c r="T1181" s="86"/>
      <c r="U1181" s="48"/>
    </row>
    <row r="1182" spans="1:21">
      <c r="A1182" s="86"/>
      <c r="B1182" s="86"/>
      <c r="C1182" s="87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  <c r="S1182" s="86"/>
      <c r="T1182" s="86"/>
      <c r="U1182" s="48"/>
    </row>
    <row r="1183" spans="1:21">
      <c r="A1183" s="86"/>
      <c r="B1183" s="86"/>
      <c r="C1183" s="87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  <c r="S1183" s="86"/>
      <c r="T1183" s="86"/>
      <c r="U1183" s="48"/>
    </row>
    <row r="1184" spans="1:21">
      <c r="A1184" s="86"/>
      <c r="B1184" s="86"/>
      <c r="C1184" s="87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  <c r="S1184" s="86"/>
      <c r="T1184" s="86"/>
      <c r="U1184" s="48"/>
    </row>
    <row r="1185" spans="1:21">
      <c r="A1185" s="86"/>
      <c r="B1185" s="86"/>
      <c r="C1185" s="87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  <c r="S1185" s="86"/>
      <c r="T1185" s="86"/>
      <c r="U1185" s="48"/>
    </row>
    <row r="1186" spans="1:21">
      <c r="A1186" s="86"/>
      <c r="B1186" s="86"/>
      <c r="C1186" s="87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  <c r="S1186" s="86"/>
      <c r="T1186" s="86"/>
      <c r="U1186" s="48"/>
    </row>
    <row r="1187" spans="1:21">
      <c r="A1187" s="86"/>
      <c r="B1187" s="86"/>
      <c r="C1187" s="87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  <c r="S1187" s="86"/>
      <c r="T1187" s="86"/>
      <c r="U1187" s="48"/>
    </row>
    <row r="1188" spans="1:21">
      <c r="A1188" s="86"/>
      <c r="B1188" s="86"/>
      <c r="C1188" s="87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  <c r="S1188" s="86"/>
      <c r="T1188" s="86"/>
      <c r="U1188" s="48"/>
    </row>
    <row r="1189" spans="1:21">
      <c r="A1189" s="86"/>
      <c r="B1189" s="86"/>
      <c r="C1189" s="87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  <c r="S1189" s="86"/>
      <c r="T1189" s="86"/>
      <c r="U1189" s="48"/>
    </row>
    <row r="1190" spans="1:21">
      <c r="A1190" s="86"/>
      <c r="B1190" s="86"/>
      <c r="C1190" s="87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  <c r="S1190" s="86"/>
      <c r="T1190" s="86"/>
      <c r="U1190" s="48"/>
    </row>
    <row r="1191" spans="1:21">
      <c r="A1191" s="86"/>
      <c r="B1191" s="86"/>
      <c r="C1191" s="87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  <c r="S1191" s="86"/>
      <c r="T1191" s="86"/>
      <c r="U1191" s="48"/>
    </row>
    <row r="1192" spans="1:21">
      <c r="A1192" s="86"/>
      <c r="B1192" s="86"/>
      <c r="C1192" s="87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  <c r="S1192" s="86"/>
      <c r="T1192" s="86"/>
      <c r="U1192" s="48"/>
    </row>
    <row r="1193" spans="1:21">
      <c r="A1193" s="86"/>
      <c r="B1193" s="86"/>
      <c r="C1193" s="87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  <c r="S1193" s="86"/>
      <c r="T1193" s="86"/>
      <c r="U1193" s="48"/>
    </row>
    <row r="1194" spans="1:21">
      <c r="A1194" s="86"/>
      <c r="B1194" s="86"/>
      <c r="C1194" s="87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  <c r="S1194" s="86"/>
      <c r="T1194" s="86"/>
      <c r="U1194" s="48"/>
    </row>
    <row r="1195" spans="1:21">
      <c r="A1195" s="86"/>
      <c r="B1195" s="86"/>
      <c r="C1195" s="87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  <c r="S1195" s="86"/>
      <c r="T1195" s="86"/>
      <c r="U1195" s="48"/>
    </row>
    <row r="1196" spans="1:21">
      <c r="A1196" s="86"/>
      <c r="B1196" s="86"/>
      <c r="C1196" s="87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  <c r="S1196" s="86"/>
      <c r="T1196" s="86"/>
      <c r="U1196" s="48"/>
    </row>
    <row r="1197" spans="1:21">
      <c r="A1197" s="86"/>
      <c r="B1197" s="86"/>
      <c r="C1197" s="87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  <c r="S1197" s="86"/>
      <c r="T1197" s="86"/>
      <c r="U1197" s="48"/>
    </row>
    <row r="1198" spans="1:21">
      <c r="A1198" s="86"/>
      <c r="B1198" s="86"/>
      <c r="C1198" s="87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  <c r="S1198" s="86"/>
      <c r="T1198" s="86"/>
      <c r="U1198" s="48"/>
    </row>
    <row r="1199" spans="1:21">
      <c r="A1199" s="86"/>
      <c r="B1199" s="86"/>
      <c r="C1199" s="87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  <c r="S1199" s="86"/>
      <c r="T1199" s="86"/>
      <c r="U1199" s="48"/>
    </row>
    <row r="1200" spans="1:21">
      <c r="A1200" s="86"/>
      <c r="B1200" s="86"/>
      <c r="C1200" s="87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  <c r="S1200" s="86"/>
      <c r="T1200" s="86"/>
      <c r="U1200" s="48"/>
    </row>
    <row r="1201" spans="1:21">
      <c r="A1201" s="86"/>
      <c r="B1201" s="86"/>
      <c r="C1201" s="87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  <c r="S1201" s="86"/>
      <c r="T1201" s="86"/>
      <c r="U1201" s="48"/>
    </row>
    <row r="1202" spans="1:21">
      <c r="A1202" s="86"/>
      <c r="B1202" s="86"/>
      <c r="C1202" s="87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  <c r="S1202" s="86"/>
      <c r="T1202" s="86"/>
      <c r="U1202" s="48"/>
    </row>
    <row r="1203" spans="1:21">
      <c r="A1203" s="86"/>
      <c r="B1203" s="86"/>
      <c r="C1203" s="87"/>
      <c r="D1203" s="86"/>
      <c r="E1203" s="86"/>
      <c r="F1203" s="86"/>
      <c r="G1203" s="86"/>
      <c r="H1203" s="86"/>
      <c r="I1203" s="86"/>
      <c r="J1203" s="86"/>
      <c r="K1203" s="86"/>
      <c r="L1203" s="86"/>
      <c r="M1203" s="86"/>
      <c r="N1203" s="86"/>
      <c r="O1203" s="86"/>
      <c r="P1203" s="86"/>
      <c r="Q1203" s="86"/>
      <c r="R1203" s="86"/>
      <c r="S1203" s="86"/>
      <c r="T1203" s="86"/>
      <c r="U1203" s="48"/>
    </row>
    <row r="1204" spans="1:21">
      <c r="A1204" s="86"/>
      <c r="B1204" s="86"/>
      <c r="C1204" s="87"/>
      <c r="D1204" s="86"/>
      <c r="E1204" s="86"/>
      <c r="F1204" s="86"/>
      <c r="G1204" s="86"/>
      <c r="H1204" s="86"/>
      <c r="I1204" s="86"/>
      <c r="J1204" s="86"/>
      <c r="K1204" s="86"/>
      <c r="L1204" s="86"/>
      <c r="M1204" s="86"/>
      <c r="N1204" s="86"/>
      <c r="O1204" s="86"/>
      <c r="P1204" s="86"/>
      <c r="Q1204" s="86"/>
      <c r="R1204" s="86"/>
      <c r="S1204" s="86"/>
      <c r="T1204" s="86"/>
      <c r="U1204" s="48"/>
    </row>
    <row r="1205" spans="1:21">
      <c r="A1205" s="86"/>
      <c r="B1205" s="86"/>
      <c r="C1205" s="87"/>
      <c r="D1205" s="86"/>
      <c r="E1205" s="86"/>
      <c r="F1205" s="86"/>
      <c r="G1205" s="86"/>
      <c r="H1205" s="86"/>
      <c r="I1205" s="86"/>
      <c r="J1205" s="86"/>
      <c r="K1205" s="86"/>
      <c r="L1205" s="86"/>
      <c r="M1205" s="86"/>
      <c r="N1205" s="86"/>
      <c r="O1205" s="86"/>
      <c r="P1205" s="86"/>
      <c r="Q1205" s="86"/>
      <c r="R1205" s="86"/>
      <c r="S1205" s="86"/>
      <c r="T1205" s="86"/>
      <c r="U1205" s="48"/>
    </row>
    <row r="1206" spans="1:21">
      <c r="A1206" s="86"/>
      <c r="B1206" s="86"/>
      <c r="C1206" s="87"/>
      <c r="D1206" s="86"/>
      <c r="E1206" s="86"/>
      <c r="F1206" s="86"/>
      <c r="G1206" s="86"/>
      <c r="H1206" s="86"/>
      <c r="I1206" s="86"/>
      <c r="J1206" s="86"/>
      <c r="K1206" s="86"/>
      <c r="L1206" s="86"/>
      <c r="M1206" s="86"/>
      <c r="N1206" s="86"/>
      <c r="O1206" s="86"/>
      <c r="P1206" s="86"/>
      <c r="Q1206" s="86"/>
      <c r="R1206" s="86"/>
      <c r="S1206" s="86"/>
      <c r="T1206" s="86"/>
      <c r="U1206" s="48"/>
    </row>
    <row r="1207" spans="1:21">
      <c r="A1207" s="86"/>
      <c r="B1207" s="86"/>
      <c r="C1207" s="87"/>
      <c r="D1207" s="86"/>
      <c r="E1207" s="86"/>
      <c r="F1207" s="86"/>
      <c r="G1207" s="86"/>
      <c r="H1207" s="86"/>
      <c r="I1207" s="86"/>
      <c r="J1207" s="86"/>
      <c r="K1207" s="86"/>
      <c r="L1207" s="86"/>
      <c r="M1207" s="86"/>
      <c r="N1207" s="86"/>
      <c r="O1207" s="86"/>
      <c r="P1207" s="86"/>
      <c r="Q1207" s="86"/>
      <c r="R1207" s="86"/>
      <c r="S1207" s="86"/>
      <c r="T1207" s="86"/>
      <c r="U1207" s="48"/>
    </row>
    <row r="1208" spans="1:21">
      <c r="A1208" s="86"/>
      <c r="B1208" s="86"/>
      <c r="C1208" s="87"/>
      <c r="D1208" s="86"/>
      <c r="E1208" s="86"/>
      <c r="F1208" s="86"/>
      <c r="G1208" s="86"/>
      <c r="H1208" s="86"/>
      <c r="I1208" s="86"/>
      <c r="J1208" s="86"/>
      <c r="K1208" s="86"/>
      <c r="L1208" s="86"/>
      <c r="M1208" s="86"/>
      <c r="N1208" s="86"/>
      <c r="O1208" s="86"/>
      <c r="P1208" s="86"/>
      <c r="Q1208" s="86"/>
      <c r="R1208" s="86"/>
      <c r="S1208" s="86"/>
      <c r="T1208" s="86"/>
      <c r="U1208" s="48"/>
    </row>
    <row r="1209" spans="1:21">
      <c r="A1209" s="86"/>
      <c r="B1209" s="86"/>
      <c r="C1209" s="87"/>
      <c r="D1209" s="86"/>
      <c r="E1209" s="86"/>
      <c r="F1209" s="86"/>
      <c r="G1209" s="86"/>
      <c r="H1209" s="86"/>
      <c r="I1209" s="86"/>
      <c r="J1209" s="86"/>
      <c r="K1209" s="86"/>
      <c r="L1209" s="86"/>
      <c r="M1209" s="86"/>
      <c r="N1209" s="86"/>
      <c r="O1209" s="86"/>
      <c r="P1209" s="86"/>
      <c r="Q1209" s="86"/>
      <c r="R1209" s="86"/>
      <c r="S1209" s="86"/>
      <c r="T1209" s="86"/>
      <c r="U1209" s="48"/>
    </row>
    <row r="1210" spans="1:21">
      <c r="A1210" s="86"/>
      <c r="B1210" s="86"/>
      <c r="C1210" s="87"/>
      <c r="D1210" s="86"/>
      <c r="E1210" s="86"/>
      <c r="F1210" s="86"/>
      <c r="G1210" s="86"/>
      <c r="H1210" s="86"/>
      <c r="I1210" s="86"/>
      <c r="J1210" s="86"/>
      <c r="K1210" s="86"/>
      <c r="L1210" s="86"/>
      <c r="M1210" s="86"/>
      <c r="N1210" s="86"/>
      <c r="O1210" s="86"/>
      <c r="P1210" s="86"/>
      <c r="Q1210" s="86"/>
      <c r="R1210" s="86"/>
      <c r="S1210" s="86"/>
      <c r="T1210" s="86"/>
      <c r="U1210" s="48"/>
    </row>
    <row r="1211" spans="1:21">
      <c r="A1211" s="86"/>
      <c r="B1211" s="86"/>
      <c r="C1211" s="87"/>
      <c r="D1211" s="86"/>
      <c r="E1211" s="86"/>
      <c r="F1211" s="86"/>
      <c r="G1211" s="86"/>
      <c r="H1211" s="86"/>
      <c r="I1211" s="86"/>
      <c r="J1211" s="86"/>
      <c r="K1211" s="86"/>
      <c r="L1211" s="86"/>
      <c r="M1211" s="86"/>
      <c r="N1211" s="86"/>
      <c r="O1211" s="86"/>
      <c r="P1211" s="86"/>
      <c r="Q1211" s="86"/>
      <c r="R1211" s="86"/>
      <c r="S1211" s="86"/>
      <c r="T1211" s="86"/>
      <c r="U1211" s="48"/>
    </row>
    <row r="1212" spans="1:21">
      <c r="A1212" s="86"/>
      <c r="B1212" s="86"/>
      <c r="C1212" s="87"/>
      <c r="D1212" s="86"/>
      <c r="E1212" s="86"/>
      <c r="F1212" s="86"/>
      <c r="G1212" s="86"/>
      <c r="H1212" s="86"/>
      <c r="I1212" s="86"/>
      <c r="J1212" s="86"/>
      <c r="K1212" s="86"/>
      <c r="L1212" s="86"/>
      <c r="M1212" s="86"/>
      <c r="N1212" s="86"/>
      <c r="O1212" s="86"/>
      <c r="P1212" s="86"/>
      <c r="Q1212" s="86"/>
      <c r="R1212" s="86"/>
      <c r="S1212" s="86"/>
      <c r="T1212" s="86"/>
      <c r="U1212" s="48"/>
    </row>
    <row r="1213" spans="1:21">
      <c r="A1213" s="86"/>
      <c r="B1213" s="86"/>
      <c r="C1213" s="87"/>
      <c r="D1213" s="86"/>
      <c r="E1213" s="86"/>
      <c r="F1213" s="86"/>
      <c r="G1213" s="86"/>
      <c r="H1213" s="86"/>
      <c r="I1213" s="86"/>
      <c r="J1213" s="86"/>
      <c r="K1213" s="86"/>
      <c r="L1213" s="86"/>
      <c r="M1213" s="86"/>
      <c r="N1213" s="86"/>
      <c r="O1213" s="86"/>
      <c r="P1213" s="86"/>
      <c r="Q1213" s="86"/>
      <c r="R1213" s="86"/>
      <c r="S1213" s="86"/>
      <c r="T1213" s="86"/>
      <c r="U1213" s="48"/>
    </row>
    <row r="1214" spans="1:21">
      <c r="A1214" s="86"/>
      <c r="B1214" s="86"/>
      <c r="C1214" s="87"/>
      <c r="D1214" s="86"/>
      <c r="E1214" s="86"/>
      <c r="F1214" s="86"/>
      <c r="G1214" s="86"/>
      <c r="H1214" s="86"/>
      <c r="I1214" s="86"/>
      <c r="J1214" s="86"/>
      <c r="K1214" s="86"/>
      <c r="L1214" s="86"/>
      <c r="M1214" s="86"/>
      <c r="N1214" s="86"/>
      <c r="O1214" s="86"/>
      <c r="P1214" s="86"/>
      <c r="Q1214" s="86"/>
      <c r="R1214" s="86"/>
      <c r="S1214" s="86"/>
      <c r="T1214" s="86"/>
      <c r="U1214" s="48"/>
    </row>
    <row r="1215" spans="1:21">
      <c r="A1215" s="86"/>
      <c r="B1215" s="86"/>
      <c r="C1215" s="87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  <c r="S1215" s="86"/>
      <c r="T1215" s="86"/>
      <c r="U1215" s="48"/>
    </row>
    <row r="1216" spans="1:21">
      <c r="A1216" s="86"/>
      <c r="B1216" s="86"/>
      <c r="C1216" s="87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  <c r="S1216" s="86"/>
      <c r="T1216" s="86"/>
      <c r="U1216" s="48"/>
    </row>
    <row r="1217" spans="1:21">
      <c r="A1217" s="86"/>
      <c r="B1217" s="86"/>
      <c r="C1217" s="87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  <c r="S1217" s="86"/>
      <c r="T1217" s="86"/>
      <c r="U1217" s="48"/>
    </row>
    <row r="1218" spans="1:21">
      <c r="A1218" s="86"/>
      <c r="B1218" s="86"/>
      <c r="C1218" s="87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  <c r="S1218" s="86"/>
      <c r="T1218" s="86"/>
      <c r="U1218" s="48"/>
    </row>
    <row r="1219" spans="1:21">
      <c r="A1219" s="86"/>
      <c r="B1219" s="86"/>
      <c r="C1219" s="87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  <c r="S1219" s="86"/>
      <c r="T1219" s="86"/>
      <c r="U1219" s="48"/>
    </row>
    <row r="1220" spans="1:21">
      <c r="A1220" s="86"/>
      <c r="B1220" s="86"/>
      <c r="C1220" s="87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  <c r="S1220" s="86"/>
      <c r="T1220" s="86"/>
      <c r="U1220" s="48"/>
    </row>
    <row r="1221" spans="1:21">
      <c r="A1221" s="86"/>
      <c r="B1221" s="86"/>
      <c r="C1221" s="87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  <c r="S1221" s="86"/>
      <c r="T1221" s="86"/>
      <c r="U1221" s="48"/>
    </row>
    <row r="1222" spans="1:21">
      <c r="A1222" s="86"/>
      <c r="B1222" s="86"/>
      <c r="C1222" s="87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  <c r="S1222" s="86"/>
      <c r="T1222" s="86"/>
      <c r="U1222" s="48"/>
    </row>
    <row r="1223" spans="1:21">
      <c r="A1223" s="86"/>
      <c r="B1223" s="86"/>
      <c r="C1223" s="87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  <c r="S1223" s="86"/>
      <c r="T1223" s="86"/>
      <c r="U1223" s="48"/>
    </row>
    <row r="1224" spans="1:21">
      <c r="A1224" s="86"/>
      <c r="B1224" s="86"/>
      <c r="C1224" s="87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  <c r="S1224" s="86"/>
      <c r="T1224" s="86"/>
      <c r="U1224" s="48"/>
    </row>
    <row r="1225" spans="1:21">
      <c r="A1225" s="86"/>
      <c r="B1225" s="86"/>
      <c r="C1225" s="87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  <c r="S1225" s="86"/>
      <c r="T1225" s="86"/>
      <c r="U1225" s="48"/>
    </row>
    <row r="1226" spans="1:21">
      <c r="A1226" s="86"/>
      <c r="B1226" s="86"/>
      <c r="C1226" s="87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  <c r="S1226" s="86"/>
      <c r="T1226" s="86"/>
      <c r="U1226" s="48"/>
    </row>
    <row r="1227" spans="1:21">
      <c r="A1227" s="86"/>
      <c r="B1227" s="86"/>
      <c r="C1227" s="87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  <c r="S1227" s="86"/>
      <c r="T1227" s="86"/>
      <c r="U1227" s="48"/>
    </row>
    <row r="1228" spans="1:21">
      <c r="A1228" s="86"/>
      <c r="B1228" s="86"/>
      <c r="C1228" s="87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  <c r="S1228" s="86"/>
      <c r="T1228" s="86"/>
      <c r="U1228" s="48"/>
    </row>
    <row r="1229" spans="1:21">
      <c r="A1229" s="86"/>
      <c r="B1229" s="86"/>
      <c r="C1229" s="87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  <c r="S1229" s="86"/>
      <c r="T1229" s="86"/>
      <c r="U1229" s="48"/>
    </row>
    <row r="1230" spans="1:21">
      <c r="A1230" s="86"/>
      <c r="B1230" s="86"/>
      <c r="C1230" s="87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  <c r="S1230" s="86"/>
      <c r="T1230" s="86"/>
      <c r="U1230" s="48"/>
    </row>
    <row r="1231" spans="1:21">
      <c r="A1231" s="86"/>
      <c r="B1231" s="86"/>
      <c r="C1231" s="87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  <c r="S1231" s="86"/>
      <c r="T1231" s="86"/>
      <c r="U1231" s="48"/>
    </row>
    <row r="1232" spans="1:21">
      <c r="A1232" s="86"/>
      <c r="B1232" s="86"/>
      <c r="C1232" s="87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  <c r="S1232" s="86"/>
      <c r="T1232" s="86"/>
      <c r="U1232" s="48"/>
    </row>
    <row r="1233" spans="1:21">
      <c r="A1233" s="86"/>
      <c r="B1233" s="86"/>
      <c r="C1233" s="87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  <c r="S1233" s="86"/>
      <c r="T1233" s="86"/>
      <c r="U1233" s="48"/>
    </row>
    <row r="1234" spans="1:21">
      <c r="A1234" s="86"/>
      <c r="B1234" s="86"/>
      <c r="C1234" s="87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  <c r="S1234" s="86"/>
      <c r="T1234" s="86"/>
      <c r="U1234" s="48"/>
    </row>
    <row r="1235" spans="1:21">
      <c r="A1235" s="86"/>
      <c r="B1235" s="86"/>
      <c r="C1235" s="87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  <c r="S1235" s="86"/>
      <c r="T1235" s="86"/>
      <c r="U1235" s="48"/>
    </row>
    <row r="1236" spans="1:21">
      <c r="A1236" s="86"/>
      <c r="B1236" s="86"/>
      <c r="C1236" s="87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  <c r="S1236" s="86"/>
      <c r="T1236" s="86"/>
      <c r="U1236" s="48"/>
    </row>
    <row r="1237" spans="1:21">
      <c r="A1237" s="86"/>
      <c r="B1237" s="86"/>
      <c r="C1237" s="87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  <c r="S1237" s="86"/>
      <c r="T1237" s="86"/>
      <c r="U1237" s="48"/>
    </row>
    <row r="1238" spans="1:21">
      <c r="A1238" s="86"/>
      <c r="B1238" s="86"/>
      <c r="C1238" s="87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  <c r="S1238" s="86"/>
      <c r="T1238" s="86"/>
      <c r="U1238" s="48"/>
    </row>
    <row r="1239" spans="1:21">
      <c r="A1239" s="86"/>
      <c r="B1239" s="86"/>
      <c r="C1239" s="87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  <c r="S1239" s="86"/>
      <c r="T1239" s="86"/>
      <c r="U1239" s="48"/>
    </row>
    <row r="1240" spans="1:21">
      <c r="A1240" s="86"/>
      <c r="B1240" s="86"/>
      <c r="C1240" s="87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  <c r="S1240" s="86"/>
      <c r="T1240" s="86"/>
      <c r="U1240" s="48"/>
    </row>
    <row r="1241" spans="1:21">
      <c r="A1241" s="86"/>
      <c r="B1241" s="86"/>
      <c r="C1241" s="87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  <c r="S1241" s="86"/>
      <c r="T1241" s="86"/>
      <c r="U1241" s="48"/>
    </row>
    <row r="1242" spans="1:21">
      <c r="A1242" s="86"/>
      <c r="B1242" s="86"/>
      <c r="C1242" s="87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  <c r="S1242" s="86"/>
      <c r="T1242" s="86"/>
      <c r="U1242" s="48"/>
    </row>
    <row r="1243" spans="1:21">
      <c r="A1243" s="86"/>
      <c r="B1243" s="86"/>
      <c r="C1243" s="87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  <c r="S1243" s="86"/>
      <c r="T1243" s="86"/>
      <c r="U1243" s="48"/>
    </row>
    <row r="1244" spans="1:21">
      <c r="A1244" s="86"/>
      <c r="B1244" s="86"/>
      <c r="C1244" s="87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  <c r="S1244" s="86"/>
      <c r="T1244" s="86"/>
      <c r="U1244" s="48"/>
    </row>
    <row r="1245" spans="1:21">
      <c r="A1245" s="86"/>
      <c r="B1245" s="86"/>
      <c r="C1245" s="87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  <c r="S1245" s="86"/>
      <c r="T1245" s="86"/>
      <c r="U1245" s="48"/>
    </row>
    <row r="1246" spans="1:21">
      <c r="A1246" s="86"/>
      <c r="B1246" s="86"/>
      <c r="C1246" s="87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  <c r="S1246" s="86"/>
      <c r="T1246" s="86"/>
      <c r="U1246" s="48"/>
    </row>
    <row r="1247" spans="1:21">
      <c r="A1247" s="86"/>
      <c r="B1247" s="86"/>
      <c r="C1247" s="87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  <c r="S1247" s="86"/>
      <c r="T1247" s="86"/>
      <c r="U1247" s="48"/>
    </row>
    <row r="1248" spans="1:21">
      <c r="A1248" s="86"/>
      <c r="B1248" s="86"/>
      <c r="C1248" s="87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  <c r="S1248" s="86"/>
      <c r="T1248" s="86"/>
      <c r="U1248" s="48"/>
    </row>
    <row r="1249" spans="1:21">
      <c r="A1249" s="86"/>
      <c r="B1249" s="86"/>
      <c r="C1249" s="87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  <c r="S1249" s="86"/>
      <c r="T1249" s="86"/>
      <c r="U1249" s="48"/>
    </row>
    <row r="1250" spans="1:21">
      <c r="A1250" s="86"/>
      <c r="B1250" s="86"/>
      <c r="C1250" s="87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  <c r="S1250" s="86"/>
      <c r="T1250" s="86"/>
      <c r="U1250" s="48"/>
    </row>
    <row r="1251" spans="1:21">
      <c r="A1251" s="86"/>
      <c r="B1251" s="86"/>
      <c r="C1251" s="87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  <c r="R1251" s="86"/>
      <c r="S1251" s="86"/>
      <c r="T1251" s="86"/>
      <c r="U1251" s="48"/>
    </row>
    <row r="1252" spans="1:21">
      <c r="A1252" s="86"/>
      <c r="B1252" s="86"/>
      <c r="C1252" s="87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  <c r="R1252" s="86"/>
      <c r="S1252" s="86"/>
      <c r="T1252" s="86"/>
      <c r="U1252" s="48"/>
    </row>
    <row r="1253" spans="1:21">
      <c r="A1253" s="86"/>
      <c r="B1253" s="86"/>
      <c r="C1253" s="87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  <c r="R1253" s="86"/>
      <c r="S1253" s="86"/>
      <c r="T1253" s="86"/>
      <c r="U1253" s="48"/>
    </row>
    <row r="1254" spans="1:21">
      <c r="A1254" s="86"/>
      <c r="B1254" s="86"/>
      <c r="C1254" s="87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  <c r="R1254" s="86"/>
      <c r="S1254" s="86"/>
      <c r="T1254" s="86"/>
      <c r="U1254" s="48"/>
    </row>
    <row r="1255" spans="1:21">
      <c r="A1255" s="86"/>
      <c r="B1255" s="86"/>
      <c r="C1255" s="87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  <c r="R1255" s="86"/>
      <c r="S1255" s="86"/>
      <c r="T1255" s="86"/>
      <c r="U1255" s="48"/>
    </row>
    <row r="1256" spans="1:21">
      <c r="A1256" s="86"/>
      <c r="B1256" s="86"/>
      <c r="C1256" s="87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  <c r="R1256" s="86"/>
      <c r="S1256" s="86"/>
      <c r="T1256" s="86"/>
      <c r="U1256" s="48"/>
    </row>
    <row r="1257" spans="1:21">
      <c r="A1257" s="86"/>
      <c r="B1257" s="86"/>
      <c r="C1257" s="87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  <c r="R1257" s="86"/>
      <c r="S1257" s="86"/>
      <c r="T1257" s="86"/>
      <c r="U1257" s="48"/>
    </row>
    <row r="1258" spans="1:21">
      <c r="A1258" s="86"/>
      <c r="B1258" s="86"/>
      <c r="C1258" s="87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  <c r="R1258" s="86"/>
      <c r="S1258" s="86"/>
      <c r="T1258" s="86"/>
      <c r="U1258" s="48"/>
    </row>
    <row r="1259" spans="1:21">
      <c r="A1259" s="86"/>
      <c r="B1259" s="86"/>
      <c r="C1259" s="87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  <c r="R1259" s="86"/>
      <c r="S1259" s="86"/>
      <c r="T1259" s="86"/>
      <c r="U1259" s="48"/>
    </row>
    <row r="1260" spans="1:21">
      <c r="A1260" s="86"/>
      <c r="B1260" s="86"/>
      <c r="C1260" s="87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  <c r="R1260" s="86"/>
      <c r="S1260" s="86"/>
      <c r="T1260" s="86"/>
      <c r="U1260" s="48"/>
    </row>
    <row r="1261" spans="1:21">
      <c r="A1261" s="86"/>
      <c r="B1261" s="86"/>
      <c r="C1261" s="87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  <c r="R1261" s="86"/>
      <c r="S1261" s="86"/>
      <c r="T1261" s="86"/>
      <c r="U1261" s="48"/>
    </row>
    <row r="1262" spans="1:21">
      <c r="A1262" s="86"/>
      <c r="B1262" s="86"/>
      <c r="C1262" s="87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  <c r="R1262" s="86"/>
      <c r="S1262" s="86"/>
      <c r="T1262" s="86"/>
      <c r="U1262" s="48"/>
    </row>
    <row r="1263" spans="1:21">
      <c r="A1263" s="86"/>
      <c r="B1263" s="86"/>
      <c r="C1263" s="87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  <c r="S1263" s="86"/>
      <c r="T1263" s="86"/>
      <c r="U1263" s="48"/>
    </row>
    <row r="1264" spans="1:21">
      <c r="A1264" s="86"/>
      <c r="B1264" s="86"/>
      <c r="C1264" s="87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  <c r="S1264" s="86"/>
      <c r="T1264" s="86"/>
      <c r="U1264" s="48"/>
    </row>
    <row r="1265" spans="1:21">
      <c r="A1265" s="86"/>
      <c r="B1265" s="86"/>
      <c r="C1265" s="87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  <c r="S1265" s="86"/>
      <c r="T1265" s="86"/>
      <c r="U1265" s="48"/>
    </row>
    <row r="1266" spans="1:21">
      <c r="A1266" s="86"/>
      <c r="B1266" s="86"/>
      <c r="C1266" s="87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  <c r="S1266" s="86"/>
      <c r="T1266" s="86"/>
      <c r="U1266" s="48"/>
    </row>
    <row r="1267" spans="1:21">
      <c r="A1267" s="86"/>
      <c r="B1267" s="86"/>
      <c r="C1267" s="87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  <c r="S1267" s="86"/>
      <c r="T1267" s="86"/>
      <c r="U1267" s="48"/>
    </row>
    <row r="1268" spans="1:21">
      <c r="A1268" s="86"/>
      <c r="B1268" s="86"/>
      <c r="C1268" s="87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  <c r="S1268" s="86"/>
      <c r="T1268" s="86"/>
      <c r="U1268" s="48"/>
    </row>
    <row r="1269" spans="1:21">
      <c r="A1269" s="86"/>
      <c r="B1269" s="86"/>
      <c r="C1269" s="87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  <c r="S1269" s="86"/>
      <c r="T1269" s="86"/>
      <c r="U1269" s="48"/>
    </row>
    <row r="1270" spans="1:21">
      <c r="A1270" s="86"/>
      <c r="B1270" s="86"/>
      <c r="C1270" s="87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  <c r="S1270" s="86"/>
      <c r="T1270" s="86"/>
      <c r="U1270" s="48"/>
    </row>
    <row r="1271" spans="1:21">
      <c r="A1271" s="86"/>
      <c r="B1271" s="86"/>
      <c r="C1271" s="87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  <c r="S1271" s="86"/>
      <c r="T1271" s="86"/>
      <c r="U1271" s="48"/>
    </row>
    <row r="1272" spans="1:21">
      <c r="A1272" s="86"/>
      <c r="B1272" s="86"/>
      <c r="C1272" s="87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  <c r="S1272" s="86"/>
      <c r="T1272" s="86"/>
      <c r="U1272" s="48"/>
    </row>
    <row r="1273" spans="1:21">
      <c r="A1273" s="86"/>
      <c r="B1273" s="86"/>
      <c r="C1273" s="87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  <c r="S1273" s="86"/>
      <c r="T1273" s="86"/>
      <c r="U1273" s="48"/>
    </row>
    <row r="1274" spans="1:21">
      <c r="A1274" s="86"/>
      <c r="B1274" s="86"/>
      <c r="C1274" s="87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  <c r="S1274" s="86"/>
      <c r="T1274" s="86"/>
      <c r="U1274" s="48"/>
    </row>
    <row r="1275" spans="1:21">
      <c r="A1275" s="86"/>
      <c r="B1275" s="86"/>
      <c r="C1275" s="87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  <c r="S1275" s="86"/>
      <c r="T1275" s="86"/>
      <c r="U1275" s="48"/>
    </row>
    <row r="1276" spans="1:21">
      <c r="A1276" s="86"/>
      <c r="B1276" s="86"/>
      <c r="C1276" s="87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  <c r="S1276" s="86"/>
      <c r="T1276" s="86"/>
      <c r="U1276" s="48"/>
    </row>
    <row r="1277" spans="1:21">
      <c r="A1277" s="86"/>
      <c r="B1277" s="86"/>
      <c r="C1277" s="87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  <c r="S1277" s="86"/>
      <c r="T1277" s="86"/>
      <c r="U1277" s="48"/>
    </row>
    <row r="1278" spans="1:21">
      <c r="A1278" s="86"/>
      <c r="B1278" s="86"/>
      <c r="C1278" s="87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  <c r="S1278" s="86"/>
      <c r="T1278" s="86"/>
      <c r="U1278" s="48"/>
    </row>
    <row r="1279" spans="1:21">
      <c r="A1279" s="86"/>
      <c r="B1279" s="86"/>
      <c r="C1279" s="87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  <c r="S1279" s="86"/>
      <c r="T1279" s="86"/>
      <c r="U1279" s="48"/>
    </row>
    <row r="1280" spans="1:21">
      <c r="A1280" s="86"/>
      <c r="B1280" s="86"/>
      <c r="C1280" s="87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  <c r="S1280" s="86"/>
      <c r="T1280" s="86"/>
      <c r="U1280" s="48"/>
    </row>
    <row r="1281" spans="1:21">
      <c r="A1281" s="86"/>
      <c r="B1281" s="86"/>
      <c r="C1281" s="87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  <c r="S1281" s="86"/>
      <c r="T1281" s="86"/>
      <c r="U1281" s="48"/>
    </row>
    <row r="1282" spans="1:21">
      <c r="A1282" s="86"/>
      <c r="B1282" s="86"/>
      <c r="C1282" s="87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  <c r="S1282" s="86"/>
      <c r="T1282" s="86"/>
      <c r="U1282" s="48"/>
    </row>
    <row r="1283" spans="1:21">
      <c r="A1283" s="86"/>
      <c r="B1283" s="86"/>
      <c r="C1283" s="87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  <c r="S1283" s="86"/>
      <c r="T1283" s="86"/>
      <c r="U1283" s="48"/>
    </row>
    <row r="1284" spans="1:21">
      <c r="A1284" s="86"/>
      <c r="B1284" s="86"/>
      <c r="C1284" s="87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  <c r="S1284" s="86"/>
      <c r="T1284" s="86"/>
      <c r="U1284" s="48"/>
    </row>
    <row r="1285" spans="1:21">
      <c r="A1285" s="86"/>
      <c r="B1285" s="86"/>
      <c r="C1285" s="87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  <c r="S1285" s="86"/>
      <c r="T1285" s="86"/>
      <c r="U1285" s="48"/>
    </row>
    <row r="1286" spans="1:21">
      <c r="A1286" s="86"/>
      <c r="B1286" s="86"/>
      <c r="C1286" s="87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  <c r="S1286" s="86"/>
      <c r="T1286" s="86"/>
      <c r="U1286" s="48"/>
    </row>
    <row r="1287" spans="1:21">
      <c r="A1287" s="86"/>
      <c r="B1287" s="86"/>
      <c r="C1287" s="87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  <c r="S1287" s="86"/>
      <c r="T1287" s="86"/>
      <c r="U1287" s="48"/>
    </row>
    <row r="1288" spans="1:21">
      <c r="A1288" s="86"/>
      <c r="B1288" s="86"/>
      <c r="C1288" s="87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  <c r="S1288" s="86"/>
      <c r="T1288" s="86"/>
      <c r="U1288" s="48"/>
    </row>
    <row r="1289" spans="1:21">
      <c r="A1289" s="86"/>
      <c r="B1289" s="86"/>
      <c r="C1289" s="87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  <c r="S1289" s="86"/>
      <c r="T1289" s="86"/>
      <c r="U1289" s="48"/>
    </row>
    <row r="1290" spans="1:21">
      <c r="A1290" s="86"/>
      <c r="B1290" s="86"/>
      <c r="C1290" s="87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  <c r="S1290" s="86"/>
      <c r="T1290" s="86"/>
      <c r="U1290" s="48"/>
    </row>
    <row r="1291" spans="1:21">
      <c r="A1291" s="86"/>
      <c r="B1291" s="86"/>
      <c r="C1291" s="87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  <c r="S1291" s="86"/>
      <c r="T1291" s="86"/>
      <c r="U1291" s="48"/>
    </row>
    <row r="1292" spans="1:21">
      <c r="A1292" s="86"/>
      <c r="B1292" s="86"/>
      <c r="C1292" s="87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  <c r="S1292" s="86"/>
      <c r="T1292" s="86"/>
      <c r="U1292" s="48"/>
    </row>
    <row r="1293" spans="1:21">
      <c r="A1293" s="86"/>
      <c r="B1293" s="86"/>
      <c r="C1293" s="87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  <c r="S1293" s="86"/>
      <c r="T1293" s="86"/>
      <c r="U1293" s="48"/>
    </row>
    <row r="1294" spans="1:21">
      <c r="A1294" s="86"/>
      <c r="B1294" s="86"/>
      <c r="C1294" s="87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  <c r="S1294" s="86"/>
      <c r="T1294" s="86"/>
      <c r="U1294" s="48"/>
    </row>
    <row r="1295" spans="1:21">
      <c r="A1295" s="86"/>
      <c r="B1295" s="86"/>
      <c r="C1295" s="87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  <c r="S1295" s="86"/>
      <c r="T1295" s="86"/>
      <c r="U1295" s="48"/>
    </row>
    <row r="1296" spans="1:21">
      <c r="A1296" s="86"/>
      <c r="B1296" s="86"/>
      <c r="C1296" s="87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  <c r="S1296" s="86"/>
      <c r="T1296" s="86"/>
      <c r="U1296" s="48"/>
    </row>
    <row r="1297" spans="1:21">
      <c r="A1297" s="86"/>
      <c r="B1297" s="86"/>
      <c r="C1297" s="87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  <c r="S1297" s="86"/>
      <c r="T1297" s="86"/>
      <c r="U1297" s="48"/>
    </row>
    <row r="1298" spans="1:21">
      <c r="A1298" s="86"/>
      <c r="B1298" s="86"/>
      <c r="C1298" s="87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  <c r="S1298" s="86"/>
      <c r="T1298" s="86"/>
      <c r="U1298" s="48"/>
    </row>
    <row r="1299" spans="1:21">
      <c r="A1299" s="86"/>
      <c r="B1299" s="86"/>
      <c r="C1299" s="87"/>
      <c r="D1299" s="86"/>
      <c r="E1299" s="86"/>
      <c r="F1299" s="86"/>
      <c r="G1299" s="86"/>
      <c r="H1299" s="86"/>
      <c r="I1299" s="86"/>
      <c r="J1299" s="86"/>
      <c r="K1299" s="86"/>
      <c r="L1299" s="86"/>
      <c r="M1299" s="86"/>
      <c r="N1299" s="86"/>
      <c r="O1299" s="86"/>
      <c r="P1299" s="86"/>
      <c r="Q1299" s="86"/>
      <c r="R1299" s="86"/>
      <c r="S1299" s="86"/>
      <c r="T1299" s="86"/>
      <c r="U1299" s="48"/>
    </row>
    <row r="1300" spans="1:21">
      <c r="A1300" s="86"/>
      <c r="B1300" s="86"/>
      <c r="C1300" s="87"/>
      <c r="D1300" s="86"/>
      <c r="E1300" s="86"/>
      <c r="F1300" s="86"/>
      <c r="G1300" s="86"/>
      <c r="H1300" s="86"/>
      <c r="I1300" s="86"/>
      <c r="J1300" s="86"/>
      <c r="K1300" s="86"/>
      <c r="L1300" s="86"/>
      <c r="M1300" s="86"/>
      <c r="N1300" s="86"/>
      <c r="O1300" s="86"/>
      <c r="P1300" s="86"/>
      <c r="Q1300" s="86"/>
      <c r="R1300" s="86"/>
      <c r="S1300" s="86"/>
      <c r="T1300" s="86"/>
      <c r="U1300" s="48"/>
    </row>
    <row r="1301" spans="1:21">
      <c r="A1301" s="86"/>
      <c r="B1301" s="86"/>
      <c r="C1301" s="87"/>
      <c r="D1301" s="86"/>
      <c r="E1301" s="86"/>
      <c r="F1301" s="86"/>
      <c r="G1301" s="86"/>
      <c r="H1301" s="86"/>
      <c r="I1301" s="86"/>
      <c r="J1301" s="86"/>
      <c r="K1301" s="86"/>
      <c r="L1301" s="86"/>
      <c r="M1301" s="86"/>
      <c r="N1301" s="86"/>
      <c r="O1301" s="86"/>
      <c r="P1301" s="86"/>
      <c r="Q1301" s="86"/>
      <c r="R1301" s="86"/>
      <c r="S1301" s="86"/>
      <c r="T1301" s="86"/>
      <c r="U1301" s="48"/>
    </row>
    <row r="1302" spans="1:21">
      <c r="A1302" s="86"/>
      <c r="B1302" s="86"/>
      <c r="C1302" s="87"/>
      <c r="D1302" s="86"/>
      <c r="E1302" s="86"/>
      <c r="F1302" s="86"/>
      <c r="G1302" s="86"/>
      <c r="H1302" s="86"/>
      <c r="I1302" s="86"/>
      <c r="J1302" s="86"/>
      <c r="K1302" s="86"/>
      <c r="L1302" s="86"/>
      <c r="M1302" s="86"/>
      <c r="N1302" s="86"/>
      <c r="O1302" s="86"/>
      <c r="P1302" s="86"/>
      <c r="Q1302" s="86"/>
      <c r="R1302" s="86"/>
      <c r="S1302" s="86"/>
      <c r="T1302" s="86"/>
      <c r="U1302" s="48"/>
    </row>
    <row r="1303" spans="1:21">
      <c r="A1303" s="86"/>
      <c r="B1303" s="86"/>
      <c r="C1303" s="87"/>
      <c r="D1303" s="86"/>
      <c r="E1303" s="86"/>
      <c r="F1303" s="86"/>
      <c r="G1303" s="86"/>
      <c r="H1303" s="86"/>
      <c r="I1303" s="86"/>
      <c r="J1303" s="86"/>
      <c r="K1303" s="86"/>
      <c r="L1303" s="86"/>
      <c r="M1303" s="86"/>
      <c r="N1303" s="86"/>
      <c r="O1303" s="86"/>
      <c r="P1303" s="86"/>
      <c r="Q1303" s="86"/>
      <c r="R1303" s="86"/>
      <c r="S1303" s="86"/>
      <c r="T1303" s="86"/>
      <c r="U1303" s="48"/>
    </row>
    <row r="1304" spans="1:21">
      <c r="A1304" s="86"/>
      <c r="B1304" s="86"/>
      <c r="C1304" s="87"/>
      <c r="D1304" s="86"/>
      <c r="E1304" s="86"/>
      <c r="F1304" s="86"/>
      <c r="G1304" s="86"/>
      <c r="H1304" s="86"/>
      <c r="I1304" s="86"/>
      <c r="J1304" s="86"/>
      <c r="K1304" s="86"/>
      <c r="L1304" s="86"/>
      <c r="M1304" s="86"/>
      <c r="N1304" s="86"/>
      <c r="O1304" s="86"/>
      <c r="P1304" s="86"/>
      <c r="Q1304" s="86"/>
      <c r="R1304" s="86"/>
      <c r="S1304" s="86"/>
      <c r="T1304" s="86"/>
      <c r="U1304" s="48"/>
    </row>
    <row r="1305" spans="1:21">
      <c r="A1305" s="86"/>
      <c r="B1305" s="86"/>
      <c r="C1305" s="87"/>
      <c r="D1305" s="86"/>
      <c r="E1305" s="86"/>
      <c r="F1305" s="86"/>
      <c r="G1305" s="86"/>
      <c r="H1305" s="86"/>
      <c r="I1305" s="86"/>
      <c r="J1305" s="86"/>
      <c r="K1305" s="86"/>
      <c r="L1305" s="86"/>
      <c r="M1305" s="86"/>
      <c r="N1305" s="86"/>
      <c r="O1305" s="86"/>
      <c r="P1305" s="86"/>
      <c r="Q1305" s="86"/>
      <c r="R1305" s="86"/>
      <c r="S1305" s="86"/>
      <c r="T1305" s="86"/>
      <c r="U1305" s="48"/>
    </row>
    <row r="1306" spans="1:21">
      <c r="A1306" s="86"/>
      <c r="B1306" s="86"/>
      <c r="C1306" s="87"/>
      <c r="D1306" s="86"/>
      <c r="E1306" s="86"/>
      <c r="F1306" s="86"/>
      <c r="G1306" s="86"/>
      <c r="H1306" s="86"/>
      <c r="I1306" s="86"/>
      <c r="J1306" s="86"/>
      <c r="K1306" s="86"/>
      <c r="L1306" s="86"/>
      <c r="M1306" s="86"/>
      <c r="N1306" s="86"/>
      <c r="O1306" s="86"/>
      <c r="P1306" s="86"/>
      <c r="Q1306" s="86"/>
      <c r="R1306" s="86"/>
      <c r="S1306" s="86"/>
      <c r="T1306" s="86"/>
      <c r="U1306" s="48"/>
    </row>
    <row r="1307" spans="1:21">
      <c r="A1307" s="86"/>
      <c r="B1307" s="86"/>
      <c r="C1307" s="87"/>
      <c r="D1307" s="86"/>
      <c r="E1307" s="86"/>
      <c r="F1307" s="86"/>
      <c r="G1307" s="86"/>
      <c r="H1307" s="86"/>
      <c r="I1307" s="86"/>
      <c r="J1307" s="86"/>
      <c r="K1307" s="86"/>
      <c r="L1307" s="86"/>
      <c r="M1307" s="86"/>
      <c r="N1307" s="86"/>
      <c r="O1307" s="86"/>
      <c r="P1307" s="86"/>
      <c r="Q1307" s="86"/>
      <c r="R1307" s="86"/>
      <c r="S1307" s="86"/>
      <c r="T1307" s="86"/>
      <c r="U1307" s="48"/>
    </row>
    <row r="1308" spans="1:21">
      <c r="A1308" s="86"/>
      <c r="B1308" s="86"/>
      <c r="C1308" s="87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  <c r="R1308" s="86"/>
      <c r="S1308" s="86"/>
      <c r="T1308" s="86"/>
      <c r="U1308" s="48"/>
    </row>
    <row r="1309" spans="1:21">
      <c r="A1309" s="86"/>
      <c r="B1309" s="86"/>
      <c r="C1309" s="87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  <c r="R1309" s="86"/>
      <c r="S1309" s="86"/>
      <c r="T1309" s="86"/>
      <c r="U1309" s="48"/>
    </row>
    <row r="1310" spans="1:21">
      <c r="A1310" s="86"/>
      <c r="B1310" s="86"/>
      <c r="C1310" s="87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  <c r="R1310" s="86"/>
      <c r="S1310" s="86"/>
      <c r="T1310" s="86"/>
      <c r="U1310" s="48"/>
    </row>
    <row r="1311" spans="1:21">
      <c r="A1311" s="86"/>
      <c r="B1311" s="86"/>
      <c r="C1311" s="87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  <c r="S1311" s="86"/>
      <c r="T1311" s="86"/>
      <c r="U1311" s="48"/>
    </row>
    <row r="1312" spans="1:21">
      <c r="A1312" s="86"/>
      <c r="B1312" s="86"/>
      <c r="C1312" s="87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  <c r="S1312" s="86"/>
      <c r="T1312" s="86"/>
      <c r="U1312" s="48"/>
    </row>
    <row r="1313" spans="1:21">
      <c r="A1313" s="86"/>
      <c r="B1313" s="86"/>
      <c r="C1313" s="87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  <c r="S1313" s="86"/>
      <c r="T1313" s="86"/>
      <c r="U1313" s="48"/>
    </row>
    <row r="1314" spans="1:21">
      <c r="A1314" s="86"/>
      <c r="B1314" s="86"/>
      <c r="C1314" s="87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  <c r="S1314" s="86"/>
      <c r="T1314" s="86"/>
      <c r="U1314" s="48"/>
    </row>
    <row r="1315" spans="1:21">
      <c r="A1315" s="86"/>
      <c r="B1315" s="86"/>
      <c r="C1315" s="87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  <c r="S1315" s="86"/>
      <c r="T1315" s="86"/>
      <c r="U1315" s="48"/>
    </row>
    <row r="1316" spans="1:21">
      <c r="A1316" s="86"/>
      <c r="B1316" s="86"/>
      <c r="C1316" s="87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  <c r="S1316" s="86"/>
      <c r="T1316" s="86"/>
      <c r="U1316" s="48"/>
    </row>
    <row r="1317" spans="1:21">
      <c r="A1317" s="86"/>
      <c r="B1317" s="86"/>
      <c r="C1317" s="87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  <c r="S1317" s="86"/>
      <c r="T1317" s="86"/>
      <c r="U1317" s="48"/>
    </row>
    <row r="1318" spans="1:21">
      <c r="A1318" s="86"/>
      <c r="B1318" s="86"/>
      <c r="C1318" s="87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  <c r="S1318" s="86"/>
      <c r="T1318" s="86"/>
      <c r="U1318" s="48"/>
    </row>
    <row r="1319" spans="1:21">
      <c r="A1319" s="86"/>
      <c r="B1319" s="86"/>
      <c r="C1319" s="87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  <c r="S1319" s="86"/>
      <c r="T1319" s="86"/>
      <c r="U1319" s="48"/>
    </row>
    <row r="1320" spans="1:21">
      <c r="A1320" s="86"/>
      <c r="B1320" s="86"/>
      <c r="C1320" s="87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  <c r="S1320" s="86"/>
      <c r="T1320" s="86"/>
      <c r="U1320" s="48"/>
    </row>
    <row r="1321" spans="1:21">
      <c r="A1321" s="86"/>
      <c r="B1321" s="86"/>
      <c r="C1321" s="87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  <c r="S1321" s="86"/>
      <c r="T1321" s="86"/>
      <c r="U1321" s="48"/>
    </row>
    <row r="1322" spans="1:21">
      <c r="A1322" s="86"/>
      <c r="B1322" s="86"/>
      <c r="C1322" s="87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  <c r="S1322" s="86"/>
      <c r="T1322" s="86"/>
      <c r="U1322" s="48"/>
    </row>
    <row r="1323" spans="1:21">
      <c r="A1323" s="86"/>
      <c r="B1323" s="86"/>
      <c r="C1323" s="87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  <c r="S1323" s="86"/>
      <c r="T1323" s="86"/>
      <c r="U1323" s="48"/>
    </row>
    <row r="1324" spans="1:21">
      <c r="A1324" s="86"/>
      <c r="B1324" s="86"/>
      <c r="C1324" s="87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  <c r="S1324" s="86"/>
      <c r="T1324" s="86"/>
      <c r="U1324" s="48"/>
    </row>
    <row r="1325" spans="1:21">
      <c r="A1325" s="86"/>
      <c r="B1325" s="86"/>
      <c r="C1325" s="87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  <c r="S1325" s="86"/>
      <c r="T1325" s="86"/>
      <c r="U1325" s="48"/>
    </row>
    <row r="1326" spans="1:21">
      <c r="A1326" s="86"/>
      <c r="B1326" s="86"/>
      <c r="C1326" s="87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  <c r="S1326" s="86"/>
      <c r="T1326" s="86"/>
      <c r="U1326" s="48"/>
    </row>
    <row r="1327" spans="1:21">
      <c r="A1327" s="86"/>
      <c r="B1327" s="86"/>
      <c r="C1327" s="87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  <c r="S1327" s="86"/>
      <c r="T1327" s="86"/>
      <c r="U1327" s="48"/>
    </row>
    <row r="1328" spans="1:21">
      <c r="A1328" s="86"/>
      <c r="B1328" s="86"/>
      <c r="C1328" s="87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  <c r="S1328" s="86"/>
      <c r="T1328" s="86"/>
      <c r="U1328" s="48"/>
    </row>
    <row r="1329" spans="1:21">
      <c r="A1329" s="86"/>
      <c r="B1329" s="86"/>
      <c r="C1329" s="87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48"/>
    </row>
    <row r="1330" spans="1:21">
      <c r="A1330" s="86"/>
      <c r="B1330" s="86"/>
      <c r="C1330" s="87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  <c r="S1330" s="86"/>
      <c r="T1330" s="86"/>
      <c r="U1330" s="48"/>
    </row>
    <row r="1331" spans="1:21">
      <c r="A1331" s="86"/>
      <c r="B1331" s="86"/>
      <c r="C1331" s="87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  <c r="S1331" s="86"/>
      <c r="T1331" s="86"/>
      <c r="U1331" s="48"/>
    </row>
    <row r="1332" spans="1:21">
      <c r="A1332" s="86"/>
      <c r="B1332" s="86"/>
      <c r="C1332" s="87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  <c r="S1332" s="86"/>
      <c r="T1332" s="86"/>
      <c r="U1332" s="48"/>
    </row>
    <row r="1333" spans="1:21">
      <c r="A1333" s="86"/>
      <c r="B1333" s="86"/>
      <c r="C1333" s="87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  <c r="S1333" s="86"/>
      <c r="T1333" s="86"/>
      <c r="U1333" s="48"/>
    </row>
    <row r="1334" spans="1:21">
      <c r="A1334" s="86"/>
      <c r="B1334" s="86"/>
      <c r="C1334" s="87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  <c r="S1334" s="86"/>
      <c r="T1334" s="86"/>
      <c r="U1334" s="48"/>
    </row>
    <row r="1335" spans="1:21">
      <c r="A1335" s="86"/>
      <c r="B1335" s="86"/>
      <c r="C1335" s="87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  <c r="S1335" s="86"/>
      <c r="T1335" s="86"/>
      <c r="U1335" s="48"/>
    </row>
    <row r="1336" spans="1:21">
      <c r="A1336" s="86"/>
      <c r="B1336" s="86"/>
      <c r="C1336" s="87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  <c r="S1336" s="86"/>
      <c r="T1336" s="86"/>
      <c r="U1336" s="48"/>
    </row>
    <row r="1337" spans="1:21">
      <c r="A1337" s="86"/>
      <c r="B1337" s="86"/>
      <c r="C1337" s="87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  <c r="S1337" s="86"/>
      <c r="T1337" s="86"/>
      <c r="U1337" s="48"/>
    </row>
    <row r="1338" spans="1:21">
      <c r="A1338" s="86"/>
      <c r="B1338" s="86"/>
      <c r="C1338" s="87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  <c r="S1338" s="86"/>
      <c r="T1338" s="86"/>
      <c r="U1338" s="48"/>
    </row>
    <row r="1339" spans="1:21">
      <c r="A1339" s="86"/>
      <c r="B1339" s="86"/>
      <c r="C1339" s="87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  <c r="S1339" s="86"/>
      <c r="T1339" s="86"/>
      <c r="U1339" s="48"/>
    </row>
    <row r="1340" spans="1:21">
      <c r="A1340" s="86"/>
      <c r="B1340" s="86"/>
      <c r="C1340" s="87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  <c r="S1340" s="86"/>
      <c r="T1340" s="86"/>
      <c r="U1340" s="48"/>
    </row>
    <row r="1341" spans="1:21">
      <c r="A1341" s="86"/>
      <c r="B1341" s="86"/>
      <c r="C1341" s="87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  <c r="S1341" s="86"/>
      <c r="T1341" s="86"/>
      <c r="U1341" s="48"/>
    </row>
    <row r="1342" spans="1:21">
      <c r="A1342" s="86"/>
      <c r="B1342" s="86"/>
      <c r="C1342" s="87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  <c r="S1342" s="86"/>
      <c r="T1342" s="86"/>
      <c r="U1342" s="48"/>
    </row>
    <row r="1343" spans="1:21">
      <c r="A1343" s="86"/>
      <c r="B1343" s="86"/>
      <c r="C1343" s="87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  <c r="S1343" s="86"/>
      <c r="T1343" s="86"/>
      <c r="U1343" s="48"/>
    </row>
    <row r="1344" spans="1:21">
      <c r="A1344" s="86"/>
      <c r="B1344" s="86"/>
      <c r="C1344" s="87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  <c r="S1344" s="86"/>
      <c r="T1344" s="86"/>
      <c r="U1344" s="48"/>
    </row>
    <row r="1345" spans="1:21">
      <c r="A1345" s="86"/>
      <c r="B1345" s="86"/>
      <c r="C1345" s="87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  <c r="S1345" s="86"/>
      <c r="T1345" s="86"/>
      <c r="U1345" s="48"/>
    </row>
    <row r="1346" spans="1:21">
      <c r="A1346" s="86"/>
      <c r="B1346" s="86"/>
      <c r="C1346" s="87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  <c r="S1346" s="86"/>
      <c r="T1346" s="86"/>
      <c r="U1346" s="48"/>
    </row>
    <row r="1347" spans="1:21">
      <c r="A1347" s="86"/>
      <c r="B1347" s="86"/>
      <c r="C1347" s="87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  <c r="R1347" s="86"/>
      <c r="S1347" s="86"/>
      <c r="T1347" s="86"/>
      <c r="U1347" s="48"/>
    </row>
    <row r="1348" spans="1:21">
      <c r="A1348" s="86"/>
      <c r="B1348" s="86"/>
      <c r="C1348" s="87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  <c r="R1348" s="86"/>
      <c r="S1348" s="86"/>
      <c r="T1348" s="86"/>
      <c r="U1348" s="48"/>
    </row>
    <row r="1349" spans="1:21">
      <c r="A1349" s="86"/>
      <c r="B1349" s="86"/>
      <c r="C1349" s="87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  <c r="R1349" s="86"/>
      <c r="S1349" s="86"/>
      <c r="T1349" s="86"/>
      <c r="U1349" s="48"/>
    </row>
    <row r="1350" spans="1:21">
      <c r="A1350" s="86"/>
      <c r="B1350" s="86"/>
      <c r="C1350" s="87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  <c r="R1350" s="86"/>
      <c r="S1350" s="86"/>
      <c r="T1350" s="86"/>
      <c r="U1350" s="48"/>
    </row>
    <row r="1351" spans="1:21">
      <c r="A1351" s="86"/>
      <c r="B1351" s="86"/>
      <c r="C1351" s="87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  <c r="R1351" s="86"/>
      <c r="S1351" s="86"/>
      <c r="T1351" s="86"/>
      <c r="U1351" s="48"/>
    </row>
    <row r="1352" spans="1:21">
      <c r="A1352" s="86"/>
      <c r="B1352" s="86"/>
      <c r="C1352" s="87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  <c r="R1352" s="86"/>
      <c r="S1352" s="86"/>
      <c r="T1352" s="86"/>
      <c r="U1352" s="48"/>
    </row>
    <row r="1353" spans="1:21">
      <c r="A1353" s="86"/>
      <c r="B1353" s="86"/>
      <c r="C1353" s="87"/>
      <c r="D1353" s="86"/>
      <c r="E1353" s="86"/>
      <c r="F1353" s="86"/>
      <c r="G1353" s="86"/>
      <c r="H1353" s="86"/>
      <c r="I1353" s="86"/>
      <c r="J1353" s="86"/>
      <c r="K1353" s="86"/>
      <c r="L1353" s="86"/>
      <c r="M1353" s="86"/>
      <c r="N1353" s="86"/>
      <c r="O1353" s="86"/>
      <c r="P1353" s="86"/>
      <c r="Q1353" s="86"/>
      <c r="R1353" s="86"/>
      <c r="S1353" s="86"/>
      <c r="T1353" s="86"/>
      <c r="U1353" s="48"/>
    </row>
    <row r="1354" spans="1:21">
      <c r="A1354" s="86"/>
      <c r="B1354" s="86"/>
      <c r="C1354" s="87"/>
      <c r="D1354" s="86"/>
      <c r="E1354" s="86"/>
      <c r="F1354" s="86"/>
      <c r="G1354" s="86"/>
      <c r="H1354" s="86"/>
      <c r="I1354" s="86"/>
      <c r="J1354" s="86"/>
      <c r="K1354" s="86"/>
      <c r="L1354" s="86"/>
      <c r="M1354" s="86"/>
      <c r="N1354" s="86"/>
      <c r="O1354" s="86"/>
      <c r="P1354" s="86"/>
      <c r="Q1354" s="86"/>
      <c r="R1354" s="86"/>
      <c r="S1354" s="86"/>
      <c r="T1354" s="86"/>
      <c r="U1354" s="48"/>
    </row>
    <row r="1355" spans="1:21">
      <c r="A1355" s="86"/>
      <c r="B1355" s="86"/>
      <c r="C1355" s="87"/>
      <c r="D1355" s="86"/>
      <c r="E1355" s="86"/>
      <c r="F1355" s="86"/>
      <c r="G1355" s="86"/>
      <c r="H1355" s="86"/>
      <c r="I1355" s="86"/>
      <c r="J1355" s="86"/>
      <c r="K1355" s="86"/>
      <c r="L1355" s="86"/>
      <c r="M1355" s="86"/>
      <c r="N1355" s="86"/>
      <c r="O1355" s="86"/>
      <c r="P1355" s="86"/>
      <c r="Q1355" s="86"/>
      <c r="R1355" s="86"/>
      <c r="S1355" s="86"/>
      <c r="T1355" s="86"/>
      <c r="U1355" s="48"/>
    </row>
    <row r="1356" spans="1:21">
      <c r="A1356" s="86"/>
      <c r="B1356" s="86"/>
      <c r="C1356" s="87"/>
      <c r="D1356" s="86"/>
      <c r="E1356" s="86"/>
      <c r="F1356" s="86"/>
      <c r="G1356" s="86"/>
      <c r="H1356" s="86"/>
      <c r="I1356" s="86"/>
      <c r="J1356" s="86"/>
      <c r="K1356" s="86"/>
      <c r="L1356" s="86"/>
      <c r="M1356" s="86"/>
      <c r="N1356" s="86"/>
      <c r="O1356" s="86"/>
      <c r="P1356" s="86"/>
      <c r="Q1356" s="86"/>
      <c r="R1356" s="86"/>
      <c r="S1356" s="86"/>
      <c r="T1356" s="86"/>
      <c r="U1356" s="48"/>
    </row>
    <row r="1357" spans="1:21">
      <c r="A1357" s="86"/>
      <c r="B1357" s="86"/>
      <c r="C1357" s="87"/>
      <c r="D1357" s="86"/>
      <c r="E1357" s="86"/>
      <c r="F1357" s="86"/>
      <c r="G1357" s="86"/>
      <c r="H1357" s="86"/>
      <c r="I1357" s="86"/>
      <c r="J1357" s="86"/>
      <c r="K1357" s="86"/>
      <c r="L1357" s="86"/>
      <c r="M1357" s="86"/>
      <c r="N1357" s="86"/>
      <c r="O1357" s="86"/>
      <c r="P1357" s="86"/>
      <c r="Q1357" s="86"/>
      <c r="R1357" s="86"/>
      <c r="S1357" s="86"/>
      <c r="T1357" s="86"/>
      <c r="U1357" s="48"/>
    </row>
    <row r="1358" spans="1:21">
      <c r="A1358" s="86"/>
      <c r="B1358" s="86"/>
      <c r="C1358" s="87"/>
      <c r="D1358" s="86"/>
      <c r="E1358" s="86"/>
      <c r="F1358" s="86"/>
      <c r="G1358" s="86"/>
      <c r="H1358" s="86"/>
      <c r="I1358" s="86"/>
      <c r="J1358" s="86"/>
      <c r="K1358" s="86"/>
      <c r="L1358" s="86"/>
      <c r="M1358" s="86"/>
      <c r="N1358" s="86"/>
      <c r="O1358" s="86"/>
      <c r="P1358" s="86"/>
      <c r="Q1358" s="86"/>
      <c r="R1358" s="86"/>
      <c r="S1358" s="86"/>
      <c r="T1358" s="86"/>
      <c r="U1358" s="48"/>
    </row>
    <row r="1359" spans="1:21">
      <c r="A1359" s="86"/>
      <c r="B1359" s="86"/>
      <c r="C1359" s="87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  <c r="S1359" s="86"/>
      <c r="T1359" s="86"/>
      <c r="U1359" s="48"/>
    </row>
    <row r="1360" spans="1:21">
      <c r="A1360" s="86"/>
      <c r="B1360" s="86"/>
      <c r="C1360" s="87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  <c r="S1360" s="86"/>
      <c r="T1360" s="86"/>
      <c r="U1360" s="48"/>
    </row>
    <row r="1361" spans="1:21">
      <c r="A1361" s="86"/>
      <c r="B1361" s="86"/>
      <c r="C1361" s="87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  <c r="S1361" s="86"/>
      <c r="T1361" s="86"/>
      <c r="U1361" s="48"/>
    </row>
    <row r="1362" spans="1:21">
      <c r="A1362" s="86"/>
      <c r="B1362" s="86"/>
      <c r="C1362" s="87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  <c r="S1362" s="86"/>
      <c r="T1362" s="86"/>
      <c r="U1362" s="48"/>
    </row>
    <row r="1363" spans="1:21">
      <c r="A1363" s="86"/>
      <c r="B1363" s="86"/>
      <c r="C1363" s="87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  <c r="S1363" s="86"/>
      <c r="T1363" s="86"/>
      <c r="U1363" s="48"/>
    </row>
    <row r="1364" spans="1:21">
      <c r="A1364" s="86"/>
      <c r="B1364" s="86"/>
      <c r="C1364" s="87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  <c r="S1364" s="86"/>
      <c r="T1364" s="86"/>
      <c r="U1364" s="48"/>
    </row>
    <row r="1365" spans="1:21">
      <c r="A1365" s="86"/>
      <c r="B1365" s="86"/>
      <c r="C1365" s="87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  <c r="S1365" s="86"/>
      <c r="T1365" s="86"/>
      <c r="U1365" s="48"/>
    </row>
    <row r="1366" spans="1:21">
      <c r="A1366" s="86"/>
      <c r="B1366" s="86"/>
      <c r="C1366" s="87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  <c r="S1366" s="86"/>
      <c r="T1366" s="86"/>
      <c r="U1366" s="48"/>
    </row>
    <row r="1367" spans="1:21">
      <c r="A1367" s="86"/>
      <c r="B1367" s="86"/>
      <c r="C1367" s="87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  <c r="S1367" s="86"/>
      <c r="T1367" s="86"/>
      <c r="U1367" s="48"/>
    </row>
    <row r="1368" spans="1:21">
      <c r="A1368" s="86"/>
      <c r="B1368" s="86"/>
      <c r="C1368" s="87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  <c r="S1368" s="86"/>
      <c r="T1368" s="86"/>
      <c r="U1368" s="48"/>
    </row>
    <row r="1369" spans="1:21">
      <c r="A1369" s="86"/>
      <c r="B1369" s="86"/>
      <c r="C1369" s="87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  <c r="S1369" s="86"/>
      <c r="T1369" s="86"/>
      <c r="U1369" s="48"/>
    </row>
    <row r="1370" spans="1:21">
      <c r="A1370" s="86"/>
      <c r="B1370" s="86"/>
      <c r="C1370" s="87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  <c r="S1370" s="86"/>
      <c r="T1370" s="86"/>
      <c r="U1370" s="48"/>
    </row>
    <row r="1371" spans="1:21">
      <c r="A1371" s="86"/>
      <c r="B1371" s="86"/>
      <c r="C1371" s="87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  <c r="S1371" s="86"/>
      <c r="T1371" s="86"/>
      <c r="U1371" s="48"/>
    </row>
    <row r="1372" spans="1:21">
      <c r="A1372" s="86"/>
      <c r="B1372" s="86"/>
      <c r="C1372" s="87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  <c r="S1372" s="86"/>
      <c r="T1372" s="86"/>
      <c r="U1372" s="48"/>
    </row>
    <row r="1373" spans="1:21">
      <c r="A1373" s="86"/>
      <c r="B1373" s="86"/>
      <c r="C1373" s="87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  <c r="S1373" s="86"/>
      <c r="T1373" s="86"/>
      <c r="U1373" s="48"/>
    </row>
    <row r="1374" spans="1:21">
      <c r="A1374" s="86"/>
      <c r="B1374" s="86"/>
      <c r="C1374" s="87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  <c r="S1374" s="86"/>
      <c r="T1374" s="86"/>
      <c r="U1374" s="48"/>
    </row>
    <row r="1375" spans="1:21">
      <c r="A1375" s="86"/>
      <c r="B1375" s="86"/>
      <c r="C1375" s="87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  <c r="S1375" s="86"/>
      <c r="T1375" s="86"/>
      <c r="U1375" s="48"/>
    </row>
    <row r="1376" spans="1:21">
      <c r="A1376" s="86"/>
      <c r="B1376" s="86"/>
      <c r="C1376" s="87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  <c r="S1376" s="86"/>
      <c r="T1376" s="86"/>
      <c r="U1376" s="48"/>
    </row>
    <row r="1377" spans="1:21">
      <c r="A1377" s="86"/>
      <c r="B1377" s="86"/>
      <c r="C1377" s="87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  <c r="S1377" s="86"/>
      <c r="T1377" s="86"/>
      <c r="U1377" s="48"/>
    </row>
    <row r="1378" spans="1:21">
      <c r="A1378" s="86"/>
      <c r="B1378" s="86"/>
      <c r="C1378" s="87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  <c r="S1378" s="86"/>
      <c r="T1378" s="86"/>
      <c r="U1378" s="48"/>
    </row>
    <row r="1379" spans="1:21">
      <c r="A1379" s="86"/>
      <c r="B1379" s="86"/>
      <c r="C1379" s="87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  <c r="S1379" s="86"/>
      <c r="T1379" s="86"/>
      <c r="U1379" s="48"/>
    </row>
    <row r="1380" spans="1:21">
      <c r="A1380" s="86"/>
      <c r="B1380" s="86"/>
      <c r="C1380" s="87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  <c r="S1380" s="86"/>
      <c r="T1380" s="86"/>
      <c r="U1380" s="48"/>
    </row>
    <row r="1381" spans="1:21">
      <c r="A1381" s="86"/>
      <c r="B1381" s="86"/>
      <c r="C1381" s="87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  <c r="S1381" s="86"/>
      <c r="T1381" s="86"/>
      <c r="U1381" s="48"/>
    </row>
    <row r="1382" spans="1:21">
      <c r="A1382" s="86"/>
      <c r="B1382" s="86"/>
      <c r="C1382" s="87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  <c r="S1382" s="86"/>
      <c r="T1382" s="86"/>
      <c r="U1382" s="48"/>
    </row>
    <row r="1383" spans="1:21">
      <c r="A1383" s="86"/>
      <c r="B1383" s="86"/>
      <c r="C1383" s="87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  <c r="S1383" s="86"/>
      <c r="T1383" s="86"/>
      <c r="U1383" s="48"/>
    </row>
    <row r="1384" spans="1:21">
      <c r="A1384" s="86"/>
      <c r="B1384" s="86"/>
      <c r="C1384" s="87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  <c r="S1384" s="86"/>
      <c r="T1384" s="86"/>
      <c r="U1384" s="48"/>
    </row>
    <row r="1385" spans="1:21">
      <c r="A1385" s="86"/>
      <c r="B1385" s="86"/>
      <c r="C1385" s="87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  <c r="S1385" s="86"/>
      <c r="T1385" s="86"/>
      <c r="U1385" s="48"/>
    </row>
    <row r="1386" spans="1:21">
      <c r="A1386" s="86"/>
      <c r="B1386" s="86"/>
      <c r="C1386" s="87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  <c r="S1386" s="86"/>
      <c r="T1386" s="86"/>
      <c r="U1386" s="48"/>
    </row>
    <row r="1387" spans="1:21">
      <c r="A1387" s="86"/>
      <c r="B1387" s="86"/>
      <c r="C1387" s="87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  <c r="S1387" s="86"/>
      <c r="T1387" s="86"/>
      <c r="U1387" s="48"/>
    </row>
    <row r="1388" spans="1:21">
      <c r="A1388" s="86"/>
      <c r="B1388" s="86"/>
      <c r="C1388" s="87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  <c r="S1388" s="86"/>
      <c r="T1388" s="86"/>
      <c r="U1388" s="48"/>
    </row>
    <row r="1389" spans="1:21">
      <c r="A1389" s="86"/>
      <c r="B1389" s="86"/>
      <c r="C1389" s="87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  <c r="S1389" s="86"/>
      <c r="T1389" s="86"/>
      <c r="U1389" s="48"/>
    </row>
    <row r="1390" spans="1:21">
      <c r="A1390" s="86"/>
      <c r="B1390" s="86"/>
      <c r="C1390" s="87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  <c r="S1390" s="86"/>
      <c r="T1390" s="86"/>
      <c r="U1390" s="48"/>
    </row>
    <row r="1391" spans="1:21">
      <c r="A1391" s="86"/>
      <c r="B1391" s="86"/>
      <c r="C1391" s="87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  <c r="S1391" s="86"/>
      <c r="T1391" s="86"/>
      <c r="U1391" s="48"/>
    </row>
    <row r="1392" spans="1:21">
      <c r="A1392" s="86"/>
      <c r="B1392" s="86"/>
      <c r="C1392" s="87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  <c r="S1392" s="86"/>
      <c r="T1392" s="86"/>
      <c r="U1392" s="48"/>
    </row>
    <row r="1393" spans="1:21">
      <c r="A1393" s="86"/>
      <c r="B1393" s="86"/>
      <c r="C1393" s="87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  <c r="S1393" s="86"/>
      <c r="T1393" s="86"/>
      <c r="U1393" s="48"/>
    </row>
    <row r="1394" spans="1:21">
      <c r="A1394" s="86"/>
      <c r="B1394" s="86"/>
      <c r="C1394" s="87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  <c r="S1394" s="86"/>
      <c r="T1394" s="86"/>
      <c r="U1394" s="48"/>
    </row>
    <row r="1395" spans="1:21">
      <c r="A1395" s="86"/>
      <c r="B1395" s="86"/>
      <c r="C1395" s="87"/>
      <c r="D1395" s="86"/>
      <c r="E1395" s="86"/>
      <c r="F1395" s="86"/>
      <c r="G1395" s="86"/>
      <c r="H1395" s="86"/>
      <c r="I1395" s="86"/>
      <c r="J1395" s="86"/>
      <c r="K1395" s="86"/>
      <c r="L1395" s="86"/>
      <c r="M1395" s="86"/>
      <c r="N1395" s="86"/>
      <c r="O1395" s="86"/>
      <c r="P1395" s="86"/>
      <c r="Q1395" s="86"/>
      <c r="R1395" s="86"/>
      <c r="S1395" s="86"/>
      <c r="T1395" s="86"/>
      <c r="U1395" s="48"/>
    </row>
    <row r="1396" spans="1:21">
      <c r="A1396" s="86"/>
      <c r="B1396" s="86"/>
      <c r="C1396" s="87"/>
      <c r="D1396" s="86"/>
      <c r="E1396" s="86"/>
      <c r="F1396" s="86"/>
      <c r="G1396" s="86"/>
      <c r="H1396" s="86"/>
      <c r="I1396" s="86"/>
      <c r="J1396" s="86"/>
      <c r="K1396" s="86"/>
      <c r="L1396" s="86"/>
      <c r="M1396" s="86"/>
      <c r="N1396" s="86"/>
      <c r="O1396" s="86"/>
      <c r="P1396" s="86"/>
      <c r="Q1396" s="86"/>
      <c r="R1396" s="86"/>
      <c r="S1396" s="86"/>
      <c r="T1396" s="86"/>
      <c r="U1396" s="48"/>
    </row>
    <row r="1397" spans="1:21">
      <c r="A1397" s="86"/>
      <c r="B1397" s="86"/>
      <c r="C1397" s="87"/>
      <c r="D1397" s="86"/>
      <c r="E1397" s="86"/>
      <c r="F1397" s="86"/>
      <c r="G1397" s="86"/>
      <c r="H1397" s="86"/>
      <c r="I1397" s="86"/>
      <c r="J1397" s="86"/>
      <c r="K1397" s="86"/>
      <c r="L1397" s="86"/>
      <c r="M1397" s="86"/>
      <c r="N1397" s="86"/>
      <c r="O1397" s="86"/>
      <c r="P1397" s="86"/>
      <c r="Q1397" s="86"/>
      <c r="R1397" s="86"/>
      <c r="S1397" s="86"/>
      <c r="T1397" s="86"/>
      <c r="U1397" s="48"/>
    </row>
    <row r="1398" spans="1:21">
      <c r="A1398" s="86"/>
      <c r="B1398" s="86"/>
      <c r="C1398" s="87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  <c r="R1398" s="86"/>
      <c r="S1398" s="86"/>
      <c r="T1398" s="86"/>
      <c r="U1398" s="48"/>
    </row>
    <row r="1399" spans="1:21">
      <c r="A1399" s="86"/>
      <c r="B1399" s="86"/>
      <c r="C1399" s="87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  <c r="R1399" s="86"/>
      <c r="S1399" s="86"/>
      <c r="T1399" s="86"/>
      <c r="U1399" s="48"/>
    </row>
    <row r="1400" spans="1:21">
      <c r="A1400" s="86"/>
      <c r="B1400" s="86"/>
      <c r="C1400" s="87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  <c r="R1400" s="86"/>
      <c r="S1400" s="86"/>
      <c r="T1400" s="86"/>
      <c r="U1400" s="48"/>
    </row>
    <row r="1401" spans="1:21">
      <c r="A1401" s="86"/>
      <c r="B1401" s="86"/>
      <c r="C1401" s="87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  <c r="R1401" s="86"/>
      <c r="S1401" s="86"/>
      <c r="T1401" s="86"/>
      <c r="U1401" s="48"/>
    </row>
    <row r="1402" spans="1:21">
      <c r="A1402" s="86"/>
      <c r="B1402" s="86"/>
      <c r="C1402" s="87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  <c r="R1402" s="86"/>
      <c r="S1402" s="86"/>
      <c r="T1402" s="86"/>
      <c r="U1402" s="48"/>
    </row>
    <row r="1403" spans="1:21">
      <c r="A1403" s="86"/>
      <c r="B1403" s="86"/>
      <c r="C1403" s="87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  <c r="R1403" s="86"/>
      <c r="S1403" s="86"/>
      <c r="T1403" s="86"/>
      <c r="U1403" s="48"/>
    </row>
    <row r="1404" spans="1:21">
      <c r="A1404" s="86"/>
      <c r="B1404" s="86"/>
      <c r="C1404" s="87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  <c r="R1404" s="86"/>
      <c r="S1404" s="86"/>
      <c r="T1404" s="86"/>
      <c r="U1404" s="48"/>
    </row>
    <row r="1405" spans="1:21">
      <c r="A1405" s="86"/>
      <c r="B1405" s="86"/>
      <c r="C1405" s="87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  <c r="R1405" s="86"/>
      <c r="S1405" s="86"/>
      <c r="T1405" s="86"/>
      <c r="U1405" s="48"/>
    </row>
    <row r="1406" spans="1:21">
      <c r="A1406" s="86"/>
      <c r="B1406" s="86"/>
      <c r="C1406" s="87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  <c r="S1406" s="86"/>
      <c r="T1406" s="86"/>
      <c r="U1406" s="48"/>
    </row>
    <row r="1407" spans="1:21">
      <c r="A1407" s="86"/>
      <c r="B1407" s="86"/>
      <c r="C1407" s="87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  <c r="S1407" s="86"/>
      <c r="T1407" s="86"/>
      <c r="U1407" s="48"/>
    </row>
    <row r="1408" spans="1:21">
      <c r="A1408" s="86"/>
      <c r="B1408" s="86"/>
      <c r="C1408" s="87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  <c r="S1408" s="86"/>
      <c r="T1408" s="86"/>
      <c r="U1408" s="48"/>
    </row>
    <row r="1409" spans="1:21">
      <c r="A1409" s="86"/>
      <c r="B1409" s="86"/>
      <c r="C1409" s="87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  <c r="S1409" s="86"/>
      <c r="T1409" s="86"/>
      <c r="U1409" s="48"/>
    </row>
    <row r="1410" spans="1:21">
      <c r="A1410" s="86"/>
      <c r="B1410" s="86"/>
      <c r="C1410" s="87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  <c r="S1410" s="86"/>
      <c r="T1410" s="86"/>
      <c r="U1410" s="48"/>
    </row>
    <row r="1411" spans="1:21">
      <c r="A1411" s="86"/>
      <c r="B1411" s="86"/>
      <c r="C1411" s="87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  <c r="S1411" s="86"/>
      <c r="T1411" s="86"/>
      <c r="U1411" s="48"/>
    </row>
    <row r="1412" spans="1:21">
      <c r="A1412" s="86"/>
      <c r="B1412" s="86"/>
      <c r="C1412" s="87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  <c r="S1412" s="86"/>
      <c r="T1412" s="86"/>
      <c r="U1412" s="48"/>
    </row>
    <row r="1413" spans="1:21">
      <c r="A1413" s="86"/>
      <c r="B1413" s="86"/>
      <c r="C1413" s="87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  <c r="S1413" s="86"/>
      <c r="T1413" s="86"/>
      <c r="U1413" s="48"/>
    </row>
    <row r="1414" spans="1:21">
      <c r="A1414" s="86"/>
      <c r="B1414" s="86"/>
      <c r="C1414" s="87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  <c r="S1414" s="86"/>
      <c r="T1414" s="86"/>
      <c r="U1414" s="48"/>
    </row>
    <row r="1415" spans="1:21">
      <c r="A1415" s="86"/>
      <c r="B1415" s="86"/>
      <c r="C1415" s="87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  <c r="S1415" s="86"/>
      <c r="T1415" s="86"/>
      <c r="U1415" s="48"/>
    </row>
    <row r="1416" spans="1:21">
      <c r="A1416" s="86"/>
      <c r="B1416" s="86"/>
      <c r="C1416" s="87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  <c r="S1416" s="86"/>
      <c r="T1416" s="86"/>
      <c r="U1416" s="48"/>
    </row>
    <row r="1417" spans="1:21">
      <c r="A1417" s="86"/>
      <c r="B1417" s="86"/>
      <c r="C1417" s="87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  <c r="S1417" s="86"/>
      <c r="T1417" s="86"/>
      <c r="U1417" s="48"/>
    </row>
    <row r="1418" spans="1:21">
      <c r="A1418" s="86"/>
      <c r="B1418" s="86"/>
      <c r="C1418" s="87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  <c r="S1418" s="86"/>
      <c r="T1418" s="86"/>
      <c r="U1418" s="48"/>
    </row>
    <row r="1419" spans="1:21">
      <c r="A1419" s="86"/>
      <c r="B1419" s="86"/>
      <c r="C1419" s="87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  <c r="S1419" s="86"/>
      <c r="T1419" s="86"/>
      <c r="U1419" s="48"/>
    </row>
    <row r="1420" spans="1:21">
      <c r="A1420" s="86"/>
      <c r="B1420" s="86"/>
      <c r="C1420" s="87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  <c r="S1420" s="86"/>
      <c r="T1420" s="86"/>
      <c r="U1420" s="48"/>
    </row>
    <row r="1421" spans="1:21">
      <c r="A1421" s="86"/>
      <c r="B1421" s="86"/>
      <c r="C1421" s="87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  <c r="S1421" s="86"/>
      <c r="T1421" s="86"/>
      <c r="U1421" s="48"/>
    </row>
    <row r="1422" spans="1:21">
      <c r="A1422" s="86"/>
      <c r="B1422" s="86"/>
      <c r="C1422" s="87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  <c r="S1422" s="86"/>
      <c r="T1422" s="86"/>
      <c r="U1422" s="48"/>
    </row>
    <row r="1423" spans="1:21">
      <c r="A1423" s="86"/>
      <c r="B1423" s="86"/>
      <c r="C1423" s="87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  <c r="S1423" s="86"/>
      <c r="T1423" s="86"/>
      <c r="U1423" s="48"/>
    </row>
    <row r="1424" spans="1:21">
      <c r="A1424" s="86"/>
      <c r="B1424" s="86"/>
      <c r="C1424" s="87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  <c r="S1424" s="86"/>
      <c r="T1424" s="86"/>
      <c r="U1424" s="48"/>
    </row>
    <row r="1425" spans="1:21">
      <c r="A1425" s="86"/>
      <c r="B1425" s="86"/>
      <c r="C1425" s="87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  <c r="S1425" s="86"/>
      <c r="T1425" s="86"/>
      <c r="U1425" s="48"/>
    </row>
    <row r="1426" spans="1:21">
      <c r="A1426" s="86"/>
      <c r="B1426" s="86"/>
      <c r="C1426" s="87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  <c r="S1426" s="86"/>
      <c r="T1426" s="86"/>
      <c r="U1426" s="48"/>
    </row>
    <row r="1427" spans="1:21">
      <c r="A1427" s="86"/>
      <c r="B1427" s="86"/>
      <c r="C1427" s="87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  <c r="S1427" s="86"/>
      <c r="T1427" s="86"/>
      <c r="U1427" s="48"/>
    </row>
    <row r="1428" spans="1:21">
      <c r="A1428" s="86"/>
      <c r="B1428" s="86"/>
      <c r="C1428" s="87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  <c r="S1428" s="86"/>
      <c r="T1428" s="86"/>
      <c r="U1428" s="48"/>
    </row>
    <row r="1429" spans="1:21">
      <c r="A1429" s="86"/>
      <c r="B1429" s="86"/>
      <c r="C1429" s="87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  <c r="R1429" s="86"/>
      <c r="S1429" s="86"/>
      <c r="T1429" s="86"/>
      <c r="U1429" s="48"/>
    </row>
    <row r="1430" spans="1:21">
      <c r="A1430" s="86"/>
      <c r="B1430" s="86"/>
      <c r="C1430" s="87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  <c r="R1430" s="86"/>
      <c r="S1430" s="86"/>
      <c r="T1430" s="86"/>
      <c r="U1430" s="48"/>
    </row>
    <row r="1431" spans="1:21">
      <c r="A1431" s="86"/>
      <c r="B1431" s="86"/>
      <c r="C1431" s="87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  <c r="S1431" s="86"/>
      <c r="T1431" s="86"/>
      <c r="U1431" s="48"/>
    </row>
    <row r="1432" spans="1:21">
      <c r="A1432" s="86"/>
      <c r="B1432" s="86"/>
      <c r="C1432" s="87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  <c r="S1432" s="86"/>
      <c r="T1432" s="86"/>
      <c r="U1432" s="48"/>
    </row>
    <row r="1433" spans="1:21">
      <c r="A1433" s="86"/>
      <c r="B1433" s="86"/>
      <c r="C1433" s="87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  <c r="S1433" s="86"/>
      <c r="T1433" s="86"/>
      <c r="U1433" s="48"/>
    </row>
    <row r="1434" spans="1:21">
      <c r="A1434" s="86"/>
      <c r="B1434" s="86"/>
      <c r="C1434" s="87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  <c r="S1434" s="86"/>
      <c r="T1434" s="86"/>
      <c r="U1434" s="48"/>
    </row>
    <row r="1435" spans="1:21">
      <c r="A1435" s="86"/>
      <c r="B1435" s="86"/>
      <c r="C1435" s="87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  <c r="S1435" s="86"/>
      <c r="T1435" s="86"/>
      <c r="U1435" s="48"/>
    </row>
    <row r="1436" spans="1:21">
      <c r="A1436" s="86"/>
      <c r="B1436" s="86"/>
      <c r="C1436" s="87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  <c r="S1436" s="86"/>
      <c r="T1436" s="86"/>
      <c r="U1436" s="48"/>
    </row>
    <row r="1437" spans="1:21">
      <c r="A1437" s="86"/>
      <c r="B1437" s="86"/>
      <c r="C1437" s="87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  <c r="S1437" s="86"/>
      <c r="T1437" s="86"/>
      <c r="U1437" s="48"/>
    </row>
    <row r="1438" spans="1:21">
      <c r="A1438" s="86"/>
      <c r="B1438" s="86"/>
      <c r="C1438" s="87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  <c r="S1438" s="86"/>
      <c r="T1438" s="86"/>
      <c r="U1438" s="48"/>
    </row>
    <row r="1439" spans="1:21">
      <c r="A1439" s="86"/>
      <c r="B1439" s="86"/>
      <c r="C1439" s="87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  <c r="S1439" s="86"/>
      <c r="T1439" s="86"/>
      <c r="U1439" s="48"/>
    </row>
    <row r="1440" spans="1:21">
      <c r="A1440" s="86"/>
      <c r="B1440" s="86"/>
      <c r="C1440" s="87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  <c r="S1440" s="86"/>
      <c r="T1440" s="86"/>
      <c r="U1440" s="48"/>
    </row>
    <row r="1441" spans="1:21">
      <c r="A1441" s="86"/>
      <c r="B1441" s="86"/>
      <c r="C1441" s="87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  <c r="S1441" s="86"/>
      <c r="T1441" s="86"/>
      <c r="U1441" s="48"/>
    </row>
    <row r="1442" spans="1:21">
      <c r="A1442" s="86"/>
      <c r="B1442" s="86"/>
      <c r="C1442" s="87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  <c r="S1442" s="86"/>
      <c r="T1442" s="86"/>
      <c r="U1442" s="48"/>
    </row>
    <row r="1443" spans="1:21">
      <c r="A1443" s="86"/>
      <c r="B1443" s="86"/>
      <c r="C1443" s="87"/>
      <c r="D1443" s="86"/>
      <c r="E1443" s="86"/>
      <c r="F1443" s="86"/>
      <c r="G1443" s="86"/>
      <c r="H1443" s="86"/>
      <c r="I1443" s="86"/>
      <c r="J1443" s="86"/>
      <c r="K1443" s="86"/>
      <c r="L1443" s="86"/>
      <c r="M1443" s="86"/>
      <c r="N1443" s="86"/>
      <c r="O1443" s="86"/>
      <c r="P1443" s="86"/>
      <c r="Q1443" s="86"/>
      <c r="R1443" s="86"/>
      <c r="S1443" s="86"/>
      <c r="T1443" s="86"/>
      <c r="U1443" s="48"/>
    </row>
    <row r="1444" spans="1:21">
      <c r="A1444" s="86"/>
      <c r="B1444" s="86"/>
      <c r="C1444" s="87"/>
      <c r="D1444" s="86"/>
      <c r="E1444" s="86"/>
      <c r="F1444" s="86"/>
      <c r="G1444" s="86"/>
      <c r="H1444" s="86"/>
      <c r="I1444" s="86"/>
      <c r="J1444" s="86"/>
      <c r="K1444" s="86"/>
      <c r="L1444" s="86"/>
      <c r="M1444" s="86"/>
      <c r="N1444" s="86"/>
      <c r="O1444" s="86"/>
      <c r="P1444" s="86"/>
      <c r="Q1444" s="86"/>
      <c r="R1444" s="86"/>
      <c r="S1444" s="86"/>
      <c r="T1444" s="86"/>
      <c r="U1444" s="48"/>
    </row>
    <row r="1445" spans="1:21">
      <c r="A1445" s="86"/>
      <c r="B1445" s="86"/>
      <c r="C1445" s="87"/>
      <c r="D1445" s="86"/>
      <c r="E1445" s="86"/>
      <c r="F1445" s="86"/>
      <c r="G1445" s="86"/>
      <c r="H1445" s="86"/>
      <c r="I1445" s="86"/>
      <c r="J1445" s="86"/>
      <c r="K1445" s="86"/>
      <c r="L1445" s="86"/>
      <c r="M1445" s="86"/>
      <c r="N1445" s="86"/>
      <c r="O1445" s="86"/>
      <c r="P1445" s="86"/>
      <c r="Q1445" s="86"/>
      <c r="R1445" s="86"/>
      <c r="S1445" s="86"/>
      <c r="T1445" s="86"/>
      <c r="U1445" s="48"/>
    </row>
    <row r="1446" spans="1:21">
      <c r="A1446" s="86"/>
      <c r="B1446" s="86"/>
      <c r="C1446" s="87"/>
      <c r="D1446" s="86"/>
      <c r="E1446" s="86"/>
      <c r="F1446" s="86"/>
      <c r="G1446" s="86"/>
      <c r="H1446" s="86"/>
      <c r="I1446" s="86"/>
      <c r="J1446" s="86"/>
      <c r="K1446" s="86"/>
      <c r="L1446" s="86"/>
      <c r="M1446" s="86"/>
      <c r="N1446" s="86"/>
      <c r="O1446" s="86"/>
      <c r="P1446" s="86"/>
      <c r="Q1446" s="86"/>
      <c r="R1446" s="86"/>
      <c r="S1446" s="86"/>
      <c r="T1446" s="86"/>
      <c r="U1446" s="48"/>
    </row>
    <row r="1447" spans="1:21">
      <c r="A1447" s="86"/>
      <c r="B1447" s="86"/>
      <c r="C1447" s="87"/>
      <c r="D1447" s="86"/>
      <c r="E1447" s="86"/>
      <c r="F1447" s="86"/>
      <c r="G1447" s="86"/>
      <c r="H1447" s="86"/>
      <c r="I1447" s="86"/>
      <c r="J1447" s="86"/>
      <c r="K1447" s="86"/>
      <c r="L1447" s="86"/>
      <c r="M1447" s="86"/>
      <c r="N1447" s="86"/>
      <c r="O1447" s="86"/>
      <c r="P1447" s="86"/>
      <c r="Q1447" s="86"/>
      <c r="R1447" s="86"/>
      <c r="S1447" s="86"/>
      <c r="T1447" s="86"/>
      <c r="U1447" s="48"/>
    </row>
    <row r="1448" spans="1:21">
      <c r="A1448" s="86"/>
      <c r="B1448" s="86"/>
      <c r="C1448" s="87"/>
      <c r="D1448" s="86"/>
      <c r="E1448" s="86"/>
      <c r="F1448" s="86"/>
      <c r="G1448" s="86"/>
      <c r="H1448" s="86"/>
      <c r="I1448" s="86"/>
      <c r="J1448" s="86"/>
      <c r="K1448" s="86"/>
      <c r="L1448" s="86"/>
      <c r="M1448" s="86"/>
      <c r="N1448" s="86"/>
      <c r="O1448" s="86"/>
      <c r="P1448" s="86"/>
      <c r="Q1448" s="86"/>
      <c r="R1448" s="86"/>
      <c r="S1448" s="86"/>
      <c r="T1448" s="86"/>
      <c r="U1448" s="48"/>
    </row>
    <row r="1449" spans="1:21">
      <c r="A1449" s="86"/>
      <c r="B1449" s="86"/>
      <c r="C1449" s="87"/>
      <c r="D1449" s="86"/>
      <c r="E1449" s="86"/>
      <c r="F1449" s="86"/>
      <c r="G1449" s="86"/>
      <c r="H1449" s="86"/>
      <c r="I1449" s="86"/>
      <c r="J1449" s="86"/>
      <c r="K1449" s="86"/>
      <c r="L1449" s="86"/>
      <c r="M1449" s="86"/>
      <c r="N1449" s="86"/>
      <c r="O1449" s="86"/>
      <c r="P1449" s="86"/>
      <c r="Q1449" s="86"/>
      <c r="R1449" s="86"/>
      <c r="S1449" s="86"/>
      <c r="T1449" s="86"/>
      <c r="U1449" s="48"/>
    </row>
    <row r="1450" spans="1:21">
      <c r="A1450" s="86"/>
      <c r="B1450" s="86"/>
      <c r="C1450" s="87"/>
      <c r="D1450" s="86"/>
      <c r="E1450" s="86"/>
      <c r="F1450" s="86"/>
      <c r="G1450" s="86"/>
      <c r="H1450" s="86"/>
      <c r="I1450" s="86"/>
      <c r="J1450" s="86"/>
      <c r="K1450" s="86"/>
      <c r="L1450" s="86"/>
      <c r="M1450" s="86"/>
      <c r="N1450" s="86"/>
      <c r="O1450" s="86"/>
      <c r="P1450" s="86"/>
      <c r="Q1450" s="86"/>
      <c r="R1450" s="86"/>
      <c r="S1450" s="86"/>
      <c r="T1450" s="86"/>
      <c r="U1450" s="48"/>
    </row>
    <row r="1451" spans="1:21">
      <c r="A1451" s="86"/>
      <c r="B1451" s="86"/>
      <c r="C1451" s="87"/>
      <c r="D1451" s="86"/>
      <c r="E1451" s="86"/>
      <c r="F1451" s="86"/>
      <c r="G1451" s="86"/>
      <c r="H1451" s="86"/>
      <c r="I1451" s="86"/>
      <c r="J1451" s="86"/>
      <c r="K1451" s="86"/>
      <c r="L1451" s="86"/>
      <c r="M1451" s="86"/>
      <c r="N1451" s="86"/>
      <c r="O1451" s="86"/>
      <c r="P1451" s="86"/>
      <c r="Q1451" s="86"/>
      <c r="R1451" s="86"/>
      <c r="S1451" s="86"/>
      <c r="T1451" s="86"/>
      <c r="U1451" s="48"/>
    </row>
    <row r="1452" spans="1:21">
      <c r="A1452" s="86"/>
      <c r="B1452" s="86"/>
      <c r="C1452" s="87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  <c r="S1452" s="86"/>
      <c r="T1452" s="86"/>
      <c r="U1452" s="48"/>
    </row>
    <row r="1453" spans="1:21">
      <c r="A1453" s="86"/>
      <c r="B1453" s="86"/>
      <c r="C1453" s="87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  <c r="S1453" s="86"/>
      <c r="T1453" s="86"/>
      <c r="U1453" s="48"/>
    </row>
    <row r="1454" spans="1:21">
      <c r="A1454" s="86"/>
      <c r="B1454" s="86"/>
      <c r="C1454" s="87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  <c r="S1454" s="86"/>
      <c r="T1454" s="86"/>
      <c r="U1454" s="48"/>
    </row>
    <row r="1455" spans="1:21">
      <c r="A1455" s="86"/>
      <c r="B1455" s="86"/>
      <c r="C1455" s="87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  <c r="S1455" s="86"/>
      <c r="T1455" s="86"/>
      <c r="U1455" s="48"/>
    </row>
    <row r="1456" spans="1:21">
      <c r="A1456" s="86"/>
      <c r="B1456" s="86"/>
      <c r="C1456" s="87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  <c r="S1456" s="86"/>
      <c r="T1456" s="86"/>
      <c r="U1456" s="48"/>
    </row>
    <row r="1457" spans="1:21">
      <c r="A1457" s="86"/>
      <c r="B1457" s="86"/>
      <c r="C1457" s="87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  <c r="S1457" s="86"/>
      <c r="T1457" s="86"/>
      <c r="U1457" s="48"/>
    </row>
    <row r="1458" spans="1:21">
      <c r="A1458" s="86"/>
      <c r="B1458" s="86"/>
      <c r="C1458" s="87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  <c r="S1458" s="86"/>
      <c r="T1458" s="86"/>
      <c r="U1458" s="48"/>
    </row>
    <row r="1459" spans="1:21">
      <c r="A1459" s="86"/>
      <c r="B1459" s="86"/>
      <c r="C1459" s="87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  <c r="S1459" s="86"/>
      <c r="T1459" s="86"/>
      <c r="U1459" s="48"/>
    </row>
    <row r="1460" spans="1:21">
      <c r="A1460" s="86"/>
      <c r="B1460" s="86"/>
      <c r="C1460" s="87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  <c r="S1460" s="86"/>
      <c r="T1460" s="86"/>
      <c r="U1460" s="48"/>
    </row>
    <row r="1461" spans="1:21">
      <c r="A1461" s="86"/>
      <c r="B1461" s="86"/>
      <c r="C1461" s="87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  <c r="S1461" s="86"/>
      <c r="T1461" s="86"/>
      <c r="U1461" s="48"/>
    </row>
    <row r="1462" spans="1:21">
      <c r="A1462" s="86"/>
      <c r="B1462" s="86"/>
      <c r="C1462" s="87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  <c r="S1462" s="86"/>
      <c r="T1462" s="86"/>
      <c r="U1462" s="48"/>
    </row>
    <row r="1463" spans="1:21">
      <c r="A1463" s="86"/>
      <c r="B1463" s="86"/>
      <c r="C1463" s="87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  <c r="S1463" s="86"/>
      <c r="T1463" s="86"/>
      <c r="U1463" s="48"/>
    </row>
    <row r="1464" spans="1:21">
      <c r="A1464" s="86"/>
      <c r="B1464" s="86"/>
      <c r="C1464" s="87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  <c r="S1464" s="86"/>
      <c r="T1464" s="86"/>
      <c r="U1464" s="48"/>
    </row>
    <row r="1465" spans="1:21">
      <c r="A1465" s="86"/>
      <c r="B1465" s="86"/>
      <c r="C1465" s="87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  <c r="S1465" s="86"/>
      <c r="T1465" s="86"/>
      <c r="U1465" s="48"/>
    </row>
    <row r="1466" spans="1:21">
      <c r="A1466" s="86"/>
      <c r="B1466" s="86"/>
      <c r="C1466" s="87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  <c r="S1466" s="86"/>
      <c r="T1466" s="86"/>
      <c r="U1466" s="48"/>
    </row>
    <row r="1467" spans="1:21">
      <c r="A1467" s="86"/>
      <c r="B1467" s="86"/>
      <c r="C1467" s="87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  <c r="S1467" s="86"/>
      <c r="T1467" s="86"/>
      <c r="U1467" s="48"/>
    </row>
    <row r="1468" spans="1:21">
      <c r="A1468" s="86"/>
      <c r="B1468" s="86"/>
      <c r="C1468" s="87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  <c r="S1468" s="86"/>
      <c r="T1468" s="86"/>
      <c r="U1468" s="48"/>
    </row>
    <row r="1469" spans="1:21">
      <c r="A1469" s="86"/>
      <c r="B1469" s="86"/>
      <c r="C1469" s="87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  <c r="S1469" s="86"/>
      <c r="T1469" s="86"/>
      <c r="U1469" s="48"/>
    </row>
    <row r="1470" spans="1:21">
      <c r="A1470" s="86"/>
      <c r="B1470" s="86"/>
      <c r="C1470" s="87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  <c r="S1470" s="86"/>
      <c r="T1470" s="86"/>
      <c r="U1470" s="48"/>
    </row>
    <row r="1471" spans="1:21">
      <c r="A1471" s="86"/>
      <c r="B1471" s="86"/>
      <c r="C1471" s="87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  <c r="S1471" s="86"/>
      <c r="T1471" s="86"/>
      <c r="U1471" s="48"/>
    </row>
    <row r="1472" spans="1:21">
      <c r="A1472" s="86"/>
      <c r="B1472" s="86"/>
      <c r="C1472" s="87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  <c r="S1472" s="86"/>
      <c r="T1472" s="86"/>
      <c r="U1472" s="48"/>
    </row>
    <row r="1473" spans="1:21">
      <c r="A1473" s="86"/>
      <c r="B1473" s="86"/>
      <c r="C1473" s="87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  <c r="S1473" s="86"/>
      <c r="T1473" s="86"/>
      <c r="U1473" s="48"/>
    </row>
    <row r="1474" spans="1:21">
      <c r="A1474" s="86"/>
      <c r="B1474" s="86"/>
      <c r="C1474" s="87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  <c r="S1474" s="86"/>
      <c r="T1474" s="86"/>
      <c r="U1474" s="48"/>
    </row>
    <row r="1475" spans="1:21">
      <c r="A1475" s="86"/>
      <c r="B1475" s="86"/>
      <c r="C1475" s="87"/>
      <c r="D1475" s="86"/>
      <c r="E1475" s="86"/>
      <c r="F1475" s="86"/>
      <c r="G1475" s="86"/>
      <c r="H1475" s="86"/>
      <c r="I1475" s="86"/>
      <c r="J1475" s="86"/>
      <c r="K1475" s="86"/>
      <c r="L1475" s="86"/>
      <c r="M1475" s="86"/>
      <c r="N1475" s="86"/>
      <c r="O1475" s="86"/>
      <c r="P1475" s="86"/>
      <c r="Q1475" s="86"/>
      <c r="R1475" s="86"/>
      <c r="S1475" s="86"/>
      <c r="T1475" s="86"/>
      <c r="U1475" s="48"/>
    </row>
    <row r="1476" spans="1:21">
      <c r="A1476" s="86"/>
      <c r="B1476" s="86"/>
      <c r="C1476" s="87"/>
      <c r="D1476" s="86"/>
      <c r="E1476" s="86"/>
      <c r="F1476" s="86"/>
      <c r="G1476" s="86"/>
      <c r="H1476" s="86"/>
      <c r="I1476" s="86"/>
      <c r="J1476" s="86"/>
      <c r="K1476" s="86"/>
      <c r="L1476" s="86"/>
      <c r="M1476" s="86"/>
      <c r="N1476" s="86"/>
      <c r="O1476" s="86"/>
      <c r="P1476" s="86"/>
      <c r="Q1476" s="86"/>
      <c r="R1476" s="86"/>
      <c r="S1476" s="86"/>
      <c r="T1476" s="86"/>
      <c r="U1476" s="48"/>
    </row>
    <row r="1477" spans="1:21">
      <c r="A1477" s="86"/>
      <c r="B1477" s="86"/>
      <c r="C1477" s="87"/>
      <c r="D1477" s="86"/>
      <c r="E1477" s="86"/>
      <c r="F1477" s="86"/>
      <c r="G1477" s="86"/>
      <c r="H1477" s="86"/>
      <c r="I1477" s="86"/>
      <c r="J1477" s="86"/>
      <c r="K1477" s="86"/>
      <c r="L1477" s="86"/>
      <c r="M1477" s="86"/>
      <c r="N1477" s="86"/>
      <c r="O1477" s="86"/>
      <c r="P1477" s="86"/>
      <c r="Q1477" s="86"/>
      <c r="R1477" s="86"/>
      <c r="S1477" s="86"/>
      <c r="T1477" s="86"/>
      <c r="U1477" s="48"/>
    </row>
    <row r="1478" spans="1:21">
      <c r="A1478" s="86"/>
      <c r="B1478" s="86"/>
      <c r="C1478" s="87"/>
      <c r="D1478" s="86"/>
      <c r="E1478" s="86"/>
      <c r="F1478" s="86"/>
      <c r="G1478" s="86"/>
      <c r="H1478" s="86"/>
      <c r="I1478" s="86"/>
      <c r="J1478" s="86"/>
      <c r="K1478" s="86"/>
      <c r="L1478" s="86"/>
      <c r="M1478" s="86"/>
      <c r="N1478" s="86"/>
      <c r="O1478" s="86"/>
      <c r="P1478" s="86"/>
      <c r="Q1478" s="86"/>
      <c r="R1478" s="86"/>
      <c r="S1478" s="86"/>
      <c r="T1478" s="86"/>
      <c r="U1478" s="48"/>
    </row>
    <row r="1479" spans="1:21">
      <c r="A1479" s="86"/>
      <c r="B1479" s="86"/>
      <c r="C1479" s="87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  <c r="S1479" s="86"/>
      <c r="T1479" s="86"/>
      <c r="U1479" s="48"/>
    </row>
    <row r="1480" spans="1:21">
      <c r="A1480" s="86"/>
      <c r="B1480" s="86"/>
      <c r="C1480" s="87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  <c r="S1480" s="86"/>
      <c r="T1480" s="86"/>
      <c r="U1480" s="48"/>
    </row>
    <row r="1481" spans="1:21">
      <c r="A1481" s="86"/>
      <c r="B1481" s="86"/>
      <c r="C1481" s="87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  <c r="S1481" s="86"/>
      <c r="T1481" s="86"/>
      <c r="U1481" s="48"/>
    </row>
    <row r="1482" spans="1:21">
      <c r="A1482" s="86"/>
      <c r="B1482" s="86"/>
      <c r="C1482" s="87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  <c r="S1482" s="86"/>
      <c r="T1482" s="86"/>
      <c r="U1482" s="48"/>
    </row>
    <row r="1483" spans="1:21">
      <c r="A1483" s="86"/>
      <c r="B1483" s="86"/>
      <c r="C1483" s="87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  <c r="S1483" s="86"/>
      <c r="T1483" s="86"/>
      <c r="U1483" s="48"/>
    </row>
    <row r="1484" spans="1:21">
      <c r="A1484" s="86"/>
      <c r="B1484" s="86"/>
      <c r="C1484" s="87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  <c r="S1484" s="86"/>
      <c r="T1484" s="86"/>
      <c r="U1484" s="48"/>
    </row>
    <row r="1485" spans="1:21">
      <c r="A1485" s="86"/>
      <c r="B1485" s="86"/>
      <c r="C1485" s="87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  <c r="S1485" s="86"/>
      <c r="T1485" s="86"/>
      <c r="U1485" s="48"/>
    </row>
    <row r="1486" spans="1:21">
      <c r="A1486" s="86"/>
      <c r="B1486" s="86"/>
      <c r="C1486" s="87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  <c r="S1486" s="86"/>
      <c r="T1486" s="86"/>
      <c r="U1486" s="48"/>
    </row>
    <row r="1487" spans="1:21">
      <c r="A1487" s="86"/>
      <c r="B1487" s="86"/>
      <c r="C1487" s="87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  <c r="S1487" s="86"/>
      <c r="T1487" s="86"/>
      <c r="U1487" s="48"/>
    </row>
    <row r="1488" spans="1:21">
      <c r="A1488" s="86"/>
      <c r="B1488" s="86"/>
      <c r="C1488" s="87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  <c r="S1488" s="86"/>
      <c r="T1488" s="86"/>
      <c r="U1488" s="48"/>
    </row>
    <row r="1489" spans="1:21">
      <c r="A1489" s="86"/>
      <c r="B1489" s="86"/>
      <c r="C1489" s="87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  <c r="S1489" s="86"/>
      <c r="T1489" s="86"/>
      <c r="U1489" s="48"/>
    </row>
    <row r="1490" spans="1:21">
      <c r="A1490" s="86"/>
      <c r="B1490" s="86"/>
      <c r="C1490" s="87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  <c r="S1490" s="86"/>
      <c r="T1490" s="86"/>
      <c r="U1490" s="48"/>
    </row>
    <row r="1491" spans="1:21">
      <c r="A1491" s="86"/>
      <c r="B1491" s="86"/>
      <c r="C1491" s="87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  <c r="R1491" s="86"/>
      <c r="S1491" s="86"/>
      <c r="T1491" s="86"/>
      <c r="U1491" s="48"/>
    </row>
    <row r="1492" spans="1:21">
      <c r="A1492" s="86"/>
      <c r="B1492" s="86"/>
      <c r="C1492" s="87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  <c r="R1492" s="86"/>
      <c r="S1492" s="86"/>
      <c r="T1492" s="86"/>
      <c r="U1492" s="48"/>
    </row>
    <row r="1493" spans="1:21">
      <c r="A1493" s="86"/>
      <c r="B1493" s="86"/>
      <c r="C1493" s="87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  <c r="R1493" s="86"/>
      <c r="S1493" s="86"/>
      <c r="T1493" s="86"/>
      <c r="U1493" s="48"/>
    </row>
    <row r="1494" spans="1:21">
      <c r="A1494" s="86"/>
      <c r="B1494" s="86"/>
      <c r="C1494" s="87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  <c r="R1494" s="86"/>
      <c r="S1494" s="86"/>
      <c r="T1494" s="86"/>
      <c r="U1494" s="48"/>
    </row>
    <row r="1495" spans="1:21">
      <c r="A1495" s="86"/>
      <c r="B1495" s="86"/>
      <c r="C1495" s="87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  <c r="R1495" s="86"/>
      <c r="S1495" s="86"/>
      <c r="T1495" s="86"/>
      <c r="U1495" s="48"/>
    </row>
    <row r="1496" spans="1:21">
      <c r="A1496" s="86"/>
      <c r="B1496" s="86"/>
      <c r="C1496" s="87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  <c r="R1496" s="86"/>
      <c r="S1496" s="86"/>
      <c r="T1496" s="86"/>
      <c r="U1496" s="48"/>
    </row>
    <row r="1497" spans="1:21">
      <c r="A1497" s="86"/>
      <c r="B1497" s="86"/>
      <c r="C1497" s="87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  <c r="R1497" s="86"/>
      <c r="S1497" s="86"/>
      <c r="T1497" s="86"/>
      <c r="U1497" s="48"/>
    </row>
    <row r="1498" spans="1:21">
      <c r="A1498" s="86"/>
      <c r="B1498" s="86"/>
      <c r="C1498" s="87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  <c r="S1498" s="86"/>
      <c r="T1498" s="86"/>
      <c r="U1498" s="48"/>
    </row>
    <row r="1499" spans="1:21">
      <c r="A1499" s="86"/>
      <c r="B1499" s="86"/>
      <c r="C1499" s="87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  <c r="S1499" s="86"/>
      <c r="T1499" s="86"/>
      <c r="U1499" s="48"/>
    </row>
    <row r="1500" spans="1:21">
      <c r="A1500" s="86"/>
      <c r="B1500" s="86"/>
      <c r="C1500" s="87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  <c r="S1500" s="86"/>
      <c r="T1500" s="86"/>
      <c r="U1500" s="48"/>
    </row>
    <row r="1501" spans="1:21">
      <c r="A1501" s="86"/>
      <c r="B1501" s="86"/>
      <c r="C1501" s="87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  <c r="S1501" s="86"/>
      <c r="T1501" s="86"/>
      <c r="U1501" s="48"/>
    </row>
    <row r="1502" spans="1:21">
      <c r="A1502" s="86"/>
      <c r="B1502" s="86"/>
      <c r="C1502" s="87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  <c r="S1502" s="86"/>
      <c r="T1502" s="86"/>
      <c r="U1502" s="48"/>
    </row>
    <row r="1503" spans="1:21">
      <c r="A1503" s="86"/>
      <c r="B1503" s="86"/>
      <c r="C1503" s="87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  <c r="S1503" s="86"/>
      <c r="T1503" s="86"/>
      <c r="U1503" s="48"/>
    </row>
    <row r="1504" spans="1:21">
      <c r="A1504" s="86"/>
      <c r="B1504" s="86"/>
      <c r="C1504" s="87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48"/>
    </row>
    <row r="1505" spans="1:21">
      <c r="A1505" s="86"/>
      <c r="B1505" s="86"/>
      <c r="C1505" s="87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  <c r="S1505" s="86"/>
      <c r="T1505" s="86"/>
      <c r="U1505" s="48"/>
    </row>
    <row r="1506" spans="1:21">
      <c r="A1506" s="86"/>
      <c r="B1506" s="86"/>
      <c r="C1506" s="87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  <c r="S1506" s="86"/>
      <c r="T1506" s="86"/>
      <c r="U1506" s="48"/>
    </row>
    <row r="1507" spans="1:21">
      <c r="A1507" s="86"/>
      <c r="B1507" s="86"/>
      <c r="C1507" s="87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  <c r="S1507" s="86"/>
      <c r="T1507" s="86"/>
      <c r="U1507" s="48"/>
    </row>
    <row r="1508" spans="1:21">
      <c r="A1508" s="86"/>
      <c r="B1508" s="86"/>
      <c r="C1508" s="87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  <c r="S1508" s="86"/>
      <c r="T1508" s="86"/>
      <c r="U1508" s="48"/>
    </row>
    <row r="1509" spans="1:21">
      <c r="A1509" s="86"/>
      <c r="B1509" s="86"/>
      <c r="C1509" s="87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  <c r="S1509" s="86"/>
      <c r="T1509" s="86"/>
      <c r="U1509" s="48"/>
    </row>
    <row r="1510" spans="1:21">
      <c r="A1510" s="86"/>
      <c r="B1510" s="86"/>
      <c r="C1510" s="87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  <c r="S1510" s="86"/>
      <c r="T1510" s="86"/>
      <c r="U1510" s="48"/>
    </row>
    <row r="1511" spans="1:21">
      <c r="A1511" s="86"/>
      <c r="B1511" s="86"/>
      <c r="C1511" s="87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  <c r="S1511" s="86"/>
      <c r="T1511" s="86"/>
      <c r="U1511" s="48"/>
    </row>
    <row r="1512" spans="1:21">
      <c r="A1512" s="86"/>
      <c r="B1512" s="86"/>
      <c r="C1512" s="87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  <c r="S1512" s="86"/>
      <c r="T1512" s="86"/>
      <c r="U1512" s="48"/>
    </row>
    <row r="1513" spans="1:21">
      <c r="A1513" s="86"/>
      <c r="B1513" s="86"/>
      <c r="C1513" s="87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  <c r="S1513" s="86"/>
      <c r="T1513" s="86"/>
      <c r="U1513" s="48"/>
    </row>
    <row r="1514" spans="1:21">
      <c r="A1514" s="86"/>
      <c r="B1514" s="86"/>
      <c r="C1514" s="87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  <c r="S1514" s="86"/>
      <c r="T1514" s="86"/>
      <c r="U1514" s="48"/>
    </row>
    <row r="1515" spans="1:21">
      <c r="A1515" s="86"/>
      <c r="B1515" s="86"/>
      <c r="C1515" s="87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  <c r="S1515" s="86"/>
      <c r="T1515" s="86"/>
      <c r="U1515" s="48"/>
    </row>
    <row r="1516" spans="1:21">
      <c r="A1516" s="86"/>
      <c r="B1516" s="86"/>
      <c r="C1516" s="87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  <c r="S1516" s="86"/>
      <c r="T1516" s="86"/>
      <c r="U1516" s="48"/>
    </row>
    <row r="1517" spans="1:21">
      <c r="A1517" s="86"/>
      <c r="B1517" s="86"/>
      <c r="C1517" s="87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  <c r="S1517" s="86"/>
      <c r="T1517" s="86"/>
      <c r="U1517" s="48"/>
    </row>
    <row r="1518" spans="1:21">
      <c r="A1518" s="86"/>
      <c r="B1518" s="86"/>
      <c r="C1518" s="87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  <c r="S1518" s="86"/>
      <c r="T1518" s="86"/>
      <c r="U1518" s="48"/>
    </row>
    <row r="1519" spans="1:21">
      <c r="A1519" s="86"/>
      <c r="B1519" s="86"/>
      <c r="C1519" s="87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  <c r="S1519" s="86"/>
      <c r="T1519" s="86"/>
      <c r="U1519" s="48"/>
    </row>
    <row r="1520" spans="1:21">
      <c r="A1520" s="86"/>
      <c r="B1520" s="86"/>
      <c r="C1520" s="87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  <c r="S1520" s="86"/>
      <c r="T1520" s="86"/>
      <c r="U1520" s="48"/>
    </row>
    <row r="1521" spans="1:21">
      <c r="A1521" s="86"/>
      <c r="B1521" s="86"/>
      <c r="C1521" s="87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  <c r="R1521" s="86"/>
      <c r="S1521" s="86"/>
      <c r="T1521" s="86"/>
      <c r="U1521" s="48"/>
    </row>
    <row r="1522" spans="1:21">
      <c r="A1522" s="86"/>
      <c r="B1522" s="86"/>
      <c r="C1522" s="87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  <c r="R1522" s="86"/>
      <c r="S1522" s="86"/>
      <c r="T1522" s="86"/>
      <c r="U1522" s="48"/>
    </row>
    <row r="1523" spans="1:21">
      <c r="A1523" s="86"/>
      <c r="B1523" s="86"/>
      <c r="C1523" s="87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  <c r="R1523" s="86"/>
      <c r="S1523" s="86"/>
      <c r="T1523" s="86"/>
      <c r="U1523" s="48"/>
    </row>
    <row r="1524" spans="1:21">
      <c r="A1524" s="86"/>
      <c r="B1524" s="86"/>
      <c r="C1524" s="87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  <c r="R1524" s="86"/>
      <c r="S1524" s="86"/>
      <c r="T1524" s="86"/>
      <c r="U1524" s="48"/>
    </row>
    <row r="1525" spans="1:21">
      <c r="A1525" s="86"/>
      <c r="B1525" s="86"/>
      <c r="C1525" s="87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  <c r="R1525" s="86"/>
      <c r="S1525" s="86"/>
      <c r="T1525" s="86"/>
      <c r="U1525" s="48"/>
    </row>
    <row r="1526" spans="1:21">
      <c r="A1526" s="86"/>
      <c r="B1526" s="86"/>
      <c r="C1526" s="87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  <c r="R1526" s="86"/>
      <c r="S1526" s="86"/>
      <c r="T1526" s="86"/>
      <c r="U1526" s="48"/>
    </row>
    <row r="1527" spans="1:21">
      <c r="A1527" s="86"/>
      <c r="B1527" s="86"/>
      <c r="C1527" s="87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  <c r="S1527" s="86"/>
      <c r="T1527" s="86"/>
      <c r="U1527" s="48"/>
    </row>
    <row r="1528" spans="1:21">
      <c r="A1528" s="86"/>
      <c r="B1528" s="86"/>
      <c r="C1528" s="87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  <c r="S1528" s="86"/>
      <c r="T1528" s="86"/>
      <c r="U1528" s="86"/>
    </row>
    <row r="1529" spans="1:21">
      <c r="A1529" s="86"/>
      <c r="B1529" s="86"/>
      <c r="C1529" s="87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  <c r="S1529" s="86"/>
      <c r="T1529" s="86"/>
      <c r="U1529" s="86"/>
    </row>
    <row r="1530" spans="1:21">
      <c r="A1530" s="86"/>
      <c r="B1530" s="86"/>
      <c r="C1530" s="87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  <c r="S1530" s="86"/>
      <c r="T1530" s="86"/>
      <c r="U1530" s="86"/>
    </row>
    <row r="1531" spans="1:21">
      <c r="A1531" s="86"/>
      <c r="B1531" s="86"/>
      <c r="C1531" s="87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  <c r="S1531" s="86"/>
      <c r="T1531" s="86"/>
      <c r="U1531" s="86"/>
    </row>
    <row r="1532" spans="1:21">
      <c r="A1532" s="86"/>
      <c r="B1532" s="86"/>
      <c r="C1532" s="87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  <c r="S1532" s="86"/>
      <c r="T1532" s="86"/>
      <c r="U1532" s="86"/>
    </row>
    <row r="1533" spans="1:21">
      <c r="A1533" s="86"/>
      <c r="B1533" s="86"/>
      <c r="C1533" s="87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  <c r="S1533" s="86"/>
      <c r="T1533" s="86"/>
      <c r="U1533" s="86"/>
    </row>
    <row r="1534" spans="1:21">
      <c r="A1534" s="86"/>
      <c r="B1534" s="86"/>
      <c r="C1534" s="87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  <c r="S1534" s="86"/>
      <c r="T1534" s="86"/>
      <c r="U1534" s="86"/>
    </row>
    <row r="1535" spans="1:21">
      <c r="A1535" s="86"/>
      <c r="B1535" s="86"/>
      <c r="C1535" s="87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  <c r="S1535" s="86"/>
      <c r="T1535" s="86"/>
      <c r="U1535" s="86"/>
    </row>
    <row r="1536" spans="1:21">
      <c r="A1536" s="86"/>
      <c r="B1536" s="86"/>
      <c r="C1536" s="87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  <c r="S1536" s="86"/>
      <c r="T1536" s="86"/>
      <c r="U1536" s="86"/>
    </row>
    <row r="1537" spans="1:21">
      <c r="A1537" s="86"/>
      <c r="B1537" s="86"/>
      <c r="C1537" s="87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  <c r="S1537" s="86"/>
      <c r="T1537" s="86"/>
      <c r="U1537" s="86"/>
    </row>
    <row r="1538" spans="1:21">
      <c r="A1538" s="86"/>
      <c r="B1538" s="86"/>
      <c r="C1538" s="87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  <c r="S1538" s="86"/>
      <c r="T1538" s="86"/>
      <c r="U1538" s="86"/>
    </row>
    <row r="1539" spans="1:21">
      <c r="A1539" s="86"/>
      <c r="B1539" s="86"/>
      <c r="C1539" s="87"/>
      <c r="D1539" s="86"/>
      <c r="E1539" s="86"/>
      <c r="F1539" s="86"/>
      <c r="G1539" s="86"/>
      <c r="H1539" s="86"/>
      <c r="I1539" s="86"/>
      <c r="J1539" s="86"/>
      <c r="K1539" s="86"/>
      <c r="L1539" s="86"/>
      <c r="M1539" s="86"/>
      <c r="N1539" s="86"/>
      <c r="O1539" s="86"/>
      <c r="P1539" s="86"/>
      <c r="Q1539" s="86"/>
      <c r="R1539" s="86"/>
      <c r="S1539" s="86"/>
      <c r="T1539" s="86"/>
      <c r="U1539" s="86"/>
    </row>
    <row r="1540" spans="1:21">
      <c r="A1540" s="86"/>
      <c r="B1540" s="86"/>
      <c r="C1540" s="87"/>
      <c r="D1540" s="86"/>
      <c r="E1540" s="86"/>
      <c r="F1540" s="86"/>
      <c r="G1540" s="86"/>
      <c r="H1540" s="86"/>
      <c r="I1540" s="86"/>
      <c r="J1540" s="86"/>
      <c r="K1540" s="86"/>
      <c r="L1540" s="86"/>
      <c r="M1540" s="86"/>
      <c r="N1540" s="86"/>
      <c r="O1540" s="86"/>
      <c r="P1540" s="86"/>
      <c r="Q1540" s="86"/>
      <c r="R1540" s="86"/>
      <c r="S1540" s="86"/>
      <c r="T1540" s="86"/>
      <c r="U1540" s="86"/>
    </row>
    <row r="1541" spans="1:21">
      <c r="A1541" s="86"/>
      <c r="B1541" s="86"/>
      <c r="C1541" s="87"/>
      <c r="D1541" s="86"/>
      <c r="E1541" s="86"/>
      <c r="F1541" s="86"/>
      <c r="G1541" s="86"/>
      <c r="H1541" s="86"/>
      <c r="I1541" s="86"/>
      <c r="J1541" s="86"/>
      <c r="K1541" s="86"/>
      <c r="L1541" s="86"/>
      <c r="M1541" s="86"/>
      <c r="N1541" s="86"/>
      <c r="O1541" s="86"/>
      <c r="P1541" s="86"/>
      <c r="Q1541" s="86"/>
      <c r="R1541" s="86"/>
      <c r="S1541" s="86"/>
      <c r="T1541" s="86"/>
      <c r="U1541" s="86"/>
    </row>
    <row r="1542" spans="1:21">
      <c r="A1542" s="86"/>
      <c r="B1542" s="86"/>
      <c r="C1542" s="87"/>
      <c r="D1542" s="86"/>
      <c r="E1542" s="86"/>
      <c r="F1542" s="86"/>
      <c r="G1542" s="86"/>
      <c r="H1542" s="86"/>
      <c r="I1542" s="86"/>
      <c r="J1542" s="86"/>
      <c r="K1542" s="86"/>
      <c r="L1542" s="86"/>
      <c r="M1542" s="86"/>
      <c r="N1542" s="86"/>
      <c r="O1542" s="86"/>
      <c r="P1542" s="86"/>
      <c r="Q1542" s="86"/>
      <c r="R1542" s="86"/>
      <c r="S1542" s="86"/>
      <c r="T1542" s="86"/>
      <c r="U1542" s="86"/>
    </row>
    <row r="1543" spans="1:21">
      <c r="A1543" s="86"/>
      <c r="B1543" s="86"/>
      <c r="C1543" s="87"/>
      <c r="D1543" s="86"/>
      <c r="E1543" s="86"/>
      <c r="F1543" s="86"/>
      <c r="G1543" s="86"/>
      <c r="H1543" s="86"/>
      <c r="I1543" s="86"/>
      <c r="J1543" s="86"/>
      <c r="K1543" s="86"/>
      <c r="L1543" s="86"/>
      <c r="M1543" s="86"/>
      <c r="N1543" s="86"/>
      <c r="O1543" s="86"/>
      <c r="P1543" s="86"/>
      <c r="Q1543" s="86"/>
      <c r="R1543" s="86"/>
      <c r="S1543" s="86"/>
      <c r="T1543" s="86"/>
      <c r="U1543" s="86"/>
    </row>
    <row r="1544" spans="1:21">
      <c r="A1544" s="86"/>
      <c r="B1544" s="86"/>
      <c r="C1544" s="87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  <c r="S1544" s="86"/>
      <c r="T1544" s="86"/>
      <c r="U1544" s="86"/>
    </row>
    <row r="1545" spans="1:21">
      <c r="A1545" s="86"/>
      <c r="B1545" s="86"/>
      <c r="C1545" s="87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  <c r="S1545" s="86"/>
      <c r="T1545" s="86"/>
      <c r="U1545" s="86"/>
    </row>
    <row r="1546" spans="1:21">
      <c r="A1546" s="86"/>
      <c r="B1546" s="86"/>
      <c r="C1546" s="87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  <c r="S1546" s="86"/>
      <c r="T1546" s="86"/>
      <c r="U1546" s="86"/>
    </row>
    <row r="1547" spans="1:21">
      <c r="A1547" s="86"/>
      <c r="B1547" s="86"/>
      <c r="C1547" s="87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  <c r="S1547" s="86"/>
      <c r="T1547" s="86"/>
      <c r="U1547" s="86"/>
    </row>
    <row r="1548" spans="1:21">
      <c r="A1548" s="86"/>
      <c r="B1548" s="86"/>
      <c r="C1548" s="87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  <c r="S1548" s="86"/>
      <c r="T1548" s="86"/>
      <c r="U1548" s="86"/>
    </row>
    <row r="1549" spans="1:21">
      <c r="A1549" s="86"/>
      <c r="B1549" s="86"/>
      <c r="C1549" s="87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  <c r="S1549" s="86"/>
      <c r="T1549" s="86"/>
      <c r="U1549" s="86"/>
    </row>
    <row r="1550" spans="1:21">
      <c r="A1550" s="86"/>
      <c r="B1550" s="86"/>
      <c r="C1550" s="87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  <c r="S1550" s="86"/>
      <c r="T1550" s="86"/>
      <c r="U1550" s="86"/>
    </row>
    <row r="1551" spans="1:21">
      <c r="A1551" s="86"/>
      <c r="B1551" s="86"/>
      <c r="C1551" s="87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  <c r="S1551" s="86"/>
      <c r="T1551" s="86"/>
      <c r="U1551" s="86"/>
    </row>
    <row r="1552" spans="1:21">
      <c r="A1552" s="86"/>
      <c r="B1552" s="86"/>
      <c r="C1552" s="87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  <c r="S1552" s="86"/>
      <c r="T1552" s="86"/>
      <c r="U1552" s="86"/>
    </row>
    <row r="1553" spans="1:21">
      <c r="A1553" s="86"/>
      <c r="B1553" s="86"/>
      <c r="C1553" s="87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  <c r="S1553" s="86"/>
      <c r="T1553" s="86"/>
      <c r="U1553" s="86"/>
    </row>
    <row r="1554" spans="1:21">
      <c r="A1554" s="86"/>
      <c r="B1554" s="86"/>
      <c r="C1554" s="87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  <c r="S1554" s="86"/>
      <c r="T1554" s="86"/>
      <c r="U1554" s="86"/>
    </row>
    <row r="1555" spans="1:21">
      <c r="A1555" s="86"/>
      <c r="B1555" s="86"/>
      <c r="C1555" s="87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  <c r="S1555" s="86"/>
      <c r="T1555" s="86"/>
      <c r="U1555" s="86"/>
    </row>
    <row r="1556" spans="1:21">
      <c r="A1556" s="86"/>
      <c r="B1556" s="86"/>
      <c r="C1556" s="87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  <c r="S1556" s="86"/>
      <c r="T1556" s="86"/>
      <c r="U1556" s="86"/>
    </row>
    <row r="1557" spans="1:21">
      <c r="A1557" s="86"/>
      <c r="B1557" s="86"/>
      <c r="C1557" s="87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  <c r="S1557" s="86"/>
      <c r="T1557" s="86"/>
      <c r="U1557" s="86"/>
    </row>
    <row r="1558" spans="1:21">
      <c r="A1558" s="86"/>
      <c r="B1558" s="86"/>
      <c r="C1558" s="87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  <c r="S1558" s="86"/>
      <c r="T1558" s="86"/>
      <c r="U1558" s="86"/>
    </row>
    <row r="1559" spans="1:21">
      <c r="A1559" s="86"/>
      <c r="B1559" s="86"/>
      <c r="C1559" s="87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  <c r="S1559" s="86"/>
      <c r="T1559" s="86"/>
      <c r="U1559" s="86"/>
    </row>
    <row r="1560" spans="1:21">
      <c r="A1560" s="86"/>
      <c r="B1560" s="86"/>
      <c r="C1560" s="87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  <c r="S1560" s="86"/>
      <c r="T1560" s="86"/>
      <c r="U1560" s="86"/>
    </row>
    <row r="1561" spans="1:21">
      <c r="A1561" s="86"/>
      <c r="B1561" s="86"/>
      <c r="C1561" s="87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  <c r="S1561" s="86"/>
      <c r="T1561" s="86"/>
      <c r="U1561" s="86"/>
    </row>
    <row r="1562" spans="1:21">
      <c r="A1562" s="86"/>
      <c r="B1562" s="86"/>
      <c r="C1562" s="87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  <c r="S1562" s="86"/>
      <c r="T1562" s="86"/>
      <c r="U1562" s="86"/>
    </row>
    <row r="1563" spans="1:21">
      <c r="A1563" s="86"/>
      <c r="B1563" s="86"/>
      <c r="C1563" s="87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  <c r="S1563" s="86"/>
      <c r="T1563" s="86"/>
      <c r="U1563" s="86"/>
    </row>
    <row r="1564" spans="1:21">
      <c r="A1564" s="86"/>
      <c r="B1564" s="86"/>
      <c r="C1564" s="87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  <c r="S1564" s="86"/>
      <c r="T1564" s="86"/>
      <c r="U1564" s="86"/>
    </row>
    <row r="1565" spans="1:21">
      <c r="A1565" s="86"/>
      <c r="B1565" s="86"/>
      <c r="C1565" s="87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  <c r="S1565" s="86"/>
      <c r="T1565" s="86"/>
      <c r="U1565" s="86"/>
    </row>
    <row r="1566" spans="1:21">
      <c r="A1566" s="86"/>
      <c r="B1566" s="86"/>
      <c r="C1566" s="87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  <c r="S1566" s="86"/>
      <c r="T1566" s="86"/>
      <c r="U1566" s="86"/>
    </row>
    <row r="1567" spans="1:21">
      <c r="A1567" s="86"/>
      <c r="B1567" s="86"/>
      <c r="C1567" s="87"/>
      <c r="D1567" s="86"/>
      <c r="E1567" s="86"/>
      <c r="F1567" s="86"/>
      <c r="G1567" s="86"/>
      <c r="H1567" s="86"/>
      <c r="I1567" s="86"/>
      <c r="J1567" s="86"/>
      <c r="K1567" s="86"/>
      <c r="L1567" s="86"/>
      <c r="M1567" s="86"/>
      <c r="N1567" s="86"/>
      <c r="O1567" s="86"/>
      <c r="P1567" s="86"/>
      <c r="Q1567" s="86"/>
      <c r="R1567" s="86"/>
      <c r="S1567" s="86"/>
      <c r="T1567" s="86"/>
      <c r="U1567" s="86"/>
    </row>
    <row r="1568" spans="1:21">
      <c r="A1568" s="86"/>
      <c r="B1568" s="86"/>
      <c r="C1568" s="87"/>
      <c r="D1568" s="86"/>
      <c r="E1568" s="86"/>
      <c r="F1568" s="86"/>
      <c r="G1568" s="86"/>
      <c r="H1568" s="86"/>
      <c r="I1568" s="86"/>
      <c r="J1568" s="86"/>
      <c r="K1568" s="86"/>
      <c r="L1568" s="86"/>
      <c r="M1568" s="86"/>
      <c r="N1568" s="86"/>
      <c r="O1568" s="86"/>
      <c r="P1568" s="86"/>
      <c r="Q1568" s="86"/>
      <c r="R1568" s="86"/>
      <c r="S1568" s="86"/>
      <c r="T1568" s="86"/>
      <c r="U1568" s="86"/>
    </row>
    <row r="1569" spans="1:21">
      <c r="A1569" s="86"/>
      <c r="B1569" s="86"/>
      <c r="C1569" s="87"/>
      <c r="D1569" s="86"/>
      <c r="E1569" s="86"/>
      <c r="F1569" s="86"/>
      <c r="G1569" s="86"/>
      <c r="H1569" s="86"/>
      <c r="I1569" s="86"/>
      <c r="J1569" s="86"/>
      <c r="K1569" s="86"/>
      <c r="L1569" s="86"/>
      <c r="M1569" s="86"/>
      <c r="N1569" s="86"/>
      <c r="O1569" s="86"/>
      <c r="P1569" s="86"/>
      <c r="Q1569" s="86"/>
      <c r="R1569" s="86"/>
      <c r="S1569" s="86"/>
      <c r="T1569" s="86"/>
      <c r="U1569" s="86"/>
    </row>
    <row r="1570" spans="1:21">
      <c r="A1570" s="86"/>
      <c r="B1570" s="86"/>
      <c r="C1570" s="87"/>
      <c r="D1570" s="86"/>
      <c r="E1570" s="86"/>
      <c r="F1570" s="86"/>
      <c r="G1570" s="86"/>
      <c r="H1570" s="86"/>
      <c r="I1570" s="86"/>
      <c r="J1570" s="86"/>
      <c r="K1570" s="86"/>
      <c r="L1570" s="86"/>
      <c r="M1570" s="86"/>
      <c r="N1570" s="86"/>
      <c r="O1570" s="86"/>
      <c r="P1570" s="86"/>
      <c r="Q1570" s="86"/>
      <c r="R1570" s="86"/>
      <c r="S1570" s="86"/>
      <c r="T1570" s="86"/>
      <c r="U1570" s="86"/>
    </row>
    <row r="1571" spans="1:21">
      <c r="A1571" s="86"/>
      <c r="B1571" s="86"/>
      <c r="C1571" s="87"/>
      <c r="D1571" s="86"/>
      <c r="E1571" s="86"/>
      <c r="F1571" s="86"/>
      <c r="G1571" s="86"/>
      <c r="H1571" s="86"/>
      <c r="I1571" s="86"/>
      <c r="J1571" s="86"/>
      <c r="K1571" s="86"/>
      <c r="L1571" s="86"/>
      <c r="M1571" s="86"/>
      <c r="N1571" s="86"/>
      <c r="O1571" s="86"/>
      <c r="P1571" s="86"/>
      <c r="Q1571" s="86"/>
      <c r="R1571" s="86"/>
      <c r="S1571" s="86"/>
      <c r="T1571" s="86"/>
      <c r="U1571" s="86"/>
    </row>
    <row r="1572" spans="1:21">
      <c r="A1572" s="86"/>
      <c r="B1572" s="86"/>
      <c r="C1572" s="87"/>
      <c r="D1572" s="86"/>
      <c r="E1572" s="86"/>
      <c r="F1572" s="86"/>
      <c r="G1572" s="86"/>
      <c r="H1572" s="86"/>
      <c r="I1572" s="86"/>
      <c r="J1572" s="86"/>
      <c r="K1572" s="86"/>
      <c r="L1572" s="86"/>
      <c r="M1572" s="86"/>
      <c r="N1572" s="86"/>
      <c r="O1572" s="86"/>
      <c r="P1572" s="86"/>
      <c r="Q1572" s="86"/>
      <c r="R1572" s="86"/>
      <c r="S1572" s="86"/>
      <c r="T1572" s="86"/>
      <c r="U1572" s="86"/>
    </row>
    <row r="1573" spans="1:21">
      <c r="A1573" s="86"/>
      <c r="B1573" s="86"/>
      <c r="C1573" s="87"/>
      <c r="D1573" s="86"/>
      <c r="E1573" s="86"/>
      <c r="F1573" s="86"/>
      <c r="G1573" s="86"/>
      <c r="H1573" s="86"/>
      <c r="I1573" s="86"/>
      <c r="J1573" s="86"/>
      <c r="K1573" s="86"/>
      <c r="L1573" s="86"/>
      <c r="M1573" s="86"/>
      <c r="N1573" s="86"/>
      <c r="O1573" s="86"/>
      <c r="P1573" s="86"/>
      <c r="Q1573" s="86"/>
      <c r="R1573" s="86"/>
      <c r="S1573" s="86"/>
      <c r="T1573" s="86"/>
      <c r="U1573" s="86"/>
    </row>
    <row r="1574" spans="1:21">
      <c r="A1574" s="86"/>
      <c r="B1574" s="86"/>
      <c r="C1574" s="87"/>
      <c r="D1574" s="86"/>
      <c r="E1574" s="86"/>
      <c r="F1574" s="86"/>
      <c r="G1574" s="86"/>
      <c r="H1574" s="86"/>
      <c r="I1574" s="86"/>
      <c r="J1574" s="86"/>
      <c r="K1574" s="86"/>
      <c r="L1574" s="86"/>
      <c r="M1574" s="86"/>
      <c r="N1574" s="86"/>
      <c r="O1574" s="86"/>
      <c r="P1574" s="86"/>
      <c r="Q1574" s="86"/>
      <c r="R1574" s="86"/>
      <c r="S1574" s="86"/>
      <c r="T1574" s="86"/>
      <c r="U1574" s="86"/>
    </row>
    <row r="1575" spans="1:21">
      <c r="A1575" s="86"/>
      <c r="B1575" s="86"/>
      <c r="C1575" s="87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  <c r="S1575" s="86"/>
      <c r="T1575" s="86"/>
      <c r="U1575" s="86"/>
    </row>
    <row r="1576" spans="1:21">
      <c r="A1576" s="86"/>
      <c r="B1576" s="86"/>
      <c r="C1576" s="87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  <c r="S1576" s="86"/>
      <c r="T1576" s="86"/>
      <c r="U1576" s="86"/>
    </row>
    <row r="1577" spans="1:21">
      <c r="A1577" s="86"/>
      <c r="B1577" s="86"/>
      <c r="C1577" s="87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  <c r="S1577" s="86"/>
      <c r="T1577" s="86"/>
      <c r="U1577" s="86"/>
    </row>
    <row r="1578" spans="1:21">
      <c r="A1578" s="86"/>
      <c r="B1578" s="86"/>
      <c r="C1578" s="87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  <c r="S1578" s="86"/>
      <c r="T1578" s="86"/>
      <c r="U1578" s="86"/>
    </row>
    <row r="1579" spans="1:21">
      <c r="A1579" s="86"/>
      <c r="B1579" s="86"/>
      <c r="C1579" s="87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  <c r="S1579" s="86"/>
      <c r="T1579" s="86"/>
      <c r="U1579" s="86"/>
    </row>
    <row r="1580" spans="1:21">
      <c r="A1580" s="86"/>
      <c r="B1580" s="86"/>
      <c r="C1580" s="87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  <c r="S1580" s="86"/>
      <c r="T1580" s="86"/>
      <c r="U1580" s="86"/>
    </row>
    <row r="1581" spans="1:21">
      <c r="A1581" s="86"/>
      <c r="B1581" s="86"/>
      <c r="C1581" s="87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  <c r="S1581" s="86"/>
      <c r="T1581" s="86"/>
      <c r="U1581" s="86"/>
    </row>
    <row r="1582" spans="1:21">
      <c r="A1582" s="86"/>
      <c r="B1582" s="86"/>
      <c r="C1582" s="87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  <c r="S1582" s="86"/>
      <c r="T1582" s="86"/>
      <c r="U1582" s="86"/>
    </row>
    <row r="1583" spans="1:21">
      <c r="A1583" s="86"/>
      <c r="B1583" s="86"/>
      <c r="C1583" s="87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  <c r="S1583" s="86"/>
      <c r="T1583" s="86"/>
      <c r="U1583" s="86"/>
    </row>
    <row r="1584" spans="1:21">
      <c r="A1584" s="86"/>
      <c r="B1584" s="86"/>
      <c r="C1584" s="87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  <c r="S1584" s="86"/>
      <c r="T1584" s="86"/>
      <c r="U1584" s="86"/>
    </row>
    <row r="1585" spans="1:21">
      <c r="A1585" s="86"/>
      <c r="B1585" s="86"/>
      <c r="C1585" s="87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  <c r="S1585" s="86"/>
      <c r="T1585" s="86"/>
      <c r="U1585" s="86"/>
    </row>
    <row r="1586" spans="1:21">
      <c r="A1586" s="86"/>
      <c r="B1586" s="86"/>
      <c r="C1586" s="87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  <c r="S1586" s="86"/>
      <c r="T1586" s="86"/>
      <c r="U1586" s="86"/>
    </row>
    <row r="1587" spans="1:21">
      <c r="A1587" s="86"/>
      <c r="B1587" s="86"/>
      <c r="C1587" s="87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  <c r="R1587" s="86"/>
      <c r="S1587" s="86"/>
      <c r="T1587" s="86"/>
      <c r="U1587" s="86"/>
    </row>
    <row r="1588" spans="1:21">
      <c r="A1588" s="86"/>
      <c r="B1588" s="86"/>
      <c r="C1588" s="87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  <c r="R1588" s="86"/>
      <c r="S1588" s="86"/>
      <c r="T1588" s="86"/>
      <c r="U1588" s="86"/>
    </row>
    <row r="1589" spans="1:21">
      <c r="A1589" s="86"/>
      <c r="B1589" s="86"/>
      <c r="C1589" s="87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  <c r="R1589" s="86"/>
      <c r="S1589" s="86"/>
      <c r="T1589" s="86"/>
      <c r="U1589" s="86"/>
    </row>
    <row r="1590" spans="1:21">
      <c r="A1590" s="86"/>
      <c r="B1590" s="86"/>
      <c r="C1590" s="87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  <c r="S1590" s="86"/>
      <c r="T1590" s="86"/>
      <c r="U1590" s="86"/>
    </row>
    <row r="1591" spans="1:21">
      <c r="A1591" s="86"/>
      <c r="B1591" s="86"/>
      <c r="C1591" s="87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  <c r="S1591" s="86"/>
      <c r="T1591" s="86"/>
      <c r="U1591" s="86"/>
    </row>
    <row r="1592" spans="1:21">
      <c r="A1592" s="86"/>
      <c r="B1592" s="86"/>
      <c r="C1592" s="87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  <c r="S1592" s="86"/>
      <c r="T1592" s="86"/>
      <c r="U1592" s="86"/>
    </row>
    <row r="1593" spans="1:21">
      <c r="A1593" s="86"/>
      <c r="B1593" s="86"/>
      <c r="C1593" s="87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  <c r="S1593" s="86"/>
      <c r="T1593" s="86"/>
      <c r="U1593" s="86"/>
    </row>
    <row r="1594" spans="1:21">
      <c r="A1594" s="86"/>
      <c r="B1594" s="86"/>
      <c r="C1594" s="87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  <c r="S1594" s="86"/>
      <c r="T1594" s="86"/>
      <c r="U1594" s="86"/>
    </row>
    <row r="1595" spans="1:21">
      <c r="A1595" s="86"/>
      <c r="B1595" s="86"/>
      <c r="C1595" s="87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  <c r="S1595" s="86"/>
      <c r="T1595" s="86"/>
      <c r="U1595" s="86"/>
    </row>
    <row r="1596" spans="1:21">
      <c r="A1596" s="86"/>
      <c r="B1596" s="86"/>
      <c r="C1596" s="87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  <c r="S1596" s="86"/>
      <c r="T1596" s="86"/>
      <c r="U1596" s="86"/>
    </row>
    <row r="1597" spans="1:21">
      <c r="A1597" s="86"/>
      <c r="B1597" s="86"/>
      <c r="C1597" s="87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  <c r="S1597" s="86"/>
      <c r="T1597" s="86"/>
      <c r="U1597" s="86"/>
    </row>
    <row r="1598" spans="1:21">
      <c r="A1598" s="86"/>
      <c r="B1598" s="86"/>
      <c r="C1598" s="87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  <c r="S1598" s="86"/>
      <c r="T1598" s="86"/>
      <c r="U1598" s="86"/>
    </row>
    <row r="1599" spans="1:21">
      <c r="A1599" s="86"/>
      <c r="B1599" s="86"/>
      <c r="C1599" s="87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  <c r="S1599" s="86"/>
      <c r="T1599" s="86"/>
      <c r="U1599" s="86"/>
    </row>
    <row r="1600" spans="1:21">
      <c r="A1600" s="86"/>
      <c r="B1600" s="86"/>
      <c r="C1600" s="87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  <c r="S1600" s="86"/>
      <c r="T1600" s="86"/>
      <c r="U1600" s="86"/>
    </row>
    <row r="1601" spans="1:21">
      <c r="A1601" s="86"/>
      <c r="B1601" s="86"/>
      <c r="C1601" s="87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  <c r="S1601" s="86"/>
      <c r="T1601" s="86"/>
      <c r="U1601" s="86"/>
    </row>
    <row r="1602" spans="1:21">
      <c r="A1602" s="86"/>
      <c r="B1602" s="86"/>
      <c r="C1602" s="87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  <c r="S1602" s="86"/>
      <c r="T1602" s="86"/>
      <c r="U1602" s="86"/>
    </row>
    <row r="1603" spans="1:21">
      <c r="A1603" s="86"/>
      <c r="B1603" s="86"/>
      <c r="C1603" s="87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  <c r="S1603" s="86"/>
      <c r="T1603" s="86"/>
      <c r="U1603" s="86"/>
    </row>
    <row r="1604" spans="1:21">
      <c r="A1604" s="86"/>
      <c r="B1604" s="86"/>
      <c r="C1604" s="87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  <c r="S1604" s="86"/>
      <c r="T1604" s="86"/>
      <c r="U1604" s="86"/>
    </row>
    <row r="1605" spans="1:21">
      <c r="A1605" s="86"/>
      <c r="B1605" s="86"/>
      <c r="C1605" s="87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  <c r="S1605" s="86"/>
      <c r="T1605" s="86"/>
      <c r="U1605" s="86"/>
    </row>
    <row r="1606" spans="1:21">
      <c r="A1606" s="86"/>
      <c r="B1606" s="86"/>
      <c r="C1606" s="87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  <c r="S1606" s="86"/>
      <c r="T1606" s="86"/>
      <c r="U1606" s="86"/>
    </row>
    <row r="1607" spans="1:21">
      <c r="A1607" s="86"/>
      <c r="B1607" s="86"/>
      <c r="C1607" s="87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  <c r="S1607" s="86"/>
      <c r="T1607" s="86"/>
      <c r="U1607" s="86"/>
    </row>
    <row r="1608" spans="1:21">
      <c r="A1608" s="86"/>
      <c r="B1608" s="86"/>
      <c r="C1608" s="87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  <c r="S1608" s="86"/>
      <c r="T1608" s="86"/>
      <c r="U1608" s="86"/>
    </row>
    <row r="1609" spans="1:21">
      <c r="A1609" s="86"/>
      <c r="B1609" s="86"/>
      <c r="C1609" s="87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  <c r="S1609" s="86"/>
      <c r="T1609" s="86"/>
      <c r="U1609" s="86"/>
    </row>
    <row r="1610" spans="1:21">
      <c r="A1610" s="86"/>
      <c r="B1610" s="86"/>
      <c r="C1610" s="87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  <c r="S1610" s="86"/>
      <c r="T1610" s="86"/>
      <c r="U1610" s="86"/>
    </row>
    <row r="1611" spans="1:21">
      <c r="A1611" s="86"/>
      <c r="B1611" s="86"/>
      <c r="C1611" s="87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  <c r="S1611" s="86"/>
      <c r="T1611" s="86"/>
      <c r="U1611" s="86"/>
    </row>
    <row r="1612" spans="1:21">
      <c r="A1612" s="86"/>
      <c r="B1612" s="86"/>
      <c r="C1612" s="87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  <c r="S1612" s="86"/>
      <c r="T1612" s="86"/>
      <c r="U1612" s="86"/>
    </row>
    <row r="1613" spans="1:21">
      <c r="A1613" s="86"/>
      <c r="B1613" s="86"/>
      <c r="C1613" s="87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  <c r="R1613" s="86"/>
      <c r="S1613" s="86"/>
      <c r="T1613" s="86"/>
      <c r="U1613" s="86"/>
    </row>
    <row r="1614" spans="1:21">
      <c r="A1614" s="86"/>
      <c r="B1614" s="86"/>
      <c r="C1614" s="87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  <c r="R1614" s="86"/>
      <c r="S1614" s="86"/>
      <c r="T1614" s="86"/>
      <c r="U1614" s="86"/>
    </row>
    <row r="1615" spans="1:21">
      <c r="A1615" s="86"/>
      <c r="B1615" s="86"/>
      <c r="C1615" s="87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  <c r="R1615" s="86"/>
      <c r="S1615" s="86"/>
      <c r="T1615" s="86"/>
      <c r="U1615" s="86"/>
    </row>
    <row r="1616" spans="1:21">
      <c r="A1616" s="86"/>
      <c r="B1616" s="86"/>
      <c r="C1616" s="87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  <c r="R1616" s="86"/>
      <c r="S1616" s="86"/>
      <c r="T1616" s="86"/>
      <c r="U1616" s="86"/>
    </row>
    <row r="1617" spans="1:21">
      <c r="A1617" s="86"/>
      <c r="B1617" s="86"/>
      <c r="C1617" s="87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  <c r="R1617" s="86"/>
      <c r="S1617" s="86"/>
      <c r="T1617" s="86"/>
      <c r="U1617" s="86"/>
    </row>
    <row r="1618" spans="1:21">
      <c r="A1618" s="86"/>
      <c r="B1618" s="86"/>
      <c r="C1618" s="87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  <c r="R1618" s="86"/>
      <c r="S1618" s="86"/>
      <c r="T1618" s="86"/>
      <c r="U1618" s="86"/>
    </row>
    <row r="1619" spans="1:21">
      <c r="A1619" s="86"/>
      <c r="B1619" s="86"/>
      <c r="C1619" s="87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  <c r="R1619" s="86"/>
      <c r="S1619" s="86"/>
      <c r="T1619" s="86"/>
      <c r="U1619" s="86"/>
    </row>
    <row r="1620" spans="1:21">
      <c r="A1620" s="86"/>
      <c r="B1620" s="86"/>
      <c r="C1620" s="87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  <c r="R1620" s="86"/>
      <c r="S1620" s="86"/>
      <c r="T1620" s="86"/>
      <c r="U1620" s="86"/>
    </row>
    <row r="1621" spans="1:21">
      <c r="A1621" s="86"/>
      <c r="B1621" s="86"/>
      <c r="C1621" s="87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  <c r="R1621" s="86"/>
      <c r="S1621" s="86"/>
      <c r="T1621" s="86"/>
      <c r="U1621" s="86"/>
    </row>
    <row r="1622" spans="1:21">
      <c r="A1622" s="86"/>
      <c r="B1622" s="86"/>
      <c r="C1622" s="87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  <c r="R1622" s="86"/>
      <c r="S1622" s="86"/>
      <c r="T1622" s="86"/>
      <c r="U1622" s="86"/>
    </row>
    <row r="1623" spans="1:21">
      <c r="A1623" s="86"/>
      <c r="B1623" s="86"/>
      <c r="C1623" s="87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  <c r="S1623" s="86"/>
      <c r="T1623" s="86"/>
      <c r="U1623" s="86"/>
    </row>
    <row r="1624" spans="1:21">
      <c r="A1624" s="86"/>
      <c r="B1624" s="86"/>
      <c r="C1624" s="87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  <c r="S1624" s="86"/>
      <c r="T1624" s="86"/>
      <c r="U1624" s="86"/>
    </row>
    <row r="1625" spans="1:21">
      <c r="A1625" s="86"/>
      <c r="B1625" s="86"/>
      <c r="C1625" s="87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  <c r="S1625" s="86"/>
      <c r="T1625" s="86"/>
      <c r="U1625" s="86"/>
    </row>
    <row r="1626" spans="1:21">
      <c r="A1626" s="86"/>
      <c r="B1626" s="86"/>
      <c r="C1626" s="87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  <c r="S1626" s="86"/>
      <c r="T1626" s="86"/>
      <c r="U1626" s="86"/>
    </row>
    <row r="1627" spans="1:21">
      <c r="A1627" s="86"/>
      <c r="B1627" s="86"/>
      <c r="C1627" s="87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  <c r="S1627" s="86"/>
      <c r="T1627" s="86"/>
      <c r="U1627" s="86"/>
    </row>
    <row r="1628" spans="1:21">
      <c r="A1628" s="86"/>
      <c r="B1628" s="86"/>
      <c r="C1628" s="87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  <c r="S1628" s="86"/>
      <c r="T1628" s="86"/>
      <c r="U1628" s="86"/>
    </row>
    <row r="1629" spans="1:21">
      <c r="A1629" s="86"/>
      <c r="B1629" s="86"/>
      <c r="C1629" s="87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  <c r="S1629" s="86"/>
      <c r="T1629" s="86"/>
      <c r="U1629" s="86"/>
    </row>
    <row r="1630" spans="1:21">
      <c r="A1630" s="86"/>
      <c r="B1630" s="86"/>
      <c r="C1630" s="87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  <c r="S1630" s="86"/>
      <c r="T1630" s="86"/>
      <c r="U1630" s="86"/>
    </row>
    <row r="1631" spans="1:21">
      <c r="A1631" s="86"/>
      <c r="B1631" s="86"/>
      <c r="C1631" s="87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  <c r="S1631" s="86"/>
      <c r="T1631" s="86"/>
      <c r="U1631" s="86"/>
    </row>
    <row r="1632" spans="1:21">
      <c r="A1632" s="86"/>
      <c r="B1632" s="86"/>
      <c r="C1632" s="87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  <c r="S1632" s="86"/>
      <c r="T1632" s="86"/>
      <c r="U1632" s="86"/>
    </row>
    <row r="1633" spans="1:21">
      <c r="A1633" s="86"/>
      <c r="B1633" s="86"/>
      <c r="C1633" s="87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  <c r="S1633" s="86"/>
      <c r="T1633" s="86"/>
      <c r="U1633" s="86"/>
    </row>
    <row r="1634" spans="1:21">
      <c r="A1634" s="86"/>
      <c r="B1634" s="86"/>
      <c r="C1634" s="87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  <c r="S1634" s="86"/>
      <c r="T1634" s="86"/>
      <c r="U1634" s="86"/>
    </row>
    <row r="1635" spans="1:21">
      <c r="A1635" s="86"/>
      <c r="B1635" s="86"/>
      <c r="C1635" s="87"/>
      <c r="D1635" s="86"/>
      <c r="E1635" s="86"/>
      <c r="F1635" s="86"/>
      <c r="G1635" s="86"/>
      <c r="H1635" s="86"/>
      <c r="I1635" s="86"/>
      <c r="J1635" s="86"/>
      <c r="K1635" s="86"/>
      <c r="L1635" s="86"/>
      <c r="M1635" s="86"/>
      <c r="N1635" s="86"/>
      <c r="O1635" s="86"/>
      <c r="P1635" s="86"/>
      <c r="Q1635" s="86"/>
      <c r="R1635" s="86"/>
      <c r="S1635" s="86"/>
      <c r="T1635" s="86"/>
      <c r="U1635" s="86"/>
    </row>
    <row r="1636" spans="1:21">
      <c r="A1636" s="86"/>
      <c r="B1636" s="86"/>
      <c r="C1636" s="87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  <c r="S1636" s="86"/>
      <c r="T1636" s="86"/>
      <c r="U1636" s="86"/>
    </row>
    <row r="1637" spans="1:21">
      <c r="A1637" s="86"/>
      <c r="B1637" s="86"/>
      <c r="C1637" s="87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  <c r="S1637" s="86"/>
      <c r="T1637" s="86"/>
      <c r="U1637" s="86"/>
    </row>
    <row r="1638" spans="1:21">
      <c r="A1638" s="86"/>
      <c r="B1638" s="86"/>
      <c r="C1638" s="87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  <c r="S1638" s="86"/>
      <c r="T1638" s="86"/>
      <c r="U1638" s="86"/>
    </row>
    <row r="1639" spans="1:21">
      <c r="A1639" s="86"/>
      <c r="B1639" s="86"/>
      <c r="C1639" s="87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  <c r="S1639" s="86"/>
      <c r="T1639" s="86"/>
      <c r="U1639" s="86"/>
    </row>
    <row r="1640" spans="1:21">
      <c r="A1640" s="86"/>
      <c r="B1640" s="86"/>
      <c r="C1640" s="87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  <c r="S1640" s="86"/>
      <c r="T1640" s="86"/>
      <c r="U1640" s="86"/>
    </row>
    <row r="1641" spans="1:21">
      <c r="A1641" s="86"/>
      <c r="B1641" s="86"/>
      <c r="C1641" s="87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  <c r="S1641" s="86"/>
      <c r="T1641" s="86"/>
      <c r="U1641" s="86"/>
    </row>
    <row r="1642" spans="1:21">
      <c r="A1642" s="86"/>
      <c r="B1642" s="86"/>
      <c r="C1642" s="87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  <c r="S1642" s="86"/>
      <c r="T1642" s="86"/>
      <c r="U1642" s="86"/>
    </row>
    <row r="1643" spans="1:21">
      <c r="A1643" s="86"/>
      <c r="B1643" s="86"/>
      <c r="C1643" s="87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  <c r="S1643" s="86"/>
      <c r="T1643" s="86"/>
      <c r="U1643" s="86"/>
    </row>
    <row r="1644" spans="1:21">
      <c r="A1644" s="86"/>
      <c r="B1644" s="86"/>
      <c r="C1644" s="87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  <c r="S1644" s="86"/>
      <c r="T1644" s="86"/>
      <c r="U1644" s="86"/>
    </row>
    <row r="1645" spans="1:21">
      <c r="A1645" s="86"/>
      <c r="B1645" s="86"/>
      <c r="C1645" s="87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  <c r="S1645" s="86"/>
      <c r="T1645" s="86"/>
      <c r="U1645" s="86"/>
    </row>
    <row r="1646" spans="1:21">
      <c r="A1646" s="86"/>
      <c r="B1646" s="86"/>
      <c r="C1646" s="87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  <c r="S1646" s="86"/>
      <c r="T1646" s="86"/>
      <c r="U1646" s="86"/>
    </row>
    <row r="1647" spans="1:21">
      <c r="A1647" s="86"/>
      <c r="B1647" s="86"/>
      <c r="C1647" s="87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  <c r="S1647" s="86"/>
      <c r="T1647" s="86"/>
      <c r="U1647" s="86"/>
    </row>
    <row r="1648" spans="1:21">
      <c r="A1648" s="86"/>
      <c r="B1648" s="86"/>
      <c r="C1648" s="87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  <c r="S1648" s="86"/>
      <c r="T1648" s="86"/>
      <c r="U1648" s="86"/>
    </row>
    <row r="1649" spans="1:21">
      <c r="A1649" s="86"/>
      <c r="B1649" s="86"/>
      <c r="C1649" s="87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  <c r="S1649" s="86"/>
      <c r="T1649" s="86"/>
      <c r="U1649" s="86"/>
    </row>
    <row r="1650" spans="1:21">
      <c r="A1650" s="86"/>
      <c r="B1650" s="86"/>
      <c r="C1650" s="87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  <c r="S1650" s="86"/>
      <c r="T1650" s="86"/>
      <c r="U1650" s="86"/>
    </row>
    <row r="1651" spans="1:21">
      <c r="A1651" s="86"/>
      <c r="B1651" s="86"/>
      <c r="C1651" s="87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  <c r="S1651" s="86"/>
      <c r="T1651" s="86"/>
      <c r="U1651" s="86"/>
    </row>
    <row r="1652" spans="1:21">
      <c r="A1652" s="86"/>
      <c r="B1652" s="86"/>
      <c r="C1652" s="87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  <c r="S1652" s="86"/>
      <c r="T1652" s="86"/>
      <c r="U1652" s="86"/>
    </row>
    <row r="1653" spans="1:21">
      <c r="A1653" s="86"/>
      <c r="B1653" s="86"/>
      <c r="C1653" s="87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  <c r="S1653" s="86"/>
      <c r="T1653" s="86"/>
      <c r="U1653" s="86"/>
    </row>
    <row r="1654" spans="1:21">
      <c r="A1654" s="86"/>
      <c r="B1654" s="86"/>
      <c r="C1654" s="87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  <c r="S1654" s="86"/>
      <c r="T1654" s="86"/>
      <c r="U1654" s="86"/>
    </row>
    <row r="1655" spans="1:21">
      <c r="A1655" s="86"/>
      <c r="B1655" s="86"/>
      <c r="C1655" s="87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  <c r="S1655" s="86"/>
      <c r="T1655" s="86"/>
      <c r="U1655" s="86"/>
    </row>
    <row r="1656" spans="1:21">
      <c r="A1656" s="86"/>
      <c r="B1656" s="86"/>
      <c r="C1656" s="87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  <c r="S1656" s="86"/>
      <c r="T1656" s="86"/>
      <c r="U1656" s="86"/>
    </row>
    <row r="1657" spans="1:21">
      <c r="A1657" s="86"/>
      <c r="B1657" s="86"/>
      <c r="C1657" s="87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  <c r="S1657" s="86"/>
      <c r="T1657" s="86"/>
      <c r="U1657" s="86"/>
    </row>
    <row r="1658" spans="1:21">
      <c r="A1658" s="86"/>
      <c r="B1658" s="86"/>
      <c r="C1658" s="87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  <c r="S1658" s="86"/>
      <c r="T1658" s="86"/>
      <c r="U1658" s="86"/>
    </row>
    <row r="1659" spans="1:21">
      <c r="A1659" s="86"/>
      <c r="B1659" s="86"/>
      <c r="C1659" s="87"/>
      <c r="D1659" s="86"/>
      <c r="E1659" s="86"/>
      <c r="F1659" s="86"/>
      <c r="G1659" s="86"/>
      <c r="H1659" s="86"/>
      <c r="I1659" s="86"/>
      <c r="J1659" s="86"/>
      <c r="K1659" s="86"/>
      <c r="L1659" s="86"/>
      <c r="M1659" s="86"/>
      <c r="N1659" s="86"/>
      <c r="O1659" s="86"/>
      <c r="P1659" s="86"/>
      <c r="Q1659" s="86"/>
      <c r="R1659" s="86"/>
      <c r="S1659" s="86"/>
      <c r="T1659" s="86"/>
      <c r="U1659" s="86"/>
    </row>
    <row r="1660" spans="1:21">
      <c r="A1660" s="86"/>
      <c r="B1660" s="86"/>
      <c r="C1660" s="87"/>
      <c r="D1660" s="86"/>
      <c r="E1660" s="86"/>
      <c r="F1660" s="86"/>
      <c r="G1660" s="86"/>
      <c r="H1660" s="86"/>
      <c r="I1660" s="86"/>
      <c r="J1660" s="86"/>
      <c r="K1660" s="86"/>
      <c r="L1660" s="86"/>
      <c r="M1660" s="86"/>
      <c r="N1660" s="86"/>
      <c r="O1660" s="86"/>
      <c r="P1660" s="86"/>
      <c r="Q1660" s="86"/>
      <c r="R1660" s="86"/>
      <c r="S1660" s="86"/>
      <c r="T1660" s="86"/>
      <c r="U1660" s="86"/>
    </row>
    <row r="1661" spans="1:21">
      <c r="A1661" s="86"/>
      <c r="B1661" s="86"/>
      <c r="C1661" s="87"/>
      <c r="D1661" s="86"/>
      <c r="E1661" s="86"/>
      <c r="F1661" s="86"/>
      <c r="G1661" s="86"/>
      <c r="H1661" s="86"/>
      <c r="I1661" s="86"/>
      <c r="J1661" s="86"/>
      <c r="K1661" s="86"/>
      <c r="L1661" s="86"/>
      <c r="M1661" s="86"/>
      <c r="N1661" s="86"/>
      <c r="O1661" s="86"/>
      <c r="P1661" s="86"/>
      <c r="Q1661" s="86"/>
      <c r="R1661" s="86"/>
      <c r="S1661" s="86"/>
      <c r="T1661" s="86"/>
      <c r="U1661" s="86"/>
    </row>
    <row r="1662" spans="1:21">
      <c r="A1662" s="86"/>
      <c r="B1662" s="86"/>
      <c r="C1662" s="87"/>
      <c r="D1662" s="86"/>
      <c r="E1662" s="86"/>
      <c r="F1662" s="86"/>
      <c r="G1662" s="86"/>
      <c r="H1662" s="86"/>
      <c r="I1662" s="86"/>
      <c r="J1662" s="86"/>
      <c r="K1662" s="86"/>
      <c r="L1662" s="86"/>
      <c r="M1662" s="86"/>
      <c r="N1662" s="86"/>
      <c r="O1662" s="86"/>
      <c r="P1662" s="86"/>
      <c r="Q1662" s="86"/>
      <c r="R1662" s="86"/>
      <c r="S1662" s="86"/>
      <c r="T1662" s="86"/>
      <c r="U1662" s="86"/>
    </row>
    <row r="1663" spans="1:21">
      <c r="A1663" s="86"/>
      <c r="B1663" s="86"/>
      <c r="C1663" s="87"/>
      <c r="D1663" s="86"/>
      <c r="E1663" s="86"/>
      <c r="F1663" s="86"/>
      <c r="G1663" s="86"/>
      <c r="H1663" s="86"/>
      <c r="I1663" s="86"/>
      <c r="J1663" s="86"/>
      <c r="K1663" s="86"/>
      <c r="L1663" s="86"/>
      <c r="M1663" s="86"/>
      <c r="N1663" s="86"/>
      <c r="O1663" s="86"/>
      <c r="P1663" s="86"/>
      <c r="Q1663" s="86"/>
      <c r="R1663" s="86"/>
      <c r="S1663" s="86"/>
      <c r="T1663" s="86"/>
      <c r="U1663" s="86"/>
    </row>
    <row r="1664" spans="1:21">
      <c r="A1664" s="86"/>
      <c r="B1664" s="86"/>
      <c r="C1664" s="87"/>
      <c r="D1664" s="86"/>
      <c r="E1664" s="86"/>
      <c r="F1664" s="86"/>
      <c r="G1664" s="86"/>
      <c r="H1664" s="86"/>
      <c r="I1664" s="86"/>
      <c r="J1664" s="86"/>
      <c r="K1664" s="86"/>
      <c r="L1664" s="86"/>
      <c r="M1664" s="86"/>
      <c r="N1664" s="86"/>
      <c r="O1664" s="86"/>
      <c r="P1664" s="86"/>
      <c r="Q1664" s="86"/>
      <c r="R1664" s="86"/>
      <c r="S1664" s="86"/>
      <c r="T1664" s="86"/>
      <c r="U1664" s="86"/>
    </row>
    <row r="1665" spans="1:21">
      <c r="A1665" s="86"/>
      <c r="B1665" s="86"/>
      <c r="C1665" s="87"/>
      <c r="D1665" s="86"/>
      <c r="E1665" s="86"/>
      <c r="F1665" s="86"/>
      <c r="G1665" s="86"/>
      <c r="H1665" s="86"/>
      <c r="I1665" s="86"/>
      <c r="J1665" s="86"/>
      <c r="K1665" s="86"/>
      <c r="L1665" s="86"/>
      <c r="M1665" s="86"/>
      <c r="N1665" s="86"/>
      <c r="O1665" s="86"/>
      <c r="P1665" s="86"/>
      <c r="Q1665" s="86"/>
      <c r="R1665" s="86"/>
      <c r="S1665" s="86"/>
      <c r="T1665" s="86"/>
      <c r="U1665" s="86"/>
    </row>
    <row r="1666" spans="1:21">
      <c r="A1666" s="86"/>
      <c r="B1666" s="86"/>
      <c r="C1666" s="87"/>
      <c r="D1666" s="86"/>
      <c r="E1666" s="86"/>
      <c r="F1666" s="86"/>
      <c r="G1666" s="86"/>
      <c r="H1666" s="86"/>
      <c r="I1666" s="86"/>
      <c r="J1666" s="86"/>
      <c r="K1666" s="86"/>
      <c r="L1666" s="86"/>
      <c r="M1666" s="86"/>
      <c r="N1666" s="86"/>
      <c r="O1666" s="86"/>
      <c r="P1666" s="86"/>
      <c r="Q1666" s="86"/>
      <c r="R1666" s="86"/>
      <c r="S1666" s="86"/>
      <c r="T1666" s="86"/>
      <c r="U1666" s="86"/>
    </row>
    <row r="1667" spans="1:21">
      <c r="A1667" s="86"/>
      <c r="B1667" s="86"/>
      <c r="C1667" s="87"/>
      <c r="D1667" s="86"/>
      <c r="E1667" s="86"/>
      <c r="F1667" s="86"/>
      <c r="G1667" s="86"/>
      <c r="H1667" s="86"/>
      <c r="I1667" s="86"/>
      <c r="J1667" s="86"/>
      <c r="K1667" s="86"/>
      <c r="L1667" s="86"/>
      <c r="M1667" s="86"/>
      <c r="N1667" s="86"/>
      <c r="O1667" s="86"/>
      <c r="P1667" s="86"/>
      <c r="Q1667" s="86"/>
      <c r="R1667" s="86"/>
      <c r="S1667" s="86"/>
      <c r="T1667" s="86"/>
      <c r="U1667" s="86"/>
    </row>
    <row r="1668" spans="1:21">
      <c r="A1668" s="86"/>
      <c r="B1668" s="86"/>
      <c r="C1668" s="87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  <c r="R1668" s="86"/>
      <c r="S1668" s="86"/>
      <c r="T1668" s="86"/>
      <c r="U1668" s="86"/>
    </row>
    <row r="1669" spans="1:21">
      <c r="A1669" s="86"/>
      <c r="B1669" s="86"/>
      <c r="C1669" s="87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  <c r="R1669" s="86"/>
      <c r="S1669" s="86"/>
      <c r="T1669" s="86"/>
      <c r="U1669" s="86"/>
    </row>
    <row r="1670" spans="1:21">
      <c r="A1670" s="86"/>
      <c r="B1670" s="86"/>
      <c r="C1670" s="87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  <c r="R1670" s="86"/>
      <c r="S1670" s="86"/>
      <c r="T1670" s="86"/>
      <c r="U1670" s="86"/>
    </row>
    <row r="1671" spans="1:21">
      <c r="A1671" s="86"/>
      <c r="B1671" s="86"/>
      <c r="C1671" s="87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  <c r="S1671" s="86"/>
      <c r="T1671" s="86"/>
      <c r="U1671" s="86"/>
    </row>
    <row r="1672" spans="1:21">
      <c r="A1672" s="86"/>
      <c r="B1672" s="86"/>
      <c r="C1672" s="87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  <c r="S1672" s="86"/>
      <c r="T1672" s="86"/>
      <c r="U1672" s="86"/>
    </row>
    <row r="1673" spans="1:21">
      <c r="A1673" s="86"/>
      <c r="B1673" s="86"/>
      <c r="C1673" s="87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  <c r="S1673" s="86"/>
      <c r="T1673" s="86"/>
      <c r="U1673" s="86"/>
    </row>
    <row r="1674" spans="1:21">
      <c r="A1674" s="86"/>
      <c r="B1674" s="86"/>
      <c r="C1674" s="87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  <c r="S1674" s="86"/>
      <c r="T1674" s="86"/>
      <c r="U1674" s="86"/>
    </row>
    <row r="1675" spans="1:21">
      <c r="A1675" s="86"/>
      <c r="B1675" s="86"/>
      <c r="C1675" s="87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  <c r="S1675" s="86"/>
      <c r="T1675" s="86"/>
      <c r="U1675" s="86"/>
    </row>
    <row r="1676" spans="1:21">
      <c r="A1676" s="86"/>
      <c r="B1676" s="86"/>
      <c r="C1676" s="87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  <c r="S1676" s="86"/>
      <c r="T1676" s="86"/>
      <c r="U1676" s="86"/>
    </row>
    <row r="1677" spans="1:21">
      <c r="A1677" s="86"/>
      <c r="B1677" s="86"/>
      <c r="C1677" s="87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  <c r="S1677" s="86"/>
      <c r="T1677" s="86"/>
      <c r="U1677" s="86"/>
    </row>
    <row r="1678" spans="1:21">
      <c r="A1678" s="86"/>
      <c r="B1678" s="86"/>
      <c r="C1678" s="87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  <c r="S1678" s="86"/>
      <c r="T1678" s="86"/>
      <c r="U1678" s="86"/>
    </row>
    <row r="1679" spans="1:21">
      <c r="A1679" s="86"/>
      <c r="B1679" s="86"/>
      <c r="C1679" s="87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  <c r="S1679" s="86"/>
      <c r="T1679" s="86"/>
      <c r="U1679" s="86"/>
    </row>
    <row r="1680" spans="1:21">
      <c r="A1680" s="86"/>
      <c r="B1680" s="86"/>
      <c r="C1680" s="87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  <c r="S1680" s="86"/>
      <c r="T1680" s="86"/>
      <c r="U1680" s="86"/>
    </row>
    <row r="1681" spans="1:21">
      <c r="A1681" s="86"/>
      <c r="B1681" s="86"/>
      <c r="C1681" s="87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  <c r="S1681" s="86"/>
      <c r="T1681" s="86"/>
      <c r="U1681" s="86"/>
    </row>
    <row r="1682" spans="1:21">
      <c r="A1682" s="86"/>
      <c r="B1682" s="86"/>
      <c r="C1682" s="87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  <c r="S1682" s="86"/>
      <c r="T1682" s="86"/>
      <c r="U1682" s="86"/>
    </row>
    <row r="1683" spans="1:21">
      <c r="A1683" s="86"/>
      <c r="B1683" s="86"/>
      <c r="C1683" s="87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  <c r="S1683" s="86"/>
      <c r="T1683" s="86"/>
      <c r="U1683" s="86"/>
    </row>
    <row r="1684" spans="1:21">
      <c r="A1684" s="86"/>
      <c r="B1684" s="86"/>
      <c r="C1684" s="87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  <c r="S1684" s="86"/>
      <c r="T1684" s="86"/>
      <c r="U1684" s="86"/>
    </row>
    <row r="1685" spans="1:21">
      <c r="A1685" s="86"/>
      <c r="B1685" s="86"/>
      <c r="C1685" s="87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  <c r="S1685" s="86"/>
      <c r="T1685" s="86"/>
      <c r="U1685" s="86"/>
    </row>
    <row r="1686" spans="1:21">
      <c r="A1686" s="86"/>
      <c r="B1686" s="86"/>
      <c r="C1686" s="87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  <c r="S1686" s="86"/>
      <c r="T1686" s="86"/>
      <c r="U1686" s="86"/>
    </row>
    <row r="1687" spans="1:21">
      <c r="A1687" s="86"/>
      <c r="B1687" s="86"/>
      <c r="C1687" s="87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  <c r="S1687" s="86"/>
      <c r="T1687" s="86"/>
      <c r="U1687" s="86"/>
    </row>
    <row r="1688" spans="1:21">
      <c r="A1688" s="86"/>
      <c r="B1688" s="86"/>
      <c r="C1688" s="87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  <c r="S1688" s="86"/>
      <c r="T1688" s="86"/>
      <c r="U1688" s="86"/>
    </row>
    <row r="1689" spans="1:21">
      <c r="A1689" s="86"/>
      <c r="B1689" s="86"/>
      <c r="C1689" s="87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  <c r="S1689" s="86"/>
      <c r="T1689" s="86"/>
      <c r="U1689" s="86"/>
    </row>
    <row r="1690" spans="1:21">
      <c r="A1690" s="86"/>
      <c r="B1690" s="86"/>
      <c r="C1690" s="87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  <c r="S1690" s="86"/>
      <c r="T1690" s="86"/>
      <c r="U1690" s="86"/>
    </row>
    <row r="1691" spans="1:21">
      <c r="A1691" s="86"/>
      <c r="B1691" s="86"/>
      <c r="C1691" s="87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  <c r="S1691" s="86"/>
      <c r="T1691" s="86"/>
      <c r="U1691" s="86"/>
    </row>
    <row r="1692" spans="1:21">
      <c r="A1692" s="86"/>
      <c r="B1692" s="86"/>
      <c r="C1692" s="87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  <c r="S1692" s="86"/>
      <c r="T1692" s="86"/>
      <c r="U1692" s="86"/>
    </row>
    <row r="1693" spans="1:21">
      <c r="A1693" s="86"/>
      <c r="B1693" s="86"/>
      <c r="C1693" s="87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  <c r="S1693" s="86"/>
      <c r="T1693" s="86"/>
      <c r="U1693" s="86"/>
    </row>
    <row r="1694" spans="1:21">
      <c r="A1694" s="86"/>
      <c r="B1694" s="86"/>
      <c r="C1694" s="87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  <c r="S1694" s="86"/>
      <c r="T1694" s="86"/>
      <c r="U1694" s="86"/>
    </row>
    <row r="1695" spans="1:21">
      <c r="A1695" s="86"/>
      <c r="B1695" s="86"/>
      <c r="C1695" s="87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  <c r="S1695" s="86"/>
      <c r="T1695" s="86"/>
      <c r="U1695" s="86"/>
    </row>
    <row r="1696" spans="1:21">
      <c r="A1696" s="86"/>
      <c r="B1696" s="86"/>
      <c r="C1696" s="87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  <c r="S1696" s="86"/>
      <c r="T1696" s="86"/>
      <c r="U1696" s="86"/>
    </row>
    <row r="1697" spans="1:21">
      <c r="A1697" s="86"/>
      <c r="B1697" s="86"/>
      <c r="C1697" s="87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  <c r="S1697" s="86"/>
      <c r="T1697" s="86"/>
      <c r="U1697" s="86"/>
    </row>
    <row r="1698" spans="1:21">
      <c r="A1698" s="86"/>
      <c r="B1698" s="86"/>
      <c r="C1698" s="87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  <c r="S1698" s="86"/>
      <c r="T1698" s="86"/>
      <c r="U1698" s="86"/>
    </row>
    <row r="1699" spans="1:21">
      <c r="A1699" s="86"/>
      <c r="B1699" s="86"/>
      <c r="C1699" s="87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  <c r="S1699" s="86"/>
      <c r="T1699" s="86"/>
      <c r="U1699" s="86"/>
    </row>
    <row r="1700" spans="1:21">
      <c r="A1700" s="86"/>
      <c r="B1700" s="86"/>
      <c r="C1700" s="87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  <c r="S1700" s="86"/>
      <c r="T1700" s="86"/>
      <c r="U1700" s="86"/>
    </row>
    <row r="1701" spans="1:21">
      <c r="A1701" s="86"/>
      <c r="B1701" s="86"/>
      <c r="C1701" s="87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  <c r="S1701" s="86"/>
      <c r="T1701" s="86"/>
      <c r="U1701" s="86"/>
    </row>
    <row r="1702" spans="1:21">
      <c r="A1702" s="86"/>
      <c r="B1702" s="86"/>
      <c r="C1702" s="87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  <c r="S1702" s="86"/>
      <c r="T1702" s="86"/>
      <c r="U1702" s="86"/>
    </row>
    <row r="1703" spans="1:21">
      <c r="A1703" s="86"/>
      <c r="B1703" s="86"/>
      <c r="C1703" s="87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  <c r="S1703" s="86"/>
      <c r="T1703" s="86"/>
      <c r="U1703" s="86"/>
    </row>
    <row r="1704" spans="1:21">
      <c r="A1704" s="86"/>
      <c r="B1704" s="86"/>
      <c r="C1704" s="87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  <c r="S1704" s="86"/>
      <c r="T1704" s="86"/>
      <c r="U1704" s="86"/>
    </row>
    <row r="1705" spans="1:21">
      <c r="A1705" s="86"/>
      <c r="B1705" s="86"/>
      <c r="C1705" s="87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  <c r="S1705" s="86"/>
      <c r="T1705" s="86"/>
      <c r="U1705" s="86"/>
    </row>
    <row r="1706" spans="1:21">
      <c r="A1706" s="86"/>
      <c r="B1706" s="86"/>
      <c r="C1706" s="87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  <c r="S1706" s="86"/>
      <c r="T1706" s="86"/>
      <c r="U1706" s="86"/>
    </row>
    <row r="1707" spans="1:21">
      <c r="A1707" s="86"/>
      <c r="B1707" s="86"/>
      <c r="C1707" s="87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  <c r="R1707" s="86"/>
      <c r="S1707" s="86"/>
      <c r="T1707" s="86"/>
      <c r="U1707" s="86"/>
    </row>
    <row r="1708" spans="1:21">
      <c r="A1708" s="86"/>
      <c r="B1708" s="86"/>
      <c r="C1708" s="87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  <c r="R1708" s="86"/>
      <c r="S1708" s="86"/>
      <c r="T1708" s="86"/>
      <c r="U1708" s="86"/>
    </row>
    <row r="1709" spans="1:21">
      <c r="A1709" s="86"/>
      <c r="B1709" s="86"/>
      <c r="C1709" s="87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  <c r="R1709" s="86"/>
      <c r="S1709" s="86"/>
      <c r="T1709" s="86"/>
      <c r="U1709" s="86"/>
    </row>
    <row r="1710" spans="1:21">
      <c r="A1710" s="86"/>
      <c r="B1710" s="86"/>
      <c r="C1710" s="87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  <c r="R1710" s="86"/>
      <c r="S1710" s="86"/>
      <c r="T1710" s="86"/>
      <c r="U1710" s="86"/>
    </row>
    <row r="1711" spans="1:21">
      <c r="A1711" s="86"/>
      <c r="B1711" s="86"/>
      <c r="C1711" s="87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  <c r="R1711" s="86"/>
      <c r="S1711" s="86"/>
      <c r="T1711" s="86"/>
      <c r="U1711" s="86"/>
    </row>
    <row r="1712" spans="1:21">
      <c r="A1712" s="86"/>
      <c r="B1712" s="86"/>
      <c r="C1712" s="87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  <c r="R1712" s="86"/>
      <c r="S1712" s="86"/>
      <c r="T1712" s="86"/>
      <c r="U1712" s="86"/>
    </row>
    <row r="1713" spans="1:21">
      <c r="A1713" s="86"/>
      <c r="B1713" s="86"/>
      <c r="C1713" s="87"/>
      <c r="D1713" s="86"/>
      <c r="E1713" s="86"/>
      <c r="F1713" s="86"/>
      <c r="G1713" s="86"/>
      <c r="H1713" s="86"/>
      <c r="I1713" s="86"/>
      <c r="J1713" s="86"/>
      <c r="K1713" s="86"/>
      <c r="L1713" s="86"/>
      <c r="M1713" s="86"/>
      <c r="N1713" s="86"/>
      <c r="O1713" s="86"/>
      <c r="P1713" s="86"/>
      <c r="Q1713" s="86"/>
      <c r="R1713" s="86"/>
      <c r="S1713" s="86"/>
      <c r="T1713" s="86"/>
      <c r="U1713" s="86"/>
    </row>
    <row r="1714" spans="1:21">
      <c r="A1714" s="86"/>
      <c r="B1714" s="86"/>
      <c r="C1714" s="87"/>
      <c r="D1714" s="86"/>
      <c r="E1714" s="86"/>
      <c r="F1714" s="86"/>
      <c r="G1714" s="86"/>
      <c r="H1714" s="86"/>
      <c r="I1714" s="86"/>
      <c r="J1714" s="86"/>
      <c r="K1714" s="86"/>
      <c r="L1714" s="86"/>
      <c r="M1714" s="86"/>
      <c r="N1714" s="86"/>
      <c r="O1714" s="86"/>
      <c r="P1714" s="86"/>
      <c r="Q1714" s="86"/>
      <c r="R1714" s="86"/>
      <c r="S1714" s="86"/>
      <c r="T1714" s="86"/>
      <c r="U1714" s="86"/>
    </row>
    <row r="1715" spans="1:21">
      <c r="A1715" s="86"/>
      <c r="B1715" s="86"/>
      <c r="C1715" s="87"/>
      <c r="D1715" s="86"/>
      <c r="E1715" s="86"/>
      <c r="F1715" s="86"/>
      <c r="G1715" s="86"/>
      <c r="H1715" s="86"/>
      <c r="I1715" s="86"/>
      <c r="J1715" s="86"/>
      <c r="K1715" s="86"/>
      <c r="L1715" s="86"/>
      <c r="M1715" s="86"/>
      <c r="N1715" s="86"/>
      <c r="O1715" s="86"/>
      <c r="P1715" s="86"/>
      <c r="Q1715" s="86"/>
      <c r="R1715" s="86"/>
      <c r="S1715" s="86"/>
      <c r="T1715" s="86"/>
      <c r="U1715" s="86"/>
    </row>
    <row r="1716" spans="1:21">
      <c r="A1716" s="86"/>
      <c r="B1716" s="86"/>
      <c r="C1716" s="87"/>
      <c r="D1716" s="86"/>
      <c r="E1716" s="86"/>
      <c r="F1716" s="86"/>
      <c r="G1716" s="86"/>
      <c r="H1716" s="86"/>
      <c r="I1716" s="86"/>
      <c r="J1716" s="86"/>
      <c r="K1716" s="86"/>
      <c r="L1716" s="86"/>
      <c r="M1716" s="86"/>
      <c r="N1716" s="86"/>
      <c r="O1716" s="86"/>
      <c r="P1716" s="86"/>
      <c r="Q1716" s="86"/>
      <c r="R1716" s="86"/>
      <c r="S1716" s="86"/>
      <c r="T1716" s="86"/>
      <c r="U1716" s="86"/>
    </row>
    <row r="1717" spans="1:21">
      <c r="A1717" s="86"/>
      <c r="B1717" s="86"/>
      <c r="C1717" s="87"/>
      <c r="D1717" s="86"/>
      <c r="E1717" s="86"/>
      <c r="F1717" s="86"/>
      <c r="G1717" s="86"/>
      <c r="H1717" s="86"/>
      <c r="I1717" s="86"/>
      <c r="J1717" s="86"/>
      <c r="K1717" s="86"/>
      <c r="L1717" s="86"/>
      <c r="M1717" s="86"/>
      <c r="N1717" s="86"/>
      <c r="O1717" s="86"/>
      <c r="P1717" s="86"/>
      <c r="Q1717" s="86"/>
      <c r="R1717" s="86"/>
      <c r="S1717" s="86"/>
      <c r="T1717" s="86"/>
      <c r="U1717" s="86"/>
    </row>
    <row r="1718" spans="1:21">
      <c r="A1718" s="86"/>
      <c r="B1718" s="86"/>
      <c r="C1718" s="87"/>
      <c r="D1718" s="86"/>
      <c r="E1718" s="86"/>
      <c r="F1718" s="86"/>
      <c r="G1718" s="86"/>
      <c r="H1718" s="86"/>
      <c r="I1718" s="86"/>
      <c r="J1718" s="86"/>
      <c r="K1718" s="86"/>
      <c r="L1718" s="86"/>
      <c r="M1718" s="86"/>
      <c r="N1718" s="86"/>
      <c r="O1718" s="86"/>
      <c r="P1718" s="86"/>
      <c r="Q1718" s="86"/>
      <c r="R1718" s="86"/>
      <c r="S1718" s="86"/>
      <c r="T1718" s="86"/>
      <c r="U1718" s="86"/>
    </row>
    <row r="1719" spans="1:21">
      <c r="A1719" s="86"/>
      <c r="B1719" s="86"/>
      <c r="C1719" s="87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  <c r="S1719" s="86"/>
      <c r="T1719" s="86"/>
      <c r="U1719" s="86"/>
    </row>
    <row r="1720" spans="1:21">
      <c r="A1720" s="86"/>
      <c r="B1720" s="86"/>
      <c r="C1720" s="87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  <c r="S1720" s="86"/>
      <c r="T1720" s="86"/>
      <c r="U1720" s="86"/>
    </row>
    <row r="1721" spans="1:21">
      <c r="A1721" s="86"/>
      <c r="B1721" s="86"/>
      <c r="C1721" s="87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  <c r="S1721" s="86"/>
      <c r="T1721" s="86"/>
      <c r="U1721" s="86"/>
    </row>
    <row r="1722" spans="1:21">
      <c r="A1722" s="86"/>
      <c r="B1722" s="86"/>
      <c r="C1722" s="87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  <c r="S1722" s="86"/>
      <c r="T1722" s="86"/>
      <c r="U1722" s="86"/>
    </row>
    <row r="1723" spans="1:21">
      <c r="A1723" s="86"/>
      <c r="B1723" s="86"/>
      <c r="C1723" s="87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  <c r="S1723" s="86"/>
      <c r="T1723" s="86"/>
      <c r="U1723" s="86"/>
    </row>
    <row r="1724" spans="1:21">
      <c r="A1724" s="86"/>
      <c r="B1724" s="86"/>
      <c r="C1724" s="87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  <c r="S1724" s="86"/>
      <c r="T1724" s="86"/>
      <c r="U1724" s="86"/>
    </row>
    <row r="1725" spans="1:21">
      <c r="A1725" s="86"/>
      <c r="B1725" s="86"/>
      <c r="C1725" s="87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  <c r="S1725" s="86"/>
      <c r="T1725" s="86"/>
      <c r="U1725" s="86"/>
    </row>
    <row r="1726" spans="1:21">
      <c r="A1726" s="86"/>
      <c r="B1726" s="86"/>
      <c r="C1726" s="87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  <c r="S1726" s="86"/>
      <c r="T1726" s="86"/>
      <c r="U1726" s="86"/>
    </row>
    <row r="1727" spans="1:21">
      <c r="A1727" s="86"/>
      <c r="B1727" s="86"/>
      <c r="C1727" s="87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  <c r="S1727" s="86"/>
      <c r="T1727" s="86"/>
      <c r="U1727" s="86"/>
    </row>
    <row r="1728" spans="1:21">
      <c r="A1728" s="86"/>
      <c r="B1728" s="86"/>
      <c r="C1728" s="87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  <c r="S1728" s="86"/>
      <c r="T1728" s="86"/>
      <c r="U1728" s="86"/>
    </row>
    <row r="1729" spans="1:21">
      <c r="A1729" s="86"/>
      <c r="B1729" s="86"/>
      <c r="C1729" s="87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  <c r="S1729" s="86"/>
      <c r="T1729" s="86"/>
      <c r="U1729" s="86"/>
    </row>
    <row r="1730" spans="1:21">
      <c r="A1730" s="86"/>
      <c r="B1730" s="86"/>
      <c r="C1730" s="87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  <c r="S1730" s="86"/>
      <c r="T1730" s="86"/>
      <c r="U1730" s="86"/>
    </row>
    <row r="1731" spans="1:21">
      <c r="A1731" s="86"/>
      <c r="B1731" s="86"/>
      <c r="C1731" s="87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  <c r="S1731" s="86"/>
      <c r="T1731" s="86"/>
      <c r="U1731" s="86"/>
    </row>
    <row r="1732" spans="1:21">
      <c r="A1732" s="86"/>
      <c r="B1732" s="86"/>
      <c r="C1732" s="87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  <c r="S1732" s="86"/>
      <c r="T1732" s="86"/>
      <c r="U1732" s="86"/>
    </row>
    <row r="1733" spans="1:21">
      <c r="A1733" s="86"/>
      <c r="B1733" s="86"/>
      <c r="C1733" s="87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  <c r="S1733" s="86"/>
      <c r="T1733" s="86"/>
      <c r="U1733" s="86"/>
    </row>
    <row r="1734" spans="1:21">
      <c r="A1734" s="86"/>
      <c r="B1734" s="86"/>
      <c r="C1734" s="87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  <c r="S1734" s="86"/>
      <c r="T1734" s="86"/>
      <c r="U1734" s="86"/>
    </row>
    <row r="1735" spans="1:21">
      <c r="A1735" s="86"/>
      <c r="B1735" s="86"/>
      <c r="C1735" s="87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  <c r="S1735" s="86"/>
      <c r="T1735" s="86"/>
      <c r="U1735" s="86"/>
    </row>
    <row r="1736" spans="1:21">
      <c r="A1736" s="86"/>
      <c r="B1736" s="86"/>
      <c r="C1736" s="87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  <c r="S1736" s="86"/>
      <c r="T1736" s="86"/>
      <c r="U1736" s="86"/>
    </row>
    <row r="1737" spans="1:21">
      <c r="A1737" s="86"/>
      <c r="B1737" s="86"/>
      <c r="C1737" s="87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  <c r="S1737" s="86"/>
      <c r="T1737" s="86"/>
      <c r="U1737" s="86"/>
    </row>
    <row r="1738" spans="1:21">
      <c r="A1738" s="86"/>
      <c r="B1738" s="86"/>
      <c r="C1738" s="87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  <c r="S1738" s="86"/>
      <c r="T1738" s="86"/>
      <c r="U1738" s="86"/>
    </row>
    <row r="1739" spans="1:21">
      <c r="A1739" s="86"/>
      <c r="B1739" s="86"/>
      <c r="C1739" s="87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  <c r="S1739" s="86"/>
      <c r="T1739" s="86"/>
      <c r="U1739" s="86"/>
    </row>
    <row r="1740" spans="1:21">
      <c r="A1740" s="86"/>
      <c r="B1740" s="86"/>
      <c r="C1740" s="87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  <c r="S1740" s="86"/>
      <c r="T1740" s="86"/>
      <c r="U1740" s="86"/>
    </row>
    <row r="1741" spans="1:21">
      <c r="A1741" s="86"/>
      <c r="B1741" s="86"/>
      <c r="C1741" s="87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  <c r="S1741" s="86"/>
      <c r="T1741" s="86"/>
      <c r="U1741" s="86"/>
    </row>
    <row r="1742" spans="1:21">
      <c r="A1742" s="86"/>
      <c r="B1742" s="86"/>
      <c r="C1742" s="87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  <c r="S1742" s="86"/>
      <c r="T1742" s="86"/>
      <c r="U1742" s="86"/>
    </row>
    <row r="1743" spans="1:21">
      <c r="A1743" s="86"/>
      <c r="B1743" s="86"/>
      <c r="C1743" s="87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  <c r="S1743" s="86"/>
      <c r="T1743" s="86"/>
      <c r="U1743" s="86"/>
    </row>
    <row r="1744" spans="1:21">
      <c r="A1744" s="86"/>
      <c r="B1744" s="86"/>
      <c r="C1744" s="87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  <c r="S1744" s="86"/>
      <c r="T1744" s="86"/>
      <c r="U1744" s="86"/>
    </row>
    <row r="1745" spans="1:21">
      <c r="A1745" s="86"/>
      <c r="B1745" s="86"/>
      <c r="C1745" s="87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  <c r="S1745" s="86"/>
      <c r="T1745" s="86"/>
      <c r="U1745" s="86"/>
    </row>
    <row r="1746" spans="1:21">
      <c r="A1746" s="86"/>
      <c r="B1746" s="86"/>
      <c r="C1746" s="87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  <c r="S1746" s="86"/>
      <c r="T1746" s="86"/>
      <c r="U1746" s="86"/>
    </row>
    <row r="1747" spans="1:21">
      <c r="A1747" s="86"/>
      <c r="B1747" s="86"/>
      <c r="C1747" s="87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  <c r="S1747" s="86"/>
      <c r="T1747" s="86"/>
      <c r="U1747" s="86"/>
    </row>
    <row r="1748" spans="1:21">
      <c r="A1748" s="86"/>
      <c r="B1748" s="86"/>
      <c r="C1748" s="87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  <c r="S1748" s="86"/>
      <c r="T1748" s="86"/>
      <c r="U1748" s="86"/>
    </row>
    <row r="1749" spans="1:21">
      <c r="A1749" s="86"/>
      <c r="B1749" s="86"/>
      <c r="C1749" s="87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  <c r="S1749" s="86"/>
      <c r="T1749" s="86"/>
      <c r="U1749" s="86"/>
    </row>
    <row r="1750" spans="1:21">
      <c r="A1750" s="86"/>
      <c r="B1750" s="86"/>
      <c r="C1750" s="87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  <c r="S1750" s="86"/>
      <c r="T1750" s="86"/>
      <c r="U1750" s="86"/>
    </row>
    <row r="1751" spans="1:21">
      <c r="A1751" s="86"/>
      <c r="B1751" s="86"/>
      <c r="C1751" s="87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  <c r="S1751" s="86"/>
      <c r="T1751" s="86"/>
      <c r="U1751" s="86"/>
    </row>
    <row r="1752" spans="1:21">
      <c r="A1752" s="86"/>
      <c r="B1752" s="86"/>
      <c r="C1752" s="87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  <c r="S1752" s="86"/>
      <c r="T1752" s="86"/>
      <c r="U1752" s="86"/>
    </row>
    <row r="1753" spans="1:21">
      <c r="A1753" s="86"/>
      <c r="B1753" s="86"/>
      <c r="C1753" s="87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  <c r="S1753" s="86"/>
      <c r="T1753" s="86"/>
      <c r="U1753" s="86"/>
    </row>
    <row r="1754" spans="1:21">
      <c r="A1754" s="86"/>
      <c r="B1754" s="86"/>
      <c r="C1754" s="87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  <c r="S1754" s="86"/>
      <c r="T1754" s="86"/>
      <c r="U1754" s="86"/>
    </row>
    <row r="1755" spans="1:21">
      <c r="A1755" s="86"/>
      <c r="B1755" s="86"/>
      <c r="C1755" s="87"/>
      <c r="D1755" s="86"/>
      <c r="E1755" s="86"/>
      <c r="F1755" s="86"/>
      <c r="G1755" s="86"/>
      <c r="H1755" s="86"/>
      <c r="I1755" s="86"/>
      <c r="J1755" s="86"/>
      <c r="K1755" s="86"/>
      <c r="L1755" s="86"/>
      <c r="M1755" s="86"/>
      <c r="N1755" s="86"/>
      <c r="O1755" s="86"/>
      <c r="P1755" s="86"/>
      <c r="Q1755" s="86"/>
      <c r="R1755" s="86"/>
      <c r="S1755" s="86"/>
      <c r="T1755" s="86"/>
      <c r="U1755" s="86"/>
    </row>
    <row r="1756" spans="1:21">
      <c r="A1756" s="86"/>
      <c r="B1756" s="86"/>
      <c r="C1756" s="87"/>
      <c r="D1756" s="86"/>
      <c r="E1756" s="86"/>
      <c r="F1756" s="86"/>
      <c r="G1756" s="86"/>
      <c r="H1756" s="86"/>
      <c r="I1756" s="86"/>
      <c r="J1756" s="86"/>
      <c r="K1756" s="86"/>
      <c r="L1756" s="86"/>
      <c r="M1756" s="86"/>
      <c r="N1756" s="86"/>
      <c r="O1756" s="86"/>
      <c r="P1756" s="86"/>
      <c r="Q1756" s="86"/>
      <c r="R1756" s="86"/>
      <c r="S1756" s="86"/>
      <c r="T1756" s="86"/>
      <c r="U1756" s="86"/>
    </row>
    <row r="1757" spans="1:21">
      <c r="A1757" s="86"/>
      <c r="B1757" s="86"/>
      <c r="C1757" s="87"/>
      <c r="D1757" s="86"/>
      <c r="E1757" s="86"/>
      <c r="F1757" s="86"/>
      <c r="G1757" s="86"/>
      <c r="H1757" s="86"/>
      <c r="I1757" s="86"/>
      <c r="J1757" s="86"/>
      <c r="K1757" s="86"/>
      <c r="L1757" s="86"/>
      <c r="M1757" s="86"/>
      <c r="N1757" s="86"/>
      <c r="O1757" s="86"/>
      <c r="P1757" s="86"/>
      <c r="Q1757" s="86"/>
      <c r="R1757" s="86"/>
      <c r="S1757" s="86"/>
      <c r="T1757" s="86"/>
      <c r="U1757" s="86"/>
    </row>
    <row r="1758" spans="1:21">
      <c r="A1758" s="86"/>
      <c r="B1758" s="86"/>
      <c r="C1758" s="87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  <c r="R1758" s="86"/>
      <c r="S1758" s="86"/>
      <c r="T1758" s="86"/>
      <c r="U1758" s="86"/>
    </row>
    <row r="1759" spans="1:21">
      <c r="A1759" s="86"/>
      <c r="B1759" s="86"/>
      <c r="C1759" s="87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  <c r="R1759" s="86"/>
      <c r="S1759" s="86"/>
      <c r="T1759" s="86"/>
      <c r="U1759" s="86"/>
    </row>
    <row r="1760" spans="1:21">
      <c r="A1760" s="86"/>
      <c r="B1760" s="86"/>
      <c r="C1760" s="87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  <c r="R1760" s="86"/>
      <c r="S1760" s="86"/>
      <c r="T1760" s="86"/>
      <c r="U1760" s="86"/>
    </row>
    <row r="1761" spans="1:56">
      <c r="A1761" s="86"/>
      <c r="B1761" s="86"/>
      <c r="C1761" s="87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  <c r="R1761" s="86"/>
      <c r="S1761" s="86"/>
      <c r="T1761" s="86"/>
      <c r="U1761" s="86"/>
    </row>
    <row r="1762" spans="1:56">
      <c r="A1762" s="86"/>
      <c r="B1762" s="86"/>
      <c r="C1762" s="87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  <c r="R1762" s="86"/>
      <c r="S1762" s="86"/>
      <c r="T1762" s="86"/>
      <c r="U1762" s="86"/>
    </row>
    <row r="1763" spans="1:56">
      <c r="A1763" s="86"/>
      <c r="B1763" s="86"/>
      <c r="C1763" s="87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  <c r="R1763" s="86"/>
      <c r="S1763" s="86"/>
      <c r="T1763" s="86"/>
      <c r="U1763" s="86"/>
    </row>
    <row r="1764" spans="1:56">
      <c r="A1764" s="86"/>
      <c r="B1764" s="86"/>
      <c r="C1764" s="87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  <c r="R1764" s="86"/>
      <c r="S1764" s="86"/>
      <c r="T1764" s="86"/>
      <c r="U1764" s="86"/>
    </row>
    <row r="1765" spans="1:56">
      <c r="A1765" s="86"/>
      <c r="B1765" s="86"/>
      <c r="C1765" s="87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  <c r="R1765" s="86"/>
      <c r="S1765" s="86"/>
      <c r="T1765" s="86"/>
      <c r="U1765" s="86"/>
    </row>
    <row r="1766" spans="1:56">
      <c r="A1766" s="86"/>
      <c r="B1766" s="86"/>
      <c r="C1766" s="87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  <c r="R1766" s="86"/>
      <c r="S1766" s="86"/>
      <c r="T1766" s="86"/>
      <c r="U1766" s="86"/>
    </row>
    <row r="1767" spans="1:56">
      <c r="A1767" s="86"/>
      <c r="B1767" s="86"/>
      <c r="C1767" s="87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  <c r="S1767" s="86"/>
      <c r="T1767" s="86"/>
      <c r="U1767" s="86"/>
    </row>
    <row r="1768" spans="1:56">
      <c r="A1768" s="86"/>
      <c r="B1768" s="86"/>
      <c r="C1768" s="87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  <c r="S1768" s="86"/>
      <c r="T1768" s="86"/>
      <c r="U1768" s="86"/>
    </row>
    <row r="1769" spans="1:56">
      <c r="A1769" s="86"/>
      <c r="B1769" s="86"/>
      <c r="C1769" s="87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  <c r="S1769" s="86"/>
      <c r="T1769" s="86"/>
      <c r="U1769" s="86"/>
      <c r="V1769" s="48"/>
      <c r="W1769" s="48"/>
      <c r="X1769" s="48"/>
      <c r="Y1769" s="48"/>
      <c r="Z1769" s="48"/>
      <c r="AA1769" s="48"/>
      <c r="AB1769" s="48"/>
      <c r="AC1769" s="48"/>
      <c r="AD1769" s="48"/>
      <c r="AE1769" s="48"/>
      <c r="AF1769" s="48"/>
      <c r="AG1769" s="48"/>
      <c r="AH1769" s="48"/>
      <c r="AI1769" s="48"/>
      <c r="AJ1769" s="48"/>
      <c r="AK1769" s="48"/>
      <c r="AL1769" s="48"/>
      <c r="AM1769" s="48"/>
      <c r="AN1769" s="48"/>
      <c r="AO1769" s="48"/>
      <c r="AP1769" s="48"/>
      <c r="AQ1769" s="48"/>
      <c r="AR1769" s="48"/>
      <c r="AS1769" s="48"/>
      <c r="AT1769" s="48"/>
      <c r="AU1769" s="48"/>
      <c r="AV1769" s="48"/>
      <c r="AW1769" s="48"/>
      <c r="AX1769" s="48"/>
      <c r="AY1769" s="48"/>
      <c r="AZ1769" s="48"/>
      <c r="BA1769" s="48"/>
      <c r="BB1769" s="48"/>
      <c r="BC1769" s="48"/>
      <c r="BD1769" s="48"/>
    </row>
    <row r="1770" spans="1:56">
      <c r="A1770" s="86"/>
      <c r="B1770" s="86"/>
      <c r="C1770" s="87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  <c r="S1770" s="86"/>
      <c r="T1770" s="86"/>
      <c r="U1770" s="86"/>
      <c r="V1770" s="48"/>
      <c r="W1770" s="48"/>
      <c r="X1770" s="48"/>
      <c r="Y1770" s="48"/>
      <c r="Z1770" s="48"/>
      <c r="AA1770" s="48"/>
      <c r="AB1770" s="48"/>
      <c r="AC1770" s="48"/>
      <c r="AD1770" s="48"/>
      <c r="AE1770" s="48"/>
      <c r="AF1770" s="48"/>
      <c r="AG1770" s="48"/>
      <c r="AH1770" s="48"/>
      <c r="AI1770" s="48"/>
      <c r="AJ1770" s="48"/>
      <c r="AK1770" s="48"/>
      <c r="AL1770" s="48"/>
      <c r="AM1770" s="48"/>
      <c r="AN1770" s="48"/>
      <c r="AO1770" s="48"/>
      <c r="AP1770" s="48"/>
      <c r="AQ1770" s="48"/>
      <c r="AR1770" s="48"/>
      <c r="AS1770" s="48"/>
      <c r="AT1770" s="48"/>
      <c r="AU1770" s="48"/>
      <c r="AV1770" s="48"/>
      <c r="AW1770" s="48"/>
      <c r="AX1770" s="48"/>
      <c r="AY1770" s="48"/>
      <c r="AZ1770" s="48"/>
      <c r="BA1770" s="48"/>
      <c r="BB1770" s="48"/>
      <c r="BC1770" s="48"/>
      <c r="BD1770" s="48"/>
    </row>
    <row r="1771" spans="1:56">
      <c r="A1771" s="86"/>
      <c r="B1771" s="86"/>
      <c r="C1771" s="87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  <c r="S1771" s="86"/>
      <c r="T1771" s="86"/>
      <c r="U1771" s="86"/>
      <c r="V1771" s="48"/>
      <c r="W1771" s="48"/>
      <c r="X1771" s="48"/>
      <c r="Y1771" s="48"/>
      <c r="Z1771" s="48"/>
      <c r="AA1771" s="48"/>
      <c r="AB1771" s="48"/>
      <c r="AC1771" s="48"/>
      <c r="AD1771" s="48"/>
      <c r="AE1771" s="48"/>
      <c r="AF1771" s="48"/>
      <c r="AG1771" s="48"/>
      <c r="AH1771" s="48"/>
      <c r="AI1771" s="48"/>
      <c r="AJ1771" s="48"/>
      <c r="AK1771" s="48"/>
      <c r="AL1771" s="48"/>
      <c r="AM1771" s="48"/>
      <c r="AN1771" s="48"/>
      <c r="AO1771" s="48"/>
      <c r="AP1771" s="48"/>
      <c r="AQ1771" s="48"/>
      <c r="AR1771" s="48"/>
      <c r="AS1771" s="48"/>
      <c r="AT1771" s="48"/>
      <c r="AU1771" s="48"/>
      <c r="AV1771" s="48"/>
      <c r="AW1771" s="48"/>
      <c r="AX1771" s="48"/>
      <c r="AY1771" s="48"/>
      <c r="AZ1771" s="48"/>
      <c r="BA1771" s="48"/>
      <c r="BB1771" s="48"/>
      <c r="BC1771" s="48"/>
      <c r="BD1771" s="48"/>
    </row>
    <row r="1772" spans="1:56">
      <c r="A1772" s="86"/>
      <c r="B1772" s="86"/>
      <c r="C1772" s="87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  <c r="S1772" s="86"/>
      <c r="T1772" s="86"/>
      <c r="U1772" s="86"/>
      <c r="V1772" s="48"/>
      <c r="W1772" s="48"/>
      <c r="X1772" s="48"/>
      <c r="Y1772" s="48"/>
      <c r="Z1772" s="48"/>
      <c r="AA1772" s="48"/>
      <c r="AB1772" s="48"/>
      <c r="AC1772" s="48"/>
      <c r="AD1772" s="48"/>
      <c r="AE1772" s="48"/>
      <c r="AF1772" s="48"/>
      <c r="AG1772" s="48"/>
      <c r="AH1772" s="48"/>
      <c r="AI1772" s="48"/>
      <c r="AJ1772" s="48"/>
      <c r="AK1772" s="48"/>
      <c r="AL1772" s="48"/>
      <c r="AM1772" s="48"/>
      <c r="AN1772" s="48"/>
      <c r="AO1772" s="48"/>
      <c r="AP1772" s="48"/>
      <c r="AQ1772" s="48"/>
      <c r="AR1772" s="48"/>
      <c r="AS1772" s="48"/>
      <c r="AT1772" s="48"/>
      <c r="AU1772" s="48"/>
      <c r="AV1772" s="48"/>
      <c r="AW1772" s="48"/>
      <c r="AX1772" s="48"/>
      <c r="AY1772" s="48"/>
      <c r="AZ1772" s="48"/>
      <c r="BA1772" s="48"/>
      <c r="BB1772" s="48"/>
      <c r="BC1772" s="48"/>
      <c r="BD1772" s="48"/>
    </row>
    <row r="1773" spans="1:56">
      <c r="A1773" s="86"/>
      <c r="B1773" s="86"/>
      <c r="C1773" s="87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  <c r="S1773" s="86"/>
      <c r="T1773" s="86"/>
      <c r="U1773" s="86"/>
      <c r="V1773" s="48"/>
      <c r="W1773" s="48"/>
      <c r="X1773" s="48"/>
      <c r="Y1773" s="48"/>
      <c r="Z1773" s="48"/>
      <c r="AA1773" s="48"/>
      <c r="AB1773" s="48"/>
      <c r="AC1773" s="48"/>
      <c r="AD1773" s="48"/>
      <c r="AE1773" s="48"/>
      <c r="AF1773" s="48"/>
      <c r="AG1773" s="48"/>
      <c r="AH1773" s="48"/>
      <c r="AI1773" s="48"/>
      <c r="AJ1773" s="48"/>
      <c r="AK1773" s="48"/>
      <c r="AL1773" s="48"/>
      <c r="AM1773" s="48"/>
      <c r="AN1773" s="48"/>
      <c r="AO1773" s="48"/>
      <c r="AP1773" s="48"/>
      <c r="AQ1773" s="48"/>
      <c r="AR1773" s="48"/>
      <c r="AS1773" s="48"/>
      <c r="AT1773" s="48"/>
      <c r="AU1773" s="48"/>
      <c r="AV1773" s="48"/>
      <c r="AW1773" s="48"/>
      <c r="AX1773" s="48"/>
      <c r="AY1773" s="48"/>
      <c r="AZ1773" s="48"/>
      <c r="BA1773" s="48"/>
      <c r="BB1773" s="48"/>
      <c r="BC1773" s="48"/>
      <c r="BD1773" s="48"/>
    </row>
    <row r="1774" spans="1:56">
      <c r="A1774" s="86"/>
      <c r="B1774" s="86"/>
      <c r="C1774" s="87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  <c r="S1774" s="86"/>
      <c r="T1774" s="86"/>
      <c r="U1774" s="86"/>
      <c r="V1774" s="48"/>
      <c r="W1774" s="48"/>
      <c r="X1774" s="48"/>
      <c r="Y1774" s="48"/>
      <c r="Z1774" s="48"/>
      <c r="AA1774" s="48"/>
      <c r="AB1774" s="48"/>
      <c r="AC1774" s="48"/>
      <c r="AD1774" s="48"/>
      <c r="AE1774" s="48"/>
      <c r="AF1774" s="48"/>
      <c r="AG1774" s="48"/>
      <c r="AH1774" s="48"/>
      <c r="AI1774" s="48"/>
      <c r="AJ1774" s="48"/>
      <c r="AK1774" s="48"/>
      <c r="AL1774" s="48"/>
      <c r="AM1774" s="48"/>
      <c r="AN1774" s="48"/>
      <c r="AO1774" s="48"/>
      <c r="AP1774" s="48"/>
      <c r="AQ1774" s="48"/>
      <c r="AR1774" s="48"/>
      <c r="AS1774" s="48"/>
      <c r="AT1774" s="48"/>
      <c r="AU1774" s="48"/>
      <c r="AV1774" s="48"/>
      <c r="AW1774" s="48"/>
      <c r="AX1774" s="48"/>
      <c r="AY1774" s="48"/>
      <c r="AZ1774" s="48"/>
      <c r="BA1774" s="48"/>
      <c r="BB1774" s="48"/>
      <c r="BC1774" s="48"/>
      <c r="BD1774" s="48"/>
    </row>
    <row r="1775" spans="1:56">
      <c r="A1775" s="86"/>
      <c r="B1775" s="86"/>
      <c r="C1775" s="87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  <c r="S1775" s="86"/>
      <c r="T1775" s="86"/>
      <c r="U1775" s="86"/>
      <c r="V1775" s="48"/>
      <c r="W1775" s="48"/>
      <c r="X1775" s="48"/>
      <c r="Y1775" s="48"/>
      <c r="Z1775" s="48"/>
      <c r="AA1775" s="48"/>
      <c r="AB1775" s="48"/>
      <c r="AC1775" s="48"/>
      <c r="AD1775" s="48"/>
      <c r="AE1775" s="48"/>
      <c r="AF1775" s="48"/>
      <c r="AG1775" s="48"/>
      <c r="AH1775" s="48"/>
      <c r="AI1775" s="48"/>
      <c r="AJ1775" s="48"/>
      <c r="AK1775" s="48"/>
      <c r="AL1775" s="48"/>
      <c r="AM1775" s="48"/>
      <c r="AN1775" s="48"/>
      <c r="AO1775" s="48"/>
      <c r="AP1775" s="48"/>
      <c r="AQ1775" s="48"/>
      <c r="AR1775" s="48"/>
      <c r="AS1775" s="48"/>
      <c r="AT1775" s="48"/>
      <c r="AU1775" s="48"/>
      <c r="AV1775" s="48"/>
      <c r="AW1775" s="48"/>
      <c r="AX1775" s="48"/>
      <c r="AY1775" s="48"/>
      <c r="AZ1775" s="48"/>
      <c r="BA1775" s="48"/>
      <c r="BB1775" s="48"/>
      <c r="BC1775" s="48"/>
      <c r="BD1775" s="48"/>
    </row>
    <row r="1776" spans="1:56">
      <c r="A1776" s="86"/>
      <c r="B1776" s="86"/>
      <c r="C1776" s="87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  <c r="S1776" s="86"/>
      <c r="T1776" s="86"/>
      <c r="U1776" s="86"/>
      <c r="V1776" s="48"/>
      <c r="W1776" s="48"/>
      <c r="X1776" s="48"/>
      <c r="Y1776" s="48"/>
      <c r="Z1776" s="48"/>
      <c r="AA1776" s="48"/>
      <c r="AB1776" s="48"/>
      <c r="AC1776" s="48"/>
      <c r="AD1776" s="48"/>
      <c r="AE1776" s="48"/>
      <c r="AF1776" s="48"/>
      <c r="AG1776" s="48"/>
      <c r="AH1776" s="48"/>
      <c r="AI1776" s="48"/>
      <c r="AJ1776" s="48"/>
      <c r="AK1776" s="48"/>
      <c r="AL1776" s="48"/>
      <c r="AM1776" s="48"/>
      <c r="AN1776" s="48"/>
      <c r="AO1776" s="48"/>
      <c r="AP1776" s="48"/>
      <c r="AQ1776" s="48"/>
      <c r="AR1776" s="48"/>
      <c r="AS1776" s="48"/>
      <c r="AT1776" s="48"/>
      <c r="AU1776" s="48"/>
      <c r="AV1776" s="48"/>
      <c r="AW1776" s="48"/>
      <c r="AX1776" s="48"/>
      <c r="AY1776" s="48"/>
      <c r="AZ1776" s="48"/>
      <c r="BA1776" s="48"/>
      <c r="BB1776" s="48"/>
      <c r="BC1776" s="48"/>
      <c r="BD1776" s="48"/>
    </row>
    <row r="1777" spans="1:56">
      <c r="A1777" s="86"/>
      <c r="B1777" s="86"/>
      <c r="C1777" s="87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  <c r="S1777" s="86"/>
      <c r="T1777" s="86"/>
      <c r="U1777" s="86"/>
      <c r="V1777" s="48"/>
      <c r="W1777" s="48"/>
      <c r="X1777" s="48"/>
      <c r="Y1777" s="48"/>
      <c r="Z1777" s="48"/>
      <c r="AA1777" s="48"/>
      <c r="AB1777" s="48"/>
      <c r="AC1777" s="48"/>
      <c r="AD1777" s="48"/>
      <c r="AE1777" s="48"/>
      <c r="AF1777" s="48"/>
      <c r="AG1777" s="48"/>
      <c r="AH1777" s="48"/>
      <c r="AI1777" s="48"/>
      <c r="AJ1777" s="48"/>
      <c r="AK1777" s="48"/>
      <c r="AL1777" s="48"/>
      <c r="AM1777" s="48"/>
      <c r="AN1777" s="48"/>
      <c r="AO1777" s="48"/>
      <c r="AP1777" s="48"/>
      <c r="AQ1777" s="48"/>
      <c r="AR1777" s="48"/>
      <c r="AS1777" s="48"/>
      <c r="AT1777" s="48"/>
      <c r="AU1777" s="48"/>
      <c r="AV1777" s="48"/>
      <c r="AW1777" s="48"/>
      <c r="AX1777" s="48"/>
      <c r="AY1777" s="48"/>
      <c r="AZ1777" s="48"/>
      <c r="BA1777" s="48"/>
      <c r="BB1777" s="48"/>
      <c r="BC1777" s="48"/>
      <c r="BD1777" s="48"/>
    </row>
    <row r="1778" spans="1:56">
      <c r="A1778" s="86"/>
      <c r="B1778" s="86"/>
      <c r="C1778" s="87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  <c r="S1778" s="86"/>
      <c r="T1778" s="86"/>
      <c r="U1778" s="86"/>
      <c r="V1778" s="48"/>
      <c r="W1778" s="48"/>
      <c r="X1778" s="48"/>
      <c r="Y1778" s="48"/>
      <c r="Z1778" s="48"/>
      <c r="AA1778" s="48"/>
      <c r="AB1778" s="48"/>
      <c r="AC1778" s="48"/>
      <c r="AD1778" s="48"/>
      <c r="AE1778" s="48"/>
      <c r="AF1778" s="48"/>
      <c r="AG1778" s="48"/>
      <c r="AH1778" s="48"/>
      <c r="AI1778" s="48"/>
      <c r="AJ1778" s="48"/>
      <c r="AK1778" s="48"/>
      <c r="AL1778" s="48"/>
      <c r="AM1778" s="48"/>
      <c r="AN1778" s="48"/>
      <c r="AO1778" s="48"/>
      <c r="AP1778" s="48"/>
      <c r="AQ1778" s="48"/>
      <c r="AR1778" s="48"/>
      <c r="AS1778" s="48"/>
      <c r="AT1778" s="48"/>
      <c r="AU1778" s="48"/>
      <c r="AV1778" s="48"/>
      <c r="AW1778" s="48"/>
      <c r="AX1778" s="48"/>
      <c r="AY1778" s="48"/>
      <c r="AZ1778" s="48"/>
      <c r="BA1778" s="48"/>
      <c r="BB1778" s="48"/>
      <c r="BC1778" s="48"/>
      <c r="BD1778" s="48"/>
    </row>
    <row r="1779" spans="1:56">
      <c r="A1779" s="86"/>
      <c r="B1779" s="86"/>
      <c r="C1779" s="87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  <c r="S1779" s="86"/>
      <c r="T1779" s="86"/>
      <c r="U1779" s="86"/>
      <c r="V1779" s="48"/>
      <c r="W1779" s="48"/>
      <c r="X1779" s="48"/>
      <c r="Y1779" s="48"/>
      <c r="Z1779" s="48"/>
      <c r="AA1779" s="48"/>
      <c r="AB1779" s="48"/>
      <c r="AC1779" s="48"/>
      <c r="AD1779" s="48"/>
      <c r="AE1779" s="48"/>
      <c r="AF1779" s="48"/>
      <c r="AG1779" s="48"/>
      <c r="AH1779" s="48"/>
      <c r="AI1779" s="48"/>
      <c r="AJ1779" s="48"/>
      <c r="AK1779" s="48"/>
      <c r="AL1779" s="48"/>
      <c r="AM1779" s="48"/>
      <c r="AN1779" s="48"/>
      <c r="AO1779" s="48"/>
      <c r="AP1779" s="48"/>
      <c r="AQ1779" s="48"/>
      <c r="AR1779" s="48"/>
      <c r="AS1779" s="48"/>
      <c r="AT1779" s="48"/>
      <c r="AU1779" s="48"/>
      <c r="AV1779" s="48"/>
      <c r="AW1779" s="48"/>
      <c r="AX1779" s="48"/>
      <c r="AY1779" s="48"/>
      <c r="AZ1779" s="48"/>
      <c r="BA1779" s="48"/>
      <c r="BB1779" s="48"/>
      <c r="BC1779" s="48"/>
      <c r="BD1779" s="48"/>
    </row>
    <row r="1780" spans="1:56">
      <c r="A1780" s="86"/>
      <c r="B1780" s="86"/>
      <c r="C1780" s="87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  <c r="S1780" s="86"/>
      <c r="T1780" s="86"/>
      <c r="U1780" s="86"/>
      <c r="V1780" s="48"/>
      <c r="W1780" s="48"/>
      <c r="X1780" s="48"/>
      <c r="Y1780" s="48"/>
      <c r="Z1780" s="48"/>
      <c r="AA1780" s="48"/>
      <c r="AB1780" s="48"/>
      <c r="AC1780" s="48"/>
      <c r="AD1780" s="48"/>
      <c r="AE1780" s="48"/>
      <c r="AF1780" s="48"/>
      <c r="AG1780" s="48"/>
      <c r="AH1780" s="48"/>
      <c r="AI1780" s="48"/>
      <c r="AJ1780" s="48"/>
      <c r="AK1780" s="48"/>
      <c r="AL1780" s="48"/>
      <c r="AM1780" s="48"/>
      <c r="AN1780" s="48"/>
      <c r="AO1780" s="48"/>
      <c r="AP1780" s="48"/>
      <c r="AQ1780" s="48"/>
      <c r="AR1780" s="48"/>
      <c r="AS1780" s="48"/>
      <c r="AT1780" s="48"/>
      <c r="AU1780" s="48"/>
      <c r="AV1780" s="48"/>
      <c r="AW1780" s="48"/>
      <c r="AX1780" s="48"/>
      <c r="AY1780" s="48"/>
      <c r="AZ1780" s="48"/>
      <c r="BA1780" s="48"/>
      <c r="BB1780" s="48"/>
      <c r="BC1780" s="48"/>
      <c r="BD1780" s="48"/>
    </row>
    <row r="1781" spans="1:56">
      <c r="A1781" s="86"/>
      <c r="B1781" s="86"/>
      <c r="C1781" s="87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  <c r="S1781" s="86"/>
      <c r="T1781" s="86"/>
      <c r="U1781" s="86"/>
      <c r="V1781" s="48"/>
      <c r="W1781" s="48"/>
      <c r="X1781" s="48"/>
      <c r="Y1781" s="48"/>
      <c r="Z1781" s="48"/>
      <c r="AA1781" s="48"/>
      <c r="AB1781" s="48"/>
      <c r="AC1781" s="48"/>
      <c r="AD1781" s="48"/>
      <c r="AE1781" s="48"/>
      <c r="AF1781" s="48"/>
      <c r="AG1781" s="48"/>
      <c r="AH1781" s="48"/>
      <c r="AI1781" s="48"/>
      <c r="AJ1781" s="48"/>
      <c r="AK1781" s="48"/>
      <c r="AL1781" s="48"/>
      <c r="AM1781" s="48"/>
      <c r="AN1781" s="48"/>
      <c r="AO1781" s="48"/>
      <c r="AP1781" s="48"/>
      <c r="AQ1781" s="48"/>
      <c r="AR1781" s="48"/>
      <c r="AS1781" s="48"/>
      <c r="AT1781" s="48"/>
      <c r="AU1781" s="48"/>
      <c r="AV1781" s="48"/>
      <c r="AW1781" s="48"/>
      <c r="AX1781" s="48"/>
      <c r="AY1781" s="48"/>
      <c r="AZ1781" s="48"/>
      <c r="BA1781" s="48"/>
      <c r="BB1781" s="48"/>
      <c r="BC1781" s="48"/>
      <c r="BD1781" s="48"/>
    </row>
    <row r="1782" spans="1:56">
      <c r="A1782" s="86"/>
      <c r="B1782" s="86"/>
      <c r="C1782" s="87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  <c r="S1782" s="86"/>
      <c r="T1782" s="86"/>
      <c r="U1782" s="86"/>
      <c r="V1782" s="48"/>
      <c r="W1782" s="48"/>
      <c r="X1782" s="48"/>
      <c r="Y1782" s="48"/>
      <c r="Z1782" s="48"/>
      <c r="AA1782" s="48"/>
      <c r="AB1782" s="48"/>
      <c r="AC1782" s="48"/>
      <c r="AD1782" s="48"/>
      <c r="AE1782" s="48"/>
      <c r="AF1782" s="48"/>
      <c r="AG1782" s="48"/>
      <c r="AH1782" s="48"/>
      <c r="AI1782" s="48"/>
      <c r="AJ1782" s="48"/>
      <c r="AK1782" s="48"/>
      <c r="AL1782" s="48"/>
      <c r="AM1782" s="48"/>
      <c r="AN1782" s="48"/>
      <c r="AO1782" s="48"/>
      <c r="AP1782" s="48"/>
      <c r="AQ1782" s="48"/>
      <c r="AR1782" s="48"/>
      <c r="AS1782" s="48"/>
      <c r="AT1782" s="48"/>
      <c r="AU1782" s="48"/>
      <c r="AV1782" s="48"/>
      <c r="AW1782" s="48"/>
      <c r="AX1782" s="48"/>
      <c r="AY1782" s="48"/>
      <c r="AZ1782" s="48"/>
      <c r="BA1782" s="48"/>
      <c r="BB1782" s="48"/>
      <c r="BC1782" s="48"/>
      <c r="BD1782" s="48"/>
    </row>
    <row r="1783" spans="1:56">
      <c r="A1783" s="86"/>
      <c r="B1783" s="86"/>
      <c r="C1783" s="87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  <c r="S1783" s="86"/>
      <c r="T1783" s="86"/>
      <c r="U1783" s="86"/>
      <c r="V1783" s="48"/>
      <c r="W1783" s="48"/>
      <c r="X1783" s="48"/>
      <c r="Y1783" s="48"/>
      <c r="Z1783" s="48"/>
      <c r="AA1783" s="48"/>
      <c r="AB1783" s="48"/>
      <c r="AC1783" s="48"/>
      <c r="AD1783" s="48"/>
      <c r="AE1783" s="48"/>
      <c r="AF1783" s="48"/>
      <c r="AG1783" s="48"/>
      <c r="AH1783" s="48"/>
      <c r="AI1783" s="48"/>
      <c r="AJ1783" s="48"/>
      <c r="AK1783" s="48"/>
      <c r="AL1783" s="48"/>
      <c r="AM1783" s="48"/>
      <c r="AN1783" s="48"/>
      <c r="AO1783" s="48"/>
      <c r="AP1783" s="48"/>
      <c r="AQ1783" s="48"/>
      <c r="AR1783" s="48"/>
      <c r="AS1783" s="48"/>
      <c r="AT1783" s="48"/>
      <c r="AU1783" s="48"/>
      <c r="AV1783" s="48"/>
      <c r="AW1783" s="48"/>
      <c r="AX1783" s="48"/>
      <c r="AY1783" s="48"/>
      <c r="AZ1783" s="48"/>
      <c r="BA1783" s="48"/>
      <c r="BB1783" s="48"/>
      <c r="BC1783" s="48"/>
      <c r="BD1783" s="48"/>
    </row>
    <row r="1784" spans="1:56">
      <c r="A1784" s="86"/>
      <c r="B1784" s="86"/>
      <c r="C1784" s="87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  <c r="S1784" s="86"/>
      <c r="T1784" s="86"/>
      <c r="U1784" s="86"/>
      <c r="V1784" s="48"/>
      <c r="W1784" s="48"/>
      <c r="X1784" s="48"/>
      <c r="Y1784" s="48"/>
      <c r="Z1784" s="48"/>
      <c r="AA1784" s="48"/>
      <c r="AB1784" s="48"/>
      <c r="AC1784" s="48"/>
      <c r="AD1784" s="48"/>
      <c r="AE1784" s="48"/>
      <c r="AF1784" s="48"/>
      <c r="AG1784" s="48"/>
      <c r="AH1784" s="48"/>
      <c r="AI1784" s="48"/>
      <c r="AJ1784" s="48"/>
      <c r="AK1784" s="48"/>
      <c r="AL1784" s="48"/>
      <c r="AM1784" s="48"/>
      <c r="AN1784" s="48"/>
      <c r="AO1784" s="48"/>
      <c r="AP1784" s="48"/>
      <c r="AQ1784" s="48"/>
      <c r="AR1784" s="48"/>
      <c r="AS1784" s="48"/>
      <c r="AT1784" s="48"/>
      <c r="AU1784" s="48"/>
      <c r="AV1784" s="48"/>
      <c r="AW1784" s="48"/>
      <c r="AX1784" s="48"/>
      <c r="AY1784" s="48"/>
      <c r="AZ1784" s="48"/>
      <c r="BA1784" s="48"/>
      <c r="BB1784" s="48"/>
      <c r="BC1784" s="48"/>
      <c r="BD1784" s="48"/>
    </row>
    <row r="1785" spans="1:56">
      <c r="A1785" s="86"/>
      <c r="B1785" s="86"/>
      <c r="C1785" s="87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  <c r="S1785" s="86"/>
      <c r="T1785" s="86"/>
      <c r="U1785" s="86"/>
      <c r="V1785" s="48"/>
      <c r="W1785" s="48"/>
      <c r="X1785" s="48"/>
      <c r="Y1785" s="48"/>
      <c r="Z1785" s="48"/>
      <c r="AA1785" s="48"/>
      <c r="AB1785" s="48"/>
      <c r="AC1785" s="48"/>
      <c r="AD1785" s="48"/>
      <c r="AE1785" s="48"/>
      <c r="AF1785" s="48"/>
      <c r="AG1785" s="48"/>
      <c r="AH1785" s="48"/>
      <c r="AI1785" s="48"/>
      <c r="AJ1785" s="48"/>
      <c r="AK1785" s="48"/>
      <c r="AL1785" s="48"/>
      <c r="AM1785" s="48"/>
      <c r="AN1785" s="48"/>
      <c r="AO1785" s="48"/>
      <c r="AP1785" s="48"/>
      <c r="AQ1785" s="48"/>
      <c r="AR1785" s="48"/>
      <c r="AS1785" s="48"/>
      <c r="AT1785" s="48"/>
      <c r="AU1785" s="48"/>
      <c r="AV1785" s="48"/>
      <c r="AW1785" s="48"/>
      <c r="AX1785" s="48"/>
      <c r="AY1785" s="48"/>
      <c r="AZ1785" s="48"/>
      <c r="BA1785" s="48"/>
      <c r="BB1785" s="48"/>
      <c r="BC1785" s="48"/>
      <c r="BD1785" s="48"/>
    </row>
    <row r="1786" spans="1:56">
      <c r="A1786" s="86"/>
      <c r="B1786" s="86"/>
      <c r="C1786" s="87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  <c r="S1786" s="86"/>
      <c r="T1786" s="86"/>
      <c r="U1786" s="86"/>
      <c r="V1786" s="48"/>
      <c r="W1786" s="48"/>
      <c r="X1786" s="48"/>
      <c r="Y1786" s="48"/>
      <c r="Z1786" s="48"/>
      <c r="AA1786" s="48"/>
      <c r="AB1786" s="48"/>
      <c r="AC1786" s="48"/>
      <c r="AD1786" s="48"/>
      <c r="AE1786" s="48"/>
      <c r="AF1786" s="48"/>
      <c r="AG1786" s="48"/>
      <c r="AH1786" s="48"/>
      <c r="AI1786" s="48"/>
      <c r="AJ1786" s="48"/>
      <c r="AK1786" s="48"/>
      <c r="AL1786" s="48"/>
      <c r="AM1786" s="48"/>
      <c r="AN1786" s="48"/>
      <c r="AO1786" s="48"/>
      <c r="AP1786" s="48"/>
      <c r="AQ1786" s="48"/>
      <c r="AR1786" s="48"/>
      <c r="AS1786" s="48"/>
      <c r="AT1786" s="48"/>
      <c r="AU1786" s="48"/>
      <c r="AV1786" s="48"/>
      <c r="AW1786" s="48"/>
      <c r="AX1786" s="48"/>
      <c r="AY1786" s="48"/>
      <c r="AZ1786" s="48"/>
      <c r="BA1786" s="48"/>
      <c r="BB1786" s="48"/>
      <c r="BC1786" s="48"/>
      <c r="BD1786" s="48"/>
    </row>
    <row r="1787" spans="1:56">
      <c r="A1787" s="86"/>
      <c r="B1787" s="86"/>
      <c r="C1787" s="87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  <c r="S1787" s="86"/>
      <c r="T1787" s="86"/>
      <c r="U1787" s="86"/>
      <c r="V1787" s="48"/>
      <c r="W1787" s="48"/>
      <c r="X1787" s="48"/>
      <c r="Y1787" s="48"/>
      <c r="Z1787" s="48"/>
      <c r="AA1787" s="48"/>
      <c r="AB1787" s="48"/>
      <c r="AC1787" s="48"/>
      <c r="AD1787" s="48"/>
      <c r="AE1787" s="48"/>
      <c r="AF1787" s="48"/>
      <c r="AG1787" s="48"/>
      <c r="AH1787" s="48"/>
      <c r="AI1787" s="48"/>
      <c r="AJ1787" s="48"/>
      <c r="AK1787" s="48"/>
      <c r="AL1787" s="48"/>
      <c r="AM1787" s="48"/>
      <c r="AN1787" s="48"/>
      <c r="AO1787" s="48"/>
      <c r="AP1787" s="48"/>
      <c r="AQ1787" s="48"/>
      <c r="AR1787" s="48"/>
      <c r="AS1787" s="48"/>
      <c r="AT1787" s="48"/>
      <c r="AU1787" s="48"/>
      <c r="AV1787" s="48"/>
      <c r="AW1787" s="48"/>
      <c r="AX1787" s="48"/>
      <c r="AY1787" s="48"/>
      <c r="AZ1787" s="48"/>
      <c r="BA1787" s="48"/>
      <c r="BB1787" s="48"/>
      <c r="BC1787" s="48"/>
      <c r="BD1787" s="48"/>
    </row>
    <row r="1788" spans="1:56">
      <c r="A1788" s="86"/>
      <c r="B1788" s="86"/>
      <c r="C1788" s="87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  <c r="S1788" s="86"/>
      <c r="T1788" s="86"/>
      <c r="U1788" s="86"/>
      <c r="V1788" s="48"/>
      <c r="W1788" s="48"/>
      <c r="X1788" s="48"/>
      <c r="Y1788" s="48"/>
      <c r="Z1788" s="48"/>
      <c r="AA1788" s="48"/>
      <c r="AB1788" s="48"/>
      <c r="AC1788" s="48"/>
      <c r="AD1788" s="48"/>
      <c r="AE1788" s="48"/>
      <c r="AF1788" s="48"/>
      <c r="AG1788" s="48"/>
      <c r="AH1788" s="48"/>
      <c r="AI1788" s="48"/>
      <c r="AJ1788" s="48"/>
      <c r="AK1788" s="48"/>
      <c r="AL1788" s="48"/>
      <c r="AM1788" s="48"/>
      <c r="AN1788" s="48"/>
      <c r="AO1788" s="48"/>
      <c r="AP1788" s="48"/>
      <c r="AQ1788" s="48"/>
      <c r="AR1788" s="48"/>
      <c r="AS1788" s="48"/>
      <c r="AT1788" s="48"/>
      <c r="AU1788" s="48"/>
      <c r="AV1788" s="48"/>
      <c r="AW1788" s="48"/>
      <c r="AX1788" s="48"/>
      <c r="AY1788" s="48"/>
      <c r="AZ1788" s="48"/>
      <c r="BA1788" s="48"/>
      <c r="BB1788" s="48"/>
      <c r="BC1788" s="48"/>
      <c r="BD1788" s="48"/>
    </row>
    <row r="1789" spans="1:56">
      <c r="A1789" s="86"/>
      <c r="B1789" s="86"/>
      <c r="C1789" s="87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  <c r="S1789" s="86"/>
      <c r="T1789" s="86"/>
      <c r="U1789" s="86"/>
      <c r="V1789" s="48"/>
      <c r="W1789" s="48"/>
      <c r="X1789" s="48"/>
      <c r="Y1789" s="48"/>
      <c r="Z1789" s="48"/>
      <c r="AA1789" s="48"/>
      <c r="AB1789" s="48"/>
      <c r="AC1789" s="48"/>
      <c r="AD1789" s="48"/>
      <c r="AE1789" s="48"/>
      <c r="AF1789" s="48"/>
      <c r="AG1789" s="48"/>
      <c r="AH1789" s="48"/>
      <c r="AI1789" s="48"/>
      <c r="AJ1789" s="48"/>
      <c r="AK1789" s="48"/>
      <c r="AL1789" s="48"/>
      <c r="AM1789" s="48"/>
      <c r="AN1789" s="48"/>
      <c r="AO1789" s="48"/>
      <c r="AP1789" s="48"/>
      <c r="AQ1789" s="48"/>
      <c r="AR1789" s="48"/>
      <c r="AS1789" s="48"/>
      <c r="AT1789" s="48"/>
      <c r="AU1789" s="48"/>
      <c r="AV1789" s="48"/>
      <c r="AW1789" s="48"/>
      <c r="AX1789" s="48"/>
      <c r="AY1789" s="48"/>
      <c r="AZ1789" s="48"/>
      <c r="BA1789" s="48"/>
      <c r="BB1789" s="48"/>
      <c r="BC1789" s="48"/>
      <c r="BD1789" s="48"/>
    </row>
    <row r="1790" spans="1:56">
      <c r="A1790" s="86"/>
      <c r="B1790" s="86"/>
      <c r="C1790" s="87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  <c r="S1790" s="86"/>
      <c r="T1790" s="86"/>
      <c r="U1790" s="86"/>
      <c r="V1790" s="48"/>
      <c r="W1790" s="48"/>
      <c r="X1790" s="48"/>
      <c r="Y1790" s="48"/>
      <c r="Z1790" s="48"/>
      <c r="AA1790" s="48"/>
      <c r="AB1790" s="48"/>
      <c r="AC1790" s="48"/>
      <c r="AD1790" s="48"/>
      <c r="AE1790" s="48"/>
      <c r="AF1790" s="48"/>
      <c r="AG1790" s="48"/>
      <c r="AH1790" s="48"/>
      <c r="AI1790" s="48"/>
      <c r="AJ1790" s="48"/>
      <c r="AK1790" s="48"/>
      <c r="AL1790" s="48"/>
      <c r="AM1790" s="48"/>
      <c r="AN1790" s="48"/>
      <c r="AO1790" s="48"/>
      <c r="AP1790" s="48"/>
      <c r="AQ1790" s="48"/>
      <c r="AR1790" s="48"/>
      <c r="AS1790" s="48"/>
      <c r="AT1790" s="48"/>
      <c r="AU1790" s="48"/>
      <c r="AV1790" s="48"/>
      <c r="AW1790" s="48"/>
      <c r="AX1790" s="48"/>
      <c r="AY1790" s="48"/>
      <c r="AZ1790" s="48"/>
      <c r="BA1790" s="48"/>
      <c r="BB1790" s="48"/>
      <c r="BC1790" s="48"/>
      <c r="BD1790" s="48"/>
    </row>
    <row r="1791" spans="1:56">
      <c r="A1791" s="86"/>
      <c r="B1791" s="86"/>
      <c r="C1791" s="87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  <c r="S1791" s="86"/>
      <c r="T1791" s="86"/>
      <c r="U1791" s="86"/>
      <c r="V1791" s="48"/>
      <c r="W1791" s="48"/>
      <c r="X1791" s="48"/>
      <c r="Y1791" s="48"/>
      <c r="Z1791" s="48"/>
      <c r="AA1791" s="48"/>
      <c r="AB1791" s="48"/>
      <c r="AC1791" s="48"/>
      <c r="AD1791" s="48"/>
      <c r="AE1791" s="48"/>
      <c r="AF1791" s="48"/>
      <c r="AG1791" s="48"/>
      <c r="AH1791" s="48"/>
      <c r="AI1791" s="48"/>
      <c r="AJ1791" s="48"/>
      <c r="AK1791" s="48"/>
      <c r="AL1791" s="48"/>
      <c r="AM1791" s="48"/>
      <c r="AN1791" s="48"/>
      <c r="AO1791" s="48"/>
      <c r="AP1791" s="48"/>
      <c r="AQ1791" s="48"/>
      <c r="AR1791" s="48"/>
      <c r="AS1791" s="48"/>
      <c r="AT1791" s="48"/>
      <c r="AU1791" s="48"/>
      <c r="AV1791" s="48"/>
      <c r="AW1791" s="48"/>
      <c r="AX1791" s="48"/>
      <c r="AY1791" s="48"/>
      <c r="AZ1791" s="48"/>
      <c r="BA1791" s="48"/>
      <c r="BB1791" s="48"/>
      <c r="BC1791" s="48"/>
      <c r="BD1791" s="48"/>
    </row>
    <row r="1792" spans="1:56">
      <c r="A1792" s="86"/>
      <c r="B1792" s="86"/>
      <c r="C1792" s="87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  <c r="S1792" s="86"/>
      <c r="T1792" s="86"/>
      <c r="U1792" s="86"/>
      <c r="V1792" s="48"/>
      <c r="W1792" s="48"/>
      <c r="X1792" s="48"/>
      <c r="Y1792" s="48"/>
      <c r="Z1792" s="48"/>
      <c r="AA1792" s="48"/>
      <c r="AB1792" s="48"/>
      <c r="AC1792" s="48"/>
      <c r="AD1792" s="48"/>
      <c r="AE1792" s="48"/>
      <c r="AF1792" s="48"/>
      <c r="AG1792" s="48"/>
      <c r="AH1792" s="48"/>
      <c r="AI1792" s="48"/>
      <c r="AJ1792" s="48"/>
      <c r="AK1792" s="48"/>
      <c r="AL1792" s="48"/>
      <c r="AM1792" s="48"/>
      <c r="AN1792" s="48"/>
      <c r="AO1792" s="48"/>
      <c r="AP1792" s="48"/>
      <c r="AQ1792" s="48"/>
      <c r="AR1792" s="48"/>
      <c r="AS1792" s="48"/>
      <c r="AT1792" s="48"/>
      <c r="AU1792" s="48"/>
      <c r="AV1792" s="48"/>
      <c r="AW1792" s="48"/>
      <c r="AX1792" s="48"/>
      <c r="AY1792" s="48"/>
      <c r="AZ1792" s="48"/>
      <c r="BA1792" s="48"/>
      <c r="BB1792" s="48"/>
      <c r="BC1792" s="48"/>
      <c r="BD1792" s="48"/>
    </row>
    <row r="1793" spans="1:56">
      <c r="A1793" s="86"/>
      <c r="B1793" s="86"/>
      <c r="C1793" s="87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  <c r="S1793" s="86"/>
      <c r="T1793" s="86"/>
      <c r="U1793" s="86"/>
      <c r="V1793" s="48"/>
      <c r="W1793" s="48"/>
      <c r="X1793" s="48"/>
      <c r="Y1793" s="48"/>
      <c r="Z1793" s="48"/>
      <c r="AA1793" s="48"/>
      <c r="AB1793" s="48"/>
      <c r="AC1793" s="48"/>
      <c r="AD1793" s="48"/>
      <c r="AE1793" s="48"/>
      <c r="AF1793" s="48"/>
      <c r="AG1793" s="48"/>
      <c r="AH1793" s="48"/>
      <c r="AI1793" s="48"/>
      <c r="AJ1793" s="48"/>
      <c r="AK1793" s="48"/>
      <c r="AL1793" s="48"/>
      <c r="AM1793" s="48"/>
      <c r="AN1793" s="48"/>
      <c r="AO1793" s="48"/>
      <c r="AP1793" s="48"/>
      <c r="AQ1793" s="48"/>
      <c r="AR1793" s="48"/>
      <c r="AS1793" s="48"/>
      <c r="AT1793" s="48"/>
      <c r="AU1793" s="48"/>
      <c r="AV1793" s="48"/>
      <c r="AW1793" s="48"/>
      <c r="AX1793" s="48"/>
      <c r="AY1793" s="48"/>
      <c r="AZ1793" s="48"/>
      <c r="BA1793" s="48"/>
      <c r="BB1793" s="48"/>
      <c r="BC1793" s="48"/>
      <c r="BD1793" s="48"/>
    </row>
    <row r="1794" spans="1:56">
      <c r="A1794" s="86"/>
      <c r="B1794" s="86"/>
      <c r="C1794" s="87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  <c r="S1794" s="86"/>
      <c r="T1794" s="86"/>
      <c r="U1794" s="86"/>
      <c r="V1794" s="48"/>
      <c r="W1794" s="48"/>
      <c r="X1794" s="48"/>
      <c r="Y1794" s="48"/>
      <c r="Z1794" s="48"/>
      <c r="AA1794" s="48"/>
      <c r="AB1794" s="48"/>
      <c r="AC1794" s="48"/>
      <c r="AD1794" s="48"/>
      <c r="AE1794" s="48"/>
      <c r="AF1794" s="48"/>
      <c r="AG1794" s="48"/>
      <c r="AH1794" s="48"/>
      <c r="AI1794" s="48"/>
      <c r="AJ1794" s="48"/>
      <c r="AK1794" s="48"/>
      <c r="AL1794" s="48"/>
      <c r="AM1794" s="48"/>
      <c r="AN1794" s="48"/>
      <c r="AO1794" s="48"/>
      <c r="AP1794" s="48"/>
      <c r="AQ1794" s="48"/>
      <c r="AR1794" s="48"/>
      <c r="AS1794" s="48"/>
      <c r="AT1794" s="48"/>
      <c r="AU1794" s="48"/>
      <c r="AV1794" s="48"/>
      <c r="AW1794" s="48"/>
      <c r="AX1794" s="48"/>
      <c r="AY1794" s="48"/>
      <c r="AZ1794" s="48"/>
      <c r="BA1794" s="48"/>
      <c r="BB1794" s="48"/>
      <c r="BC1794" s="48"/>
      <c r="BD1794" s="48"/>
    </row>
    <row r="1795" spans="1:56">
      <c r="A1795" s="86"/>
      <c r="B1795" s="86"/>
      <c r="C1795" s="87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  <c r="S1795" s="86"/>
      <c r="T1795" s="86"/>
      <c r="U1795" s="86"/>
      <c r="V1795" s="48"/>
      <c r="W1795" s="48"/>
      <c r="X1795" s="48"/>
      <c r="Y1795" s="48"/>
      <c r="Z1795" s="48"/>
      <c r="AA1795" s="48"/>
      <c r="AB1795" s="48"/>
      <c r="AC1795" s="48"/>
      <c r="AD1795" s="48"/>
      <c r="AE1795" s="48"/>
      <c r="AF1795" s="48"/>
      <c r="AG1795" s="48"/>
      <c r="AH1795" s="48"/>
      <c r="AI1795" s="48"/>
      <c r="AJ1795" s="48"/>
      <c r="AK1795" s="48"/>
      <c r="AL1795" s="48"/>
      <c r="AM1795" s="48"/>
      <c r="AN1795" s="48"/>
      <c r="AO1795" s="48"/>
      <c r="AP1795" s="48"/>
      <c r="AQ1795" s="48"/>
      <c r="AR1795" s="48"/>
      <c r="AS1795" s="48"/>
      <c r="AT1795" s="48"/>
      <c r="AU1795" s="48"/>
      <c r="AV1795" s="48"/>
      <c r="AW1795" s="48"/>
      <c r="AX1795" s="48"/>
      <c r="AY1795" s="48"/>
      <c r="AZ1795" s="48"/>
      <c r="BA1795" s="48"/>
      <c r="BB1795" s="48"/>
      <c r="BC1795" s="48"/>
      <c r="BD1795" s="48"/>
    </row>
    <row r="1796" spans="1:56">
      <c r="A1796" s="86"/>
      <c r="B1796" s="86"/>
      <c r="C1796" s="87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  <c r="S1796" s="86"/>
      <c r="T1796" s="86"/>
      <c r="U1796" s="86"/>
      <c r="V1796" s="48"/>
      <c r="W1796" s="48"/>
      <c r="X1796" s="48"/>
      <c r="Y1796" s="48"/>
      <c r="Z1796" s="48"/>
      <c r="AA1796" s="48"/>
      <c r="AB1796" s="48"/>
      <c r="AC1796" s="48"/>
      <c r="AD1796" s="48"/>
      <c r="AE1796" s="48"/>
      <c r="AF1796" s="48"/>
      <c r="AG1796" s="48"/>
      <c r="AH1796" s="48"/>
      <c r="AI1796" s="48"/>
      <c r="AJ1796" s="48"/>
      <c r="AK1796" s="48"/>
      <c r="AL1796" s="48"/>
      <c r="AM1796" s="48"/>
      <c r="AN1796" s="48"/>
      <c r="AO1796" s="48"/>
      <c r="AP1796" s="48"/>
      <c r="AQ1796" s="48"/>
      <c r="AR1796" s="48"/>
      <c r="AS1796" s="48"/>
      <c r="AT1796" s="48"/>
      <c r="AU1796" s="48"/>
      <c r="AV1796" s="48"/>
      <c r="AW1796" s="48"/>
      <c r="AX1796" s="48"/>
      <c r="AY1796" s="48"/>
      <c r="AZ1796" s="48"/>
      <c r="BA1796" s="48"/>
      <c r="BB1796" s="48"/>
      <c r="BC1796" s="48"/>
      <c r="BD1796" s="48"/>
    </row>
    <row r="1797" spans="1:56">
      <c r="A1797" s="86"/>
      <c r="B1797" s="86"/>
      <c r="C1797" s="87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  <c r="S1797" s="86"/>
      <c r="T1797" s="86"/>
      <c r="U1797" s="86"/>
      <c r="V1797" s="48"/>
      <c r="W1797" s="48"/>
      <c r="X1797" s="48"/>
      <c r="Y1797" s="48"/>
      <c r="Z1797" s="48"/>
      <c r="AA1797" s="48"/>
      <c r="AB1797" s="48"/>
      <c r="AC1797" s="48"/>
      <c r="AD1797" s="48"/>
      <c r="AE1797" s="48"/>
      <c r="AF1797" s="48"/>
      <c r="AG1797" s="48"/>
      <c r="AH1797" s="48"/>
      <c r="AI1797" s="48"/>
      <c r="AJ1797" s="48"/>
      <c r="AK1797" s="48"/>
      <c r="AL1797" s="48"/>
      <c r="AM1797" s="48"/>
      <c r="AN1797" s="48"/>
      <c r="AO1797" s="48"/>
      <c r="AP1797" s="48"/>
      <c r="AQ1797" s="48"/>
      <c r="AR1797" s="48"/>
      <c r="AS1797" s="48"/>
      <c r="AT1797" s="48"/>
      <c r="AU1797" s="48"/>
      <c r="AV1797" s="48"/>
      <c r="AW1797" s="48"/>
      <c r="AX1797" s="48"/>
      <c r="AY1797" s="48"/>
      <c r="AZ1797" s="48"/>
      <c r="BA1797" s="48"/>
      <c r="BB1797" s="48"/>
      <c r="BC1797" s="48"/>
      <c r="BD1797" s="48"/>
    </row>
    <row r="1798" spans="1:56">
      <c r="A1798" s="86"/>
      <c r="B1798" s="86"/>
      <c r="C1798" s="87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  <c r="S1798" s="86"/>
      <c r="T1798" s="86"/>
      <c r="U1798" s="86"/>
      <c r="V1798" s="48"/>
      <c r="W1798" s="48"/>
      <c r="X1798" s="48"/>
      <c r="Y1798" s="48"/>
      <c r="Z1798" s="48"/>
      <c r="AA1798" s="48"/>
      <c r="AB1798" s="48"/>
      <c r="AC1798" s="48"/>
      <c r="AD1798" s="48"/>
      <c r="AE1798" s="48"/>
      <c r="AF1798" s="48"/>
      <c r="AG1798" s="48"/>
      <c r="AH1798" s="48"/>
      <c r="AI1798" s="48"/>
      <c r="AJ1798" s="48"/>
      <c r="AK1798" s="48"/>
      <c r="AL1798" s="48"/>
      <c r="AM1798" s="48"/>
      <c r="AN1798" s="48"/>
      <c r="AO1798" s="48"/>
      <c r="AP1798" s="48"/>
      <c r="AQ1798" s="48"/>
      <c r="AR1798" s="48"/>
      <c r="AS1798" s="48"/>
      <c r="AT1798" s="48"/>
      <c r="AU1798" s="48"/>
      <c r="AV1798" s="48"/>
      <c r="AW1798" s="48"/>
      <c r="AX1798" s="48"/>
      <c r="AY1798" s="48"/>
      <c r="AZ1798" s="48"/>
      <c r="BA1798" s="48"/>
      <c r="BB1798" s="48"/>
      <c r="BC1798" s="48"/>
      <c r="BD1798" s="48"/>
    </row>
    <row r="1799" spans="1:56">
      <c r="A1799" s="86"/>
      <c r="B1799" s="86"/>
      <c r="C1799" s="87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  <c r="S1799" s="86"/>
      <c r="T1799" s="86"/>
      <c r="U1799" s="86"/>
      <c r="V1799" s="48"/>
      <c r="W1799" s="48"/>
      <c r="X1799" s="48"/>
      <c r="Y1799" s="48"/>
      <c r="Z1799" s="48"/>
      <c r="AA1799" s="48"/>
      <c r="AB1799" s="48"/>
      <c r="AC1799" s="48"/>
      <c r="AD1799" s="48"/>
      <c r="AE1799" s="48"/>
      <c r="AF1799" s="48"/>
      <c r="AG1799" s="48"/>
      <c r="AH1799" s="48"/>
      <c r="AI1799" s="48"/>
      <c r="AJ1799" s="48"/>
      <c r="AK1799" s="48"/>
      <c r="AL1799" s="48"/>
      <c r="AM1799" s="48"/>
      <c r="AN1799" s="48"/>
      <c r="AO1799" s="48"/>
      <c r="AP1799" s="48"/>
      <c r="AQ1799" s="48"/>
      <c r="AR1799" s="48"/>
      <c r="AS1799" s="48"/>
      <c r="AT1799" s="48"/>
      <c r="AU1799" s="48"/>
      <c r="AV1799" s="48"/>
      <c r="AW1799" s="48"/>
      <c r="AX1799" s="48"/>
      <c r="AY1799" s="48"/>
      <c r="AZ1799" s="48"/>
      <c r="BA1799" s="48"/>
      <c r="BB1799" s="48"/>
      <c r="BC1799" s="48"/>
      <c r="BD1799" s="48"/>
    </row>
    <row r="1800" spans="1:56">
      <c r="A1800" s="86"/>
      <c r="B1800" s="86"/>
      <c r="C1800" s="87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  <c r="S1800" s="86"/>
      <c r="T1800" s="86"/>
      <c r="U1800" s="86"/>
      <c r="V1800" s="48"/>
      <c r="W1800" s="48"/>
      <c r="X1800" s="48"/>
      <c r="Y1800" s="48"/>
      <c r="Z1800" s="48"/>
      <c r="AA1800" s="48"/>
      <c r="AB1800" s="48"/>
      <c r="AC1800" s="48"/>
      <c r="AD1800" s="48"/>
      <c r="AE1800" s="48"/>
      <c r="AF1800" s="48"/>
      <c r="AG1800" s="48"/>
      <c r="AH1800" s="48"/>
      <c r="AI1800" s="48"/>
      <c r="AJ1800" s="48"/>
      <c r="AK1800" s="48"/>
      <c r="AL1800" s="48"/>
      <c r="AM1800" s="48"/>
      <c r="AN1800" s="48"/>
      <c r="AO1800" s="48"/>
      <c r="AP1800" s="48"/>
      <c r="AQ1800" s="48"/>
      <c r="AR1800" s="48"/>
      <c r="AS1800" s="48"/>
      <c r="AT1800" s="48"/>
      <c r="AU1800" s="48"/>
      <c r="AV1800" s="48"/>
      <c r="AW1800" s="48"/>
      <c r="AX1800" s="48"/>
      <c r="AY1800" s="48"/>
      <c r="AZ1800" s="48"/>
      <c r="BA1800" s="48"/>
      <c r="BB1800" s="48"/>
      <c r="BC1800" s="48"/>
      <c r="BD1800" s="48"/>
    </row>
    <row r="1801" spans="1:56">
      <c r="A1801" s="86"/>
      <c r="B1801" s="86"/>
      <c r="C1801" s="87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  <c r="S1801" s="86"/>
      <c r="T1801" s="86"/>
      <c r="U1801" s="86"/>
      <c r="V1801" s="48"/>
      <c r="W1801" s="48"/>
      <c r="X1801" s="48"/>
      <c r="Y1801" s="48"/>
      <c r="Z1801" s="48"/>
      <c r="AA1801" s="48"/>
      <c r="AB1801" s="48"/>
      <c r="AC1801" s="48"/>
      <c r="AD1801" s="48"/>
      <c r="AE1801" s="48"/>
      <c r="AF1801" s="48"/>
      <c r="AG1801" s="48"/>
      <c r="AH1801" s="48"/>
      <c r="AI1801" s="48"/>
      <c r="AJ1801" s="48"/>
      <c r="AK1801" s="48"/>
      <c r="AL1801" s="48"/>
      <c r="AM1801" s="48"/>
      <c r="AN1801" s="48"/>
      <c r="AO1801" s="48"/>
      <c r="AP1801" s="48"/>
      <c r="AQ1801" s="48"/>
      <c r="AR1801" s="48"/>
      <c r="AS1801" s="48"/>
      <c r="AT1801" s="48"/>
      <c r="AU1801" s="48"/>
      <c r="AV1801" s="48"/>
      <c r="AW1801" s="48"/>
      <c r="AX1801" s="48"/>
      <c r="AY1801" s="48"/>
      <c r="AZ1801" s="48"/>
      <c r="BA1801" s="48"/>
      <c r="BB1801" s="48"/>
      <c r="BC1801" s="48"/>
      <c r="BD1801" s="48"/>
    </row>
    <row r="1802" spans="1:56">
      <c r="A1802" s="86"/>
      <c r="B1802" s="86"/>
      <c r="C1802" s="87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  <c r="S1802" s="86"/>
      <c r="T1802" s="86"/>
      <c r="U1802" s="86"/>
      <c r="V1802" s="48"/>
      <c r="W1802" s="48"/>
      <c r="X1802" s="48"/>
      <c r="Y1802" s="48"/>
      <c r="Z1802" s="48"/>
      <c r="AA1802" s="48"/>
      <c r="AB1802" s="48"/>
      <c r="AC1802" s="48"/>
      <c r="AD1802" s="48"/>
      <c r="AE1802" s="48"/>
      <c r="AF1802" s="48"/>
      <c r="AG1802" s="48"/>
      <c r="AH1802" s="48"/>
      <c r="AI1802" s="48"/>
      <c r="AJ1802" s="48"/>
      <c r="AK1802" s="48"/>
      <c r="AL1802" s="48"/>
      <c r="AM1802" s="48"/>
      <c r="AN1802" s="48"/>
      <c r="AO1802" s="48"/>
      <c r="AP1802" s="48"/>
      <c r="AQ1802" s="48"/>
      <c r="AR1802" s="48"/>
      <c r="AS1802" s="48"/>
      <c r="AT1802" s="48"/>
      <c r="AU1802" s="48"/>
      <c r="AV1802" s="48"/>
      <c r="AW1802" s="48"/>
      <c r="AX1802" s="48"/>
      <c r="AY1802" s="48"/>
      <c r="AZ1802" s="48"/>
      <c r="BA1802" s="48"/>
      <c r="BB1802" s="48"/>
      <c r="BC1802" s="48"/>
      <c r="BD1802" s="48"/>
    </row>
    <row r="1803" spans="1:56">
      <c r="A1803" s="86"/>
      <c r="B1803" s="86"/>
      <c r="C1803" s="87"/>
      <c r="D1803" s="86"/>
      <c r="E1803" s="86"/>
      <c r="F1803" s="86"/>
      <c r="G1803" s="86"/>
      <c r="H1803" s="86"/>
      <c r="I1803" s="86"/>
      <c r="J1803" s="86"/>
      <c r="K1803" s="86"/>
      <c r="L1803" s="86"/>
      <c r="M1803" s="86"/>
      <c r="N1803" s="86"/>
      <c r="O1803" s="86"/>
      <c r="P1803" s="86"/>
      <c r="Q1803" s="86"/>
      <c r="R1803" s="86"/>
      <c r="S1803" s="86"/>
      <c r="T1803" s="86"/>
      <c r="U1803" s="86"/>
      <c r="V1803" s="48"/>
      <c r="W1803" s="48"/>
      <c r="X1803" s="48"/>
      <c r="Y1803" s="48"/>
      <c r="Z1803" s="48"/>
      <c r="AA1803" s="48"/>
      <c r="AB1803" s="48"/>
      <c r="AC1803" s="48"/>
      <c r="AD1803" s="48"/>
      <c r="AE1803" s="48"/>
      <c r="AF1803" s="48"/>
      <c r="AG1803" s="48"/>
      <c r="AH1803" s="48"/>
      <c r="AI1803" s="48"/>
      <c r="AJ1803" s="48"/>
      <c r="AK1803" s="48"/>
      <c r="AL1803" s="48"/>
      <c r="AM1803" s="48"/>
      <c r="AN1803" s="48"/>
      <c r="AO1803" s="48"/>
      <c r="AP1803" s="48"/>
      <c r="AQ1803" s="48"/>
      <c r="AR1803" s="48"/>
      <c r="AS1803" s="48"/>
      <c r="AT1803" s="48"/>
      <c r="AU1803" s="48"/>
      <c r="AV1803" s="48"/>
      <c r="AW1803" s="48"/>
      <c r="AX1803" s="48"/>
      <c r="AY1803" s="48"/>
      <c r="AZ1803" s="48"/>
      <c r="BA1803" s="48"/>
      <c r="BB1803" s="48"/>
      <c r="BC1803" s="48"/>
      <c r="BD1803" s="48"/>
    </row>
    <row r="1804" spans="1:56">
      <c r="A1804" s="86"/>
      <c r="B1804" s="86"/>
      <c r="C1804" s="87"/>
      <c r="D1804" s="86"/>
      <c r="E1804" s="86"/>
      <c r="F1804" s="86"/>
      <c r="G1804" s="86"/>
      <c r="H1804" s="86"/>
      <c r="I1804" s="86"/>
      <c r="J1804" s="86"/>
      <c r="K1804" s="86"/>
      <c r="L1804" s="86"/>
      <c r="M1804" s="86"/>
      <c r="N1804" s="86"/>
      <c r="O1804" s="86"/>
      <c r="P1804" s="86"/>
      <c r="Q1804" s="86"/>
      <c r="R1804" s="86"/>
      <c r="S1804" s="86"/>
      <c r="T1804" s="86"/>
      <c r="U1804" s="86"/>
      <c r="V1804" s="48"/>
      <c r="W1804" s="48"/>
      <c r="X1804" s="48"/>
      <c r="Y1804" s="48"/>
      <c r="Z1804" s="48"/>
      <c r="AA1804" s="48"/>
      <c r="AB1804" s="48"/>
      <c r="AC1804" s="48"/>
      <c r="AD1804" s="48"/>
      <c r="AE1804" s="48"/>
      <c r="AF1804" s="48"/>
      <c r="AG1804" s="48"/>
      <c r="AH1804" s="48"/>
      <c r="AI1804" s="48"/>
      <c r="AJ1804" s="48"/>
      <c r="AK1804" s="48"/>
      <c r="AL1804" s="48"/>
      <c r="AM1804" s="48"/>
      <c r="AN1804" s="48"/>
      <c r="AO1804" s="48"/>
      <c r="AP1804" s="48"/>
      <c r="AQ1804" s="48"/>
      <c r="AR1804" s="48"/>
      <c r="AS1804" s="48"/>
      <c r="AT1804" s="48"/>
      <c r="AU1804" s="48"/>
      <c r="AV1804" s="48"/>
      <c r="AW1804" s="48"/>
      <c r="AX1804" s="48"/>
      <c r="AY1804" s="48"/>
      <c r="AZ1804" s="48"/>
      <c r="BA1804" s="48"/>
      <c r="BB1804" s="48"/>
      <c r="BC1804" s="48"/>
      <c r="BD1804" s="48"/>
    </row>
    <row r="1805" spans="1:56">
      <c r="A1805" s="86"/>
      <c r="B1805" s="86"/>
      <c r="C1805" s="87"/>
      <c r="D1805" s="86"/>
      <c r="E1805" s="86"/>
      <c r="F1805" s="86"/>
      <c r="G1805" s="86"/>
      <c r="H1805" s="86"/>
      <c r="I1805" s="86"/>
      <c r="J1805" s="86"/>
      <c r="K1805" s="86"/>
      <c r="L1805" s="86"/>
      <c r="M1805" s="86"/>
      <c r="N1805" s="86"/>
      <c r="O1805" s="86"/>
      <c r="P1805" s="86"/>
      <c r="Q1805" s="86"/>
      <c r="R1805" s="86"/>
      <c r="S1805" s="86"/>
      <c r="T1805" s="86"/>
      <c r="U1805" s="86"/>
      <c r="V1805" s="48"/>
      <c r="W1805" s="48"/>
      <c r="X1805" s="48"/>
      <c r="Y1805" s="48"/>
      <c r="Z1805" s="48"/>
      <c r="AA1805" s="48"/>
      <c r="AB1805" s="48"/>
      <c r="AC1805" s="48"/>
      <c r="AD1805" s="48"/>
      <c r="AE1805" s="48"/>
      <c r="AF1805" s="48"/>
      <c r="AG1805" s="48"/>
      <c r="AH1805" s="48"/>
      <c r="AI1805" s="48"/>
      <c r="AJ1805" s="48"/>
      <c r="AK1805" s="48"/>
      <c r="AL1805" s="48"/>
      <c r="AM1805" s="48"/>
      <c r="AN1805" s="48"/>
      <c r="AO1805" s="48"/>
      <c r="AP1805" s="48"/>
      <c r="AQ1805" s="48"/>
      <c r="AR1805" s="48"/>
      <c r="AS1805" s="48"/>
      <c r="AT1805" s="48"/>
      <c r="AU1805" s="48"/>
      <c r="AV1805" s="48"/>
      <c r="AW1805" s="48"/>
      <c r="AX1805" s="48"/>
      <c r="AY1805" s="48"/>
      <c r="AZ1805" s="48"/>
      <c r="BA1805" s="48"/>
      <c r="BB1805" s="48"/>
      <c r="BC1805" s="48"/>
      <c r="BD1805" s="48"/>
    </row>
    <row r="1806" spans="1:56">
      <c r="A1806" s="86"/>
      <c r="B1806" s="86"/>
      <c r="C1806" s="87"/>
      <c r="D1806" s="86"/>
      <c r="E1806" s="86"/>
      <c r="F1806" s="86"/>
      <c r="G1806" s="86"/>
      <c r="H1806" s="86"/>
      <c r="I1806" s="86"/>
      <c r="J1806" s="86"/>
      <c r="K1806" s="86"/>
      <c r="L1806" s="86"/>
      <c r="M1806" s="86"/>
      <c r="N1806" s="86"/>
      <c r="O1806" s="86"/>
      <c r="P1806" s="86"/>
      <c r="Q1806" s="86"/>
      <c r="R1806" s="86"/>
      <c r="S1806" s="86"/>
      <c r="T1806" s="86"/>
      <c r="U1806" s="86"/>
      <c r="V1806" s="48"/>
      <c r="W1806" s="48"/>
      <c r="X1806" s="48"/>
      <c r="Y1806" s="48"/>
      <c r="Z1806" s="48"/>
      <c r="AA1806" s="48"/>
      <c r="AB1806" s="48"/>
      <c r="AC1806" s="48"/>
      <c r="AD1806" s="48"/>
      <c r="AE1806" s="48"/>
      <c r="AF1806" s="48"/>
      <c r="AG1806" s="48"/>
      <c r="AH1806" s="48"/>
      <c r="AI1806" s="48"/>
      <c r="AJ1806" s="48"/>
      <c r="AK1806" s="48"/>
      <c r="AL1806" s="48"/>
      <c r="AM1806" s="48"/>
      <c r="AN1806" s="48"/>
      <c r="AO1806" s="48"/>
      <c r="AP1806" s="48"/>
      <c r="AQ1806" s="48"/>
      <c r="AR1806" s="48"/>
      <c r="AS1806" s="48"/>
      <c r="AT1806" s="48"/>
      <c r="AU1806" s="48"/>
      <c r="AV1806" s="48"/>
      <c r="AW1806" s="48"/>
      <c r="AX1806" s="48"/>
      <c r="AY1806" s="48"/>
      <c r="AZ1806" s="48"/>
      <c r="BA1806" s="48"/>
      <c r="BB1806" s="48"/>
      <c r="BC1806" s="48"/>
      <c r="BD1806" s="48"/>
    </row>
    <row r="1807" spans="1:56">
      <c r="A1807" s="86"/>
      <c r="B1807" s="86"/>
      <c r="C1807" s="87"/>
      <c r="D1807" s="86"/>
      <c r="E1807" s="86"/>
      <c r="F1807" s="86"/>
      <c r="G1807" s="86"/>
      <c r="H1807" s="86"/>
      <c r="I1807" s="86"/>
      <c r="J1807" s="86"/>
      <c r="K1807" s="86"/>
      <c r="L1807" s="86"/>
      <c r="M1807" s="86"/>
      <c r="N1807" s="86"/>
      <c r="O1807" s="86"/>
      <c r="P1807" s="86"/>
      <c r="Q1807" s="86"/>
      <c r="R1807" s="86"/>
      <c r="S1807" s="86"/>
      <c r="T1807" s="86"/>
      <c r="U1807" s="86"/>
      <c r="V1807" s="48"/>
      <c r="W1807" s="48"/>
      <c r="X1807" s="48"/>
      <c r="Y1807" s="48"/>
      <c r="Z1807" s="48"/>
      <c r="AA1807" s="48"/>
      <c r="AB1807" s="48"/>
      <c r="AC1807" s="48"/>
      <c r="AD1807" s="48"/>
      <c r="AE1807" s="48"/>
      <c r="AF1807" s="48"/>
      <c r="AG1807" s="48"/>
      <c r="AH1807" s="48"/>
      <c r="AI1807" s="48"/>
      <c r="AJ1807" s="48"/>
      <c r="AK1807" s="48"/>
      <c r="AL1807" s="48"/>
      <c r="AM1807" s="48"/>
      <c r="AN1807" s="48"/>
      <c r="AO1807" s="48"/>
      <c r="AP1807" s="48"/>
      <c r="AQ1807" s="48"/>
      <c r="AR1807" s="48"/>
      <c r="AS1807" s="48"/>
      <c r="AT1807" s="48"/>
      <c r="AU1807" s="48"/>
      <c r="AV1807" s="48"/>
      <c r="AW1807" s="48"/>
      <c r="AX1807" s="48"/>
      <c r="AY1807" s="48"/>
      <c r="AZ1807" s="48"/>
      <c r="BA1807" s="48"/>
      <c r="BB1807" s="48"/>
      <c r="BC1807" s="48"/>
      <c r="BD1807" s="48"/>
    </row>
    <row r="1808" spans="1:56">
      <c r="A1808" s="86"/>
      <c r="B1808" s="86"/>
      <c r="C1808" s="87"/>
      <c r="D1808" s="86"/>
      <c r="E1808" s="86"/>
      <c r="F1808" s="86"/>
      <c r="G1808" s="86"/>
      <c r="H1808" s="86"/>
      <c r="I1808" s="86"/>
      <c r="J1808" s="86"/>
      <c r="K1808" s="86"/>
      <c r="L1808" s="86"/>
      <c r="M1808" s="86"/>
      <c r="N1808" s="86"/>
      <c r="O1808" s="86"/>
      <c r="P1808" s="86"/>
      <c r="Q1808" s="86"/>
      <c r="R1808" s="86"/>
      <c r="S1808" s="86"/>
      <c r="T1808" s="86"/>
      <c r="U1808" s="86"/>
      <c r="V1808" s="48"/>
      <c r="W1808" s="48"/>
      <c r="X1808" s="48"/>
      <c r="Y1808" s="48"/>
      <c r="Z1808" s="48"/>
      <c r="AA1808" s="48"/>
      <c r="AB1808" s="48"/>
      <c r="AC1808" s="48"/>
      <c r="AD1808" s="48"/>
      <c r="AE1808" s="48"/>
      <c r="AF1808" s="48"/>
      <c r="AG1808" s="48"/>
      <c r="AH1808" s="48"/>
      <c r="AI1808" s="48"/>
      <c r="AJ1808" s="48"/>
      <c r="AK1808" s="48"/>
      <c r="AL1808" s="48"/>
      <c r="AM1808" s="48"/>
      <c r="AN1808" s="48"/>
      <c r="AO1808" s="48"/>
      <c r="AP1808" s="48"/>
      <c r="AQ1808" s="48"/>
      <c r="AR1808" s="48"/>
      <c r="AS1808" s="48"/>
      <c r="AT1808" s="48"/>
      <c r="AU1808" s="48"/>
      <c r="AV1808" s="48"/>
      <c r="AW1808" s="48"/>
      <c r="AX1808" s="48"/>
      <c r="AY1808" s="48"/>
      <c r="AZ1808" s="48"/>
      <c r="BA1808" s="48"/>
      <c r="BB1808" s="48"/>
      <c r="BC1808" s="48"/>
      <c r="BD1808" s="48"/>
    </row>
    <row r="1809" spans="1:56">
      <c r="A1809" s="86"/>
      <c r="B1809" s="86"/>
      <c r="C1809" s="87"/>
      <c r="D1809" s="86"/>
      <c r="E1809" s="86"/>
      <c r="F1809" s="86"/>
      <c r="G1809" s="86"/>
      <c r="H1809" s="86"/>
      <c r="I1809" s="86"/>
      <c r="J1809" s="86"/>
      <c r="K1809" s="86"/>
      <c r="L1809" s="86"/>
      <c r="M1809" s="86"/>
      <c r="N1809" s="86"/>
      <c r="O1809" s="86"/>
      <c r="P1809" s="86"/>
      <c r="Q1809" s="86"/>
      <c r="R1809" s="86"/>
      <c r="S1809" s="86"/>
      <c r="T1809" s="86"/>
      <c r="U1809" s="86"/>
      <c r="V1809" s="48"/>
      <c r="W1809" s="48"/>
      <c r="X1809" s="48"/>
      <c r="Y1809" s="48"/>
      <c r="Z1809" s="48"/>
      <c r="AA1809" s="48"/>
      <c r="AB1809" s="48"/>
      <c r="AC1809" s="48"/>
      <c r="AD1809" s="48"/>
      <c r="AE1809" s="48"/>
      <c r="AF1809" s="48"/>
      <c r="AG1809" s="48"/>
      <c r="AH1809" s="48"/>
      <c r="AI1809" s="48"/>
      <c r="AJ1809" s="48"/>
      <c r="AK1809" s="48"/>
      <c r="AL1809" s="48"/>
      <c r="AM1809" s="48"/>
      <c r="AN1809" s="48"/>
      <c r="AO1809" s="48"/>
      <c r="AP1809" s="48"/>
      <c r="AQ1809" s="48"/>
      <c r="AR1809" s="48"/>
      <c r="AS1809" s="48"/>
      <c r="AT1809" s="48"/>
      <c r="AU1809" s="48"/>
      <c r="AV1809" s="48"/>
      <c r="AW1809" s="48"/>
      <c r="AX1809" s="48"/>
      <c r="AY1809" s="48"/>
      <c r="AZ1809" s="48"/>
      <c r="BA1809" s="48"/>
      <c r="BB1809" s="48"/>
      <c r="BC1809" s="48"/>
      <c r="BD1809" s="48"/>
    </row>
    <row r="1810" spans="1:56">
      <c r="A1810" s="86"/>
      <c r="B1810" s="86"/>
      <c r="C1810" s="87"/>
      <c r="D1810" s="86"/>
      <c r="E1810" s="86"/>
      <c r="F1810" s="86"/>
      <c r="G1810" s="86"/>
      <c r="H1810" s="86"/>
      <c r="I1810" s="86"/>
      <c r="J1810" s="86"/>
      <c r="K1810" s="86"/>
      <c r="L1810" s="86"/>
      <c r="M1810" s="86"/>
      <c r="N1810" s="86"/>
      <c r="O1810" s="86"/>
      <c r="P1810" s="86"/>
      <c r="Q1810" s="86"/>
      <c r="R1810" s="86"/>
      <c r="S1810" s="86"/>
      <c r="T1810" s="86"/>
      <c r="U1810" s="86"/>
      <c r="V1810" s="48"/>
      <c r="W1810" s="48"/>
      <c r="X1810" s="48"/>
      <c r="Y1810" s="48"/>
      <c r="Z1810" s="48"/>
      <c r="AA1810" s="48"/>
      <c r="AB1810" s="48"/>
      <c r="AC1810" s="48"/>
      <c r="AD1810" s="48"/>
      <c r="AE1810" s="48"/>
      <c r="AF1810" s="48"/>
      <c r="AG1810" s="48"/>
      <c r="AH1810" s="48"/>
      <c r="AI1810" s="48"/>
      <c r="AJ1810" s="48"/>
      <c r="AK1810" s="48"/>
      <c r="AL1810" s="48"/>
      <c r="AM1810" s="48"/>
      <c r="AN1810" s="48"/>
      <c r="AO1810" s="48"/>
      <c r="AP1810" s="48"/>
      <c r="AQ1810" s="48"/>
      <c r="AR1810" s="48"/>
      <c r="AS1810" s="48"/>
      <c r="AT1810" s="48"/>
      <c r="AU1810" s="48"/>
      <c r="AV1810" s="48"/>
      <c r="AW1810" s="48"/>
      <c r="AX1810" s="48"/>
      <c r="AY1810" s="48"/>
      <c r="AZ1810" s="48"/>
      <c r="BA1810" s="48"/>
      <c r="BB1810" s="48"/>
      <c r="BC1810" s="48"/>
      <c r="BD1810" s="48"/>
    </row>
    <row r="1811" spans="1:56">
      <c r="A1811" s="86"/>
      <c r="B1811" s="86"/>
      <c r="C1811" s="87"/>
      <c r="D1811" s="86"/>
      <c r="E1811" s="86"/>
      <c r="F1811" s="86"/>
      <c r="G1811" s="86"/>
      <c r="H1811" s="86"/>
      <c r="I1811" s="86"/>
      <c r="J1811" s="86"/>
      <c r="K1811" s="86"/>
      <c r="L1811" s="86"/>
      <c r="M1811" s="86"/>
      <c r="N1811" s="86"/>
      <c r="O1811" s="86"/>
      <c r="P1811" s="86"/>
      <c r="Q1811" s="86"/>
      <c r="R1811" s="86"/>
      <c r="S1811" s="86"/>
      <c r="T1811" s="86"/>
      <c r="U1811" s="86"/>
      <c r="V1811" s="48"/>
      <c r="W1811" s="48"/>
      <c r="X1811" s="48"/>
      <c r="Y1811" s="48"/>
      <c r="Z1811" s="48"/>
      <c r="AA1811" s="48"/>
      <c r="AB1811" s="48"/>
      <c r="AC1811" s="48"/>
      <c r="AD1811" s="48"/>
      <c r="AE1811" s="48"/>
      <c r="AF1811" s="48"/>
      <c r="AG1811" s="48"/>
      <c r="AH1811" s="48"/>
      <c r="AI1811" s="48"/>
      <c r="AJ1811" s="48"/>
      <c r="AK1811" s="48"/>
      <c r="AL1811" s="48"/>
      <c r="AM1811" s="48"/>
      <c r="AN1811" s="48"/>
      <c r="AO1811" s="48"/>
      <c r="AP1811" s="48"/>
      <c r="AQ1811" s="48"/>
      <c r="AR1811" s="48"/>
      <c r="AS1811" s="48"/>
      <c r="AT1811" s="48"/>
      <c r="AU1811" s="48"/>
      <c r="AV1811" s="48"/>
      <c r="AW1811" s="48"/>
      <c r="AX1811" s="48"/>
      <c r="AY1811" s="48"/>
      <c r="AZ1811" s="48"/>
      <c r="BA1811" s="48"/>
      <c r="BB1811" s="48"/>
      <c r="BC1811" s="48"/>
      <c r="BD1811" s="48"/>
    </row>
    <row r="1812" spans="1:56">
      <c r="A1812" s="86"/>
      <c r="B1812" s="86"/>
      <c r="C1812" s="87"/>
      <c r="D1812" s="86"/>
      <c r="E1812" s="86"/>
      <c r="F1812" s="86"/>
      <c r="G1812" s="86"/>
      <c r="H1812" s="86"/>
      <c r="I1812" s="86"/>
      <c r="J1812" s="86"/>
      <c r="K1812" s="86"/>
      <c r="L1812" s="86"/>
      <c r="M1812" s="86"/>
      <c r="N1812" s="86"/>
      <c r="O1812" s="86"/>
      <c r="P1812" s="86"/>
      <c r="Q1812" s="86"/>
      <c r="R1812" s="86"/>
      <c r="S1812" s="86"/>
      <c r="T1812" s="86"/>
      <c r="U1812" s="86"/>
      <c r="V1812" s="48"/>
      <c r="W1812" s="48"/>
      <c r="X1812" s="48"/>
      <c r="Y1812" s="48"/>
      <c r="Z1812" s="48"/>
      <c r="AA1812" s="48"/>
      <c r="AB1812" s="48"/>
      <c r="AC1812" s="48"/>
      <c r="AD1812" s="48"/>
      <c r="AE1812" s="48"/>
      <c r="AF1812" s="48"/>
      <c r="AG1812" s="48"/>
      <c r="AH1812" s="48"/>
      <c r="AI1812" s="48"/>
      <c r="AJ1812" s="48"/>
      <c r="AK1812" s="48"/>
      <c r="AL1812" s="48"/>
      <c r="AM1812" s="48"/>
      <c r="AN1812" s="48"/>
      <c r="AO1812" s="48"/>
      <c r="AP1812" s="48"/>
      <c r="AQ1812" s="48"/>
      <c r="AR1812" s="48"/>
      <c r="AS1812" s="48"/>
      <c r="AT1812" s="48"/>
      <c r="AU1812" s="48"/>
      <c r="AV1812" s="48"/>
      <c r="AW1812" s="48"/>
      <c r="AX1812" s="48"/>
      <c r="AY1812" s="48"/>
      <c r="AZ1812" s="48"/>
      <c r="BA1812" s="48"/>
      <c r="BB1812" s="48"/>
      <c r="BC1812" s="48"/>
      <c r="BD1812" s="48"/>
    </row>
    <row r="1813" spans="1:56">
      <c r="A1813" s="86"/>
      <c r="B1813" s="86"/>
      <c r="C1813" s="87"/>
      <c r="D1813" s="86"/>
      <c r="E1813" s="86"/>
      <c r="F1813" s="86"/>
      <c r="G1813" s="86"/>
      <c r="H1813" s="86"/>
      <c r="I1813" s="86"/>
      <c r="J1813" s="86"/>
      <c r="K1813" s="86"/>
      <c r="L1813" s="86"/>
      <c r="M1813" s="86"/>
      <c r="N1813" s="86"/>
      <c r="O1813" s="86"/>
      <c r="P1813" s="86"/>
      <c r="Q1813" s="86"/>
      <c r="R1813" s="86"/>
      <c r="S1813" s="86"/>
      <c r="T1813" s="86"/>
      <c r="U1813" s="86"/>
      <c r="V1813" s="48"/>
      <c r="W1813" s="48"/>
      <c r="X1813" s="48"/>
      <c r="Y1813" s="48"/>
      <c r="Z1813" s="48"/>
      <c r="AA1813" s="48"/>
      <c r="AB1813" s="48"/>
      <c r="AC1813" s="48"/>
      <c r="AD1813" s="48"/>
      <c r="AE1813" s="48"/>
      <c r="AF1813" s="48"/>
      <c r="AG1813" s="48"/>
      <c r="AH1813" s="48"/>
      <c r="AI1813" s="48"/>
      <c r="AJ1813" s="48"/>
      <c r="AK1813" s="48"/>
      <c r="AL1813" s="48"/>
      <c r="AM1813" s="48"/>
      <c r="AN1813" s="48"/>
      <c r="AO1813" s="48"/>
      <c r="AP1813" s="48"/>
      <c r="AQ1813" s="48"/>
      <c r="AR1813" s="48"/>
      <c r="AS1813" s="48"/>
      <c r="AT1813" s="48"/>
      <c r="AU1813" s="48"/>
      <c r="AV1813" s="48"/>
      <c r="AW1813" s="48"/>
      <c r="AX1813" s="48"/>
      <c r="AY1813" s="48"/>
      <c r="AZ1813" s="48"/>
      <c r="BA1813" s="48"/>
      <c r="BB1813" s="48"/>
      <c r="BC1813" s="48"/>
      <c r="BD1813" s="48"/>
    </row>
    <row r="1814" spans="1:56">
      <c r="A1814" s="86"/>
      <c r="B1814" s="86"/>
      <c r="C1814" s="87"/>
      <c r="D1814" s="86"/>
      <c r="E1814" s="86"/>
      <c r="F1814" s="86"/>
      <c r="G1814" s="86"/>
      <c r="H1814" s="86"/>
      <c r="I1814" s="86"/>
      <c r="J1814" s="86"/>
      <c r="K1814" s="86"/>
      <c r="L1814" s="86"/>
      <c r="M1814" s="86"/>
      <c r="N1814" s="86"/>
      <c r="O1814" s="86"/>
      <c r="P1814" s="86"/>
      <c r="Q1814" s="86"/>
      <c r="R1814" s="86"/>
      <c r="S1814" s="86"/>
      <c r="T1814" s="86"/>
      <c r="U1814" s="86"/>
      <c r="V1814" s="48"/>
      <c r="W1814" s="48"/>
      <c r="X1814" s="48"/>
      <c r="Y1814" s="48"/>
      <c r="Z1814" s="48"/>
      <c r="AA1814" s="48"/>
      <c r="AB1814" s="48"/>
      <c r="AC1814" s="48"/>
      <c r="AD1814" s="48"/>
      <c r="AE1814" s="48"/>
      <c r="AF1814" s="48"/>
      <c r="AG1814" s="48"/>
      <c r="AH1814" s="48"/>
      <c r="AI1814" s="48"/>
      <c r="AJ1814" s="48"/>
      <c r="AK1814" s="48"/>
      <c r="AL1814" s="48"/>
      <c r="AM1814" s="48"/>
      <c r="AN1814" s="48"/>
      <c r="AO1814" s="48"/>
      <c r="AP1814" s="48"/>
      <c r="AQ1814" s="48"/>
      <c r="AR1814" s="48"/>
      <c r="AS1814" s="48"/>
      <c r="AT1814" s="48"/>
      <c r="AU1814" s="48"/>
      <c r="AV1814" s="48"/>
      <c r="AW1814" s="48"/>
      <c r="AX1814" s="48"/>
      <c r="AY1814" s="48"/>
      <c r="AZ1814" s="48"/>
      <c r="BA1814" s="48"/>
      <c r="BB1814" s="48"/>
      <c r="BC1814" s="48"/>
      <c r="BD1814" s="48"/>
    </row>
    <row r="1815" spans="1:56">
      <c r="A1815" s="86"/>
      <c r="B1815" s="86"/>
      <c r="C1815" s="87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  <c r="S1815" s="86"/>
      <c r="T1815" s="86"/>
      <c r="U1815" s="86"/>
      <c r="V1815" s="48"/>
      <c r="W1815" s="48"/>
      <c r="X1815" s="48"/>
      <c r="Y1815" s="48"/>
      <c r="Z1815" s="48"/>
      <c r="AA1815" s="48"/>
      <c r="AB1815" s="48"/>
      <c r="AC1815" s="48"/>
      <c r="AD1815" s="48"/>
      <c r="AE1815" s="48"/>
      <c r="AF1815" s="48"/>
      <c r="AG1815" s="48"/>
      <c r="AH1815" s="48"/>
      <c r="AI1815" s="48"/>
      <c r="AJ1815" s="48"/>
      <c r="AK1815" s="48"/>
      <c r="AL1815" s="48"/>
      <c r="AM1815" s="48"/>
      <c r="AN1815" s="48"/>
      <c r="AO1815" s="48"/>
      <c r="AP1815" s="48"/>
      <c r="AQ1815" s="48"/>
      <c r="AR1815" s="48"/>
      <c r="AS1815" s="48"/>
      <c r="AT1815" s="48"/>
      <c r="AU1815" s="48"/>
      <c r="AV1815" s="48"/>
      <c r="AW1815" s="48"/>
      <c r="AX1815" s="48"/>
      <c r="AY1815" s="48"/>
      <c r="AZ1815" s="48"/>
      <c r="BA1815" s="48"/>
      <c r="BB1815" s="48"/>
      <c r="BC1815" s="48"/>
      <c r="BD1815" s="48"/>
    </row>
    <row r="1816" spans="1:56">
      <c r="A1816" s="86"/>
      <c r="B1816" s="86"/>
      <c r="C1816" s="87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  <c r="S1816" s="86"/>
      <c r="T1816" s="86"/>
      <c r="U1816" s="86"/>
      <c r="V1816" s="48"/>
      <c r="W1816" s="48"/>
      <c r="X1816" s="48"/>
      <c r="Y1816" s="48"/>
      <c r="Z1816" s="48"/>
      <c r="AA1816" s="48"/>
      <c r="AB1816" s="48"/>
      <c r="AC1816" s="48"/>
      <c r="AD1816" s="48"/>
      <c r="AE1816" s="48"/>
      <c r="AF1816" s="48"/>
      <c r="AG1816" s="48"/>
      <c r="AH1816" s="48"/>
      <c r="AI1816" s="48"/>
      <c r="AJ1816" s="48"/>
      <c r="AK1816" s="48"/>
      <c r="AL1816" s="48"/>
      <c r="AM1816" s="48"/>
      <c r="AN1816" s="48"/>
      <c r="AO1816" s="48"/>
      <c r="AP1816" s="48"/>
      <c r="AQ1816" s="48"/>
      <c r="AR1816" s="48"/>
      <c r="AS1816" s="48"/>
      <c r="AT1816" s="48"/>
      <c r="AU1816" s="48"/>
      <c r="AV1816" s="48"/>
      <c r="AW1816" s="48"/>
      <c r="AX1816" s="48"/>
      <c r="AY1816" s="48"/>
      <c r="AZ1816" s="48"/>
      <c r="BA1816" s="48"/>
      <c r="BB1816" s="48"/>
      <c r="BC1816" s="48"/>
      <c r="BD1816" s="48"/>
    </row>
    <row r="1817" spans="1:56">
      <c r="A1817" s="86"/>
      <c r="B1817" s="86"/>
      <c r="C1817" s="87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  <c r="S1817" s="86"/>
      <c r="T1817" s="86"/>
      <c r="U1817" s="86"/>
      <c r="V1817" s="48"/>
      <c r="W1817" s="48"/>
      <c r="X1817" s="48"/>
      <c r="Y1817" s="48"/>
      <c r="Z1817" s="48"/>
      <c r="AA1817" s="48"/>
      <c r="AB1817" s="48"/>
      <c r="AC1817" s="48"/>
      <c r="AD1817" s="48"/>
      <c r="AE1817" s="48"/>
      <c r="AF1817" s="48"/>
      <c r="AG1817" s="48"/>
      <c r="AH1817" s="48"/>
      <c r="AI1817" s="48"/>
      <c r="AJ1817" s="48"/>
      <c r="AK1817" s="48"/>
      <c r="AL1817" s="48"/>
      <c r="AM1817" s="48"/>
      <c r="AN1817" s="48"/>
      <c r="AO1817" s="48"/>
      <c r="AP1817" s="48"/>
      <c r="AQ1817" s="48"/>
      <c r="AR1817" s="48"/>
      <c r="AS1817" s="48"/>
      <c r="AT1817" s="48"/>
      <c r="AU1817" s="48"/>
      <c r="AV1817" s="48"/>
      <c r="AW1817" s="48"/>
      <c r="AX1817" s="48"/>
      <c r="AY1817" s="48"/>
      <c r="AZ1817" s="48"/>
      <c r="BA1817" s="48"/>
      <c r="BB1817" s="48"/>
      <c r="BC1817" s="48"/>
      <c r="BD1817" s="48"/>
    </row>
    <row r="1818" spans="1:56">
      <c r="A1818" s="86"/>
      <c r="B1818" s="86"/>
      <c r="C1818" s="87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  <c r="S1818" s="86"/>
      <c r="T1818" s="86"/>
      <c r="U1818" s="86"/>
      <c r="V1818" s="48"/>
      <c r="W1818" s="48"/>
      <c r="X1818" s="48"/>
      <c r="Y1818" s="48"/>
      <c r="Z1818" s="48"/>
      <c r="AA1818" s="48"/>
      <c r="AB1818" s="48"/>
      <c r="AC1818" s="48"/>
      <c r="AD1818" s="48"/>
      <c r="AE1818" s="48"/>
      <c r="AF1818" s="48"/>
      <c r="AG1818" s="48"/>
      <c r="AH1818" s="48"/>
      <c r="AI1818" s="48"/>
      <c r="AJ1818" s="48"/>
      <c r="AK1818" s="48"/>
      <c r="AL1818" s="48"/>
      <c r="AM1818" s="48"/>
      <c r="AN1818" s="48"/>
      <c r="AO1818" s="48"/>
      <c r="AP1818" s="48"/>
      <c r="AQ1818" s="48"/>
      <c r="AR1818" s="48"/>
      <c r="AS1818" s="48"/>
      <c r="AT1818" s="48"/>
      <c r="AU1818" s="48"/>
      <c r="AV1818" s="48"/>
      <c r="AW1818" s="48"/>
      <c r="AX1818" s="48"/>
      <c r="AY1818" s="48"/>
      <c r="AZ1818" s="48"/>
      <c r="BA1818" s="48"/>
      <c r="BB1818" s="48"/>
      <c r="BC1818" s="48"/>
      <c r="BD1818" s="48"/>
    </row>
    <row r="1819" spans="1:56">
      <c r="A1819" s="86"/>
      <c r="B1819" s="86"/>
      <c r="C1819" s="87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  <c r="S1819" s="86"/>
      <c r="T1819" s="86"/>
      <c r="U1819" s="86"/>
      <c r="V1819" s="48"/>
      <c r="W1819" s="48"/>
      <c r="X1819" s="48"/>
      <c r="Y1819" s="48"/>
      <c r="Z1819" s="48"/>
      <c r="AA1819" s="48"/>
      <c r="AB1819" s="48"/>
      <c r="AC1819" s="48"/>
      <c r="AD1819" s="48"/>
      <c r="AE1819" s="48"/>
      <c r="AF1819" s="48"/>
      <c r="AG1819" s="48"/>
      <c r="AH1819" s="48"/>
      <c r="AI1819" s="48"/>
      <c r="AJ1819" s="48"/>
      <c r="AK1819" s="48"/>
      <c r="AL1819" s="48"/>
      <c r="AM1819" s="48"/>
      <c r="AN1819" s="48"/>
      <c r="AO1819" s="48"/>
      <c r="AP1819" s="48"/>
      <c r="AQ1819" s="48"/>
      <c r="AR1819" s="48"/>
      <c r="AS1819" s="48"/>
      <c r="AT1819" s="48"/>
      <c r="AU1819" s="48"/>
      <c r="AV1819" s="48"/>
      <c r="AW1819" s="48"/>
      <c r="AX1819" s="48"/>
      <c r="AY1819" s="48"/>
      <c r="AZ1819" s="48"/>
      <c r="BA1819" s="48"/>
      <c r="BB1819" s="48"/>
      <c r="BC1819" s="48"/>
      <c r="BD1819" s="48"/>
    </row>
    <row r="1820" spans="1:56">
      <c r="A1820" s="86"/>
      <c r="B1820" s="86"/>
      <c r="C1820" s="87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  <c r="S1820" s="86"/>
      <c r="T1820" s="86"/>
      <c r="U1820" s="86"/>
      <c r="V1820" s="48"/>
      <c r="W1820" s="48"/>
      <c r="X1820" s="48"/>
      <c r="Y1820" s="48"/>
      <c r="Z1820" s="48"/>
      <c r="AA1820" s="48"/>
      <c r="AB1820" s="48"/>
      <c r="AC1820" s="48"/>
      <c r="AD1820" s="48"/>
      <c r="AE1820" s="48"/>
      <c r="AF1820" s="48"/>
      <c r="AG1820" s="48"/>
      <c r="AH1820" s="48"/>
      <c r="AI1820" s="48"/>
      <c r="AJ1820" s="48"/>
      <c r="AK1820" s="48"/>
      <c r="AL1820" s="48"/>
      <c r="AM1820" s="48"/>
      <c r="AN1820" s="48"/>
      <c r="AO1820" s="48"/>
      <c r="AP1820" s="48"/>
      <c r="AQ1820" s="48"/>
      <c r="AR1820" s="48"/>
      <c r="AS1820" s="48"/>
      <c r="AT1820" s="48"/>
      <c r="AU1820" s="48"/>
      <c r="AV1820" s="48"/>
      <c r="AW1820" s="48"/>
      <c r="AX1820" s="48"/>
      <c r="AY1820" s="48"/>
      <c r="AZ1820" s="48"/>
      <c r="BA1820" s="48"/>
      <c r="BB1820" s="48"/>
      <c r="BC1820" s="48"/>
      <c r="BD1820" s="48"/>
    </row>
    <row r="1821" spans="1:56">
      <c r="A1821" s="86"/>
      <c r="B1821" s="86"/>
      <c r="C1821" s="87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  <c r="S1821" s="86"/>
      <c r="T1821" s="86"/>
      <c r="U1821" s="86"/>
      <c r="V1821" s="48"/>
      <c r="W1821" s="48"/>
      <c r="X1821" s="48"/>
      <c r="Y1821" s="48"/>
      <c r="Z1821" s="48"/>
      <c r="AA1821" s="48"/>
      <c r="AB1821" s="48"/>
      <c r="AC1821" s="48"/>
      <c r="AD1821" s="48"/>
      <c r="AE1821" s="48"/>
      <c r="AF1821" s="48"/>
      <c r="AG1821" s="48"/>
      <c r="AH1821" s="48"/>
      <c r="AI1821" s="48"/>
      <c r="AJ1821" s="48"/>
      <c r="AK1821" s="48"/>
      <c r="AL1821" s="48"/>
      <c r="AM1821" s="48"/>
      <c r="AN1821" s="48"/>
      <c r="AO1821" s="48"/>
      <c r="AP1821" s="48"/>
      <c r="AQ1821" s="48"/>
      <c r="AR1821" s="48"/>
      <c r="AS1821" s="48"/>
      <c r="AT1821" s="48"/>
      <c r="AU1821" s="48"/>
      <c r="AV1821" s="48"/>
      <c r="AW1821" s="48"/>
      <c r="AX1821" s="48"/>
      <c r="AY1821" s="48"/>
      <c r="AZ1821" s="48"/>
      <c r="BA1821" s="48"/>
      <c r="BB1821" s="48"/>
      <c r="BC1821" s="48"/>
      <c r="BD1821" s="48"/>
    </row>
    <row r="1822" spans="1:56">
      <c r="A1822" s="86"/>
      <c r="B1822" s="86"/>
      <c r="C1822" s="87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  <c r="S1822" s="86"/>
      <c r="T1822" s="86"/>
      <c r="U1822" s="86"/>
      <c r="V1822" s="48"/>
      <c r="W1822" s="48"/>
      <c r="X1822" s="48"/>
      <c r="Y1822" s="48"/>
      <c r="Z1822" s="48"/>
      <c r="AA1822" s="48"/>
      <c r="AB1822" s="48"/>
      <c r="AC1822" s="48"/>
      <c r="AD1822" s="48"/>
      <c r="AE1822" s="48"/>
      <c r="AF1822" s="48"/>
      <c r="AG1822" s="48"/>
      <c r="AH1822" s="48"/>
      <c r="AI1822" s="48"/>
      <c r="AJ1822" s="48"/>
      <c r="AK1822" s="48"/>
      <c r="AL1822" s="48"/>
      <c r="AM1822" s="48"/>
      <c r="AN1822" s="48"/>
      <c r="AO1822" s="48"/>
      <c r="AP1822" s="48"/>
      <c r="AQ1822" s="48"/>
      <c r="AR1822" s="48"/>
      <c r="AS1822" s="48"/>
      <c r="AT1822" s="48"/>
      <c r="AU1822" s="48"/>
      <c r="AV1822" s="48"/>
      <c r="AW1822" s="48"/>
      <c r="AX1822" s="48"/>
      <c r="AY1822" s="48"/>
      <c r="AZ1822" s="48"/>
      <c r="BA1822" s="48"/>
      <c r="BB1822" s="48"/>
      <c r="BC1822" s="48"/>
      <c r="BD1822" s="48"/>
    </row>
    <row r="1823" spans="1:56">
      <c r="A1823" s="86"/>
      <c r="B1823" s="86"/>
      <c r="C1823" s="87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  <c r="S1823" s="86"/>
      <c r="T1823" s="86"/>
      <c r="U1823" s="86"/>
      <c r="V1823" s="48"/>
      <c r="W1823" s="48"/>
      <c r="X1823" s="48"/>
      <c r="Y1823" s="48"/>
      <c r="Z1823" s="48"/>
      <c r="AA1823" s="48"/>
      <c r="AB1823" s="48"/>
      <c r="AC1823" s="48"/>
      <c r="AD1823" s="48"/>
      <c r="AE1823" s="48"/>
      <c r="AF1823" s="48"/>
      <c r="AG1823" s="48"/>
      <c r="AH1823" s="48"/>
      <c r="AI1823" s="48"/>
      <c r="AJ1823" s="48"/>
      <c r="AK1823" s="48"/>
      <c r="AL1823" s="48"/>
      <c r="AM1823" s="48"/>
      <c r="AN1823" s="48"/>
      <c r="AO1823" s="48"/>
      <c r="AP1823" s="48"/>
      <c r="AQ1823" s="48"/>
      <c r="AR1823" s="48"/>
      <c r="AS1823" s="48"/>
      <c r="AT1823" s="48"/>
      <c r="AU1823" s="48"/>
      <c r="AV1823" s="48"/>
      <c r="AW1823" s="48"/>
      <c r="AX1823" s="48"/>
      <c r="AY1823" s="48"/>
      <c r="AZ1823" s="48"/>
      <c r="BA1823" s="48"/>
      <c r="BB1823" s="48"/>
      <c r="BC1823" s="48"/>
      <c r="BD1823" s="48"/>
    </row>
    <row r="1824" spans="1:56">
      <c r="A1824" s="86"/>
      <c r="B1824" s="86"/>
      <c r="C1824" s="87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  <c r="S1824" s="86"/>
      <c r="T1824" s="86"/>
      <c r="U1824" s="86"/>
      <c r="V1824" s="48"/>
      <c r="W1824" s="48"/>
      <c r="X1824" s="48"/>
      <c r="Y1824" s="48"/>
      <c r="Z1824" s="48"/>
      <c r="AA1824" s="48"/>
      <c r="AB1824" s="48"/>
      <c r="AC1824" s="48"/>
      <c r="AD1824" s="48"/>
      <c r="AE1824" s="48"/>
      <c r="AF1824" s="48"/>
      <c r="AG1824" s="48"/>
      <c r="AH1824" s="48"/>
      <c r="AI1824" s="48"/>
      <c r="AJ1824" s="48"/>
      <c r="AK1824" s="48"/>
      <c r="AL1824" s="48"/>
      <c r="AM1824" s="48"/>
      <c r="AN1824" s="48"/>
      <c r="AO1824" s="48"/>
      <c r="AP1824" s="48"/>
      <c r="AQ1824" s="48"/>
      <c r="AR1824" s="48"/>
      <c r="AS1824" s="48"/>
      <c r="AT1824" s="48"/>
      <c r="AU1824" s="48"/>
      <c r="AV1824" s="48"/>
      <c r="AW1824" s="48"/>
      <c r="AX1824" s="48"/>
      <c r="AY1824" s="48"/>
      <c r="AZ1824" s="48"/>
      <c r="BA1824" s="48"/>
      <c r="BB1824" s="48"/>
      <c r="BC1824" s="48"/>
      <c r="BD1824" s="48"/>
    </row>
    <row r="1825" spans="1:56">
      <c r="A1825" s="86"/>
      <c r="B1825" s="86"/>
      <c r="C1825" s="87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  <c r="S1825" s="86"/>
      <c r="T1825" s="86"/>
      <c r="U1825" s="86"/>
      <c r="V1825" s="48"/>
      <c r="W1825" s="48"/>
      <c r="X1825" s="48"/>
      <c r="Y1825" s="48"/>
      <c r="Z1825" s="48"/>
      <c r="AA1825" s="48"/>
      <c r="AB1825" s="48"/>
      <c r="AC1825" s="48"/>
      <c r="AD1825" s="48"/>
      <c r="AE1825" s="48"/>
      <c r="AF1825" s="48"/>
      <c r="AG1825" s="48"/>
      <c r="AH1825" s="48"/>
      <c r="AI1825" s="48"/>
      <c r="AJ1825" s="48"/>
      <c r="AK1825" s="48"/>
      <c r="AL1825" s="48"/>
      <c r="AM1825" s="48"/>
      <c r="AN1825" s="48"/>
      <c r="AO1825" s="48"/>
      <c r="AP1825" s="48"/>
      <c r="AQ1825" s="48"/>
      <c r="AR1825" s="48"/>
      <c r="AS1825" s="48"/>
      <c r="AT1825" s="48"/>
      <c r="AU1825" s="48"/>
      <c r="AV1825" s="48"/>
      <c r="AW1825" s="48"/>
      <c r="AX1825" s="48"/>
      <c r="AY1825" s="48"/>
      <c r="AZ1825" s="48"/>
      <c r="BA1825" s="48"/>
      <c r="BB1825" s="48"/>
      <c r="BC1825" s="48"/>
      <c r="BD1825" s="48"/>
    </row>
    <row r="1826" spans="1:56">
      <c r="A1826" s="86"/>
      <c r="B1826" s="86"/>
      <c r="C1826" s="87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  <c r="S1826" s="86"/>
      <c r="T1826" s="86"/>
      <c r="U1826" s="86"/>
      <c r="V1826" s="48"/>
      <c r="W1826" s="48"/>
      <c r="X1826" s="48"/>
      <c r="Y1826" s="48"/>
      <c r="Z1826" s="48"/>
      <c r="AA1826" s="48"/>
      <c r="AB1826" s="48"/>
      <c r="AC1826" s="48"/>
      <c r="AD1826" s="48"/>
      <c r="AE1826" s="48"/>
      <c r="AF1826" s="48"/>
      <c r="AG1826" s="48"/>
      <c r="AH1826" s="48"/>
      <c r="AI1826" s="48"/>
      <c r="AJ1826" s="48"/>
      <c r="AK1826" s="48"/>
      <c r="AL1826" s="48"/>
      <c r="AM1826" s="48"/>
      <c r="AN1826" s="48"/>
      <c r="AO1826" s="48"/>
      <c r="AP1826" s="48"/>
      <c r="AQ1826" s="48"/>
      <c r="AR1826" s="48"/>
      <c r="AS1826" s="48"/>
      <c r="AT1826" s="48"/>
      <c r="AU1826" s="48"/>
      <c r="AV1826" s="48"/>
      <c r="AW1826" s="48"/>
      <c r="AX1826" s="48"/>
      <c r="AY1826" s="48"/>
      <c r="AZ1826" s="48"/>
      <c r="BA1826" s="48"/>
      <c r="BB1826" s="48"/>
      <c r="BC1826" s="48"/>
      <c r="BD1826" s="48"/>
    </row>
    <row r="1827" spans="1:56">
      <c r="A1827" s="86"/>
      <c r="B1827" s="86"/>
      <c r="C1827" s="87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  <c r="S1827" s="86"/>
      <c r="T1827" s="86"/>
      <c r="U1827" s="86"/>
      <c r="V1827" s="48"/>
      <c r="W1827" s="48"/>
      <c r="X1827" s="48"/>
      <c r="Y1827" s="48"/>
      <c r="Z1827" s="48"/>
      <c r="AA1827" s="48"/>
      <c r="AB1827" s="48"/>
      <c r="AC1827" s="48"/>
      <c r="AD1827" s="48"/>
      <c r="AE1827" s="48"/>
      <c r="AF1827" s="48"/>
      <c r="AG1827" s="48"/>
      <c r="AH1827" s="48"/>
      <c r="AI1827" s="48"/>
      <c r="AJ1827" s="48"/>
      <c r="AK1827" s="48"/>
      <c r="AL1827" s="48"/>
      <c r="AM1827" s="48"/>
      <c r="AN1827" s="48"/>
      <c r="AO1827" s="48"/>
      <c r="AP1827" s="48"/>
      <c r="AQ1827" s="48"/>
      <c r="AR1827" s="48"/>
      <c r="AS1827" s="48"/>
      <c r="AT1827" s="48"/>
      <c r="AU1827" s="48"/>
      <c r="AV1827" s="48"/>
      <c r="AW1827" s="48"/>
      <c r="AX1827" s="48"/>
      <c r="AY1827" s="48"/>
      <c r="AZ1827" s="48"/>
      <c r="BA1827" s="48"/>
      <c r="BB1827" s="48"/>
      <c r="BC1827" s="48"/>
      <c r="BD1827" s="48"/>
    </row>
    <row r="1828" spans="1:56">
      <c r="A1828" s="86"/>
      <c r="B1828" s="86"/>
      <c r="C1828" s="87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  <c r="S1828" s="86"/>
      <c r="T1828" s="86"/>
      <c r="U1828" s="86"/>
      <c r="V1828" s="48"/>
      <c r="W1828" s="48"/>
      <c r="X1828" s="48"/>
      <c r="Y1828" s="48"/>
      <c r="Z1828" s="48"/>
      <c r="AA1828" s="48"/>
      <c r="AB1828" s="48"/>
      <c r="AC1828" s="48"/>
      <c r="AD1828" s="48"/>
      <c r="AE1828" s="48"/>
      <c r="AF1828" s="48"/>
      <c r="AG1828" s="48"/>
      <c r="AH1828" s="48"/>
      <c r="AI1828" s="48"/>
      <c r="AJ1828" s="48"/>
      <c r="AK1828" s="48"/>
      <c r="AL1828" s="48"/>
      <c r="AM1828" s="48"/>
      <c r="AN1828" s="48"/>
      <c r="AO1828" s="48"/>
      <c r="AP1828" s="48"/>
      <c r="AQ1828" s="48"/>
      <c r="AR1828" s="48"/>
      <c r="AS1828" s="48"/>
      <c r="AT1828" s="48"/>
      <c r="AU1828" s="48"/>
      <c r="AV1828" s="48"/>
      <c r="AW1828" s="48"/>
      <c r="AX1828" s="48"/>
      <c r="AY1828" s="48"/>
      <c r="AZ1828" s="48"/>
      <c r="BA1828" s="48"/>
      <c r="BB1828" s="48"/>
      <c r="BC1828" s="48"/>
      <c r="BD1828" s="48"/>
    </row>
    <row r="1829" spans="1:56">
      <c r="A1829" s="86"/>
      <c r="B1829" s="86"/>
      <c r="C1829" s="87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  <c r="S1829" s="86"/>
      <c r="T1829" s="86"/>
      <c r="U1829" s="86"/>
      <c r="V1829" s="48"/>
      <c r="W1829" s="48"/>
      <c r="X1829" s="48"/>
      <c r="Y1829" s="48"/>
      <c r="Z1829" s="48"/>
      <c r="AA1829" s="48"/>
      <c r="AB1829" s="48"/>
      <c r="AC1829" s="48"/>
      <c r="AD1829" s="48"/>
      <c r="AE1829" s="48"/>
      <c r="AF1829" s="48"/>
      <c r="AG1829" s="48"/>
      <c r="AH1829" s="48"/>
      <c r="AI1829" s="48"/>
      <c r="AJ1829" s="48"/>
      <c r="AK1829" s="48"/>
      <c r="AL1829" s="48"/>
      <c r="AM1829" s="48"/>
      <c r="AN1829" s="48"/>
      <c r="AO1829" s="48"/>
      <c r="AP1829" s="48"/>
      <c r="AQ1829" s="48"/>
      <c r="AR1829" s="48"/>
      <c r="AS1829" s="48"/>
      <c r="AT1829" s="48"/>
      <c r="AU1829" s="48"/>
      <c r="AV1829" s="48"/>
      <c r="AW1829" s="48"/>
      <c r="AX1829" s="48"/>
      <c r="AY1829" s="48"/>
      <c r="AZ1829" s="48"/>
      <c r="BA1829" s="48"/>
      <c r="BB1829" s="48"/>
      <c r="BC1829" s="48"/>
      <c r="BD1829" s="48"/>
    </row>
    <row r="1830" spans="1:56">
      <c r="A1830" s="86"/>
      <c r="B1830" s="86"/>
      <c r="C1830" s="87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  <c r="S1830" s="86"/>
      <c r="T1830" s="86"/>
      <c r="U1830" s="86"/>
      <c r="V1830" s="48"/>
      <c r="W1830" s="48"/>
      <c r="X1830" s="48"/>
      <c r="Y1830" s="48"/>
      <c r="Z1830" s="48"/>
      <c r="AA1830" s="48"/>
      <c r="AB1830" s="48"/>
      <c r="AC1830" s="48"/>
      <c r="AD1830" s="48"/>
      <c r="AE1830" s="48"/>
      <c r="AF1830" s="48"/>
      <c r="AG1830" s="48"/>
      <c r="AH1830" s="48"/>
      <c r="AI1830" s="48"/>
      <c r="AJ1830" s="48"/>
      <c r="AK1830" s="48"/>
      <c r="AL1830" s="48"/>
      <c r="AM1830" s="48"/>
      <c r="AN1830" s="48"/>
      <c r="AO1830" s="48"/>
      <c r="AP1830" s="48"/>
      <c r="AQ1830" s="48"/>
      <c r="AR1830" s="48"/>
      <c r="AS1830" s="48"/>
      <c r="AT1830" s="48"/>
      <c r="AU1830" s="48"/>
      <c r="AV1830" s="48"/>
      <c r="AW1830" s="48"/>
      <c r="AX1830" s="48"/>
      <c r="AY1830" s="48"/>
      <c r="AZ1830" s="48"/>
      <c r="BA1830" s="48"/>
      <c r="BB1830" s="48"/>
      <c r="BC1830" s="48"/>
      <c r="BD1830" s="48"/>
    </row>
    <row r="1831" spans="1:56">
      <c r="A1831" s="48"/>
      <c r="B1831" s="48"/>
      <c r="C1831" s="49"/>
      <c r="D1831" s="48"/>
      <c r="E1831" s="48"/>
      <c r="F1831" s="48"/>
      <c r="G1831" s="48"/>
      <c r="H1831" s="48"/>
      <c r="I1831" s="48"/>
      <c r="J1831" s="86"/>
      <c r="K1831" s="86"/>
      <c r="L1831" s="86"/>
      <c r="M1831" s="86"/>
      <c r="N1831" s="86"/>
      <c r="O1831" s="86"/>
      <c r="P1831" s="86"/>
      <c r="Q1831" s="86"/>
      <c r="R1831" s="86"/>
      <c r="S1831" s="86"/>
      <c r="T1831" s="86"/>
      <c r="U1831" s="86"/>
      <c r="V1831" s="48"/>
      <c r="W1831" s="48"/>
      <c r="X1831" s="48"/>
      <c r="Y1831" s="48"/>
      <c r="Z1831" s="48"/>
      <c r="AA1831" s="48"/>
      <c r="AB1831" s="48"/>
      <c r="AC1831" s="48"/>
      <c r="AD1831" s="48"/>
      <c r="AE1831" s="48"/>
      <c r="AF1831" s="48"/>
      <c r="AG1831" s="48"/>
      <c r="AH1831" s="48"/>
      <c r="AI1831" s="48"/>
      <c r="AJ1831" s="48"/>
      <c r="AK1831" s="48"/>
      <c r="AL1831" s="48"/>
      <c r="AM1831" s="48"/>
      <c r="AN1831" s="48"/>
      <c r="AO1831" s="48"/>
      <c r="AP1831" s="48"/>
      <c r="AQ1831" s="48"/>
      <c r="AR1831" s="48"/>
      <c r="AS1831" s="48"/>
      <c r="AT1831" s="48"/>
      <c r="AU1831" s="48"/>
      <c r="AV1831" s="48"/>
      <c r="AW1831" s="48"/>
      <c r="AX1831" s="48"/>
      <c r="AY1831" s="48"/>
      <c r="AZ1831" s="48"/>
      <c r="BA1831" s="48"/>
      <c r="BB1831" s="48"/>
      <c r="BC1831" s="48"/>
      <c r="BD1831" s="48"/>
    </row>
    <row r="1832" spans="1:56">
      <c r="A1832" s="48"/>
      <c r="B1832" s="48"/>
      <c r="C1832" s="49"/>
      <c r="D1832" s="48"/>
      <c r="E1832" s="48"/>
      <c r="F1832" s="48"/>
      <c r="G1832" s="48"/>
      <c r="H1832" s="48"/>
      <c r="I1832" s="48"/>
      <c r="J1832" s="86"/>
      <c r="K1832" s="86"/>
      <c r="L1832" s="86"/>
      <c r="M1832" s="86"/>
      <c r="N1832" s="86"/>
      <c r="O1832" s="86"/>
      <c r="P1832" s="86"/>
      <c r="Q1832" s="86"/>
      <c r="R1832" s="86"/>
      <c r="S1832" s="86"/>
      <c r="T1832" s="86"/>
      <c r="U1832" s="86"/>
      <c r="V1832" s="48"/>
      <c r="W1832" s="48"/>
      <c r="X1832" s="48"/>
      <c r="Y1832" s="48"/>
      <c r="Z1832" s="48"/>
      <c r="AA1832" s="48"/>
      <c r="AB1832" s="48"/>
      <c r="AC1832" s="48"/>
      <c r="AD1832" s="48"/>
      <c r="AE1832" s="48"/>
      <c r="AF1832" s="48"/>
      <c r="AG1832" s="48"/>
      <c r="AH1832" s="48"/>
      <c r="AI1832" s="48"/>
      <c r="AJ1832" s="48"/>
      <c r="AK1832" s="48"/>
      <c r="AL1832" s="48"/>
      <c r="AM1832" s="48"/>
      <c r="AN1832" s="48"/>
      <c r="AO1832" s="48"/>
      <c r="AP1832" s="48"/>
      <c r="AQ1832" s="48"/>
      <c r="AR1832" s="48"/>
      <c r="AS1832" s="48"/>
      <c r="AT1832" s="48"/>
      <c r="AU1832" s="48"/>
      <c r="AV1832" s="48"/>
      <c r="AW1832" s="48"/>
      <c r="AX1832" s="48"/>
      <c r="AY1832" s="48"/>
      <c r="AZ1832" s="48"/>
      <c r="BA1832" s="48"/>
      <c r="BB1832" s="48"/>
      <c r="BC1832" s="48"/>
      <c r="BD1832" s="48"/>
    </row>
    <row r="1833" spans="1:56">
      <c r="A1833" s="48"/>
      <c r="B1833" s="48"/>
      <c r="C1833" s="49"/>
      <c r="D1833" s="48"/>
      <c r="E1833" s="48"/>
      <c r="F1833" s="48"/>
      <c r="G1833" s="48"/>
      <c r="H1833" s="48"/>
      <c r="I1833" s="48"/>
      <c r="J1833" s="86"/>
      <c r="K1833" s="86"/>
      <c r="L1833" s="86"/>
      <c r="M1833" s="86"/>
      <c r="N1833" s="86"/>
      <c r="O1833" s="86"/>
      <c r="P1833" s="86"/>
      <c r="Q1833" s="86"/>
      <c r="R1833" s="86"/>
      <c r="S1833" s="86"/>
      <c r="T1833" s="86"/>
      <c r="U1833" s="86"/>
      <c r="V1833" s="48"/>
      <c r="W1833" s="48"/>
      <c r="X1833" s="48"/>
      <c r="Y1833" s="48"/>
      <c r="Z1833" s="48"/>
      <c r="AA1833" s="48"/>
      <c r="AB1833" s="48"/>
      <c r="AC1833" s="48"/>
      <c r="AD1833" s="48"/>
      <c r="AE1833" s="48"/>
      <c r="AF1833" s="48"/>
      <c r="AG1833" s="48"/>
      <c r="AH1833" s="48"/>
      <c r="AI1833" s="48"/>
      <c r="AJ1833" s="48"/>
      <c r="AK1833" s="48"/>
      <c r="AL1833" s="48"/>
      <c r="AM1833" s="48"/>
      <c r="AN1833" s="48"/>
      <c r="AO1833" s="48"/>
      <c r="AP1833" s="48"/>
      <c r="AQ1833" s="48"/>
      <c r="AR1833" s="48"/>
      <c r="AS1833" s="48"/>
      <c r="AT1833" s="48"/>
      <c r="AU1833" s="48"/>
      <c r="AV1833" s="48"/>
      <c r="AW1833" s="48"/>
      <c r="AX1833" s="48"/>
      <c r="AY1833" s="48"/>
      <c r="AZ1833" s="48"/>
      <c r="BA1833" s="48"/>
      <c r="BB1833" s="48"/>
      <c r="BC1833" s="48"/>
      <c r="BD1833" s="48"/>
    </row>
    <row r="1834" spans="1:56">
      <c r="A1834" s="48"/>
      <c r="B1834" s="48"/>
      <c r="C1834" s="49"/>
      <c r="D1834" s="48"/>
      <c r="E1834" s="48"/>
      <c r="F1834" s="48"/>
      <c r="G1834" s="48"/>
      <c r="H1834" s="48"/>
      <c r="I1834" s="48"/>
      <c r="J1834" s="86"/>
      <c r="K1834" s="86"/>
      <c r="L1834" s="86"/>
      <c r="M1834" s="86"/>
      <c r="N1834" s="86"/>
      <c r="O1834" s="86"/>
      <c r="P1834" s="86"/>
      <c r="Q1834" s="86"/>
      <c r="R1834" s="86"/>
      <c r="S1834" s="86"/>
      <c r="T1834" s="86"/>
      <c r="U1834" s="86"/>
      <c r="V1834" s="48"/>
      <c r="W1834" s="48"/>
      <c r="X1834" s="48"/>
      <c r="Y1834" s="48"/>
      <c r="Z1834" s="48"/>
      <c r="AA1834" s="48"/>
      <c r="AB1834" s="48"/>
      <c r="AC1834" s="48"/>
      <c r="AD1834" s="48"/>
      <c r="AE1834" s="48"/>
      <c r="AF1834" s="48"/>
      <c r="AG1834" s="48"/>
      <c r="AH1834" s="48"/>
      <c r="AI1834" s="48"/>
      <c r="AJ1834" s="48"/>
      <c r="AK1834" s="48"/>
      <c r="AL1834" s="48"/>
      <c r="AM1834" s="48"/>
      <c r="AN1834" s="48"/>
      <c r="AO1834" s="48"/>
      <c r="AP1834" s="48"/>
      <c r="AQ1834" s="48"/>
      <c r="AR1834" s="48"/>
      <c r="AS1834" s="48"/>
      <c r="AT1834" s="48"/>
      <c r="AU1834" s="48"/>
      <c r="AV1834" s="48"/>
      <c r="AW1834" s="48"/>
      <c r="AX1834" s="48"/>
      <c r="AY1834" s="48"/>
      <c r="AZ1834" s="48"/>
      <c r="BA1834" s="48"/>
      <c r="BB1834" s="48"/>
      <c r="BC1834" s="48"/>
      <c r="BD1834" s="48"/>
    </row>
    <row r="1835" spans="1:56">
      <c r="A1835" s="48"/>
      <c r="B1835" s="48"/>
      <c r="C1835" s="49"/>
      <c r="D1835" s="48"/>
      <c r="E1835" s="48"/>
      <c r="F1835" s="48"/>
      <c r="G1835" s="48"/>
      <c r="H1835" s="48"/>
      <c r="I1835" s="48"/>
      <c r="J1835" s="86"/>
      <c r="K1835" s="86"/>
      <c r="L1835" s="86"/>
      <c r="M1835" s="86"/>
      <c r="N1835" s="86"/>
      <c r="O1835" s="86"/>
      <c r="P1835" s="86"/>
      <c r="Q1835" s="86"/>
      <c r="R1835" s="86"/>
      <c r="S1835" s="86"/>
      <c r="T1835" s="86"/>
      <c r="U1835" s="86"/>
      <c r="V1835" s="48"/>
      <c r="W1835" s="48"/>
      <c r="X1835" s="48"/>
      <c r="Y1835" s="48"/>
      <c r="Z1835" s="48"/>
      <c r="AA1835" s="48"/>
      <c r="AB1835" s="48"/>
      <c r="AC1835" s="48"/>
      <c r="AD1835" s="48"/>
      <c r="AE1835" s="48"/>
      <c r="AF1835" s="48"/>
      <c r="AG1835" s="48"/>
      <c r="AH1835" s="48"/>
      <c r="AI1835" s="48"/>
      <c r="AJ1835" s="48"/>
      <c r="AK1835" s="48"/>
      <c r="AL1835" s="48"/>
      <c r="AM1835" s="48"/>
      <c r="AN1835" s="48"/>
      <c r="AO1835" s="48"/>
      <c r="AP1835" s="48"/>
      <c r="AQ1835" s="48"/>
      <c r="AR1835" s="48"/>
      <c r="AS1835" s="48"/>
      <c r="AT1835" s="48"/>
      <c r="AU1835" s="48"/>
      <c r="AV1835" s="48"/>
      <c r="AW1835" s="48"/>
      <c r="AX1835" s="48"/>
      <c r="AY1835" s="48"/>
      <c r="AZ1835" s="48"/>
      <c r="BA1835" s="48"/>
      <c r="BB1835" s="48"/>
      <c r="BC1835" s="48"/>
      <c r="BD1835" s="48"/>
    </row>
    <row r="1836" spans="1:56">
      <c r="A1836" s="48"/>
      <c r="B1836" s="48"/>
      <c r="C1836" s="49"/>
      <c r="D1836" s="48"/>
      <c r="E1836" s="48"/>
      <c r="F1836" s="48"/>
      <c r="G1836" s="48"/>
      <c r="H1836" s="48"/>
      <c r="I1836" s="48"/>
      <c r="J1836" s="86"/>
      <c r="K1836" s="86"/>
      <c r="L1836" s="86"/>
      <c r="M1836" s="86"/>
      <c r="N1836" s="86"/>
      <c r="O1836" s="86"/>
      <c r="P1836" s="86"/>
      <c r="Q1836" s="86"/>
      <c r="R1836" s="86"/>
      <c r="S1836" s="86"/>
      <c r="T1836" s="86"/>
      <c r="U1836" s="86"/>
      <c r="V1836" s="48"/>
      <c r="W1836" s="48"/>
      <c r="X1836" s="48"/>
      <c r="Y1836" s="48"/>
      <c r="Z1836" s="48"/>
      <c r="AA1836" s="48"/>
      <c r="AB1836" s="48"/>
      <c r="AC1836" s="48"/>
      <c r="AD1836" s="48"/>
      <c r="AE1836" s="48"/>
      <c r="AF1836" s="48"/>
      <c r="AG1836" s="48"/>
      <c r="AH1836" s="48"/>
      <c r="AI1836" s="48"/>
      <c r="AJ1836" s="48"/>
      <c r="AK1836" s="48"/>
      <c r="AL1836" s="48"/>
      <c r="AM1836" s="48"/>
      <c r="AN1836" s="48"/>
      <c r="AO1836" s="48"/>
      <c r="AP1836" s="48"/>
      <c r="AQ1836" s="48"/>
      <c r="AR1836" s="48"/>
      <c r="AS1836" s="48"/>
      <c r="AT1836" s="48"/>
      <c r="AU1836" s="48"/>
      <c r="AV1836" s="48"/>
      <c r="AW1836" s="48"/>
      <c r="AX1836" s="48"/>
      <c r="AY1836" s="48"/>
      <c r="AZ1836" s="48"/>
      <c r="BA1836" s="48"/>
      <c r="BB1836" s="48"/>
      <c r="BC1836" s="48"/>
      <c r="BD1836" s="48"/>
    </row>
    <row r="1837" spans="1:56">
      <c r="A1837" s="48"/>
      <c r="B1837" s="48"/>
      <c r="C1837" s="49"/>
      <c r="D1837" s="48"/>
      <c r="E1837" s="48"/>
      <c r="F1837" s="48"/>
      <c r="G1837" s="48"/>
      <c r="H1837" s="48"/>
      <c r="I1837" s="48"/>
      <c r="J1837" s="86"/>
      <c r="K1837" s="86"/>
      <c r="L1837" s="86"/>
      <c r="M1837" s="86"/>
      <c r="N1837" s="86"/>
      <c r="O1837" s="86"/>
      <c r="P1837" s="86"/>
      <c r="Q1837" s="86"/>
      <c r="R1837" s="86"/>
      <c r="S1837" s="86"/>
      <c r="T1837" s="86"/>
      <c r="U1837" s="86"/>
      <c r="V1837" s="48"/>
      <c r="W1837" s="48"/>
      <c r="X1837" s="48"/>
      <c r="Y1837" s="48"/>
      <c r="Z1837" s="48"/>
      <c r="AA1837" s="48"/>
      <c r="AB1837" s="48"/>
      <c r="AC1837" s="48"/>
      <c r="AD1837" s="48"/>
      <c r="AE1837" s="48"/>
      <c r="AF1837" s="48"/>
      <c r="AG1837" s="48"/>
      <c r="AH1837" s="48"/>
      <c r="AI1837" s="48"/>
      <c r="AJ1837" s="48"/>
      <c r="AK1837" s="48"/>
      <c r="AL1837" s="48"/>
      <c r="AM1837" s="48"/>
      <c r="AN1837" s="48"/>
      <c r="AO1837" s="48"/>
      <c r="AP1837" s="48"/>
      <c r="AQ1837" s="48"/>
      <c r="AR1837" s="48"/>
      <c r="AS1837" s="48"/>
      <c r="AT1837" s="48"/>
      <c r="AU1837" s="48"/>
      <c r="AV1837" s="48"/>
      <c r="AW1837" s="48"/>
      <c r="AX1837" s="48"/>
      <c r="AY1837" s="48"/>
      <c r="AZ1837" s="48"/>
      <c r="BA1837" s="48"/>
      <c r="BB1837" s="48"/>
      <c r="BC1837" s="48"/>
      <c r="BD1837" s="48"/>
    </row>
    <row r="1838" spans="1:56">
      <c r="A1838" s="48"/>
      <c r="B1838" s="48"/>
      <c r="C1838" s="49"/>
      <c r="D1838" s="48"/>
      <c r="E1838" s="48"/>
      <c r="F1838" s="48"/>
      <c r="G1838" s="48"/>
      <c r="H1838" s="48"/>
      <c r="I1838" s="48"/>
      <c r="J1838" s="86"/>
      <c r="K1838" s="86"/>
      <c r="L1838" s="86"/>
      <c r="M1838" s="86"/>
      <c r="N1838" s="86"/>
      <c r="O1838" s="86"/>
      <c r="P1838" s="86"/>
      <c r="Q1838" s="86"/>
      <c r="R1838" s="86"/>
      <c r="S1838" s="86"/>
      <c r="T1838" s="86"/>
      <c r="U1838" s="86"/>
      <c r="V1838" s="48"/>
      <c r="W1838" s="48"/>
      <c r="X1838" s="48"/>
      <c r="Y1838" s="48"/>
      <c r="Z1838" s="48"/>
      <c r="AA1838" s="48"/>
      <c r="AB1838" s="48"/>
      <c r="AC1838" s="48"/>
      <c r="AD1838" s="48"/>
      <c r="AE1838" s="48"/>
      <c r="AF1838" s="48"/>
      <c r="AG1838" s="48"/>
      <c r="AH1838" s="48"/>
      <c r="AI1838" s="48"/>
      <c r="AJ1838" s="48"/>
      <c r="AK1838" s="48"/>
      <c r="AL1838" s="48"/>
      <c r="AM1838" s="48"/>
      <c r="AN1838" s="48"/>
      <c r="AO1838" s="48"/>
      <c r="AP1838" s="48"/>
      <c r="AQ1838" s="48"/>
      <c r="AR1838" s="48"/>
      <c r="AS1838" s="48"/>
      <c r="AT1838" s="48"/>
      <c r="AU1838" s="48"/>
      <c r="AV1838" s="48"/>
      <c r="AW1838" s="48"/>
      <c r="AX1838" s="48"/>
      <c r="AY1838" s="48"/>
      <c r="AZ1838" s="48"/>
      <c r="BA1838" s="48"/>
      <c r="BB1838" s="48"/>
      <c r="BC1838" s="48"/>
      <c r="BD1838" s="48"/>
    </row>
    <row r="1839" spans="1:56">
      <c r="A1839" s="48"/>
      <c r="B1839" s="48"/>
      <c r="C1839" s="49"/>
      <c r="D1839" s="48"/>
      <c r="E1839" s="48"/>
      <c r="F1839" s="48"/>
      <c r="G1839" s="48"/>
      <c r="H1839" s="48"/>
      <c r="I1839" s="48"/>
      <c r="J1839" s="86"/>
      <c r="K1839" s="86"/>
      <c r="L1839" s="86"/>
      <c r="M1839" s="86"/>
      <c r="N1839" s="86"/>
      <c r="O1839" s="86"/>
      <c r="P1839" s="86"/>
      <c r="Q1839" s="86"/>
      <c r="R1839" s="86"/>
      <c r="S1839" s="86"/>
      <c r="T1839" s="86"/>
      <c r="U1839" s="86"/>
      <c r="V1839" s="48"/>
      <c r="W1839" s="48"/>
      <c r="X1839" s="48"/>
      <c r="Y1839" s="48"/>
      <c r="Z1839" s="48"/>
      <c r="AA1839" s="48"/>
      <c r="AB1839" s="48"/>
      <c r="AC1839" s="48"/>
      <c r="AD1839" s="48"/>
      <c r="AE1839" s="48"/>
      <c r="AF1839" s="48"/>
      <c r="AG1839" s="48"/>
      <c r="AH1839" s="48"/>
      <c r="AI1839" s="48"/>
      <c r="AJ1839" s="48"/>
      <c r="AK1839" s="48"/>
      <c r="AL1839" s="48"/>
      <c r="AM1839" s="48"/>
      <c r="AN1839" s="48"/>
      <c r="AO1839" s="48"/>
      <c r="AP1839" s="48"/>
      <c r="AQ1839" s="48"/>
      <c r="AR1839" s="48"/>
      <c r="AS1839" s="48"/>
      <c r="AT1839" s="48"/>
      <c r="AU1839" s="48"/>
      <c r="AV1839" s="48"/>
      <c r="AW1839" s="48"/>
      <c r="AX1839" s="48"/>
      <c r="AY1839" s="48"/>
      <c r="AZ1839" s="48"/>
      <c r="BA1839" s="48"/>
      <c r="BB1839" s="48"/>
      <c r="BC1839" s="48"/>
      <c r="BD1839" s="48"/>
    </row>
    <row r="1840" spans="1:56">
      <c r="A1840" s="48"/>
      <c r="B1840" s="48"/>
      <c r="C1840" s="49"/>
      <c r="D1840" s="48"/>
      <c r="E1840" s="48"/>
      <c r="F1840" s="48"/>
      <c r="G1840" s="48"/>
      <c r="H1840" s="48"/>
      <c r="I1840" s="48"/>
      <c r="J1840" s="86"/>
      <c r="K1840" s="86"/>
      <c r="L1840" s="86"/>
      <c r="M1840" s="86"/>
      <c r="N1840" s="86"/>
      <c r="O1840" s="86"/>
      <c r="P1840" s="86"/>
      <c r="Q1840" s="86"/>
      <c r="R1840" s="86"/>
      <c r="S1840" s="86"/>
      <c r="T1840" s="86"/>
      <c r="U1840" s="86"/>
      <c r="V1840" s="48"/>
      <c r="W1840" s="48"/>
      <c r="X1840" s="48"/>
      <c r="Y1840" s="48"/>
      <c r="Z1840" s="48"/>
      <c r="AA1840" s="48"/>
      <c r="AB1840" s="48"/>
      <c r="AC1840" s="48"/>
      <c r="AD1840" s="48"/>
      <c r="AE1840" s="48"/>
      <c r="AF1840" s="48"/>
      <c r="AG1840" s="48"/>
      <c r="AH1840" s="48"/>
      <c r="AI1840" s="48"/>
      <c r="AJ1840" s="48"/>
      <c r="AK1840" s="48"/>
      <c r="AL1840" s="48"/>
      <c r="AM1840" s="48"/>
      <c r="AN1840" s="48"/>
      <c r="AO1840" s="48"/>
      <c r="AP1840" s="48"/>
      <c r="AQ1840" s="48"/>
      <c r="AR1840" s="48"/>
      <c r="AS1840" s="48"/>
      <c r="AT1840" s="48"/>
      <c r="AU1840" s="48"/>
      <c r="AV1840" s="48"/>
      <c r="AW1840" s="48"/>
      <c r="AX1840" s="48"/>
      <c r="AY1840" s="48"/>
      <c r="AZ1840" s="48"/>
      <c r="BA1840" s="48"/>
      <c r="BB1840" s="48"/>
      <c r="BC1840" s="48"/>
      <c r="BD1840" s="48"/>
    </row>
    <row r="1841" spans="1:56">
      <c r="A1841" s="48"/>
      <c r="B1841" s="48"/>
      <c r="C1841" s="49"/>
      <c r="D1841" s="48"/>
      <c r="E1841" s="48"/>
      <c r="F1841" s="48"/>
      <c r="G1841" s="48"/>
      <c r="H1841" s="48"/>
      <c r="I1841" s="48"/>
      <c r="J1841" s="86"/>
      <c r="K1841" s="86"/>
      <c r="L1841" s="86"/>
      <c r="M1841" s="86"/>
      <c r="N1841" s="86"/>
      <c r="O1841" s="86"/>
      <c r="P1841" s="86"/>
      <c r="Q1841" s="86"/>
      <c r="R1841" s="86"/>
      <c r="S1841" s="86"/>
      <c r="T1841" s="86"/>
      <c r="U1841" s="86"/>
      <c r="V1841" s="48"/>
      <c r="W1841" s="48"/>
      <c r="X1841" s="48"/>
      <c r="Y1841" s="48"/>
      <c r="Z1841" s="48"/>
      <c r="AA1841" s="48"/>
      <c r="AB1841" s="48"/>
      <c r="AC1841" s="48"/>
      <c r="AD1841" s="48"/>
      <c r="AE1841" s="48"/>
      <c r="AF1841" s="48"/>
      <c r="AG1841" s="48"/>
      <c r="AH1841" s="48"/>
      <c r="AI1841" s="48"/>
      <c r="AJ1841" s="48"/>
      <c r="AK1841" s="48"/>
      <c r="AL1841" s="48"/>
      <c r="AM1841" s="48"/>
      <c r="AN1841" s="48"/>
      <c r="AO1841" s="48"/>
      <c r="AP1841" s="48"/>
      <c r="AQ1841" s="48"/>
      <c r="AR1841" s="48"/>
      <c r="AS1841" s="48"/>
      <c r="AT1841" s="48"/>
      <c r="AU1841" s="48"/>
      <c r="AV1841" s="48"/>
      <c r="AW1841" s="48"/>
      <c r="AX1841" s="48"/>
      <c r="AY1841" s="48"/>
      <c r="AZ1841" s="48"/>
      <c r="BA1841" s="48"/>
      <c r="BB1841" s="48"/>
      <c r="BC1841" s="48"/>
      <c r="BD1841" s="48"/>
    </row>
    <row r="1842" spans="1:56">
      <c r="A1842" s="48"/>
      <c r="B1842" s="48"/>
      <c r="C1842" s="49"/>
      <c r="D1842" s="48"/>
      <c r="E1842" s="48"/>
      <c r="F1842" s="48"/>
      <c r="G1842" s="48"/>
      <c r="H1842" s="48"/>
      <c r="I1842" s="48"/>
      <c r="J1842" s="86"/>
      <c r="K1842" s="86"/>
      <c r="L1842" s="86"/>
      <c r="M1842" s="86"/>
      <c r="N1842" s="86"/>
      <c r="O1842" s="86"/>
      <c r="P1842" s="86"/>
      <c r="Q1842" s="86"/>
      <c r="R1842" s="86"/>
      <c r="S1842" s="86"/>
      <c r="T1842" s="86"/>
      <c r="U1842" s="86"/>
      <c r="V1842" s="48"/>
      <c r="W1842" s="48"/>
      <c r="X1842" s="48"/>
      <c r="Y1842" s="48"/>
      <c r="Z1842" s="48"/>
      <c r="AA1842" s="48"/>
      <c r="AB1842" s="48"/>
      <c r="AC1842" s="48"/>
      <c r="AD1842" s="48"/>
      <c r="AE1842" s="48"/>
      <c r="AF1842" s="48"/>
      <c r="AG1842" s="48"/>
      <c r="AH1842" s="48"/>
      <c r="AI1842" s="48"/>
      <c r="AJ1842" s="48"/>
      <c r="AK1842" s="48"/>
      <c r="AL1842" s="48"/>
      <c r="AM1842" s="48"/>
      <c r="AN1842" s="48"/>
      <c r="AO1842" s="48"/>
      <c r="AP1842" s="48"/>
      <c r="AQ1842" s="48"/>
      <c r="AR1842" s="48"/>
      <c r="AS1842" s="48"/>
      <c r="AT1842" s="48"/>
      <c r="AU1842" s="48"/>
      <c r="AV1842" s="48"/>
      <c r="AW1842" s="48"/>
      <c r="AX1842" s="48"/>
      <c r="AY1842" s="48"/>
      <c r="AZ1842" s="48"/>
      <c r="BA1842" s="48"/>
      <c r="BB1842" s="48"/>
      <c r="BC1842" s="48"/>
      <c r="BD1842" s="48"/>
    </row>
    <row r="1843" spans="1:56">
      <c r="A1843" s="48"/>
      <c r="B1843" s="48"/>
      <c r="C1843" s="49"/>
      <c r="D1843" s="48"/>
      <c r="E1843" s="48"/>
      <c r="F1843" s="48"/>
      <c r="G1843" s="48"/>
      <c r="H1843" s="48"/>
      <c r="I1843" s="48"/>
      <c r="J1843" s="86"/>
      <c r="K1843" s="86"/>
      <c r="L1843" s="86"/>
      <c r="M1843" s="86"/>
      <c r="N1843" s="86"/>
      <c r="O1843" s="86"/>
      <c r="P1843" s="86"/>
      <c r="Q1843" s="86"/>
      <c r="R1843" s="86"/>
      <c r="S1843" s="86"/>
      <c r="T1843" s="86"/>
      <c r="U1843" s="86"/>
      <c r="V1843" s="48"/>
      <c r="W1843" s="48"/>
      <c r="X1843" s="48"/>
      <c r="Y1843" s="48"/>
      <c r="Z1843" s="48"/>
      <c r="AA1843" s="48"/>
      <c r="AB1843" s="48"/>
      <c r="AC1843" s="48"/>
      <c r="AD1843" s="48"/>
      <c r="AE1843" s="48"/>
      <c r="AF1843" s="48"/>
      <c r="AG1843" s="48"/>
      <c r="AH1843" s="48"/>
      <c r="AI1843" s="48"/>
      <c r="AJ1843" s="48"/>
      <c r="AK1843" s="48"/>
      <c r="AL1843" s="48"/>
      <c r="AM1843" s="48"/>
      <c r="AN1843" s="48"/>
      <c r="AO1843" s="48"/>
      <c r="AP1843" s="48"/>
      <c r="AQ1843" s="48"/>
      <c r="AR1843" s="48"/>
      <c r="AS1843" s="48"/>
      <c r="AT1843" s="48"/>
      <c r="AU1843" s="48"/>
      <c r="AV1843" s="48"/>
      <c r="AW1843" s="48"/>
      <c r="AX1843" s="48"/>
      <c r="AY1843" s="48"/>
      <c r="AZ1843" s="48"/>
      <c r="BA1843" s="48"/>
      <c r="BB1843" s="48"/>
      <c r="BC1843" s="48"/>
      <c r="BD1843" s="48"/>
    </row>
    <row r="1844" spans="1:56">
      <c r="A1844" s="48"/>
      <c r="B1844" s="48"/>
      <c r="C1844" s="49"/>
      <c r="D1844" s="48"/>
      <c r="E1844" s="48"/>
      <c r="F1844" s="48"/>
      <c r="G1844" s="48"/>
      <c r="H1844" s="48"/>
      <c r="I1844" s="48"/>
      <c r="J1844" s="86"/>
      <c r="K1844" s="86"/>
      <c r="L1844" s="86"/>
      <c r="M1844" s="86"/>
      <c r="N1844" s="86"/>
      <c r="O1844" s="86"/>
      <c r="P1844" s="86"/>
      <c r="Q1844" s="86"/>
      <c r="R1844" s="86"/>
      <c r="S1844" s="86"/>
      <c r="T1844" s="86"/>
      <c r="U1844" s="86"/>
      <c r="V1844" s="48"/>
      <c r="W1844" s="48"/>
      <c r="X1844" s="48"/>
      <c r="Y1844" s="48"/>
      <c r="Z1844" s="48"/>
      <c r="AA1844" s="48"/>
      <c r="AB1844" s="48"/>
      <c r="AC1844" s="48"/>
      <c r="AD1844" s="48"/>
      <c r="AE1844" s="48"/>
      <c r="AF1844" s="48"/>
      <c r="AG1844" s="48"/>
      <c r="AH1844" s="48"/>
      <c r="AI1844" s="48"/>
      <c r="AJ1844" s="48"/>
      <c r="AK1844" s="48"/>
      <c r="AL1844" s="48"/>
      <c r="AM1844" s="48"/>
      <c r="AN1844" s="48"/>
      <c r="AO1844" s="48"/>
      <c r="AP1844" s="48"/>
      <c r="AQ1844" s="48"/>
      <c r="AR1844" s="48"/>
      <c r="AS1844" s="48"/>
      <c r="AT1844" s="48"/>
      <c r="AU1844" s="48"/>
      <c r="AV1844" s="48"/>
      <c r="AW1844" s="48"/>
      <c r="AX1844" s="48"/>
      <c r="AY1844" s="48"/>
      <c r="AZ1844" s="48"/>
      <c r="BA1844" s="48"/>
      <c r="BB1844" s="48"/>
      <c r="BC1844" s="48"/>
      <c r="BD1844" s="48"/>
    </row>
    <row r="1845" spans="1:56">
      <c r="A1845" s="48"/>
      <c r="B1845" s="48"/>
      <c r="C1845" s="49"/>
      <c r="D1845" s="48"/>
      <c r="E1845" s="48"/>
      <c r="F1845" s="48"/>
      <c r="G1845" s="48"/>
      <c r="H1845" s="48"/>
      <c r="I1845" s="48"/>
      <c r="J1845" s="86"/>
      <c r="K1845" s="86"/>
      <c r="L1845" s="86"/>
      <c r="M1845" s="86"/>
      <c r="N1845" s="86"/>
      <c r="O1845" s="86"/>
      <c r="P1845" s="86"/>
      <c r="Q1845" s="86"/>
      <c r="R1845" s="86"/>
      <c r="S1845" s="86"/>
      <c r="T1845" s="86"/>
      <c r="U1845" s="86"/>
      <c r="V1845" s="48"/>
      <c r="W1845" s="48"/>
      <c r="X1845" s="48"/>
      <c r="Y1845" s="48"/>
      <c r="Z1845" s="48"/>
      <c r="AA1845" s="48"/>
      <c r="AB1845" s="48"/>
      <c r="AC1845" s="48"/>
      <c r="AD1845" s="48"/>
      <c r="AE1845" s="48"/>
      <c r="AF1845" s="48"/>
      <c r="AG1845" s="48"/>
      <c r="AH1845" s="48"/>
      <c r="AI1845" s="48"/>
      <c r="AJ1845" s="48"/>
      <c r="AK1845" s="48"/>
      <c r="AL1845" s="48"/>
      <c r="AM1845" s="48"/>
      <c r="AN1845" s="48"/>
      <c r="AO1845" s="48"/>
      <c r="AP1845" s="48"/>
      <c r="AQ1845" s="48"/>
      <c r="AR1845" s="48"/>
      <c r="AS1845" s="48"/>
      <c r="AT1845" s="48"/>
      <c r="AU1845" s="48"/>
      <c r="AV1845" s="48"/>
      <c r="AW1845" s="48"/>
      <c r="AX1845" s="48"/>
      <c r="AY1845" s="48"/>
      <c r="AZ1845" s="48"/>
      <c r="BA1845" s="48"/>
      <c r="BB1845" s="48"/>
      <c r="BC1845" s="48"/>
      <c r="BD1845" s="48"/>
    </row>
    <row r="1846" spans="1:56">
      <c r="A1846" s="48"/>
      <c r="B1846" s="48"/>
      <c r="C1846" s="49"/>
      <c r="D1846" s="48"/>
      <c r="E1846" s="48"/>
      <c r="F1846" s="48"/>
      <c r="G1846" s="48"/>
      <c r="H1846" s="48"/>
      <c r="I1846" s="48"/>
      <c r="J1846" s="86"/>
      <c r="K1846" s="86"/>
      <c r="L1846" s="86"/>
      <c r="M1846" s="86"/>
      <c r="N1846" s="86"/>
      <c r="O1846" s="86"/>
      <c r="P1846" s="86"/>
      <c r="Q1846" s="86"/>
      <c r="R1846" s="86"/>
      <c r="S1846" s="86"/>
      <c r="T1846" s="86"/>
      <c r="U1846" s="86"/>
      <c r="V1846" s="48"/>
      <c r="W1846" s="48"/>
      <c r="X1846" s="48"/>
      <c r="Y1846" s="48"/>
      <c r="Z1846" s="48"/>
      <c r="AA1846" s="48"/>
      <c r="AB1846" s="48"/>
      <c r="AC1846" s="48"/>
      <c r="AD1846" s="48"/>
      <c r="AE1846" s="48"/>
      <c r="AF1846" s="48"/>
      <c r="AG1846" s="48"/>
      <c r="AH1846" s="48"/>
      <c r="AI1846" s="48"/>
      <c r="AJ1846" s="48"/>
      <c r="AK1846" s="48"/>
      <c r="AL1846" s="48"/>
      <c r="AM1846" s="48"/>
      <c r="AN1846" s="48"/>
      <c r="AO1846" s="48"/>
      <c r="AP1846" s="48"/>
      <c r="AQ1846" s="48"/>
      <c r="AR1846" s="48"/>
      <c r="AS1846" s="48"/>
      <c r="AT1846" s="48"/>
      <c r="AU1846" s="48"/>
      <c r="AV1846" s="48"/>
      <c r="AW1846" s="48"/>
      <c r="AX1846" s="48"/>
      <c r="AY1846" s="48"/>
      <c r="AZ1846" s="48"/>
      <c r="BA1846" s="48"/>
      <c r="BB1846" s="48"/>
      <c r="BC1846" s="48"/>
      <c r="BD1846" s="48"/>
    </row>
    <row r="1847" spans="1:56">
      <c r="A1847" s="48"/>
      <c r="B1847" s="48"/>
      <c r="C1847" s="49"/>
      <c r="D1847" s="48"/>
      <c r="E1847" s="48"/>
      <c r="F1847" s="48"/>
      <c r="G1847" s="48"/>
      <c r="H1847" s="48"/>
      <c r="I1847" s="48"/>
      <c r="J1847" s="86"/>
      <c r="K1847" s="86"/>
      <c r="L1847" s="86"/>
      <c r="M1847" s="86"/>
      <c r="N1847" s="86"/>
      <c r="O1847" s="86"/>
      <c r="P1847" s="86"/>
      <c r="Q1847" s="86"/>
      <c r="R1847" s="86"/>
      <c r="S1847" s="86"/>
      <c r="T1847" s="86"/>
      <c r="U1847" s="86"/>
      <c r="V1847" s="48"/>
      <c r="W1847" s="48"/>
      <c r="X1847" s="48"/>
      <c r="Y1847" s="48"/>
      <c r="Z1847" s="48"/>
      <c r="AA1847" s="48"/>
      <c r="AB1847" s="48"/>
      <c r="AC1847" s="48"/>
      <c r="AD1847" s="48"/>
      <c r="AE1847" s="48"/>
      <c r="AF1847" s="48"/>
      <c r="AG1847" s="48"/>
      <c r="AH1847" s="48"/>
      <c r="AI1847" s="48"/>
      <c r="AJ1847" s="48"/>
      <c r="AK1847" s="48"/>
      <c r="AL1847" s="48"/>
      <c r="AM1847" s="48"/>
      <c r="AN1847" s="48"/>
      <c r="AO1847" s="48"/>
      <c r="AP1847" s="48"/>
      <c r="AQ1847" s="48"/>
      <c r="AR1847" s="48"/>
      <c r="AS1847" s="48"/>
      <c r="AT1847" s="48"/>
      <c r="AU1847" s="48"/>
      <c r="AV1847" s="48"/>
      <c r="AW1847" s="48"/>
      <c r="AX1847" s="48"/>
      <c r="AY1847" s="48"/>
      <c r="AZ1847" s="48"/>
      <c r="BA1847" s="48"/>
      <c r="BB1847" s="48"/>
      <c r="BC1847" s="48"/>
      <c r="BD1847" s="48"/>
    </row>
    <row r="1848" spans="1:56">
      <c r="A1848" s="48"/>
      <c r="B1848" s="48"/>
      <c r="C1848" s="49"/>
      <c r="D1848" s="48"/>
      <c r="E1848" s="48"/>
      <c r="F1848" s="48"/>
      <c r="G1848" s="48"/>
      <c r="H1848" s="48"/>
      <c r="I1848" s="48"/>
      <c r="J1848" s="86"/>
      <c r="K1848" s="86"/>
      <c r="L1848" s="86"/>
      <c r="M1848" s="86"/>
      <c r="N1848" s="86"/>
      <c r="O1848" s="86"/>
      <c r="P1848" s="86"/>
      <c r="Q1848" s="86"/>
      <c r="R1848" s="86"/>
      <c r="S1848" s="86"/>
      <c r="T1848" s="86"/>
      <c r="U1848" s="86"/>
      <c r="V1848" s="48"/>
      <c r="W1848" s="48"/>
      <c r="X1848" s="48"/>
      <c r="Y1848" s="48"/>
      <c r="Z1848" s="48"/>
      <c r="AA1848" s="48"/>
      <c r="AB1848" s="48"/>
      <c r="AC1848" s="48"/>
      <c r="AD1848" s="48"/>
      <c r="AE1848" s="48"/>
      <c r="AF1848" s="48"/>
      <c r="AG1848" s="48"/>
      <c r="AH1848" s="48"/>
      <c r="AI1848" s="48"/>
      <c r="AJ1848" s="48"/>
      <c r="AK1848" s="48"/>
      <c r="AL1848" s="48"/>
      <c r="AM1848" s="48"/>
      <c r="AN1848" s="48"/>
      <c r="AO1848" s="48"/>
      <c r="AP1848" s="48"/>
      <c r="AQ1848" s="48"/>
      <c r="AR1848" s="48"/>
      <c r="AS1848" s="48"/>
      <c r="AT1848" s="48"/>
      <c r="AU1848" s="48"/>
      <c r="AV1848" s="48"/>
      <c r="AW1848" s="48"/>
      <c r="AX1848" s="48"/>
      <c r="AY1848" s="48"/>
      <c r="AZ1848" s="48"/>
      <c r="BA1848" s="48"/>
      <c r="BB1848" s="48"/>
      <c r="BC1848" s="48"/>
      <c r="BD1848" s="48"/>
    </row>
    <row r="1849" spans="1:56">
      <c r="A1849" s="48"/>
      <c r="B1849" s="48"/>
      <c r="C1849" s="49"/>
      <c r="D1849" s="48"/>
      <c r="E1849" s="48"/>
      <c r="F1849" s="48"/>
      <c r="G1849" s="48"/>
      <c r="H1849" s="48"/>
      <c r="I1849" s="48"/>
      <c r="J1849" s="86"/>
      <c r="K1849" s="86"/>
      <c r="L1849" s="86"/>
      <c r="M1849" s="86"/>
      <c r="N1849" s="86"/>
      <c r="O1849" s="86"/>
      <c r="P1849" s="86"/>
      <c r="Q1849" s="86"/>
      <c r="R1849" s="86"/>
      <c r="S1849" s="86"/>
      <c r="T1849" s="86"/>
      <c r="U1849" s="86"/>
      <c r="V1849" s="48"/>
      <c r="W1849" s="48"/>
      <c r="X1849" s="48"/>
      <c r="Y1849" s="48"/>
      <c r="Z1849" s="48"/>
      <c r="AA1849" s="48"/>
      <c r="AB1849" s="48"/>
      <c r="AC1849" s="48"/>
      <c r="AD1849" s="48"/>
      <c r="AE1849" s="48"/>
      <c r="AF1849" s="48"/>
      <c r="AG1849" s="48"/>
      <c r="AH1849" s="48"/>
      <c r="AI1849" s="48"/>
      <c r="AJ1849" s="48"/>
      <c r="AK1849" s="48"/>
      <c r="AL1849" s="48"/>
      <c r="AM1849" s="48"/>
      <c r="AN1849" s="48"/>
      <c r="AO1849" s="48"/>
      <c r="AP1849" s="48"/>
      <c r="AQ1849" s="48"/>
      <c r="AR1849" s="48"/>
      <c r="AS1849" s="48"/>
      <c r="AT1849" s="48"/>
      <c r="AU1849" s="48"/>
      <c r="AV1849" s="48"/>
      <c r="AW1849" s="48"/>
      <c r="AX1849" s="48"/>
      <c r="AY1849" s="48"/>
      <c r="AZ1849" s="48"/>
      <c r="BA1849" s="48"/>
      <c r="BB1849" s="48"/>
      <c r="BC1849" s="48"/>
      <c r="BD1849" s="48"/>
    </row>
    <row r="1850" spans="1:56">
      <c r="A1850" s="48"/>
      <c r="B1850" s="48"/>
      <c r="C1850" s="49"/>
      <c r="D1850" s="48"/>
      <c r="E1850" s="48"/>
      <c r="F1850" s="48"/>
      <c r="G1850" s="48"/>
      <c r="H1850" s="48"/>
      <c r="I1850" s="48"/>
      <c r="J1850" s="86"/>
      <c r="K1850" s="86"/>
      <c r="L1850" s="86"/>
      <c r="M1850" s="86"/>
      <c r="N1850" s="86"/>
      <c r="O1850" s="86"/>
      <c r="P1850" s="86"/>
      <c r="Q1850" s="86"/>
      <c r="R1850" s="86"/>
      <c r="S1850" s="86"/>
      <c r="T1850" s="86"/>
      <c r="U1850" s="86"/>
      <c r="V1850" s="48"/>
      <c r="W1850" s="48"/>
      <c r="X1850" s="48"/>
      <c r="Y1850" s="48"/>
      <c r="Z1850" s="48"/>
      <c r="AA1850" s="48"/>
      <c r="AB1850" s="48"/>
      <c r="AC1850" s="48"/>
      <c r="AD1850" s="48"/>
      <c r="AE1850" s="48"/>
      <c r="AF1850" s="48"/>
      <c r="AG1850" s="48"/>
      <c r="AH1850" s="48"/>
      <c r="AI1850" s="48"/>
      <c r="AJ1850" s="48"/>
      <c r="AK1850" s="48"/>
      <c r="AL1850" s="48"/>
      <c r="AM1850" s="48"/>
      <c r="AN1850" s="48"/>
      <c r="AO1850" s="48"/>
      <c r="AP1850" s="48"/>
      <c r="AQ1850" s="48"/>
      <c r="AR1850" s="48"/>
      <c r="AS1850" s="48"/>
      <c r="AT1850" s="48"/>
      <c r="AU1850" s="48"/>
      <c r="AV1850" s="48"/>
      <c r="AW1850" s="48"/>
      <c r="AX1850" s="48"/>
      <c r="AY1850" s="48"/>
      <c r="AZ1850" s="48"/>
      <c r="BA1850" s="48"/>
      <c r="BB1850" s="48"/>
      <c r="BC1850" s="48"/>
      <c r="BD1850" s="48"/>
    </row>
    <row r="1851" spans="1:56">
      <c r="A1851" s="48"/>
      <c r="B1851" s="48"/>
      <c r="C1851" s="49"/>
      <c r="D1851" s="48"/>
      <c r="E1851" s="48"/>
      <c r="F1851" s="48"/>
      <c r="G1851" s="48"/>
      <c r="H1851" s="48"/>
      <c r="I1851" s="48"/>
      <c r="J1851" s="86"/>
      <c r="K1851" s="86"/>
      <c r="L1851" s="86"/>
      <c r="M1851" s="86"/>
      <c r="N1851" s="86"/>
      <c r="O1851" s="86"/>
      <c r="P1851" s="86"/>
      <c r="Q1851" s="86"/>
      <c r="R1851" s="86"/>
      <c r="S1851" s="86"/>
      <c r="T1851" s="86"/>
      <c r="U1851" s="86"/>
      <c r="V1851" s="48"/>
      <c r="W1851" s="48"/>
      <c r="X1851" s="48"/>
      <c r="Y1851" s="48"/>
      <c r="Z1851" s="48"/>
      <c r="AA1851" s="48"/>
      <c r="AB1851" s="48"/>
      <c r="AC1851" s="48"/>
      <c r="AD1851" s="48"/>
      <c r="AE1851" s="48"/>
      <c r="AF1851" s="48"/>
      <c r="AG1851" s="48"/>
      <c r="AH1851" s="48"/>
      <c r="AI1851" s="48"/>
      <c r="AJ1851" s="48"/>
      <c r="AK1851" s="48"/>
      <c r="AL1851" s="48"/>
      <c r="AM1851" s="48"/>
      <c r="AN1851" s="48"/>
      <c r="AO1851" s="48"/>
      <c r="AP1851" s="48"/>
      <c r="AQ1851" s="48"/>
      <c r="AR1851" s="48"/>
      <c r="AS1851" s="48"/>
      <c r="AT1851" s="48"/>
      <c r="AU1851" s="48"/>
      <c r="AV1851" s="48"/>
      <c r="AW1851" s="48"/>
      <c r="AX1851" s="48"/>
      <c r="AY1851" s="48"/>
      <c r="AZ1851" s="48"/>
      <c r="BA1851" s="48"/>
      <c r="BB1851" s="48"/>
      <c r="BC1851" s="48"/>
      <c r="BD1851" s="48"/>
    </row>
    <row r="1852" spans="1:56">
      <c r="A1852" s="48"/>
      <c r="B1852" s="48"/>
      <c r="C1852" s="49"/>
      <c r="D1852" s="48"/>
      <c r="E1852" s="48"/>
      <c r="F1852" s="48"/>
      <c r="G1852" s="48"/>
      <c r="H1852" s="48"/>
      <c r="I1852" s="48"/>
      <c r="J1852" s="86"/>
      <c r="K1852" s="86"/>
      <c r="L1852" s="86"/>
      <c r="M1852" s="86"/>
      <c r="N1852" s="86"/>
      <c r="O1852" s="86"/>
      <c r="P1852" s="86"/>
      <c r="Q1852" s="86"/>
      <c r="R1852" s="86"/>
      <c r="S1852" s="86"/>
      <c r="T1852" s="86"/>
      <c r="U1852" s="86"/>
      <c r="V1852" s="48"/>
      <c r="W1852" s="48"/>
      <c r="X1852" s="48"/>
      <c r="Y1852" s="48"/>
      <c r="Z1852" s="48"/>
      <c r="AA1852" s="48"/>
      <c r="AB1852" s="48"/>
      <c r="AC1852" s="48"/>
      <c r="AD1852" s="48"/>
      <c r="AE1852" s="48"/>
      <c r="AF1852" s="48"/>
      <c r="AG1852" s="48"/>
      <c r="AH1852" s="48"/>
      <c r="AI1852" s="48"/>
      <c r="AJ1852" s="48"/>
      <c r="AK1852" s="48"/>
      <c r="AL1852" s="48"/>
      <c r="AM1852" s="48"/>
      <c r="AN1852" s="48"/>
      <c r="AO1852" s="48"/>
      <c r="AP1852" s="48"/>
      <c r="AQ1852" s="48"/>
      <c r="AR1852" s="48"/>
      <c r="AS1852" s="48"/>
      <c r="AT1852" s="48"/>
      <c r="AU1852" s="48"/>
      <c r="AV1852" s="48"/>
      <c r="AW1852" s="48"/>
      <c r="AX1852" s="48"/>
      <c r="AY1852" s="48"/>
      <c r="AZ1852" s="48"/>
      <c r="BA1852" s="48"/>
      <c r="BB1852" s="48"/>
      <c r="BC1852" s="48"/>
      <c r="BD1852" s="48"/>
    </row>
    <row r="1853" spans="1:56">
      <c r="A1853" s="48"/>
      <c r="B1853" s="48"/>
      <c r="C1853" s="49"/>
      <c r="D1853" s="48"/>
      <c r="E1853" s="48"/>
      <c r="F1853" s="48"/>
      <c r="G1853" s="48"/>
      <c r="H1853" s="48"/>
      <c r="I1853" s="48"/>
      <c r="J1853" s="86"/>
      <c r="K1853" s="86"/>
      <c r="L1853" s="86"/>
      <c r="M1853" s="86"/>
      <c r="N1853" s="86"/>
      <c r="O1853" s="86"/>
      <c r="P1853" s="86"/>
      <c r="Q1853" s="86"/>
      <c r="R1853" s="86"/>
      <c r="S1853" s="86"/>
      <c r="T1853" s="86"/>
      <c r="U1853" s="86"/>
      <c r="V1853" s="48"/>
      <c r="W1853" s="48"/>
      <c r="X1853" s="48"/>
      <c r="Y1853" s="48"/>
      <c r="Z1853" s="48"/>
      <c r="AA1853" s="48"/>
      <c r="AB1853" s="48"/>
      <c r="AC1853" s="48"/>
      <c r="AD1853" s="48"/>
      <c r="AE1853" s="48"/>
      <c r="AF1853" s="48"/>
      <c r="AG1853" s="48"/>
      <c r="AH1853" s="48"/>
      <c r="AI1853" s="48"/>
      <c r="AJ1853" s="48"/>
      <c r="AK1853" s="48"/>
      <c r="AL1853" s="48"/>
      <c r="AM1853" s="48"/>
      <c r="AN1853" s="48"/>
      <c r="AO1853" s="48"/>
      <c r="AP1853" s="48"/>
      <c r="AQ1853" s="48"/>
      <c r="AR1853" s="48"/>
      <c r="AS1853" s="48"/>
      <c r="AT1853" s="48"/>
      <c r="AU1853" s="48"/>
      <c r="AV1853" s="48"/>
      <c r="AW1853" s="48"/>
      <c r="AX1853" s="48"/>
      <c r="AY1853" s="48"/>
      <c r="AZ1853" s="48"/>
      <c r="BA1853" s="48"/>
      <c r="BB1853" s="48"/>
      <c r="BC1853" s="48"/>
      <c r="BD1853" s="48"/>
    </row>
    <row r="1854" spans="1:56">
      <c r="A1854" s="48"/>
      <c r="B1854" s="48"/>
      <c r="C1854" s="49"/>
      <c r="D1854" s="48"/>
      <c r="E1854" s="48"/>
      <c r="F1854" s="48"/>
      <c r="G1854" s="48"/>
      <c r="H1854" s="48"/>
      <c r="I1854" s="48"/>
      <c r="J1854" s="86"/>
      <c r="K1854" s="86"/>
      <c r="L1854" s="86"/>
      <c r="M1854" s="86"/>
      <c r="N1854" s="86"/>
      <c r="O1854" s="86"/>
      <c r="P1854" s="86"/>
      <c r="Q1854" s="86"/>
      <c r="R1854" s="86"/>
      <c r="S1854" s="86"/>
      <c r="T1854" s="86"/>
      <c r="U1854" s="86"/>
      <c r="V1854" s="48"/>
      <c r="W1854" s="48"/>
      <c r="X1854" s="48"/>
      <c r="Y1854" s="48"/>
      <c r="Z1854" s="48"/>
      <c r="AA1854" s="48"/>
      <c r="AB1854" s="48"/>
      <c r="AC1854" s="48"/>
      <c r="AD1854" s="48"/>
      <c r="AE1854" s="48"/>
      <c r="AF1854" s="48"/>
      <c r="AG1854" s="48"/>
      <c r="AH1854" s="48"/>
      <c r="AI1854" s="48"/>
      <c r="AJ1854" s="48"/>
      <c r="AK1854" s="48"/>
      <c r="AL1854" s="48"/>
      <c r="AM1854" s="48"/>
      <c r="AN1854" s="48"/>
      <c r="AO1854" s="48"/>
      <c r="AP1854" s="48"/>
      <c r="AQ1854" s="48"/>
      <c r="AR1854" s="48"/>
      <c r="AS1854" s="48"/>
      <c r="AT1854" s="48"/>
      <c r="AU1854" s="48"/>
      <c r="AV1854" s="48"/>
      <c r="AW1854" s="48"/>
      <c r="AX1854" s="48"/>
      <c r="AY1854" s="48"/>
      <c r="AZ1854" s="48"/>
      <c r="BA1854" s="48"/>
      <c r="BB1854" s="48"/>
      <c r="BC1854" s="48"/>
      <c r="BD1854" s="48"/>
    </row>
    <row r="1855" spans="1:56">
      <c r="A1855" s="48"/>
      <c r="B1855" s="48"/>
      <c r="C1855" s="49"/>
      <c r="D1855" s="48"/>
      <c r="E1855" s="48"/>
      <c r="F1855" s="48"/>
      <c r="G1855" s="48"/>
      <c r="H1855" s="48"/>
      <c r="I1855" s="48"/>
      <c r="J1855" s="86"/>
      <c r="K1855" s="86"/>
      <c r="L1855" s="86"/>
      <c r="M1855" s="86"/>
      <c r="N1855" s="86"/>
      <c r="O1855" s="86"/>
      <c r="P1855" s="86"/>
      <c r="Q1855" s="86"/>
      <c r="R1855" s="86"/>
      <c r="S1855" s="86"/>
      <c r="T1855" s="86"/>
      <c r="U1855" s="86"/>
      <c r="V1855" s="48"/>
      <c r="W1855" s="48"/>
      <c r="X1855" s="48"/>
      <c r="Y1855" s="48"/>
      <c r="Z1855" s="48"/>
      <c r="AA1855" s="48"/>
      <c r="AB1855" s="48"/>
      <c r="AC1855" s="48"/>
      <c r="AD1855" s="48"/>
      <c r="AE1855" s="48"/>
      <c r="AF1855" s="48"/>
      <c r="AG1855" s="48"/>
      <c r="AH1855" s="48"/>
      <c r="AI1855" s="48"/>
      <c r="AJ1855" s="48"/>
      <c r="AK1855" s="48"/>
      <c r="AL1855" s="48"/>
      <c r="AM1855" s="48"/>
      <c r="AN1855" s="48"/>
      <c r="AO1855" s="48"/>
      <c r="AP1855" s="48"/>
      <c r="AQ1855" s="48"/>
      <c r="AR1855" s="48"/>
      <c r="AS1855" s="48"/>
      <c r="AT1855" s="48"/>
      <c r="AU1855" s="48"/>
      <c r="AV1855" s="48"/>
      <c r="AW1855" s="48"/>
      <c r="AX1855" s="48"/>
      <c r="AY1855" s="48"/>
      <c r="AZ1855" s="48"/>
      <c r="BA1855" s="48"/>
      <c r="BB1855" s="48"/>
      <c r="BC1855" s="48"/>
      <c r="BD1855" s="48"/>
    </row>
    <row r="1856" spans="1:56">
      <c r="A1856" s="48"/>
      <c r="B1856" s="48"/>
      <c r="C1856" s="49"/>
      <c r="D1856" s="48"/>
      <c r="E1856" s="48"/>
      <c r="F1856" s="48"/>
      <c r="G1856" s="48"/>
      <c r="H1856" s="48"/>
      <c r="I1856" s="48"/>
      <c r="J1856" s="86"/>
      <c r="K1856" s="86"/>
      <c r="L1856" s="86"/>
      <c r="M1856" s="86"/>
      <c r="N1856" s="86"/>
      <c r="O1856" s="86"/>
      <c r="P1856" s="86"/>
      <c r="Q1856" s="86"/>
      <c r="R1856" s="86"/>
      <c r="S1856" s="86"/>
      <c r="T1856" s="86"/>
      <c r="U1856" s="86"/>
      <c r="V1856" s="48"/>
      <c r="W1856" s="48"/>
      <c r="X1856" s="48"/>
      <c r="Y1856" s="48"/>
      <c r="Z1856" s="48"/>
      <c r="AA1856" s="48"/>
      <c r="AB1856" s="48"/>
      <c r="AC1856" s="48"/>
      <c r="AD1856" s="48"/>
      <c r="AE1856" s="48"/>
      <c r="AF1856" s="48"/>
      <c r="AG1856" s="48"/>
      <c r="AH1856" s="48"/>
      <c r="AI1856" s="48"/>
      <c r="AJ1856" s="48"/>
      <c r="AK1856" s="48"/>
      <c r="AL1856" s="48"/>
      <c r="AM1856" s="48"/>
      <c r="AN1856" s="48"/>
      <c r="AO1856" s="48"/>
      <c r="AP1856" s="48"/>
      <c r="AQ1856" s="48"/>
      <c r="AR1856" s="48"/>
      <c r="AS1856" s="48"/>
      <c r="AT1856" s="48"/>
      <c r="AU1856" s="48"/>
      <c r="AV1856" s="48"/>
      <c r="AW1856" s="48"/>
      <c r="AX1856" s="48"/>
      <c r="AY1856" s="48"/>
      <c r="AZ1856" s="48"/>
      <c r="BA1856" s="48"/>
      <c r="BB1856" s="48"/>
      <c r="BC1856" s="48"/>
      <c r="BD1856" s="48"/>
    </row>
    <row r="1857" spans="1:56">
      <c r="A1857" s="48"/>
      <c r="B1857" s="48"/>
      <c r="C1857" s="49"/>
      <c r="D1857" s="48"/>
      <c r="E1857" s="48"/>
      <c r="F1857" s="48"/>
      <c r="G1857" s="48"/>
      <c r="H1857" s="48"/>
      <c r="I1857" s="48"/>
      <c r="J1857" s="86"/>
      <c r="K1857" s="86"/>
      <c r="L1857" s="86"/>
      <c r="M1857" s="86"/>
      <c r="N1857" s="86"/>
      <c r="O1857" s="86"/>
      <c r="P1857" s="86"/>
      <c r="Q1857" s="86"/>
      <c r="R1857" s="86"/>
      <c r="S1857" s="86"/>
      <c r="T1857" s="86"/>
      <c r="U1857" s="86"/>
      <c r="V1857" s="48"/>
      <c r="W1857" s="48"/>
      <c r="X1857" s="48"/>
      <c r="Y1857" s="48"/>
      <c r="Z1857" s="48"/>
      <c r="AA1857" s="48"/>
      <c r="AB1857" s="48"/>
      <c r="AC1857" s="48"/>
      <c r="AD1857" s="48"/>
      <c r="AE1857" s="48"/>
      <c r="AF1857" s="48"/>
      <c r="AG1857" s="48"/>
      <c r="AH1857" s="48"/>
      <c r="AI1857" s="48"/>
      <c r="AJ1857" s="48"/>
      <c r="AK1857" s="48"/>
      <c r="AL1857" s="48"/>
      <c r="AM1857" s="48"/>
      <c r="AN1857" s="48"/>
      <c r="AO1857" s="48"/>
      <c r="AP1857" s="48"/>
      <c r="AQ1857" s="48"/>
      <c r="AR1857" s="48"/>
      <c r="AS1857" s="48"/>
      <c r="AT1857" s="48"/>
      <c r="AU1857" s="48"/>
      <c r="AV1857" s="48"/>
      <c r="AW1857" s="48"/>
      <c r="AX1857" s="48"/>
      <c r="AY1857" s="48"/>
      <c r="AZ1857" s="48"/>
      <c r="BA1857" s="48"/>
      <c r="BB1857" s="48"/>
      <c r="BC1857" s="48"/>
      <c r="BD1857" s="48"/>
    </row>
    <row r="1858" spans="1:56">
      <c r="A1858" s="48"/>
      <c r="B1858" s="48"/>
      <c r="C1858" s="49"/>
      <c r="D1858" s="48"/>
      <c r="E1858" s="48"/>
      <c r="F1858" s="48"/>
      <c r="G1858" s="48"/>
      <c r="H1858" s="48"/>
      <c r="I1858" s="48"/>
      <c r="J1858" s="86"/>
      <c r="K1858" s="86"/>
      <c r="L1858" s="86"/>
      <c r="M1858" s="86"/>
      <c r="N1858" s="86"/>
      <c r="O1858" s="86"/>
      <c r="P1858" s="86"/>
      <c r="Q1858" s="86"/>
      <c r="R1858" s="86"/>
      <c r="S1858" s="86"/>
      <c r="T1858" s="86"/>
      <c r="U1858" s="86"/>
      <c r="V1858" s="48"/>
      <c r="W1858" s="48"/>
      <c r="X1858" s="48"/>
      <c r="Y1858" s="48"/>
      <c r="Z1858" s="48"/>
      <c r="AA1858" s="48"/>
      <c r="AB1858" s="48"/>
      <c r="AC1858" s="48"/>
      <c r="AD1858" s="48"/>
      <c r="AE1858" s="48"/>
      <c r="AF1858" s="48"/>
      <c r="AG1858" s="48"/>
      <c r="AH1858" s="48"/>
      <c r="AI1858" s="48"/>
      <c r="AJ1858" s="48"/>
      <c r="AK1858" s="48"/>
      <c r="AL1858" s="48"/>
      <c r="AM1858" s="48"/>
      <c r="AN1858" s="48"/>
      <c r="AO1858" s="48"/>
      <c r="AP1858" s="48"/>
      <c r="AQ1858" s="48"/>
      <c r="AR1858" s="48"/>
      <c r="AS1858" s="48"/>
      <c r="AT1858" s="48"/>
      <c r="AU1858" s="48"/>
      <c r="AV1858" s="48"/>
      <c r="AW1858" s="48"/>
      <c r="AX1858" s="48"/>
      <c r="AY1858" s="48"/>
      <c r="AZ1858" s="48"/>
      <c r="BA1858" s="48"/>
      <c r="BB1858" s="48"/>
      <c r="BC1858" s="48"/>
      <c r="BD1858" s="48"/>
    </row>
    <row r="1859" spans="1:56">
      <c r="A1859" s="48"/>
      <c r="B1859" s="48"/>
      <c r="C1859" s="49"/>
      <c r="D1859" s="48"/>
      <c r="E1859" s="48"/>
      <c r="F1859" s="48"/>
      <c r="G1859" s="48"/>
      <c r="H1859" s="48"/>
      <c r="I1859" s="48"/>
      <c r="J1859" s="86"/>
      <c r="K1859" s="86"/>
      <c r="L1859" s="86"/>
      <c r="M1859" s="86"/>
      <c r="N1859" s="86"/>
      <c r="O1859" s="86"/>
      <c r="P1859" s="86"/>
      <c r="Q1859" s="86"/>
      <c r="R1859" s="86"/>
      <c r="S1859" s="86"/>
      <c r="T1859" s="86"/>
      <c r="U1859" s="86"/>
      <c r="V1859" s="48"/>
      <c r="W1859" s="48"/>
      <c r="X1859" s="48"/>
      <c r="Y1859" s="48"/>
      <c r="Z1859" s="48"/>
      <c r="AA1859" s="48"/>
      <c r="AB1859" s="48"/>
      <c r="AC1859" s="48"/>
      <c r="AD1859" s="48"/>
      <c r="AE1859" s="48"/>
      <c r="AF1859" s="48"/>
      <c r="AG1859" s="48"/>
      <c r="AH1859" s="48"/>
      <c r="AI1859" s="48"/>
      <c r="AJ1859" s="48"/>
      <c r="AK1859" s="48"/>
      <c r="AL1859" s="48"/>
      <c r="AM1859" s="48"/>
      <c r="AN1859" s="48"/>
      <c r="AO1859" s="48"/>
      <c r="AP1859" s="48"/>
      <c r="AQ1859" s="48"/>
      <c r="AR1859" s="48"/>
      <c r="AS1859" s="48"/>
      <c r="AT1859" s="48"/>
      <c r="AU1859" s="48"/>
      <c r="AV1859" s="48"/>
      <c r="AW1859" s="48"/>
      <c r="AX1859" s="48"/>
      <c r="AY1859" s="48"/>
      <c r="AZ1859" s="48"/>
      <c r="BA1859" s="48"/>
      <c r="BB1859" s="48"/>
      <c r="BC1859" s="48"/>
      <c r="BD1859" s="48"/>
    </row>
    <row r="1860" spans="1:56">
      <c r="A1860" s="48"/>
      <c r="B1860" s="48"/>
      <c r="C1860" s="49"/>
      <c r="D1860" s="48"/>
      <c r="E1860" s="48"/>
      <c r="F1860" s="48"/>
      <c r="G1860" s="48"/>
      <c r="H1860" s="48"/>
      <c r="I1860" s="48"/>
      <c r="J1860" s="86"/>
      <c r="K1860" s="86"/>
      <c r="L1860" s="86"/>
      <c r="M1860" s="86"/>
      <c r="N1860" s="86"/>
      <c r="O1860" s="86"/>
      <c r="P1860" s="86"/>
      <c r="Q1860" s="86"/>
      <c r="R1860" s="86"/>
      <c r="S1860" s="86"/>
      <c r="T1860" s="86"/>
      <c r="U1860" s="86"/>
      <c r="V1860" s="48"/>
      <c r="W1860" s="48"/>
      <c r="X1860" s="48"/>
      <c r="Y1860" s="48"/>
      <c r="Z1860" s="48"/>
      <c r="AA1860" s="48"/>
      <c r="AB1860" s="48"/>
      <c r="AC1860" s="48"/>
      <c r="AD1860" s="48"/>
      <c r="AE1860" s="48"/>
      <c r="AF1860" s="48"/>
      <c r="AG1860" s="48"/>
      <c r="AH1860" s="48"/>
      <c r="AI1860" s="48"/>
      <c r="AJ1860" s="48"/>
      <c r="AK1860" s="48"/>
      <c r="AL1860" s="48"/>
      <c r="AM1860" s="48"/>
      <c r="AN1860" s="48"/>
      <c r="AO1860" s="48"/>
      <c r="AP1860" s="48"/>
      <c r="AQ1860" s="48"/>
      <c r="AR1860" s="48"/>
      <c r="AS1860" s="48"/>
      <c r="AT1860" s="48"/>
      <c r="AU1860" s="48"/>
      <c r="AV1860" s="48"/>
      <c r="AW1860" s="48"/>
      <c r="AX1860" s="48"/>
      <c r="AY1860" s="48"/>
      <c r="AZ1860" s="48"/>
      <c r="BA1860" s="48"/>
      <c r="BB1860" s="48"/>
      <c r="BC1860" s="48"/>
      <c r="BD1860" s="48"/>
    </row>
    <row r="1861" spans="1:56">
      <c r="A1861" s="48"/>
      <c r="B1861" s="48"/>
      <c r="C1861" s="49"/>
      <c r="D1861" s="48"/>
      <c r="E1861" s="48"/>
      <c r="F1861" s="48"/>
      <c r="G1861" s="48"/>
      <c r="H1861" s="48"/>
      <c r="I1861" s="48"/>
      <c r="J1861" s="86"/>
      <c r="K1861" s="86"/>
      <c r="L1861" s="86"/>
      <c r="M1861" s="86"/>
      <c r="N1861" s="86"/>
      <c r="O1861" s="86"/>
      <c r="P1861" s="86"/>
      <c r="Q1861" s="86"/>
      <c r="R1861" s="86"/>
      <c r="S1861" s="86"/>
      <c r="T1861" s="86"/>
      <c r="U1861" s="86"/>
      <c r="V1861" s="48"/>
      <c r="W1861" s="48"/>
      <c r="X1861" s="48"/>
      <c r="Y1861" s="48"/>
      <c r="Z1861" s="48"/>
      <c r="AA1861" s="48"/>
      <c r="AB1861" s="48"/>
      <c r="AC1861" s="48"/>
      <c r="AD1861" s="48"/>
      <c r="AE1861" s="48"/>
      <c r="AF1861" s="48"/>
      <c r="AG1861" s="48"/>
      <c r="AH1861" s="48"/>
      <c r="AI1861" s="48"/>
      <c r="AJ1861" s="48"/>
      <c r="AK1861" s="48"/>
      <c r="AL1861" s="48"/>
      <c r="AM1861" s="48"/>
      <c r="AN1861" s="48"/>
      <c r="AO1861" s="48"/>
      <c r="AP1861" s="48"/>
      <c r="AQ1861" s="48"/>
      <c r="AR1861" s="48"/>
      <c r="AS1861" s="48"/>
      <c r="AT1861" s="48"/>
      <c r="AU1861" s="48"/>
      <c r="AV1861" s="48"/>
      <c r="AW1861" s="48"/>
      <c r="AX1861" s="48"/>
      <c r="AY1861" s="48"/>
      <c r="AZ1861" s="48"/>
      <c r="BA1861" s="48"/>
      <c r="BB1861" s="48"/>
      <c r="BC1861" s="48"/>
      <c r="BD1861" s="48"/>
    </row>
    <row r="1862" spans="1:56">
      <c r="A1862" s="48"/>
      <c r="B1862" s="48"/>
      <c r="C1862" s="49"/>
      <c r="D1862" s="48"/>
      <c r="E1862" s="48"/>
      <c r="F1862" s="48"/>
      <c r="G1862" s="48"/>
      <c r="H1862" s="48"/>
      <c r="I1862" s="48"/>
      <c r="J1862" s="86"/>
      <c r="K1862" s="86"/>
      <c r="L1862" s="86"/>
      <c r="M1862" s="86"/>
      <c r="N1862" s="86"/>
      <c r="O1862" s="86"/>
      <c r="P1862" s="86"/>
      <c r="Q1862" s="86"/>
      <c r="R1862" s="86"/>
      <c r="S1862" s="86"/>
      <c r="T1862" s="86"/>
      <c r="U1862" s="86"/>
      <c r="V1862" s="48"/>
      <c r="W1862" s="48"/>
      <c r="X1862" s="48"/>
      <c r="Y1862" s="48"/>
      <c r="Z1862" s="48"/>
      <c r="AA1862" s="48"/>
      <c r="AB1862" s="48"/>
      <c r="AC1862" s="48"/>
      <c r="AD1862" s="48"/>
      <c r="AE1862" s="48"/>
      <c r="AF1862" s="48"/>
      <c r="AG1862" s="48"/>
      <c r="AH1862" s="48"/>
      <c r="AI1862" s="48"/>
      <c r="AJ1862" s="48"/>
      <c r="AK1862" s="48"/>
      <c r="AL1862" s="48"/>
      <c r="AM1862" s="48"/>
      <c r="AN1862" s="48"/>
      <c r="AO1862" s="48"/>
      <c r="AP1862" s="48"/>
      <c r="AQ1862" s="48"/>
      <c r="AR1862" s="48"/>
      <c r="AS1862" s="48"/>
      <c r="AT1862" s="48"/>
      <c r="AU1862" s="48"/>
      <c r="AV1862" s="48"/>
      <c r="AW1862" s="48"/>
      <c r="AX1862" s="48"/>
      <c r="AY1862" s="48"/>
      <c r="AZ1862" s="48"/>
      <c r="BA1862" s="48"/>
      <c r="BB1862" s="48"/>
      <c r="BC1862" s="48"/>
      <c r="BD1862" s="48"/>
    </row>
    <row r="1863" spans="1:56">
      <c r="A1863" s="48"/>
      <c r="B1863" s="48"/>
      <c r="C1863" s="49"/>
      <c r="D1863" s="48"/>
      <c r="E1863" s="48"/>
      <c r="F1863" s="48"/>
      <c r="G1863" s="48"/>
      <c r="H1863" s="48"/>
      <c r="I1863" s="48"/>
      <c r="J1863" s="86"/>
      <c r="K1863" s="86"/>
      <c r="L1863" s="86"/>
      <c r="M1863" s="86"/>
      <c r="N1863" s="86"/>
      <c r="O1863" s="86"/>
      <c r="P1863" s="86"/>
      <c r="Q1863" s="86"/>
      <c r="R1863" s="86"/>
      <c r="S1863" s="86"/>
      <c r="T1863" s="86"/>
      <c r="U1863" s="86"/>
      <c r="V1863" s="48"/>
      <c r="W1863" s="48"/>
      <c r="X1863" s="48"/>
      <c r="Y1863" s="48"/>
      <c r="Z1863" s="48"/>
      <c r="AA1863" s="48"/>
      <c r="AB1863" s="48"/>
      <c r="AC1863" s="48"/>
      <c r="AD1863" s="48"/>
      <c r="AE1863" s="48"/>
      <c r="AF1863" s="48"/>
      <c r="AG1863" s="48"/>
      <c r="AH1863" s="48"/>
      <c r="AI1863" s="48"/>
      <c r="AJ1863" s="48"/>
      <c r="AK1863" s="48"/>
      <c r="AL1863" s="48"/>
      <c r="AM1863" s="48"/>
      <c r="AN1863" s="48"/>
      <c r="AO1863" s="48"/>
      <c r="AP1863" s="48"/>
      <c r="AQ1863" s="48"/>
      <c r="AR1863" s="48"/>
      <c r="AS1863" s="48"/>
      <c r="AT1863" s="48"/>
      <c r="AU1863" s="48"/>
      <c r="AV1863" s="48"/>
      <c r="AW1863" s="48"/>
      <c r="AX1863" s="48"/>
      <c r="AY1863" s="48"/>
      <c r="AZ1863" s="48"/>
      <c r="BA1863" s="48"/>
      <c r="BB1863" s="48"/>
      <c r="BC1863" s="48"/>
      <c r="BD1863" s="48"/>
    </row>
    <row r="1864" spans="1:56">
      <c r="A1864" s="48"/>
      <c r="B1864" s="48"/>
      <c r="C1864" s="49"/>
      <c r="D1864" s="48"/>
      <c r="E1864" s="48"/>
      <c r="F1864" s="48"/>
      <c r="G1864" s="48"/>
      <c r="H1864" s="48"/>
      <c r="I1864" s="48"/>
      <c r="J1864" s="86"/>
      <c r="K1864" s="86"/>
      <c r="L1864" s="86"/>
      <c r="M1864" s="86"/>
      <c r="N1864" s="86"/>
      <c r="O1864" s="86"/>
      <c r="P1864" s="86"/>
      <c r="Q1864" s="86"/>
      <c r="R1864" s="86"/>
      <c r="S1864" s="86"/>
      <c r="T1864" s="86"/>
      <c r="U1864" s="86"/>
      <c r="V1864" s="48"/>
      <c r="W1864" s="48"/>
      <c r="X1864" s="48"/>
      <c r="Y1864" s="48"/>
      <c r="Z1864" s="48"/>
      <c r="AA1864" s="48"/>
      <c r="AB1864" s="48"/>
      <c r="AC1864" s="48"/>
      <c r="AD1864" s="48"/>
      <c r="AE1864" s="48"/>
      <c r="AF1864" s="48"/>
      <c r="AG1864" s="48"/>
      <c r="AH1864" s="48"/>
      <c r="AI1864" s="48"/>
      <c r="AJ1864" s="48"/>
      <c r="AK1864" s="48"/>
      <c r="AL1864" s="48"/>
      <c r="AM1864" s="48"/>
      <c r="AN1864" s="48"/>
      <c r="AO1864" s="48"/>
      <c r="AP1864" s="48"/>
      <c r="AQ1864" s="48"/>
      <c r="AR1864" s="48"/>
      <c r="AS1864" s="48"/>
      <c r="AT1864" s="48"/>
      <c r="AU1864" s="48"/>
      <c r="AV1864" s="48"/>
      <c r="AW1864" s="48"/>
      <c r="AX1864" s="48"/>
      <c r="AY1864" s="48"/>
      <c r="AZ1864" s="48"/>
      <c r="BA1864" s="48"/>
      <c r="BB1864" s="48"/>
      <c r="BC1864" s="48"/>
      <c r="BD1864" s="48"/>
    </row>
    <row r="1865" spans="1:56">
      <c r="A1865" s="48"/>
      <c r="B1865" s="48"/>
      <c r="C1865" s="49"/>
      <c r="D1865" s="48"/>
      <c r="E1865" s="48"/>
      <c r="F1865" s="48"/>
      <c r="G1865" s="48"/>
      <c r="H1865" s="48"/>
      <c r="I1865" s="48"/>
      <c r="J1865" s="86"/>
      <c r="K1865" s="86"/>
      <c r="L1865" s="86"/>
      <c r="M1865" s="86"/>
      <c r="N1865" s="86"/>
      <c r="O1865" s="86"/>
      <c r="P1865" s="86"/>
      <c r="Q1865" s="86"/>
      <c r="R1865" s="86"/>
      <c r="S1865" s="86"/>
      <c r="T1865" s="86"/>
      <c r="U1865" s="86"/>
      <c r="V1865" s="48"/>
      <c r="W1865" s="48"/>
      <c r="X1865" s="48"/>
      <c r="Y1865" s="48"/>
      <c r="Z1865" s="48"/>
      <c r="AA1865" s="48"/>
      <c r="AB1865" s="48"/>
      <c r="AC1865" s="48"/>
      <c r="AD1865" s="48"/>
      <c r="AE1865" s="48"/>
      <c r="AF1865" s="48"/>
      <c r="AG1865" s="48"/>
      <c r="AH1865" s="48"/>
      <c r="AI1865" s="48"/>
      <c r="AJ1865" s="48"/>
      <c r="AK1865" s="48"/>
      <c r="AL1865" s="48"/>
      <c r="AM1865" s="48"/>
      <c r="AN1865" s="48"/>
      <c r="AO1865" s="48"/>
      <c r="AP1865" s="48"/>
      <c r="AQ1865" s="48"/>
      <c r="AR1865" s="48"/>
      <c r="AS1865" s="48"/>
      <c r="AT1865" s="48"/>
      <c r="AU1865" s="48"/>
      <c r="AV1865" s="48"/>
      <c r="AW1865" s="48"/>
      <c r="AX1865" s="48"/>
      <c r="AY1865" s="48"/>
      <c r="AZ1865" s="48"/>
      <c r="BA1865" s="48"/>
      <c r="BB1865" s="48"/>
      <c r="BC1865" s="48"/>
      <c r="BD1865" s="48"/>
    </row>
    <row r="1866" spans="1:56">
      <c r="A1866" s="48"/>
      <c r="B1866" s="48"/>
      <c r="C1866" s="49"/>
      <c r="D1866" s="48"/>
      <c r="E1866" s="48"/>
      <c r="F1866" s="48"/>
      <c r="G1866" s="48"/>
      <c r="H1866" s="48"/>
      <c r="I1866" s="48"/>
      <c r="J1866" s="86"/>
      <c r="K1866" s="86"/>
      <c r="L1866" s="86"/>
      <c r="M1866" s="86"/>
      <c r="N1866" s="86"/>
      <c r="O1866" s="86"/>
      <c r="P1866" s="86"/>
      <c r="Q1866" s="86"/>
      <c r="R1866" s="86"/>
      <c r="S1866" s="86"/>
      <c r="T1866" s="86"/>
      <c r="U1866" s="86"/>
      <c r="V1866" s="48"/>
      <c r="W1866" s="48"/>
      <c r="X1866" s="48"/>
      <c r="Y1866" s="48"/>
      <c r="Z1866" s="48"/>
      <c r="AA1866" s="48"/>
      <c r="AB1866" s="48"/>
      <c r="AC1866" s="48"/>
      <c r="AD1866" s="48"/>
      <c r="AE1866" s="48"/>
      <c r="AF1866" s="48"/>
      <c r="AG1866" s="48"/>
      <c r="AH1866" s="48"/>
      <c r="AI1866" s="48"/>
      <c r="AJ1866" s="48"/>
      <c r="AK1866" s="48"/>
      <c r="AL1866" s="48"/>
      <c r="AM1866" s="48"/>
      <c r="AN1866" s="48"/>
      <c r="AO1866" s="48"/>
      <c r="AP1866" s="48"/>
      <c r="AQ1866" s="48"/>
      <c r="AR1866" s="48"/>
      <c r="AS1866" s="48"/>
      <c r="AT1866" s="48"/>
      <c r="AU1866" s="48"/>
      <c r="AV1866" s="48"/>
      <c r="AW1866" s="48"/>
      <c r="AX1866" s="48"/>
      <c r="AY1866" s="48"/>
      <c r="AZ1866" s="48"/>
      <c r="BA1866" s="48"/>
      <c r="BB1866" s="48"/>
      <c r="BC1866" s="48"/>
      <c r="BD1866" s="48"/>
    </row>
    <row r="1867" spans="1:56">
      <c r="A1867" s="48"/>
      <c r="B1867" s="48"/>
      <c r="C1867" s="49"/>
      <c r="D1867" s="48"/>
      <c r="E1867" s="48"/>
      <c r="F1867" s="48"/>
      <c r="G1867" s="48"/>
      <c r="H1867" s="48"/>
      <c r="I1867" s="48"/>
      <c r="J1867" s="86"/>
      <c r="K1867" s="86"/>
      <c r="L1867" s="86"/>
      <c r="M1867" s="86"/>
      <c r="N1867" s="86"/>
      <c r="O1867" s="86"/>
      <c r="P1867" s="86"/>
      <c r="Q1867" s="86"/>
      <c r="R1867" s="86"/>
      <c r="S1867" s="86"/>
      <c r="T1867" s="86"/>
      <c r="U1867" s="86"/>
      <c r="V1867" s="48"/>
      <c r="W1867" s="48"/>
      <c r="X1867" s="48"/>
      <c r="Y1867" s="48"/>
      <c r="Z1867" s="48"/>
      <c r="AA1867" s="48"/>
      <c r="AB1867" s="48"/>
      <c r="AC1867" s="48"/>
      <c r="AD1867" s="48"/>
      <c r="AE1867" s="48"/>
      <c r="AF1867" s="48"/>
      <c r="AG1867" s="48"/>
      <c r="AH1867" s="48"/>
      <c r="AI1867" s="48"/>
      <c r="AJ1867" s="48"/>
      <c r="AK1867" s="48"/>
      <c r="AL1867" s="48"/>
      <c r="AM1867" s="48"/>
      <c r="AN1867" s="48"/>
      <c r="AO1867" s="48"/>
      <c r="AP1867" s="48"/>
      <c r="AQ1867" s="48"/>
      <c r="AR1867" s="48"/>
      <c r="AS1867" s="48"/>
      <c r="AT1867" s="48"/>
      <c r="AU1867" s="48"/>
      <c r="AV1867" s="48"/>
      <c r="AW1867" s="48"/>
      <c r="AX1867" s="48"/>
      <c r="AY1867" s="48"/>
      <c r="AZ1867" s="48"/>
      <c r="BA1867" s="48"/>
      <c r="BB1867" s="48"/>
      <c r="BC1867" s="48"/>
      <c r="BD1867" s="48"/>
    </row>
    <row r="1868" spans="1:56">
      <c r="A1868" s="48"/>
      <c r="B1868" s="48"/>
      <c r="C1868" s="49"/>
      <c r="D1868" s="48"/>
      <c r="E1868" s="48"/>
      <c r="F1868" s="48"/>
      <c r="G1868" s="48"/>
      <c r="H1868" s="48"/>
      <c r="I1868" s="48"/>
      <c r="J1868" s="86"/>
      <c r="K1868" s="86"/>
      <c r="L1868" s="86"/>
      <c r="M1868" s="86"/>
      <c r="N1868" s="86"/>
      <c r="O1868" s="86"/>
      <c r="P1868" s="86"/>
      <c r="Q1868" s="86"/>
      <c r="R1868" s="86"/>
      <c r="S1868" s="86"/>
      <c r="T1868" s="86"/>
      <c r="U1868" s="86"/>
      <c r="V1868" s="48"/>
      <c r="W1868" s="48"/>
      <c r="X1868" s="48"/>
      <c r="Y1868" s="48"/>
      <c r="Z1868" s="48"/>
      <c r="AA1868" s="48"/>
      <c r="AB1868" s="48"/>
      <c r="AC1868" s="48"/>
      <c r="AD1868" s="48"/>
      <c r="AE1868" s="48"/>
      <c r="AF1868" s="48"/>
      <c r="AG1868" s="48"/>
      <c r="AH1868" s="48"/>
      <c r="AI1868" s="48"/>
      <c r="AJ1868" s="48"/>
      <c r="AK1868" s="48"/>
      <c r="AL1868" s="48"/>
      <c r="AM1868" s="48"/>
      <c r="AN1868" s="48"/>
      <c r="AO1868" s="48"/>
      <c r="AP1868" s="48"/>
      <c r="AQ1868" s="48"/>
      <c r="AR1868" s="48"/>
      <c r="AS1868" s="48"/>
      <c r="AT1868" s="48"/>
      <c r="AU1868" s="48"/>
      <c r="AV1868" s="48"/>
      <c r="AW1868" s="48"/>
      <c r="AX1868" s="48"/>
      <c r="AY1868" s="48"/>
      <c r="AZ1868" s="48"/>
      <c r="BA1868" s="48"/>
      <c r="BB1868" s="48"/>
      <c r="BC1868" s="48"/>
      <c r="BD1868" s="48"/>
    </row>
    <row r="1869" spans="1:56">
      <c r="A1869" s="48"/>
      <c r="B1869" s="48"/>
      <c r="C1869" s="49"/>
      <c r="D1869" s="48"/>
      <c r="E1869" s="48"/>
      <c r="F1869" s="48"/>
      <c r="G1869" s="48"/>
      <c r="H1869" s="48"/>
      <c r="I1869" s="48"/>
      <c r="J1869" s="86"/>
      <c r="K1869" s="86"/>
      <c r="L1869" s="86"/>
      <c r="M1869" s="86"/>
      <c r="N1869" s="86"/>
      <c r="O1869" s="86"/>
      <c r="P1869" s="86"/>
      <c r="Q1869" s="86"/>
      <c r="R1869" s="86"/>
      <c r="S1869" s="86"/>
      <c r="T1869" s="86"/>
      <c r="U1869" s="86"/>
      <c r="V1869" s="48"/>
      <c r="W1869" s="48"/>
      <c r="X1869" s="48"/>
      <c r="Y1869" s="48"/>
      <c r="Z1869" s="48"/>
      <c r="AA1869" s="48"/>
      <c r="AB1869" s="48"/>
      <c r="AC1869" s="48"/>
      <c r="AD1869" s="48"/>
      <c r="AE1869" s="48"/>
      <c r="AF1869" s="48"/>
      <c r="AG1869" s="48"/>
      <c r="AH1869" s="48"/>
      <c r="AI1869" s="48"/>
      <c r="AJ1869" s="48"/>
      <c r="AK1869" s="48"/>
      <c r="AL1869" s="48"/>
      <c r="AM1869" s="48"/>
      <c r="AN1869" s="48"/>
      <c r="AO1869" s="48"/>
      <c r="AP1869" s="48"/>
      <c r="AQ1869" s="48"/>
      <c r="AR1869" s="48"/>
      <c r="AS1869" s="48"/>
      <c r="AT1869" s="48"/>
      <c r="AU1869" s="48"/>
      <c r="AV1869" s="48"/>
      <c r="AW1869" s="48"/>
      <c r="AX1869" s="48"/>
      <c r="AY1869" s="48"/>
      <c r="AZ1869" s="48"/>
      <c r="BA1869" s="48"/>
      <c r="BB1869" s="48"/>
      <c r="BC1869" s="48"/>
      <c r="BD1869" s="48"/>
    </row>
    <row r="1870" spans="1:56">
      <c r="A1870" s="48"/>
      <c r="B1870" s="48"/>
      <c r="C1870" s="49"/>
      <c r="D1870" s="48"/>
      <c r="E1870" s="48"/>
      <c r="F1870" s="48"/>
      <c r="G1870" s="48"/>
      <c r="H1870" s="48"/>
      <c r="I1870" s="48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48"/>
      <c r="W1870" s="48"/>
      <c r="X1870" s="48"/>
      <c r="Y1870" s="48"/>
      <c r="Z1870" s="48"/>
      <c r="AA1870" s="48"/>
      <c r="AB1870" s="48"/>
      <c r="AC1870" s="48"/>
      <c r="AD1870" s="48"/>
      <c r="AE1870" s="48"/>
      <c r="AF1870" s="48"/>
      <c r="AG1870" s="48"/>
      <c r="AH1870" s="48"/>
      <c r="AI1870" s="48"/>
      <c r="AJ1870" s="48"/>
      <c r="AK1870" s="48"/>
      <c r="AL1870" s="48"/>
      <c r="AM1870" s="48"/>
      <c r="AN1870" s="48"/>
      <c r="AO1870" s="48"/>
      <c r="AP1870" s="48"/>
      <c r="AQ1870" s="48"/>
      <c r="AR1870" s="48"/>
      <c r="AS1870" s="48"/>
      <c r="AT1870" s="48"/>
      <c r="AU1870" s="48"/>
      <c r="AV1870" s="48"/>
      <c r="AW1870" s="48"/>
      <c r="AX1870" s="48"/>
      <c r="AY1870" s="48"/>
      <c r="AZ1870" s="48"/>
      <c r="BA1870" s="48"/>
      <c r="BB1870" s="48"/>
      <c r="BC1870" s="48"/>
      <c r="BD1870" s="48"/>
    </row>
    <row r="1871" spans="1:56">
      <c r="A1871" s="48"/>
      <c r="B1871" s="48"/>
      <c r="C1871" s="49"/>
      <c r="D1871" s="48"/>
      <c r="E1871" s="48"/>
      <c r="F1871" s="48"/>
      <c r="G1871" s="48"/>
      <c r="H1871" s="48"/>
      <c r="I1871" s="48"/>
      <c r="J1871" s="86"/>
      <c r="K1871" s="86"/>
      <c r="L1871" s="86"/>
      <c r="M1871" s="86"/>
      <c r="N1871" s="86"/>
      <c r="O1871" s="86"/>
      <c r="P1871" s="86"/>
      <c r="Q1871" s="86"/>
      <c r="R1871" s="86"/>
      <c r="S1871" s="86"/>
      <c r="T1871" s="86"/>
      <c r="U1871" s="86"/>
      <c r="V1871" s="48"/>
      <c r="W1871" s="48"/>
      <c r="X1871" s="48"/>
      <c r="Y1871" s="48"/>
      <c r="Z1871" s="48"/>
      <c r="AA1871" s="48"/>
      <c r="AB1871" s="48"/>
      <c r="AC1871" s="48"/>
      <c r="AD1871" s="48"/>
      <c r="AE1871" s="48"/>
      <c r="AF1871" s="48"/>
      <c r="AG1871" s="48"/>
      <c r="AH1871" s="48"/>
      <c r="AI1871" s="48"/>
      <c r="AJ1871" s="48"/>
      <c r="AK1871" s="48"/>
      <c r="AL1871" s="48"/>
      <c r="AM1871" s="48"/>
      <c r="AN1871" s="48"/>
      <c r="AO1871" s="48"/>
      <c r="AP1871" s="48"/>
      <c r="AQ1871" s="48"/>
      <c r="AR1871" s="48"/>
      <c r="AS1871" s="48"/>
      <c r="AT1871" s="48"/>
      <c r="AU1871" s="48"/>
      <c r="AV1871" s="48"/>
      <c r="AW1871" s="48"/>
      <c r="AX1871" s="48"/>
      <c r="AY1871" s="48"/>
      <c r="AZ1871" s="48"/>
      <c r="BA1871" s="48"/>
      <c r="BB1871" s="48"/>
      <c r="BC1871" s="48"/>
      <c r="BD1871" s="48"/>
    </row>
    <row r="1872" spans="1:56">
      <c r="A1872" s="48"/>
      <c r="B1872" s="48"/>
      <c r="C1872" s="49"/>
      <c r="D1872" s="48"/>
      <c r="E1872" s="48"/>
      <c r="F1872" s="48"/>
      <c r="G1872" s="48"/>
      <c r="H1872" s="48"/>
      <c r="I1872" s="48"/>
      <c r="J1872" s="86"/>
      <c r="K1872" s="86"/>
      <c r="L1872" s="86"/>
      <c r="M1872" s="86"/>
      <c r="N1872" s="86"/>
      <c r="O1872" s="86"/>
      <c r="P1872" s="86"/>
      <c r="Q1872" s="86"/>
      <c r="R1872" s="86"/>
      <c r="S1872" s="86"/>
      <c r="T1872" s="86"/>
      <c r="U1872" s="86"/>
      <c r="V1872" s="48"/>
      <c r="W1872" s="48"/>
      <c r="X1872" s="48"/>
      <c r="Y1872" s="48"/>
      <c r="Z1872" s="48"/>
      <c r="AA1872" s="48"/>
      <c r="AB1872" s="48"/>
      <c r="AC1872" s="48"/>
      <c r="AD1872" s="48"/>
      <c r="AE1872" s="48"/>
      <c r="AF1872" s="48"/>
      <c r="AG1872" s="48"/>
      <c r="AH1872" s="48"/>
      <c r="AI1872" s="48"/>
      <c r="AJ1872" s="48"/>
      <c r="AK1872" s="48"/>
      <c r="AL1872" s="48"/>
      <c r="AM1872" s="48"/>
      <c r="AN1872" s="48"/>
      <c r="AO1872" s="48"/>
      <c r="AP1872" s="48"/>
      <c r="AQ1872" s="48"/>
      <c r="AR1872" s="48"/>
      <c r="AS1872" s="48"/>
      <c r="AT1872" s="48"/>
      <c r="AU1872" s="48"/>
      <c r="AV1872" s="48"/>
      <c r="AW1872" s="48"/>
      <c r="AX1872" s="48"/>
      <c r="AY1872" s="48"/>
      <c r="AZ1872" s="48"/>
      <c r="BA1872" s="48"/>
      <c r="BB1872" s="48"/>
      <c r="BC1872" s="48"/>
      <c r="BD1872" s="48"/>
    </row>
    <row r="1873" spans="1:56">
      <c r="A1873" s="48"/>
      <c r="B1873" s="48"/>
      <c r="C1873" s="49"/>
      <c r="D1873" s="48"/>
      <c r="E1873" s="48"/>
      <c r="F1873" s="48"/>
      <c r="G1873" s="48"/>
      <c r="H1873" s="48"/>
      <c r="I1873" s="48"/>
      <c r="J1873" s="86"/>
      <c r="K1873" s="86"/>
      <c r="L1873" s="86"/>
      <c r="M1873" s="86"/>
      <c r="N1873" s="86"/>
      <c r="O1873" s="86"/>
      <c r="P1873" s="86"/>
      <c r="Q1873" s="86"/>
      <c r="R1873" s="86"/>
      <c r="S1873" s="86"/>
      <c r="T1873" s="86"/>
      <c r="U1873" s="86"/>
      <c r="V1873" s="48"/>
      <c r="W1873" s="48"/>
      <c r="X1873" s="48"/>
      <c r="Y1873" s="48"/>
      <c r="Z1873" s="48"/>
      <c r="AA1873" s="48"/>
      <c r="AB1873" s="48"/>
      <c r="AC1873" s="48"/>
      <c r="AD1873" s="48"/>
      <c r="AE1873" s="48"/>
      <c r="AF1873" s="48"/>
      <c r="AG1873" s="48"/>
      <c r="AH1873" s="48"/>
      <c r="AI1873" s="48"/>
      <c r="AJ1873" s="48"/>
      <c r="AK1873" s="48"/>
      <c r="AL1873" s="48"/>
      <c r="AM1873" s="48"/>
      <c r="AN1873" s="48"/>
      <c r="AO1873" s="48"/>
      <c r="AP1873" s="48"/>
      <c r="AQ1873" s="48"/>
      <c r="AR1873" s="48"/>
      <c r="AS1873" s="48"/>
      <c r="AT1873" s="48"/>
      <c r="AU1873" s="48"/>
      <c r="AV1873" s="48"/>
      <c r="AW1873" s="48"/>
      <c r="AX1873" s="48"/>
      <c r="AY1873" s="48"/>
      <c r="AZ1873" s="48"/>
      <c r="BA1873" s="48"/>
      <c r="BB1873" s="48"/>
      <c r="BC1873" s="48"/>
      <c r="BD1873" s="48"/>
    </row>
    <row r="1874" spans="1:56">
      <c r="A1874" s="48"/>
      <c r="B1874" s="48"/>
      <c r="C1874" s="49"/>
      <c r="D1874" s="48"/>
      <c r="E1874" s="48"/>
      <c r="F1874" s="48"/>
      <c r="G1874" s="48"/>
      <c r="H1874" s="48"/>
      <c r="I1874" s="48"/>
      <c r="J1874" s="86"/>
      <c r="K1874" s="86"/>
      <c r="L1874" s="86"/>
      <c r="M1874" s="86"/>
      <c r="N1874" s="86"/>
      <c r="O1874" s="86"/>
      <c r="P1874" s="86"/>
      <c r="Q1874" s="86"/>
      <c r="R1874" s="86"/>
      <c r="S1874" s="86"/>
      <c r="T1874" s="86"/>
      <c r="U1874" s="86"/>
      <c r="V1874" s="48"/>
      <c r="W1874" s="48"/>
      <c r="X1874" s="48"/>
      <c r="Y1874" s="48"/>
      <c r="Z1874" s="48"/>
      <c r="AA1874" s="48"/>
      <c r="AB1874" s="48"/>
      <c r="AC1874" s="48"/>
      <c r="AD1874" s="48"/>
      <c r="AE1874" s="48"/>
      <c r="AF1874" s="48"/>
      <c r="AG1874" s="48"/>
      <c r="AH1874" s="48"/>
      <c r="AI1874" s="48"/>
      <c r="AJ1874" s="48"/>
      <c r="AK1874" s="48"/>
      <c r="AL1874" s="48"/>
      <c r="AM1874" s="48"/>
      <c r="AN1874" s="48"/>
      <c r="AO1874" s="48"/>
      <c r="AP1874" s="48"/>
      <c r="AQ1874" s="48"/>
      <c r="AR1874" s="48"/>
      <c r="AS1874" s="48"/>
      <c r="AT1874" s="48"/>
      <c r="AU1874" s="48"/>
      <c r="AV1874" s="48"/>
      <c r="AW1874" s="48"/>
      <c r="AX1874" s="48"/>
      <c r="AY1874" s="48"/>
      <c r="AZ1874" s="48"/>
      <c r="BA1874" s="48"/>
      <c r="BB1874" s="48"/>
      <c r="BC1874" s="48"/>
      <c r="BD1874" s="48"/>
    </row>
    <row r="1875" spans="1:56">
      <c r="A1875" s="48"/>
      <c r="B1875" s="48"/>
      <c r="C1875" s="49"/>
      <c r="D1875" s="48"/>
      <c r="E1875" s="48"/>
      <c r="F1875" s="48"/>
      <c r="G1875" s="48"/>
      <c r="H1875" s="48"/>
      <c r="I1875" s="48"/>
      <c r="J1875" s="86"/>
      <c r="K1875" s="86"/>
      <c r="L1875" s="86"/>
      <c r="M1875" s="86"/>
      <c r="N1875" s="86"/>
      <c r="O1875" s="86"/>
      <c r="P1875" s="86"/>
      <c r="Q1875" s="86"/>
      <c r="R1875" s="86"/>
      <c r="S1875" s="86"/>
      <c r="T1875" s="86"/>
      <c r="U1875" s="86"/>
      <c r="V1875" s="48"/>
      <c r="W1875" s="48"/>
      <c r="X1875" s="48"/>
      <c r="Y1875" s="48"/>
      <c r="Z1875" s="48"/>
      <c r="AA1875" s="48"/>
      <c r="AB1875" s="48"/>
      <c r="AC1875" s="48"/>
      <c r="AD1875" s="48"/>
      <c r="AE1875" s="48"/>
      <c r="AF1875" s="48"/>
      <c r="AG1875" s="48"/>
      <c r="AH1875" s="48"/>
      <c r="AI1875" s="48"/>
      <c r="AJ1875" s="48"/>
      <c r="AK1875" s="48"/>
      <c r="AL1875" s="48"/>
      <c r="AM1875" s="48"/>
      <c r="AN1875" s="48"/>
      <c r="AO1875" s="48"/>
      <c r="AP1875" s="48"/>
      <c r="AQ1875" s="48"/>
      <c r="AR1875" s="48"/>
      <c r="AS1875" s="48"/>
      <c r="AT1875" s="48"/>
      <c r="AU1875" s="48"/>
      <c r="AV1875" s="48"/>
      <c r="AW1875" s="48"/>
      <c r="AX1875" s="48"/>
      <c r="AY1875" s="48"/>
      <c r="AZ1875" s="48"/>
      <c r="BA1875" s="48"/>
      <c r="BB1875" s="48"/>
      <c r="BC1875" s="48"/>
      <c r="BD1875" s="48"/>
    </row>
    <row r="1876" spans="1:56">
      <c r="A1876" s="48"/>
      <c r="B1876" s="48"/>
      <c r="C1876" s="49"/>
      <c r="D1876" s="48"/>
      <c r="E1876" s="48"/>
      <c r="F1876" s="48"/>
      <c r="G1876" s="48"/>
      <c r="H1876" s="48"/>
      <c r="I1876" s="48"/>
      <c r="J1876" s="86"/>
      <c r="K1876" s="86"/>
      <c r="L1876" s="86"/>
      <c r="M1876" s="86"/>
      <c r="N1876" s="86"/>
      <c r="O1876" s="86"/>
      <c r="P1876" s="86"/>
      <c r="Q1876" s="86"/>
      <c r="R1876" s="86"/>
      <c r="S1876" s="86"/>
      <c r="T1876" s="86"/>
      <c r="U1876" s="86"/>
      <c r="V1876" s="48"/>
      <c r="W1876" s="48"/>
      <c r="X1876" s="48"/>
      <c r="Y1876" s="48"/>
      <c r="Z1876" s="48"/>
      <c r="AA1876" s="48"/>
      <c r="AB1876" s="48"/>
      <c r="AC1876" s="48"/>
      <c r="AD1876" s="48"/>
      <c r="AE1876" s="48"/>
      <c r="AF1876" s="48"/>
      <c r="AG1876" s="48"/>
      <c r="AH1876" s="48"/>
      <c r="AI1876" s="48"/>
      <c r="AJ1876" s="48"/>
      <c r="AK1876" s="48"/>
      <c r="AL1876" s="48"/>
      <c r="AM1876" s="48"/>
      <c r="AN1876" s="48"/>
      <c r="AO1876" s="48"/>
      <c r="AP1876" s="48"/>
      <c r="AQ1876" s="48"/>
      <c r="AR1876" s="48"/>
      <c r="AS1876" s="48"/>
      <c r="AT1876" s="48"/>
      <c r="AU1876" s="48"/>
      <c r="AV1876" s="48"/>
      <c r="AW1876" s="48"/>
      <c r="AX1876" s="48"/>
      <c r="AY1876" s="48"/>
      <c r="AZ1876" s="48"/>
      <c r="BA1876" s="48"/>
      <c r="BB1876" s="48"/>
      <c r="BC1876" s="48"/>
      <c r="BD1876" s="48"/>
    </row>
    <row r="1877" spans="1:56">
      <c r="A1877" s="48"/>
      <c r="B1877" s="48"/>
      <c r="C1877" s="49"/>
      <c r="D1877" s="48"/>
      <c r="E1877" s="48"/>
      <c r="F1877" s="48"/>
      <c r="G1877" s="48"/>
      <c r="H1877" s="48"/>
      <c r="I1877" s="48"/>
      <c r="J1877" s="86"/>
      <c r="K1877" s="86"/>
      <c r="L1877" s="86"/>
      <c r="M1877" s="86"/>
      <c r="N1877" s="86"/>
      <c r="O1877" s="86"/>
      <c r="P1877" s="86"/>
      <c r="Q1877" s="86"/>
      <c r="R1877" s="86"/>
      <c r="S1877" s="86"/>
      <c r="T1877" s="86"/>
      <c r="U1877" s="86"/>
      <c r="V1877" s="48"/>
      <c r="W1877" s="48"/>
      <c r="X1877" s="48"/>
      <c r="Y1877" s="48"/>
      <c r="Z1877" s="48"/>
      <c r="AA1877" s="48"/>
      <c r="AB1877" s="48"/>
      <c r="AC1877" s="48"/>
      <c r="AD1877" s="48"/>
      <c r="AE1877" s="48"/>
      <c r="AF1877" s="48"/>
      <c r="AG1877" s="48"/>
      <c r="AH1877" s="48"/>
      <c r="AI1877" s="48"/>
      <c r="AJ1877" s="48"/>
      <c r="AK1877" s="48"/>
      <c r="AL1877" s="48"/>
      <c r="AM1877" s="48"/>
      <c r="AN1877" s="48"/>
      <c r="AO1877" s="48"/>
      <c r="AP1877" s="48"/>
      <c r="AQ1877" s="48"/>
      <c r="AR1877" s="48"/>
      <c r="AS1877" s="48"/>
      <c r="AT1877" s="48"/>
      <c r="AU1877" s="48"/>
      <c r="AV1877" s="48"/>
      <c r="AW1877" s="48"/>
      <c r="AX1877" s="48"/>
      <c r="AY1877" s="48"/>
      <c r="AZ1877" s="48"/>
      <c r="BA1877" s="48"/>
      <c r="BB1877" s="48"/>
      <c r="BC1877" s="48"/>
      <c r="BD1877" s="48"/>
    </row>
    <row r="1878" spans="1:56">
      <c r="A1878" s="48"/>
      <c r="B1878" s="48"/>
      <c r="C1878" s="49"/>
      <c r="D1878" s="48"/>
      <c r="E1878" s="48"/>
      <c r="F1878" s="48"/>
      <c r="G1878" s="48"/>
      <c r="H1878" s="48"/>
      <c r="I1878" s="48"/>
      <c r="J1878" s="86"/>
      <c r="K1878" s="86"/>
      <c r="L1878" s="86"/>
      <c r="M1878" s="86"/>
      <c r="N1878" s="86"/>
      <c r="O1878" s="86"/>
      <c r="P1878" s="86"/>
      <c r="Q1878" s="86"/>
      <c r="R1878" s="86"/>
      <c r="S1878" s="86"/>
      <c r="T1878" s="86"/>
      <c r="U1878" s="86"/>
      <c r="V1878" s="48"/>
      <c r="W1878" s="48"/>
      <c r="X1878" s="48"/>
      <c r="Y1878" s="48"/>
      <c r="Z1878" s="48"/>
      <c r="AA1878" s="48"/>
      <c r="AB1878" s="48"/>
      <c r="AC1878" s="48"/>
      <c r="AD1878" s="48"/>
      <c r="AE1878" s="48"/>
      <c r="AF1878" s="48"/>
      <c r="AG1878" s="48"/>
      <c r="AH1878" s="48"/>
      <c r="AI1878" s="48"/>
      <c r="AJ1878" s="48"/>
      <c r="AK1878" s="48"/>
      <c r="AL1878" s="48"/>
      <c r="AM1878" s="48"/>
      <c r="AN1878" s="48"/>
      <c r="AO1878" s="48"/>
      <c r="AP1878" s="48"/>
      <c r="AQ1878" s="48"/>
      <c r="AR1878" s="48"/>
      <c r="AS1878" s="48"/>
      <c r="AT1878" s="48"/>
      <c r="AU1878" s="48"/>
      <c r="AV1878" s="48"/>
      <c r="AW1878" s="48"/>
      <c r="AX1878" s="48"/>
      <c r="AY1878" s="48"/>
      <c r="AZ1878" s="48"/>
      <c r="BA1878" s="48"/>
      <c r="BB1878" s="48"/>
      <c r="BC1878" s="48"/>
      <c r="BD1878" s="48"/>
    </row>
    <row r="1879" spans="1:56">
      <c r="A1879" s="48"/>
      <c r="B1879" s="48"/>
      <c r="C1879" s="49"/>
      <c r="D1879" s="48"/>
      <c r="E1879" s="48"/>
      <c r="F1879" s="48"/>
      <c r="G1879" s="48"/>
      <c r="H1879" s="48"/>
      <c r="I1879" s="48"/>
      <c r="J1879" s="86"/>
      <c r="K1879" s="86"/>
      <c r="L1879" s="86"/>
      <c r="M1879" s="86"/>
      <c r="N1879" s="86"/>
      <c r="O1879" s="86"/>
      <c r="P1879" s="86"/>
      <c r="Q1879" s="86"/>
      <c r="R1879" s="86"/>
      <c r="S1879" s="86"/>
      <c r="T1879" s="86"/>
      <c r="U1879" s="86"/>
      <c r="V1879" s="48"/>
      <c r="W1879" s="48"/>
      <c r="X1879" s="48"/>
      <c r="Y1879" s="48"/>
      <c r="Z1879" s="48"/>
      <c r="AA1879" s="48"/>
      <c r="AB1879" s="48"/>
      <c r="AC1879" s="48"/>
      <c r="AD1879" s="48"/>
      <c r="AE1879" s="48"/>
      <c r="AF1879" s="48"/>
      <c r="AG1879" s="48"/>
      <c r="AH1879" s="48"/>
      <c r="AI1879" s="48"/>
      <c r="AJ1879" s="48"/>
      <c r="AK1879" s="48"/>
      <c r="AL1879" s="48"/>
      <c r="AM1879" s="48"/>
      <c r="AN1879" s="48"/>
      <c r="AO1879" s="48"/>
      <c r="AP1879" s="48"/>
      <c r="AQ1879" s="48"/>
      <c r="AR1879" s="48"/>
      <c r="AS1879" s="48"/>
      <c r="AT1879" s="48"/>
      <c r="AU1879" s="48"/>
      <c r="AV1879" s="48"/>
      <c r="AW1879" s="48"/>
      <c r="AX1879" s="48"/>
      <c r="AY1879" s="48"/>
      <c r="AZ1879" s="48"/>
      <c r="BA1879" s="48"/>
      <c r="BB1879" s="48"/>
      <c r="BC1879" s="48"/>
      <c r="BD1879" s="48"/>
    </row>
    <row r="1880" spans="1:56">
      <c r="A1880" s="48"/>
      <c r="B1880" s="48"/>
      <c r="C1880" s="49"/>
      <c r="D1880" s="48"/>
      <c r="E1880" s="48"/>
      <c r="F1880" s="48"/>
      <c r="G1880" s="48"/>
      <c r="H1880" s="48"/>
      <c r="I1880" s="48"/>
      <c r="J1880" s="86"/>
      <c r="K1880" s="86"/>
      <c r="L1880" s="86"/>
      <c r="M1880" s="86"/>
      <c r="N1880" s="86"/>
      <c r="O1880" s="86"/>
      <c r="P1880" s="86"/>
      <c r="Q1880" s="86"/>
      <c r="R1880" s="86"/>
      <c r="S1880" s="86"/>
      <c r="T1880" s="86"/>
      <c r="U1880" s="86"/>
      <c r="V1880" s="48"/>
      <c r="W1880" s="48"/>
      <c r="X1880" s="48"/>
      <c r="Y1880" s="48"/>
      <c r="Z1880" s="48"/>
      <c r="AA1880" s="48"/>
      <c r="AB1880" s="48"/>
      <c r="AC1880" s="48"/>
      <c r="AD1880" s="48"/>
      <c r="AE1880" s="48"/>
      <c r="AF1880" s="48"/>
      <c r="AG1880" s="48"/>
      <c r="AH1880" s="48"/>
      <c r="AI1880" s="48"/>
      <c r="AJ1880" s="48"/>
      <c r="AK1880" s="48"/>
      <c r="AL1880" s="48"/>
      <c r="AM1880" s="48"/>
      <c r="AN1880" s="48"/>
      <c r="AO1880" s="48"/>
      <c r="AP1880" s="48"/>
      <c r="AQ1880" s="48"/>
      <c r="AR1880" s="48"/>
      <c r="AS1880" s="48"/>
      <c r="AT1880" s="48"/>
      <c r="AU1880" s="48"/>
      <c r="AV1880" s="48"/>
      <c r="AW1880" s="48"/>
      <c r="AX1880" s="48"/>
      <c r="AY1880" s="48"/>
      <c r="AZ1880" s="48"/>
      <c r="BA1880" s="48"/>
      <c r="BB1880" s="48"/>
      <c r="BC1880" s="48"/>
      <c r="BD1880" s="48"/>
    </row>
    <row r="1881" spans="1:56">
      <c r="A1881" s="48"/>
      <c r="B1881" s="48"/>
      <c r="C1881" s="49"/>
      <c r="D1881" s="48"/>
      <c r="E1881" s="48"/>
      <c r="F1881" s="48"/>
      <c r="G1881" s="48"/>
      <c r="H1881" s="48"/>
      <c r="I1881" s="48"/>
      <c r="J1881" s="86"/>
      <c r="K1881" s="86"/>
      <c r="L1881" s="86"/>
      <c r="M1881" s="86"/>
      <c r="N1881" s="86"/>
      <c r="O1881" s="86"/>
      <c r="P1881" s="86"/>
      <c r="Q1881" s="86"/>
      <c r="R1881" s="86"/>
      <c r="S1881" s="86"/>
      <c r="T1881" s="86"/>
      <c r="U1881" s="86"/>
      <c r="V1881" s="48"/>
      <c r="W1881" s="48"/>
      <c r="X1881" s="48"/>
      <c r="Y1881" s="48"/>
      <c r="Z1881" s="48"/>
      <c r="AA1881" s="48"/>
      <c r="AB1881" s="48"/>
      <c r="AC1881" s="48"/>
      <c r="AD1881" s="48"/>
      <c r="AE1881" s="48"/>
      <c r="AF1881" s="48"/>
      <c r="AG1881" s="48"/>
      <c r="AH1881" s="48"/>
      <c r="AI1881" s="48"/>
      <c r="AJ1881" s="48"/>
      <c r="AK1881" s="48"/>
      <c r="AL1881" s="48"/>
      <c r="AM1881" s="48"/>
      <c r="AN1881" s="48"/>
      <c r="AO1881" s="48"/>
      <c r="AP1881" s="48"/>
      <c r="AQ1881" s="48"/>
      <c r="AR1881" s="48"/>
      <c r="AS1881" s="48"/>
      <c r="AT1881" s="48"/>
      <c r="AU1881" s="48"/>
      <c r="AV1881" s="48"/>
      <c r="AW1881" s="48"/>
      <c r="AX1881" s="48"/>
      <c r="AY1881" s="48"/>
      <c r="AZ1881" s="48"/>
      <c r="BA1881" s="48"/>
      <c r="BB1881" s="48"/>
      <c r="BC1881" s="48"/>
      <c r="BD1881" s="48"/>
    </row>
    <row r="1882" spans="1:56">
      <c r="A1882" s="48"/>
      <c r="B1882" s="48"/>
      <c r="C1882" s="49"/>
      <c r="D1882" s="48"/>
      <c r="E1882" s="48"/>
      <c r="F1882" s="48"/>
      <c r="G1882" s="48"/>
      <c r="H1882" s="48"/>
      <c r="I1882" s="48"/>
      <c r="J1882" s="86"/>
      <c r="K1882" s="86"/>
      <c r="L1882" s="86"/>
      <c r="M1882" s="86"/>
      <c r="N1882" s="86"/>
      <c r="O1882" s="86"/>
      <c r="P1882" s="86"/>
      <c r="Q1882" s="86"/>
      <c r="R1882" s="86"/>
      <c r="S1882" s="86"/>
      <c r="T1882" s="86"/>
      <c r="U1882" s="86"/>
      <c r="V1882" s="48"/>
      <c r="W1882" s="48"/>
      <c r="X1882" s="48"/>
      <c r="Y1882" s="48"/>
      <c r="Z1882" s="48"/>
      <c r="AA1882" s="48"/>
      <c r="AB1882" s="48"/>
      <c r="AC1882" s="48"/>
      <c r="AD1882" s="48"/>
      <c r="AE1882" s="48"/>
      <c r="AF1882" s="48"/>
      <c r="AG1882" s="48"/>
      <c r="AH1882" s="48"/>
      <c r="AI1882" s="48"/>
      <c r="AJ1882" s="48"/>
      <c r="AK1882" s="48"/>
      <c r="AL1882" s="48"/>
      <c r="AM1882" s="48"/>
      <c r="AN1882" s="48"/>
      <c r="AO1882" s="48"/>
      <c r="AP1882" s="48"/>
      <c r="AQ1882" s="48"/>
      <c r="AR1882" s="48"/>
      <c r="AS1882" s="48"/>
      <c r="AT1882" s="48"/>
      <c r="AU1882" s="48"/>
      <c r="AV1882" s="48"/>
      <c r="AW1882" s="48"/>
      <c r="AX1882" s="48"/>
      <c r="AY1882" s="48"/>
      <c r="AZ1882" s="48"/>
      <c r="BA1882" s="48"/>
      <c r="BB1882" s="48"/>
      <c r="BC1882" s="48"/>
      <c r="BD1882" s="48"/>
    </row>
    <row r="1883" spans="1:56">
      <c r="A1883" s="48"/>
      <c r="B1883" s="48"/>
      <c r="C1883" s="49"/>
      <c r="D1883" s="48"/>
      <c r="E1883" s="48"/>
      <c r="F1883" s="48"/>
      <c r="G1883" s="48"/>
      <c r="H1883" s="48"/>
      <c r="I1883" s="48"/>
      <c r="J1883" s="86"/>
      <c r="K1883" s="86"/>
      <c r="L1883" s="86"/>
      <c r="M1883" s="86"/>
      <c r="N1883" s="86"/>
      <c r="O1883" s="86"/>
      <c r="P1883" s="86"/>
      <c r="Q1883" s="86"/>
      <c r="R1883" s="86"/>
      <c r="S1883" s="86"/>
      <c r="T1883" s="86"/>
      <c r="U1883" s="86"/>
      <c r="V1883" s="48"/>
      <c r="W1883" s="48"/>
      <c r="X1883" s="48"/>
      <c r="Y1883" s="48"/>
      <c r="Z1883" s="48"/>
      <c r="AA1883" s="48"/>
      <c r="AB1883" s="48"/>
      <c r="AC1883" s="48"/>
      <c r="AD1883" s="48"/>
      <c r="AE1883" s="48"/>
      <c r="AF1883" s="48"/>
      <c r="AG1883" s="48"/>
      <c r="AH1883" s="48"/>
      <c r="AI1883" s="48"/>
      <c r="AJ1883" s="48"/>
      <c r="AK1883" s="48"/>
      <c r="AL1883" s="48"/>
      <c r="AM1883" s="48"/>
      <c r="AN1883" s="48"/>
      <c r="AO1883" s="48"/>
      <c r="AP1883" s="48"/>
      <c r="AQ1883" s="48"/>
      <c r="AR1883" s="48"/>
      <c r="AS1883" s="48"/>
      <c r="AT1883" s="48"/>
      <c r="AU1883" s="48"/>
      <c r="AV1883" s="48"/>
      <c r="AW1883" s="48"/>
      <c r="AX1883" s="48"/>
      <c r="AY1883" s="48"/>
      <c r="AZ1883" s="48"/>
      <c r="BA1883" s="48"/>
      <c r="BB1883" s="48"/>
      <c r="BC1883" s="48"/>
      <c r="BD1883" s="48"/>
    </row>
    <row r="1884" spans="1:56">
      <c r="A1884" s="48"/>
      <c r="B1884" s="48"/>
      <c r="C1884" s="49"/>
      <c r="D1884" s="48"/>
      <c r="E1884" s="48"/>
      <c r="F1884" s="48"/>
      <c r="G1884" s="48"/>
      <c r="H1884" s="48"/>
      <c r="I1884" s="48"/>
      <c r="J1884" s="86"/>
      <c r="K1884" s="86"/>
      <c r="L1884" s="86"/>
      <c r="M1884" s="86"/>
      <c r="N1884" s="86"/>
      <c r="O1884" s="86"/>
      <c r="P1884" s="86"/>
      <c r="Q1884" s="86"/>
      <c r="R1884" s="86"/>
      <c r="S1884" s="86"/>
      <c r="T1884" s="86"/>
      <c r="U1884" s="86"/>
      <c r="V1884" s="48"/>
      <c r="W1884" s="48"/>
      <c r="X1884" s="48"/>
      <c r="Y1884" s="48"/>
      <c r="Z1884" s="48"/>
      <c r="AA1884" s="48"/>
      <c r="AB1884" s="48"/>
      <c r="AC1884" s="48"/>
      <c r="AD1884" s="48"/>
      <c r="AE1884" s="48"/>
      <c r="AF1884" s="48"/>
      <c r="AG1884" s="48"/>
      <c r="AH1884" s="48"/>
      <c r="AI1884" s="48"/>
      <c r="AJ1884" s="48"/>
      <c r="AK1884" s="48"/>
      <c r="AL1884" s="48"/>
      <c r="AM1884" s="48"/>
      <c r="AN1884" s="48"/>
      <c r="AO1884" s="48"/>
      <c r="AP1884" s="48"/>
      <c r="AQ1884" s="48"/>
      <c r="AR1884" s="48"/>
      <c r="AS1884" s="48"/>
      <c r="AT1884" s="48"/>
      <c r="AU1884" s="48"/>
      <c r="AV1884" s="48"/>
      <c r="AW1884" s="48"/>
      <c r="AX1884" s="48"/>
      <c r="AY1884" s="48"/>
      <c r="AZ1884" s="48"/>
      <c r="BA1884" s="48"/>
      <c r="BB1884" s="48"/>
      <c r="BC1884" s="48"/>
      <c r="BD1884" s="48"/>
    </row>
    <row r="1885" spans="1:56">
      <c r="A1885" s="48"/>
      <c r="B1885" s="48"/>
      <c r="C1885" s="49"/>
      <c r="D1885" s="48"/>
      <c r="E1885" s="48"/>
      <c r="F1885" s="48"/>
      <c r="G1885" s="48"/>
      <c r="H1885" s="48"/>
      <c r="I1885" s="48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48"/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  <c r="AO1885" s="48"/>
      <c r="AP1885" s="48"/>
      <c r="AQ1885" s="48"/>
      <c r="AR1885" s="48"/>
      <c r="AS1885" s="48"/>
      <c r="AT1885" s="48"/>
      <c r="AU1885" s="48"/>
      <c r="AV1885" s="48"/>
      <c r="AW1885" s="48"/>
      <c r="AX1885" s="48"/>
      <c r="AY1885" s="48"/>
      <c r="AZ1885" s="48"/>
      <c r="BA1885" s="48"/>
      <c r="BB1885" s="48"/>
      <c r="BC1885" s="48"/>
      <c r="BD1885" s="48"/>
    </row>
    <row r="1886" spans="1:56">
      <c r="A1886" s="48"/>
      <c r="B1886" s="48"/>
      <c r="C1886" s="49"/>
      <c r="D1886" s="48"/>
      <c r="E1886" s="48"/>
      <c r="F1886" s="48"/>
      <c r="G1886" s="48"/>
      <c r="H1886" s="48"/>
      <c r="I1886" s="48"/>
      <c r="J1886" s="86"/>
      <c r="K1886" s="86"/>
      <c r="L1886" s="86"/>
      <c r="M1886" s="86"/>
      <c r="N1886" s="86"/>
      <c r="O1886" s="86"/>
      <c r="P1886" s="86"/>
      <c r="Q1886" s="86"/>
      <c r="R1886" s="86"/>
      <c r="S1886" s="86"/>
      <c r="T1886" s="86"/>
      <c r="U1886" s="86"/>
      <c r="V1886" s="48"/>
      <c r="W1886" s="48"/>
      <c r="X1886" s="48"/>
      <c r="Y1886" s="48"/>
      <c r="Z1886" s="48"/>
      <c r="AA1886" s="48"/>
      <c r="AB1886" s="48"/>
      <c r="AC1886" s="48"/>
      <c r="AD1886" s="48"/>
      <c r="AE1886" s="48"/>
      <c r="AF1886" s="48"/>
      <c r="AG1886" s="48"/>
      <c r="AH1886" s="48"/>
      <c r="AI1886" s="48"/>
      <c r="AJ1886" s="48"/>
      <c r="AK1886" s="48"/>
      <c r="AL1886" s="48"/>
      <c r="AM1886" s="48"/>
      <c r="AN1886" s="48"/>
      <c r="AO1886" s="48"/>
      <c r="AP1886" s="48"/>
      <c r="AQ1886" s="48"/>
      <c r="AR1886" s="48"/>
      <c r="AS1886" s="48"/>
      <c r="AT1886" s="48"/>
      <c r="AU1886" s="48"/>
      <c r="AV1886" s="48"/>
      <c r="AW1886" s="48"/>
      <c r="AX1886" s="48"/>
      <c r="AY1886" s="48"/>
      <c r="AZ1886" s="48"/>
      <c r="BA1886" s="48"/>
      <c r="BB1886" s="48"/>
      <c r="BC1886" s="48"/>
      <c r="BD1886" s="48"/>
    </row>
    <row r="1887" spans="1:56">
      <c r="A1887" s="48"/>
      <c r="B1887" s="48"/>
      <c r="C1887" s="49"/>
      <c r="D1887" s="48"/>
      <c r="E1887" s="48"/>
      <c r="F1887" s="48"/>
      <c r="G1887" s="48"/>
      <c r="H1887" s="48"/>
      <c r="I1887" s="48"/>
      <c r="J1887" s="86"/>
      <c r="K1887" s="86"/>
      <c r="L1887" s="86"/>
      <c r="M1887" s="86"/>
      <c r="N1887" s="86"/>
      <c r="O1887" s="86"/>
      <c r="P1887" s="86"/>
      <c r="Q1887" s="86"/>
      <c r="R1887" s="86"/>
      <c r="S1887" s="86"/>
      <c r="T1887" s="86"/>
      <c r="U1887" s="86"/>
      <c r="V1887" s="48"/>
      <c r="W1887" s="48"/>
      <c r="X1887" s="48"/>
      <c r="Y1887" s="48"/>
      <c r="Z1887" s="48"/>
      <c r="AA1887" s="48"/>
      <c r="AB1887" s="48"/>
      <c r="AC1887" s="48"/>
      <c r="AD1887" s="48"/>
      <c r="AE1887" s="48"/>
      <c r="AF1887" s="48"/>
      <c r="AG1887" s="48"/>
      <c r="AH1887" s="48"/>
      <c r="AI1887" s="48"/>
      <c r="AJ1887" s="48"/>
      <c r="AK1887" s="48"/>
      <c r="AL1887" s="48"/>
      <c r="AM1887" s="48"/>
      <c r="AN1887" s="48"/>
      <c r="AO1887" s="48"/>
      <c r="AP1887" s="48"/>
      <c r="AQ1887" s="48"/>
      <c r="AR1887" s="48"/>
      <c r="AS1887" s="48"/>
      <c r="AT1887" s="48"/>
      <c r="AU1887" s="48"/>
      <c r="AV1887" s="48"/>
      <c r="AW1887" s="48"/>
      <c r="AX1887" s="48"/>
      <c r="AY1887" s="48"/>
      <c r="AZ1887" s="48"/>
      <c r="BA1887" s="48"/>
      <c r="BB1887" s="48"/>
      <c r="BC1887" s="48"/>
      <c r="BD1887" s="48"/>
    </row>
    <row r="1888" spans="1:56">
      <c r="A1888" s="48"/>
      <c r="B1888" s="48"/>
      <c r="C1888" s="49"/>
      <c r="D1888" s="48"/>
      <c r="E1888" s="48"/>
      <c r="F1888" s="48"/>
      <c r="G1888" s="48"/>
      <c r="H1888" s="48"/>
      <c r="I1888" s="48"/>
      <c r="J1888" s="86"/>
      <c r="K1888" s="86"/>
      <c r="L1888" s="86"/>
      <c r="M1888" s="86"/>
      <c r="N1888" s="86"/>
      <c r="O1888" s="86"/>
      <c r="P1888" s="86"/>
      <c r="Q1888" s="86"/>
      <c r="R1888" s="86"/>
      <c r="S1888" s="86"/>
      <c r="T1888" s="86"/>
      <c r="U1888" s="86"/>
      <c r="V1888" s="48"/>
      <c r="W1888" s="48"/>
      <c r="X1888" s="48"/>
      <c r="Y1888" s="48"/>
      <c r="Z1888" s="48"/>
      <c r="AA1888" s="48"/>
      <c r="AB1888" s="48"/>
      <c r="AC1888" s="48"/>
      <c r="AD1888" s="48"/>
      <c r="AE1888" s="48"/>
      <c r="AF1888" s="48"/>
      <c r="AG1888" s="48"/>
      <c r="AH1888" s="48"/>
      <c r="AI1888" s="48"/>
      <c r="AJ1888" s="48"/>
      <c r="AK1888" s="48"/>
      <c r="AL1888" s="48"/>
      <c r="AM1888" s="48"/>
      <c r="AN1888" s="48"/>
      <c r="AO1888" s="48"/>
      <c r="AP1888" s="48"/>
      <c r="AQ1888" s="48"/>
      <c r="AR1888" s="48"/>
      <c r="AS1888" s="48"/>
      <c r="AT1888" s="48"/>
      <c r="AU1888" s="48"/>
      <c r="AV1888" s="48"/>
      <c r="AW1888" s="48"/>
      <c r="AX1888" s="48"/>
      <c r="AY1888" s="48"/>
      <c r="AZ1888" s="48"/>
      <c r="BA1888" s="48"/>
      <c r="BB1888" s="48"/>
      <c r="BC1888" s="48"/>
      <c r="BD1888" s="48"/>
    </row>
    <row r="1889" spans="1:56">
      <c r="A1889" s="48"/>
      <c r="B1889" s="48"/>
      <c r="C1889" s="49"/>
      <c r="D1889" s="48"/>
      <c r="E1889" s="48"/>
      <c r="F1889" s="48"/>
      <c r="G1889" s="48"/>
      <c r="H1889" s="48"/>
      <c r="I1889" s="48"/>
      <c r="J1889" s="86"/>
      <c r="K1889" s="86"/>
      <c r="L1889" s="86"/>
      <c r="M1889" s="86"/>
      <c r="N1889" s="86"/>
      <c r="O1889" s="86"/>
      <c r="P1889" s="86"/>
      <c r="Q1889" s="86"/>
      <c r="R1889" s="86"/>
      <c r="S1889" s="86"/>
      <c r="T1889" s="86"/>
      <c r="U1889" s="86"/>
      <c r="V1889" s="48"/>
      <c r="W1889" s="48"/>
      <c r="X1889" s="48"/>
      <c r="Y1889" s="48"/>
      <c r="Z1889" s="48"/>
      <c r="AA1889" s="48"/>
      <c r="AB1889" s="48"/>
      <c r="AC1889" s="48"/>
      <c r="AD1889" s="48"/>
      <c r="AE1889" s="48"/>
      <c r="AF1889" s="48"/>
      <c r="AG1889" s="48"/>
      <c r="AH1889" s="48"/>
      <c r="AI1889" s="48"/>
      <c r="AJ1889" s="48"/>
      <c r="AK1889" s="48"/>
      <c r="AL1889" s="48"/>
      <c r="AM1889" s="48"/>
      <c r="AN1889" s="48"/>
      <c r="AO1889" s="48"/>
      <c r="AP1889" s="48"/>
      <c r="AQ1889" s="48"/>
      <c r="AR1889" s="48"/>
      <c r="AS1889" s="48"/>
      <c r="AT1889" s="48"/>
      <c r="AU1889" s="48"/>
      <c r="AV1889" s="48"/>
      <c r="AW1889" s="48"/>
      <c r="AX1889" s="48"/>
      <c r="AY1889" s="48"/>
      <c r="AZ1889" s="48"/>
      <c r="BA1889" s="48"/>
      <c r="BB1889" s="48"/>
      <c r="BC1889" s="48"/>
      <c r="BD1889" s="48"/>
    </row>
    <row r="1890" spans="1:56">
      <c r="A1890" s="48"/>
      <c r="B1890" s="48"/>
      <c r="C1890" s="49"/>
      <c r="D1890" s="48"/>
      <c r="E1890" s="48"/>
      <c r="F1890" s="48"/>
      <c r="G1890" s="48"/>
      <c r="H1890" s="48"/>
      <c r="I1890" s="48"/>
      <c r="J1890" s="86"/>
      <c r="K1890" s="86"/>
      <c r="L1890" s="86"/>
      <c r="M1890" s="86"/>
      <c r="N1890" s="86"/>
      <c r="O1890" s="86"/>
      <c r="P1890" s="86"/>
      <c r="Q1890" s="86"/>
      <c r="R1890" s="86"/>
      <c r="S1890" s="86"/>
      <c r="T1890" s="86"/>
      <c r="U1890" s="86"/>
      <c r="V1890" s="48"/>
      <c r="W1890" s="48"/>
      <c r="X1890" s="48"/>
      <c r="Y1890" s="48"/>
      <c r="Z1890" s="48"/>
      <c r="AA1890" s="48"/>
      <c r="AB1890" s="48"/>
      <c r="AC1890" s="48"/>
      <c r="AD1890" s="48"/>
      <c r="AE1890" s="48"/>
      <c r="AF1890" s="48"/>
      <c r="AG1890" s="48"/>
      <c r="AH1890" s="48"/>
      <c r="AI1890" s="48"/>
      <c r="AJ1890" s="48"/>
      <c r="AK1890" s="48"/>
      <c r="AL1890" s="48"/>
      <c r="AM1890" s="48"/>
      <c r="AN1890" s="48"/>
      <c r="AO1890" s="48"/>
      <c r="AP1890" s="48"/>
      <c r="AQ1890" s="48"/>
      <c r="AR1890" s="48"/>
      <c r="AS1890" s="48"/>
      <c r="AT1890" s="48"/>
      <c r="AU1890" s="48"/>
      <c r="AV1890" s="48"/>
      <c r="AW1890" s="48"/>
      <c r="AX1890" s="48"/>
      <c r="AY1890" s="48"/>
      <c r="AZ1890" s="48"/>
      <c r="BA1890" s="48"/>
      <c r="BB1890" s="48"/>
      <c r="BC1890" s="48"/>
      <c r="BD1890" s="48"/>
    </row>
    <row r="1891" spans="1:56">
      <c r="A1891" s="48"/>
      <c r="B1891" s="48"/>
      <c r="C1891" s="49"/>
      <c r="D1891" s="48"/>
      <c r="E1891" s="48"/>
      <c r="F1891" s="48"/>
      <c r="G1891" s="48"/>
      <c r="H1891" s="48"/>
      <c r="I1891" s="48"/>
      <c r="J1891" s="86"/>
      <c r="K1891" s="86"/>
      <c r="L1891" s="86"/>
      <c r="M1891" s="86"/>
      <c r="N1891" s="86"/>
      <c r="O1891" s="86"/>
      <c r="P1891" s="86"/>
      <c r="Q1891" s="86"/>
      <c r="R1891" s="86"/>
      <c r="S1891" s="86"/>
      <c r="T1891" s="86"/>
      <c r="U1891" s="86"/>
      <c r="V1891" s="48"/>
      <c r="W1891" s="48"/>
      <c r="X1891" s="48"/>
      <c r="Y1891" s="48"/>
      <c r="Z1891" s="48"/>
      <c r="AA1891" s="48"/>
      <c r="AB1891" s="48"/>
      <c r="AC1891" s="48"/>
      <c r="AD1891" s="48"/>
      <c r="AE1891" s="48"/>
      <c r="AF1891" s="48"/>
      <c r="AG1891" s="48"/>
      <c r="AH1891" s="48"/>
      <c r="AI1891" s="48"/>
      <c r="AJ1891" s="48"/>
      <c r="AK1891" s="48"/>
      <c r="AL1891" s="48"/>
      <c r="AM1891" s="48"/>
      <c r="AN1891" s="48"/>
      <c r="AO1891" s="48"/>
      <c r="AP1891" s="48"/>
      <c r="AQ1891" s="48"/>
      <c r="AR1891" s="48"/>
      <c r="AS1891" s="48"/>
      <c r="AT1891" s="48"/>
      <c r="AU1891" s="48"/>
      <c r="AV1891" s="48"/>
      <c r="AW1891" s="48"/>
      <c r="AX1891" s="48"/>
      <c r="AY1891" s="48"/>
      <c r="AZ1891" s="48"/>
      <c r="BA1891" s="48"/>
      <c r="BB1891" s="48"/>
      <c r="BC1891" s="48"/>
      <c r="BD1891" s="48"/>
    </row>
    <row r="1892" spans="1:56">
      <c r="A1892" s="48"/>
      <c r="B1892" s="48"/>
      <c r="C1892" s="49"/>
      <c r="D1892" s="48"/>
      <c r="E1892" s="48"/>
      <c r="F1892" s="48"/>
      <c r="G1892" s="48"/>
      <c r="H1892" s="48"/>
      <c r="I1892" s="48"/>
      <c r="J1892" s="86"/>
      <c r="K1892" s="86"/>
      <c r="L1892" s="86"/>
      <c r="M1892" s="86"/>
      <c r="N1892" s="86"/>
      <c r="O1892" s="86"/>
      <c r="P1892" s="86"/>
      <c r="Q1892" s="86"/>
      <c r="R1892" s="86"/>
      <c r="S1892" s="86"/>
      <c r="T1892" s="86"/>
      <c r="U1892" s="86"/>
      <c r="V1892" s="48"/>
      <c r="W1892" s="48"/>
      <c r="X1892" s="48"/>
      <c r="Y1892" s="48"/>
      <c r="Z1892" s="48"/>
      <c r="AA1892" s="48"/>
      <c r="AB1892" s="48"/>
      <c r="AC1892" s="48"/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AX1892" s="48"/>
      <c r="AY1892" s="48"/>
      <c r="AZ1892" s="48"/>
      <c r="BA1892" s="48"/>
      <c r="BB1892" s="48"/>
      <c r="BC1892" s="48"/>
      <c r="BD1892" s="48"/>
    </row>
    <row r="1893" spans="1:56">
      <c r="A1893" s="48"/>
      <c r="B1893" s="48"/>
      <c r="C1893" s="49"/>
      <c r="D1893" s="48"/>
      <c r="E1893" s="48"/>
      <c r="F1893" s="48"/>
      <c r="G1893" s="48"/>
      <c r="H1893" s="48"/>
      <c r="I1893" s="48"/>
      <c r="J1893" s="86"/>
      <c r="K1893" s="86"/>
      <c r="L1893" s="86"/>
      <c r="M1893" s="86"/>
      <c r="N1893" s="86"/>
      <c r="O1893" s="86"/>
      <c r="P1893" s="86"/>
      <c r="Q1893" s="86"/>
      <c r="R1893" s="86"/>
      <c r="S1893" s="86"/>
      <c r="T1893" s="86"/>
      <c r="U1893" s="86"/>
      <c r="V1893" s="48"/>
      <c r="W1893" s="48"/>
      <c r="X1893" s="48"/>
      <c r="Y1893" s="48"/>
      <c r="Z1893" s="48"/>
      <c r="AA1893" s="48"/>
      <c r="AB1893" s="48"/>
      <c r="AC1893" s="48"/>
      <c r="AD1893" s="48"/>
      <c r="AE1893" s="48"/>
      <c r="AF1893" s="48"/>
      <c r="AG1893" s="48"/>
      <c r="AH1893" s="48"/>
      <c r="AI1893" s="48"/>
      <c r="AJ1893" s="48"/>
      <c r="AK1893" s="48"/>
      <c r="AL1893" s="48"/>
      <c r="AM1893" s="48"/>
      <c r="AN1893" s="48"/>
      <c r="AO1893" s="48"/>
      <c r="AP1893" s="48"/>
      <c r="AQ1893" s="48"/>
      <c r="AR1893" s="48"/>
      <c r="AS1893" s="48"/>
      <c r="AT1893" s="48"/>
      <c r="AU1893" s="48"/>
      <c r="AV1893" s="48"/>
      <c r="AW1893" s="48"/>
      <c r="AX1893" s="48"/>
      <c r="AY1893" s="48"/>
      <c r="AZ1893" s="48"/>
      <c r="BA1893" s="48"/>
      <c r="BB1893" s="48"/>
      <c r="BC1893" s="48"/>
      <c r="BD1893" s="48"/>
    </row>
    <row r="1894" spans="1:56">
      <c r="A1894" s="48"/>
      <c r="B1894" s="48"/>
      <c r="C1894" s="49"/>
      <c r="D1894" s="48"/>
      <c r="E1894" s="48"/>
      <c r="F1894" s="48"/>
      <c r="G1894" s="48"/>
      <c r="H1894" s="48"/>
      <c r="I1894" s="48"/>
      <c r="J1894" s="86"/>
      <c r="K1894" s="86"/>
      <c r="L1894" s="86"/>
      <c r="M1894" s="86"/>
      <c r="N1894" s="86"/>
      <c r="O1894" s="86"/>
      <c r="P1894" s="86"/>
      <c r="Q1894" s="86"/>
      <c r="R1894" s="86"/>
      <c r="S1894" s="86"/>
      <c r="T1894" s="86"/>
      <c r="U1894" s="86"/>
      <c r="V1894" s="48"/>
      <c r="W1894" s="48"/>
      <c r="X1894" s="48"/>
      <c r="Y1894" s="48"/>
      <c r="Z1894" s="48"/>
      <c r="AA1894" s="48"/>
      <c r="AB1894" s="48"/>
      <c r="AC1894" s="48"/>
      <c r="AD1894" s="48"/>
      <c r="AE1894" s="48"/>
      <c r="AF1894" s="48"/>
      <c r="AG1894" s="48"/>
      <c r="AH1894" s="48"/>
      <c r="AI1894" s="48"/>
      <c r="AJ1894" s="48"/>
      <c r="AK1894" s="48"/>
      <c r="AL1894" s="48"/>
      <c r="AM1894" s="48"/>
      <c r="AN1894" s="48"/>
      <c r="AO1894" s="48"/>
      <c r="AP1894" s="48"/>
      <c r="AQ1894" s="48"/>
      <c r="AR1894" s="48"/>
      <c r="AS1894" s="48"/>
      <c r="AT1894" s="48"/>
      <c r="AU1894" s="48"/>
      <c r="AV1894" s="48"/>
      <c r="AW1894" s="48"/>
      <c r="AX1894" s="48"/>
      <c r="AY1894" s="48"/>
      <c r="AZ1894" s="48"/>
      <c r="BA1894" s="48"/>
      <c r="BB1894" s="48"/>
      <c r="BC1894" s="48"/>
      <c r="BD1894" s="48"/>
    </row>
    <row r="1895" spans="1:56">
      <c r="A1895" s="48"/>
      <c r="B1895" s="48"/>
      <c r="C1895" s="49"/>
      <c r="D1895" s="48"/>
      <c r="E1895" s="48"/>
      <c r="F1895" s="48"/>
      <c r="G1895" s="48"/>
      <c r="H1895" s="48"/>
      <c r="I1895" s="48"/>
      <c r="J1895" s="86"/>
      <c r="K1895" s="86"/>
      <c r="L1895" s="86"/>
      <c r="M1895" s="86"/>
      <c r="N1895" s="86"/>
      <c r="O1895" s="86"/>
      <c r="P1895" s="86"/>
      <c r="Q1895" s="86"/>
      <c r="R1895" s="86"/>
      <c r="S1895" s="86"/>
      <c r="T1895" s="86"/>
      <c r="U1895" s="86"/>
      <c r="V1895" s="48"/>
      <c r="W1895" s="48"/>
      <c r="X1895" s="48"/>
      <c r="Y1895" s="48"/>
      <c r="Z1895" s="48"/>
      <c r="AA1895" s="48"/>
      <c r="AB1895" s="48"/>
      <c r="AC1895" s="48"/>
      <c r="AD1895" s="48"/>
      <c r="AE1895" s="48"/>
      <c r="AF1895" s="48"/>
      <c r="AG1895" s="48"/>
      <c r="AH1895" s="48"/>
      <c r="AI1895" s="48"/>
      <c r="AJ1895" s="48"/>
      <c r="AK1895" s="48"/>
      <c r="AL1895" s="48"/>
      <c r="AM1895" s="48"/>
      <c r="AN1895" s="48"/>
      <c r="AO1895" s="48"/>
      <c r="AP1895" s="48"/>
      <c r="AQ1895" s="48"/>
      <c r="AR1895" s="48"/>
      <c r="AS1895" s="48"/>
      <c r="AT1895" s="48"/>
      <c r="AU1895" s="48"/>
      <c r="AV1895" s="48"/>
      <c r="AW1895" s="48"/>
      <c r="AX1895" s="48"/>
      <c r="AY1895" s="48"/>
      <c r="AZ1895" s="48"/>
      <c r="BA1895" s="48"/>
      <c r="BB1895" s="48"/>
      <c r="BC1895" s="48"/>
      <c r="BD1895" s="48"/>
    </row>
    <row r="1896" spans="1:56">
      <c r="A1896" s="48"/>
      <c r="B1896" s="48"/>
      <c r="C1896" s="49"/>
      <c r="D1896" s="48"/>
      <c r="E1896" s="48"/>
      <c r="F1896" s="48"/>
      <c r="G1896" s="48"/>
      <c r="H1896" s="48"/>
      <c r="I1896" s="48"/>
      <c r="J1896" s="86"/>
      <c r="K1896" s="86"/>
      <c r="L1896" s="86"/>
      <c r="M1896" s="86"/>
      <c r="N1896" s="86"/>
      <c r="O1896" s="86"/>
      <c r="P1896" s="86"/>
      <c r="Q1896" s="86"/>
      <c r="R1896" s="86"/>
      <c r="S1896" s="86"/>
      <c r="T1896" s="86"/>
      <c r="U1896" s="86"/>
      <c r="V1896" s="48"/>
      <c r="W1896" s="48"/>
      <c r="X1896" s="48"/>
      <c r="Y1896" s="48"/>
      <c r="Z1896" s="48"/>
      <c r="AA1896" s="48"/>
      <c r="AB1896" s="48"/>
      <c r="AC1896" s="48"/>
      <c r="AD1896" s="48"/>
      <c r="AE1896" s="48"/>
      <c r="AF1896" s="48"/>
      <c r="AG1896" s="48"/>
      <c r="AH1896" s="48"/>
      <c r="AI1896" s="48"/>
      <c r="AJ1896" s="48"/>
      <c r="AK1896" s="48"/>
      <c r="AL1896" s="48"/>
      <c r="AM1896" s="48"/>
      <c r="AN1896" s="48"/>
      <c r="AO1896" s="48"/>
      <c r="AP1896" s="48"/>
      <c r="AQ1896" s="48"/>
      <c r="AR1896" s="48"/>
      <c r="AS1896" s="48"/>
      <c r="AT1896" s="48"/>
      <c r="AU1896" s="48"/>
      <c r="AV1896" s="48"/>
      <c r="AW1896" s="48"/>
      <c r="AX1896" s="48"/>
      <c r="AY1896" s="48"/>
      <c r="AZ1896" s="48"/>
      <c r="BA1896" s="48"/>
      <c r="BB1896" s="48"/>
      <c r="BC1896" s="48"/>
      <c r="BD1896" s="48"/>
    </row>
    <row r="1897" spans="1:56">
      <c r="A1897" s="48"/>
      <c r="B1897" s="48"/>
      <c r="C1897" s="49"/>
      <c r="D1897" s="48"/>
      <c r="E1897" s="48"/>
      <c r="F1897" s="48"/>
      <c r="G1897" s="48"/>
      <c r="H1897" s="48"/>
      <c r="I1897" s="48"/>
      <c r="J1897" s="86"/>
      <c r="K1897" s="86"/>
      <c r="L1897" s="86"/>
      <c r="M1897" s="86"/>
      <c r="N1897" s="86"/>
      <c r="O1897" s="86"/>
      <c r="P1897" s="86"/>
      <c r="Q1897" s="86"/>
      <c r="R1897" s="86"/>
      <c r="S1897" s="86"/>
      <c r="T1897" s="86"/>
      <c r="U1897" s="86"/>
      <c r="V1897" s="48"/>
      <c r="W1897" s="48"/>
      <c r="X1897" s="48"/>
      <c r="Y1897" s="48"/>
      <c r="Z1897" s="48"/>
      <c r="AA1897" s="48"/>
      <c r="AB1897" s="48"/>
      <c r="AC1897" s="48"/>
      <c r="AD1897" s="48"/>
      <c r="AE1897" s="48"/>
      <c r="AF1897" s="48"/>
      <c r="AG1897" s="48"/>
      <c r="AH1897" s="48"/>
      <c r="AI1897" s="48"/>
      <c r="AJ1897" s="48"/>
      <c r="AK1897" s="48"/>
      <c r="AL1897" s="48"/>
      <c r="AM1897" s="48"/>
      <c r="AN1897" s="48"/>
      <c r="AO1897" s="48"/>
      <c r="AP1897" s="48"/>
      <c r="AQ1897" s="48"/>
      <c r="AR1897" s="48"/>
      <c r="AS1897" s="48"/>
      <c r="AT1897" s="48"/>
      <c r="AU1897" s="48"/>
      <c r="AV1897" s="48"/>
      <c r="AW1897" s="48"/>
      <c r="AX1897" s="48"/>
      <c r="AY1897" s="48"/>
      <c r="AZ1897" s="48"/>
      <c r="BA1897" s="48"/>
      <c r="BB1897" s="48"/>
      <c r="BC1897" s="48"/>
      <c r="BD1897" s="48"/>
    </row>
    <row r="1898" spans="1:56">
      <c r="A1898" s="48"/>
      <c r="B1898" s="48"/>
      <c r="C1898" s="49"/>
      <c r="D1898" s="48"/>
      <c r="E1898" s="48"/>
      <c r="F1898" s="48"/>
      <c r="G1898" s="48"/>
      <c r="H1898" s="48"/>
      <c r="I1898" s="48"/>
      <c r="J1898" s="86"/>
      <c r="K1898" s="86"/>
      <c r="L1898" s="86"/>
      <c r="M1898" s="86"/>
      <c r="N1898" s="86"/>
      <c r="O1898" s="86"/>
      <c r="P1898" s="86"/>
      <c r="Q1898" s="86"/>
      <c r="R1898" s="86"/>
      <c r="S1898" s="86"/>
      <c r="T1898" s="86"/>
      <c r="U1898" s="86"/>
      <c r="V1898" s="48"/>
      <c r="W1898" s="48"/>
      <c r="X1898" s="48"/>
      <c r="Y1898" s="48"/>
      <c r="Z1898" s="48"/>
      <c r="AA1898" s="48"/>
      <c r="AB1898" s="48"/>
      <c r="AC1898" s="48"/>
      <c r="AD1898" s="48"/>
      <c r="AE1898" s="48"/>
      <c r="AF1898" s="48"/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AR1898" s="48"/>
      <c r="AS1898" s="48"/>
      <c r="AT1898" s="48"/>
      <c r="AU1898" s="48"/>
      <c r="AV1898" s="48"/>
      <c r="AW1898" s="48"/>
      <c r="AX1898" s="48"/>
      <c r="AY1898" s="48"/>
      <c r="AZ1898" s="48"/>
      <c r="BA1898" s="48"/>
      <c r="BB1898" s="48"/>
      <c r="BC1898" s="48"/>
      <c r="BD1898" s="48"/>
    </row>
    <row r="1899" spans="1:56">
      <c r="A1899" s="48"/>
      <c r="B1899" s="48"/>
      <c r="C1899" s="49"/>
      <c r="D1899" s="48"/>
      <c r="E1899" s="48"/>
      <c r="F1899" s="48"/>
      <c r="G1899" s="48"/>
      <c r="H1899" s="48"/>
      <c r="I1899" s="48"/>
      <c r="J1899" s="86"/>
      <c r="K1899" s="86"/>
      <c r="L1899" s="86"/>
      <c r="M1899" s="86"/>
      <c r="N1899" s="86"/>
      <c r="O1899" s="86"/>
      <c r="P1899" s="86"/>
      <c r="Q1899" s="86"/>
      <c r="R1899" s="86"/>
      <c r="S1899" s="86"/>
      <c r="T1899" s="86"/>
      <c r="U1899" s="86"/>
      <c r="V1899" s="48"/>
      <c r="W1899" s="48"/>
      <c r="X1899" s="48"/>
      <c r="Y1899" s="48"/>
      <c r="Z1899" s="48"/>
      <c r="AA1899" s="48"/>
      <c r="AB1899" s="48"/>
      <c r="AC1899" s="48"/>
      <c r="AD1899" s="48"/>
      <c r="AE1899" s="48"/>
      <c r="AF1899" s="48"/>
      <c r="AG1899" s="48"/>
      <c r="AH1899" s="48"/>
      <c r="AI1899" s="48"/>
      <c r="AJ1899" s="48"/>
      <c r="AK1899" s="48"/>
      <c r="AL1899" s="48"/>
      <c r="AM1899" s="48"/>
      <c r="AN1899" s="48"/>
      <c r="AO1899" s="48"/>
      <c r="AP1899" s="48"/>
      <c r="AQ1899" s="48"/>
      <c r="AR1899" s="48"/>
      <c r="AS1899" s="48"/>
      <c r="AT1899" s="48"/>
      <c r="AU1899" s="48"/>
      <c r="AV1899" s="48"/>
      <c r="AW1899" s="48"/>
      <c r="AX1899" s="48"/>
      <c r="AY1899" s="48"/>
      <c r="AZ1899" s="48"/>
      <c r="BA1899" s="48"/>
      <c r="BB1899" s="48"/>
      <c r="BC1899" s="48"/>
      <c r="BD1899" s="48"/>
    </row>
    <row r="1900" spans="1:56">
      <c r="A1900" s="48"/>
      <c r="B1900" s="48"/>
      <c r="C1900" s="49"/>
      <c r="D1900" s="48"/>
      <c r="E1900" s="48"/>
      <c r="F1900" s="48"/>
      <c r="G1900" s="48"/>
      <c r="H1900" s="48"/>
      <c r="I1900" s="48"/>
      <c r="J1900" s="86"/>
      <c r="K1900" s="86"/>
      <c r="L1900" s="86"/>
      <c r="M1900" s="86"/>
      <c r="N1900" s="86"/>
      <c r="O1900" s="86"/>
      <c r="P1900" s="86"/>
      <c r="Q1900" s="86"/>
      <c r="R1900" s="86"/>
      <c r="S1900" s="86"/>
      <c r="T1900" s="86"/>
      <c r="U1900" s="86"/>
      <c r="V1900" s="48"/>
      <c r="W1900" s="48"/>
      <c r="X1900" s="48"/>
      <c r="Y1900" s="48"/>
      <c r="Z1900" s="48"/>
      <c r="AA1900" s="48"/>
      <c r="AB1900" s="48"/>
      <c r="AC1900" s="48"/>
      <c r="AD1900" s="48"/>
      <c r="AE1900" s="48"/>
      <c r="AF1900" s="48"/>
      <c r="AG1900" s="48"/>
      <c r="AH1900" s="48"/>
      <c r="AI1900" s="48"/>
      <c r="AJ1900" s="48"/>
      <c r="AK1900" s="48"/>
      <c r="AL1900" s="48"/>
      <c r="AM1900" s="48"/>
      <c r="AN1900" s="48"/>
      <c r="AO1900" s="48"/>
      <c r="AP1900" s="48"/>
      <c r="AQ1900" s="48"/>
      <c r="AR1900" s="48"/>
      <c r="AS1900" s="48"/>
      <c r="AT1900" s="48"/>
      <c r="AU1900" s="48"/>
      <c r="AV1900" s="48"/>
      <c r="AW1900" s="48"/>
      <c r="AX1900" s="48"/>
      <c r="AY1900" s="48"/>
      <c r="AZ1900" s="48"/>
      <c r="BA1900" s="48"/>
      <c r="BB1900" s="48"/>
      <c r="BC1900" s="48"/>
      <c r="BD1900" s="48"/>
    </row>
    <row r="1901" spans="1:56">
      <c r="A1901" s="48"/>
      <c r="B1901" s="48"/>
      <c r="C1901" s="49"/>
      <c r="D1901" s="48"/>
      <c r="E1901" s="48"/>
      <c r="F1901" s="48"/>
      <c r="G1901" s="48"/>
      <c r="H1901" s="48"/>
      <c r="I1901" s="48"/>
      <c r="J1901" s="86"/>
      <c r="K1901" s="86"/>
      <c r="L1901" s="86"/>
      <c r="M1901" s="86"/>
      <c r="N1901" s="86"/>
      <c r="O1901" s="86"/>
      <c r="P1901" s="86"/>
      <c r="Q1901" s="86"/>
      <c r="R1901" s="86"/>
      <c r="S1901" s="86"/>
      <c r="T1901" s="86"/>
      <c r="U1901" s="86"/>
      <c r="V1901" s="48"/>
      <c r="W1901" s="48"/>
      <c r="X1901" s="48"/>
      <c r="Y1901" s="48"/>
      <c r="Z1901" s="48"/>
      <c r="AA1901" s="48"/>
      <c r="AB1901" s="48"/>
      <c r="AC1901" s="48"/>
      <c r="AD1901" s="48"/>
      <c r="AE1901" s="48"/>
      <c r="AF1901" s="48"/>
      <c r="AG1901" s="48"/>
      <c r="AH1901" s="48"/>
      <c r="AI1901" s="48"/>
      <c r="AJ1901" s="48"/>
      <c r="AK1901" s="48"/>
      <c r="AL1901" s="48"/>
      <c r="AM1901" s="48"/>
      <c r="AN1901" s="48"/>
      <c r="AO1901" s="48"/>
      <c r="AP1901" s="48"/>
      <c r="AQ1901" s="48"/>
      <c r="AR1901" s="48"/>
      <c r="AS1901" s="48"/>
      <c r="AT1901" s="48"/>
      <c r="AU1901" s="48"/>
      <c r="AV1901" s="48"/>
      <c r="AW1901" s="48"/>
      <c r="AX1901" s="48"/>
      <c r="AY1901" s="48"/>
      <c r="AZ1901" s="48"/>
      <c r="BA1901" s="48"/>
      <c r="BB1901" s="48"/>
      <c r="BC1901" s="48"/>
      <c r="BD1901" s="48"/>
    </row>
    <row r="1902" spans="1:56">
      <c r="A1902" s="48"/>
      <c r="B1902" s="48"/>
      <c r="C1902" s="49"/>
      <c r="D1902" s="48"/>
      <c r="E1902" s="48"/>
      <c r="F1902" s="48"/>
      <c r="G1902" s="48"/>
      <c r="H1902" s="48"/>
      <c r="I1902" s="48"/>
      <c r="J1902" s="86"/>
      <c r="K1902" s="86"/>
      <c r="L1902" s="86"/>
      <c r="M1902" s="86"/>
      <c r="N1902" s="86"/>
      <c r="O1902" s="86"/>
      <c r="P1902" s="86"/>
      <c r="Q1902" s="86"/>
      <c r="R1902" s="86"/>
      <c r="S1902" s="86"/>
      <c r="T1902" s="86"/>
      <c r="U1902" s="86"/>
      <c r="V1902" s="48"/>
      <c r="W1902" s="48"/>
      <c r="X1902" s="48"/>
      <c r="Y1902" s="48"/>
      <c r="Z1902" s="48"/>
      <c r="AA1902" s="48"/>
      <c r="AB1902" s="48"/>
      <c r="AC1902" s="48"/>
      <c r="AD1902" s="48"/>
      <c r="AE1902" s="48"/>
      <c r="AF1902" s="48"/>
      <c r="AG1902" s="48"/>
      <c r="AH1902" s="48"/>
      <c r="AI1902" s="48"/>
      <c r="AJ1902" s="48"/>
      <c r="AK1902" s="48"/>
      <c r="AL1902" s="48"/>
      <c r="AM1902" s="48"/>
      <c r="AN1902" s="48"/>
      <c r="AO1902" s="48"/>
      <c r="AP1902" s="48"/>
      <c r="AQ1902" s="48"/>
      <c r="AR1902" s="48"/>
      <c r="AS1902" s="48"/>
      <c r="AT1902" s="48"/>
      <c r="AU1902" s="48"/>
      <c r="AV1902" s="48"/>
      <c r="AW1902" s="48"/>
      <c r="AX1902" s="48"/>
      <c r="AY1902" s="48"/>
      <c r="AZ1902" s="48"/>
      <c r="BA1902" s="48"/>
      <c r="BB1902" s="48"/>
      <c r="BC1902" s="48"/>
      <c r="BD1902" s="48"/>
    </row>
    <row r="1903" spans="1:56">
      <c r="A1903" s="48"/>
      <c r="B1903" s="48"/>
      <c r="C1903" s="49"/>
      <c r="D1903" s="48"/>
      <c r="E1903" s="48"/>
      <c r="F1903" s="48"/>
      <c r="G1903" s="48"/>
      <c r="H1903" s="48"/>
      <c r="I1903" s="48"/>
      <c r="J1903" s="86"/>
      <c r="K1903" s="86"/>
      <c r="L1903" s="86"/>
      <c r="M1903" s="86"/>
      <c r="N1903" s="86"/>
      <c r="O1903" s="86"/>
      <c r="P1903" s="86"/>
      <c r="Q1903" s="86"/>
      <c r="R1903" s="86"/>
      <c r="S1903" s="86"/>
      <c r="T1903" s="86"/>
      <c r="U1903" s="86"/>
      <c r="V1903" s="48"/>
      <c r="W1903" s="48"/>
      <c r="X1903" s="48"/>
      <c r="Y1903" s="48"/>
      <c r="Z1903" s="48"/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P1903" s="48"/>
      <c r="AQ1903" s="48"/>
      <c r="AR1903" s="48"/>
      <c r="AS1903" s="48"/>
      <c r="AT1903" s="48"/>
      <c r="AU1903" s="48"/>
      <c r="AV1903" s="48"/>
      <c r="AW1903" s="48"/>
      <c r="AX1903" s="48"/>
      <c r="AY1903" s="48"/>
      <c r="AZ1903" s="48"/>
      <c r="BA1903" s="48"/>
      <c r="BB1903" s="48"/>
      <c r="BC1903" s="48"/>
      <c r="BD1903" s="48"/>
    </row>
    <row r="1904" spans="1:56">
      <c r="A1904" s="48"/>
      <c r="B1904" s="48"/>
      <c r="C1904" s="49"/>
      <c r="D1904" s="48"/>
      <c r="E1904" s="48"/>
      <c r="F1904" s="48"/>
      <c r="G1904" s="48"/>
      <c r="H1904" s="48"/>
      <c r="I1904" s="48"/>
      <c r="J1904" s="86"/>
      <c r="K1904" s="86"/>
      <c r="L1904" s="86"/>
      <c r="M1904" s="86"/>
      <c r="N1904" s="86"/>
      <c r="O1904" s="86"/>
      <c r="P1904" s="86"/>
      <c r="Q1904" s="86"/>
      <c r="R1904" s="86"/>
      <c r="S1904" s="86"/>
      <c r="T1904" s="86"/>
      <c r="U1904" s="86"/>
      <c r="V1904" s="48"/>
      <c r="W1904" s="48"/>
      <c r="X1904" s="48"/>
      <c r="Y1904" s="48"/>
      <c r="Z1904" s="48"/>
      <c r="AA1904" s="48"/>
      <c r="AB1904" s="48"/>
      <c r="AC1904" s="48"/>
      <c r="AD1904" s="48"/>
      <c r="AE1904" s="48"/>
      <c r="AF1904" s="48"/>
      <c r="AG1904" s="48"/>
      <c r="AH1904" s="48"/>
      <c r="AI1904" s="48"/>
      <c r="AJ1904" s="48"/>
      <c r="AK1904" s="48"/>
      <c r="AL1904" s="48"/>
      <c r="AM1904" s="48"/>
      <c r="AN1904" s="48"/>
      <c r="AO1904" s="48"/>
      <c r="AP1904" s="48"/>
      <c r="AQ1904" s="48"/>
      <c r="AR1904" s="48"/>
      <c r="AS1904" s="48"/>
      <c r="AT1904" s="48"/>
      <c r="AU1904" s="48"/>
      <c r="AV1904" s="48"/>
      <c r="AW1904" s="48"/>
      <c r="AX1904" s="48"/>
      <c r="AY1904" s="48"/>
      <c r="AZ1904" s="48"/>
      <c r="BA1904" s="48"/>
      <c r="BB1904" s="48"/>
      <c r="BC1904" s="48"/>
      <c r="BD1904" s="48"/>
    </row>
    <row r="1905" spans="1:56">
      <c r="A1905" s="48"/>
      <c r="B1905" s="48"/>
      <c r="C1905" s="49"/>
      <c r="D1905" s="48"/>
      <c r="E1905" s="48"/>
      <c r="F1905" s="48"/>
      <c r="G1905" s="48"/>
      <c r="H1905" s="48"/>
      <c r="I1905" s="48"/>
      <c r="J1905" s="86"/>
      <c r="K1905" s="86"/>
      <c r="L1905" s="86"/>
      <c r="M1905" s="86"/>
      <c r="N1905" s="86"/>
      <c r="O1905" s="86"/>
      <c r="P1905" s="86"/>
      <c r="Q1905" s="86"/>
      <c r="R1905" s="86"/>
      <c r="S1905" s="86"/>
      <c r="T1905" s="86"/>
      <c r="U1905" s="86"/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J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U1905" s="48"/>
      <c r="AV1905" s="48"/>
      <c r="AW1905" s="48"/>
      <c r="AX1905" s="48"/>
      <c r="AY1905" s="48"/>
      <c r="AZ1905" s="48"/>
      <c r="BA1905" s="48"/>
      <c r="BB1905" s="48"/>
      <c r="BC1905" s="48"/>
      <c r="BD1905" s="48"/>
    </row>
    <row r="1906" spans="1:56">
      <c r="A1906" s="48"/>
      <c r="B1906" s="48"/>
      <c r="C1906" s="49"/>
      <c r="D1906" s="48"/>
      <c r="E1906" s="48"/>
      <c r="F1906" s="48"/>
      <c r="G1906" s="48"/>
      <c r="H1906" s="48"/>
      <c r="I1906" s="48"/>
      <c r="J1906" s="86"/>
      <c r="K1906" s="86"/>
      <c r="L1906" s="86"/>
      <c r="M1906" s="86"/>
      <c r="N1906" s="86"/>
      <c r="O1906" s="86"/>
      <c r="P1906" s="86"/>
      <c r="Q1906" s="86"/>
      <c r="R1906" s="86"/>
      <c r="S1906" s="86"/>
      <c r="T1906" s="86"/>
      <c r="U1906" s="86"/>
      <c r="V1906" s="48"/>
      <c r="W1906" s="48"/>
      <c r="X1906" s="48"/>
      <c r="Y1906" s="48"/>
      <c r="Z1906" s="48"/>
      <c r="AA1906" s="48"/>
      <c r="AB1906" s="48"/>
      <c r="AC1906" s="48"/>
      <c r="AD1906" s="48"/>
      <c r="AE1906" s="48"/>
      <c r="AF1906" s="48"/>
      <c r="AG1906" s="48"/>
      <c r="AH1906" s="48"/>
      <c r="AI1906" s="48"/>
      <c r="AJ1906" s="48"/>
      <c r="AK1906" s="48"/>
      <c r="AL1906" s="48"/>
      <c r="AM1906" s="48"/>
      <c r="AN1906" s="48"/>
      <c r="AO1906" s="48"/>
      <c r="AP1906" s="48"/>
      <c r="AQ1906" s="48"/>
      <c r="AR1906" s="48"/>
      <c r="AS1906" s="48"/>
      <c r="AT1906" s="48"/>
      <c r="AU1906" s="48"/>
      <c r="AV1906" s="48"/>
      <c r="AW1906" s="48"/>
      <c r="AX1906" s="48"/>
      <c r="AY1906" s="48"/>
      <c r="AZ1906" s="48"/>
      <c r="BA1906" s="48"/>
      <c r="BB1906" s="48"/>
      <c r="BC1906" s="48"/>
      <c r="BD1906" s="48"/>
    </row>
    <row r="1907" spans="1:56">
      <c r="A1907" s="48"/>
      <c r="B1907" s="48"/>
      <c r="C1907" s="49"/>
      <c r="D1907" s="48"/>
      <c r="E1907" s="48"/>
      <c r="F1907" s="48"/>
      <c r="G1907" s="48"/>
      <c r="H1907" s="48"/>
      <c r="I1907" s="48"/>
      <c r="J1907" s="86"/>
      <c r="K1907" s="86"/>
      <c r="L1907" s="86"/>
      <c r="M1907" s="86"/>
      <c r="N1907" s="86"/>
      <c r="O1907" s="86"/>
      <c r="P1907" s="86"/>
      <c r="Q1907" s="86"/>
      <c r="R1907" s="86"/>
      <c r="S1907" s="86"/>
      <c r="T1907" s="86"/>
      <c r="U1907" s="86"/>
      <c r="V1907" s="48"/>
      <c r="W1907" s="48"/>
      <c r="X1907" s="48"/>
      <c r="Y1907" s="48"/>
      <c r="Z1907" s="48"/>
      <c r="AA1907" s="48"/>
      <c r="AB1907" s="48"/>
      <c r="AC1907" s="48"/>
      <c r="AD1907" s="48"/>
      <c r="AE1907" s="48"/>
      <c r="AF1907" s="48"/>
      <c r="AG1907" s="48"/>
      <c r="AH1907" s="48"/>
      <c r="AI1907" s="48"/>
      <c r="AJ1907" s="48"/>
      <c r="AK1907" s="48"/>
      <c r="AL1907" s="48"/>
      <c r="AM1907" s="48"/>
      <c r="AN1907" s="48"/>
      <c r="AO1907" s="48"/>
      <c r="AP1907" s="48"/>
      <c r="AQ1907" s="48"/>
      <c r="AR1907" s="48"/>
      <c r="AS1907" s="48"/>
      <c r="AT1907" s="48"/>
      <c r="AU1907" s="48"/>
      <c r="AV1907" s="48"/>
      <c r="AW1907" s="48"/>
      <c r="AX1907" s="48"/>
      <c r="AY1907" s="48"/>
      <c r="AZ1907" s="48"/>
      <c r="BA1907" s="48"/>
      <c r="BB1907" s="48"/>
      <c r="BC1907" s="48"/>
      <c r="BD1907" s="48"/>
    </row>
    <row r="1908" spans="1:56">
      <c r="A1908" s="48"/>
      <c r="B1908" s="48"/>
      <c r="C1908" s="49"/>
      <c r="D1908" s="48"/>
      <c r="E1908" s="48"/>
      <c r="F1908" s="48"/>
      <c r="G1908" s="48"/>
      <c r="H1908" s="48"/>
      <c r="I1908" s="48"/>
      <c r="J1908" s="86"/>
      <c r="K1908" s="86"/>
      <c r="L1908" s="86"/>
      <c r="M1908" s="86"/>
      <c r="N1908" s="86"/>
      <c r="O1908" s="86"/>
      <c r="P1908" s="86"/>
      <c r="Q1908" s="86"/>
      <c r="R1908" s="86"/>
      <c r="S1908" s="86"/>
      <c r="T1908" s="86"/>
      <c r="U1908" s="86"/>
      <c r="V1908" s="48"/>
      <c r="W1908" s="48"/>
      <c r="X1908" s="48"/>
      <c r="Y1908" s="48"/>
      <c r="Z1908" s="48"/>
      <c r="AA1908" s="48"/>
      <c r="AB1908" s="48"/>
      <c r="AC1908" s="48"/>
      <c r="AD1908" s="48"/>
      <c r="AE1908" s="48"/>
      <c r="AF1908" s="48"/>
      <c r="AG1908" s="48"/>
      <c r="AH1908" s="48"/>
      <c r="AI1908" s="48"/>
      <c r="AJ1908" s="48"/>
      <c r="AK1908" s="48"/>
      <c r="AL1908" s="48"/>
      <c r="AM1908" s="48"/>
      <c r="AN1908" s="48"/>
      <c r="AO1908" s="48"/>
      <c r="AP1908" s="48"/>
      <c r="AQ1908" s="48"/>
      <c r="AR1908" s="48"/>
      <c r="AS1908" s="48"/>
      <c r="AT1908" s="48"/>
      <c r="AU1908" s="48"/>
      <c r="AV1908" s="48"/>
      <c r="AW1908" s="48"/>
      <c r="AX1908" s="48"/>
      <c r="AY1908" s="48"/>
      <c r="AZ1908" s="48"/>
      <c r="BA1908" s="48"/>
      <c r="BB1908" s="48"/>
      <c r="BC1908" s="48"/>
      <c r="BD1908" s="48"/>
    </row>
    <row r="1909" spans="1:56">
      <c r="A1909" s="48"/>
      <c r="B1909" s="48"/>
      <c r="C1909" s="49"/>
      <c r="D1909" s="48"/>
      <c r="E1909" s="48"/>
      <c r="F1909" s="48"/>
      <c r="G1909" s="48"/>
      <c r="H1909" s="48"/>
      <c r="I1909" s="48"/>
      <c r="J1909" s="86"/>
      <c r="K1909" s="86"/>
      <c r="L1909" s="86"/>
      <c r="M1909" s="86"/>
      <c r="N1909" s="86"/>
      <c r="O1909" s="86"/>
      <c r="P1909" s="86"/>
      <c r="Q1909" s="86"/>
      <c r="R1909" s="86"/>
      <c r="S1909" s="86"/>
      <c r="T1909" s="86"/>
      <c r="U1909" s="86"/>
      <c r="V1909" s="48"/>
      <c r="W1909" s="48"/>
      <c r="X1909" s="48"/>
      <c r="Y1909" s="48"/>
      <c r="Z1909" s="48"/>
      <c r="AA1909" s="48"/>
      <c r="AB1909" s="48"/>
      <c r="AC1909" s="48"/>
      <c r="AD1909" s="48"/>
      <c r="AE1909" s="48"/>
      <c r="AF1909" s="48"/>
      <c r="AG1909" s="48"/>
      <c r="AH1909" s="48"/>
      <c r="AI1909" s="48"/>
      <c r="AJ1909" s="48"/>
      <c r="AK1909" s="48"/>
      <c r="AL1909" s="48"/>
      <c r="AM1909" s="48"/>
      <c r="AN1909" s="48"/>
      <c r="AO1909" s="48"/>
      <c r="AP1909" s="48"/>
      <c r="AQ1909" s="48"/>
      <c r="AR1909" s="48"/>
      <c r="AS1909" s="48"/>
      <c r="AT1909" s="48"/>
      <c r="AU1909" s="48"/>
      <c r="AV1909" s="48"/>
      <c r="AW1909" s="48"/>
      <c r="AX1909" s="48"/>
      <c r="AY1909" s="48"/>
      <c r="AZ1909" s="48"/>
      <c r="BA1909" s="48"/>
      <c r="BB1909" s="48"/>
      <c r="BC1909" s="48"/>
      <c r="BD1909" s="48"/>
    </row>
    <row r="1910" spans="1:56">
      <c r="A1910" s="48"/>
      <c r="B1910" s="48"/>
      <c r="C1910" s="49"/>
      <c r="D1910" s="48"/>
      <c r="E1910" s="48"/>
      <c r="F1910" s="48"/>
      <c r="G1910" s="48"/>
      <c r="H1910" s="48"/>
      <c r="I1910" s="48"/>
      <c r="J1910" s="86"/>
      <c r="K1910" s="86"/>
      <c r="L1910" s="86"/>
      <c r="M1910" s="86"/>
      <c r="N1910" s="86"/>
      <c r="O1910" s="86"/>
      <c r="P1910" s="86"/>
      <c r="Q1910" s="86"/>
      <c r="R1910" s="86"/>
      <c r="S1910" s="86"/>
      <c r="T1910" s="86"/>
      <c r="U1910" s="86"/>
      <c r="V1910" s="48"/>
      <c r="W1910" s="48"/>
      <c r="X1910" s="48"/>
      <c r="Y1910" s="48"/>
      <c r="Z1910" s="48"/>
      <c r="AA1910" s="48"/>
      <c r="AB1910" s="48"/>
      <c r="AC1910" s="48"/>
      <c r="AD1910" s="48"/>
      <c r="AE1910" s="48"/>
      <c r="AF1910" s="48"/>
      <c r="AG1910" s="48"/>
      <c r="AH1910" s="48"/>
      <c r="AI1910" s="48"/>
      <c r="AJ1910" s="48"/>
      <c r="AK1910" s="48"/>
      <c r="AL1910" s="48"/>
      <c r="AM1910" s="48"/>
      <c r="AN1910" s="48"/>
      <c r="AO1910" s="48"/>
      <c r="AP1910" s="48"/>
      <c r="AQ1910" s="48"/>
      <c r="AR1910" s="48"/>
      <c r="AS1910" s="48"/>
      <c r="AT1910" s="48"/>
      <c r="AU1910" s="48"/>
      <c r="AV1910" s="48"/>
      <c r="AW1910" s="48"/>
      <c r="AX1910" s="48"/>
      <c r="AY1910" s="48"/>
      <c r="AZ1910" s="48"/>
      <c r="BA1910" s="48"/>
      <c r="BB1910" s="48"/>
      <c r="BC1910" s="48"/>
      <c r="BD1910" s="48"/>
    </row>
    <row r="1911" spans="1:56">
      <c r="A1911" s="48"/>
      <c r="B1911" s="48"/>
      <c r="C1911" s="49"/>
      <c r="D1911" s="48"/>
      <c r="E1911" s="48"/>
      <c r="F1911" s="48"/>
      <c r="G1911" s="48"/>
      <c r="H1911" s="48"/>
      <c r="I1911" s="48"/>
      <c r="J1911" s="86"/>
      <c r="K1911" s="86"/>
      <c r="L1911" s="86"/>
      <c r="M1911" s="86"/>
      <c r="N1911" s="86"/>
      <c r="O1911" s="86"/>
      <c r="P1911" s="86"/>
      <c r="Q1911" s="86"/>
      <c r="R1911" s="86"/>
      <c r="S1911" s="86"/>
      <c r="T1911" s="86"/>
      <c r="U1911" s="86"/>
      <c r="V1911" s="48"/>
      <c r="W1911" s="48"/>
      <c r="X1911" s="48"/>
      <c r="Y1911" s="48"/>
      <c r="Z1911" s="48"/>
      <c r="AA1911" s="48"/>
      <c r="AB1911" s="48"/>
      <c r="AC1911" s="48"/>
      <c r="AD1911" s="48"/>
      <c r="AE1911" s="48"/>
      <c r="AF1911" s="48"/>
      <c r="AG1911" s="48"/>
      <c r="AH1911" s="48"/>
      <c r="AI1911" s="48"/>
      <c r="AJ1911" s="48"/>
      <c r="AK1911" s="48"/>
      <c r="AL1911" s="48"/>
      <c r="AM1911" s="48"/>
      <c r="AN1911" s="48"/>
      <c r="AO1911" s="48"/>
      <c r="AP1911" s="48"/>
      <c r="AQ1911" s="48"/>
      <c r="AR1911" s="48"/>
      <c r="AS1911" s="48"/>
      <c r="AT1911" s="48"/>
      <c r="AU1911" s="48"/>
      <c r="AV1911" s="48"/>
      <c r="AW1911" s="48"/>
      <c r="AX1911" s="48"/>
      <c r="AY1911" s="48"/>
      <c r="AZ1911" s="48"/>
      <c r="BA1911" s="48"/>
      <c r="BB1911" s="48"/>
      <c r="BC1911" s="48"/>
      <c r="BD1911" s="48"/>
    </row>
    <row r="1912" spans="1:56">
      <c r="A1912" s="48"/>
      <c r="B1912" s="48"/>
      <c r="C1912" s="49"/>
      <c r="D1912" s="48"/>
      <c r="E1912" s="48"/>
      <c r="F1912" s="48"/>
      <c r="G1912" s="48"/>
      <c r="H1912" s="48"/>
      <c r="I1912" s="48"/>
      <c r="J1912" s="86"/>
      <c r="K1912" s="86"/>
      <c r="L1912" s="86"/>
      <c r="M1912" s="86"/>
      <c r="N1912" s="86"/>
      <c r="O1912" s="86"/>
      <c r="P1912" s="86"/>
      <c r="Q1912" s="86"/>
      <c r="R1912" s="86"/>
      <c r="S1912" s="86"/>
      <c r="T1912" s="86"/>
      <c r="U1912" s="86"/>
      <c r="V1912" s="48"/>
      <c r="W1912" s="48"/>
      <c r="X1912" s="48"/>
      <c r="Y1912" s="48"/>
      <c r="Z1912" s="48"/>
      <c r="AA1912" s="48"/>
      <c r="AB1912" s="48"/>
      <c r="AC1912" s="48"/>
      <c r="AD1912" s="48"/>
      <c r="AE1912" s="48"/>
      <c r="AF1912" s="48"/>
      <c r="AG1912" s="48"/>
      <c r="AH1912" s="48"/>
      <c r="AI1912" s="48"/>
      <c r="AJ1912" s="48"/>
      <c r="AK1912" s="48"/>
      <c r="AL1912" s="48"/>
      <c r="AM1912" s="48"/>
      <c r="AN1912" s="48"/>
      <c r="AO1912" s="48"/>
      <c r="AP1912" s="48"/>
      <c r="AQ1912" s="48"/>
      <c r="AR1912" s="48"/>
      <c r="AS1912" s="48"/>
      <c r="AT1912" s="48"/>
      <c r="AU1912" s="48"/>
      <c r="AV1912" s="48"/>
      <c r="AW1912" s="48"/>
      <c r="AX1912" s="48"/>
      <c r="AY1912" s="48"/>
      <c r="AZ1912" s="48"/>
      <c r="BA1912" s="48"/>
      <c r="BB1912" s="48"/>
      <c r="BC1912" s="48"/>
      <c r="BD1912" s="48"/>
    </row>
    <row r="1913" spans="1:56">
      <c r="A1913" s="48"/>
      <c r="B1913" s="48"/>
      <c r="C1913" s="49"/>
      <c r="D1913" s="48"/>
      <c r="E1913" s="48"/>
      <c r="F1913" s="48"/>
      <c r="G1913" s="48"/>
      <c r="H1913" s="48"/>
      <c r="I1913" s="48"/>
      <c r="J1913" s="86"/>
      <c r="K1913" s="86"/>
      <c r="L1913" s="86"/>
      <c r="M1913" s="86"/>
      <c r="N1913" s="86"/>
      <c r="O1913" s="86"/>
      <c r="P1913" s="86"/>
      <c r="Q1913" s="86"/>
      <c r="R1913" s="86"/>
      <c r="S1913" s="86"/>
      <c r="T1913" s="86"/>
      <c r="U1913" s="86"/>
      <c r="V1913" s="48"/>
      <c r="W1913" s="48"/>
      <c r="X1913" s="48"/>
      <c r="Y1913" s="48"/>
      <c r="Z1913" s="48"/>
      <c r="AA1913" s="48"/>
      <c r="AB1913" s="48"/>
      <c r="AC1913" s="48"/>
      <c r="AD1913" s="48"/>
      <c r="AE1913" s="48"/>
      <c r="AF1913" s="48"/>
      <c r="AG1913" s="48"/>
      <c r="AH1913" s="48"/>
      <c r="AI1913" s="48"/>
      <c r="AJ1913" s="48"/>
      <c r="AK1913" s="48"/>
      <c r="AL1913" s="48"/>
      <c r="AM1913" s="48"/>
      <c r="AN1913" s="48"/>
      <c r="AO1913" s="48"/>
      <c r="AP1913" s="48"/>
      <c r="AQ1913" s="48"/>
      <c r="AR1913" s="48"/>
      <c r="AS1913" s="48"/>
      <c r="AT1913" s="48"/>
      <c r="AU1913" s="48"/>
      <c r="AV1913" s="48"/>
      <c r="AW1913" s="48"/>
      <c r="AX1913" s="48"/>
      <c r="AY1913" s="48"/>
      <c r="AZ1913" s="48"/>
      <c r="BA1913" s="48"/>
      <c r="BB1913" s="48"/>
      <c r="BC1913" s="48"/>
      <c r="BD1913" s="48"/>
    </row>
    <row r="1914" spans="1:56">
      <c r="A1914" s="48"/>
      <c r="B1914" s="48"/>
      <c r="C1914" s="49"/>
      <c r="D1914" s="48"/>
      <c r="E1914" s="48"/>
      <c r="F1914" s="48"/>
      <c r="G1914" s="48"/>
      <c r="H1914" s="48"/>
      <c r="I1914" s="48"/>
      <c r="J1914" s="86"/>
      <c r="K1914" s="86"/>
      <c r="L1914" s="86"/>
      <c r="M1914" s="86"/>
      <c r="N1914" s="86"/>
      <c r="O1914" s="86"/>
      <c r="P1914" s="86"/>
      <c r="Q1914" s="86"/>
      <c r="R1914" s="86"/>
      <c r="S1914" s="86"/>
      <c r="T1914" s="86"/>
      <c r="U1914" s="86"/>
      <c r="V1914" s="48"/>
      <c r="W1914" s="48"/>
      <c r="X1914" s="48"/>
      <c r="Y1914" s="48"/>
      <c r="Z1914" s="48"/>
      <c r="AA1914" s="48"/>
      <c r="AB1914" s="48"/>
      <c r="AC1914" s="48"/>
      <c r="AD1914" s="48"/>
      <c r="AE1914" s="48"/>
      <c r="AF1914" s="48"/>
      <c r="AG1914" s="48"/>
      <c r="AH1914" s="48"/>
      <c r="AI1914" s="48"/>
      <c r="AJ1914" s="48"/>
      <c r="AK1914" s="48"/>
      <c r="AL1914" s="48"/>
      <c r="AM1914" s="48"/>
      <c r="AN1914" s="48"/>
      <c r="AO1914" s="48"/>
      <c r="AP1914" s="48"/>
      <c r="AQ1914" s="48"/>
      <c r="AR1914" s="48"/>
      <c r="AS1914" s="48"/>
      <c r="AT1914" s="48"/>
      <c r="AU1914" s="48"/>
      <c r="AV1914" s="48"/>
      <c r="AW1914" s="48"/>
      <c r="AX1914" s="48"/>
      <c r="AY1914" s="48"/>
      <c r="AZ1914" s="48"/>
      <c r="BA1914" s="48"/>
      <c r="BB1914" s="48"/>
      <c r="BC1914" s="48"/>
      <c r="BD1914" s="48"/>
    </row>
    <row r="1915" spans="1:56">
      <c r="A1915" s="48"/>
      <c r="B1915" s="48"/>
      <c r="C1915" s="49"/>
      <c r="D1915" s="48"/>
      <c r="E1915" s="48"/>
      <c r="F1915" s="48"/>
      <c r="G1915" s="48"/>
      <c r="H1915" s="48"/>
      <c r="I1915" s="48"/>
      <c r="J1915" s="86"/>
      <c r="K1915" s="86"/>
      <c r="L1915" s="86"/>
      <c r="M1915" s="86"/>
      <c r="N1915" s="86"/>
      <c r="O1915" s="86"/>
      <c r="P1915" s="86"/>
      <c r="Q1915" s="86"/>
      <c r="R1915" s="86"/>
      <c r="S1915" s="86"/>
      <c r="T1915" s="86"/>
      <c r="U1915" s="86"/>
      <c r="V1915" s="48"/>
      <c r="W1915" s="48"/>
      <c r="X1915" s="48"/>
      <c r="Y1915" s="48"/>
      <c r="Z1915" s="48"/>
      <c r="AA1915" s="48"/>
      <c r="AB1915" s="48"/>
      <c r="AC1915" s="48"/>
      <c r="AD1915" s="48"/>
      <c r="AE1915" s="48"/>
      <c r="AF1915" s="48"/>
      <c r="AG1915" s="48"/>
      <c r="AH1915" s="48"/>
      <c r="AI1915" s="48"/>
      <c r="AJ1915" s="48"/>
      <c r="AK1915" s="48"/>
      <c r="AL1915" s="48"/>
      <c r="AM1915" s="48"/>
      <c r="AN1915" s="48"/>
      <c r="AO1915" s="48"/>
      <c r="AP1915" s="48"/>
      <c r="AQ1915" s="48"/>
      <c r="AR1915" s="48"/>
      <c r="AS1915" s="48"/>
      <c r="AT1915" s="48"/>
      <c r="AU1915" s="48"/>
      <c r="AV1915" s="48"/>
      <c r="AW1915" s="48"/>
      <c r="AX1915" s="48"/>
      <c r="AY1915" s="48"/>
      <c r="AZ1915" s="48"/>
      <c r="BA1915" s="48"/>
      <c r="BB1915" s="48"/>
      <c r="BC1915" s="48"/>
      <c r="BD1915" s="48"/>
    </row>
    <row r="1916" spans="1:56">
      <c r="A1916" s="48"/>
      <c r="B1916" s="48"/>
      <c r="C1916" s="49"/>
      <c r="D1916" s="48"/>
      <c r="E1916" s="48"/>
      <c r="F1916" s="48"/>
      <c r="G1916" s="48"/>
      <c r="H1916" s="48"/>
      <c r="I1916" s="48"/>
      <c r="J1916" s="86"/>
      <c r="K1916" s="86"/>
      <c r="L1916" s="86"/>
      <c r="M1916" s="86"/>
      <c r="N1916" s="86"/>
      <c r="O1916" s="86"/>
      <c r="P1916" s="86"/>
      <c r="Q1916" s="86"/>
      <c r="R1916" s="86"/>
      <c r="S1916" s="86"/>
      <c r="T1916" s="86"/>
      <c r="U1916" s="86"/>
      <c r="V1916" s="48"/>
      <c r="W1916" s="48"/>
      <c r="X1916" s="48"/>
      <c r="Y1916" s="48"/>
      <c r="Z1916" s="48"/>
      <c r="AA1916" s="48"/>
      <c r="AB1916" s="48"/>
      <c r="AC1916" s="48"/>
      <c r="AD1916" s="48"/>
      <c r="AE1916" s="48"/>
      <c r="AF1916" s="48"/>
      <c r="AG1916" s="48"/>
      <c r="AH1916" s="48"/>
      <c r="AI1916" s="48"/>
      <c r="AJ1916" s="48"/>
      <c r="AK1916" s="48"/>
      <c r="AL1916" s="48"/>
      <c r="AM1916" s="48"/>
      <c r="AN1916" s="48"/>
      <c r="AO1916" s="48"/>
      <c r="AP1916" s="48"/>
      <c r="AQ1916" s="48"/>
      <c r="AR1916" s="48"/>
      <c r="AS1916" s="48"/>
      <c r="AT1916" s="48"/>
      <c r="AU1916" s="48"/>
      <c r="AV1916" s="48"/>
      <c r="AW1916" s="48"/>
      <c r="AX1916" s="48"/>
      <c r="AY1916" s="48"/>
      <c r="AZ1916" s="48"/>
      <c r="BA1916" s="48"/>
      <c r="BB1916" s="48"/>
      <c r="BC1916" s="48"/>
      <c r="BD1916" s="48"/>
    </row>
    <row r="1917" spans="1:56">
      <c r="A1917" s="48"/>
      <c r="B1917" s="48"/>
      <c r="C1917" s="49"/>
      <c r="D1917" s="48"/>
      <c r="E1917" s="48"/>
      <c r="F1917" s="48"/>
      <c r="G1917" s="48"/>
      <c r="H1917" s="48"/>
      <c r="I1917" s="48"/>
      <c r="J1917" s="86"/>
      <c r="K1917" s="86"/>
      <c r="L1917" s="86"/>
      <c r="M1917" s="86"/>
      <c r="N1917" s="86"/>
      <c r="O1917" s="86"/>
      <c r="P1917" s="86"/>
      <c r="Q1917" s="86"/>
      <c r="R1917" s="86"/>
      <c r="S1917" s="86"/>
      <c r="T1917" s="86"/>
      <c r="U1917" s="86"/>
      <c r="V1917" s="48"/>
      <c r="W1917" s="48"/>
      <c r="X1917" s="48"/>
      <c r="Y1917" s="48"/>
      <c r="Z1917" s="48"/>
      <c r="AA1917" s="48"/>
      <c r="AB1917" s="48"/>
      <c r="AC1917" s="48"/>
      <c r="AD1917" s="48"/>
      <c r="AE1917" s="48"/>
      <c r="AF1917" s="48"/>
      <c r="AG1917" s="48"/>
      <c r="AH1917" s="48"/>
      <c r="AI1917" s="48"/>
      <c r="AJ1917" s="48"/>
      <c r="AK1917" s="48"/>
      <c r="AL1917" s="48"/>
      <c r="AM1917" s="48"/>
      <c r="AN1917" s="48"/>
      <c r="AO1917" s="48"/>
      <c r="AP1917" s="48"/>
      <c r="AQ1917" s="48"/>
      <c r="AR1917" s="48"/>
      <c r="AS1917" s="48"/>
      <c r="AT1917" s="48"/>
      <c r="AU1917" s="48"/>
      <c r="AV1917" s="48"/>
      <c r="AW1917" s="48"/>
      <c r="AX1917" s="48"/>
      <c r="AY1917" s="48"/>
      <c r="AZ1917" s="48"/>
      <c r="BA1917" s="48"/>
      <c r="BB1917" s="48"/>
      <c r="BC1917" s="48"/>
      <c r="BD1917" s="48"/>
    </row>
    <row r="1918" spans="1:56">
      <c r="A1918" s="48"/>
      <c r="B1918" s="48"/>
      <c r="C1918" s="49"/>
      <c r="D1918" s="48"/>
      <c r="E1918" s="48"/>
      <c r="F1918" s="48"/>
      <c r="G1918" s="48"/>
      <c r="H1918" s="48"/>
      <c r="I1918" s="48"/>
      <c r="J1918" s="86"/>
      <c r="K1918" s="86"/>
      <c r="L1918" s="86"/>
      <c r="M1918" s="86"/>
      <c r="N1918" s="86"/>
      <c r="O1918" s="86"/>
      <c r="P1918" s="86"/>
      <c r="Q1918" s="86"/>
      <c r="R1918" s="86"/>
      <c r="S1918" s="86"/>
      <c r="T1918" s="86"/>
      <c r="U1918" s="86"/>
      <c r="V1918" s="48"/>
      <c r="W1918" s="48"/>
      <c r="X1918" s="48"/>
      <c r="Y1918" s="48"/>
      <c r="Z1918" s="48"/>
      <c r="AA1918" s="48"/>
      <c r="AB1918" s="48"/>
      <c r="AC1918" s="48"/>
      <c r="AD1918" s="48"/>
      <c r="AE1918" s="48"/>
      <c r="AF1918" s="48"/>
      <c r="AG1918" s="48"/>
      <c r="AH1918" s="48"/>
      <c r="AI1918" s="48"/>
      <c r="AJ1918" s="48"/>
      <c r="AK1918" s="48"/>
      <c r="AL1918" s="48"/>
      <c r="AM1918" s="48"/>
      <c r="AN1918" s="48"/>
      <c r="AO1918" s="48"/>
      <c r="AP1918" s="48"/>
      <c r="AQ1918" s="48"/>
      <c r="AR1918" s="48"/>
      <c r="AS1918" s="48"/>
      <c r="AT1918" s="48"/>
      <c r="AU1918" s="48"/>
      <c r="AV1918" s="48"/>
      <c r="AW1918" s="48"/>
      <c r="AX1918" s="48"/>
      <c r="AY1918" s="48"/>
      <c r="AZ1918" s="48"/>
      <c r="BA1918" s="48"/>
      <c r="BB1918" s="48"/>
      <c r="BC1918" s="48"/>
      <c r="BD1918" s="48"/>
    </row>
    <row r="1919" spans="1:56">
      <c r="A1919" s="48"/>
      <c r="B1919" s="48"/>
      <c r="C1919" s="49"/>
      <c r="D1919" s="48"/>
      <c r="E1919" s="48"/>
      <c r="F1919" s="48"/>
      <c r="G1919" s="48"/>
      <c r="H1919" s="48"/>
      <c r="I1919" s="48"/>
      <c r="J1919" s="86"/>
      <c r="K1919" s="86"/>
      <c r="L1919" s="86"/>
      <c r="M1919" s="86"/>
      <c r="N1919" s="86"/>
      <c r="O1919" s="86"/>
      <c r="P1919" s="86"/>
      <c r="Q1919" s="86"/>
      <c r="R1919" s="86"/>
      <c r="S1919" s="86"/>
      <c r="T1919" s="86"/>
      <c r="U1919" s="86"/>
      <c r="V1919" s="48"/>
      <c r="W1919" s="48"/>
      <c r="X1919" s="48"/>
      <c r="Y1919" s="48"/>
      <c r="Z1919" s="48"/>
      <c r="AA1919" s="48"/>
      <c r="AB1919" s="48"/>
      <c r="AC1919" s="48"/>
      <c r="AD1919" s="48"/>
      <c r="AE1919" s="48"/>
      <c r="AF1919" s="48"/>
      <c r="AG1919" s="48"/>
      <c r="AH1919" s="48"/>
      <c r="AI1919" s="48"/>
      <c r="AJ1919" s="48"/>
      <c r="AK1919" s="48"/>
      <c r="AL1919" s="48"/>
      <c r="AM1919" s="48"/>
      <c r="AN1919" s="48"/>
      <c r="AO1919" s="48"/>
      <c r="AP1919" s="48"/>
      <c r="AQ1919" s="48"/>
      <c r="AR1919" s="48"/>
      <c r="AS1919" s="48"/>
      <c r="AT1919" s="48"/>
      <c r="AU1919" s="48"/>
      <c r="AV1919" s="48"/>
      <c r="AW1919" s="48"/>
      <c r="AX1919" s="48"/>
      <c r="AY1919" s="48"/>
      <c r="AZ1919" s="48"/>
      <c r="BA1919" s="48"/>
      <c r="BB1919" s="48"/>
      <c r="BC1919" s="48"/>
      <c r="BD1919" s="48"/>
    </row>
    <row r="1920" spans="1:56">
      <c r="A1920" s="48"/>
      <c r="B1920" s="48"/>
      <c r="C1920" s="49"/>
      <c r="D1920" s="48"/>
      <c r="E1920" s="48"/>
      <c r="F1920" s="48"/>
      <c r="G1920" s="48"/>
      <c r="H1920" s="48"/>
      <c r="I1920" s="48"/>
      <c r="J1920" s="86"/>
      <c r="K1920" s="86"/>
      <c r="L1920" s="86"/>
      <c r="M1920" s="86"/>
      <c r="N1920" s="86"/>
      <c r="O1920" s="86"/>
      <c r="P1920" s="86"/>
      <c r="Q1920" s="86"/>
      <c r="R1920" s="86"/>
      <c r="S1920" s="86"/>
      <c r="T1920" s="86"/>
      <c r="U1920" s="86"/>
      <c r="V1920" s="48"/>
      <c r="W1920" s="48"/>
      <c r="X1920" s="48"/>
      <c r="Y1920" s="48"/>
      <c r="Z1920" s="48"/>
      <c r="AA1920" s="48"/>
      <c r="AB1920" s="48"/>
      <c r="AC1920" s="48"/>
      <c r="AD1920" s="48"/>
      <c r="AE1920" s="48"/>
      <c r="AF1920" s="48"/>
      <c r="AG1920" s="48"/>
      <c r="AH1920" s="48"/>
      <c r="AI1920" s="48"/>
      <c r="AJ1920" s="48"/>
      <c r="AK1920" s="48"/>
      <c r="AL1920" s="48"/>
      <c r="AM1920" s="48"/>
      <c r="AN1920" s="48"/>
      <c r="AO1920" s="48"/>
      <c r="AP1920" s="48"/>
      <c r="AQ1920" s="48"/>
      <c r="AR1920" s="48"/>
      <c r="AS1920" s="48"/>
      <c r="AT1920" s="48"/>
      <c r="AU1920" s="48"/>
      <c r="AV1920" s="48"/>
      <c r="AW1920" s="48"/>
      <c r="AX1920" s="48"/>
      <c r="AY1920" s="48"/>
      <c r="AZ1920" s="48"/>
      <c r="BA1920" s="48"/>
      <c r="BB1920" s="48"/>
      <c r="BC1920" s="48"/>
      <c r="BD1920" s="48"/>
    </row>
    <row r="1921" spans="1:56">
      <c r="A1921" s="48"/>
      <c r="B1921" s="48"/>
      <c r="C1921" s="49"/>
      <c r="D1921" s="48"/>
      <c r="E1921" s="48"/>
      <c r="F1921" s="48"/>
      <c r="G1921" s="48"/>
      <c r="H1921" s="48"/>
      <c r="I1921" s="48"/>
      <c r="J1921" s="86"/>
      <c r="K1921" s="86"/>
      <c r="L1921" s="86"/>
      <c r="M1921" s="86"/>
      <c r="N1921" s="86"/>
      <c r="O1921" s="86"/>
      <c r="P1921" s="86"/>
      <c r="Q1921" s="86"/>
      <c r="R1921" s="86"/>
      <c r="S1921" s="86"/>
      <c r="T1921" s="86"/>
      <c r="U1921" s="86"/>
      <c r="V1921" s="48"/>
      <c r="W1921" s="48"/>
      <c r="X1921" s="48"/>
      <c r="Y1921" s="48"/>
      <c r="Z1921" s="48"/>
      <c r="AA1921" s="48"/>
      <c r="AB1921" s="48"/>
      <c r="AC1921" s="48"/>
      <c r="AD1921" s="48"/>
      <c r="AE1921" s="48"/>
      <c r="AF1921" s="48"/>
      <c r="AG1921" s="48"/>
      <c r="AH1921" s="48"/>
      <c r="AI1921" s="48"/>
      <c r="AJ1921" s="48"/>
      <c r="AK1921" s="48"/>
      <c r="AL1921" s="48"/>
      <c r="AM1921" s="48"/>
      <c r="AN1921" s="48"/>
      <c r="AO1921" s="48"/>
      <c r="AP1921" s="48"/>
      <c r="AQ1921" s="48"/>
      <c r="AR1921" s="48"/>
      <c r="AS1921" s="48"/>
      <c r="AT1921" s="48"/>
      <c r="AU1921" s="48"/>
      <c r="AV1921" s="48"/>
      <c r="AW1921" s="48"/>
      <c r="AX1921" s="48"/>
      <c r="AY1921" s="48"/>
      <c r="AZ1921" s="48"/>
      <c r="BA1921" s="48"/>
      <c r="BB1921" s="48"/>
      <c r="BC1921" s="48"/>
      <c r="BD1921" s="48"/>
    </row>
    <row r="1922" spans="1:56">
      <c r="A1922" s="48"/>
      <c r="B1922" s="48"/>
      <c r="C1922" s="49"/>
      <c r="D1922" s="48"/>
      <c r="E1922" s="48"/>
      <c r="F1922" s="48"/>
      <c r="G1922" s="48"/>
      <c r="H1922" s="48"/>
      <c r="I1922" s="48"/>
      <c r="J1922" s="86"/>
      <c r="K1922" s="86"/>
      <c r="L1922" s="86"/>
      <c r="M1922" s="86"/>
      <c r="N1922" s="86"/>
      <c r="O1922" s="86"/>
      <c r="P1922" s="86"/>
      <c r="Q1922" s="86"/>
      <c r="R1922" s="86"/>
      <c r="S1922" s="86"/>
      <c r="T1922" s="86"/>
      <c r="U1922" s="86"/>
      <c r="V1922" s="48"/>
      <c r="W1922" s="48"/>
      <c r="X1922" s="48"/>
      <c r="Y1922" s="48"/>
      <c r="Z1922" s="48"/>
      <c r="AA1922" s="48"/>
      <c r="AB1922" s="48"/>
      <c r="AC1922" s="48"/>
      <c r="AD1922" s="48"/>
      <c r="AE1922" s="48"/>
      <c r="AF1922" s="48"/>
      <c r="AG1922" s="48"/>
      <c r="AH1922" s="48"/>
      <c r="AI1922" s="48"/>
      <c r="AJ1922" s="48"/>
      <c r="AK1922" s="48"/>
      <c r="AL1922" s="48"/>
      <c r="AM1922" s="48"/>
      <c r="AN1922" s="48"/>
      <c r="AO1922" s="48"/>
      <c r="AP1922" s="48"/>
      <c r="AQ1922" s="48"/>
      <c r="AR1922" s="48"/>
      <c r="AS1922" s="48"/>
      <c r="AT1922" s="48"/>
      <c r="AU1922" s="48"/>
      <c r="AV1922" s="48"/>
      <c r="AW1922" s="48"/>
      <c r="AX1922" s="48"/>
      <c r="AY1922" s="48"/>
      <c r="AZ1922" s="48"/>
      <c r="BA1922" s="48"/>
      <c r="BB1922" s="48"/>
      <c r="BC1922" s="48"/>
      <c r="BD1922" s="48"/>
    </row>
    <row r="1923" spans="1:56">
      <c r="A1923" s="48"/>
      <c r="B1923" s="48"/>
      <c r="C1923" s="49"/>
      <c r="D1923" s="48"/>
      <c r="E1923" s="48"/>
      <c r="F1923" s="48"/>
      <c r="G1923" s="48"/>
      <c r="H1923" s="48"/>
      <c r="I1923" s="48"/>
      <c r="J1923" s="86"/>
      <c r="K1923" s="86"/>
      <c r="L1923" s="86"/>
      <c r="M1923" s="86"/>
      <c r="N1923" s="86"/>
      <c r="O1923" s="86"/>
      <c r="P1923" s="86"/>
      <c r="Q1923" s="86"/>
      <c r="R1923" s="86"/>
      <c r="S1923" s="86"/>
      <c r="T1923" s="86"/>
      <c r="U1923" s="86"/>
      <c r="V1923" s="48"/>
      <c r="W1923" s="48"/>
      <c r="X1923" s="48"/>
      <c r="Y1923" s="48"/>
      <c r="Z1923" s="48"/>
      <c r="AA1923" s="48"/>
      <c r="AB1923" s="48"/>
      <c r="AC1923" s="48"/>
      <c r="AD1923" s="48"/>
      <c r="AE1923" s="48"/>
      <c r="AF1923" s="48"/>
      <c r="AG1923" s="48"/>
      <c r="AH1923" s="48"/>
      <c r="AI1923" s="48"/>
      <c r="AJ1923" s="48"/>
      <c r="AK1923" s="48"/>
      <c r="AL1923" s="48"/>
      <c r="AM1923" s="48"/>
      <c r="AN1923" s="48"/>
      <c r="AO1923" s="48"/>
      <c r="AP1923" s="48"/>
      <c r="AQ1923" s="48"/>
      <c r="AR1923" s="48"/>
      <c r="AS1923" s="48"/>
      <c r="AT1923" s="48"/>
      <c r="AU1923" s="48"/>
      <c r="AV1923" s="48"/>
      <c r="AW1923" s="48"/>
      <c r="AX1923" s="48"/>
      <c r="AY1923" s="48"/>
      <c r="AZ1923" s="48"/>
      <c r="BA1923" s="48"/>
      <c r="BB1923" s="48"/>
      <c r="BC1923" s="48"/>
      <c r="BD1923" s="48"/>
    </row>
    <row r="1924" spans="1:56">
      <c r="A1924" s="48"/>
      <c r="B1924" s="48"/>
      <c r="C1924" s="49"/>
      <c r="D1924" s="48"/>
      <c r="E1924" s="48"/>
      <c r="F1924" s="48"/>
      <c r="G1924" s="48"/>
      <c r="H1924" s="48"/>
      <c r="I1924" s="48"/>
      <c r="J1924" s="86"/>
      <c r="K1924" s="86"/>
      <c r="L1924" s="86"/>
      <c r="M1924" s="86"/>
      <c r="N1924" s="86"/>
      <c r="O1924" s="86"/>
      <c r="P1924" s="86"/>
      <c r="Q1924" s="86"/>
      <c r="R1924" s="86"/>
      <c r="S1924" s="86"/>
      <c r="T1924" s="86"/>
      <c r="U1924" s="86"/>
      <c r="V1924" s="48"/>
      <c r="W1924" s="48"/>
      <c r="X1924" s="48"/>
      <c r="Y1924" s="48"/>
      <c r="Z1924" s="48"/>
      <c r="AA1924" s="48"/>
      <c r="AB1924" s="48"/>
      <c r="AC1924" s="48"/>
      <c r="AD1924" s="48"/>
      <c r="AE1924" s="48"/>
      <c r="AF1924" s="48"/>
      <c r="AG1924" s="48"/>
      <c r="AH1924" s="48"/>
      <c r="AI1924" s="48"/>
      <c r="AJ1924" s="48"/>
      <c r="AK1924" s="48"/>
      <c r="AL1924" s="48"/>
      <c r="AM1924" s="48"/>
      <c r="AN1924" s="48"/>
      <c r="AO1924" s="48"/>
      <c r="AP1924" s="48"/>
      <c r="AQ1924" s="48"/>
      <c r="AR1924" s="48"/>
      <c r="AS1924" s="48"/>
      <c r="AT1924" s="48"/>
      <c r="AU1924" s="48"/>
      <c r="AV1924" s="48"/>
      <c r="AW1924" s="48"/>
      <c r="AX1924" s="48"/>
      <c r="AY1924" s="48"/>
      <c r="AZ1924" s="48"/>
      <c r="BA1924" s="48"/>
      <c r="BB1924" s="48"/>
      <c r="BC1924" s="48"/>
      <c r="BD1924" s="48"/>
    </row>
    <row r="1925" spans="1:56">
      <c r="A1925" s="48"/>
      <c r="B1925" s="48"/>
      <c r="C1925" s="49"/>
      <c r="D1925" s="48"/>
      <c r="E1925" s="48"/>
      <c r="F1925" s="48"/>
      <c r="G1925" s="48"/>
      <c r="H1925" s="48"/>
      <c r="I1925" s="48"/>
      <c r="J1925" s="86"/>
      <c r="K1925" s="86"/>
      <c r="L1925" s="86"/>
      <c r="M1925" s="86"/>
      <c r="N1925" s="86"/>
      <c r="O1925" s="86"/>
      <c r="P1925" s="86"/>
      <c r="Q1925" s="86"/>
      <c r="R1925" s="86"/>
      <c r="S1925" s="86"/>
      <c r="T1925" s="86"/>
      <c r="U1925" s="86"/>
      <c r="V1925" s="48"/>
      <c r="W1925" s="48"/>
      <c r="X1925" s="48"/>
      <c r="Y1925" s="48"/>
      <c r="Z1925" s="48"/>
      <c r="AA1925" s="48"/>
      <c r="AB1925" s="48"/>
      <c r="AC1925" s="48"/>
      <c r="AD1925" s="48"/>
      <c r="AE1925" s="48"/>
      <c r="AF1925" s="48"/>
      <c r="AG1925" s="48"/>
      <c r="AH1925" s="48"/>
      <c r="AI1925" s="48"/>
      <c r="AJ1925" s="48"/>
      <c r="AK1925" s="48"/>
      <c r="AL1925" s="48"/>
      <c r="AM1925" s="48"/>
      <c r="AN1925" s="48"/>
      <c r="AO1925" s="48"/>
      <c r="AP1925" s="48"/>
      <c r="AQ1925" s="48"/>
      <c r="AR1925" s="48"/>
      <c r="AS1925" s="48"/>
      <c r="AT1925" s="48"/>
      <c r="AU1925" s="48"/>
      <c r="AV1925" s="48"/>
      <c r="AW1925" s="48"/>
      <c r="AX1925" s="48"/>
      <c r="AY1925" s="48"/>
      <c r="AZ1925" s="48"/>
      <c r="BA1925" s="48"/>
      <c r="BB1925" s="48"/>
      <c r="BC1925" s="48"/>
      <c r="BD1925" s="48"/>
    </row>
    <row r="1926" spans="1:56">
      <c r="A1926" s="48"/>
      <c r="B1926" s="48"/>
      <c r="C1926" s="49"/>
      <c r="D1926" s="48"/>
      <c r="E1926" s="48"/>
      <c r="F1926" s="48"/>
      <c r="G1926" s="48"/>
      <c r="H1926" s="48"/>
      <c r="I1926" s="48"/>
      <c r="J1926" s="86"/>
      <c r="K1926" s="86"/>
      <c r="L1926" s="86"/>
      <c r="M1926" s="86"/>
      <c r="N1926" s="86"/>
      <c r="O1926" s="86"/>
      <c r="P1926" s="86"/>
      <c r="Q1926" s="86"/>
      <c r="R1926" s="86"/>
      <c r="S1926" s="86"/>
      <c r="T1926" s="86"/>
      <c r="U1926" s="86"/>
      <c r="V1926" s="48"/>
      <c r="W1926" s="48"/>
      <c r="X1926" s="48"/>
      <c r="Y1926" s="48"/>
      <c r="Z1926" s="48"/>
      <c r="AA1926" s="48"/>
      <c r="AB1926" s="48"/>
      <c r="AC1926" s="48"/>
      <c r="AD1926" s="48"/>
      <c r="AE1926" s="48"/>
      <c r="AF1926" s="48"/>
      <c r="AG1926" s="48"/>
      <c r="AH1926" s="48"/>
      <c r="AI1926" s="48"/>
      <c r="AJ1926" s="48"/>
      <c r="AK1926" s="48"/>
      <c r="AL1926" s="48"/>
      <c r="AM1926" s="48"/>
      <c r="AN1926" s="48"/>
      <c r="AO1926" s="48"/>
      <c r="AP1926" s="48"/>
      <c r="AQ1926" s="48"/>
      <c r="AR1926" s="48"/>
      <c r="AS1926" s="48"/>
      <c r="AT1926" s="48"/>
      <c r="AU1926" s="48"/>
      <c r="AV1926" s="48"/>
      <c r="AW1926" s="48"/>
      <c r="AX1926" s="48"/>
      <c r="AY1926" s="48"/>
      <c r="AZ1926" s="48"/>
      <c r="BA1926" s="48"/>
      <c r="BB1926" s="48"/>
      <c r="BC1926" s="48"/>
      <c r="BD1926" s="48"/>
    </row>
    <row r="1927" spans="1:56">
      <c r="A1927" s="48"/>
      <c r="B1927" s="48"/>
      <c r="C1927" s="49"/>
      <c r="D1927" s="48"/>
      <c r="E1927" s="48"/>
      <c r="F1927" s="48"/>
      <c r="G1927" s="48"/>
      <c r="H1927" s="48"/>
      <c r="I1927" s="48"/>
      <c r="J1927" s="86"/>
      <c r="K1927" s="86"/>
      <c r="L1927" s="86"/>
      <c r="M1927" s="86"/>
      <c r="N1927" s="86"/>
      <c r="O1927" s="86"/>
      <c r="P1927" s="86"/>
      <c r="Q1927" s="86"/>
      <c r="R1927" s="86"/>
      <c r="S1927" s="86"/>
      <c r="T1927" s="86"/>
      <c r="U1927" s="86"/>
      <c r="V1927" s="48"/>
      <c r="W1927" s="48"/>
      <c r="X1927" s="48"/>
      <c r="Y1927" s="48"/>
      <c r="Z1927" s="48"/>
      <c r="AA1927" s="48"/>
      <c r="AB1927" s="48"/>
      <c r="AC1927" s="48"/>
      <c r="AD1927" s="48"/>
      <c r="AE1927" s="48"/>
      <c r="AF1927" s="48"/>
      <c r="AG1927" s="48"/>
      <c r="AH1927" s="48"/>
      <c r="AI1927" s="48"/>
      <c r="AJ1927" s="48"/>
      <c r="AK1927" s="48"/>
      <c r="AL1927" s="48"/>
      <c r="AM1927" s="48"/>
      <c r="AN1927" s="48"/>
      <c r="AO1927" s="48"/>
      <c r="AP1927" s="48"/>
      <c r="AQ1927" s="48"/>
      <c r="AR1927" s="48"/>
      <c r="AS1927" s="48"/>
      <c r="AT1927" s="48"/>
      <c r="AU1927" s="48"/>
      <c r="AV1927" s="48"/>
      <c r="AW1927" s="48"/>
      <c r="AX1927" s="48"/>
      <c r="AY1927" s="48"/>
      <c r="AZ1927" s="48"/>
      <c r="BA1927" s="48"/>
      <c r="BB1927" s="48"/>
      <c r="BC1927" s="48"/>
      <c r="BD1927" s="48"/>
    </row>
    <row r="1928" spans="1:56">
      <c r="A1928" s="48"/>
      <c r="B1928" s="48"/>
      <c r="C1928" s="49"/>
      <c r="D1928" s="48"/>
      <c r="E1928" s="48"/>
      <c r="F1928" s="48"/>
      <c r="G1928" s="48"/>
      <c r="H1928" s="48"/>
      <c r="I1928" s="48"/>
      <c r="J1928" s="86"/>
      <c r="K1928" s="86"/>
      <c r="L1928" s="86"/>
      <c r="M1928" s="86"/>
      <c r="N1928" s="86"/>
      <c r="O1928" s="86"/>
      <c r="P1928" s="86"/>
      <c r="Q1928" s="86"/>
      <c r="R1928" s="86"/>
      <c r="S1928" s="86"/>
      <c r="T1928" s="86"/>
      <c r="U1928" s="86"/>
      <c r="V1928" s="48"/>
      <c r="W1928" s="48"/>
      <c r="X1928" s="48"/>
      <c r="Y1928" s="48"/>
      <c r="Z1928" s="48"/>
      <c r="AA1928" s="48"/>
      <c r="AB1928" s="48"/>
      <c r="AC1928" s="48"/>
      <c r="AD1928" s="48"/>
      <c r="AE1928" s="48"/>
      <c r="AF1928" s="48"/>
      <c r="AG1928" s="48"/>
      <c r="AH1928" s="48"/>
      <c r="AI1928" s="48"/>
      <c r="AJ1928" s="48"/>
      <c r="AK1928" s="48"/>
      <c r="AL1928" s="48"/>
      <c r="AM1928" s="48"/>
      <c r="AN1928" s="48"/>
      <c r="AO1928" s="48"/>
      <c r="AP1928" s="48"/>
      <c r="AQ1928" s="48"/>
      <c r="AR1928" s="48"/>
      <c r="AS1928" s="48"/>
      <c r="AT1928" s="48"/>
      <c r="AU1928" s="48"/>
      <c r="AV1928" s="48"/>
      <c r="AW1928" s="48"/>
      <c r="AX1928" s="48"/>
      <c r="AY1928" s="48"/>
      <c r="AZ1928" s="48"/>
      <c r="BA1928" s="48"/>
      <c r="BB1928" s="48"/>
      <c r="BC1928" s="48"/>
      <c r="BD1928" s="48"/>
    </row>
    <row r="1929" spans="1:56">
      <c r="A1929" s="48"/>
      <c r="B1929" s="48"/>
      <c r="C1929" s="49"/>
      <c r="D1929" s="48"/>
      <c r="E1929" s="48"/>
      <c r="F1929" s="48"/>
      <c r="G1929" s="48"/>
      <c r="H1929" s="48"/>
      <c r="I1929" s="48"/>
      <c r="J1929" s="86"/>
      <c r="K1929" s="86"/>
      <c r="L1929" s="86"/>
      <c r="M1929" s="86"/>
      <c r="N1929" s="86"/>
      <c r="O1929" s="86"/>
      <c r="P1929" s="86"/>
      <c r="Q1929" s="86"/>
      <c r="R1929" s="86"/>
      <c r="S1929" s="86"/>
      <c r="T1929" s="86"/>
      <c r="U1929" s="86"/>
      <c r="V1929" s="48"/>
      <c r="W1929" s="48"/>
      <c r="X1929" s="48"/>
      <c r="Y1929" s="48"/>
      <c r="Z1929" s="48"/>
      <c r="AA1929" s="48"/>
      <c r="AB1929" s="48"/>
      <c r="AC1929" s="48"/>
      <c r="AD1929" s="48"/>
      <c r="AE1929" s="48"/>
      <c r="AF1929" s="48"/>
      <c r="AG1929" s="48"/>
      <c r="AH1929" s="48"/>
      <c r="AI1929" s="48"/>
      <c r="AJ1929" s="48"/>
      <c r="AK1929" s="48"/>
      <c r="AL1929" s="48"/>
      <c r="AM1929" s="48"/>
      <c r="AN1929" s="48"/>
      <c r="AO1929" s="48"/>
      <c r="AP1929" s="48"/>
      <c r="AQ1929" s="48"/>
      <c r="AR1929" s="48"/>
      <c r="AS1929" s="48"/>
      <c r="AT1929" s="48"/>
      <c r="AU1929" s="48"/>
      <c r="AV1929" s="48"/>
      <c r="AW1929" s="48"/>
      <c r="AX1929" s="48"/>
      <c r="AY1929" s="48"/>
      <c r="AZ1929" s="48"/>
      <c r="BA1929" s="48"/>
      <c r="BB1929" s="48"/>
      <c r="BC1929" s="48"/>
      <c r="BD1929" s="48"/>
    </row>
    <row r="1930" spans="1:56">
      <c r="A1930" s="48"/>
      <c r="B1930" s="48"/>
      <c r="C1930" s="49"/>
      <c r="D1930" s="48"/>
      <c r="E1930" s="48"/>
      <c r="F1930" s="48"/>
      <c r="G1930" s="48"/>
      <c r="H1930" s="48"/>
      <c r="I1930" s="48"/>
      <c r="J1930" s="86"/>
      <c r="K1930" s="86"/>
      <c r="L1930" s="86"/>
      <c r="M1930" s="86"/>
      <c r="N1930" s="86"/>
      <c r="O1930" s="86"/>
      <c r="P1930" s="86"/>
      <c r="Q1930" s="86"/>
      <c r="R1930" s="86"/>
      <c r="S1930" s="86"/>
      <c r="T1930" s="86"/>
      <c r="U1930" s="86"/>
      <c r="V1930" s="48"/>
      <c r="W1930" s="48"/>
      <c r="X1930" s="48"/>
      <c r="Y1930" s="48"/>
      <c r="Z1930" s="48"/>
      <c r="AA1930" s="48"/>
      <c r="AB1930" s="48"/>
      <c r="AC1930" s="48"/>
      <c r="AD1930" s="48"/>
      <c r="AE1930" s="48"/>
      <c r="AF1930" s="48"/>
      <c r="AG1930" s="48"/>
      <c r="AH1930" s="48"/>
      <c r="AI1930" s="48"/>
      <c r="AJ1930" s="48"/>
      <c r="AK1930" s="48"/>
      <c r="AL1930" s="48"/>
      <c r="AM1930" s="48"/>
      <c r="AN1930" s="48"/>
      <c r="AO1930" s="48"/>
      <c r="AP1930" s="48"/>
      <c r="AQ1930" s="48"/>
      <c r="AR1930" s="48"/>
      <c r="AS1930" s="48"/>
      <c r="AT1930" s="48"/>
      <c r="AU1930" s="48"/>
      <c r="AV1930" s="48"/>
      <c r="AW1930" s="48"/>
      <c r="AX1930" s="48"/>
      <c r="AY1930" s="48"/>
      <c r="AZ1930" s="48"/>
      <c r="BA1930" s="48"/>
      <c r="BB1930" s="48"/>
      <c r="BC1930" s="48"/>
      <c r="BD1930" s="48"/>
    </row>
    <row r="1931" spans="1:56">
      <c r="A1931" s="48"/>
      <c r="B1931" s="48"/>
      <c r="C1931" s="49"/>
      <c r="D1931" s="48"/>
      <c r="E1931" s="48"/>
      <c r="F1931" s="48"/>
      <c r="G1931" s="48"/>
      <c r="H1931" s="48"/>
      <c r="I1931" s="48"/>
      <c r="J1931" s="86"/>
      <c r="K1931" s="86"/>
      <c r="L1931" s="86"/>
      <c r="M1931" s="86"/>
      <c r="N1931" s="86"/>
      <c r="O1931" s="86"/>
      <c r="P1931" s="86"/>
      <c r="Q1931" s="86"/>
      <c r="R1931" s="86"/>
      <c r="S1931" s="86"/>
      <c r="T1931" s="86"/>
      <c r="U1931" s="86"/>
      <c r="V1931" s="48"/>
      <c r="W1931" s="48"/>
      <c r="X1931" s="48"/>
      <c r="Y1931" s="48"/>
      <c r="Z1931" s="48"/>
      <c r="AA1931" s="48"/>
      <c r="AB1931" s="48"/>
      <c r="AC1931" s="48"/>
      <c r="AD1931" s="48"/>
      <c r="AE1931" s="48"/>
      <c r="AF1931" s="48"/>
      <c r="AG1931" s="48"/>
      <c r="AH1931" s="48"/>
      <c r="AI1931" s="48"/>
      <c r="AJ1931" s="48"/>
      <c r="AK1931" s="48"/>
      <c r="AL1931" s="48"/>
      <c r="AM1931" s="48"/>
      <c r="AN1931" s="48"/>
      <c r="AO1931" s="48"/>
      <c r="AP1931" s="48"/>
      <c r="AQ1931" s="48"/>
      <c r="AR1931" s="48"/>
      <c r="AS1931" s="48"/>
      <c r="AT1931" s="48"/>
      <c r="AU1931" s="48"/>
      <c r="AV1931" s="48"/>
      <c r="AW1931" s="48"/>
      <c r="AX1931" s="48"/>
      <c r="AY1931" s="48"/>
      <c r="AZ1931" s="48"/>
      <c r="BA1931" s="48"/>
      <c r="BB1931" s="48"/>
      <c r="BC1931" s="48"/>
      <c r="BD1931" s="48"/>
    </row>
    <row r="1932" spans="1:56">
      <c r="A1932" s="48"/>
      <c r="B1932" s="48"/>
      <c r="C1932" s="49"/>
      <c r="D1932" s="48"/>
      <c r="E1932" s="48"/>
      <c r="F1932" s="48"/>
      <c r="G1932" s="48"/>
      <c r="H1932" s="48"/>
      <c r="I1932" s="48"/>
      <c r="J1932" s="86"/>
      <c r="K1932" s="86"/>
      <c r="L1932" s="86"/>
      <c r="M1932" s="86"/>
      <c r="N1932" s="86"/>
      <c r="O1932" s="86"/>
      <c r="P1932" s="86"/>
      <c r="Q1932" s="86"/>
      <c r="R1932" s="86"/>
      <c r="S1932" s="86"/>
      <c r="T1932" s="86"/>
      <c r="U1932" s="86"/>
      <c r="V1932" s="48"/>
      <c r="W1932" s="48"/>
      <c r="X1932" s="48"/>
      <c r="Y1932" s="48"/>
      <c r="Z1932" s="48"/>
      <c r="AA1932" s="48"/>
      <c r="AB1932" s="48"/>
      <c r="AC1932" s="48"/>
      <c r="AD1932" s="48"/>
      <c r="AE1932" s="48"/>
      <c r="AF1932" s="48"/>
      <c r="AG1932" s="48"/>
      <c r="AH1932" s="48"/>
      <c r="AI1932" s="48"/>
      <c r="AJ1932" s="48"/>
      <c r="AK1932" s="48"/>
      <c r="AL1932" s="48"/>
      <c r="AM1932" s="48"/>
      <c r="AN1932" s="48"/>
      <c r="AO1932" s="48"/>
      <c r="AP1932" s="48"/>
      <c r="AQ1932" s="48"/>
      <c r="AR1932" s="48"/>
      <c r="AS1932" s="48"/>
      <c r="AT1932" s="48"/>
      <c r="AU1932" s="48"/>
      <c r="AV1932" s="48"/>
      <c r="AW1932" s="48"/>
      <c r="AX1932" s="48"/>
      <c r="AY1932" s="48"/>
      <c r="AZ1932" s="48"/>
      <c r="BA1932" s="48"/>
      <c r="BB1932" s="48"/>
      <c r="BC1932" s="48"/>
      <c r="BD1932" s="48"/>
    </row>
    <row r="1933" spans="1:56">
      <c r="A1933" s="48"/>
      <c r="B1933" s="48"/>
      <c r="C1933" s="49"/>
      <c r="D1933" s="48"/>
      <c r="E1933" s="48"/>
      <c r="F1933" s="48"/>
      <c r="G1933" s="48"/>
      <c r="H1933" s="48"/>
      <c r="I1933" s="48"/>
      <c r="J1933" s="86"/>
      <c r="K1933" s="86"/>
      <c r="L1933" s="86"/>
      <c r="M1933" s="86"/>
      <c r="N1933" s="86"/>
      <c r="O1933" s="86"/>
      <c r="P1933" s="86"/>
      <c r="Q1933" s="86"/>
      <c r="R1933" s="86"/>
      <c r="S1933" s="86"/>
      <c r="T1933" s="86"/>
      <c r="U1933" s="86"/>
      <c r="V1933" s="48"/>
      <c r="W1933" s="48"/>
      <c r="X1933" s="48"/>
      <c r="Y1933" s="48"/>
      <c r="Z1933" s="48"/>
      <c r="AA1933" s="48"/>
      <c r="AB1933" s="48"/>
      <c r="AC1933" s="48"/>
      <c r="AD1933" s="48"/>
      <c r="AE1933" s="48"/>
      <c r="AF1933" s="48"/>
      <c r="AG1933" s="48"/>
      <c r="AH1933" s="48"/>
      <c r="AI1933" s="48"/>
      <c r="AJ1933" s="48"/>
      <c r="AK1933" s="48"/>
      <c r="AL1933" s="48"/>
      <c r="AM1933" s="48"/>
      <c r="AN1933" s="48"/>
      <c r="AO1933" s="48"/>
      <c r="AP1933" s="48"/>
      <c r="AQ1933" s="48"/>
      <c r="AR1933" s="48"/>
      <c r="AS1933" s="48"/>
      <c r="AT1933" s="48"/>
      <c r="AU1933" s="48"/>
      <c r="AV1933" s="48"/>
      <c r="AW1933" s="48"/>
      <c r="AX1933" s="48"/>
      <c r="AY1933" s="48"/>
      <c r="AZ1933" s="48"/>
      <c r="BA1933" s="48"/>
      <c r="BB1933" s="48"/>
      <c r="BC1933" s="48"/>
      <c r="BD1933" s="48"/>
    </row>
    <row r="1934" spans="1:56">
      <c r="A1934" s="48"/>
      <c r="B1934" s="48"/>
      <c r="C1934" s="49"/>
      <c r="D1934" s="48"/>
      <c r="E1934" s="48"/>
      <c r="F1934" s="48"/>
      <c r="G1934" s="48"/>
      <c r="H1934" s="48"/>
      <c r="I1934" s="48"/>
      <c r="J1934" s="86"/>
      <c r="K1934" s="86"/>
      <c r="L1934" s="86"/>
      <c r="M1934" s="86"/>
      <c r="N1934" s="86"/>
      <c r="O1934" s="86"/>
      <c r="P1934" s="86"/>
      <c r="Q1934" s="86"/>
      <c r="R1934" s="86"/>
      <c r="S1934" s="86"/>
      <c r="T1934" s="86"/>
      <c r="U1934" s="86"/>
      <c r="V1934" s="48"/>
      <c r="W1934" s="48"/>
      <c r="X1934" s="48"/>
      <c r="Y1934" s="48"/>
      <c r="Z1934" s="48"/>
      <c r="AA1934" s="48"/>
      <c r="AB1934" s="48"/>
      <c r="AC1934" s="48"/>
      <c r="AD1934" s="48"/>
      <c r="AE1934" s="48"/>
      <c r="AF1934" s="48"/>
      <c r="AG1934" s="48"/>
      <c r="AH1934" s="48"/>
      <c r="AI1934" s="48"/>
      <c r="AJ1934" s="48"/>
      <c r="AK1934" s="48"/>
      <c r="AL1934" s="48"/>
      <c r="AM1934" s="48"/>
      <c r="AN1934" s="48"/>
      <c r="AO1934" s="48"/>
      <c r="AP1934" s="48"/>
      <c r="AQ1934" s="48"/>
      <c r="AR1934" s="48"/>
      <c r="AS1934" s="48"/>
      <c r="AT1934" s="48"/>
      <c r="AU1934" s="48"/>
      <c r="AV1934" s="48"/>
      <c r="AW1934" s="48"/>
      <c r="AX1934" s="48"/>
      <c r="AY1934" s="48"/>
      <c r="AZ1934" s="48"/>
      <c r="BA1934" s="48"/>
      <c r="BB1934" s="48"/>
      <c r="BC1934" s="48"/>
      <c r="BD1934" s="48"/>
    </row>
    <row r="1935" spans="1:56">
      <c r="A1935" s="48"/>
      <c r="B1935" s="48"/>
      <c r="C1935" s="49"/>
      <c r="D1935" s="48"/>
      <c r="E1935" s="48"/>
      <c r="F1935" s="48"/>
      <c r="G1935" s="48"/>
      <c r="H1935" s="48"/>
      <c r="I1935" s="48"/>
      <c r="J1935" s="86"/>
      <c r="K1935" s="86"/>
      <c r="L1935" s="86"/>
      <c r="M1935" s="86"/>
      <c r="N1935" s="86"/>
      <c r="O1935" s="86"/>
      <c r="P1935" s="86"/>
      <c r="Q1935" s="86"/>
      <c r="R1935" s="86"/>
      <c r="S1935" s="86"/>
      <c r="T1935" s="86"/>
      <c r="U1935" s="86"/>
      <c r="V1935" s="48"/>
      <c r="W1935" s="48"/>
      <c r="X1935" s="48"/>
      <c r="Y1935" s="48"/>
      <c r="Z1935" s="48"/>
      <c r="AA1935" s="48"/>
      <c r="AB1935" s="48"/>
      <c r="AC1935" s="48"/>
      <c r="AD1935" s="48"/>
      <c r="AE1935" s="48"/>
      <c r="AF1935" s="48"/>
      <c r="AG1935" s="48"/>
      <c r="AH1935" s="48"/>
      <c r="AI1935" s="48"/>
      <c r="AJ1935" s="48"/>
      <c r="AK1935" s="48"/>
      <c r="AL1935" s="48"/>
      <c r="AM1935" s="48"/>
      <c r="AN1935" s="48"/>
      <c r="AO1935" s="48"/>
      <c r="AP1935" s="48"/>
      <c r="AQ1935" s="48"/>
      <c r="AR1935" s="48"/>
      <c r="AS1935" s="48"/>
      <c r="AT1935" s="48"/>
      <c r="AU1935" s="48"/>
      <c r="AV1935" s="48"/>
      <c r="AW1935" s="48"/>
      <c r="AX1935" s="48"/>
      <c r="AY1935" s="48"/>
      <c r="AZ1935" s="48"/>
      <c r="BA1935" s="48"/>
      <c r="BB1935" s="48"/>
      <c r="BC1935" s="48"/>
      <c r="BD1935" s="48"/>
    </row>
    <row r="1936" spans="1:56">
      <c r="A1936" s="48"/>
      <c r="B1936" s="48"/>
      <c r="C1936" s="49"/>
      <c r="D1936" s="48"/>
      <c r="E1936" s="48"/>
      <c r="F1936" s="48"/>
      <c r="G1936" s="48"/>
      <c r="H1936" s="48"/>
      <c r="I1936" s="48"/>
      <c r="J1936" s="86"/>
      <c r="K1936" s="86"/>
      <c r="L1936" s="86"/>
      <c r="M1936" s="86"/>
      <c r="N1936" s="86"/>
      <c r="O1936" s="86"/>
      <c r="P1936" s="86"/>
      <c r="Q1936" s="86"/>
      <c r="R1936" s="86"/>
      <c r="S1936" s="86"/>
      <c r="T1936" s="86"/>
      <c r="U1936" s="86"/>
      <c r="V1936" s="48"/>
      <c r="W1936" s="48"/>
      <c r="X1936" s="48"/>
      <c r="Y1936" s="48"/>
      <c r="Z1936" s="48"/>
      <c r="AA1936" s="48"/>
      <c r="AB1936" s="48"/>
      <c r="AC1936" s="48"/>
      <c r="AD1936" s="48"/>
      <c r="AE1936" s="48"/>
      <c r="AF1936" s="48"/>
      <c r="AG1936" s="48"/>
      <c r="AH1936" s="48"/>
      <c r="AI1936" s="48"/>
      <c r="AJ1936" s="48"/>
      <c r="AK1936" s="48"/>
      <c r="AL1936" s="48"/>
      <c r="AM1936" s="48"/>
      <c r="AN1936" s="48"/>
      <c r="AO1936" s="48"/>
      <c r="AP1936" s="48"/>
      <c r="AQ1936" s="48"/>
      <c r="AR1936" s="48"/>
      <c r="AS1936" s="48"/>
      <c r="AT1936" s="48"/>
      <c r="AU1936" s="48"/>
      <c r="AV1936" s="48"/>
      <c r="AW1936" s="48"/>
      <c r="AX1936" s="48"/>
      <c r="AY1936" s="48"/>
      <c r="AZ1936" s="48"/>
      <c r="BA1936" s="48"/>
      <c r="BB1936" s="48"/>
      <c r="BC1936" s="48"/>
      <c r="BD1936" s="48"/>
    </row>
    <row r="1937" spans="1:56">
      <c r="A1937" s="48"/>
      <c r="B1937" s="48"/>
      <c r="C1937" s="49"/>
      <c r="D1937" s="48"/>
      <c r="E1937" s="48"/>
      <c r="F1937" s="48"/>
      <c r="G1937" s="48"/>
      <c r="H1937" s="48"/>
      <c r="I1937" s="48"/>
      <c r="J1937" s="86"/>
      <c r="K1937" s="86"/>
      <c r="L1937" s="86"/>
      <c r="M1937" s="86"/>
      <c r="N1937" s="86"/>
      <c r="O1937" s="86"/>
      <c r="P1937" s="86"/>
      <c r="Q1937" s="86"/>
      <c r="R1937" s="86"/>
      <c r="S1937" s="86"/>
      <c r="T1937" s="86"/>
      <c r="U1937" s="86"/>
      <c r="V1937" s="48"/>
      <c r="W1937" s="48"/>
      <c r="X1937" s="48"/>
      <c r="Y1937" s="48"/>
      <c r="Z1937" s="48"/>
      <c r="AA1937" s="48"/>
      <c r="AB1937" s="48"/>
      <c r="AC1937" s="48"/>
      <c r="AD1937" s="48"/>
      <c r="AE1937" s="48"/>
      <c r="AF1937" s="48"/>
      <c r="AG1937" s="48"/>
      <c r="AH1937" s="48"/>
      <c r="AI1937" s="48"/>
      <c r="AJ1937" s="48"/>
      <c r="AK1937" s="48"/>
      <c r="AL1937" s="48"/>
      <c r="AM1937" s="48"/>
      <c r="AN1937" s="48"/>
      <c r="AO1937" s="48"/>
      <c r="AP1937" s="48"/>
      <c r="AQ1937" s="48"/>
      <c r="AR1937" s="48"/>
      <c r="AS1937" s="48"/>
      <c r="AT1937" s="48"/>
      <c r="AU1937" s="48"/>
      <c r="AV1937" s="48"/>
      <c r="AW1937" s="48"/>
      <c r="AX1937" s="48"/>
      <c r="AY1937" s="48"/>
      <c r="AZ1937" s="48"/>
      <c r="BA1937" s="48"/>
      <c r="BB1937" s="48"/>
      <c r="BC1937" s="48"/>
      <c r="BD1937" s="48"/>
    </row>
    <row r="1938" spans="1:56">
      <c r="A1938" s="48"/>
      <c r="B1938" s="48"/>
      <c r="C1938" s="49"/>
      <c r="D1938" s="48"/>
      <c r="E1938" s="48"/>
      <c r="F1938" s="48"/>
      <c r="G1938" s="48"/>
      <c r="H1938" s="48"/>
      <c r="I1938" s="48"/>
      <c r="J1938" s="86"/>
      <c r="K1938" s="86"/>
      <c r="L1938" s="86"/>
      <c r="M1938" s="86"/>
      <c r="N1938" s="86"/>
      <c r="O1938" s="86"/>
      <c r="P1938" s="86"/>
      <c r="Q1938" s="86"/>
      <c r="R1938" s="86"/>
      <c r="S1938" s="86"/>
      <c r="T1938" s="86"/>
      <c r="U1938" s="86"/>
      <c r="V1938" s="48"/>
      <c r="W1938" s="48"/>
      <c r="X1938" s="48"/>
      <c r="Y1938" s="48"/>
      <c r="Z1938" s="48"/>
      <c r="AA1938" s="48"/>
      <c r="AB1938" s="48"/>
      <c r="AC1938" s="48"/>
      <c r="AD1938" s="48"/>
      <c r="AE1938" s="48"/>
      <c r="AF1938" s="48"/>
      <c r="AG1938" s="48"/>
      <c r="AH1938" s="48"/>
      <c r="AI1938" s="48"/>
      <c r="AJ1938" s="48"/>
      <c r="AK1938" s="48"/>
      <c r="AL1938" s="48"/>
      <c r="AM1938" s="48"/>
      <c r="AN1938" s="48"/>
      <c r="AO1938" s="48"/>
      <c r="AP1938" s="48"/>
      <c r="AQ1938" s="48"/>
      <c r="AR1938" s="48"/>
      <c r="AS1938" s="48"/>
      <c r="AT1938" s="48"/>
      <c r="AU1938" s="48"/>
      <c r="AV1938" s="48"/>
      <c r="AW1938" s="48"/>
      <c r="AX1938" s="48"/>
      <c r="AY1938" s="48"/>
      <c r="AZ1938" s="48"/>
      <c r="BA1938" s="48"/>
      <c r="BB1938" s="48"/>
      <c r="BC1938" s="48"/>
      <c r="BD1938" s="48"/>
    </row>
    <row r="1939" spans="1:56">
      <c r="A1939" s="48"/>
      <c r="B1939" s="48"/>
      <c r="C1939" s="49"/>
      <c r="D1939" s="48"/>
      <c r="E1939" s="48"/>
      <c r="F1939" s="48"/>
      <c r="G1939" s="48"/>
      <c r="H1939" s="48"/>
      <c r="I1939" s="48"/>
      <c r="J1939" s="86"/>
      <c r="K1939" s="86"/>
      <c r="L1939" s="86"/>
      <c r="M1939" s="86"/>
      <c r="N1939" s="86"/>
      <c r="O1939" s="86"/>
      <c r="P1939" s="86"/>
      <c r="Q1939" s="86"/>
      <c r="R1939" s="86"/>
      <c r="S1939" s="86"/>
      <c r="T1939" s="86"/>
      <c r="U1939" s="86"/>
      <c r="V1939" s="48"/>
      <c r="W1939" s="48"/>
      <c r="X1939" s="48"/>
      <c r="Y1939" s="48"/>
      <c r="Z1939" s="48"/>
      <c r="AA1939" s="48"/>
      <c r="AB1939" s="48"/>
      <c r="AC1939" s="48"/>
      <c r="AD1939" s="48"/>
      <c r="AE1939" s="48"/>
      <c r="AF1939" s="48"/>
      <c r="AG1939" s="48"/>
      <c r="AH1939" s="48"/>
      <c r="AI1939" s="48"/>
      <c r="AJ1939" s="48"/>
      <c r="AK1939" s="48"/>
      <c r="AL1939" s="48"/>
      <c r="AM1939" s="48"/>
      <c r="AN1939" s="48"/>
      <c r="AO1939" s="48"/>
      <c r="AP1939" s="48"/>
      <c r="AQ1939" s="48"/>
      <c r="AR1939" s="48"/>
      <c r="AS1939" s="48"/>
      <c r="AT1939" s="48"/>
      <c r="AU1939" s="48"/>
      <c r="AV1939" s="48"/>
      <c r="AW1939" s="48"/>
      <c r="AX1939" s="48"/>
      <c r="AY1939" s="48"/>
      <c r="AZ1939" s="48"/>
      <c r="BA1939" s="48"/>
      <c r="BB1939" s="48"/>
      <c r="BC1939" s="48"/>
      <c r="BD1939" s="48"/>
    </row>
    <row r="1940" spans="1:56">
      <c r="A1940" s="48"/>
      <c r="B1940" s="48"/>
      <c r="C1940" s="49"/>
      <c r="D1940" s="48"/>
      <c r="E1940" s="48"/>
      <c r="F1940" s="48"/>
      <c r="G1940" s="48"/>
      <c r="H1940" s="48"/>
      <c r="I1940" s="48"/>
      <c r="J1940" s="86"/>
      <c r="K1940" s="86"/>
      <c r="L1940" s="86"/>
      <c r="M1940" s="86"/>
      <c r="N1940" s="86"/>
      <c r="O1940" s="86"/>
      <c r="P1940" s="86"/>
      <c r="Q1940" s="86"/>
      <c r="R1940" s="86"/>
      <c r="S1940" s="86"/>
      <c r="T1940" s="86"/>
      <c r="U1940" s="86"/>
      <c r="V1940" s="48"/>
      <c r="W1940" s="48"/>
      <c r="X1940" s="48"/>
      <c r="Y1940" s="48"/>
      <c r="Z1940" s="48"/>
      <c r="AA1940" s="48"/>
      <c r="AB1940" s="48"/>
      <c r="AC1940" s="48"/>
      <c r="AD1940" s="48"/>
      <c r="AE1940" s="48"/>
      <c r="AF1940" s="48"/>
      <c r="AG1940" s="48"/>
      <c r="AH1940" s="48"/>
      <c r="AI1940" s="48"/>
      <c r="AJ1940" s="48"/>
      <c r="AK1940" s="48"/>
      <c r="AL1940" s="48"/>
      <c r="AM1940" s="48"/>
      <c r="AN1940" s="48"/>
      <c r="AO1940" s="48"/>
      <c r="AP1940" s="48"/>
      <c r="AQ1940" s="48"/>
      <c r="AR1940" s="48"/>
      <c r="AS1940" s="48"/>
      <c r="AT1940" s="48"/>
      <c r="AU1940" s="48"/>
      <c r="AV1940" s="48"/>
      <c r="AW1940" s="48"/>
      <c r="AX1940" s="48"/>
      <c r="AY1940" s="48"/>
      <c r="AZ1940" s="48"/>
      <c r="BA1940" s="48"/>
      <c r="BB1940" s="48"/>
      <c r="BC1940" s="48"/>
      <c r="BD1940" s="48"/>
    </row>
    <row r="1941" spans="1:56">
      <c r="A1941" s="48"/>
      <c r="B1941" s="48"/>
      <c r="C1941" s="49"/>
      <c r="D1941" s="48"/>
      <c r="E1941" s="48"/>
      <c r="F1941" s="48"/>
      <c r="G1941" s="48"/>
      <c r="H1941" s="48"/>
      <c r="I1941" s="48"/>
      <c r="J1941" s="86"/>
      <c r="K1941" s="86"/>
      <c r="L1941" s="86"/>
      <c r="M1941" s="86"/>
      <c r="N1941" s="86"/>
      <c r="O1941" s="86"/>
      <c r="P1941" s="86"/>
      <c r="Q1941" s="86"/>
      <c r="R1941" s="86"/>
      <c r="S1941" s="86"/>
      <c r="T1941" s="86"/>
      <c r="U1941" s="86"/>
      <c r="V1941" s="48"/>
      <c r="W1941" s="48"/>
      <c r="X1941" s="48"/>
      <c r="Y1941" s="48"/>
      <c r="Z1941" s="48"/>
      <c r="AA1941" s="48"/>
      <c r="AB1941" s="48"/>
      <c r="AC1941" s="48"/>
      <c r="AD1941" s="48"/>
      <c r="AE1941" s="48"/>
      <c r="AF1941" s="48"/>
      <c r="AG1941" s="48"/>
      <c r="AH1941" s="48"/>
      <c r="AI1941" s="48"/>
      <c r="AJ1941" s="48"/>
      <c r="AK1941" s="48"/>
      <c r="AL1941" s="48"/>
      <c r="AM1941" s="48"/>
      <c r="AN1941" s="48"/>
      <c r="AO1941" s="48"/>
      <c r="AP1941" s="48"/>
      <c r="AQ1941" s="48"/>
      <c r="AR1941" s="48"/>
      <c r="AS1941" s="48"/>
      <c r="AT1941" s="48"/>
      <c r="AU1941" s="48"/>
      <c r="AV1941" s="48"/>
      <c r="AW1941" s="48"/>
      <c r="AX1941" s="48"/>
      <c r="AY1941" s="48"/>
      <c r="AZ1941" s="48"/>
      <c r="BA1941" s="48"/>
      <c r="BB1941" s="48"/>
      <c r="BC1941" s="48"/>
      <c r="BD1941" s="48"/>
    </row>
    <row r="1942" spans="1:56">
      <c r="A1942" s="48"/>
      <c r="B1942" s="48"/>
      <c r="C1942" s="49"/>
      <c r="D1942" s="48"/>
      <c r="E1942" s="48"/>
      <c r="F1942" s="48"/>
      <c r="G1942" s="48"/>
      <c r="H1942" s="48"/>
      <c r="I1942" s="48"/>
      <c r="J1942" s="86"/>
      <c r="K1942" s="86"/>
      <c r="L1942" s="86"/>
      <c r="M1942" s="86"/>
      <c r="N1942" s="86"/>
      <c r="O1942" s="86"/>
      <c r="P1942" s="86"/>
      <c r="Q1942" s="86"/>
      <c r="R1942" s="86"/>
      <c r="S1942" s="86"/>
      <c r="T1942" s="86"/>
      <c r="U1942" s="86"/>
      <c r="V1942" s="48"/>
      <c r="W1942" s="48"/>
      <c r="X1942" s="48"/>
      <c r="Y1942" s="48"/>
      <c r="Z1942" s="48"/>
      <c r="AA1942" s="48"/>
      <c r="AB1942" s="48"/>
      <c r="AC1942" s="48"/>
      <c r="AD1942" s="48"/>
      <c r="AE1942" s="48"/>
      <c r="AF1942" s="48"/>
      <c r="AG1942" s="48"/>
      <c r="AH1942" s="48"/>
      <c r="AI1942" s="48"/>
      <c r="AJ1942" s="48"/>
      <c r="AK1942" s="48"/>
      <c r="AL1942" s="48"/>
      <c r="AM1942" s="48"/>
      <c r="AN1942" s="48"/>
      <c r="AO1942" s="48"/>
      <c r="AP1942" s="48"/>
      <c r="AQ1942" s="48"/>
      <c r="AR1942" s="48"/>
      <c r="AS1942" s="48"/>
      <c r="AT1942" s="48"/>
      <c r="AU1942" s="48"/>
      <c r="AV1942" s="48"/>
      <c r="AW1942" s="48"/>
      <c r="AX1942" s="48"/>
      <c r="AY1942" s="48"/>
      <c r="AZ1942" s="48"/>
      <c r="BA1942" s="48"/>
      <c r="BB1942" s="48"/>
      <c r="BC1942" s="48"/>
      <c r="BD1942" s="48"/>
    </row>
    <row r="1943" spans="1:56">
      <c r="A1943" s="48"/>
      <c r="B1943" s="48"/>
      <c r="C1943" s="49"/>
      <c r="D1943" s="48"/>
      <c r="E1943" s="48"/>
      <c r="F1943" s="48"/>
      <c r="G1943" s="48"/>
      <c r="H1943" s="48"/>
      <c r="I1943" s="48"/>
      <c r="J1943" s="86"/>
      <c r="K1943" s="86"/>
      <c r="L1943" s="86"/>
      <c r="M1943" s="86"/>
      <c r="N1943" s="86"/>
      <c r="O1943" s="86"/>
      <c r="P1943" s="86"/>
      <c r="Q1943" s="86"/>
      <c r="R1943" s="86"/>
      <c r="S1943" s="86"/>
      <c r="T1943" s="86"/>
      <c r="U1943" s="86"/>
      <c r="V1943" s="48"/>
      <c r="W1943" s="48"/>
      <c r="X1943" s="48"/>
      <c r="Y1943" s="48"/>
      <c r="Z1943" s="48"/>
      <c r="AA1943" s="48"/>
      <c r="AB1943" s="48"/>
      <c r="AC1943" s="48"/>
      <c r="AD1943" s="48"/>
      <c r="AE1943" s="48"/>
      <c r="AF1943" s="48"/>
      <c r="AG1943" s="48"/>
      <c r="AH1943" s="48"/>
      <c r="AI1943" s="48"/>
      <c r="AJ1943" s="48"/>
      <c r="AK1943" s="48"/>
      <c r="AL1943" s="48"/>
      <c r="AM1943" s="48"/>
      <c r="AN1943" s="48"/>
      <c r="AO1943" s="48"/>
      <c r="AP1943" s="48"/>
      <c r="AQ1943" s="48"/>
      <c r="AR1943" s="48"/>
      <c r="AS1943" s="48"/>
      <c r="AT1943" s="48"/>
      <c r="AU1943" s="48"/>
      <c r="AV1943" s="48"/>
      <c r="AW1943" s="48"/>
      <c r="AX1943" s="48"/>
      <c r="AY1943" s="48"/>
      <c r="AZ1943" s="48"/>
      <c r="BA1943" s="48"/>
      <c r="BB1943" s="48"/>
      <c r="BC1943" s="48"/>
      <c r="BD1943" s="48"/>
    </row>
    <row r="1944" spans="1:56">
      <c r="A1944" s="48"/>
      <c r="B1944" s="48"/>
      <c r="C1944" s="49"/>
      <c r="D1944" s="48"/>
      <c r="E1944" s="48"/>
      <c r="F1944" s="48"/>
      <c r="G1944" s="48"/>
      <c r="H1944" s="48"/>
      <c r="I1944" s="48"/>
      <c r="J1944" s="86"/>
      <c r="K1944" s="86"/>
      <c r="L1944" s="86"/>
      <c r="M1944" s="86"/>
      <c r="N1944" s="86"/>
      <c r="O1944" s="86"/>
      <c r="P1944" s="86"/>
      <c r="Q1944" s="86"/>
      <c r="R1944" s="86"/>
      <c r="S1944" s="86"/>
      <c r="T1944" s="86"/>
      <c r="U1944" s="86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AI1944" s="48"/>
      <c r="AJ1944" s="48"/>
      <c r="AK1944" s="48"/>
      <c r="AL1944" s="48"/>
      <c r="AM1944" s="48"/>
      <c r="AN1944" s="48"/>
      <c r="AO1944" s="48"/>
      <c r="AP1944" s="48"/>
      <c r="AQ1944" s="48"/>
      <c r="AR1944" s="48"/>
      <c r="AS1944" s="48"/>
      <c r="AT1944" s="48"/>
      <c r="AU1944" s="48"/>
      <c r="AV1944" s="48"/>
      <c r="AW1944" s="48"/>
      <c r="AX1944" s="48"/>
      <c r="AY1944" s="48"/>
      <c r="AZ1944" s="48"/>
      <c r="BA1944" s="48"/>
      <c r="BB1944" s="48"/>
      <c r="BC1944" s="48"/>
      <c r="BD1944" s="48"/>
    </row>
    <row r="1945" spans="1:56">
      <c r="A1945" s="48"/>
      <c r="B1945" s="48"/>
      <c r="C1945" s="49"/>
      <c r="D1945" s="48"/>
      <c r="E1945" s="48"/>
      <c r="F1945" s="48"/>
      <c r="G1945" s="48"/>
      <c r="H1945" s="48"/>
      <c r="I1945" s="48"/>
      <c r="J1945" s="86"/>
      <c r="K1945" s="86"/>
      <c r="L1945" s="86"/>
      <c r="M1945" s="86"/>
      <c r="N1945" s="86"/>
      <c r="O1945" s="86"/>
      <c r="P1945" s="86"/>
      <c r="Q1945" s="86"/>
      <c r="R1945" s="86"/>
      <c r="S1945" s="86"/>
      <c r="T1945" s="86"/>
      <c r="U1945" s="86"/>
      <c r="V1945" s="48"/>
      <c r="W1945" s="48"/>
      <c r="X1945" s="48"/>
      <c r="Y1945" s="48"/>
      <c r="Z1945" s="48"/>
      <c r="AA1945" s="48"/>
      <c r="AB1945" s="48"/>
      <c r="AC1945" s="48"/>
      <c r="AD1945" s="48"/>
      <c r="AE1945" s="48"/>
      <c r="AF1945" s="48"/>
      <c r="AG1945" s="48"/>
      <c r="AH1945" s="48"/>
      <c r="AI1945" s="48"/>
      <c r="AJ1945" s="48"/>
      <c r="AK1945" s="48"/>
      <c r="AL1945" s="48"/>
      <c r="AM1945" s="48"/>
      <c r="AN1945" s="48"/>
      <c r="AO1945" s="48"/>
      <c r="AP1945" s="48"/>
      <c r="AQ1945" s="48"/>
      <c r="AR1945" s="48"/>
      <c r="AS1945" s="48"/>
      <c r="AT1945" s="48"/>
      <c r="AU1945" s="48"/>
      <c r="AV1945" s="48"/>
      <c r="AW1945" s="48"/>
      <c r="AX1945" s="48"/>
      <c r="AY1945" s="48"/>
      <c r="AZ1945" s="48"/>
      <c r="BA1945" s="48"/>
      <c r="BB1945" s="48"/>
      <c r="BC1945" s="48"/>
      <c r="BD1945" s="48"/>
    </row>
    <row r="1946" spans="1:56">
      <c r="A1946" s="48"/>
      <c r="B1946" s="48"/>
      <c r="C1946" s="49"/>
      <c r="D1946" s="48"/>
      <c r="E1946" s="48"/>
      <c r="F1946" s="48"/>
      <c r="G1946" s="48"/>
      <c r="H1946" s="48"/>
      <c r="I1946" s="48"/>
      <c r="J1946" s="86"/>
      <c r="K1946" s="86"/>
      <c r="L1946" s="86"/>
      <c r="M1946" s="86"/>
      <c r="N1946" s="86"/>
      <c r="O1946" s="86"/>
      <c r="P1946" s="86"/>
      <c r="Q1946" s="86"/>
      <c r="R1946" s="86"/>
      <c r="S1946" s="86"/>
      <c r="T1946" s="86"/>
      <c r="U1946" s="86"/>
      <c r="V1946" s="48"/>
      <c r="W1946" s="48"/>
      <c r="X1946" s="48"/>
      <c r="Y1946" s="48"/>
      <c r="Z1946" s="48"/>
      <c r="AA1946" s="48"/>
      <c r="AB1946" s="48"/>
      <c r="AC1946" s="48"/>
      <c r="AD1946" s="48"/>
      <c r="AE1946" s="48"/>
      <c r="AF1946" s="48"/>
      <c r="AG1946" s="48"/>
      <c r="AH1946" s="48"/>
      <c r="AI1946" s="48"/>
      <c r="AJ1946" s="48"/>
      <c r="AK1946" s="48"/>
      <c r="AL1946" s="48"/>
      <c r="AM1946" s="48"/>
      <c r="AN1946" s="48"/>
      <c r="AO1946" s="48"/>
      <c r="AP1946" s="48"/>
      <c r="AQ1946" s="48"/>
      <c r="AR1946" s="48"/>
      <c r="AS1946" s="48"/>
      <c r="AT1946" s="48"/>
      <c r="AU1946" s="48"/>
      <c r="AV1946" s="48"/>
      <c r="AW1946" s="48"/>
      <c r="AX1946" s="48"/>
      <c r="AY1946" s="48"/>
      <c r="AZ1946" s="48"/>
      <c r="BA1946" s="48"/>
      <c r="BB1946" s="48"/>
      <c r="BC1946" s="48"/>
      <c r="BD1946" s="48"/>
    </row>
    <row r="1947" spans="1:56">
      <c r="A1947" s="48"/>
      <c r="B1947" s="48"/>
      <c r="C1947" s="49"/>
      <c r="D1947" s="48"/>
      <c r="E1947" s="48"/>
      <c r="F1947" s="48"/>
      <c r="G1947" s="48"/>
      <c r="H1947" s="48"/>
      <c r="I1947" s="48"/>
      <c r="J1947" s="86"/>
      <c r="K1947" s="86"/>
      <c r="L1947" s="86"/>
      <c r="M1947" s="86"/>
      <c r="N1947" s="86"/>
      <c r="O1947" s="86"/>
      <c r="P1947" s="86"/>
      <c r="Q1947" s="86"/>
      <c r="R1947" s="86"/>
      <c r="S1947" s="86"/>
      <c r="T1947" s="86"/>
      <c r="U1947" s="86"/>
      <c r="V1947" s="48"/>
      <c r="W1947" s="48"/>
      <c r="X1947" s="48"/>
      <c r="Y1947" s="48"/>
      <c r="Z1947" s="48"/>
      <c r="AA1947" s="48"/>
      <c r="AB1947" s="48"/>
      <c r="AC1947" s="48"/>
      <c r="AD1947" s="48"/>
      <c r="AE1947" s="48"/>
      <c r="AF1947" s="48"/>
      <c r="AG1947" s="48"/>
      <c r="AH1947" s="48"/>
      <c r="AI1947" s="48"/>
      <c r="AJ1947" s="48"/>
      <c r="AK1947" s="48"/>
      <c r="AL1947" s="48"/>
      <c r="AM1947" s="48"/>
      <c r="AN1947" s="48"/>
      <c r="AO1947" s="48"/>
      <c r="AP1947" s="48"/>
      <c r="AQ1947" s="48"/>
      <c r="AR1947" s="48"/>
      <c r="AS1947" s="48"/>
      <c r="AT1947" s="48"/>
      <c r="AU1947" s="48"/>
      <c r="AV1947" s="48"/>
      <c r="AW1947" s="48"/>
      <c r="AX1947" s="48"/>
      <c r="AY1947" s="48"/>
      <c r="AZ1947" s="48"/>
      <c r="BA1947" s="48"/>
      <c r="BB1947" s="48"/>
      <c r="BC1947" s="48"/>
      <c r="BD1947" s="48"/>
    </row>
    <row r="1948" spans="1:56">
      <c r="A1948" s="48"/>
      <c r="B1948" s="48"/>
      <c r="C1948" s="49"/>
      <c r="D1948" s="48"/>
      <c r="E1948" s="48"/>
      <c r="F1948" s="48"/>
      <c r="G1948" s="48"/>
      <c r="H1948" s="48"/>
      <c r="I1948" s="48"/>
      <c r="J1948" s="86"/>
      <c r="K1948" s="86"/>
      <c r="L1948" s="86"/>
      <c r="M1948" s="86"/>
      <c r="N1948" s="86"/>
      <c r="O1948" s="86"/>
      <c r="P1948" s="86"/>
      <c r="Q1948" s="86"/>
      <c r="R1948" s="86"/>
      <c r="S1948" s="86"/>
      <c r="T1948" s="86"/>
      <c r="U1948" s="86"/>
      <c r="V1948" s="48"/>
      <c r="W1948" s="48"/>
      <c r="X1948" s="48"/>
      <c r="Y1948" s="48"/>
      <c r="Z1948" s="48"/>
      <c r="AA1948" s="48"/>
      <c r="AB1948" s="48"/>
      <c r="AC1948" s="48"/>
      <c r="AD1948" s="48"/>
      <c r="AE1948" s="48"/>
      <c r="AF1948" s="48"/>
      <c r="AG1948" s="48"/>
      <c r="AH1948" s="48"/>
      <c r="AI1948" s="48"/>
      <c r="AJ1948" s="48"/>
      <c r="AK1948" s="48"/>
      <c r="AL1948" s="48"/>
      <c r="AM1948" s="48"/>
      <c r="AN1948" s="48"/>
      <c r="AO1948" s="48"/>
      <c r="AP1948" s="48"/>
      <c r="AQ1948" s="48"/>
      <c r="AR1948" s="48"/>
      <c r="AS1948" s="48"/>
      <c r="AT1948" s="48"/>
      <c r="AU1948" s="48"/>
      <c r="AV1948" s="48"/>
      <c r="AW1948" s="48"/>
      <c r="AX1948" s="48"/>
      <c r="AY1948" s="48"/>
      <c r="AZ1948" s="48"/>
      <c r="BA1948" s="48"/>
      <c r="BB1948" s="48"/>
      <c r="BC1948" s="48"/>
      <c r="BD1948" s="48"/>
    </row>
    <row r="1949" spans="1:56">
      <c r="A1949" s="48"/>
      <c r="B1949" s="48"/>
      <c r="C1949" s="49"/>
      <c r="D1949" s="48"/>
      <c r="E1949" s="48"/>
      <c r="F1949" s="48"/>
      <c r="G1949" s="48"/>
      <c r="H1949" s="48"/>
      <c r="I1949" s="48"/>
      <c r="J1949" s="86"/>
      <c r="K1949" s="86"/>
      <c r="L1949" s="86"/>
      <c r="M1949" s="86"/>
      <c r="N1949" s="86"/>
      <c r="O1949" s="86"/>
      <c r="P1949" s="86"/>
      <c r="Q1949" s="86"/>
      <c r="R1949" s="86"/>
      <c r="S1949" s="86"/>
      <c r="T1949" s="86"/>
      <c r="U1949" s="86"/>
      <c r="V1949" s="48"/>
      <c r="W1949" s="48"/>
      <c r="X1949" s="48"/>
      <c r="Y1949" s="48"/>
      <c r="Z1949" s="48"/>
      <c r="AA1949" s="48"/>
      <c r="AB1949" s="48"/>
      <c r="AC1949" s="48"/>
      <c r="AD1949" s="48"/>
      <c r="AE1949" s="48"/>
      <c r="AF1949" s="48"/>
      <c r="AG1949" s="48"/>
      <c r="AH1949" s="48"/>
      <c r="AI1949" s="48"/>
      <c r="AJ1949" s="48"/>
      <c r="AK1949" s="48"/>
      <c r="AL1949" s="48"/>
      <c r="AM1949" s="48"/>
      <c r="AN1949" s="48"/>
      <c r="AO1949" s="48"/>
      <c r="AP1949" s="48"/>
      <c r="AQ1949" s="48"/>
      <c r="AR1949" s="48"/>
      <c r="AS1949" s="48"/>
      <c r="AT1949" s="48"/>
      <c r="AU1949" s="48"/>
      <c r="AV1949" s="48"/>
      <c r="AW1949" s="48"/>
      <c r="AX1949" s="48"/>
      <c r="AY1949" s="48"/>
      <c r="AZ1949" s="48"/>
      <c r="BA1949" s="48"/>
      <c r="BB1949" s="48"/>
      <c r="BC1949" s="48"/>
      <c r="BD1949" s="48"/>
    </row>
    <row r="1950" spans="1:56">
      <c r="A1950" s="48"/>
      <c r="B1950" s="48"/>
      <c r="C1950" s="49"/>
      <c r="D1950" s="48"/>
      <c r="E1950" s="48"/>
      <c r="F1950" s="48"/>
      <c r="G1950" s="48"/>
      <c r="H1950" s="48"/>
      <c r="I1950" s="48"/>
      <c r="J1950" s="86"/>
      <c r="K1950" s="86"/>
      <c r="L1950" s="86"/>
      <c r="M1950" s="86"/>
      <c r="N1950" s="86"/>
      <c r="O1950" s="86"/>
      <c r="P1950" s="86"/>
      <c r="Q1950" s="86"/>
      <c r="R1950" s="86"/>
      <c r="S1950" s="86"/>
      <c r="T1950" s="86"/>
      <c r="U1950" s="86"/>
      <c r="V1950" s="48"/>
      <c r="W1950" s="48"/>
      <c r="X1950" s="48"/>
      <c r="Y1950" s="48"/>
      <c r="Z1950" s="48"/>
      <c r="AA1950" s="48"/>
      <c r="AB1950" s="48"/>
      <c r="AC1950" s="48"/>
      <c r="AD1950" s="48"/>
      <c r="AE1950" s="48"/>
      <c r="AF1950" s="48"/>
      <c r="AG1950" s="48"/>
      <c r="AH1950" s="48"/>
      <c r="AI1950" s="48"/>
      <c r="AJ1950" s="48"/>
      <c r="AK1950" s="48"/>
      <c r="AL1950" s="48"/>
      <c r="AM1950" s="48"/>
      <c r="AN1950" s="48"/>
      <c r="AO1950" s="48"/>
      <c r="AP1950" s="48"/>
      <c r="AQ1950" s="48"/>
      <c r="AR1950" s="48"/>
      <c r="AS1950" s="48"/>
      <c r="AT1950" s="48"/>
      <c r="AU1950" s="48"/>
      <c r="AV1950" s="48"/>
      <c r="AW1950" s="48"/>
      <c r="AX1950" s="48"/>
      <c r="AY1950" s="48"/>
      <c r="AZ1950" s="48"/>
      <c r="BA1950" s="48"/>
      <c r="BB1950" s="48"/>
      <c r="BC1950" s="48"/>
      <c r="BD1950" s="48"/>
    </row>
    <row r="1951" spans="1:56">
      <c r="A1951" s="48"/>
      <c r="B1951" s="48"/>
      <c r="C1951" s="49"/>
      <c r="D1951" s="48"/>
      <c r="E1951" s="48"/>
      <c r="F1951" s="48"/>
      <c r="G1951" s="48"/>
      <c r="H1951" s="48"/>
      <c r="I1951" s="48"/>
      <c r="J1951" s="86"/>
      <c r="K1951" s="86"/>
      <c r="L1951" s="86"/>
      <c r="M1951" s="86"/>
      <c r="N1951" s="86"/>
      <c r="O1951" s="86"/>
      <c r="P1951" s="86"/>
      <c r="Q1951" s="86"/>
      <c r="R1951" s="86"/>
      <c r="S1951" s="86"/>
      <c r="T1951" s="86"/>
      <c r="U1951" s="86"/>
      <c r="V1951" s="48"/>
      <c r="W1951" s="48"/>
      <c r="X1951" s="48"/>
      <c r="Y1951" s="48"/>
      <c r="Z1951" s="48"/>
      <c r="AA1951" s="48"/>
      <c r="AB1951" s="48"/>
      <c r="AC1951" s="48"/>
      <c r="AD1951" s="48"/>
      <c r="AE1951" s="48"/>
      <c r="AF1951" s="48"/>
      <c r="AG1951" s="48"/>
      <c r="AH1951" s="48"/>
      <c r="AI1951" s="48"/>
      <c r="AJ1951" s="48"/>
      <c r="AK1951" s="48"/>
      <c r="AL1951" s="48"/>
      <c r="AM1951" s="48"/>
      <c r="AN1951" s="48"/>
      <c r="AO1951" s="48"/>
      <c r="AP1951" s="48"/>
      <c r="AQ1951" s="48"/>
      <c r="AR1951" s="48"/>
      <c r="AS1951" s="48"/>
      <c r="AT1951" s="48"/>
      <c r="AU1951" s="48"/>
      <c r="AV1951" s="48"/>
      <c r="AW1951" s="48"/>
      <c r="AX1951" s="48"/>
      <c r="AY1951" s="48"/>
      <c r="AZ1951" s="48"/>
      <c r="BA1951" s="48"/>
      <c r="BB1951" s="48"/>
      <c r="BC1951" s="48"/>
      <c r="BD1951" s="48"/>
    </row>
    <row r="1952" spans="1:56">
      <c r="A1952" s="48"/>
      <c r="B1952" s="48"/>
      <c r="C1952" s="49"/>
      <c r="D1952" s="48"/>
      <c r="E1952" s="48"/>
      <c r="F1952" s="48"/>
      <c r="G1952" s="48"/>
      <c r="H1952" s="48"/>
      <c r="I1952" s="48"/>
      <c r="J1952" s="86"/>
      <c r="K1952" s="86"/>
      <c r="L1952" s="86"/>
      <c r="M1952" s="86"/>
      <c r="N1952" s="86"/>
      <c r="O1952" s="86"/>
      <c r="P1952" s="86"/>
      <c r="Q1952" s="86"/>
      <c r="R1952" s="86"/>
      <c r="S1952" s="86"/>
      <c r="T1952" s="86"/>
      <c r="U1952" s="86"/>
      <c r="V1952" s="48"/>
      <c r="W1952" s="48"/>
      <c r="X1952" s="48"/>
      <c r="Y1952" s="48"/>
      <c r="Z1952" s="48"/>
      <c r="AA1952" s="48"/>
      <c r="AB1952" s="48"/>
      <c r="AC1952" s="48"/>
      <c r="AD1952" s="48"/>
      <c r="AE1952" s="48"/>
      <c r="AF1952" s="48"/>
      <c r="AG1952" s="48"/>
      <c r="AH1952" s="48"/>
      <c r="AI1952" s="48"/>
      <c r="AJ1952" s="48"/>
      <c r="AK1952" s="48"/>
      <c r="AL1952" s="48"/>
      <c r="AM1952" s="48"/>
      <c r="AN1952" s="48"/>
      <c r="AO1952" s="48"/>
      <c r="AP1952" s="48"/>
      <c r="AQ1952" s="48"/>
      <c r="AR1952" s="48"/>
      <c r="AS1952" s="48"/>
      <c r="AT1952" s="48"/>
      <c r="AU1952" s="48"/>
      <c r="AV1952" s="48"/>
      <c r="AW1952" s="48"/>
      <c r="AX1952" s="48"/>
      <c r="AY1952" s="48"/>
      <c r="AZ1952" s="48"/>
      <c r="BA1952" s="48"/>
      <c r="BB1952" s="48"/>
      <c r="BC1952" s="48"/>
      <c r="BD1952" s="48"/>
    </row>
    <row r="1953" spans="1:56">
      <c r="A1953" s="48"/>
      <c r="B1953" s="48"/>
      <c r="C1953" s="49"/>
      <c r="D1953" s="48"/>
      <c r="E1953" s="48"/>
      <c r="F1953" s="48"/>
      <c r="G1953" s="48"/>
      <c r="H1953" s="48"/>
      <c r="I1953" s="48"/>
      <c r="J1953" s="86"/>
      <c r="K1953" s="86"/>
      <c r="L1953" s="86"/>
      <c r="M1953" s="86"/>
      <c r="N1953" s="86"/>
      <c r="O1953" s="86"/>
      <c r="P1953" s="86"/>
      <c r="Q1953" s="86"/>
      <c r="R1953" s="86"/>
      <c r="S1953" s="86"/>
      <c r="T1953" s="86"/>
      <c r="U1953" s="86"/>
      <c r="V1953" s="48"/>
      <c r="W1953" s="48"/>
      <c r="X1953" s="48"/>
      <c r="Y1953" s="48"/>
      <c r="Z1953" s="48"/>
      <c r="AA1953" s="48"/>
      <c r="AB1953" s="48"/>
      <c r="AC1953" s="48"/>
      <c r="AD1953" s="48"/>
      <c r="AE1953" s="48"/>
      <c r="AF1953" s="48"/>
      <c r="AG1953" s="48"/>
      <c r="AH1953" s="48"/>
      <c r="AI1953" s="48"/>
      <c r="AJ1953" s="48"/>
      <c r="AK1953" s="48"/>
      <c r="AL1953" s="48"/>
      <c r="AM1953" s="48"/>
      <c r="AN1953" s="48"/>
      <c r="AO1953" s="48"/>
      <c r="AP1953" s="48"/>
      <c r="AQ1953" s="48"/>
      <c r="AR1953" s="48"/>
      <c r="AS1953" s="48"/>
      <c r="AT1953" s="48"/>
      <c r="AU1953" s="48"/>
      <c r="AV1953" s="48"/>
      <c r="AW1953" s="48"/>
      <c r="AX1953" s="48"/>
      <c r="AY1953" s="48"/>
      <c r="AZ1953" s="48"/>
      <c r="BA1953" s="48"/>
      <c r="BB1953" s="48"/>
      <c r="BC1953" s="48"/>
      <c r="BD1953" s="48"/>
    </row>
    <row r="1954" spans="1:56">
      <c r="A1954" s="48"/>
      <c r="B1954" s="48"/>
      <c r="C1954" s="49"/>
      <c r="D1954" s="48"/>
      <c r="E1954" s="48"/>
      <c r="F1954" s="48"/>
      <c r="G1954" s="48"/>
      <c r="H1954" s="48"/>
      <c r="I1954" s="48"/>
      <c r="J1954" s="86"/>
      <c r="K1954" s="86"/>
      <c r="L1954" s="86"/>
      <c r="M1954" s="86"/>
      <c r="N1954" s="86"/>
      <c r="O1954" s="86"/>
      <c r="P1954" s="86"/>
      <c r="Q1954" s="86"/>
      <c r="R1954" s="86"/>
      <c r="S1954" s="86"/>
      <c r="T1954" s="86"/>
      <c r="U1954" s="86"/>
      <c r="V1954" s="48"/>
      <c r="W1954" s="48"/>
      <c r="X1954" s="48"/>
      <c r="Y1954" s="48"/>
      <c r="Z1954" s="48"/>
      <c r="AA1954" s="48"/>
      <c r="AB1954" s="48"/>
      <c r="AC1954" s="48"/>
      <c r="AD1954" s="48"/>
      <c r="AE1954" s="48"/>
      <c r="AF1954" s="48"/>
      <c r="AG1954" s="48"/>
      <c r="AH1954" s="48"/>
      <c r="AI1954" s="48"/>
      <c r="AJ1954" s="48"/>
      <c r="AK1954" s="48"/>
      <c r="AL1954" s="48"/>
      <c r="AM1954" s="48"/>
      <c r="AN1954" s="48"/>
      <c r="AO1954" s="48"/>
      <c r="AP1954" s="48"/>
      <c r="AQ1954" s="48"/>
      <c r="AR1954" s="48"/>
      <c r="AS1954" s="48"/>
      <c r="AT1954" s="48"/>
      <c r="AU1954" s="48"/>
      <c r="AV1954" s="48"/>
      <c r="AW1954" s="48"/>
      <c r="AX1954" s="48"/>
      <c r="AY1954" s="48"/>
      <c r="AZ1954" s="48"/>
      <c r="BA1954" s="48"/>
      <c r="BB1954" s="48"/>
      <c r="BC1954" s="48"/>
      <c r="BD1954" s="48"/>
    </row>
    <row r="1955" spans="1:56">
      <c r="A1955" s="48"/>
      <c r="B1955" s="48"/>
      <c r="C1955" s="49"/>
      <c r="D1955" s="48"/>
      <c r="E1955" s="48"/>
      <c r="F1955" s="48"/>
      <c r="G1955" s="48"/>
      <c r="H1955" s="48"/>
      <c r="I1955" s="48"/>
      <c r="J1955" s="86"/>
      <c r="K1955" s="86"/>
      <c r="L1955" s="86"/>
      <c r="M1955" s="86"/>
      <c r="N1955" s="86"/>
      <c r="O1955" s="86"/>
      <c r="P1955" s="86"/>
      <c r="Q1955" s="86"/>
      <c r="R1955" s="86"/>
      <c r="S1955" s="86"/>
      <c r="T1955" s="86"/>
      <c r="U1955" s="86"/>
      <c r="V1955" s="48"/>
      <c r="W1955" s="48"/>
      <c r="X1955" s="48"/>
      <c r="Y1955" s="48"/>
      <c r="Z1955" s="48"/>
      <c r="AA1955" s="48"/>
      <c r="AB1955" s="48"/>
      <c r="AC1955" s="48"/>
      <c r="AD1955" s="48"/>
      <c r="AE1955" s="48"/>
      <c r="AF1955" s="48"/>
      <c r="AG1955" s="48"/>
      <c r="AH1955" s="48"/>
      <c r="AI1955" s="48"/>
      <c r="AJ1955" s="48"/>
      <c r="AK1955" s="48"/>
      <c r="AL1955" s="48"/>
      <c r="AM1955" s="48"/>
      <c r="AN1955" s="48"/>
      <c r="AO1955" s="48"/>
      <c r="AP1955" s="48"/>
      <c r="AQ1955" s="48"/>
      <c r="AR1955" s="48"/>
      <c r="AS1955" s="48"/>
      <c r="AT1955" s="48"/>
      <c r="AU1955" s="48"/>
      <c r="AV1955" s="48"/>
      <c r="AW1955" s="48"/>
      <c r="AX1955" s="48"/>
      <c r="AY1955" s="48"/>
      <c r="AZ1955" s="48"/>
      <c r="BA1955" s="48"/>
      <c r="BB1955" s="48"/>
      <c r="BC1955" s="48"/>
      <c r="BD1955" s="48"/>
    </row>
    <row r="1956" spans="1:56">
      <c r="A1956" s="48"/>
      <c r="B1956" s="48"/>
      <c r="C1956" s="49"/>
      <c r="D1956" s="48"/>
      <c r="E1956" s="48"/>
      <c r="F1956" s="48"/>
      <c r="G1956" s="48"/>
      <c r="H1956" s="48"/>
      <c r="I1956" s="48"/>
      <c r="J1956" s="86"/>
      <c r="K1956" s="86"/>
      <c r="L1956" s="86"/>
      <c r="M1956" s="86"/>
      <c r="N1956" s="86"/>
      <c r="O1956" s="86"/>
      <c r="P1956" s="86"/>
      <c r="Q1956" s="86"/>
      <c r="R1956" s="86"/>
      <c r="S1956" s="86"/>
      <c r="T1956" s="86"/>
      <c r="U1956" s="86"/>
      <c r="V1956" s="48"/>
      <c r="W1956" s="48"/>
      <c r="X1956" s="48"/>
      <c r="Y1956" s="48"/>
      <c r="Z1956" s="48"/>
      <c r="AA1956" s="48"/>
      <c r="AB1956" s="48"/>
      <c r="AC1956" s="48"/>
      <c r="AD1956" s="48"/>
      <c r="AE1956" s="48"/>
      <c r="AF1956" s="48"/>
      <c r="AG1956" s="48"/>
      <c r="AH1956" s="48"/>
      <c r="AI1956" s="48"/>
      <c r="AJ1956" s="48"/>
      <c r="AK1956" s="48"/>
      <c r="AL1956" s="48"/>
      <c r="AM1956" s="48"/>
      <c r="AN1956" s="48"/>
      <c r="AO1956" s="48"/>
      <c r="AP1956" s="48"/>
      <c r="AQ1956" s="48"/>
      <c r="AR1956" s="48"/>
      <c r="AS1956" s="48"/>
      <c r="AT1956" s="48"/>
      <c r="AU1956" s="48"/>
      <c r="AV1956" s="48"/>
      <c r="AW1956" s="48"/>
      <c r="AX1956" s="48"/>
      <c r="AY1956" s="48"/>
      <c r="AZ1956" s="48"/>
      <c r="BA1956" s="48"/>
      <c r="BB1956" s="48"/>
      <c r="BC1956" s="48"/>
      <c r="BD1956" s="48"/>
    </row>
    <row r="1957" spans="1:56">
      <c r="A1957" s="48"/>
      <c r="B1957" s="48"/>
      <c r="C1957" s="49"/>
      <c r="D1957" s="48"/>
      <c r="E1957" s="48"/>
      <c r="F1957" s="48"/>
      <c r="G1957" s="48"/>
      <c r="H1957" s="48"/>
      <c r="I1957" s="48"/>
      <c r="J1957" s="86"/>
      <c r="K1957" s="86"/>
      <c r="L1957" s="86"/>
      <c r="M1957" s="86"/>
      <c r="N1957" s="86"/>
      <c r="O1957" s="86"/>
      <c r="P1957" s="86"/>
      <c r="Q1957" s="86"/>
      <c r="R1957" s="86"/>
      <c r="S1957" s="86"/>
      <c r="T1957" s="86"/>
      <c r="U1957" s="86"/>
      <c r="V1957" s="48"/>
      <c r="W1957" s="48"/>
      <c r="X1957" s="48"/>
      <c r="Y1957" s="48"/>
      <c r="Z1957" s="48"/>
      <c r="AA1957" s="48"/>
      <c r="AB1957" s="48"/>
      <c r="AC1957" s="48"/>
      <c r="AD1957" s="48"/>
      <c r="AE1957" s="48"/>
      <c r="AF1957" s="48"/>
      <c r="AG1957" s="48"/>
      <c r="AH1957" s="48"/>
      <c r="AI1957" s="48"/>
      <c r="AJ1957" s="48"/>
      <c r="AK1957" s="48"/>
      <c r="AL1957" s="48"/>
      <c r="AM1957" s="48"/>
      <c r="AN1957" s="48"/>
      <c r="AO1957" s="48"/>
      <c r="AP1957" s="48"/>
      <c r="AQ1957" s="48"/>
      <c r="AR1957" s="48"/>
      <c r="AS1957" s="48"/>
      <c r="AT1957" s="48"/>
      <c r="AU1957" s="48"/>
      <c r="AV1957" s="48"/>
      <c r="AW1957" s="48"/>
      <c r="AX1957" s="48"/>
      <c r="AY1957" s="48"/>
      <c r="AZ1957" s="48"/>
      <c r="BA1957" s="48"/>
      <c r="BB1957" s="48"/>
      <c r="BC1957" s="48"/>
      <c r="BD1957" s="48"/>
    </row>
    <row r="1958" spans="1:56">
      <c r="A1958" s="48"/>
      <c r="B1958" s="48"/>
      <c r="C1958" s="49"/>
      <c r="D1958" s="48"/>
      <c r="E1958" s="48"/>
      <c r="F1958" s="48"/>
      <c r="G1958" s="48"/>
      <c r="H1958" s="48"/>
      <c r="I1958" s="48"/>
      <c r="J1958" s="86"/>
      <c r="K1958" s="86"/>
      <c r="L1958" s="86"/>
      <c r="M1958" s="86"/>
      <c r="N1958" s="86"/>
      <c r="O1958" s="86"/>
      <c r="P1958" s="86"/>
      <c r="Q1958" s="86"/>
      <c r="R1958" s="86"/>
      <c r="S1958" s="86"/>
      <c r="T1958" s="86"/>
      <c r="U1958" s="86"/>
      <c r="V1958" s="48"/>
      <c r="W1958" s="48"/>
      <c r="X1958" s="48"/>
      <c r="Y1958" s="48"/>
      <c r="Z1958" s="48"/>
      <c r="AA1958" s="48"/>
      <c r="AB1958" s="48"/>
      <c r="AC1958" s="48"/>
      <c r="AD1958" s="48"/>
      <c r="AE1958" s="48"/>
      <c r="AF1958" s="48"/>
      <c r="AG1958" s="48"/>
      <c r="AH1958" s="48"/>
      <c r="AI1958" s="48"/>
      <c r="AJ1958" s="48"/>
      <c r="AK1958" s="48"/>
      <c r="AL1958" s="48"/>
      <c r="AM1958" s="48"/>
      <c r="AN1958" s="48"/>
      <c r="AO1958" s="48"/>
      <c r="AP1958" s="48"/>
      <c r="AQ1958" s="48"/>
      <c r="AR1958" s="48"/>
      <c r="AS1958" s="48"/>
      <c r="AT1958" s="48"/>
      <c r="AU1958" s="48"/>
      <c r="AV1958" s="48"/>
      <c r="AW1958" s="48"/>
      <c r="AX1958" s="48"/>
      <c r="AY1958" s="48"/>
      <c r="AZ1958" s="48"/>
      <c r="BA1958" s="48"/>
      <c r="BB1958" s="48"/>
      <c r="BC1958" s="48"/>
      <c r="BD1958" s="48"/>
    </row>
    <row r="1959" spans="1:56">
      <c r="A1959" s="48"/>
      <c r="B1959" s="48"/>
      <c r="C1959" s="49"/>
      <c r="D1959" s="48"/>
      <c r="E1959" s="48"/>
      <c r="F1959" s="48"/>
      <c r="G1959" s="48"/>
      <c r="H1959" s="48"/>
      <c r="I1959" s="48"/>
      <c r="J1959" s="86"/>
      <c r="K1959" s="86"/>
      <c r="L1959" s="86"/>
      <c r="M1959" s="86"/>
      <c r="N1959" s="86"/>
      <c r="O1959" s="86"/>
      <c r="P1959" s="86"/>
      <c r="Q1959" s="86"/>
      <c r="R1959" s="86"/>
      <c r="S1959" s="86"/>
      <c r="T1959" s="86"/>
      <c r="U1959" s="86"/>
      <c r="V1959" s="48"/>
      <c r="W1959" s="48"/>
      <c r="X1959" s="48"/>
      <c r="Y1959" s="48"/>
      <c r="Z1959" s="48"/>
      <c r="AA1959" s="48"/>
      <c r="AB1959" s="48"/>
      <c r="AC1959" s="48"/>
      <c r="AD1959" s="48"/>
      <c r="AE1959" s="48"/>
      <c r="AF1959" s="48"/>
      <c r="AG1959" s="48"/>
      <c r="AH1959" s="48"/>
      <c r="AI1959" s="48"/>
      <c r="AJ1959" s="48"/>
      <c r="AK1959" s="48"/>
      <c r="AL1959" s="48"/>
      <c r="AM1959" s="48"/>
      <c r="AN1959" s="48"/>
      <c r="AO1959" s="48"/>
      <c r="AP1959" s="48"/>
      <c r="AQ1959" s="48"/>
      <c r="AR1959" s="48"/>
      <c r="AS1959" s="48"/>
      <c r="AT1959" s="48"/>
      <c r="AU1959" s="48"/>
      <c r="AV1959" s="48"/>
      <c r="AW1959" s="48"/>
      <c r="AX1959" s="48"/>
      <c r="AY1959" s="48"/>
      <c r="AZ1959" s="48"/>
      <c r="BA1959" s="48"/>
      <c r="BB1959" s="48"/>
      <c r="BC1959" s="48"/>
      <c r="BD1959" s="48"/>
    </row>
    <row r="1960" spans="1:56">
      <c r="A1960" s="48"/>
      <c r="B1960" s="48"/>
      <c r="C1960" s="49"/>
      <c r="D1960" s="48"/>
      <c r="E1960" s="48"/>
      <c r="F1960" s="48"/>
      <c r="G1960" s="48"/>
      <c r="H1960" s="48"/>
      <c r="I1960" s="48"/>
      <c r="J1960" s="86"/>
      <c r="K1960" s="86"/>
      <c r="L1960" s="86"/>
      <c r="M1960" s="86"/>
      <c r="N1960" s="86"/>
      <c r="O1960" s="86"/>
      <c r="P1960" s="86"/>
      <c r="Q1960" s="86"/>
      <c r="R1960" s="86"/>
      <c r="S1960" s="86"/>
      <c r="T1960" s="86"/>
      <c r="U1960" s="86"/>
      <c r="V1960" s="48"/>
      <c r="W1960" s="48"/>
      <c r="X1960" s="48"/>
      <c r="Y1960" s="48"/>
      <c r="Z1960" s="48"/>
      <c r="AA1960" s="48"/>
      <c r="AB1960" s="48"/>
      <c r="AC1960" s="48"/>
      <c r="AD1960" s="48"/>
      <c r="AE1960" s="48"/>
      <c r="AF1960" s="48"/>
      <c r="AG1960" s="48"/>
      <c r="AH1960" s="48"/>
      <c r="AI1960" s="48"/>
      <c r="AJ1960" s="48"/>
      <c r="AK1960" s="48"/>
      <c r="AL1960" s="48"/>
      <c r="AM1960" s="48"/>
      <c r="AN1960" s="48"/>
      <c r="AO1960" s="48"/>
      <c r="AP1960" s="48"/>
      <c r="AQ1960" s="48"/>
      <c r="AR1960" s="48"/>
      <c r="AS1960" s="48"/>
      <c r="AT1960" s="48"/>
      <c r="AU1960" s="48"/>
      <c r="AV1960" s="48"/>
      <c r="AW1960" s="48"/>
      <c r="AX1960" s="48"/>
      <c r="AY1960" s="48"/>
      <c r="AZ1960" s="48"/>
      <c r="BA1960" s="48"/>
      <c r="BB1960" s="48"/>
      <c r="BC1960" s="48"/>
      <c r="BD1960" s="48"/>
    </row>
    <row r="1961" spans="1:56">
      <c r="A1961" s="48"/>
      <c r="B1961" s="48"/>
      <c r="C1961" s="49"/>
      <c r="D1961" s="48"/>
      <c r="E1961" s="48"/>
      <c r="F1961" s="48"/>
      <c r="G1961" s="48"/>
      <c r="H1961" s="48"/>
      <c r="I1961" s="48"/>
      <c r="J1961" s="86"/>
      <c r="K1961" s="86"/>
      <c r="L1961" s="86"/>
      <c r="M1961" s="86"/>
      <c r="N1961" s="86"/>
      <c r="O1961" s="86"/>
      <c r="P1961" s="86"/>
      <c r="Q1961" s="86"/>
      <c r="R1961" s="86"/>
      <c r="S1961" s="86"/>
      <c r="T1961" s="86"/>
      <c r="U1961" s="86"/>
      <c r="V1961" s="48"/>
      <c r="W1961" s="48"/>
      <c r="X1961" s="48"/>
      <c r="Y1961" s="48"/>
      <c r="Z1961" s="48"/>
      <c r="AA1961" s="48"/>
      <c r="AB1961" s="48"/>
      <c r="AC1961" s="48"/>
      <c r="AD1961" s="48"/>
      <c r="AE1961" s="48"/>
      <c r="AF1961" s="48"/>
      <c r="AG1961" s="48"/>
      <c r="AH1961" s="48"/>
      <c r="AI1961" s="48"/>
      <c r="AJ1961" s="48"/>
      <c r="AK1961" s="48"/>
      <c r="AL1961" s="48"/>
      <c r="AM1961" s="48"/>
      <c r="AN1961" s="48"/>
      <c r="AO1961" s="48"/>
      <c r="AP1961" s="48"/>
      <c r="AQ1961" s="48"/>
      <c r="AR1961" s="48"/>
      <c r="AS1961" s="48"/>
      <c r="AT1961" s="48"/>
      <c r="AU1961" s="48"/>
      <c r="AV1961" s="48"/>
      <c r="AW1961" s="48"/>
      <c r="AX1961" s="48"/>
      <c r="AY1961" s="48"/>
      <c r="AZ1961" s="48"/>
      <c r="BA1961" s="48"/>
      <c r="BB1961" s="48"/>
      <c r="BC1961" s="48"/>
      <c r="BD1961" s="48"/>
    </row>
    <row r="1962" spans="1:56">
      <c r="A1962" s="48"/>
      <c r="B1962" s="48"/>
      <c r="C1962" s="49"/>
      <c r="D1962" s="48"/>
      <c r="E1962" s="48"/>
      <c r="F1962" s="48"/>
      <c r="G1962" s="48"/>
      <c r="H1962" s="48"/>
      <c r="I1962" s="48"/>
      <c r="J1962" s="86"/>
      <c r="K1962" s="86"/>
      <c r="L1962" s="86"/>
      <c r="M1962" s="86"/>
      <c r="N1962" s="86"/>
      <c r="O1962" s="86"/>
      <c r="P1962" s="86"/>
      <c r="Q1962" s="86"/>
      <c r="R1962" s="86"/>
      <c r="S1962" s="86"/>
      <c r="T1962" s="86"/>
      <c r="U1962" s="86"/>
      <c r="V1962" s="48"/>
      <c r="W1962" s="48"/>
      <c r="X1962" s="48"/>
      <c r="Y1962" s="48"/>
      <c r="Z1962" s="48"/>
      <c r="AA1962" s="48"/>
      <c r="AB1962" s="48"/>
      <c r="AC1962" s="48"/>
      <c r="AD1962" s="48"/>
      <c r="AE1962" s="48"/>
      <c r="AF1962" s="48"/>
      <c r="AG1962" s="48"/>
      <c r="AH1962" s="48"/>
      <c r="AI1962" s="48"/>
      <c r="AJ1962" s="48"/>
      <c r="AK1962" s="48"/>
      <c r="AL1962" s="48"/>
      <c r="AM1962" s="48"/>
      <c r="AN1962" s="48"/>
      <c r="AO1962" s="48"/>
      <c r="AP1962" s="48"/>
      <c r="AQ1962" s="48"/>
      <c r="AR1962" s="48"/>
      <c r="AS1962" s="48"/>
      <c r="AT1962" s="48"/>
      <c r="AU1962" s="48"/>
      <c r="AV1962" s="48"/>
      <c r="AW1962" s="48"/>
      <c r="AX1962" s="48"/>
      <c r="AY1962" s="48"/>
      <c r="AZ1962" s="48"/>
      <c r="BA1962" s="48"/>
      <c r="BB1962" s="48"/>
      <c r="BC1962" s="48"/>
      <c r="BD1962" s="48"/>
    </row>
    <row r="1963" spans="1:56">
      <c r="A1963" s="48"/>
      <c r="B1963" s="48"/>
      <c r="C1963" s="49"/>
      <c r="D1963" s="48"/>
      <c r="E1963" s="48"/>
      <c r="F1963" s="48"/>
      <c r="G1963" s="48"/>
      <c r="H1963" s="48"/>
      <c r="I1963" s="48"/>
      <c r="J1963" s="86"/>
      <c r="K1963" s="86"/>
      <c r="L1963" s="86"/>
      <c r="M1963" s="86"/>
      <c r="N1963" s="86"/>
      <c r="O1963" s="86"/>
      <c r="P1963" s="86"/>
      <c r="Q1963" s="86"/>
      <c r="R1963" s="86"/>
      <c r="S1963" s="86"/>
      <c r="T1963" s="86"/>
      <c r="U1963" s="86"/>
      <c r="V1963" s="48"/>
      <c r="W1963" s="48"/>
      <c r="X1963" s="48"/>
      <c r="Y1963" s="48"/>
      <c r="Z1963" s="48"/>
      <c r="AA1963" s="48"/>
      <c r="AB1963" s="48"/>
      <c r="AC1963" s="48"/>
      <c r="AD1963" s="48"/>
      <c r="AE1963" s="48"/>
      <c r="AF1963" s="48"/>
      <c r="AG1963" s="48"/>
      <c r="AH1963" s="48"/>
      <c r="AI1963" s="48"/>
      <c r="AJ1963" s="48"/>
      <c r="AK1963" s="48"/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48"/>
      <c r="BB1963" s="48"/>
      <c r="BC1963" s="48"/>
      <c r="BD1963" s="48"/>
    </row>
    <row r="1964" spans="1:56">
      <c r="A1964" s="48"/>
      <c r="B1964" s="48"/>
      <c r="C1964" s="49"/>
      <c r="D1964" s="48"/>
      <c r="E1964" s="48"/>
      <c r="F1964" s="48"/>
      <c r="G1964" s="48"/>
      <c r="H1964" s="48"/>
      <c r="I1964" s="48"/>
      <c r="J1964" s="86"/>
      <c r="K1964" s="86"/>
      <c r="L1964" s="86"/>
      <c r="M1964" s="86"/>
      <c r="N1964" s="86"/>
      <c r="O1964" s="86"/>
      <c r="P1964" s="86"/>
      <c r="Q1964" s="86"/>
      <c r="R1964" s="86"/>
      <c r="S1964" s="86"/>
      <c r="T1964" s="86"/>
      <c r="U1964" s="86"/>
      <c r="V1964" s="48"/>
      <c r="W1964" s="48"/>
      <c r="X1964" s="48"/>
      <c r="Y1964" s="48"/>
      <c r="Z1964" s="48"/>
      <c r="AA1964" s="48"/>
      <c r="AB1964" s="48"/>
      <c r="AC1964" s="48"/>
      <c r="AD1964" s="48"/>
      <c r="AE1964" s="48"/>
      <c r="AF1964" s="48"/>
      <c r="AG1964" s="48"/>
      <c r="AH1964" s="48"/>
      <c r="AI1964" s="48"/>
      <c r="AJ1964" s="48"/>
      <c r="AK1964" s="48"/>
      <c r="AL1964" s="48"/>
      <c r="AM1964" s="48"/>
      <c r="AN1964" s="48"/>
      <c r="AO1964" s="48"/>
      <c r="AP1964" s="48"/>
      <c r="AQ1964" s="48"/>
      <c r="AR1964" s="48"/>
      <c r="AS1964" s="48"/>
      <c r="AT1964" s="48"/>
      <c r="AU1964" s="48"/>
      <c r="AV1964" s="48"/>
      <c r="AW1964" s="48"/>
      <c r="AX1964" s="48"/>
      <c r="AY1964" s="48"/>
      <c r="AZ1964" s="48"/>
      <c r="BA1964" s="48"/>
      <c r="BB1964" s="48"/>
      <c r="BC1964" s="48"/>
      <c r="BD1964" s="48"/>
    </row>
    <row r="1965" spans="1:56">
      <c r="A1965" s="48"/>
      <c r="B1965" s="48"/>
      <c r="C1965" s="49"/>
      <c r="D1965" s="48"/>
      <c r="E1965" s="48"/>
      <c r="F1965" s="48"/>
      <c r="G1965" s="48"/>
      <c r="H1965" s="48"/>
      <c r="I1965" s="48"/>
      <c r="J1965" s="86"/>
      <c r="K1965" s="86"/>
      <c r="L1965" s="86"/>
      <c r="M1965" s="86"/>
      <c r="N1965" s="86"/>
      <c r="O1965" s="86"/>
      <c r="P1965" s="86"/>
      <c r="Q1965" s="86"/>
      <c r="R1965" s="86"/>
      <c r="S1965" s="86"/>
      <c r="T1965" s="86"/>
      <c r="U1965" s="86"/>
      <c r="V1965" s="48"/>
      <c r="W1965" s="48"/>
      <c r="X1965" s="48"/>
      <c r="Y1965" s="48"/>
      <c r="Z1965" s="48"/>
      <c r="AA1965" s="48"/>
      <c r="AB1965" s="48"/>
      <c r="AC1965" s="48"/>
      <c r="AD1965" s="48"/>
      <c r="AE1965" s="48"/>
      <c r="AF1965" s="48"/>
      <c r="AG1965" s="48"/>
      <c r="AH1965" s="48"/>
      <c r="AI1965" s="48"/>
      <c r="AJ1965" s="48"/>
      <c r="AK1965" s="48"/>
      <c r="AL1965" s="48"/>
      <c r="AM1965" s="48"/>
      <c r="AN1965" s="48"/>
      <c r="AO1965" s="48"/>
      <c r="AP1965" s="48"/>
      <c r="AQ1965" s="48"/>
      <c r="AR1965" s="48"/>
      <c r="AS1965" s="48"/>
      <c r="AT1965" s="48"/>
      <c r="AU1965" s="48"/>
      <c r="AV1965" s="48"/>
      <c r="AW1965" s="48"/>
      <c r="AX1965" s="48"/>
      <c r="AY1965" s="48"/>
      <c r="AZ1965" s="48"/>
      <c r="BA1965" s="48"/>
      <c r="BB1965" s="48"/>
      <c r="BC1965" s="48"/>
      <c r="BD1965" s="48"/>
    </row>
    <row r="1966" spans="1:56">
      <c r="A1966" s="48"/>
      <c r="B1966" s="48"/>
      <c r="C1966" s="49"/>
      <c r="D1966" s="48"/>
      <c r="E1966" s="48"/>
      <c r="F1966" s="48"/>
      <c r="G1966" s="48"/>
      <c r="H1966" s="48"/>
      <c r="I1966" s="48"/>
      <c r="J1966" s="86"/>
      <c r="K1966" s="86"/>
      <c r="L1966" s="86"/>
      <c r="M1966" s="86"/>
      <c r="N1966" s="86"/>
      <c r="O1966" s="86"/>
      <c r="P1966" s="86"/>
      <c r="Q1966" s="86"/>
      <c r="R1966" s="86"/>
      <c r="S1966" s="86"/>
      <c r="T1966" s="86"/>
      <c r="U1966" s="86"/>
      <c r="V1966" s="48"/>
      <c r="W1966" s="48"/>
      <c r="X1966" s="48"/>
      <c r="Y1966" s="48"/>
      <c r="Z1966" s="48"/>
      <c r="AA1966" s="48"/>
      <c r="AB1966" s="48"/>
      <c r="AC1966" s="48"/>
      <c r="AD1966" s="48"/>
      <c r="AE1966" s="48"/>
      <c r="AF1966" s="48"/>
      <c r="AG1966" s="48"/>
      <c r="AH1966" s="48"/>
      <c r="AI1966" s="48"/>
      <c r="AJ1966" s="48"/>
      <c r="AK1966" s="48"/>
      <c r="AL1966" s="48"/>
      <c r="AM1966" s="48"/>
      <c r="AN1966" s="48"/>
      <c r="AO1966" s="48"/>
      <c r="AP1966" s="48"/>
      <c r="AQ1966" s="48"/>
      <c r="AR1966" s="48"/>
      <c r="AS1966" s="48"/>
      <c r="AT1966" s="48"/>
      <c r="AU1966" s="48"/>
      <c r="AV1966" s="48"/>
      <c r="AW1966" s="48"/>
      <c r="AX1966" s="48"/>
      <c r="AY1966" s="48"/>
      <c r="AZ1966" s="48"/>
      <c r="BA1966" s="48"/>
      <c r="BB1966" s="48"/>
      <c r="BC1966" s="48"/>
      <c r="BD1966" s="48"/>
    </row>
    <row r="1967" spans="1:56">
      <c r="A1967" s="48"/>
      <c r="B1967" s="48"/>
      <c r="C1967" s="49"/>
      <c r="D1967" s="48"/>
      <c r="E1967" s="48"/>
      <c r="F1967" s="48"/>
      <c r="G1967" s="48"/>
      <c r="H1967" s="48"/>
      <c r="I1967" s="48"/>
      <c r="J1967" s="86"/>
      <c r="K1967" s="86"/>
      <c r="L1967" s="86"/>
      <c r="M1967" s="86"/>
      <c r="N1967" s="86"/>
      <c r="O1967" s="86"/>
      <c r="P1967" s="86"/>
      <c r="Q1967" s="86"/>
      <c r="R1967" s="86"/>
      <c r="S1967" s="86"/>
      <c r="T1967" s="86"/>
      <c r="U1967" s="86"/>
      <c r="V1967" s="48"/>
      <c r="W1967" s="48"/>
      <c r="X1967" s="48"/>
      <c r="Y1967" s="48"/>
      <c r="Z1967" s="48"/>
      <c r="AA1967" s="48"/>
      <c r="AB1967" s="48"/>
      <c r="AC1967" s="48"/>
      <c r="AD1967" s="48"/>
      <c r="AE1967" s="48"/>
      <c r="AF1967" s="48"/>
      <c r="AG1967" s="48"/>
      <c r="AH1967" s="48"/>
      <c r="AI1967" s="48"/>
      <c r="AJ1967" s="48"/>
      <c r="AK1967" s="48"/>
      <c r="AL1967" s="48"/>
      <c r="AM1967" s="48"/>
      <c r="AN1967" s="48"/>
      <c r="AO1967" s="48"/>
      <c r="AP1967" s="48"/>
      <c r="AQ1967" s="48"/>
      <c r="AR1967" s="48"/>
      <c r="AS1967" s="48"/>
      <c r="AT1967" s="48"/>
      <c r="AU1967" s="48"/>
      <c r="AV1967" s="48"/>
      <c r="AW1967" s="48"/>
      <c r="AX1967" s="48"/>
      <c r="AY1967" s="48"/>
      <c r="AZ1967" s="48"/>
      <c r="BA1967" s="48"/>
      <c r="BB1967" s="48"/>
      <c r="BC1967" s="48"/>
      <c r="BD1967" s="48"/>
    </row>
    <row r="1968" spans="1:56">
      <c r="A1968" s="48"/>
      <c r="B1968" s="48"/>
      <c r="C1968" s="49"/>
      <c r="D1968" s="48"/>
      <c r="E1968" s="48"/>
      <c r="F1968" s="48"/>
      <c r="G1968" s="48"/>
      <c r="H1968" s="48"/>
      <c r="I1968" s="48"/>
      <c r="J1968" s="86"/>
      <c r="K1968" s="86"/>
      <c r="L1968" s="86"/>
      <c r="M1968" s="86"/>
      <c r="N1968" s="86"/>
      <c r="O1968" s="86"/>
      <c r="P1968" s="86"/>
      <c r="Q1968" s="86"/>
      <c r="R1968" s="86"/>
      <c r="S1968" s="86"/>
      <c r="T1968" s="86"/>
      <c r="U1968" s="86"/>
      <c r="V1968" s="48"/>
      <c r="W1968" s="48"/>
      <c r="X1968" s="48"/>
      <c r="Y1968" s="48"/>
      <c r="Z1968" s="48"/>
      <c r="AA1968" s="48"/>
      <c r="AB1968" s="48"/>
      <c r="AC1968" s="48"/>
      <c r="AD1968" s="48"/>
      <c r="AE1968" s="48"/>
      <c r="AF1968" s="48"/>
      <c r="AG1968" s="48"/>
      <c r="AH1968" s="48"/>
      <c r="AI1968" s="48"/>
      <c r="AJ1968" s="48"/>
      <c r="AK1968" s="48"/>
      <c r="AL1968" s="48"/>
      <c r="AM1968" s="48"/>
      <c r="AN1968" s="48"/>
      <c r="AO1968" s="48"/>
      <c r="AP1968" s="48"/>
      <c r="AQ1968" s="48"/>
      <c r="AR1968" s="48"/>
      <c r="AS1968" s="48"/>
      <c r="AT1968" s="48"/>
      <c r="AU1968" s="48"/>
      <c r="AV1968" s="48"/>
      <c r="AW1968" s="48"/>
      <c r="AX1968" s="48"/>
      <c r="AY1968" s="48"/>
      <c r="AZ1968" s="48"/>
      <c r="BA1968" s="48"/>
      <c r="BB1968" s="48"/>
      <c r="BC1968" s="48"/>
      <c r="BD1968" s="48"/>
    </row>
    <row r="1969" spans="1:56">
      <c r="A1969" s="48"/>
      <c r="B1969" s="48"/>
      <c r="C1969" s="49"/>
      <c r="D1969" s="48"/>
      <c r="E1969" s="48"/>
      <c r="F1969" s="48"/>
      <c r="G1969" s="48"/>
      <c r="H1969" s="48"/>
      <c r="I1969" s="48"/>
      <c r="J1969" s="86"/>
      <c r="K1969" s="86"/>
      <c r="L1969" s="86"/>
      <c r="M1969" s="86"/>
      <c r="N1969" s="86"/>
      <c r="O1969" s="86"/>
      <c r="P1969" s="86"/>
      <c r="Q1969" s="86"/>
      <c r="R1969" s="86"/>
      <c r="S1969" s="86"/>
      <c r="T1969" s="86"/>
      <c r="U1969" s="86"/>
      <c r="V1969" s="48"/>
      <c r="W1969" s="48"/>
      <c r="X1969" s="48"/>
      <c r="Y1969" s="48"/>
      <c r="Z1969" s="48"/>
      <c r="AA1969" s="48"/>
      <c r="AB1969" s="48"/>
      <c r="AC1969" s="48"/>
      <c r="AD1969" s="48"/>
      <c r="AE1969" s="48"/>
      <c r="AF1969" s="48"/>
      <c r="AG1969" s="48"/>
      <c r="AH1969" s="48"/>
      <c r="AI1969" s="48"/>
      <c r="AJ1969" s="48"/>
      <c r="AK1969" s="48"/>
      <c r="AL1969" s="48"/>
      <c r="AM1969" s="48"/>
      <c r="AN1969" s="48"/>
      <c r="AO1969" s="48"/>
      <c r="AP1969" s="48"/>
      <c r="AQ1969" s="48"/>
      <c r="AR1969" s="48"/>
      <c r="AS1969" s="48"/>
      <c r="AT1969" s="48"/>
      <c r="AU1969" s="48"/>
      <c r="AV1969" s="48"/>
      <c r="AW1969" s="48"/>
      <c r="AX1969" s="48"/>
      <c r="AY1969" s="48"/>
      <c r="AZ1969" s="48"/>
      <c r="BA1969" s="48"/>
      <c r="BB1969" s="48"/>
      <c r="BC1969" s="48"/>
      <c r="BD1969" s="48"/>
    </row>
    <row r="1970" spans="1:56">
      <c r="A1970" s="48"/>
      <c r="B1970" s="48"/>
      <c r="C1970" s="49"/>
      <c r="D1970" s="48"/>
      <c r="E1970" s="48"/>
      <c r="F1970" s="48"/>
      <c r="G1970" s="48"/>
      <c r="H1970" s="48"/>
      <c r="I1970" s="48"/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48"/>
      <c r="W1970" s="48"/>
      <c r="X1970" s="48"/>
      <c r="Y1970" s="48"/>
      <c r="Z1970" s="48"/>
      <c r="AA1970" s="48"/>
      <c r="AB1970" s="48"/>
      <c r="AC1970" s="48"/>
      <c r="AD1970" s="48"/>
      <c r="AE1970" s="48"/>
      <c r="AF1970" s="48"/>
      <c r="AG1970" s="48"/>
      <c r="AH1970" s="48"/>
      <c r="AI1970" s="48"/>
      <c r="AJ1970" s="48"/>
      <c r="AK1970" s="48"/>
      <c r="AL1970" s="48"/>
      <c r="AM1970" s="48"/>
      <c r="AN1970" s="48"/>
      <c r="AO1970" s="48"/>
      <c r="AP1970" s="48"/>
      <c r="AQ1970" s="48"/>
      <c r="AR1970" s="48"/>
      <c r="AS1970" s="48"/>
      <c r="AT1970" s="48"/>
      <c r="AU1970" s="48"/>
      <c r="AV1970" s="48"/>
      <c r="AW1970" s="48"/>
      <c r="AX1970" s="48"/>
      <c r="AY1970" s="48"/>
      <c r="AZ1970" s="48"/>
      <c r="BA1970" s="48"/>
      <c r="BB1970" s="48"/>
      <c r="BC1970" s="48"/>
      <c r="BD1970" s="48"/>
    </row>
    <row r="1971" spans="1:56">
      <c r="A1971" s="48"/>
      <c r="B1971" s="48"/>
      <c r="C1971" s="49"/>
      <c r="D1971" s="48"/>
      <c r="E1971" s="48"/>
      <c r="F1971" s="48"/>
      <c r="G1971" s="48"/>
      <c r="H1971" s="48"/>
      <c r="I1971" s="48"/>
      <c r="J1971" s="86"/>
      <c r="K1971" s="86"/>
      <c r="L1971" s="86"/>
      <c r="M1971" s="86"/>
      <c r="N1971" s="86"/>
      <c r="O1971" s="86"/>
      <c r="P1971" s="86"/>
      <c r="Q1971" s="86"/>
      <c r="R1971" s="86"/>
      <c r="S1971" s="86"/>
      <c r="T1971" s="86"/>
      <c r="U1971" s="86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48"/>
      <c r="BB1971" s="48"/>
      <c r="BC1971" s="48"/>
      <c r="BD1971" s="48"/>
    </row>
    <row r="1972" spans="1:56">
      <c r="A1972" s="48"/>
      <c r="B1972" s="48"/>
      <c r="C1972" s="49"/>
      <c r="D1972" s="48"/>
      <c r="E1972" s="48"/>
      <c r="F1972" s="48"/>
      <c r="G1972" s="48"/>
      <c r="H1972" s="48"/>
      <c r="I1972" s="48"/>
      <c r="J1972" s="86"/>
      <c r="K1972" s="86"/>
      <c r="L1972" s="86"/>
      <c r="M1972" s="86"/>
      <c r="N1972" s="86"/>
      <c r="O1972" s="86"/>
      <c r="P1972" s="86"/>
      <c r="Q1972" s="86"/>
      <c r="R1972" s="86"/>
      <c r="S1972" s="86"/>
      <c r="T1972" s="86"/>
      <c r="U1972" s="86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48"/>
      <c r="BB1972" s="48"/>
      <c r="BC1972" s="48"/>
      <c r="BD1972" s="48"/>
    </row>
    <row r="1973" spans="1:56">
      <c r="A1973" s="48"/>
      <c r="B1973" s="48"/>
      <c r="C1973" s="49"/>
      <c r="D1973" s="48"/>
      <c r="E1973" s="48"/>
      <c r="F1973" s="48"/>
      <c r="G1973" s="48"/>
      <c r="H1973" s="48"/>
      <c r="I1973" s="48"/>
      <c r="J1973" s="86"/>
      <c r="K1973" s="86"/>
      <c r="L1973" s="86"/>
      <c r="M1973" s="86"/>
      <c r="N1973" s="86"/>
      <c r="O1973" s="86"/>
      <c r="P1973" s="86"/>
      <c r="Q1973" s="86"/>
      <c r="R1973" s="86"/>
      <c r="S1973" s="86"/>
      <c r="T1973" s="86"/>
      <c r="U1973" s="86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48"/>
      <c r="BB1973" s="48"/>
      <c r="BC1973" s="48"/>
      <c r="BD1973" s="48"/>
    </row>
    <row r="1974" spans="1:56">
      <c r="A1974" s="48"/>
      <c r="B1974" s="48"/>
      <c r="C1974" s="49"/>
      <c r="D1974" s="48"/>
      <c r="E1974" s="48"/>
      <c r="F1974" s="48"/>
      <c r="G1974" s="48"/>
      <c r="H1974" s="48"/>
      <c r="I1974" s="48"/>
      <c r="J1974" s="86"/>
      <c r="K1974" s="86"/>
      <c r="L1974" s="86"/>
      <c r="M1974" s="86"/>
      <c r="N1974" s="86"/>
      <c r="O1974" s="86"/>
      <c r="P1974" s="86"/>
      <c r="Q1974" s="86"/>
      <c r="R1974" s="86"/>
      <c r="S1974" s="86"/>
      <c r="T1974" s="86"/>
      <c r="U1974" s="86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48"/>
      <c r="BB1974" s="48"/>
      <c r="BC1974" s="48"/>
      <c r="BD1974" s="48"/>
    </row>
    <row r="1975" spans="1:56">
      <c r="A1975" s="48"/>
      <c r="B1975" s="48"/>
      <c r="C1975" s="49"/>
      <c r="D1975" s="48"/>
      <c r="E1975" s="48"/>
      <c r="F1975" s="48"/>
      <c r="G1975" s="48"/>
      <c r="H1975" s="48"/>
      <c r="I1975" s="48"/>
      <c r="J1975" s="86"/>
      <c r="K1975" s="86"/>
      <c r="L1975" s="86"/>
      <c r="M1975" s="86"/>
      <c r="N1975" s="86"/>
      <c r="O1975" s="86"/>
      <c r="P1975" s="86"/>
      <c r="Q1975" s="86"/>
      <c r="R1975" s="86"/>
      <c r="S1975" s="86"/>
      <c r="T1975" s="86"/>
      <c r="U1975" s="86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48"/>
      <c r="BB1975" s="48"/>
      <c r="BC1975" s="48"/>
      <c r="BD1975" s="48"/>
    </row>
    <row r="1976" spans="1:56">
      <c r="A1976" s="48"/>
      <c r="B1976" s="48"/>
      <c r="C1976" s="49"/>
      <c r="D1976" s="48"/>
      <c r="E1976" s="48"/>
      <c r="F1976" s="48"/>
      <c r="G1976" s="48"/>
      <c r="H1976" s="48"/>
      <c r="I1976" s="48"/>
      <c r="J1976" s="86"/>
      <c r="K1976" s="86"/>
      <c r="L1976" s="86"/>
      <c r="M1976" s="86"/>
      <c r="N1976" s="86"/>
      <c r="O1976" s="86"/>
      <c r="P1976" s="86"/>
      <c r="Q1976" s="86"/>
      <c r="R1976" s="86"/>
      <c r="S1976" s="86"/>
      <c r="T1976" s="86"/>
      <c r="U1976" s="86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48"/>
      <c r="BB1976" s="48"/>
      <c r="BC1976" s="48"/>
      <c r="BD1976" s="48"/>
    </row>
    <row r="1977" spans="1:56">
      <c r="A1977" s="48"/>
      <c r="B1977" s="48"/>
      <c r="C1977" s="49"/>
      <c r="D1977" s="48"/>
      <c r="E1977" s="48"/>
      <c r="F1977" s="48"/>
      <c r="G1977" s="48"/>
      <c r="H1977" s="48"/>
      <c r="I1977" s="48"/>
      <c r="J1977" s="86"/>
      <c r="K1977" s="86"/>
      <c r="L1977" s="86"/>
      <c r="M1977" s="86"/>
      <c r="N1977" s="86"/>
      <c r="O1977" s="86"/>
      <c r="P1977" s="86"/>
      <c r="Q1977" s="86"/>
      <c r="R1977" s="86"/>
      <c r="S1977" s="86"/>
      <c r="T1977" s="86"/>
      <c r="U1977" s="86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48"/>
      <c r="BB1977" s="48"/>
      <c r="BC1977" s="48"/>
      <c r="BD1977" s="48"/>
    </row>
    <row r="1978" spans="1:56">
      <c r="A1978" s="48"/>
      <c r="B1978" s="48"/>
      <c r="C1978" s="49"/>
      <c r="D1978" s="48"/>
      <c r="E1978" s="48"/>
      <c r="F1978" s="48"/>
      <c r="G1978" s="48"/>
      <c r="H1978" s="48"/>
      <c r="I1978" s="48"/>
      <c r="J1978" s="86"/>
      <c r="K1978" s="86"/>
      <c r="L1978" s="86"/>
      <c r="M1978" s="86"/>
      <c r="N1978" s="86"/>
      <c r="O1978" s="86"/>
      <c r="P1978" s="86"/>
      <c r="Q1978" s="86"/>
      <c r="R1978" s="86"/>
      <c r="S1978" s="86"/>
      <c r="T1978" s="86"/>
      <c r="U1978" s="86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48"/>
      <c r="BB1978" s="48"/>
      <c r="BC1978" s="48"/>
      <c r="BD1978" s="48"/>
    </row>
    <row r="1979" spans="1:56">
      <c r="A1979" s="48"/>
      <c r="B1979" s="48"/>
      <c r="C1979" s="49"/>
      <c r="D1979" s="48"/>
      <c r="E1979" s="48"/>
      <c r="F1979" s="48"/>
      <c r="G1979" s="48"/>
      <c r="H1979" s="48"/>
      <c r="I1979" s="48"/>
      <c r="J1979" s="86"/>
      <c r="K1979" s="86"/>
      <c r="L1979" s="86"/>
      <c r="M1979" s="86"/>
      <c r="N1979" s="86"/>
      <c r="O1979" s="86"/>
      <c r="P1979" s="86"/>
      <c r="Q1979" s="86"/>
      <c r="R1979" s="86"/>
      <c r="S1979" s="86"/>
      <c r="T1979" s="86"/>
      <c r="U1979" s="86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48"/>
      <c r="BB1979" s="48"/>
      <c r="BC1979" s="48"/>
      <c r="BD1979" s="48"/>
    </row>
    <row r="1980" spans="1:56">
      <c r="A1980" s="48"/>
      <c r="B1980" s="48"/>
      <c r="C1980" s="49"/>
      <c r="D1980" s="48"/>
      <c r="E1980" s="48"/>
      <c r="F1980" s="48"/>
      <c r="G1980" s="48"/>
      <c r="H1980" s="48"/>
      <c r="I1980" s="48"/>
      <c r="J1980" s="86"/>
      <c r="K1980" s="86"/>
      <c r="L1980" s="86"/>
      <c r="M1980" s="86"/>
      <c r="N1980" s="86"/>
      <c r="O1980" s="86"/>
      <c r="P1980" s="86"/>
      <c r="Q1980" s="86"/>
      <c r="R1980" s="86"/>
      <c r="S1980" s="86"/>
      <c r="T1980" s="86"/>
      <c r="U1980" s="86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48"/>
      <c r="BB1980" s="48"/>
      <c r="BC1980" s="48"/>
      <c r="BD1980" s="48"/>
    </row>
    <row r="1981" spans="1:56">
      <c r="A1981" s="48"/>
      <c r="B1981" s="48"/>
      <c r="C1981" s="49"/>
      <c r="D1981" s="48"/>
      <c r="E1981" s="48"/>
      <c r="F1981" s="48"/>
      <c r="G1981" s="48"/>
      <c r="H1981" s="48"/>
      <c r="I1981" s="48"/>
      <c r="J1981" s="86"/>
      <c r="K1981" s="86"/>
      <c r="L1981" s="86"/>
      <c r="M1981" s="86"/>
      <c r="N1981" s="86"/>
      <c r="O1981" s="86"/>
      <c r="P1981" s="86"/>
      <c r="Q1981" s="86"/>
      <c r="R1981" s="86"/>
      <c r="S1981" s="86"/>
      <c r="T1981" s="86"/>
      <c r="U1981" s="86"/>
      <c r="V1981" s="48"/>
      <c r="W1981" s="48"/>
      <c r="X1981" s="48"/>
      <c r="Y1981" s="48"/>
      <c r="Z1981" s="48"/>
      <c r="AA1981" s="48"/>
      <c r="AB1981" s="48"/>
      <c r="AC1981" s="48"/>
      <c r="AD1981" s="48"/>
      <c r="AE1981" s="48"/>
      <c r="AF1981" s="48"/>
      <c r="AG1981" s="48"/>
      <c r="AH1981" s="48"/>
      <c r="AI1981" s="48"/>
      <c r="AJ1981" s="48"/>
      <c r="AK1981" s="48"/>
      <c r="AL1981" s="48"/>
      <c r="AM1981" s="48"/>
      <c r="AN1981" s="48"/>
      <c r="AO1981" s="48"/>
      <c r="AP1981" s="48"/>
      <c r="AQ1981" s="48"/>
      <c r="AR1981" s="48"/>
      <c r="AS1981" s="48"/>
      <c r="AT1981" s="48"/>
      <c r="AU1981" s="48"/>
      <c r="AV1981" s="48"/>
      <c r="AW1981" s="48"/>
      <c r="AX1981" s="48"/>
      <c r="AY1981" s="48"/>
      <c r="AZ1981" s="48"/>
      <c r="BA1981" s="48"/>
      <c r="BB1981" s="48"/>
      <c r="BC1981" s="48"/>
      <c r="BD1981" s="48"/>
    </row>
    <row r="1982" spans="1:56">
      <c r="A1982" s="48"/>
      <c r="B1982" s="48"/>
      <c r="C1982" s="49"/>
      <c r="D1982" s="48"/>
      <c r="E1982" s="48"/>
      <c r="F1982" s="48"/>
      <c r="G1982" s="48"/>
      <c r="H1982" s="48"/>
      <c r="I1982" s="48"/>
      <c r="J1982" s="86"/>
      <c r="K1982" s="86"/>
      <c r="L1982" s="86"/>
      <c r="M1982" s="86"/>
      <c r="N1982" s="86"/>
      <c r="O1982" s="86"/>
      <c r="P1982" s="86"/>
      <c r="Q1982" s="86"/>
      <c r="R1982" s="86"/>
      <c r="S1982" s="86"/>
      <c r="T1982" s="86"/>
      <c r="U1982" s="86"/>
      <c r="V1982" s="48"/>
      <c r="W1982" s="48"/>
      <c r="X1982" s="48"/>
      <c r="Y1982" s="48"/>
      <c r="Z1982" s="48"/>
      <c r="AA1982" s="48"/>
      <c r="AB1982" s="48"/>
      <c r="AC1982" s="48"/>
      <c r="AD1982" s="48"/>
      <c r="AE1982" s="48"/>
      <c r="AF1982" s="48"/>
      <c r="AG1982" s="48"/>
      <c r="AH1982" s="48"/>
      <c r="AI1982" s="48"/>
      <c r="AJ1982" s="48"/>
      <c r="AK1982" s="48"/>
      <c r="AL1982" s="48"/>
      <c r="AM1982" s="48"/>
      <c r="AN1982" s="48"/>
      <c r="AO1982" s="48"/>
      <c r="AP1982" s="48"/>
      <c r="AQ1982" s="48"/>
      <c r="AR1982" s="48"/>
      <c r="AS1982" s="48"/>
      <c r="AT1982" s="48"/>
      <c r="AU1982" s="48"/>
      <c r="AV1982" s="48"/>
      <c r="AW1982" s="48"/>
      <c r="AX1982" s="48"/>
      <c r="AY1982" s="48"/>
      <c r="AZ1982" s="48"/>
      <c r="BA1982" s="48"/>
      <c r="BB1982" s="48"/>
      <c r="BC1982" s="48"/>
      <c r="BD1982" s="48"/>
    </row>
    <row r="1983" spans="1:56">
      <c r="A1983" s="48"/>
      <c r="B1983" s="48"/>
      <c r="C1983" s="49"/>
      <c r="D1983" s="48"/>
      <c r="E1983" s="48"/>
      <c r="F1983" s="48"/>
      <c r="G1983" s="48"/>
      <c r="H1983" s="48"/>
      <c r="I1983" s="48"/>
      <c r="J1983" s="86"/>
      <c r="K1983" s="86"/>
      <c r="L1983" s="86"/>
      <c r="M1983" s="86"/>
      <c r="N1983" s="86"/>
      <c r="O1983" s="86"/>
      <c r="P1983" s="86"/>
      <c r="Q1983" s="86"/>
      <c r="R1983" s="86"/>
      <c r="S1983" s="86"/>
      <c r="T1983" s="86"/>
      <c r="U1983" s="86"/>
      <c r="V1983" s="48"/>
      <c r="W1983" s="48"/>
      <c r="X1983" s="48"/>
      <c r="Y1983" s="48"/>
      <c r="Z1983" s="48"/>
      <c r="AA1983" s="48"/>
      <c r="AB1983" s="48"/>
      <c r="AC1983" s="48"/>
      <c r="AD1983" s="48"/>
      <c r="AE1983" s="48"/>
      <c r="AF1983" s="48"/>
      <c r="AG1983" s="48"/>
      <c r="AH1983" s="48"/>
      <c r="AI1983" s="48"/>
      <c r="AJ1983" s="48"/>
      <c r="AK1983" s="48"/>
      <c r="AL1983" s="48"/>
      <c r="AM1983" s="48"/>
      <c r="AN1983" s="48"/>
      <c r="AO1983" s="48"/>
      <c r="AP1983" s="48"/>
      <c r="AQ1983" s="48"/>
      <c r="AR1983" s="48"/>
      <c r="AS1983" s="48"/>
      <c r="AT1983" s="48"/>
      <c r="AU1983" s="48"/>
      <c r="AV1983" s="48"/>
      <c r="AW1983" s="48"/>
      <c r="AX1983" s="48"/>
      <c r="AY1983" s="48"/>
      <c r="AZ1983" s="48"/>
      <c r="BA1983" s="48"/>
      <c r="BB1983" s="48"/>
      <c r="BC1983" s="48"/>
      <c r="BD1983" s="48"/>
    </row>
    <row r="1984" spans="1:56">
      <c r="A1984" s="48"/>
      <c r="B1984" s="48"/>
      <c r="C1984" s="49"/>
      <c r="D1984" s="48"/>
      <c r="E1984" s="48"/>
      <c r="F1984" s="48"/>
      <c r="G1984" s="48"/>
      <c r="H1984" s="48"/>
      <c r="I1984" s="48"/>
      <c r="J1984" s="86"/>
      <c r="K1984" s="86"/>
      <c r="L1984" s="86"/>
      <c r="M1984" s="86"/>
      <c r="N1984" s="86"/>
      <c r="O1984" s="86"/>
      <c r="P1984" s="86"/>
      <c r="Q1984" s="86"/>
      <c r="R1984" s="86"/>
      <c r="S1984" s="86"/>
      <c r="T1984" s="86"/>
      <c r="U1984" s="86"/>
      <c r="V1984" s="48"/>
      <c r="W1984" s="48"/>
      <c r="X1984" s="48"/>
      <c r="Y1984" s="48"/>
      <c r="Z1984" s="48"/>
      <c r="AA1984" s="48"/>
      <c r="AB1984" s="48"/>
      <c r="AC1984" s="48"/>
      <c r="AD1984" s="48"/>
      <c r="AE1984" s="48"/>
      <c r="AF1984" s="48"/>
      <c r="AG1984" s="48"/>
      <c r="AH1984" s="48"/>
      <c r="AI1984" s="48"/>
      <c r="AJ1984" s="48"/>
      <c r="AK1984" s="48"/>
      <c r="AL1984" s="48"/>
      <c r="AM1984" s="48"/>
      <c r="AN1984" s="48"/>
      <c r="AO1984" s="48"/>
      <c r="AP1984" s="48"/>
      <c r="AQ1984" s="48"/>
      <c r="AR1984" s="48"/>
      <c r="AS1984" s="48"/>
      <c r="AT1984" s="48"/>
      <c r="AU1984" s="48"/>
      <c r="AV1984" s="48"/>
      <c r="AW1984" s="48"/>
      <c r="AX1984" s="48"/>
      <c r="AY1984" s="48"/>
      <c r="AZ1984" s="48"/>
      <c r="BA1984" s="48"/>
      <c r="BB1984" s="48"/>
      <c r="BC1984" s="48"/>
      <c r="BD1984" s="48"/>
    </row>
    <row r="1985" spans="1:56">
      <c r="A1985" s="48"/>
      <c r="B1985" s="48"/>
      <c r="C1985" s="49"/>
      <c r="D1985" s="48"/>
      <c r="E1985" s="48"/>
      <c r="F1985" s="48"/>
      <c r="G1985" s="48"/>
      <c r="H1985" s="48"/>
      <c r="I1985" s="48"/>
      <c r="J1985" s="86"/>
      <c r="K1985" s="86"/>
      <c r="L1985" s="86"/>
      <c r="M1985" s="86"/>
      <c r="N1985" s="86"/>
      <c r="O1985" s="86"/>
      <c r="P1985" s="86"/>
      <c r="Q1985" s="86"/>
      <c r="R1985" s="86"/>
      <c r="S1985" s="86"/>
      <c r="T1985" s="86"/>
      <c r="U1985" s="86"/>
      <c r="V1985" s="48"/>
      <c r="W1985" s="48"/>
      <c r="X1985" s="48"/>
      <c r="Y1985" s="48"/>
      <c r="Z1985" s="48"/>
      <c r="AA1985" s="48"/>
      <c r="AB1985" s="48"/>
      <c r="AC1985" s="48"/>
      <c r="AD1985" s="48"/>
      <c r="AE1985" s="48"/>
      <c r="AF1985" s="48"/>
      <c r="AG1985" s="48"/>
      <c r="AH1985" s="48"/>
      <c r="AI1985" s="48"/>
      <c r="AJ1985" s="48"/>
      <c r="AK1985" s="48"/>
      <c r="AL1985" s="48"/>
      <c r="AM1985" s="48"/>
      <c r="AN1985" s="48"/>
      <c r="AO1985" s="48"/>
      <c r="AP1985" s="48"/>
      <c r="AQ1985" s="48"/>
      <c r="AR1985" s="48"/>
      <c r="AS1985" s="48"/>
      <c r="AT1985" s="48"/>
      <c r="AU1985" s="48"/>
      <c r="AV1985" s="48"/>
      <c r="AW1985" s="48"/>
      <c r="AX1985" s="48"/>
      <c r="AY1985" s="48"/>
      <c r="AZ1985" s="48"/>
      <c r="BA1985" s="48"/>
      <c r="BB1985" s="48"/>
      <c r="BC1985" s="48"/>
      <c r="BD1985" s="48"/>
    </row>
    <row r="1986" spans="1:56">
      <c r="A1986" s="48"/>
      <c r="B1986" s="48"/>
      <c r="C1986" s="49"/>
      <c r="D1986" s="48"/>
      <c r="E1986" s="48"/>
      <c r="F1986" s="48"/>
      <c r="G1986" s="48"/>
      <c r="H1986" s="48"/>
      <c r="I1986" s="48"/>
      <c r="J1986" s="86"/>
      <c r="K1986" s="86"/>
      <c r="L1986" s="86"/>
      <c r="M1986" s="86"/>
      <c r="N1986" s="86"/>
      <c r="O1986" s="86"/>
      <c r="P1986" s="86"/>
      <c r="Q1986" s="86"/>
      <c r="R1986" s="86"/>
      <c r="S1986" s="86"/>
      <c r="T1986" s="86"/>
      <c r="U1986" s="86"/>
      <c r="V1986" s="48"/>
      <c r="W1986" s="48"/>
      <c r="X1986" s="48"/>
      <c r="Y1986" s="48"/>
      <c r="Z1986" s="48"/>
      <c r="AA1986" s="48"/>
      <c r="AB1986" s="48"/>
      <c r="AC1986" s="48"/>
      <c r="AD1986" s="48"/>
      <c r="AE1986" s="48"/>
      <c r="AF1986" s="48"/>
      <c r="AG1986" s="48"/>
      <c r="AH1986" s="48"/>
      <c r="AI1986" s="48"/>
      <c r="AJ1986" s="48"/>
      <c r="AK1986" s="48"/>
      <c r="AL1986" s="48"/>
      <c r="AM1986" s="48"/>
      <c r="AN1986" s="48"/>
      <c r="AO1986" s="48"/>
      <c r="AP1986" s="48"/>
      <c r="AQ1986" s="48"/>
      <c r="AR1986" s="48"/>
      <c r="AS1986" s="48"/>
      <c r="AT1986" s="48"/>
      <c r="AU1986" s="48"/>
      <c r="AV1986" s="48"/>
      <c r="AW1986" s="48"/>
      <c r="AX1986" s="48"/>
      <c r="AY1986" s="48"/>
      <c r="AZ1986" s="48"/>
      <c r="BA1986" s="48"/>
      <c r="BB1986" s="48"/>
      <c r="BC1986" s="48"/>
      <c r="BD1986" s="48"/>
    </row>
    <row r="1987" spans="1:56">
      <c r="A1987" s="48"/>
      <c r="B1987" s="48"/>
      <c r="C1987" s="49"/>
      <c r="D1987" s="48"/>
      <c r="E1987" s="48"/>
      <c r="F1987" s="48"/>
      <c r="G1987" s="48"/>
      <c r="H1987" s="48"/>
      <c r="I1987" s="48"/>
      <c r="J1987" s="86"/>
      <c r="K1987" s="86"/>
      <c r="L1987" s="86"/>
      <c r="M1987" s="86"/>
      <c r="N1987" s="86"/>
      <c r="O1987" s="86"/>
      <c r="P1987" s="86"/>
      <c r="Q1987" s="86"/>
      <c r="R1987" s="86"/>
      <c r="S1987" s="86"/>
      <c r="T1987" s="86"/>
      <c r="U1987" s="86"/>
      <c r="V1987" s="48"/>
      <c r="W1987" s="48"/>
      <c r="X1987" s="48"/>
      <c r="Y1987" s="48"/>
      <c r="Z1987" s="48"/>
      <c r="AA1987" s="48"/>
      <c r="AB1987" s="48"/>
      <c r="AC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Q1987" s="48"/>
      <c r="AR1987" s="48"/>
      <c r="AS1987" s="48"/>
      <c r="AT1987" s="48"/>
      <c r="AU1987" s="48"/>
      <c r="AV1987" s="48"/>
      <c r="AW1987" s="48"/>
      <c r="AX1987" s="48"/>
      <c r="AY1987" s="48"/>
      <c r="AZ1987" s="48"/>
      <c r="BA1987" s="48"/>
      <c r="BB1987" s="48"/>
      <c r="BC1987" s="48"/>
      <c r="BD1987" s="48"/>
    </row>
    <row r="1988" spans="1:56">
      <c r="A1988" s="48"/>
      <c r="B1988" s="48"/>
      <c r="C1988" s="49"/>
      <c r="D1988" s="48"/>
      <c r="E1988" s="48"/>
      <c r="F1988" s="48"/>
      <c r="G1988" s="48"/>
      <c r="H1988" s="48"/>
      <c r="I1988" s="48"/>
      <c r="J1988" s="86"/>
      <c r="K1988" s="86"/>
      <c r="L1988" s="86"/>
      <c r="M1988" s="86"/>
      <c r="N1988" s="86"/>
      <c r="O1988" s="86"/>
      <c r="P1988" s="86"/>
      <c r="Q1988" s="86"/>
      <c r="R1988" s="86"/>
      <c r="S1988" s="86"/>
      <c r="T1988" s="86"/>
      <c r="U1988" s="86"/>
      <c r="V1988" s="48"/>
      <c r="W1988" s="48"/>
      <c r="X1988" s="48"/>
      <c r="Y1988" s="48"/>
      <c r="Z1988" s="48"/>
      <c r="AA1988" s="48"/>
      <c r="AB1988" s="48"/>
      <c r="AC1988" s="48"/>
      <c r="AD1988" s="48"/>
      <c r="AE1988" s="48"/>
      <c r="AF1988" s="48"/>
      <c r="AG1988" s="48"/>
      <c r="AH1988" s="48"/>
      <c r="AI1988" s="48"/>
      <c r="AJ1988" s="48"/>
      <c r="AK1988" s="48"/>
      <c r="AL1988" s="48"/>
      <c r="AM1988" s="48"/>
      <c r="AN1988" s="48"/>
      <c r="AO1988" s="48"/>
      <c r="AP1988" s="48"/>
      <c r="AQ1988" s="48"/>
      <c r="AR1988" s="48"/>
      <c r="AS1988" s="48"/>
      <c r="AT1988" s="48"/>
      <c r="AU1988" s="48"/>
      <c r="AV1988" s="48"/>
      <c r="AW1988" s="48"/>
      <c r="AX1988" s="48"/>
      <c r="AY1988" s="48"/>
      <c r="AZ1988" s="48"/>
      <c r="BA1988" s="48"/>
      <c r="BB1988" s="48"/>
      <c r="BC1988" s="48"/>
      <c r="BD1988" s="48"/>
    </row>
    <row r="1989" spans="1:56">
      <c r="A1989" s="48"/>
      <c r="B1989" s="48"/>
      <c r="C1989" s="49"/>
      <c r="D1989" s="48"/>
      <c r="E1989" s="48"/>
      <c r="F1989" s="48"/>
      <c r="G1989" s="48"/>
      <c r="H1989" s="48"/>
      <c r="I1989" s="48"/>
      <c r="J1989" s="86"/>
      <c r="K1989" s="86"/>
      <c r="L1989" s="86"/>
      <c r="M1989" s="86"/>
      <c r="N1989" s="86"/>
      <c r="O1989" s="86"/>
      <c r="P1989" s="86"/>
      <c r="Q1989" s="86"/>
      <c r="R1989" s="86"/>
      <c r="S1989" s="86"/>
      <c r="T1989" s="86"/>
      <c r="U1989" s="86"/>
      <c r="V1989" s="48"/>
      <c r="W1989" s="48"/>
      <c r="X1989" s="48"/>
      <c r="Y1989" s="48"/>
      <c r="Z1989" s="48"/>
      <c r="AA1989" s="48"/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AU1989" s="48"/>
      <c r="AV1989" s="48"/>
      <c r="AW1989" s="48"/>
      <c r="AX1989" s="48"/>
      <c r="AY1989" s="48"/>
      <c r="AZ1989" s="48"/>
      <c r="BA1989" s="48"/>
      <c r="BB1989" s="48"/>
      <c r="BC1989" s="48"/>
      <c r="BD1989" s="48"/>
    </row>
    <row r="1990" spans="1:56">
      <c r="A1990" s="48"/>
      <c r="B1990" s="48"/>
      <c r="C1990" s="49"/>
      <c r="D1990" s="48"/>
      <c r="E1990" s="48"/>
      <c r="F1990" s="48"/>
      <c r="G1990" s="48"/>
      <c r="H1990" s="48"/>
      <c r="I1990" s="48"/>
      <c r="J1990" s="86"/>
      <c r="K1990" s="86"/>
      <c r="L1990" s="86"/>
      <c r="M1990" s="86"/>
      <c r="N1990" s="86"/>
      <c r="O1990" s="86"/>
      <c r="P1990" s="86"/>
      <c r="Q1990" s="86"/>
      <c r="R1990" s="86"/>
      <c r="S1990" s="86"/>
      <c r="T1990" s="86"/>
      <c r="U1990" s="86"/>
      <c r="V1990" s="48"/>
      <c r="W1990" s="48"/>
      <c r="X1990" s="48"/>
      <c r="Y1990" s="48"/>
      <c r="Z1990" s="48"/>
      <c r="AA1990" s="48"/>
      <c r="AB1990" s="48"/>
      <c r="AC1990" s="48"/>
      <c r="AD1990" s="48"/>
      <c r="AE1990" s="48"/>
      <c r="AF1990" s="48"/>
      <c r="AG1990" s="48"/>
      <c r="AH1990" s="48"/>
      <c r="AI1990" s="48"/>
      <c r="AJ1990" s="48"/>
      <c r="AK1990" s="48"/>
      <c r="AL1990" s="48"/>
      <c r="AM1990" s="48"/>
      <c r="AN1990" s="48"/>
      <c r="AO1990" s="48"/>
      <c r="AP1990" s="48"/>
      <c r="AQ1990" s="48"/>
      <c r="AR1990" s="48"/>
      <c r="AS1990" s="48"/>
      <c r="AT1990" s="48"/>
      <c r="AU1990" s="48"/>
      <c r="AV1990" s="48"/>
      <c r="AW1990" s="48"/>
      <c r="AX1990" s="48"/>
      <c r="AY1990" s="48"/>
      <c r="AZ1990" s="48"/>
      <c r="BA1990" s="48"/>
      <c r="BB1990" s="48"/>
      <c r="BC1990" s="48"/>
      <c r="BD1990" s="48"/>
    </row>
    <row r="1991" spans="1:56">
      <c r="A1991" s="48"/>
      <c r="B1991" s="48"/>
      <c r="C1991" s="49"/>
      <c r="D1991" s="48"/>
      <c r="E1991" s="48"/>
      <c r="F1991" s="48"/>
      <c r="G1991" s="48"/>
      <c r="H1991" s="48"/>
      <c r="I1991" s="48"/>
      <c r="J1991" s="86"/>
      <c r="K1991" s="86"/>
      <c r="L1991" s="86"/>
      <c r="M1991" s="86"/>
      <c r="N1991" s="86"/>
      <c r="O1991" s="86"/>
      <c r="P1991" s="86"/>
      <c r="Q1991" s="86"/>
      <c r="R1991" s="86"/>
      <c r="S1991" s="86"/>
      <c r="T1991" s="86"/>
      <c r="U1991" s="86"/>
      <c r="V1991" s="48"/>
      <c r="W1991" s="48"/>
      <c r="X1991" s="48"/>
      <c r="Y1991" s="48"/>
      <c r="Z1991" s="48"/>
      <c r="AA1991" s="48"/>
      <c r="AB1991" s="48"/>
      <c r="AC1991" s="48"/>
      <c r="AD1991" s="48"/>
      <c r="AE1991" s="48"/>
      <c r="AF1991" s="48"/>
      <c r="AG1991" s="48"/>
      <c r="AH1991" s="48"/>
      <c r="AI1991" s="48"/>
      <c r="AJ1991" s="48"/>
      <c r="AK1991" s="48"/>
      <c r="AL1991" s="48"/>
      <c r="AM1991" s="48"/>
      <c r="AN1991" s="48"/>
      <c r="AO1991" s="48"/>
      <c r="AP1991" s="48"/>
      <c r="AQ1991" s="48"/>
      <c r="AR1991" s="48"/>
      <c r="AS1991" s="48"/>
      <c r="AT1991" s="48"/>
      <c r="AU1991" s="48"/>
      <c r="AV1991" s="48"/>
      <c r="AW1991" s="48"/>
      <c r="AX1991" s="48"/>
      <c r="AY1991" s="48"/>
      <c r="AZ1991" s="48"/>
      <c r="BA1991" s="48"/>
      <c r="BB1991" s="48"/>
      <c r="BC1991" s="48"/>
      <c r="BD1991" s="48"/>
    </row>
    <row r="1992" spans="1:56">
      <c r="A1992" s="48"/>
      <c r="B1992" s="48"/>
      <c r="C1992" s="49"/>
      <c r="D1992" s="48"/>
      <c r="E1992" s="48"/>
      <c r="F1992" s="48"/>
      <c r="G1992" s="48"/>
      <c r="H1992" s="48"/>
      <c r="I1992" s="48"/>
      <c r="J1992" s="86"/>
      <c r="K1992" s="86"/>
      <c r="L1992" s="86"/>
      <c r="M1992" s="86"/>
      <c r="N1992" s="86"/>
      <c r="O1992" s="86"/>
      <c r="P1992" s="86"/>
      <c r="Q1992" s="86"/>
      <c r="R1992" s="86"/>
      <c r="S1992" s="86"/>
      <c r="T1992" s="86"/>
      <c r="U1992" s="86"/>
      <c r="V1992" s="48"/>
      <c r="W1992" s="48"/>
      <c r="X1992" s="48"/>
      <c r="Y1992" s="48"/>
      <c r="Z1992" s="48"/>
      <c r="AA1992" s="48"/>
      <c r="AB1992" s="48"/>
      <c r="AC1992" s="48"/>
      <c r="AD1992" s="48"/>
      <c r="AE1992" s="48"/>
      <c r="AF1992" s="48"/>
      <c r="AG1992" s="48"/>
      <c r="AH1992" s="48"/>
      <c r="AI1992" s="48"/>
      <c r="AJ1992" s="48"/>
      <c r="AK1992" s="48"/>
      <c r="AL1992" s="48"/>
      <c r="AM1992" s="48"/>
      <c r="AN1992" s="48"/>
      <c r="AO1992" s="48"/>
      <c r="AP1992" s="48"/>
      <c r="AQ1992" s="48"/>
      <c r="AR1992" s="48"/>
      <c r="AS1992" s="48"/>
      <c r="AT1992" s="48"/>
      <c r="AU1992" s="48"/>
      <c r="AV1992" s="48"/>
      <c r="AW1992" s="48"/>
      <c r="AX1992" s="48"/>
      <c r="AY1992" s="48"/>
      <c r="AZ1992" s="48"/>
      <c r="BA1992" s="48"/>
      <c r="BB1992" s="48"/>
      <c r="BC1992" s="48"/>
      <c r="BD1992" s="48"/>
    </row>
    <row r="1993" spans="1:56">
      <c r="A1993" s="48"/>
      <c r="B1993" s="48"/>
      <c r="C1993" s="49"/>
      <c r="D1993" s="48"/>
      <c r="E1993" s="48"/>
      <c r="F1993" s="48"/>
      <c r="G1993" s="48"/>
      <c r="H1993" s="48"/>
      <c r="I1993" s="48"/>
      <c r="J1993" s="86"/>
      <c r="K1993" s="86"/>
      <c r="L1993" s="86"/>
      <c r="M1993" s="86"/>
      <c r="N1993" s="86"/>
      <c r="O1993" s="86"/>
      <c r="P1993" s="86"/>
      <c r="Q1993" s="86"/>
      <c r="R1993" s="86"/>
      <c r="S1993" s="86"/>
      <c r="T1993" s="86"/>
      <c r="U1993" s="86"/>
      <c r="V1993" s="48"/>
      <c r="W1993" s="48"/>
      <c r="X1993" s="48"/>
      <c r="Y1993" s="48"/>
      <c r="Z1993" s="48"/>
      <c r="AA1993" s="48"/>
      <c r="AB1993" s="48"/>
      <c r="AC1993" s="48"/>
      <c r="AD1993" s="48"/>
      <c r="AE1993" s="48"/>
      <c r="AF1993" s="48"/>
      <c r="AG1993" s="48"/>
      <c r="AH1993" s="48"/>
      <c r="AI1993" s="48"/>
      <c r="AJ1993" s="48"/>
      <c r="AK1993" s="48"/>
      <c r="AL1993" s="48"/>
      <c r="AM1993" s="48"/>
      <c r="AN1993" s="48"/>
      <c r="AO1993" s="48"/>
      <c r="AP1993" s="48"/>
      <c r="AQ1993" s="48"/>
      <c r="AR1993" s="48"/>
      <c r="AS1993" s="48"/>
      <c r="AT1993" s="48"/>
      <c r="AU1993" s="48"/>
      <c r="AV1993" s="48"/>
      <c r="AW1993" s="48"/>
      <c r="AX1993" s="48"/>
      <c r="AY1993" s="48"/>
      <c r="AZ1993" s="48"/>
      <c r="BA1993" s="48"/>
      <c r="BB1993" s="48"/>
      <c r="BC1993" s="48"/>
      <c r="BD1993" s="48"/>
    </row>
    <row r="1994" spans="1:56">
      <c r="A1994" s="48"/>
      <c r="B1994" s="48"/>
      <c r="C1994" s="49"/>
      <c r="D1994" s="48"/>
      <c r="E1994" s="48"/>
      <c r="F1994" s="48"/>
      <c r="G1994" s="48"/>
      <c r="H1994" s="48"/>
      <c r="I1994" s="48"/>
      <c r="J1994" s="86"/>
      <c r="K1994" s="86"/>
      <c r="L1994" s="86"/>
      <c r="M1994" s="86"/>
      <c r="N1994" s="86"/>
      <c r="O1994" s="86"/>
      <c r="P1994" s="86"/>
      <c r="Q1994" s="86"/>
      <c r="R1994" s="86"/>
      <c r="S1994" s="86"/>
      <c r="T1994" s="86"/>
      <c r="U1994" s="86"/>
      <c r="V1994" s="48"/>
      <c r="W1994" s="48"/>
      <c r="X1994" s="48"/>
      <c r="Y1994" s="48"/>
      <c r="Z1994" s="48"/>
      <c r="AA1994" s="48"/>
      <c r="AB1994" s="48"/>
      <c r="AC1994" s="48"/>
      <c r="AD1994" s="48"/>
      <c r="AE1994" s="48"/>
      <c r="AF1994" s="48"/>
      <c r="AG1994" s="48"/>
      <c r="AH1994" s="48"/>
      <c r="AI1994" s="48"/>
      <c r="AJ1994" s="48"/>
      <c r="AK1994" s="48"/>
      <c r="AL1994" s="48"/>
      <c r="AM1994" s="48"/>
      <c r="AN1994" s="48"/>
      <c r="AO1994" s="48"/>
      <c r="AP1994" s="48"/>
      <c r="AQ1994" s="48"/>
      <c r="AR1994" s="48"/>
      <c r="AS1994" s="48"/>
      <c r="AT1994" s="48"/>
      <c r="AU1994" s="48"/>
      <c r="AV1994" s="48"/>
      <c r="AW1994" s="48"/>
      <c r="AX1994" s="48"/>
      <c r="AY1994" s="48"/>
      <c r="AZ1994" s="48"/>
      <c r="BA1994" s="48"/>
      <c r="BB1994" s="48"/>
      <c r="BC1994" s="48"/>
      <c r="BD1994" s="48"/>
    </row>
    <row r="1995" spans="1:56">
      <c r="A1995" s="48"/>
      <c r="B1995" s="48"/>
      <c r="C1995" s="49"/>
      <c r="D1995" s="48"/>
      <c r="E1995" s="48"/>
      <c r="F1995" s="48"/>
      <c r="G1995" s="48"/>
      <c r="H1995" s="48"/>
      <c r="I1995" s="48"/>
      <c r="J1995" s="86"/>
      <c r="K1995" s="86"/>
      <c r="L1995" s="86"/>
      <c r="M1995" s="86"/>
      <c r="N1995" s="86"/>
      <c r="O1995" s="86"/>
      <c r="P1995" s="86"/>
      <c r="Q1995" s="86"/>
      <c r="R1995" s="86"/>
      <c r="S1995" s="86"/>
      <c r="T1995" s="86"/>
      <c r="U1995" s="86"/>
      <c r="V1995" s="48"/>
      <c r="W1995" s="48"/>
      <c r="X1995" s="48"/>
      <c r="Y1995" s="48"/>
      <c r="Z1995" s="48"/>
      <c r="AA1995" s="48"/>
      <c r="AB1995" s="48"/>
      <c r="AC1995" s="48"/>
      <c r="AD1995" s="48"/>
      <c r="AE1995" s="48"/>
      <c r="AF1995" s="48"/>
      <c r="AG1995" s="48"/>
      <c r="AH1995" s="48"/>
      <c r="AI1995" s="48"/>
      <c r="AJ1995" s="48"/>
      <c r="AK1995" s="48"/>
      <c r="AL1995" s="48"/>
      <c r="AM1995" s="48"/>
      <c r="AN1995" s="48"/>
      <c r="AO1995" s="48"/>
      <c r="AP1995" s="48"/>
      <c r="AQ1995" s="48"/>
      <c r="AR1995" s="48"/>
      <c r="AS1995" s="48"/>
      <c r="AT1995" s="48"/>
      <c r="AU1995" s="48"/>
      <c r="AV1995" s="48"/>
      <c r="AW1995" s="48"/>
      <c r="AX1995" s="48"/>
      <c r="AY1995" s="48"/>
      <c r="AZ1995" s="48"/>
      <c r="BA1995" s="48"/>
      <c r="BB1995" s="48"/>
      <c r="BC1995" s="48"/>
      <c r="BD1995" s="48"/>
    </row>
    <row r="1996" spans="1:56">
      <c r="A1996" s="48"/>
      <c r="B1996" s="48"/>
      <c r="C1996" s="49"/>
      <c r="D1996" s="48"/>
      <c r="E1996" s="48"/>
      <c r="F1996" s="48"/>
      <c r="G1996" s="48"/>
      <c r="H1996" s="48"/>
      <c r="I1996" s="48"/>
      <c r="J1996" s="86"/>
      <c r="K1996" s="86"/>
      <c r="L1996" s="86"/>
      <c r="M1996" s="86"/>
      <c r="N1996" s="86"/>
      <c r="O1996" s="86"/>
      <c r="P1996" s="86"/>
      <c r="Q1996" s="86"/>
      <c r="R1996" s="86"/>
      <c r="S1996" s="86"/>
      <c r="T1996" s="86"/>
      <c r="U1996" s="86"/>
      <c r="V1996" s="48"/>
      <c r="W1996" s="48"/>
      <c r="X1996" s="48"/>
      <c r="Y1996" s="48"/>
      <c r="Z1996" s="48"/>
      <c r="AA1996" s="48"/>
      <c r="AB1996" s="48"/>
      <c r="AC1996" s="48"/>
      <c r="AD1996" s="48"/>
      <c r="AE1996" s="48"/>
      <c r="AF1996" s="48"/>
      <c r="AG1996" s="48"/>
      <c r="AH1996" s="48"/>
      <c r="AI1996" s="48"/>
      <c r="AJ1996" s="48"/>
      <c r="AK1996" s="48"/>
      <c r="AL1996" s="48"/>
      <c r="AM1996" s="48"/>
      <c r="AN1996" s="48"/>
      <c r="AO1996" s="48"/>
      <c r="AP1996" s="48"/>
      <c r="AQ1996" s="48"/>
      <c r="AR1996" s="48"/>
      <c r="AS1996" s="48"/>
      <c r="AT1996" s="48"/>
      <c r="AU1996" s="48"/>
      <c r="AV1996" s="48"/>
      <c r="AW1996" s="48"/>
      <c r="AX1996" s="48"/>
      <c r="AY1996" s="48"/>
      <c r="AZ1996" s="48"/>
      <c r="BA1996" s="48"/>
      <c r="BB1996" s="48"/>
      <c r="BC1996" s="48"/>
      <c r="BD1996" s="48"/>
    </row>
    <row r="1997" spans="1:56">
      <c r="A1997" s="48"/>
      <c r="B1997" s="48"/>
      <c r="C1997" s="49"/>
      <c r="D1997" s="48"/>
      <c r="E1997" s="48"/>
      <c r="F1997" s="48"/>
      <c r="G1997" s="48"/>
      <c r="H1997" s="48"/>
      <c r="I1997" s="48"/>
      <c r="J1997" s="86"/>
      <c r="K1997" s="86"/>
      <c r="L1997" s="86"/>
      <c r="M1997" s="86"/>
      <c r="N1997" s="86"/>
      <c r="O1997" s="86"/>
      <c r="P1997" s="86"/>
      <c r="Q1997" s="86"/>
      <c r="R1997" s="86"/>
      <c r="S1997" s="86"/>
      <c r="T1997" s="86"/>
      <c r="U1997" s="86"/>
      <c r="V1997" s="48"/>
      <c r="W1997" s="48"/>
      <c r="X1997" s="48"/>
      <c r="Y1997" s="48"/>
      <c r="Z1997" s="48"/>
      <c r="AA1997" s="48"/>
      <c r="AB1997" s="48"/>
      <c r="AC1997" s="48"/>
      <c r="AD1997" s="48"/>
      <c r="AE1997" s="48"/>
      <c r="AF1997" s="48"/>
      <c r="AG1997" s="48"/>
      <c r="AH1997" s="48"/>
      <c r="AI1997" s="48"/>
      <c r="AJ1997" s="48"/>
      <c r="AK1997" s="48"/>
      <c r="AL1997" s="48"/>
      <c r="AM1997" s="48"/>
      <c r="AN1997" s="48"/>
      <c r="AO1997" s="48"/>
      <c r="AP1997" s="48"/>
      <c r="AQ1997" s="48"/>
      <c r="AR1997" s="48"/>
      <c r="AS1997" s="48"/>
      <c r="AT1997" s="48"/>
      <c r="AU1997" s="48"/>
      <c r="AV1997" s="48"/>
      <c r="AW1997" s="48"/>
      <c r="AX1997" s="48"/>
      <c r="AY1997" s="48"/>
      <c r="AZ1997" s="48"/>
      <c r="BA1997" s="48"/>
      <c r="BB1997" s="48"/>
      <c r="BC1997" s="48"/>
      <c r="BD1997" s="48"/>
    </row>
    <row r="1998" spans="1:56">
      <c r="A1998" s="48"/>
      <c r="B1998" s="48"/>
      <c r="C1998" s="49"/>
      <c r="D1998" s="48"/>
      <c r="E1998" s="48"/>
      <c r="F1998" s="48"/>
      <c r="G1998" s="48"/>
      <c r="H1998" s="48"/>
      <c r="I1998" s="48"/>
      <c r="J1998" s="86"/>
      <c r="K1998" s="86"/>
      <c r="L1998" s="86"/>
      <c r="M1998" s="86"/>
      <c r="N1998" s="86"/>
      <c r="O1998" s="86"/>
      <c r="P1998" s="86"/>
      <c r="Q1998" s="86"/>
      <c r="R1998" s="86"/>
      <c r="S1998" s="86"/>
      <c r="T1998" s="86"/>
      <c r="U1998" s="86"/>
      <c r="V1998" s="48"/>
      <c r="W1998" s="48"/>
      <c r="X1998" s="48"/>
      <c r="Y1998" s="48"/>
      <c r="Z1998" s="48"/>
      <c r="AA1998" s="48"/>
      <c r="AB1998" s="48"/>
      <c r="AC1998" s="48"/>
      <c r="AD1998" s="48"/>
      <c r="AE1998" s="48"/>
      <c r="AF1998" s="48"/>
      <c r="AG1998" s="48"/>
      <c r="AH1998" s="48"/>
      <c r="AI1998" s="48"/>
      <c r="AJ1998" s="48"/>
      <c r="AK1998" s="48"/>
      <c r="AL1998" s="48"/>
      <c r="AM1998" s="48"/>
      <c r="AN1998" s="48"/>
      <c r="AO1998" s="48"/>
      <c r="AP1998" s="48"/>
      <c r="AQ1998" s="48"/>
      <c r="AR1998" s="48"/>
      <c r="AS1998" s="48"/>
      <c r="AT1998" s="48"/>
      <c r="AU1998" s="48"/>
      <c r="AV1998" s="48"/>
      <c r="AW1998" s="48"/>
      <c r="AX1998" s="48"/>
      <c r="AY1998" s="48"/>
      <c r="AZ1998" s="48"/>
      <c r="BA1998" s="48"/>
      <c r="BB1998" s="48"/>
      <c r="BC1998" s="48"/>
      <c r="BD1998" s="48"/>
    </row>
    <row r="1999" spans="1:56">
      <c r="A1999" s="48"/>
      <c r="B1999" s="48"/>
      <c r="C1999" s="49"/>
      <c r="D1999" s="48"/>
      <c r="E1999" s="48"/>
      <c r="F1999" s="48"/>
      <c r="G1999" s="48"/>
      <c r="H1999" s="48"/>
      <c r="I1999" s="48"/>
      <c r="J1999" s="86"/>
      <c r="K1999" s="86"/>
      <c r="L1999" s="86"/>
      <c r="M1999" s="86"/>
      <c r="N1999" s="86"/>
      <c r="O1999" s="86"/>
      <c r="P1999" s="86"/>
      <c r="Q1999" s="86"/>
      <c r="R1999" s="86"/>
      <c r="S1999" s="86"/>
      <c r="T1999" s="86"/>
      <c r="U1999" s="86"/>
      <c r="V1999" s="48"/>
      <c r="W1999" s="48"/>
      <c r="X1999" s="48"/>
      <c r="Y1999" s="48"/>
      <c r="Z1999" s="48"/>
      <c r="AA1999" s="48"/>
      <c r="AB1999" s="48"/>
      <c r="AC1999" s="48"/>
      <c r="AD1999" s="48"/>
      <c r="AE1999" s="48"/>
      <c r="AF1999" s="48"/>
      <c r="AG1999" s="48"/>
      <c r="AH1999" s="48"/>
      <c r="AI1999" s="48"/>
      <c r="AJ1999" s="48"/>
      <c r="AK1999" s="48"/>
      <c r="AL1999" s="48"/>
      <c r="AM1999" s="48"/>
      <c r="AN1999" s="48"/>
      <c r="AO1999" s="48"/>
      <c r="AP1999" s="48"/>
      <c r="AQ1999" s="48"/>
      <c r="AR1999" s="48"/>
      <c r="AS1999" s="48"/>
      <c r="AT1999" s="48"/>
      <c r="AU1999" s="48"/>
      <c r="AV1999" s="48"/>
      <c r="AW1999" s="48"/>
      <c r="AX1999" s="48"/>
      <c r="AY1999" s="48"/>
      <c r="AZ1999" s="48"/>
      <c r="BA1999" s="48"/>
      <c r="BB1999" s="48"/>
      <c r="BC1999" s="48"/>
      <c r="BD1999" s="48"/>
    </row>
    <row r="2000" spans="1:56">
      <c r="A2000" s="48"/>
      <c r="B2000" s="48"/>
      <c r="C2000" s="49"/>
      <c r="D2000" s="48"/>
      <c r="E2000" s="48"/>
      <c r="F2000" s="48"/>
      <c r="G2000" s="48"/>
      <c r="H2000" s="48"/>
      <c r="I2000" s="48"/>
      <c r="J2000" s="86"/>
      <c r="K2000" s="86"/>
      <c r="L2000" s="86"/>
      <c r="M2000" s="86"/>
      <c r="N2000" s="86"/>
      <c r="O2000" s="86"/>
      <c r="P2000" s="86"/>
      <c r="Q2000" s="86"/>
      <c r="R2000" s="86"/>
      <c r="S2000" s="86"/>
      <c r="T2000" s="86"/>
      <c r="U2000" s="86"/>
      <c r="V2000" s="48"/>
      <c r="W2000" s="48"/>
      <c r="X2000" s="48"/>
      <c r="Y2000" s="48"/>
      <c r="Z2000" s="48"/>
      <c r="AA2000" s="48"/>
      <c r="AB2000" s="48"/>
      <c r="AC2000" s="48"/>
      <c r="AD2000" s="48"/>
      <c r="AE2000" s="48"/>
      <c r="AF2000" s="48"/>
      <c r="AG2000" s="48"/>
      <c r="AH2000" s="48"/>
      <c r="AI2000" s="48"/>
      <c r="AJ2000" s="48"/>
      <c r="AK2000" s="48"/>
      <c r="AL2000" s="48"/>
      <c r="AM2000" s="48"/>
      <c r="AN2000" s="48"/>
      <c r="AO2000" s="48"/>
      <c r="AP2000" s="48"/>
      <c r="AQ2000" s="48"/>
      <c r="AR2000" s="48"/>
      <c r="AS2000" s="48"/>
      <c r="AT2000" s="48"/>
      <c r="AU2000" s="48"/>
      <c r="AV2000" s="48"/>
      <c r="AW2000" s="48"/>
      <c r="AX2000" s="48"/>
      <c r="AY2000" s="48"/>
      <c r="AZ2000" s="48"/>
      <c r="BA2000" s="48"/>
      <c r="BB2000" s="48"/>
      <c r="BC2000" s="48"/>
      <c r="BD2000" s="48"/>
    </row>
    <row r="2001" spans="1:56">
      <c r="A2001" s="48"/>
      <c r="B2001" s="48"/>
      <c r="C2001" s="49"/>
      <c r="D2001" s="48"/>
      <c r="E2001" s="48"/>
      <c r="F2001" s="48"/>
      <c r="G2001" s="48"/>
      <c r="H2001" s="48"/>
      <c r="I2001" s="48"/>
      <c r="J2001" s="86"/>
      <c r="K2001" s="86"/>
      <c r="L2001" s="86"/>
      <c r="M2001" s="86"/>
      <c r="N2001" s="86"/>
      <c r="O2001" s="86"/>
      <c r="P2001" s="86"/>
      <c r="Q2001" s="86"/>
      <c r="R2001" s="86"/>
      <c r="S2001" s="86"/>
      <c r="T2001" s="86"/>
      <c r="U2001" s="86"/>
      <c r="V2001" s="48"/>
      <c r="W2001" s="48"/>
      <c r="X2001" s="48"/>
      <c r="Y2001" s="48"/>
      <c r="Z2001" s="48"/>
      <c r="AA2001" s="48"/>
      <c r="AB2001" s="48"/>
      <c r="AC2001" s="48"/>
      <c r="AD2001" s="48"/>
      <c r="AE2001" s="48"/>
      <c r="AF2001" s="48"/>
      <c r="AG2001" s="48"/>
      <c r="AH2001" s="48"/>
      <c r="AI2001" s="48"/>
      <c r="AJ2001" s="48"/>
      <c r="AK2001" s="48"/>
      <c r="AL2001" s="48"/>
      <c r="AM2001" s="48"/>
      <c r="AN2001" s="48"/>
      <c r="AO2001" s="48"/>
      <c r="AP2001" s="48"/>
      <c r="AQ2001" s="48"/>
      <c r="AR2001" s="48"/>
      <c r="AS2001" s="48"/>
      <c r="AT2001" s="48"/>
      <c r="AU2001" s="48"/>
      <c r="AV2001" s="48"/>
      <c r="AW2001" s="48"/>
      <c r="AX2001" s="48"/>
      <c r="AY2001" s="48"/>
      <c r="AZ2001" s="48"/>
      <c r="BA2001" s="48"/>
      <c r="BB2001" s="48"/>
      <c r="BC2001" s="48"/>
      <c r="BD2001" s="48"/>
    </row>
    <row r="2002" spans="1:56">
      <c r="A2002" s="48"/>
      <c r="B2002" s="48"/>
      <c r="C2002" s="49"/>
      <c r="D2002" s="48"/>
      <c r="E2002" s="48"/>
      <c r="F2002" s="48"/>
      <c r="G2002" s="48"/>
      <c r="H2002" s="48"/>
      <c r="I2002" s="48"/>
      <c r="J2002" s="86"/>
      <c r="K2002" s="86"/>
      <c r="L2002" s="86"/>
      <c r="M2002" s="86"/>
      <c r="N2002" s="86"/>
      <c r="O2002" s="86"/>
      <c r="P2002" s="86"/>
      <c r="Q2002" s="86"/>
      <c r="R2002" s="86"/>
      <c r="S2002" s="86"/>
      <c r="T2002" s="86"/>
      <c r="U2002" s="86"/>
      <c r="V2002" s="48"/>
      <c r="W2002" s="48"/>
      <c r="X2002" s="48"/>
      <c r="Y2002" s="48"/>
      <c r="Z2002" s="48"/>
      <c r="AA2002" s="48"/>
      <c r="AB2002" s="48"/>
      <c r="AC2002" s="48"/>
      <c r="AD2002" s="48"/>
      <c r="AE2002" s="48"/>
      <c r="AF2002" s="48"/>
      <c r="AG2002" s="48"/>
      <c r="AH2002" s="48"/>
      <c r="AI2002" s="48"/>
      <c r="AJ2002" s="48"/>
      <c r="AK2002" s="48"/>
      <c r="AL2002" s="48"/>
      <c r="AM2002" s="48"/>
      <c r="AN2002" s="48"/>
      <c r="AO2002" s="48"/>
      <c r="AP2002" s="48"/>
      <c r="AQ2002" s="48"/>
      <c r="AR2002" s="48"/>
      <c r="AS2002" s="48"/>
      <c r="AT2002" s="48"/>
      <c r="AU2002" s="48"/>
      <c r="AV2002" s="48"/>
      <c r="AW2002" s="48"/>
      <c r="AX2002" s="48"/>
      <c r="AY2002" s="48"/>
      <c r="AZ2002" s="48"/>
      <c r="BA2002" s="48"/>
      <c r="BB2002" s="48"/>
      <c r="BC2002" s="48"/>
      <c r="BD2002" s="48"/>
    </row>
    <row r="2003" spans="1:56">
      <c r="A2003" s="48"/>
      <c r="B2003" s="48"/>
      <c r="C2003" s="49"/>
      <c r="D2003" s="48"/>
      <c r="E2003" s="48"/>
      <c r="F2003" s="48"/>
      <c r="G2003" s="48"/>
      <c r="H2003" s="48"/>
      <c r="I2003" s="48"/>
      <c r="J2003" s="86"/>
      <c r="K2003" s="86"/>
      <c r="L2003" s="86"/>
      <c r="M2003" s="86"/>
      <c r="N2003" s="86"/>
      <c r="O2003" s="86"/>
      <c r="P2003" s="86"/>
      <c r="Q2003" s="86"/>
      <c r="R2003" s="86"/>
      <c r="S2003" s="86"/>
      <c r="T2003" s="86"/>
      <c r="U2003" s="86"/>
      <c r="V2003" s="48"/>
      <c r="W2003" s="48"/>
      <c r="X2003" s="48"/>
      <c r="Y2003" s="48"/>
      <c r="Z2003" s="48"/>
      <c r="AA2003" s="48"/>
      <c r="AB2003" s="48"/>
      <c r="AC2003" s="48"/>
      <c r="AD2003" s="48"/>
      <c r="AE2003" s="48"/>
      <c r="AF2003" s="48"/>
      <c r="AG2003" s="48"/>
      <c r="AH2003" s="48"/>
      <c r="AI2003" s="48"/>
      <c r="AJ2003" s="48"/>
      <c r="AK2003" s="48"/>
      <c r="AL2003" s="48"/>
      <c r="AM2003" s="48"/>
      <c r="AN2003" s="48"/>
      <c r="AO2003" s="48"/>
      <c r="AP2003" s="48"/>
      <c r="AQ2003" s="48"/>
      <c r="AR2003" s="48"/>
      <c r="AS2003" s="48"/>
      <c r="AT2003" s="48"/>
      <c r="AU2003" s="48"/>
      <c r="AV2003" s="48"/>
      <c r="AW2003" s="48"/>
      <c r="AX2003" s="48"/>
      <c r="AY2003" s="48"/>
      <c r="AZ2003" s="48"/>
      <c r="BA2003" s="48"/>
      <c r="BB2003" s="48"/>
      <c r="BC2003" s="48"/>
      <c r="BD2003" s="48"/>
    </row>
    <row r="2004" spans="1:56">
      <c r="A2004" s="48"/>
      <c r="B2004" s="48"/>
      <c r="C2004" s="49"/>
      <c r="D2004" s="48"/>
      <c r="E2004" s="48"/>
      <c r="F2004" s="48"/>
      <c r="G2004" s="48"/>
      <c r="H2004" s="48"/>
      <c r="I2004" s="48"/>
      <c r="J2004" s="86"/>
      <c r="K2004" s="86"/>
      <c r="L2004" s="86"/>
      <c r="M2004" s="86"/>
      <c r="N2004" s="86"/>
      <c r="O2004" s="86"/>
      <c r="P2004" s="86"/>
      <c r="Q2004" s="86"/>
      <c r="R2004" s="86"/>
      <c r="S2004" s="86"/>
      <c r="T2004" s="86"/>
      <c r="U2004" s="86"/>
      <c r="V2004" s="48"/>
      <c r="W2004" s="48"/>
      <c r="X2004" s="48"/>
      <c r="Y2004" s="48"/>
      <c r="Z2004" s="48"/>
      <c r="AA2004" s="48"/>
      <c r="AB2004" s="48"/>
      <c r="AC2004" s="48"/>
      <c r="AD2004" s="48"/>
      <c r="AE2004" s="48"/>
      <c r="AF2004" s="48"/>
      <c r="AG2004" s="48"/>
      <c r="AH2004" s="48"/>
      <c r="AI2004" s="48"/>
      <c r="AJ2004" s="48"/>
      <c r="AK2004" s="48"/>
      <c r="AL2004" s="48"/>
      <c r="AM2004" s="48"/>
      <c r="AN2004" s="48"/>
      <c r="AO2004" s="48"/>
      <c r="AP2004" s="48"/>
      <c r="AQ2004" s="48"/>
      <c r="AR2004" s="48"/>
      <c r="AS2004" s="48"/>
      <c r="AT2004" s="48"/>
      <c r="AU2004" s="48"/>
      <c r="AV2004" s="48"/>
      <c r="AW2004" s="48"/>
      <c r="AX2004" s="48"/>
      <c r="AY2004" s="48"/>
      <c r="AZ2004" s="48"/>
      <c r="BA2004" s="48"/>
      <c r="BB2004" s="48"/>
      <c r="BC2004" s="48"/>
      <c r="BD2004" s="48"/>
    </row>
    <row r="2005" spans="1:56">
      <c r="A2005" s="48"/>
      <c r="B2005" s="48"/>
      <c r="C2005" s="49"/>
      <c r="D2005" s="48"/>
      <c r="E2005" s="48"/>
      <c r="F2005" s="48"/>
      <c r="G2005" s="48"/>
      <c r="H2005" s="48"/>
      <c r="I2005" s="48"/>
      <c r="J2005" s="86"/>
      <c r="K2005" s="86"/>
      <c r="L2005" s="86"/>
      <c r="M2005" s="86"/>
      <c r="N2005" s="86"/>
      <c r="O2005" s="86"/>
      <c r="P2005" s="86"/>
      <c r="Q2005" s="86"/>
      <c r="R2005" s="86"/>
      <c r="S2005" s="86"/>
      <c r="T2005" s="86"/>
      <c r="U2005" s="86"/>
      <c r="V2005" s="48"/>
      <c r="W2005" s="48"/>
      <c r="X2005" s="48"/>
      <c r="Y2005" s="48"/>
      <c r="Z2005" s="48"/>
      <c r="AA2005" s="48"/>
      <c r="AB2005" s="48"/>
      <c r="AC2005" s="48"/>
      <c r="AD2005" s="48"/>
      <c r="AE2005" s="48"/>
      <c r="AF2005" s="48"/>
      <c r="AG2005" s="48"/>
      <c r="AH2005" s="48"/>
      <c r="AI2005" s="48"/>
      <c r="AJ2005" s="48"/>
      <c r="AK2005" s="48"/>
      <c r="AL2005" s="48"/>
      <c r="AM2005" s="48"/>
      <c r="AN2005" s="48"/>
      <c r="AO2005" s="48"/>
      <c r="AP2005" s="48"/>
      <c r="AQ2005" s="48"/>
      <c r="AR2005" s="48"/>
      <c r="AS2005" s="48"/>
      <c r="AT2005" s="48"/>
      <c r="AU2005" s="48"/>
      <c r="AV2005" s="48"/>
      <c r="AW2005" s="48"/>
      <c r="AX2005" s="48"/>
      <c r="AY2005" s="48"/>
      <c r="AZ2005" s="48"/>
      <c r="BA2005" s="48"/>
      <c r="BB2005" s="48"/>
      <c r="BC2005" s="48"/>
      <c r="BD2005" s="48"/>
    </row>
    <row r="2006" spans="1:56">
      <c r="A2006" s="48"/>
      <c r="B2006" s="48"/>
      <c r="C2006" s="49"/>
      <c r="D2006" s="48"/>
      <c r="E2006" s="48"/>
      <c r="F2006" s="48"/>
      <c r="G2006" s="48"/>
      <c r="H2006" s="48"/>
      <c r="I2006" s="48"/>
      <c r="J2006" s="86"/>
      <c r="K2006" s="86"/>
      <c r="L2006" s="86"/>
      <c r="M2006" s="86"/>
      <c r="N2006" s="86"/>
      <c r="O2006" s="86"/>
      <c r="P2006" s="86"/>
      <c r="Q2006" s="86"/>
      <c r="R2006" s="86"/>
      <c r="S2006" s="86"/>
      <c r="T2006" s="86"/>
      <c r="U2006" s="86"/>
      <c r="V2006" s="48"/>
      <c r="W2006" s="48"/>
      <c r="X2006" s="48"/>
      <c r="Y2006" s="48"/>
      <c r="Z2006" s="48"/>
      <c r="AA2006" s="48"/>
      <c r="AB2006" s="48"/>
      <c r="AC2006" s="48"/>
      <c r="AD2006" s="48"/>
      <c r="AE2006" s="48"/>
      <c r="AF2006" s="48"/>
      <c r="AG2006" s="48"/>
      <c r="AH2006" s="48"/>
      <c r="AI2006" s="48"/>
      <c r="AJ2006" s="48"/>
      <c r="AK2006" s="48"/>
      <c r="AL2006" s="48"/>
      <c r="AM2006" s="48"/>
      <c r="AN2006" s="48"/>
      <c r="AO2006" s="48"/>
      <c r="AP2006" s="48"/>
      <c r="AQ2006" s="48"/>
      <c r="AR2006" s="48"/>
      <c r="AS2006" s="48"/>
      <c r="AT2006" s="48"/>
      <c r="AU2006" s="48"/>
      <c r="AV2006" s="48"/>
      <c r="AW2006" s="48"/>
      <c r="AX2006" s="48"/>
      <c r="AY2006" s="48"/>
      <c r="AZ2006" s="48"/>
      <c r="BA2006" s="48"/>
      <c r="BB2006" s="48"/>
      <c r="BC2006" s="48"/>
      <c r="BD2006" s="48"/>
    </row>
    <row r="2007" spans="1:56">
      <c r="A2007" s="48"/>
      <c r="B2007" s="48"/>
      <c r="C2007" s="49"/>
      <c r="D2007" s="48"/>
      <c r="E2007" s="48"/>
      <c r="F2007" s="48"/>
      <c r="G2007" s="48"/>
      <c r="H2007" s="48"/>
      <c r="I2007" s="48"/>
      <c r="J2007" s="86"/>
      <c r="K2007" s="86"/>
      <c r="L2007" s="86"/>
      <c r="M2007" s="86"/>
      <c r="N2007" s="86"/>
      <c r="O2007" s="86"/>
      <c r="P2007" s="86"/>
      <c r="Q2007" s="86"/>
      <c r="R2007" s="86"/>
      <c r="S2007" s="86"/>
      <c r="T2007" s="86"/>
      <c r="U2007" s="86"/>
      <c r="V2007" s="48"/>
      <c r="W2007" s="48"/>
      <c r="X2007" s="48"/>
      <c r="Y2007" s="48"/>
      <c r="Z2007" s="48"/>
      <c r="AA2007" s="48"/>
      <c r="AB2007" s="48"/>
      <c r="AC2007" s="48"/>
      <c r="AD2007" s="48"/>
      <c r="AE2007" s="48"/>
      <c r="AF2007" s="48"/>
      <c r="AG2007" s="48"/>
      <c r="AH2007" s="48"/>
      <c r="AI2007" s="48"/>
      <c r="AJ2007" s="48"/>
      <c r="AK2007" s="48"/>
      <c r="AL2007" s="48"/>
      <c r="AM2007" s="48"/>
      <c r="AN2007" s="48"/>
      <c r="AO2007" s="48"/>
      <c r="AP2007" s="48"/>
      <c r="AQ2007" s="48"/>
      <c r="AR2007" s="48"/>
      <c r="AS2007" s="48"/>
      <c r="AT2007" s="48"/>
      <c r="AU2007" s="48"/>
      <c r="AV2007" s="48"/>
      <c r="AW2007" s="48"/>
      <c r="AX2007" s="48"/>
      <c r="AY2007" s="48"/>
      <c r="AZ2007" s="48"/>
      <c r="BA2007" s="48"/>
      <c r="BB2007" s="48"/>
      <c r="BC2007" s="48"/>
      <c r="BD2007" s="48"/>
    </row>
    <row r="2008" spans="1:56">
      <c r="A2008" s="48"/>
      <c r="B2008" s="48"/>
      <c r="C2008" s="49"/>
      <c r="D2008" s="48"/>
      <c r="E2008" s="48"/>
      <c r="F2008" s="48"/>
      <c r="G2008" s="48"/>
      <c r="H2008" s="48"/>
      <c r="I2008" s="48"/>
      <c r="J2008" s="86"/>
      <c r="K2008" s="86"/>
      <c r="L2008" s="86"/>
      <c r="M2008" s="86"/>
      <c r="N2008" s="86"/>
      <c r="O2008" s="86"/>
      <c r="P2008" s="86"/>
      <c r="Q2008" s="86"/>
      <c r="R2008" s="86"/>
      <c r="S2008" s="86"/>
      <c r="T2008" s="86"/>
      <c r="U2008" s="86"/>
      <c r="V2008" s="48"/>
      <c r="W2008" s="48"/>
      <c r="X2008" s="48"/>
      <c r="Y2008" s="48"/>
      <c r="Z2008" s="48"/>
      <c r="AA2008" s="48"/>
      <c r="AB2008" s="48"/>
      <c r="AC2008" s="48"/>
      <c r="AD2008" s="48"/>
      <c r="AE2008" s="48"/>
      <c r="AF2008" s="48"/>
      <c r="AG2008" s="48"/>
      <c r="AH2008" s="48"/>
      <c r="AI2008" s="48"/>
      <c r="AJ2008" s="48"/>
      <c r="AK2008" s="48"/>
      <c r="AL2008" s="48"/>
      <c r="AM2008" s="48"/>
      <c r="AN2008" s="48"/>
      <c r="AO2008" s="48"/>
      <c r="AP2008" s="48"/>
      <c r="AQ2008" s="48"/>
      <c r="AR2008" s="48"/>
      <c r="AS2008" s="48"/>
      <c r="AT2008" s="48"/>
      <c r="AU2008" s="48"/>
      <c r="AV2008" s="48"/>
      <c r="AW2008" s="48"/>
      <c r="AX2008" s="48"/>
      <c r="AY2008" s="48"/>
      <c r="AZ2008" s="48"/>
      <c r="BA2008" s="48"/>
      <c r="BB2008" s="48"/>
      <c r="BC2008" s="48"/>
      <c r="BD2008" s="48"/>
    </row>
    <row r="2009" spans="1:56">
      <c r="A2009" s="48"/>
      <c r="B2009" s="48"/>
      <c r="C2009" s="49"/>
      <c r="D2009" s="48"/>
      <c r="E2009" s="48"/>
      <c r="F2009" s="48"/>
      <c r="G2009" s="48"/>
      <c r="H2009" s="48"/>
      <c r="I2009" s="48"/>
      <c r="J2009" s="86"/>
      <c r="K2009" s="86"/>
      <c r="L2009" s="86"/>
      <c r="M2009" s="86"/>
      <c r="N2009" s="86"/>
      <c r="O2009" s="86"/>
      <c r="P2009" s="86"/>
      <c r="Q2009" s="86"/>
      <c r="R2009" s="86"/>
      <c r="S2009" s="86"/>
      <c r="T2009" s="86"/>
      <c r="U2009" s="86"/>
      <c r="V2009" s="48"/>
      <c r="W2009" s="48"/>
      <c r="X2009" s="48"/>
      <c r="Y2009" s="48"/>
      <c r="Z2009" s="48"/>
      <c r="AA2009" s="48"/>
      <c r="AB2009" s="48"/>
      <c r="AC2009" s="48"/>
      <c r="AD2009" s="48"/>
      <c r="AE2009" s="48"/>
      <c r="AF2009" s="48"/>
      <c r="AG2009" s="48"/>
      <c r="AH2009" s="48"/>
      <c r="AI2009" s="48"/>
      <c r="AJ2009" s="48"/>
      <c r="AK2009" s="48"/>
      <c r="AL2009" s="48"/>
      <c r="AM2009" s="48"/>
      <c r="AN2009" s="48"/>
      <c r="AO2009" s="48"/>
      <c r="AP2009" s="48"/>
      <c r="AQ2009" s="48"/>
      <c r="AR2009" s="48"/>
      <c r="AS2009" s="48"/>
      <c r="AT2009" s="48"/>
      <c r="AU2009" s="48"/>
      <c r="AV2009" s="48"/>
      <c r="AW2009" s="48"/>
      <c r="AX2009" s="48"/>
      <c r="AY2009" s="48"/>
      <c r="AZ2009" s="48"/>
      <c r="BA2009" s="48"/>
      <c r="BB2009" s="48"/>
      <c r="BC2009" s="48"/>
      <c r="BD2009" s="48"/>
    </row>
    <row r="2010" spans="1:56">
      <c r="A2010" s="48"/>
      <c r="B2010" s="48"/>
      <c r="C2010" s="49"/>
      <c r="D2010" s="48"/>
      <c r="E2010" s="48"/>
      <c r="F2010" s="48"/>
      <c r="G2010" s="48"/>
      <c r="H2010" s="48"/>
      <c r="I2010" s="48"/>
      <c r="J2010" s="86"/>
      <c r="K2010" s="86"/>
      <c r="L2010" s="86"/>
      <c r="M2010" s="86"/>
      <c r="N2010" s="86"/>
      <c r="O2010" s="86"/>
      <c r="P2010" s="86"/>
      <c r="Q2010" s="86"/>
      <c r="R2010" s="86"/>
      <c r="S2010" s="86"/>
      <c r="T2010" s="86"/>
      <c r="U2010" s="86"/>
      <c r="V2010" s="48"/>
      <c r="W2010" s="48"/>
      <c r="X2010" s="48"/>
      <c r="Y2010" s="48"/>
      <c r="Z2010" s="48"/>
      <c r="AA2010" s="48"/>
      <c r="AB2010" s="48"/>
      <c r="AC2010" s="48"/>
      <c r="AD2010" s="48"/>
      <c r="AE2010" s="48"/>
      <c r="AF2010" s="48"/>
      <c r="AG2010" s="48"/>
      <c r="AH2010" s="48"/>
      <c r="AI2010" s="48"/>
      <c r="AJ2010" s="48"/>
      <c r="AK2010" s="48"/>
      <c r="AL2010" s="48"/>
      <c r="AM2010" s="48"/>
      <c r="AN2010" s="48"/>
      <c r="AO2010" s="48"/>
      <c r="AP2010" s="48"/>
      <c r="AQ2010" s="48"/>
      <c r="AR2010" s="48"/>
      <c r="AS2010" s="48"/>
      <c r="AT2010" s="48"/>
      <c r="AU2010" s="48"/>
      <c r="AV2010" s="48"/>
      <c r="AW2010" s="48"/>
      <c r="AX2010" s="48"/>
      <c r="AY2010" s="48"/>
      <c r="AZ2010" s="48"/>
      <c r="BA2010" s="48"/>
      <c r="BB2010" s="48"/>
      <c r="BC2010" s="48"/>
      <c r="BD2010" s="48"/>
    </row>
    <row r="2011" spans="1:56">
      <c r="A2011" s="48"/>
      <c r="B2011" s="48"/>
      <c r="C2011" s="49"/>
      <c r="D2011" s="48"/>
      <c r="E2011" s="48"/>
      <c r="F2011" s="48"/>
      <c r="G2011" s="48"/>
      <c r="H2011" s="48"/>
      <c r="I2011" s="48"/>
      <c r="J2011" s="86"/>
      <c r="K2011" s="86"/>
      <c r="L2011" s="86"/>
      <c r="M2011" s="86"/>
      <c r="N2011" s="86"/>
      <c r="O2011" s="86"/>
      <c r="P2011" s="86"/>
      <c r="Q2011" s="86"/>
      <c r="R2011" s="86"/>
      <c r="S2011" s="86"/>
      <c r="T2011" s="86"/>
      <c r="U2011" s="86"/>
      <c r="V2011" s="48"/>
      <c r="W2011" s="48"/>
      <c r="X2011" s="48"/>
      <c r="Y2011" s="48"/>
      <c r="Z2011" s="48"/>
      <c r="AA2011" s="48"/>
      <c r="AB2011" s="48"/>
      <c r="AC2011" s="48"/>
      <c r="AD2011" s="48"/>
      <c r="AE2011" s="48"/>
      <c r="AF2011" s="48"/>
      <c r="AG2011" s="48"/>
      <c r="AH2011" s="48"/>
      <c r="AI2011" s="48"/>
      <c r="AJ2011" s="48"/>
      <c r="AK2011" s="48"/>
      <c r="AL2011" s="48"/>
      <c r="AM2011" s="48"/>
      <c r="AN2011" s="48"/>
      <c r="AO2011" s="48"/>
      <c r="AP2011" s="48"/>
      <c r="AQ2011" s="48"/>
      <c r="AR2011" s="48"/>
      <c r="AS2011" s="48"/>
      <c r="AT2011" s="48"/>
      <c r="AU2011" s="48"/>
      <c r="AV2011" s="48"/>
      <c r="AW2011" s="48"/>
      <c r="AX2011" s="48"/>
      <c r="AY2011" s="48"/>
      <c r="AZ2011" s="48"/>
      <c r="BA2011" s="48"/>
      <c r="BB2011" s="48"/>
      <c r="BC2011" s="48"/>
      <c r="BD2011" s="48"/>
    </row>
    <row r="2012" spans="1:56">
      <c r="A2012" s="48"/>
      <c r="B2012" s="48"/>
      <c r="C2012" s="49"/>
      <c r="D2012" s="48"/>
      <c r="E2012" s="48"/>
      <c r="F2012" s="48"/>
      <c r="G2012" s="48"/>
      <c r="H2012" s="48"/>
      <c r="I2012" s="48"/>
      <c r="J2012" s="86"/>
      <c r="K2012" s="86"/>
      <c r="L2012" s="86"/>
      <c r="M2012" s="86"/>
      <c r="N2012" s="86"/>
      <c r="O2012" s="86"/>
      <c r="P2012" s="86"/>
      <c r="Q2012" s="86"/>
      <c r="R2012" s="86"/>
      <c r="S2012" s="86"/>
      <c r="T2012" s="86"/>
      <c r="U2012" s="86"/>
      <c r="V2012" s="48"/>
      <c r="W2012" s="48"/>
      <c r="X2012" s="48"/>
      <c r="Y2012" s="48"/>
      <c r="Z2012" s="48"/>
      <c r="AA2012" s="48"/>
      <c r="AB2012" s="48"/>
      <c r="AC2012" s="48"/>
      <c r="AD2012" s="48"/>
      <c r="AE2012" s="48"/>
      <c r="AF2012" s="48"/>
      <c r="AG2012" s="48"/>
      <c r="AH2012" s="48"/>
      <c r="AI2012" s="48"/>
      <c r="AJ2012" s="48"/>
      <c r="AK2012" s="48"/>
      <c r="AL2012" s="48"/>
      <c r="AM2012" s="48"/>
      <c r="AN2012" s="48"/>
      <c r="AO2012" s="48"/>
      <c r="AP2012" s="48"/>
      <c r="AQ2012" s="48"/>
      <c r="AR2012" s="48"/>
      <c r="AS2012" s="48"/>
      <c r="AT2012" s="48"/>
      <c r="AU2012" s="48"/>
      <c r="AV2012" s="48"/>
      <c r="AW2012" s="48"/>
      <c r="AX2012" s="48"/>
      <c r="AY2012" s="48"/>
      <c r="AZ2012" s="48"/>
      <c r="BA2012" s="48"/>
      <c r="BB2012" s="48"/>
      <c r="BC2012" s="48"/>
      <c r="BD2012" s="48"/>
    </row>
    <row r="2013" spans="1:56">
      <c r="A2013" s="48"/>
      <c r="B2013" s="48"/>
      <c r="C2013" s="49"/>
      <c r="D2013" s="48"/>
      <c r="E2013" s="48"/>
      <c r="F2013" s="48"/>
      <c r="G2013" s="48"/>
      <c r="H2013" s="48"/>
      <c r="I2013" s="48"/>
      <c r="J2013" s="86"/>
      <c r="K2013" s="86"/>
      <c r="L2013" s="86"/>
      <c r="M2013" s="86"/>
      <c r="N2013" s="86"/>
      <c r="O2013" s="86"/>
      <c r="P2013" s="86"/>
      <c r="Q2013" s="86"/>
      <c r="R2013" s="86"/>
      <c r="S2013" s="86"/>
      <c r="T2013" s="86"/>
      <c r="U2013" s="86"/>
      <c r="V2013" s="48"/>
      <c r="W2013" s="48"/>
      <c r="X2013" s="48"/>
      <c r="Y2013" s="48"/>
      <c r="Z2013" s="48"/>
      <c r="AA2013" s="48"/>
      <c r="AB2013" s="48"/>
      <c r="AC2013" s="48"/>
      <c r="AD2013" s="48"/>
      <c r="AE2013" s="48"/>
      <c r="AF2013" s="48"/>
      <c r="AG2013" s="48"/>
      <c r="AH2013" s="48"/>
      <c r="AI2013" s="48"/>
      <c r="AJ2013" s="48"/>
      <c r="AK2013" s="48"/>
      <c r="AL2013" s="48"/>
      <c r="AM2013" s="48"/>
      <c r="AN2013" s="48"/>
      <c r="AO2013" s="48"/>
      <c r="AP2013" s="48"/>
      <c r="AQ2013" s="48"/>
      <c r="AR2013" s="48"/>
      <c r="AS2013" s="48"/>
      <c r="AT2013" s="48"/>
      <c r="AU2013" s="48"/>
      <c r="AV2013" s="48"/>
      <c r="AW2013" s="48"/>
      <c r="AX2013" s="48"/>
      <c r="AY2013" s="48"/>
      <c r="AZ2013" s="48"/>
      <c r="BA2013" s="48"/>
      <c r="BB2013" s="48"/>
      <c r="BC2013" s="48"/>
      <c r="BD2013" s="48"/>
    </row>
    <row r="2014" spans="1:56">
      <c r="A2014" s="48"/>
      <c r="B2014" s="48"/>
      <c r="C2014" s="49"/>
      <c r="D2014" s="48"/>
      <c r="E2014" s="48"/>
      <c r="F2014" s="48"/>
      <c r="G2014" s="48"/>
      <c r="H2014" s="48"/>
      <c r="I2014" s="48"/>
      <c r="J2014" s="86"/>
      <c r="K2014" s="86"/>
      <c r="L2014" s="86"/>
      <c r="M2014" s="86"/>
      <c r="N2014" s="86"/>
      <c r="O2014" s="86"/>
      <c r="P2014" s="86"/>
      <c r="Q2014" s="86"/>
      <c r="R2014" s="86"/>
      <c r="S2014" s="86"/>
      <c r="T2014" s="86"/>
      <c r="U2014" s="86"/>
      <c r="V2014" s="48"/>
      <c r="W2014" s="48"/>
      <c r="X2014" s="48"/>
      <c r="Y2014" s="48"/>
      <c r="Z2014" s="48"/>
      <c r="AA2014" s="48"/>
      <c r="AB2014" s="48"/>
      <c r="AC2014" s="48"/>
      <c r="AD2014" s="48"/>
      <c r="AE2014" s="48"/>
      <c r="AF2014" s="48"/>
      <c r="AG2014" s="48"/>
      <c r="AH2014" s="48"/>
      <c r="AI2014" s="48"/>
      <c r="AJ2014" s="48"/>
      <c r="AK2014" s="48"/>
      <c r="AL2014" s="48"/>
      <c r="AM2014" s="48"/>
      <c r="AN2014" s="48"/>
      <c r="AO2014" s="48"/>
      <c r="AP2014" s="48"/>
      <c r="AQ2014" s="48"/>
      <c r="AR2014" s="48"/>
      <c r="AS2014" s="48"/>
      <c r="AT2014" s="48"/>
      <c r="AU2014" s="48"/>
      <c r="AV2014" s="48"/>
      <c r="AW2014" s="48"/>
      <c r="AX2014" s="48"/>
      <c r="AY2014" s="48"/>
      <c r="AZ2014" s="48"/>
      <c r="BA2014" s="48"/>
      <c r="BB2014" s="48"/>
      <c r="BC2014" s="48"/>
      <c r="BD2014" s="48"/>
    </row>
    <row r="2015" spans="1:56">
      <c r="A2015" s="48"/>
      <c r="B2015" s="48"/>
      <c r="C2015" s="49"/>
      <c r="D2015" s="48"/>
      <c r="E2015" s="48"/>
      <c r="F2015" s="48"/>
      <c r="G2015" s="48"/>
      <c r="H2015" s="48"/>
      <c r="I2015" s="48"/>
      <c r="J2015" s="86"/>
      <c r="K2015" s="86"/>
      <c r="L2015" s="86"/>
      <c r="M2015" s="86"/>
      <c r="N2015" s="86"/>
      <c r="O2015" s="86"/>
      <c r="P2015" s="86"/>
      <c r="Q2015" s="86"/>
      <c r="R2015" s="86"/>
      <c r="S2015" s="86"/>
      <c r="T2015" s="86"/>
      <c r="U2015" s="86"/>
      <c r="V2015" s="48"/>
      <c r="W2015" s="48"/>
      <c r="X2015" s="48"/>
      <c r="Y2015" s="48"/>
      <c r="Z2015" s="48"/>
      <c r="AA2015" s="48"/>
      <c r="AB2015" s="48"/>
      <c r="AC2015" s="48"/>
      <c r="AD2015" s="48"/>
      <c r="AE2015" s="48"/>
      <c r="AF2015" s="48"/>
      <c r="AG2015" s="48"/>
      <c r="AH2015" s="48"/>
      <c r="AI2015" s="48"/>
      <c r="AJ2015" s="48"/>
      <c r="AK2015" s="48"/>
      <c r="AL2015" s="48"/>
      <c r="AM2015" s="48"/>
      <c r="AN2015" s="48"/>
      <c r="AO2015" s="48"/>
      <c r="AP2015" s="48"/>
      <c r="AQ2015" s="48"/>
      <c r="AR2015" s="48"/>
      <c r="AS2015" s="48"/>
      <c r="AT2015" s="48"/>
      <c r="AU2015" s="48"/>
      <c r="AV2015" s="48"/>
      <c r="AW2015" s="48"/>
      <c r="AX2015" s="48"/>
      <c r="AY2015" s="48"/>
      <c r="AZ2015" s="48"/>
      <c r="BA2015" s="48"/>
      <c r="BB2015" s="48"/>
      <c r="BC2015" s="48"/>
      <c r="BD2015" s="48"/>
    </row>
    <row r="2016" spans="1:56">
      <c r="A2016" s="48"/>
      <c r="B2016" s="48"/>
      <c r="C2016" s="49"/>
      <c r="D2016" s="48"/>
      <c r="E2016" s="48"/>
      <c r="F2016" s="48"/>
      <c r="G2016" s="48"/>
      <c r="H2016" s="48"/>
      <c r="I2016" s="48"/>
      <c r="J2016" s="86"/>
      <c r="K2016" s="86"/>
      <c r="L2016" s="86"/>
      <c r="M2016" s="86"/>
      <c r="N2016" s="86"/>
      <c r="O2016" s="86"/>
      <c r="P2016" s="86"/>
      <c r="Q2016" s="86"/>
      <c r="R2016" s="86"/>
      <c r="S2016" s="86"/>
      <c r="T2016" s="86"/>
      <c r="U2016" s="86"/>
      <c r="V2016" s="48"/>
      <c r="W2016" s="48"/>
      <c r="X2016" s="48"/>
      <c r="Y2016" s="48"/>
      <c r="Z2016" s="48"/>
      <c r="AA2016" s="48"/>
      <c r="AB2016" s="48"/>
      <c r="AC2016" s="48"/>
      <c r="AD2016" s="48"/>
      <c r="AE2016" s="48"/>
      <c r="AF2016" s="48"/>
      <c r="AG2016" s="48"/>
      <c r="AH2016" s="48"/>
      <c r="AI2016" s="48"/>
      <c r="AJ2016" s="48"/>
      <c r="AK2016" s="48"/>
      <c r="AL2016" s="48"/>
      <c r="AM2016" s="48"/>
      <c r="AN2016" s="48"/>
      <c r="AO2016" s="48"/>
      <c r="AP2016" s="48"/>
      <c r="AQ2016" s="48"/>
      <c r="AR2016" s="48"/>
      <c r="AS2016" s="48"/>
      <c r="AT2016" s="48"/>
      <c r="AU2016" s="48"/>
      <c r="AV2016" s="48"/>
      <c r="AW2016" s="48"/>
      <c r="AX2016" s="48"/>
      <c r="AY2016" s="48"/>
      <c r="AZ2016" s="48"/>
      <c r="BA2016" s="48"/>
      <c r="BB2016" s="48"/>
      <c r="BC2016" s="48"/>
      <c r="BD2016" s="48"/>
    </row>
    <row r="2017" spans="1:56">
      <c r="A2017" s="48"/>
      <c r="B2017" s="48"/>
      <c r="C2017" s="49"/>
      <c r="D2017" s="48"/>
      <c r="E2017" s="48"/>
      <c r="F2017" s="48"/>
      <c r="G2017" s="48"/>
      <c r="H2017" s="48"/>
      <c r="I2017" s="48"/>
      <c r="J2017" s="86"/>
      <c r="K2017" s="86"/>
      <c r="L2017" s="86"/>
      <c r="M2017" s="86"/>
      <c r="N2017" s="86"/>
      <c r="O2017" s="86"/>
      <c r="P2017" s="86"/>
      <c r="Q2017" s="86"/>
      <c r="R2017" s="86"/>
      <c r="S2017" s="86"/>
      <c r="T2017" s="86"/>
      <c r="U2017" s="86"/>
      <c r="V2017" s="48"/>
      <c r="W2017" s="48"/>
      <c r="X2017" s="48"/>
      <c r="Y2017" s="48"/>
      <c r="Z2017" s="48"/>
      <c r="AA2017" s="48"/>
      <c r="AB2017" s="48"/>
      <c r="AC2017" s="48"/>
      <c r="AD2017" s="48"/>
      <c r="AE2017" s="48"/>
      <c r="AF2017" s="48"/>
      <c r="AG2017" s="48"/>
      <c r="AH2017" s="48"/>
      <c r="AI2017" s="48"/>
      <c r="AJ2017" s="48"/>
      <c r="AK2017" s="48"/>
      <c r="AL2017" s="48"/>
      <c r="AM2017" s="48"/>
      <c r="AN2017" s="48"/>
      <c r="AO2017" s="48"/>
      <c r="AP2017" s="48"/>
      <c r="AQ2017" s="48"/>
      <c r="AR2017" s="48"/>
      <c r="AS2017" s="48"/>
      <c r="AT2017" s="48"/>
      <c r="AU2017" s="48"/>
      <c r="AV2017" s="48"/>
      <c r="AW2017" s="48"/>
      <c r="AX2017" s="48"/>
      <c r="AY2017" s="48"/>
      <c r="AZ2017" s="48"/>
      <c r="BA2017" s="48"/>
      <c r="BB2017" s="48"/>
      <c r="BC2017" s="48"/>
      <c r="BD2017" s="48"/>
    </row>
    <row r="2018" spans="1:56">
      <c r="A2018" s="48"/>
      <c r="B2018" s="48"/>
      <c r="C2018" s="49"/>
      <c r="D2018" s="48"/>
      <c r="E2018" s="48"/>
      <c r="F2018" s="48"/>
      <c r="G2018" s="48"/>
      <c r="H2018" s="48"/>
      <c r="I2018" s="48"/>
      <c r="J2018" s="86"/>
      <c r="K2018" s="86"/>
      <c r="L2018" s="86"/>
      <c r="M2018" s="86"/>
      <c r="N2018" s="86"/>
      <c r="O2018" s="86"/>
      <c r="P2018" s="86"/>
      <c r="Q2018" s="86"/>
      <c r="R2018" s="86"/>
      <c r="S2018" s="86"/>
      <c r="T2018" s="86"/>
      <c r="U2018" s="86"/>
      <c r="V2018" s="48"/>
      <c r="W2018" s="48"/>
      <c r="X2018" s="48"/>
      <c r="Y2018" s="48"/>
      <c r="Z2018" s="48"/>
      <c r="AA2018" s="48"/>
      <c r="AB2018" s="48"/>
      <c r="AC2018" s="48"/>
      <c r="AD2018" s="48"/>
      <c r="AE2018" s="48"/>
      <c r="AF2018" s="48"/>
      <c r="AG2018" s="48"/>
      <c r="AH2018" s="48"/>
      <c r="AI2018" s="48"/>
      <c r="AJ2018" s="48"/>
      <c r="AK2018" s="48"/>
      <c r="AL2018" s="48"/>
      <c r="AM2018" s="48"/>
      <c r="AN2018" s="48"/>
      <c r="AO2018" s="48"/>
      <c r="AP2018" s="48"/>
      <c r="AQ2018" s="48"/>
      <c r="AR2018" s="48"/>
      <c r="AS2018" s="48"/>
      <c r="AT2018" s="48"/>
      <c r="AU2018" s="48"/>
      <c r="AV2018" s="48"/>
      <c r="AW2018" s="48"/>
      <c r="AX2018" s="48"/>
      <c r="AY2018" s="48"/>
      <c r="AZ2018" s="48"/>
      <c r="BA2018" s="48"/>
      <c r="BB2018" s="48"/>
      <c r="BC2018" s="48"/>
      <c r="BD2018" s="48"/>
    </row>
    <row r="2019" spans="1:56">
      <c r="A2019" s="48"/>
      <c r="B2019" s="48"/>
      <c r="C2019" s="49"/>
      <c r="D2019" s="48"/>
      <c r="E2019" s="48"/>
      <c r="F2019" s="48"/>
      <c r="G2019" s="48"/>
      <c r="H2019" s="48"/>
      <c r="I2019" s="48"/>
      <c r="J2019" s="86"/>
      <c r="K2019" s="86"/>
      <c r="L2019" s="86"/>
      <c r="M2019" s="86"/>
      <c r="N2019" s="86"/>
      <c r="O2019" s="86"/>
      <c r="P2019" s="86"/>
      <c r="Q2019" s="86"/>
      <c r="R2019" s="86"/>
      <c r="S2019" s="86"/>
      <c r="T2019" s="86"/>
      <c r="U2019" s="86"/>
      <c r="V2019" s="48"/>
      <c r="W2019" s="48"/>
      <c r="X2019" s="48"/>
      <c r="Y2019" s="48"/>
      <c r="Z2019" s="48"/>
      <c r="AA2019" s="48"/>
      <c r="AB2019" s="48"/>
      <c r="AC2019" s="48"/>
      <c r="AD2019" s="48"/>
      <c r="AE2019" s="48"/>
      <c r="AF2019" s="48"/>
      <c r="AG2019" s="48"/>
      <c r="AH2019" s="48"/>
      <c r="AI2019" s="48"/>
      <c r="AJ2019" s="48"/>
      <c r="AK2019" s="48"/>
      <c r="AL2019" s="48"/>
      <c r="AM2019" s="48"/>
      <c r="AN2019" s="48"/>
      <c r="AO2019" s="48"/>
      <c r="AP2019" s="48"/>
      <c r="AQ2019" s="48"/>
      <c r="AR2019" s="48"/>
      <c r="AS2019" s="48"/>
      <c r="AT2019" s="48"/>
      <c r="AU2019" s="48"/>
      <c r="AV2019" s="48"/>
      <c r="AW2019" s="48"/>
      <c r="AX2019" s="48"/>
      <c r="AY2019" s="48"/>
      <c r="AZ2019" s="48"/>
      <c r="BA2019" s="48"/>
      <c r="BB2019" s="48"/>
      <c r="BC2019" s="48"/>
      <c r="BD2019" s="48"/>
    </row>
    <row r="2020" spans="1:56">
      <c r="A2020" s="48"/>
      <c r="B2020" s="48"/>
      <c r="C2020" s="49"/>
      <c r="D2020" s="48"/>
      <c r="E2020" s="48"/>
      <c r="F2020" s="48"/>
      <c r="G2020" s="48"/>
      <c r="H2020" s="48"/>
      <c r="I2020" s="48"/>
      <c r="J2020" s="86"/>
      <c r="K2020" s="86"/>
      <c r="L2020" s="86"/>
      <c r="M2020" s="86"/>
      <c r="N2020" s="86"/>
      <c r="O2020" s="86"/>
      <c r="P2020" s="86"/>
      <c r="Q2020" s="86"/>
      <c r="R2020" s="86"/>
      <c r="S2020" s="86"/>
      <c r="T2020" s="86"/>
      <c r="U2020" s="86"/>
      <c r="V2020" s="48"/>
      <c r="W2020" s="48"/>
      <c r="X2020" s="48"/>
      <c r="Y2020" s="48"/>
      <c r="Z2020" s="48"/>
      <c r="AA2020" s="48"/>
      <c r="AB2020" s="48"/>
      <c r="AC2020" s="48"/>
      <c r="AD2020" s="48"/>
      <c r="AE2020" s="48"/>
      <c r="AF2020" s="48"/>
      <c r="AG2020" s="48"/>
      <c r="AH2020" s="48"/>
      <c r="AI2020" s="48"/>
      <c r="AJ2020" s="48"/>
      <c r="AK2020" s="48"/>
      <c r="AL2020" s="48"/>
      <c r="AM2020" s="48"/>
      <c r="AN2020" s="48"/>
      <c r="AO2020" s="48"/>
      <c r="AP2020" s="48"/>
      <c r="AQ2020" s="48"/>
      <c r="AR2020" s="48"/>
      <c r="AS2020" s="48"/>
      <c r="AT2020" s="48"/>
      <c r="AU2020" s="48"/>
      <c r="AV2020" s="48"/>
      <c r="AW2020" s="48"/>
      <c r="AX2020" s="48"/>
      <c r="AY2020" s="48"/>
      <c r="AZ2020" s="48"/>
      <c r="BA2020" s="48"/>
      <c r="BB2020" s="48"/>
      <c r="BC2020" s="48"/>
      <c r="BD2020" s="48"/>
    </row>
    <row r="2021" spans="1:56">
      <c r="A2021" s="48"/>
      <c r="B2021" s="48"/>
      <c r="C2021" s="49"/>
      <c r="D2021" s="48"/>
      <c r="E2021" s="48"/>
      <c r="F2021" s="48"/>
      <c r="G2021" s="48"/>
      <c r="H2021" s="48"/>
      <c r="I2021" s="48"/>
      <c r="J2021" s="86"/>
      <c r="K2021" s="86"/>
      <c r="L2021" s="86"/>
      <c r="M2021" s="86"/>
      <c r="N2021" s="86"/>
      <c r="O2021" s="86"/>
      <c r="P2021" s="86"/>
      <c r="Q2021" s="86"/>
      <c r="R2021" s="86"/>
      <c r="S2021" s="86"/>
      <c r="T2021" s="86"/>
      <c r="U2021" s="86"/>
      <c r="V2021" s="48"/>
      <c r="W2021" s="48"/>
      <c r="X2021" s="48"/>
      <c r="Y2021" s="48"/>
      <c r="Z2021" s="48"/>
      <c r="AA2021" s="48"/>
      <c r="AB2021" s="48"/>
      <c r="AC2021" s="48"/>
      <c r="AD2021" s="48"/>
      <c r="AE2021" s="48"/>
      <c r="AF2021" s="48"/>
      <c r="AG2021" s="48"/>
      <c r="AH2021" s="48"/>
      <c r="AI2021" s="48"/>
      <c r="AJ2021" s="48"/>
      <c r="AK2021" s="48"/>
      <c r="AL2021" s="48"/>
      <c r="AM2021" s="48"/>
      <c r="AN2021" s="48"/>
      <c r="AO2021" s="48"/>
      <c r="AP2021" s="48"/>
      <c r="AQ2021" s="48"/>
      <c r="AR2021" s="48"/>
      <c r="AS2021" s="48"/>
      <c r="AT2021" s="48"/>
      <c r="AU2021" s="48"/>
      <c r="AV2021" s="48"/>
      <c r="AW2021" s="48"/>
      <c r="AX2021" s="48"/>
      <c r="AY2021" s="48"/>
      <c r="AZ2021" s="48"/>
      <c r="BA2021" s="48"/>
      <c r="BB2021" s="48"/>
      <c r="BC2021" s="48"/>
      <c r="BD2021" s="48"/>
    </row>
    <row r="2022" spans="1:56">
      <c r="A2022" s="48"/>
      <c r="B2022" s="48"/>
      <c r="C2022" s="49"/>
      <c r="D2022" s="48"/>
      <c r="E2022" s="48"/>
      <c r="F2022" s="48"/>
      <c r="G2022" s="48"/>
      <c r="H2022" s="48"/>
      <c r="I2022" s="48"/>
      <c r="J2022" s="86"/>
      <c r="K2022" s="86"/>
      <c r="L2022" s="86"/>
      <c r="M2022" s="86"/>
      <c r="N2022" s="86"/>
      <c r="O2022" s="86"/>
      <c r="P2022" s="86"/>
      <c r="Q2022" s="86"/>
      <c r="R2022" s="86"/>
      <c r="S2022" s="86"/>
      <c r="T2022" s="86"/>
      <c r="U2022" s="86"/>
      <c r="V2022" s="48"/>
      <c r="W2022" s="48"/>
      <c r="X2022" s="48"/>
      <c r="Y2022" s="48"/>
      <c r="Z2022" s="48"/>
      <c r="AA2022" s="48"/>
      <c r="AB2022" s="48"/>
      <c r="AC2022" s="48"/>
      <c r="AD2022" s="48"/>
      <c r="AE2022" s="48"/>
      <c r="AF2022" s="48"/>
      <c r="AG2022" s="48"/>
      <c r="AH2022" s="48"/>
      <c r="AI2022" s="48"/>
      <c r="AJ2022" s="48"/>
      <c r="AK2022" s="48"/>
      <c r="AL2022" s="48"/>
      <c r="AM2022" s="48"/>
      <c r="AN2022" s="48"/>
      <c r="AO2022" s="48"/>
      <c r="AP2022" s="48"/>
      <c r="AQ2022" s="48"/>
      <c r="AR2022" s="48"/>
      <c r="AS2022" s="48"/>
      <c r="AT2022" s="48"/>
      <c r="AU2022" s="48"/>
      <c r="AV2022" s="48"/>
      <c r="AW2022" s="48"/>
      <c r="AX2022" s="48"/>
      <c r="AY2022" s="48"/>
      <c r="AZ2022" s="48"/>
      <c r="BA2022" s="48"/>
      <c r="BB2022" s="48"/>
      <c r="BC2022" s="48"/>
      <c r="BD2022" s="48"/>
    </row>
    <row r="2023" spans="1:56">
      <c r="A2023" s="48"/>
      <c r="B2023" s="48"/>
      <c r="C2023" s="49"/>
      <c r="D2023" s="48"/>
      <c r="E2023" s="48"/>
      <c r="F2023" s="48"/>
      <c r="G2023" s="48"/>
      <c r="H2023" s="48"/>
      <c r="I2023" s="48"/>
      <c r="J2023" s="86"/>
      <c r="K2023" s="86"/>
      <c r="L2023" s="86"/>
      <c r="M2023" s="86"/>
      <c r="N2023" s="86"/>
      <c r="O2023" s="86"/>
      <c r="P2023" s="86"/>
      <c r="Q2023" s="86"/>
      <c r="R2023" s="86"/>
      <c r="S2023" s="86"/>
      <c r="T2023" s="86"/>
      <c r="U2023" s="86"/>
      <c r="V2023" s="48"/>
      <c r="W2023" s="48"/>
      <c r="X2023" s="48"/>
      <c r="Y2023" s="48"/>
      <c r="Z2023" s="48"/>
      <c r="AA2023" s="48"/>
      <c r="AB2023" s="48"/>
      <c r="AC2023" s="48"/>
      <c r="AD2023" s="48"/>
      <c r="AE2023" s="48"/>
      <c r="AF2023" s="48"/>
      <c r="AG2023" s="48"/>
      <c r="AH2023" s="48"/>
      <c r="AI2023" s="48"/>
      <c r="AJ2023" s="48"/>
      <c r="AK2023" s="48"/>
      <c r="AL2023" s="48"/>
      <c r="AM2023" s="48"/>
      <c r="AN2023" s="48"/>
      <c r="AO2023" s="48"/>
      <c r="AP2023" s="48"/>
      <c r="AQ2023" s="48"/>
      <c r="AR2023" s="48"/>
      <c r="AS2023" s="48"/>
      <c r="AT2023" s="48"/>
      <c r="AU2023" s="48"/>
      <c r="AV2023" s="48"/>
      <c r="AW2023" s="48"/>
      <c r="AX2023" s="48"/>
      <c r="AY2023" s="48"/>
      <c r="AZ2023" s="48"/>
      <c r="BA2023" s="48"/>
      <c r="BB2023" s="48"/>
      <c r="BC2023" s="48"/>
      <c r="BD2023" s="48"/>
    </row>
    <row r="2024" spans="1:56">
      <c r="A2024" s="48"/>
      <c r="B2024" s="48"/>
      <c r="C2024" s="49"/>
      <c r="D2024" s="48"/>
      <c r="E2024" s="48"/>
      <c r="F2024" s="48"/>
      <c r="G2024" s="48"/>
      <c r="H2024" s="48"/>
      <c r="I2024" s="48"/>
      <c r="J2024" s="86"/>
      <c r="K2024" s="86"/>
      <c r="L2024" s="86"/>
      <c r="M2024" s="86"/>
      <c r="N2024" s="86"/>
      <c r="O2024" s="86"/>
      <c r="P2024" s="86"/>
      <c r="Q2024" s="86"/>
      <c r="R2024" s="86"/>
      <c r="S2024" s="86"/>
      <c r="T2024" s="86"/>
      <c r="U2024" s="86"/>
      <c r="V2024" s="48"/>
      <c r="W2024" s="48"/>
      <c r="X2024" s="48"/>
      <c r="Y2024" s="48"/>
      <c r="Z2024" s="48"/>
      <c r="AA2024" s="48"/>
      <c r="AB2024" s="48"/>
      <c r="AC2024" s="48"/>
      <c r="AD2024" s="48"/>
      <c r="AE2024" s="48"/>
      <c r="AF2024" s="48"/>
      <c r="AG2024" s="48"/>
      <c r="AH2024" s="48"/>
      <c r="AI2024" s="48"/>
      <c r="AJ2024" s="48"/>
      <c r="AK2024" s="48"/>
      <c r="AL2024" s="48"/>
      <c r="AM2024" s="48"/>
      <c r="AN2024" s="48"/>
      <c r="AO2024" s="48"/>
      <c r="AP2024" s="48"/>
      <c r="AQ2024" s="48"/>
      <c r="AR2024" s="48"/>
      <c r="AS2024" s="48"/>
      <c r="AT2024" s="48"/>
      <c r="AU2024" s="48"/>
      <c r="AV2024" s="48"/>
      <c r="AW2024" s="48"/>
      <c r="AX2024" s="48"/>
      <c r="AY2024" s="48"/>
      <c r="AZ2024" s="48"/>
      <c r="BA2024" s="48"/>
      <c r="BB2024" s="48"/>
      <c r="BC2024" s="48"/>
      <c r="BD2024" s="48"/>
    </row>
    <row r="2025" spans="1:56">
      <c r="A2025" s="48"/>
      <c r="B2025" s="48"/>
      <c r="C2025" s="49"/>
      <c r="D2025" s="48"/>
      <c r="E2025" s="48"/>
      <c r="F2025" s="48"/>
      <c r="G2025" s="48"/>
      <c r="H2025" s="48"/>
      <c r="I2025" s="48"/>
      <c r="J2025" s="86"/>
      <c r="K2025" s="86"/>
      <c r="L2025" s="86"/>
      <c r="M2025" s="86"/>
      <c r="N2025" s="86"/>
      <c r="O2025" s="86"/>
      <c r="P2025" s="86"/>
      <c r="Q2025" s="86"/>
      <c r="R2025" s="86"/>
      <c r="S2025" s="86"/>
      <c r="T2025" s="86"/>
      <c r="U2025" s="86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48"/>
      <c r="BB2025" s="48"/>
      <c r="BC2025" s="48"/>
      <c r="BD2025" s="48"/>
    </row>
    <row r="2026" spans="1:56">
      <c r="A2026" s="48"/>
      <c r="B2026" s="48"/>
      <c r="C2026" s="49"/>
      <c r="D2026" s="48"/>
      <c r="E2026" s="48"/>
      <c r="F2026" s="48"/>
      <c r="G2026" s="48"/>
      <c r="H2026" s="48"/>
      <c r="I2026" s="48"/>
      <c r="J2026" s="86"/>
      <c r="K2026" s="86"/>
      <c r="L2026" s="86"/>
      <c r="M2026" s="86"/>
      <c r="N2026" s="86"/>
      <c r="O2026" s="86"/>
      <c r="P2026" s="86"/>
      <c r="Q2026" s="86"/>
      <c r="R2026" s="86"/>
      <c r="S2026" s="86"/>
      <c r="T2026" s="86"/>
      <c r="U2026" s="86"/>
      <c r="V2026" s="48"/>
      <c r="W2026" s="48"/>
      <c r="X2026" s="48"/>
      <c r="Y2026" s="48"/>
      <c r="Z2026" s="48"/>
      <c r="AA2026" s="48"/>
      <c r="AB2026" s="48"/>
      <c r="AC2026" s="48"/>
      <c r="AD2026" s="48"/>
      <c r="AE2026" s="48"/>
      <c r="AF2026" s="48"/>
      <c r="AG2026" s="48"/>
      <c r="AH2026" s="48"/>
      <c r="AI2026" s="48"/>
      <c r="AJ2026" s="48"/>
      <c r="AK2026" s="48"/>
      <c r="AL2026" s="48"/>
      <c r="AM2026" s="48"/>
      <c r="AN2026" s="48"/>
      <c r="AO2026" s="48"/>
      <c r="AP2026" s="48"/>
      <c r="AQ2026" s="48"/>
      <c r="AR2026" s="48"/>
      <c r="AS2026" s="48"/>
      <c r="AT2026" s="48"/>
      <c r="AU2026" s="48"/>
      <c r="AV2026" s="48"/>
      <c r="AW2026" s="48"/>
      <c r="AX2026" s="48"/>
      <c r="AY2026" s="48"/>
      <c r="AZ2026" s="48"/>
      <c r="BA2026" s="48"/>
      <c r="BB2026" s="48"/>
      <c r="BC2026" s="48"/>
      <c r="BD2026" s="48"/>
    </row>
    <row r="2027" spans="1:56">
      <c r="A2027" s="48"/>
      <c r="B2027" s="48"/>
      <c r="C2027" s="49"/>
      <c r="D2027" s="48"/>
      <c r="E2027" s="48"/>
      <c r="F2027" s="48"/>
      <c r="G2027" s="48"/>
      <c r="H2027" s="48"/>
      <c r="I2027" s="48"/>
      <c r="J2027" s="86"/>
      <c r="K2027" s="86"/>
      <c r="L2027" s="86"/>
      <c r="M2027" s="86"/>
      <c r="N2027" s="86"/>
      <c r="O2027" s="86"/>
      <c r="P2027" s="86"/>
      <c r="Q2027" s="86"/>
      <c r="R2027" s="86"/>
      <c r="S2027" s="86"/>
      <c r="T2027" s="86"/>
      <c r="U2027" s="86"/>
      <c r="V2027" s="48"/>
      <c r="W2027" s="48"/>
      <c r="X2027" s="48"/>
      <c r="Y2027" s="48"/>
      <c r="Z2027" s="48"/>
      <c r="AA2027" s="48"/>
      <c r="AB2027" s="48"/>
      <c r="AC2027" s="48"/>
      <c r="AD2027" s="48"/>
      <c r="AE2027" s="48"/>
      <c r="AF2027" s="48"/>
      <c r="AG2027" s="48"/>
      <c r="AH2027" s="48"/>
      <c r="AI2027" s="48"/>
      <c r="AJ2027" s="48"/>
      <c r="AK2027" s="48"/>
      <c r="AL2027" s="48"/>
      <c r="AM2027" s="48"/>
      <c r="AN2027" s="48"/>
      <c r="AO2027" s="48"/>
      <c r="AP2027" s="48"/>
      <c r="AQ2027" s="48"/>
      <c r="AR2027" s="48"/>
      <c r="AS2027" s="48"/>
      <c r="AT2027" s="48"/>
      <c r="AU2027" s="48"/>
      <c r="AV2027" s="48"/>
      <c r="AW2027" s="48"/>
      <c r="AX2027" s="48"/>
      <c r="AY2027" s="48"/>
      <c r="AZ2027" s="48"/>
      <c r="BA2027" s="48"/>
      <c r="BB2027" s="48"/>
      <c r="BC2027" s="48"/>
      <c r="BD2027" s="48"/>
    </row>
    <row r="2028" spans="1:56">
      <c r="A2028" s="48"/>
      <c r="B2028" s="48"/>
      <c r="C2028" s="49"/>
      <c r="D2028" s="48"/>
      <c r="E2028" s="48"/>
      <c r="F2028" s="48"/>
      <c r="G2028" s="48"/>
      <c r="H2028" s="48"/>
      <c r="I2028" s="48"/>
      <c r="J2028" s="86"/>
      <c r="K2028" s="86"/>
      <c r="L2028" s="86"/>
      <c r="M2028" s="86"/>
      <c r="N2028" s="86"/>
      <c r="O2028" s="86"/>
      <c r="P2028" s="86"/>
      <c r="Q2028" s="86"/>
      <c r="R2028" s="86"/>
      <c r="S2028" s="86"/>
      <c r="T2028" s="86"/>
      <c r="U2028" s="86"/>
      <c r="V2028" s="48"/>
      <c r="W2028" s="48"/>
      <c r="X2028" s="48"/>
      <c r="Y2028" s="48"/>
      <c r="Z2028" s="48"/>
      <c r="AA2028" s="48"/>
      <c r="AB2028" s="48"/>
      <c r="AC2028" s="48"/>
      <c r="AD2028" s="48"/>
      <c r="AE2028" s="48"/>
      <c r="AF2028" s="48"/>
      <c r="AG2028" s="48"/>
      <c r="AH2028" s="48"/>
      <c r="AI2028" s="48"/>
      <c r="AJ2028" s="48"/>
      <c r="AK2028" s="48"/>
      <c r="AL2028" s="48"/>
      <c r="AM2028" s="48"/>
      <c r="AN2028" s="48"/>
      <c r="AO2028" s="48"/>
      <c r="AP2028" s="48"/>
      <c r="AQ2028" s="48"/>
      <c r="AR2028" s="48"/>
      <c r="AS2028" s="48"/>
      <c r="AT2028" s="48"/>
      <c r="AU2028" s="48"/>
      <c r="AV2028" s="48"/>
      <c r="AW2028" s="48"/>
      <c r="AX2028" s="48"/>
      <c r="AY2028" s="48"/>
      <c r="AZ2028" s="48"/>
      <c r="BA2028" s="48"/>
      <c r="BB2028" s="48"/>
      <c r="BC2028" s="48"/>
      <c r="BD2028" s="48"/>
    </row>
    <row r="2029" spans="1:56">
      <c r="A2029" s="48"/>
      <c r="B2029" s="48"/>
      <c r="C2029" s="49"/>
      <c r="D2029" s="48"/>
      <c r="E2029" s="48"/>
      <c r="F2029" s="48"/>
      <c r="G2029" s="48"/>
      <c r="H2029" s="48"/>
      <c r="I2029" s="48"/>
      <c r="J2029" s="86"/>
      <c r="K2029" s="86"/>
      <c r="L2029" s="86"/>
      <c r="M2029" s="86"/>
      <c r="N2029" s="86"/>
      <c r="O2029" s="86"/>
      <c r="P2029" s="86"/>
      <c r="Q2029" s="86"/>
      <c r="R2029" s="86"/>
      <c r="S2029" s="86"/>
      <c r="T2029" s="86"/>
      <c r="U2029" s="86"/>
      <c r="V2029" s="48"/>
      <c r="W2029" s="48"/>
      <c r="X2029" s="48"/>
      <c r="Y2029" s="48"/>
      <c r="Z2029" s="48"/>
      <c r="AA2029" s="48"/>
      <c r="AB2029" s="48"/>
      <c r="AC2029" s="48"/>
      <c r="AD2029" s="48"/>
      <c r="AE2029" s="48"/>
      <c r="AF2029" s="48"/>
      <c r="AG2029" s="48"/>
      <c r="AH2029" s="48"/>
      <c r="AI2029" s="48"/>
      <c r="AJ2029" s="48"/>
      <c r="AK2029" s="48"/>
      <c r="AL2029" s="48"/>
      <c r="AM2029" s="48"/>
      <c r="AN2029" s="48"/>
      <c r="AO2029" s="48"/>
      <c r="AP2029" s="48"/>
      <c r="AQ2029" s="48"/>
      <c r="AR2029" s="48"/>
      <c r="AS2029" s="48"/>
      <c r="AT2029" s="48"/>
      <c r="AU2029" s="48"/>
      <c r="AV2029" s="48"/>
      <c r="AW2029" s="48"/>
      <c r="AX2029" s="48"/>
      <c r="AY2029" s="48"/>
      <c r="AZ2029" s="48"/>
      <c r="BA2029" s="48"/>
      <c r="BB2029" s="48"/>
      <c r="BC2029" s="48"/>
      <c r="BD2029" s="48"/>
    </row>
    <row r="2030" spans="1:56">
      <c r="A2030" s="48"/>
      <c r="B2030" s="48"/>
      <c r="C2030" s="49"/>
      <c r="D2030" s="48"/>
      <c r="E2030" s="48"/>
      <c r="F2030" s="48"/>
      <c r="G2030" s="48"/>
      <c r="H2030" s="48"/>
      <c r="I2030" s="48"/>
      <c r="J2030" s="86"/>
      <c r="K2030" s="86"/>
      <c r="L2030" s="86"/>
      <c r="M2030" s="86"/>
      <c r="N2030" s="86"/>
      <c r="O2030" s="86"/>
      <c r="P2030" s="86"/>
      <c r="Q2030" s="86"/>
      <c r="R2030" s="86"/>
      <c r="S2030" s="86"/>
      <c r="T2030" s="86"/>
      <c r="U2030" s="86"/>
      <c r="V2030" s="48"/>
      <c r="W2030" s="48"/>
      <c r="X2030" s="48"/>
      <c r="Y2030" s="48"/>
      <c r="Z2030" s="48"/>
      <c r="AA2030" s="48"/>
      <c r="AB2030" s="48"/>
      <c r="AC2030" s="48"/>
      <c r="AD2030" s="48"/>
      <c r="AE2030" s="48"/>
      <c r="AF2030" s="48"/>
      <c r="AG2030" s="48"/>
      <c r="AH2030" s="48"/>
      <c r="AI2030" s="48"/>
      <c r="AJ2030" s="48"/>
      <c r="AK2030" s="48"/>
      <c r="AL2030" s="48"/>
      <c r="AM2030" s="48"/>
      <c r="AN2030" s="48"/>
      <c r="AO2030" s="48"/>
      <c r="AP2030" s="48"/>
      <c r="AQ2030" s="48"/>
      <c r="AR2030" s="48"/>
      <c r="AS2030" s="48"/>
      <c r="AT2030" s="48"/>
      <c r="AU2030" s="48"/>
      <c r="AV2030" s="48"/>
      <c r="AW2030" s="48"/>
      <c r="AX2030" s="48"/>
      <c r="AY2030" s="48"/>
      <c r="AZ2030" s="48"/>
      <c r="BA2030" s="48"/>
      <c r="BB2030" s="48"/>
      <c r="BC2030" s="48"/>
      <c r="BD2030" s="48"/>
    </row>
    <row r="2031" spans="1:56">
      <c r="A2031" s="48"/>
      <c r="B2031" s="48"/>
      <c r="C2031" s="49"/>
      <c r="D2031" s="48"/>
      <c r="E2031" s="48"/>
      <c r="F2031" s="48"/>
      <c r="G2031" s="48"/>
      <c r="H2031" s="48"/>
      <c r="I2031" s="48"/>
      <c r="J2031" s="86"/>
      <c r="K2031" s="86"/>
      <c r="L2031" s="86"/>
      <c r="M2031" s="86"/>
      <c r="N2031" s="86"/>
      <c r="O2031" s="86"/>
      <c r="P2031" s="86"/>
      <c r="Q2031" s="86"/>
      <c r="R2031" s="86"/>
      <c r="S2031" s="86"/>
      <c r="T2031" s="86"/>
      <c r="U2031" s="86"/>
      <c r="V2031" s="48"/>
      <c r="W2031" s="48"/>
      <c r="X2031" s="48"/>
      <c r="Y2031" s="48"/>
      <c r="Z2031" s="48"/>
      <c r="AA2031" s="48"/>
      <c r="AB2031" s="48"/>
      <c r="AC2031" s="48"/>
      <c r="AD2031" s="48"/>
      <c r="AE2031" s="48"/>
      <c r="AF2031" s="48"/>
      <c r="AG2031" s="48"/>
      <c r="AH2031" s="48"/>
      <c r="AI2031" s="48"/>
      <c r="AJ2031" s="48"/>
      <c r="AK2031" s="48"/>
      <c r="AL2031" s="48"/>
      <c r="AM2031" s="48"/>
      <c r="AN2031" s="48"/>
      <c r="AO2031" s="48"/>
      <c r="AP2031" s="48"/>
      <c r="AQ2031" s="48"/>
      <c r="AR2031" s="48"/>
      <c r="AS2031" s="48"/>
      <c r="AT2031" s="48"/>
      <c r="AU2031" s="48"/>
      <c r="AV2031" s="48"/>
      <c r="AW2031" s="48"/>
      <c r="AX2031" s="48"/>
      <c r="AY2031" s="48"/>
      <c r="AZ2031" s="48"/>
      <c r="BA2031" s="48"/>
      <c r="BB2031" s="48"/>
      <c r="BC2031" s="48"/>
      <c r="BD2031" s="48"/>
    </row>
    <row r="2032" spans="1:56">
      <c r="A2032" s="48"/>
      <c r="B2032" s="48"/>
      <c r="C2032" s="49"/>
      <c r="D2032" s="48"/>
      <c r="E2032" s="48"/>
      <c r="F2032" s="48"/>
      <c r="G2032" s="48"/>
      <c r="H2032" s="48"/>
      <c r="I2032" s="48"/>
      <c r="J2032" s="86"/>
      <c r="K2032" s="86"/>
      <c r="L2032" s="86"/>
      <c r="M2032" s="86"/>
      <c r="N2032" s="86"/>
      <c r="O2032" s="86"/>
      <c r="P2032" s="86"/>
      <c r="Q2032" s="86"/>
      <c r="R2032" s="86"/>
      <c r="S2032" s="86"/>
      <c r="T2032" s="86"/>
      <c r="U2032" s="86"/>
      <c r="V2032" s="48"/>
      <c r="W2032" s="48"/>
      <c r="X2032" s="48"/>
      <c r="Y2032" s="48"/>
      <c r="Z2032" s="48"/>
      <c r="AA2032" s="48"/>
      <c r="AB2032" s="48"/>
      <c r="AC2032" s="48"/>
      <c r="AD2032" s="48"/>
      <c r="AE2032" s="48"/>
      <c r="AF2032" s="48"/>
      <c r="AG2032" s="48"/>
      <c r="AH2032" s="48"/>
      <c r="AI2032" s="48"/>
      <c r="AJ2032" s="48"/>
      <c r="AK2032" s="48"/>
      <c r="AL2032" s="48"/>
      <c r="AM2032" s="48"/>
      <c r="AN2032" s="48"/>
      <c r="AO2032" s="48"/>
      <c r="AP2032" s="48"/>
      <c r="AQ2032" s="48"/>
      <c r="AR2032" s="48"/>
      <c r="AS2032" s="48"/>
      <c r="AT2032" s="48"/>
      <c r="AU2032" s="48"/>
      <c r="AV2032" s="48"/>
      <c r="AW2032" s="48"/>
      <c r="AX2032" s="48"/>
      <c r="AY2032" s="48"/>
      <c r="AZ2032" s="48"/>
      <c r="BA2032" s="48"/>
      <c r="BB2032" s="48"/>
      <c r="BC2032" s="48"/>
      <c r="BD2032" s="48"/>
    </row>
    <row r="2033" spans="1:56">
      <c r="A2033" s="48"/>
      <c r="B2033" s="48"/>
      <c r="C2033" s="49"/>
      <c r="D2033" s="48"/>
      <c r="E2033" s="48"/>
      <c r="F2033" s="48"/>
      <c r="G2033" s="48"/>
      <c r="H2033" s="48"/>
      <c r="I2033" s="48"/>
      <c r="J2033" s="86"/>
      <c r="K2033" s="86"/>
      <c r="L2033" s="86"/>
      <c r="M2033" s="86"/>
      <c r="N2033" s="86"/>
      <c r="O2033" s="86"/>
      <c r="P2033" s="86"/>
      <c r="Q2033" s="86"/>
      <c r="R2033" s="86"/>
      <c r="S2033" s="86"/>
      <c r="T2033" s="86"/>
      <c r="U2033" s="86"/>
      <c r="V2033" s="48"/>
      <c r="W2033" s="48"/>
      <c r="X2033" s="48"/>
      <c r="Y2033" s="48"/>
      <c r="Z2033" s="48"/>
      <c r="AA2033" s="48"/>
      <c r="AB2033" s="48"/>
      <c r="AC2033" s="48"/>
      <c r="AD2033" s="48"/>
      <c r="AE2033" s="48"/>
      <c r="AF2033" s="48"/>
      <c r="AG2033" s="48"/>
      <c r="AH2033" s="48"/>
      <c r="AI2033" s="48"/>
      <c r="AJ2033" s="48"/>
      <c r="AK2033" s="48"/>
      <c r="AL2033" s="48"/>
      <c r="AM2033" s="48"/>
      <c r="AN2033" s="48"/>
      <c r="AO2033" s="48"/>
      <c r="AP2033" s="48"/>
      <c r="AQ2033" s="48"/>
      <c r="AR2033" s="48"/>
      <c r="AS2033" s="48"/>
      <c r="AT2033" s="48"/>
      <c r="AU2033" s="48"/>
      <c r="AV2033" s="48"/>
      <c r="AW2033" s="48"/>
      <c r="AX2033" s="48"/>
      <c r="AY2033" s="48"/>
      <c r="AZ2033" s="48"/>
      <c r="BA2033" s="48"/>
      <c r="BB2033" s="48"/>
      <c r="BC2033" s="48"/>
      <c r="BD2033" s="48"/>
    </row>
    <row r="2034" spans="1:56">
      <c r="A2034" s="48"/>
      <c r="B2034" s="48"/>
      <c r="C2034" s="49"/>
      <c r="D2034" s="48"/>
      <c r="E2034" s="48"/>
      <c r="F2034" s="48"/>
      <c r="G2034" s="48"/>
      <c r="H2034" s="48"/>
      <c r="I2034" s="48"/>
      <c r="J2034" s="86"/>
      <c r="K2034" s="86"/>
      <c r="L2034" s="86"/>
      <c r="M2034" s="86"/>
      <c r="N2034" s="86"/>
      <c r="O2034" s="86"/>
      <c r="P2034" s="86"/>
      <c r="Q2034" s="86"/>
      <c r="R2034" s="86"/>
      <c r="S2034" s="86"/>
      <c r="T2034" s="86"/>
      <c r="U2034" s="86"/>
      <c r="V2034" s="48"/>
      <c r="W2034" s="48"/>
      <c r="X2034" s="48"/>
      <c r="Y2034" s="48"/>
      <c r="Z2034" s="48"/>
      <c r="AA2034" s="48"/>
      <c r="AB2034" s="48"/>
      <c r="AC2034" s="48"/>
      <c r="AD2034" s="48"/>
      <c r="AE2034" s="48"/>
      <c r="AF2034" s="48"/>
      <c r="AG2034" s="48"/>
      <c r="AH2034" s="48"/>
      <c r="AI2034" s="48"/>
      <c r="AJ2034" s="48"/>
      <c r="AK2034" s="48"/>
      <c r="AL2034" s="48"/>
      <c r="AM2034" s="48"/>
      <c r="AN2034" s="48"/>
      <c r="AO2034" s="48"/>
      <c r="AP2034" s="48"/>
      <c r="AQ2034" s="48"/>
      <c r="AR2034" s="48"/>
      <c r="AS2034" s="48"/>
      <c r="AT2034" s="48"/>
      <c r="AU2034" s="48"/>
      <c r="AV2034" s="48"/>
      <c r="AW2034" s="48"/>
      <c r="AX2034" s="48"/>
      <c r="AY2034" s="48"/>
      <c r="AZ2034" s="48"/>
      <c r="BA2034" s="48"/>
      <c r="BB2034" s="48"/>
      <c r="BC2034" s="48"/>
      <c r="BD2034" s="48"/>
    </row>
    <row r="2035" spans="1:56">
      <c r="A2035" s="48"/>
      <c r="B2035" s="48"/>
      <c r="C2035" s="49"/>
      <c r="D2035" s="48"/>
      <c r="E2035" s="48"/>
      <c r="F2035" s="48"/>
      <c r="G2035" s="48"/>
      <c r="H2035" s="48"/>
      <c r="I2035" s="48"/>
      <c r="J2035" s="86"/>
      <c r="K2035" s="86"/>
      <c r="L2035" s="86"/>
      <c r="M2035" s="86"/>
      <c r="N2035" s="86"/>
      <c r="O2035" s="86"/>
      <c r="P2035" s="86"/>
      <c r="Q2035" s="86"/>
      <c r="R2035" s="86"/>
      <c r="S2035" s="86"/>
      <c r="T2035" s="86"/>
      <c r="U2035" s="86"/>
      <c r="V2035" s="48"/>
      <c r="W2035" s="48"/>
      <c r="X2035" s="48"/>
      <c r="Y2035" s="48"/>
      <c r="Z2035" s="48"/>
      <c r="AA2035" s="48"/>
      <c r="AB2035" s="48"/>
      <c r="AC2035" s="48"/>
      <c r="AD2035" s="48"/>
      <c r="AE2035" s="48"/>
      <c r="AF2035" s="48"/>
      <c r="AG2035" s="48"/>
      <c r="AH2035" s="48"/>
      <c r="AI2035" s="48"/>
      <c r="AJ2035" s="48"/>
      <c r="AK2035" s="48"/>
      <c r="AL2035" s="48"/>
      <c r="AM2035" s="48"/>
      <c r="AN2035" s="48"/>
      <c r="AO2035" s="48"/>
      <c r="AP2035" s="48"/>
      <c r="AQ2035" s="48"/>
      <c r="AR2035" s="48"/>
      <c r="AS2035" s="48"/>
      <c r="AT2035" s="48"/>
      <c r="AU2035" s="48"/>
      <c r="AV2035" s="48"/>
      <c r="AW2035" s="48"/>
      <c r="AX2035" s="48"/>
      <c r="AY2035" s="48"/>
      <c r="AZ2035" s="48"/>
      <c r="BA2035" s="48"/>
      <c r="BB2035" s="48"/>
      <c r="BC2035" s="48"/>
      <c r="BD2035" s="48"/>
    </row>
    <row r="2036" spans="1:56">
      <c r="A2036" s="48"/>
      <c r="B2036" s="48"/>
      <c r="C2036" s="49"/>
      <c r="D2036" s="48"/>
      <c r="E2036" s="48"/>
      <c r="F2036" s="48"/>
      <c r="G2036" s="48"/>
      <c r="H2036" s="48"/>
      <c r="I2036" s="48"/>
      <c r="J2036" s="86"/>
      <c r="K2036" s="86"/>
      <c r="L2036" s="86"/>
      <c r="M2036" s="86"/>
      <c r="N2036" s="86"/>
      <c r="O2036" s="86"/>
      <c r="P2036" s="86"/>
      <c r="Q2036" s="86"/>
      <c r="R2036" s="86"/>
      <c r="S2036" s="86"/>
      <c r="T2036" s="86"/>
      <c r="U2036" s="86"/>
      <c r="V2036" s="48"/>
      <c r="W2036" s="48"/>
      <c r="X2036" s="48"/>
      <c r="Y2036" s="48"/>
      <c r="Z2036" s="48"/>
      <c r="AA2036" s="48"/>
      <c r="AB2036" s="48"/>
      <c r="AC2036" s="48"/>
      <c r="AD2036" s="48"/>
      <c r="AE2036" s="48"/>
      <c r="AF2036" s="48"/>
      <c r="AG2036" s="48"/>
      <c r="AH2036" s="48"/>
      <c r="AI2036" s="48"/>
      <c r="AJ2036" s="48"/>
      <c r="AK2036" s="48"/>
      <c r="AL2036" s="48"/>
      <c r="AM2036" s="48"/>
      <c r="AN2036" s="48"/>
      <c r="AO2036" s="48"/>
      <c r="AP2036" s="48"/>
      <c r="AQ2036" s="48"/>
      <c r="AR2036" s="48"/>
      <c r="AS2036" s="48"/>
      <c r="AT2036" s="48"/>
      <c r="AU2036" s="48"/>
      <c r="AV2036" s="48"/>
      <c r="AW2036" s="48"/>
      <c r="AX2036" s="48"/>
      <c r="AY2036" s="48"/>
      <c r="AZ2036" s="48"/>
      <c r="BA2036" s="48"/>
      <c r="BB2036" s="48"/>
      <c r="BC2036" s="48"/>
      <c r="BD2036" s="48"/>
    </row>
    <row r="2037" spans="1:56">
      <c r="A2037" s="48"/>
      <c r="B2037" s="48"/>
      <c r="C2037" s="49"/>
      <c r="D2037" s="48"/>
      <c r="E2037" s="48"/>
      <c r="F2037" s="48"/>
      <c r="G2037" s="48"/>
      <c r="H2037" s="48"/>
      <c r="I2037" s="48"/>
      <c r="J2037" s="86"/>
      <c r="K2037" s="86"/>
      <c r="L2037" s="86"/>
      <c r="M2037" s="86"/>
      <c r="N2037" s="86"/>
      <c r="O2037" s="86"/>
      <c r="P2037" s="86"/>
      <c r="Q2037" s="86"/>
      <c r="R2037" s="86"/>
      <c r="S2037" s="86"/>
      <c r="T2037" s="86"/>
      <c r="U2037" s="86"/>
      <c r="V2037" s="48"/>
      <c r="W2037" s="48"/>
      <c r="X2037" s="48"/>
      <c r="Y2037" s="48"/>
      <c r="Z2037" s="48"/>
      <c r="AA2037" s="48"/>
      <c r="AB2037" s="48"/>
      <c r="AC2037" s="48"/>
      <c r="AD2037" s="48"/>
      <c r="AE2037" s="48"/>
      <c r="AF2037" s="48"/>
      <c r="AG2037" s="48"/>
      <c r="AH2037" s="48"/>
      <c r="AI2037" s="48"/>
      <c r="AJ2037" s="48"/>
      <c r="AK2037" s="48"/>
      <c r="AL2037" s="48"/>
      <c r="AM2037" s="48"/>
      <c r="AN2037" s="48"/>
      <c r="AO2037" s="48"/>
      <c r="AP2037" s="48"/>
      <c r="AQ2037" s="48"/>
      <c r="AR2037" s="48"/>
      <c r="AS2037" s="48"/>
      <c r="AT2037" s="48"/>
      <c r="AU2037" s="48"/>
      <c r="AV2037" s="48"/>
      <c r="AW2037" s="48"/>
      <c r="AX2037" s="48"/>
      <c r="AY2037" s="48"/>
      <c r="AZ2037" s="48"/>
      <c r="BA2037" s="48"/>
      <c r="BB2037" s="48"/>
      <c r="BC2037" s="48"/>
      <c r="BD2037" s="48"/>
    </row>
    <row r="2038" spans="1:56">
      <c r="A2038" s="48"/>
      <c r="B2038" s="48"/>
      <c r="C2038" s="49"/>
      <c r="D2038" s="48"/>
      <c r="E2038" s="48"/>
      <c r="F2038" s="48"/>
      <c r="G2038" s="48"/>
      <c r="H2038" s="48"/>
      <c r="I2038" s="48"/>
      <c r="J2038" s="86"/>
      <c r="K2038" s="86"/>
      <c r="L2038" s="86"/>
      <c r="M2038" s="86"/>
      <c r="N2038" s="86"/>
      <c r="O2038" s="86"/>
      <c r="P2038" s="86"/>
      <c r="Q2038" s="86"/>
      <c r="R2038" s="86"/>
      <c r="S2038" s="86"/>
      <c r="T2038" s="86"/>
      <c r="U2038" s="86"/>
      <c r="V2038" s="48"/>
      <c r="W2038" s="48"/>
      <c r="X2038" s="48"/>
      <c r="Y2038" s="48"/>
      <c r="Z2038" s="48"/>
      <c r="AA2038" s="48"/>
      <c r="AB2038" s="48"/>
      <c r="AC2038" s="48"/>
      <c r="AD2038" s="48"/>
      <c r="AE2038" s="48"/>
      <c r="AF2038" s="48"/>
      <c r="AG2038" s="48"/>
      <c r="AH2038" s="48"/>
      <c r="AI2038" s="48"/>
      <c r="AJ2038" s="48"/>
      <c r="AK2038" s="48"/>
      <c r="AL2038" s="48"/>
      <c r="AM2038" s="48"/>
      <c r="AN2038" s="48"/>
      <c r="AO2038" s="48"/>
      <c r="AP2038" s="48"/>
      <c r="AQ2038" s="48"/>
      <c r="AR2038" s="48"/>
      <c r="AS2038" s="48"/>
      <c r="AT2038" s="48"/>
      <c r="AU2038" s="48"/>
      <c r="AV2038" s="48"/>
      <c r="AW2038" s="48"/>
      <c r="AX2038" s="48"/>
      <c r="AY2038" s="48"/>
      <c r="AZ2038" s="48"/>
      <c r="BA2038" s="48"/>
      <c r="BB2038" s="48"/>
      <c r="BC2038" s="48"/>
      <c r="BD2038" s="48"/>
    </row>
    <row r="2039" spans="1:56">
      <c r="A2039" s="48"/>
      <c r="B2039" s="48"/>
      <c r="C2039" s="49"/>
      <c r="D2039" s="48"/>
      <c r="E2039" s="48"/>
      <c r="F2039" s="48"/>
      <c r="G2039" s="48"/>
      <c r="H2039" s="48"/>
      <c r="I2039" s="48"/>
      <c r="J2039" s="86"/>
      <c r="K2039" s="86"/>
      <c r="L2039" s="86"/>
      <c r="M2039" s="86"/>
      <c r="N2039" s="86"/>
      <c r="O2039" s="86"/>
      <c r="P2039" s="86"/>
      <c r="Q2039" s="86"/>
      <c r="R2039" s="86"/>
      <c r="S2039" s="86"/>
      <c r="T2039" s="86"/>
      <c r="U2039" s="86"/>
      <c r="V2039" s="48"/>
      <c r="W2039" s="48"/>
      <c r="X2039" s="48"/>
      <c r="Y2039" s="48"/>
      <c r="Z2039" s="48"/>
      <c r="AA2039" s="48"/>
      <c r="AB2039" s="48"/>
      <c r="AC2039" s="48"/>
      <c r="AD2039" s="48"/>
      <c r="AE2039" s="48"/>
      <c r="AF2039" s="48"/>
      <c r="AG2039" s="48"/>
      <c r="AH2039" s="48"/>
      <c r="AI2039" s="48"/>
      <c r="AJ2039" s="48"/>
      <c r="AK2039" s="48"/>
      <c r="AL2039" s="48"/>
      <c r="AM2039" s="48"/>
      <c r="AN2039" s="48"/>
      <c r="AO2039" s="48"/>
      <c r="AP2039" s="48"/>
      <c r="AQ2039" s="48"/>
      <c r="AR2039" s="48"/>
      <c r="AS2039" s="48"/>
      <c r="AT2039" s="48"/>
      <c r="AU2039" s="48"/>
      <c r="AV2039" s="48"/>
      <c r="AW2039" s="48"/>
      <c r="AX2039" s="48"/>
      <c r="AY2039" s="48"/>
      <c r="AZ2039" s="48"/>
      <c r="BA2039" s="48"/>
      <c r="BB2039" s="48"/>
      <c r="BC2039" s="48"/>
      <c r="BD2039" s="48"/>
    </row>
    <row r="2040" spans="1:56">
      <c r="A2040" s="48"/>
      <c r="B2040" s="48"/>
      <c r="C2040" s="49"/>
      <c r="D2040" s="48"/>
      <c r="E2040" s="48"/>
      <c r="F2040" s="48"/>
      <c r="G2040" s="48"/>
      <c r="H2040" s="48"/>
      <c r="I2040" s="48"/>
      <c r="J2040" s="86"/>
      <c r="K2040" s="86"/>
      <c r="L2040" s="86"/>
      <c r="M2040" s="86"/>
      <c r="N2040" s="86"/>
      <c r="O2040" s="86"/>
      <c r="P2040" s="86"/>
      <c r="Q2040" s="86"/>
      <c r="R2040" s="86"/>
      <c r="S2040" s="86"/>
      <c r="T2040" s="86"/>
      <c r="U2040" s="86"/>
      <c r="V2040" s="48"/>
      <c r="W2040" s="48"/>
      <c r="X2040" s="48"/>
      <c r="Y2040" s="48"/>
      <c r="Z2040" s="48"/>
      <c r="AA2040" s="48"/>
      <c r="AB2040" s="48"/>
      <c r="AC2040" s="48"/>
      <c r="AD2040" s="48"/>
      <c r="AE2040" s="48"/>
      <c r="AF2040" s="48"/>
      <c r="AG2040" s="48"/>
      <c r="AH2040" s="48"/>
      <c r="AI2040" s="48"/>
      <c r="AJ2040" s="48"/>
      <c r="AK2040" s="48"/>
      <c r="AL2040" s="48"/>
      <c r="AM2040" s="48"/>
      <c r="AN2040" s="48"/>
      <c r="AO2040" s="48"/>
      <c r="AP2040" s="48"/>
      <c r="AQ2040" s="48"/>
      <c r="AR2040" s="48"/>
      <c r="AS2040" s="48"/>
      <c r="AT2040" s="48"/>
      <c r="AU2040" s="48"/>
      <c r="AV2040" s="48"/>
      <c r="AW2040" s="48"/>
      <c r="AX2040" s="48"/>
      <c r="AY2040" s="48"/>
      <c r="AZ2040" s="48"/>
      <c r="BA2040" s="48"/>
      <c r="BB2040" s="48"/>
      <c r="BC2040" s="48"/>
      <c r="BD2040" s="48"/>
    </row>
    <row r="2041" spans="1:56">
      <c r="A2041" s="48"/>
      <c r="B2041" s="48"/>
      <c r="C2041" s="49"/>
      <c r="D2041" s="48"/>
      <c r="E2041" s="48"/>
      <c r="F2041" s="48"/>
      <c r="G2041" s="48"/>
      <c r="H2041" s="48"/>
      <c r="I2041" s="48"/>
      <c r="J2041" s="86"/>
      <c r="K2041" s="86"/>
      <c r="L2041" s="86"/>
      <c r="M2041" s="86"/>
      <c r="N2041" s="86"/>
      <c r="O2041" s="86"/>
      <c r="P2041" s="86"/>
      <c r="Q2041" s="86"/>
      <c r="R2041" s="86"/>
      <c r="S2041" s="86"/>
      <c r="T2041" s="86"/>
      <c r="U2041" s="86"/>
      <c r="V2041" s="48"/>
      <c r="W2041" s="48"/>
      <c r="X2041" s="48"/>
      <c r="Y2041" s="48"/>
      <c r="Z2041" s="48"/>
      <c r="AA2041" s="48"/>
      <c r="AB2041" s="48"/>
      <c r="AC2041" s="48"/>
      <c r="AD2041" s="48"/>
      <c r="AE2041" s="48"/>
      <c r="AF2041" s="48"/>
      <c r="AG2041" s="48"/>
      <c r="AH2041" s="48"/>
      <c r="AI2041" s="48"/>
      <c r="AJ2041" s="48"/>
      <c r="AK2041" s="48"/>
      <c r="AL2041" s="48"/>
      <c r="AM2041" s="48"/>
      <c r="AN2041" s="48"/>
      <c r="AO2041" s="48"/>
      <c r="AP2041" s="48"/>
      <c r="AQ2041" s="48"/>
      <c r="AR2041" s="48"/>
      <c r="AS2041" s="48"/>
      <c r="AT2041" s="48"/>
      <c r="AU2041" s="48"/>
      <c r="AV2041" s="48"/>
      <c r="AW2041" s="48"/>
      <c r="AX2041" s="48"/>
      <c r="AY2041" s="48"/>
      <c r="AZ2041" s="48"/>
      <c r="BA2041" s="48"/>
      <c r="BB2041" s="48"/>
      <c r="BC2041" s="48"/>
      <c r="BD2041" s="48"/>
    </row>
    <row r="2042" spans="1:56">
      <c r="A2042" s="48"/>
      <c r="B2042" s="48"/>
      <c r="C2042" s="49"/>
      <c r="D2042" s="48"/>
      <c r="E2042" s="48"/>
      <c r="F2042" s="48"/>
      <c r="G2042" s="48"/>
      <c r="H2042" s="48"/>
      <c r="I2042" s="48"/>
      <c r="J2042" s="86"/>
      <c r="K2042" s="86"/>
      <c r="L2042" s="86"/>
      <c r="M2042" s="86"/>
      <c r="N2042" s="86"/>
      <c r="O2042" s="86"/>
      <c r="P2042" s="86"/>
      <c r="Q2042" s="86"/>
      <c r="R2042" s="86"/>
      <c r="S2042" s="86"/>
      <c r="T2042" s="86"/>
      <c r="U2042" s="86"/>
      <c r="V2042" s="48"/>
      <c r="W2042" s="48"/>
      <c r="X2042" s="48"/>
      <c r="Y2042" s="48"/>
      <c r="Z2042" s="48"/>
      <c r="AA2042" s="48"/>
      <c r="AB2042" s="48"/>
      <c r="AC2042" s="48"/>
      <c r="AD2042" s="48"/>
      <c r="AE2042" s="48"/>
      <c r="AF2042" s="48"/>
      <c r="AG2042" s="48"/>
      <c r="AH2042" s="48"/>
      <c r="AI2042" s="48"/>
      <c r="AJ2042" s="48"/>
      <c r="AK2042" s="48"/>
      <c r="AL2042" s="48"/>
      <c r="AM2042" s="48"/>
      <c r="AN2042" s="48"/>
      <c r="AO2042" s="48"/>
      <c r="AP2042" s="48"/>
      <c r="AQ2042" s="48"/>
      <c r="AR2042" s="48"/>
      <c r="AS2042" s="48"/>
      <c r="AT2042" s="48"/>
      <c r="AU2042" s="48"/>
      <c r="AV2042" s="48"/>
      <c r="AW2042" s="48"/>
      <c r="AX2042" s="48"/>
      <c r="AY2042" s="48"/>
      <c r="AZ2042" s="48"/>
      <c r="BA2042" s="48"/>
      <c r="BB2042" s="48"/>
      <c r="BC2042" s="48"/>
      <c r="BD2042" s="48"/>
    </row>
    <row r="2043" spans="1:56">
      <c r="A2043" s="48"/>
      <c r="B2043" s="48"/>
      <c r="C2043" s="49"/>
      <c r="D2043" s="48"/>
      <c r="E2043" s="48"/>
      <c r="F2043" s="48"/>
      <c r="G2043" s="48"/>
      <c r="H2043" s="48"/>
      <c r="I2043" s="48"/>
      <c r="J2043" s="86"/>
      <c r="K2043" s="86"/>
      <c r="L2043" s="86"/>
      <c r="M2043" s="86"/>
      <c r="N2043" s="86"/>
      <c r="O2043" s="86"/>
      <c r="P2043" s="86"/>
      <c r="Q2043" s="86"/>
      <c r="R2043" s="86"/>
      <c r="S2043" s="86"/>
      <c r="T2043" s="86"/>
      <c r="U2043" s="86"/>
      <c r="V2043" s="48"/>
      <c r="W2043" s="48"/>
      <c r="X2043" s="48"/>
      <c r="Y2043" s="48"/>
      <c r="Z2043" s="48"/>
      <c r="AA2043" s="48"/>
      <c r="AB2043" s="48"/>
      <c r="AC2043" s="48"/>
      <c r="AD2043" s="48"/>
      <c r="AE2043" s="48"/>
      <c r="AF2043" s="48"/>
      <c r="AG2043" s="48"/>
      <c r="AH2043" s="48"/>
      <c r="AI2043" s="48"/>
      <c r="AJ2043" s="48"/>
      <c r="AK2043" s="48"/>
      <c r="AL2043" s="48"/>
      <c r="AM2043" s="48"/>
      <c r="AN2043" s="48"/>
      <c r="AO2043" s="48"/>
      <c r="AP2043" s="48"/>
      <c r="AQ2043" s="48"/>
      <c r="AR2043" s="48"/>
      <c r="AS2043" s="48"/>
      <c r="AT2043" s="48"/>
      <c r="AU2043" s="48"/>
      <c r="AV2043" s="48"/>
      <c r="AW2043" s="48"/>
      <c r="AX2043" s="48"/>
      <c r="AY2043" s="48"/>
      <c r="AZ2043" s="48"/>
      <c r="BA2043" s="48"/>
      <c r="BB2043" s="48"/>
      <c r="BC2043" s="48"/>
      <c r="BD2043" s="48"/>
    </row>
    <row r="2044" spans="1:56">
      <c r="A2044" s="48"/>
      <c r="B2044" s="48"/>
      <c r="C2044" s="49"/>
      <c r="D2044" s="48"/>
      <c r="E2044" s="48"/>
      <c r="F2044" s="48"/>
      <c r="G2044" s="48"/>
      <c r="H2044" s="48"/>
      <c r="I2044" s="48"/>
      <c r="J2044" s="86"/>
      <c r="K2044" s="86"/>
      <c r="L2044" s="86"/>
      <c r="M2044" s="86"/>
      <c r="N2044" s="86"/>
      <c r="O2044" s="86"/>
      <c r="P2044" s="86"/>
      <c r="Q2044" s="86"/>
      <c r="R2044" s="86"/>
      <c r="S2044" s="86"/>
      <c r="T2044" s="86"/>
      <c r="U2044" s="86"/>
      <c r="V2044" s="48"/>
      <c r="W2044" s="48"/>
      <c r="X2044" s="48"/>
      <c r="Y2044" s="48"/>
      <c r="Z2044" s="48"/>
      <c r="AA2044" s="48"/>
      <c r="AB2044" s="48"/>
      <c r="AC2044" s="48"/>
      <c r="AD2044" s="48"/>
      <c r="AE2044" s="48"/>
      <c r="AF2044" s="48"/>
      <c r="AG2044" s="48"/>
      <c r="AH2044" s="48"/>
      <c r="AI2044" s="48"/>
      <c r="AJ2044" s="48"/>
      <c r="AK2044" s="48"/>
      <c r="AL2044" s="48"/>
      <c r="AM2044" s="48"/>
      <c r="AN2044" s="48"/>
      <c r="AO2044" s="48"/>
      <c r="AP2044" s="48"/>
      <c r="AQ2044" s="48"/>
      <c r="AR2044" s="48"/>
      <c r="AS2044" s="48"/>
      <c r="AT2044" s="48"/>
      <c r="AU2044" s="48"/>
      <c r="AV2044" s="48"/>
      <c r="AW2044" s="48"/>
      <c r="AX2044" s="48"/>
      <c r="AY2044" s="48"/>
      <c r="AZ2044" s="48"/>
      <c r="BA2044" s="48"/>
      <c r="BB2044" s="48"/>
      <c r="BC2044" s="48"/>
      <c r="BD2044" s="48"/>
    </row>
    <row r="2045" spans="1:56">
      <c r="A2045" s="48"/>
      <c r="B2045" s="48"/>
      <c r="C2045" s="49"/>
      <c r="D2045" s="48"/>
      <c r="E2045" s="48"/>
      <c r="F2045" s="48"/>
      <c r="G2045" s="48"/>
      <c r="H2045" s="48"/>
      <c r="I2045" s="48"/>
      <c r="J2045" s="86"/>
      <c r="K2045" s="86"/>
      <c r="L2045" s="86"/>
      <c r="M2045" s="86"/>
      <c r="N2045" s="86"/>
      <c r="O2045" s="86"/>
      <c r="P2045" s="86"/>
      <c r="Q2045" s="86"/>
      <c r="R2045" s="86"/>
      <c r="S2045" s="86"/>
      <c r="T2045" s="86"/>
      <c r="U2045" s="86"/>
      <c r="V2045" s="48"/>
      <c r="W2045" s="48"/>
      <c r="X2045" s="48"/>
      <c r="Y2045" s="48"/>
      <c r="Z2045" s="48"/>
      <c r="AA2045" s="48"/>
      <c r="AB2045" s="48"/>
      <c r="AC2045" s="48"/>
      <c r="AD2045" s="48"/>
      <c r="AE2045" s="48"/>
      <c r="AF2045" s="48"/>
      <c r="AG2045" s="48"/>
      <c r="AH2045" s="48"/>
      <c r="AI2045" s="48"/>
      <c r="AJ2045" s="48"/>
      <c r="AK2045" s="48"/>
      <c r="AL2045" s="48"/>
      <c r="AM2045" s="48"/>
      <c r="AN2045" s="48"/>
      <c r="AO2045" s="48"/>
      <c r="AP2045" s="48"/>
      <c r="AQ2045" s="48"/>
      <c r="AR2045" s="48"/>
      <c r="AS2045" s="48"/>
      <c r="AT2045" s="48"/>
      <c r="AU2045" s="48"/>
      <c r="AV2045" s="48"/>
      <c r="AW2045" s="48"/>
      <c r="AX2045" s="48"/>
      <c r="AY2045" s="48"/>
      <c r="AZ2045" s="48"/>
      <c r="BA2045" s="48"/>
      <c r="BB2045" s="48"/>
      <c r="BC2045" s="48"/>
      <c r="BD2045" s="48"/>
    </row>
    <row r="2046" spans="1:56">
      <c r="A2046" s="48"/>
      <c r="B2046" s="48"/>
      <c r="C2046" s="49"/>
      <c r="D2046" s="48"/>
      <c r="E2046" s="48"/>
      <c r="F2046" s="48"/>
      <c r="G2046" s="48"/>
      <c r="H2046" s="48"/>
      <c r="I2046" s="48"/>
      <c r="J2046" s="86"/>
      <c r="K2046" s="86"/>
      <c r="L2046" s="86"/>
      <c r="M2046" s="86"/>
      <c r="N2046" s="86"/>
      <c r="O2046" s="86"/>
      <c r="P2046" s="86"/>
      <c r="Q2046" s="86"/>
      <c r="R2046" s="86"/>
      <c r="S2046" s="86"/>
      <c r="T2046" s="86"/>
      <c r="U2046" s="86"/>
      <c r="V2046" s="48"/>
      <c r="W2046" s="48"/>
      <c r="X2046" s="48"/>
      <c r="Y2046" s="48"/>
      <c r="Z2046" s="48"/>
      <c r="AA2046" s="48"/>
      <c r="AB2046" s="48"/>
      <c r="AC2046" s="48"/>
      <c r="AD2046" s="48"/>
      <c r="AE2046" s="48"/>
      <c r="AF2046" s="48"/>
      <c r="AG2046" s="48"/>
      <c r="AH2046" s="48"/>
      <c r="AI2046" s="48"/>
      <c r="AJ2046" s="48"/>
      <c r="AK2046" s="48"/>
      <c r="AL2046" s="48"/>
      <c r="AM2046" s="48"/>
      <c r="AN2046" s="48"/>
      <c r="AO2046" s="48"/>
      <c r="AP2046" s="48"/>
      <c r="AQ2046" s="48"/>
      <c r="AR2046" s="48"/>
      <c r="AS2046" s="48"/>
      <c r="AT2046" s="48"/>
      <c r="AU2046" s="48"/>
      <c r="AV2046" s="48"/>
      <c r="AW2046" s="48"/>
      <c r="AX2046" s="48"/>
      <c r="AY2046" s="48"/>
      <c r="AZ2046" s="48"/>
      <c r="BA2046" s="48"/>
      <c r="BB2046" s="48"/>
      <c r="BC2046" s="48"/>
      <c r="BD2046" s="48"/>
    </row>
    <row r="2047" spans="1:56">
      <c r="A2047" s="48"/>
      <c r="B2047" s="48"/>
      <c r="C2047" s="49"/>
      <c r="D2047" s="48"/>
      <c r="E2047" s="48"/>
      <c r="F2047" s="48"/>
      <c r="G2047" s="48"/>
      <c r="H2047" s="48"/>
      <c r="I2047" s="48"/>
      <c r="J2047" s="86"/>
      <c r="K2047" s="86"/>
      <c r="L2047" s="86"/>
      <c r="M2047" s="86"/>
      <c r="N2047" s="86"/>
      <c r="O2047" s="86"/>
      <c r="P2047" s="86"/>
      <c r="Q2047" s="86"/>
      <c r="R2047" s="86"/>
      <c r="S2047" s="86"/>
      <c r="T2047" s="86"/>
      <c r="U2047" s="86"/>
      <c r="V2047" s="48"/>
      <c r="W2047" s="48"/>
      <c r="X2047" s="48"/>
      <c r="Y2047" s="48"/>
      <c r="Z2047" s="48"/>
      <c r="AA2047" s="48"/>
      <c r="AB2047" s="48"/>
      <c r="AC2047" s="48"/>
      <c r="AD2047" s="48"/>
      <c r="AE2047" s="48"/>
      <c r="AF2047" s="48"/>
      <c r="AG2047" s="48"/>
      <c r="AH2047" s="48"/>
      <c r="AI2047" s="48"/>
      <c r="AJ2047" s="48"/>
      <c r="AK2047" s="48"/>
      <c r="AL2047" s="48"/>
      <c r="AM2047" s="48"/>
      <c r="AN2047" s="48"/>
      <c r="AO2047" s="48"/>
      <c r="AP2047" s="48"/>
      <c r="AQ2047" s="48"/>
      <c r="AR2047" s="48"/>
      <c r="AS2047" s="48"/>
      <c r="AT2047" s="48"/>
      <c r="AU2047" s="48"/>
      <c r="AV2047" s="48"/>
      <c r="AW2047" s="48"/>
      <c r="AX2047" s="48"/>
      <c r="AY2047" s="48"/>
      <c r="AZ2047" s="48"/>
      <c r="BA2047" s="48"/>
      <c r="BB2047" s="48"/>
      <c r="BC2047" s="48"/>
      <c r="BD2047" s="48"/>
    </row>
    <row r="2048" spans="1:56">
      <c r="A2048" s="48"/>
      <c r="B2048" s="48"/>
      <c r="C2048" s="49"/>
      <c r="D2048" s="48"/>
      <c r="E2048" s="48"/>
      <c r="F2048" s="48"/>
      <c r="G2048" s="48"/>
      <c r="H2048" s="48"/>
      <c r="I2048" s="48"/>
      <c r="J2048" s="86"/>
      <c r="K2048" s="86"/>
      <c r="L2048" s="86"/>
      <c r="M2048" s="86"/>
      <c r="N2048" s="86"/>
      <c r="O2048" s="86"/>
      <c r="P2048" s="86"/>
      <c r="Q2048" s="86"/>
      <c r="R2048" s="86"/>
      <c r="S2048" s="86"/>
      <c r="T2048" s="86"/>
      <c r="U2048" s="86"/>
      <c r="V2048" s="48"/>
      <c r="W2048" s="48"/>
      <c r="X2048" s="48"/>
      <c r="Y2048" s="48"/>
      <c r="Z2048" s="48"/>
      <c r="AA2048" s="48"/>
      <c r="AB2048" s="48"/>
      <c r="AC2048" s="48"/>
      <c r="AD2048" s="48"/>
      <c r="AE2048" s="48"/>
      <c r="AF2048" s="48"/>
      <c r="AG2048" s="48"/>
      <c r="AH2048" s="48"/>
      <c r="AI2048" s="48"/>
      <c r="AJ2048" s="48"/>
      <c r="AK2048" s="48"/>
      <c r="AL2048" s="48"/>
      <c r="AM2048" s="48"/>
      <c r="AN2048" s="48"/>
      <c r="AO2048" s="48"/>
      <c r="AP2048" s="48"/>
      <c r="AQ2048" s="48"/>
      <c r="AR2048" s="48"/>
      <c r="AS2048" s="48"/>
      <c r="AT2048" s="48"/>
      <c r="AU2048" s="48"/>
      <c r="AV2048" s="48"/>
      <c r="AW2048" s="48"/>
      <c r="AX2048" s="48"/>
      <c r="AY2048" s="48"/>
      <c r="AZ2048" s="48"/>
      <c r="BA2048" s="48"/>
      <c r="BB2048" s="48"/>
      <c r="BC2048" s="48"/>
      <c r="BD2048" s="48"/>
    </row>
    <row r="2049" spans="1:56">
      <c r="A2049" s="48"/>
      <c r="B2049" s="48"/>
      <c r="C2049" s="49"/>
      <c r="D2049" s="48"/>
      <c r="E2049" s="48"/>
      <c r="F2049" s="48"/>
      <c r="G2049" s="48"/>
      <c r="H2049" s="48"/>
      <c r="I2049" s="48"/>
      <c r="J2049" s="86"/>
      <c r="K2049" s="86"/>
      <c r="L2049" s="86"/>
      <c r="M2049" s="86"/>
      <c r="N2049" s="86"/>
      <c r="O2049" s="86"/>
      <c r="P2049" s="86"/>
      <c r="Q2049" s="86"/>
      <c r="R2049" s="86"/>
      <c r="S2049" s="86"/>
      <c r="T2049" s="86"/>
      <c r="U2049" s="86"/>
      <c r="V2049" s="48"/>
      <c r="W2049" s="48"/>
      <c r="X2049" s="48"/>
      <c r="Y2049" s="48"/>
      <c r="Z2049" s="48"/>
      <c r="AA2049" s="48"/>
      <c r="AB2049" s="48"/>
      <c r="AC2049" s="48"/>
      <c r="AD2049" s="48"/>
      <c r="AE2049" s="48"/>
      <c r="AF2049" s="48"/>
      <c r="AG2049" s="48"/>
      <c r="AH2049" s="48"/>
      <c r="AI2049" s="48"/>
      <c r="AJ2049" s="48"/>
      <c r="AK2049" s="48"/>
      <c r="AL2049" s="48"/>
      <c r="AM2049" s="48"/>
      <c r="AN2049" s="48"/>
      <c r="AO2049" s="48"/>
      <c r="AP2049" s="48"/>
      <c r="AQ2049" s="48"/>
      <c r="AR2049" s="48"/>
      <c r="AS2049" s="48"/>
      <c r="AT2049" s="48"/>
      <c r="AU2049" s="48"/>
      <c r="AV2049" s="48"/>
      <c r="AW2049" s="48"/>
      <c r="AX2049" s="48"/>
      <c r="AY2049" s="48"/>
      <c r="AZ2049" s="48"/>
      <c r="BA2049" s="48"/>
      <c r="BB2049" s="48"/>
      <c r="BC2049" s="48"/>
      <c r="BD2049" s="48"/>
    </row>
    <row r="2050" spans="1:56">
      <c r="A2050" s="48"/>
      <c r="B2050" s="48"/>
      <c r="C2050" s="49"/>
      <c r="D2050" s="48"/>
      <c r="E2050" s="48"/>
      <c r="F2050" s="48"/>
      <c r="G2050" s="48"/>
      <c r="H2050" s="48"/>
      <c r="I2050" s="48"/>
      <c r="J2050" s="86"/>
      <c r="K2050" s="86"/>
      <c r="L2050" s="86"/>
      <c r="M2050" s="86"/>
      <c r="N2050" s="86"/>
      <c r="O2050" s="86"/>
      <c r="P2050" s="86"/>
      <c r="Q2050" s="86"/>
      <c r="R2050" s="86"/>
      <c r="S2050" s="86"/>
      <c r="T2050" s="86"/>
      <c r="U2050" s="86"/>
      <c r="V2050" s="48"/>
      <c r="W2050" s="48"/>
      <c r="X2050" s="48"/>
      <c r="Y2050" s="48"/>
      <c r="Z2050" s="48"/>
      <c r="AA2050" s="48"/>
      <c r="AB2050" s="48"/>
      <c r="AC2050" s="48"/>
      <c r="AD2050" s="48"/>
      <c r="AE2050" s="48"/>
      <c r="AF2050" s="48"/>
      <c r="AG2050" s="48"/>
      <c r="AH2050" s="48"/>
      <c r="AI2050" s="48"/>
      <c r="AJ2050" s="48"/>
      <c r="AK2050" s="48"/>
      <c r="AL2050" s="48"/>
      <c r="AM2050" s="48"/>
      <c r="AN2050" s="48"/>
      <c r="AO2050" s="48"/>
      <c r="AP2050" s="48"/>
      <c r="AQ2050" s="48"/>
      <c r="AR2050" s="48"/>
      <c r="AS2050" s="48"/>
      <c r="AT2050" s="48"/>
      <c r="AU2050" s="48"/>
      <c r="AV2050" s="48"/>
      <c r="AW2050" s="48"/>
      <c r="AX2050" s="48"/>
      <c r="AY2050" s="48"/>
      <c r="AZ2050" s="48"/>
      <c r="BA2050" s="48"/>
      <c r="BB2050" s="48"/>
      <c r="BC2050" s="48"/>
      <c r="BD2050" s="48"/>
    </row>
    <row r="2051" spans="1:56">
      <c r="A2051" s="48"/>
      <c r="B2051" s="48"/>
      <c r="C2051" s="49"/>
      <c r="D2051" s="48"/>
      <c r="E2051" s="48"/>
      <c r="F2051" s="48"/>
      <c r="G2051" s="48"/>
      <c r="H2051" s="48"/>
      <c r="I2051" s="48"/>
      <c r="J2051" s="86"/>
      <c r="K2051" s="86"/>
      <c r="L2051" s="86"/>
      <c r="M2051" s="86"/>
      <c r="N2051" s="86"/>
      <c r="O2051" s="86"/>
      <c r="P2051" s="86"/>
      <c r="Q2051" s="86"/>
      <c r="R2051" s="86"/>
      <c r="S2051" s="86"/>
      <c r="T2051" s="86"/>
      <c r="U2051" s="86"/>
      <c r="V2051" s="48"/>
      <c r="W2051" s="48"/>
      <c r="X2051" s="48"/>
      <c r="Y2051" s="48"/>
      <c r="Z2051" s="48"/>
      <c r="AA2051" s="48"/>
      <c r="AB2051" s="48"/>
      <c r="AC2051" s="48"/>
      <c r="AD2051" s="48"/>
      <c r="AE2051" s="48"/>
      <c r="AF2051" s="48"/>
      <c r="AG2051" s="48"/>
      <c r="AH2051" s="48"/>
      <c r="AI2051" s="48"/>
      <c r="AJ2051" s="48"/>
      <c r="AK2051" s="48"/>
      <c r="AL2051" s="48"/>
      <c r="AM2051" s="48"/>
      <c r="AN2051" s="48"/>
      <c r="AO2051" s="48"/>
      <c r="AP2051" s="48"/>
      <c r="AQ2051" s="48"/>
      <c r="AR2051" s="48"/>
      <c r="AS2051" s="48"/>
      <c r="AT2051" s="48"/>
      <c r="AU2051" s="48"/>
      <c r="AV2051" s="48"/>
      <c r="AW2051" s="48"/>
      <c r="AX2051" s="48"/>
      <c r="AY2051" s="48"/>
      <c r="AZ2051" s="48"/>
      <c r="BA2051" s="48"/>
      <c r="BB2051" s="48"/>
      <c r="BC2051" s="48"/>
      <c r="BD2051" s="48"/>
    </row>
    <row r="2052" spans="1:56">
      <c r="A2052" s="48"/>
      <c r="B2052" s="48"/>
      <c r="C2052" s="49"/>
      <c r="D2052" s="48"/>
      <c r="E2052" s="48"/>
      <c r="F2052" s="48"/>
      <c r="G2052" s="48"/>
      <c r="H2052" s="48"/>
      <c r="I2052" s="48"/>
      <c r="J2052" s="86"/>
      <c r="K2052" s="86"/>
      <c r="L2052" s="86"/>
      <c r="M2052" s="86"/>
      <c r="N2052" s="86"/>
      <c r="O2052" s="86"/>
      <c r="P2052" s="86"/>
      <c r="Q2052" s="86"/>
      <c r="R2052" s="86"/>
      <c r="S2052" s="86"/>
      <c r="T2052" s="86"/>
      <c r="U2052" s="86"/>
      <c r="V2052" s="48"/>
      <c r="W2052" s="48"/>
      <c r="X2052" s="48"/>
      <c r="Y2052" s="48"/>
      <c r="Z2052" s="48"/>
      <c r="AA2052" s="48"/>
      <c r="AB2052" s="48"/>
      <c r="AC2052" s="48"/>
      <c r="AD2052" s="48"/>
      <c r="AE2052" s="48"/>
      <c r="AF2052" s="48"/>
      <c r="AG2052" s="48"/>
      <c r="AH2052" s="48"/>
      <c r="AI2052" s="48"/>
      <c r="AJ2052" s="48"/>
      <c r="AK2052" s="48"/>
      <c r="AL2052" s="48"/>
      <c r="AM2052" s="48"/>
      <c r="AN2052" s="48"/>
      <c r="AO2052" s="48"/>
      <c r="AP2052" s="48"/>
      <c r="AQ2052" s="48"/>
      <c r="AR2052" s="48"/>
      <c r="AS2052" s="48"/>
      <c r="AT2052" s="48"/>
      <c r="AU2052" s="48"/>
      <c r="AV2052" s="48"/>
      <c r="AW2052" s="48"/>
      <c r="AX2052" s="48"/>
      <c r="AY2052" s="48"/>
      <c r="AZ2052" s="48"/>
      <c r="BA2052" s="48"/>
      <c r="BB2052" s="48"/>
      <c r="BC2052" s="48"/>
      <c r="BD2052" s="48"/>
    </row>
    <row r="2053" spans="1:56">
      <c r="A2053" s="48"/>
      <c r="B2053" s="48"/>
      <c r="C2053" s="49"/>
      <c r="D2053" s="48"/>
      <c r="E2053" s="48"/>
      <c r="F2053" s="48"/>
      <c r="G2053" s="48"/>
      <c r="H2053" s="48"/>
      <c r="I2053" s="48"/>
      <c r="J2053" s="86"/>
      <c r="K2053" s="86"/>
      <c r="L2053" s="86"/>
      <c r="M2053" s="86"/>
      <c r="N2053" s="86"/>
      <c r="O2053" s="86"/>
      <c r="P2053" s="86"/>
      <c r="Q2053" s="86"/>
      <c r="R2053" s="86"/>
      <c r="S2053" s="86"/>
      <c r="T2053" s="86"/>
      <c r="U2053" s="86"/>
      <c r="V2053" s="48"/>
      <c r="W2053" s="48"/>
      <c r="X2053" s="48"/>
      <c r="Y2053" s="48"/>
      <c r="Z2053" s="48"/>
      <c r="AA2053" s="48"/>
      <c r="AB2053" s="48"/>
      <c r="AC2053" s="48"/>
      <c r="AD2053" s="48"/>
      <c r="AE2053" s="48"/>
      <c r="AF2053" s="48"/>
      <c r="AG2053" s="48"/>
      <c r="AH2053" s="48"/>
      <c r="AI2053" s="48"/>
      <c r="AJ2053" s="48"/>
      <c r="AK2053" s="48"/>
      <c r="AL2053" s="48"/>
      <c r="AM2053" s="48"/>
      <c r="AN2053" s="48"/>
      <c r="AO2053" s="48"/>
      <c r="AP2053" s="48"/>
      <c r="AQ2053" s="48"/>
      <c r="AR2053" s="48"/>
      <c r="AS2053" s="48"/>
      <c r="AT2053" s="48"/>
      <c r="AU2053" s="48"/>
      <c r="AV2053" s="48"/>
      <c r="AW2053" s="48"/>
      <c r="AX2053" s="48"/>
      <c r="AY2053" s="48"/>
      <c r="AZ2053" s="48"/>
      <c r="BA2053" s="48"/>
      <c r="BB2053" s="48"/>
      <c r="BC2053" s="48"/>
      <c r="BD2053" s="48"/>
    </row>
    <row r="2054" spans="1:56">
      <c r="A2054" s="48"/>
      <c r="B2054" s="48"/>
      <c r="C2054" s="49"/>
      <c r="D2054" s="48"/>
      <c r="E2054" s="48"/>
      <c r="F2054" s="48"/>
      <c r="G2054" s="48"/>
      <c r="H2054" s="48"/>
      <c r="I2054" s="48"/>
      <c r="J2054" s="86"/>
      <c r="K2054" s="86"/>
      <c r="L2054" s="86"/>
      <c r="M2054" s="86"/>
      <c r="N2054" s="86"/>
      <c r="O2054" s="86"/>
      <c r="P2054" s="86"/>
      <c r="Q2054" s="86"/>
      <c r="R2054" s="86"/>
      <c r="S2054" s="86"/>
      <c r="T2054" s="86"/>
      <c r="U2054" s="86"/>
      <c r="V2054" s="48"/>
      <c r="W2054" s="48"/>
      <c r="X2054" s="48"/>
      <c r="Y2054" s="48"/>
      <c r="Z2054" s="48"/>
      <c r="AA2054" s="48"/>
      <c r="AB2054" s="48"/>
      <c r="AC2054" s="48"/>
      <c r="AD2054" s="48"/>
      <c r="AE2054" s="48"/>
      <c r="AF2054" s="48"/>
      <c r="AG2054" s="48"/>
      <c r="AH2054" s="48"/>
      <c r="AI2054" s="48"/>
      <c r="AJ2054" s="48"/>
      <c r="AK2054" s="48"/>
      <c r="AL2054" s="48"/>
      <c r="AM2054" s="48"/>
      <c r="AN2054" s="48"/>
      <c r="AO2054" s="48"/>
      <c r="AP2054" s="48"/>
      <c r="AQ2054" s="48"/>
      <c r="AR2054" s="48"/>
      <c r="AS2054" s="48"/>
      <c r="AT2054" s="48"/>
      <c r="AU2054" s="48"/>
      <c r="AV2054" s="48"/>
      <c r="AW2054" s="48"/>
      <c r="AX2054" s="48"/>
      <c r="AY2054" s="48"/>
      <c r="AZ2054" s="48"/>
      <c r="BA2054" s="48"/>
      <c r="BB2054" s="48"/>
      <c r="BC2054" s="48"/>
      <c r="BD2054" s="48"/>
    </row>
    <row r="2055" spans="1:56">
      <c r="A2055" s="48"/>
      <c r="B2055" s="48"/>
      <c r="C2055" s="49"/>
      <c r="D2055" s="48"/>
      <c r="E2055" s="48"/>
      <c r="F2055" s="48"/>
      <c r="G2055" s="48"/>
      <c r="H2055" s="48"/>
      <c r="I2055" s="48"/>
      <c r="J2055" s="86"/>
      <c r="K2055" s="86"/>
      <c r="L2055" s="86"/>
      <c r="M2055" s="86"/>
      <c r="N2055" s="86"/>
      <c r="O2055" s="86"/>
      <c r="P2055" s="86"/>
      <c r="Q2055" s="86"/>
      <c r="R2055" s="86"/>
      <c r="S2055" s="86"/>
      <c r="T2055" s="86"/>
      <c r="U2055" s="86"/>
      <c r="V2055" s="48"/>
      <c r="W2055" s="48"/>
      <c r="X2055" s="48"/>
      <c r="Y2055" s="48"/>
      <c r="Z2055" s="48"/>
      <c r="AA2055" s="48"/>
      <c r="AB2055" s="48"/>
      <c r="AC2055" s="48"/>
      <c r="AD2055" s="48"/>
      <c r="AE2055" s="48"/>
      <c r="AF2055" s="48"/>
      <c r="AG2055" s="48"/>
      <c r="AH2055" s="48"/>
      <c r="AI2055" s="48"/>
      <c r="AJ2055" s="48"/>
      <c r="AK2055" s="48"/>
      <c r="AL2055" s="48"/>
      <c r="AM2055" s="48"/>
      <c r="AN2055" s="48"/>
      <c r="AO2055" s="48"/>
      <c r="AP2055" s="48"/>
      <c r="AQ2055" s="48"/>
      <c r="AR2055" s="48"/>
      <c r="AS2055" s="48"/>
      <c r="AT2055" s="48"/>
      <c r="AU2055" s="48"/>
      <c r="AV2055" s="48"/>
      <c r="AW2055" s="48"/>
      <c r="AX2055" s="48"/>
      <c r="AY2055" s="48"/>
      <c r="AZ2055" s="48"/>
      <c r="BA2055" s="48"/>
      <c r="BB2055" s="48"/>
      <c r="BC2055" s="48"/>
      <c r="BD2055" s="48"/>
    </row>
    <row r="2056" spans="1:56">
      <c r="A2056" s="48"/>
      <c r="B2056" s="48"/>
      <c r="C2056" s="49"/>
      <c r="D2056" s="48"/>
      <c r="E2056" s="48"/>
      <c r="F2056" s="48"/>
      <c r="G2056" s="48"/>
      <c r="H2056" s="48"/>
      <c r="I2056" s="48"/>
      <c r="J2056" s="86"/>
      <c r="K2056" s="86"/>
      <c r="L2056" s="86"/>
      <c r="M2056" s="86"/>
      <c r="N2056" s="86"/>
      <c r="O2056" s="86"/>
      <c r="P2056" s="86"/>
      <c r="Q2056" s="86"/>
      <c r="R2056" s="86"/>
      <c r="S2056" s="86"/>
      <c r="T2056" s="86"/>
      <c r="U2056" s="86"/>
      <c r="V2056" s="48"/>
      <c r="W2056" s="48"/>
      <c r="X2056" s="48"/>
      <c r="Y2056" s="48"/>
      <c r="Z2056" s="48"/>
      <c r="AA2056" s="48"/>
      <c r="AB2056" s="48"/>
      <c r="AC2056" s="48"/>
      <c r="AD2056" s="48"/>
      <c r="AE2056" s="48"/>
      <c r="AF2056" s="48"/>
      <c r="AG2056" s="48"/>
      <c r="AH2056" s="48"/>
      <c r="AI2056" s="48"/>
      <c r="AJ2056" s="48"/>
      <c r="AK2056" s="48"/>
      <c r="AL2056" s="48"/>
      <c r="AM2056" s="48"/>
      <c r="AN2056" s="48"/>
      <c r="AO2056" s="48"/>
      <c r="AP2056" s="48"/>
      <c r="AQ2056" s="48"/>
      <c r="AR2056" s="48"/>
      <c r="AS2056" s="48"/>
      <c r="AT2056" s="48"/>
      <c r="AU2056" s="48"/>
      <c r="AV2056" s="48"/>
      <c r="AW2056" s="48"/>
      <c r="AX2056" s="48"/>
      <c r="AY2056" s="48"/>
      <c r="AZ2056" s="48"/>
      <c r="BA2056" s="48"/>
      <c r="BB2056" s="48"/>
      <c r="BC2056" s="48"/>
      <c r="BD2056" s="48"/>
    </row>
    <row r="2057" spans="1:56">
      <c r="A2057" s="48"/>
      <c r="B2057" s="48"/>
      <c r="C2057" s="49"/>
      <c r="D2057" s="48"/>
      <c r="E2057" s="48"/>
      <c r="F2057" s="48"/>
      <c r="G2057" s="48"/>
      <c r="H2057" s="48"/>
      <c r="I2057" s="48"/>
      <c r="J2057" s="86"/>
      <c r="K2057" s="86"/>
      <c r="L2057" s="86"/>
      <c r="M2057" s="86"/>
      <c r="N2057" s="86"/>
      <c r="O2057" s="86"/>
      <c r="P2057" s="86"/>
      <c r="Q2057" s="86"/>
      <c r="R2057" s="86"/>
      <c r="S2057" s="86"/>
      <c r="T2057" s="86"/>
      <c r="U2057" s="86"/>
      <c r="V2057" s="48"/>
      <c r="W2057" s="48"/>
      <c r="X2057" s="48"/>
      <c r="Y2057" s="48"/>
      <c r="Z2057" s="48"/>
      <c r="AA2057" s="48"/>
      <c r="AB2057" s="48"/>
      <c r="AC2057" s="48"/>
      <c r="AD2057" s="48"/>
      <c r="AE2057" s="48"/>
      <c r="AF2057" s="48"/>
      <c r="AG2057" s="48"/>
      <c r="AH2057" s="48"/>
      <c r="AI2057" s="48"/>
      <c r="AJ2057" s="48"/>
      <c r="AK2057" s="48"/>
      <c r="AL2057" s="48"/>
      <c r="AM2057" s="48"/>
      <c r="AN2057" s="48"/>
      <c r="AO2057" s="48"/>
      <c r="AP2057" s="48"/>
      <c r="AQ2057" s="48"/>
      <c r="AR2057" s="48"/>
      <c r="AS2057" s="48"/>
      <c r="AT2057" s="48"/>
      <c r="AU2057" s="48"/>
      <c r="AV2057" s="48"/>
      <c r="AW2057" s="48"/>
      <c r="AX2057" s="48"/>
      <c r="AY2057" s="48"/>
      <c r="AZ2057" s="48"/>
      <c r="BA2057" s="48"/>
      <c r="BB2057" s="48"/>
      <c r="BC2057" s="48"/>
      <c r="BD2057" s="48"/>
    </row>
    <row r="2058" spans="1:56">
      <c r="A2058" s="48"/>
      <c r="B2058" s="48"/>
      <c r="C2058" s="49"/>
      <c r="D2058" s="48"/>
      <c r="E2058" s="48"/>
      <c r="F2058" s="48"/>
      <c r="G2058" s="48"/>
      <c r="H2058" s="48"/>
      <c r="I2058" s="48"/>
      <c r="J2058" s="86"/>
      <c r="K2058" s="86"/>
      <c r="L2058" s="86"/>
      <c r="M2058" s="86"/>
      <c r="N2058" s="86"/>
      <c r="O2058" s="86"/>
      <c r="P2058" s="86"/>
      <c r="Q2058" s="86"/>
      <c r="R2058" s="86"/>
      <c r="S2058" s="86"/>
      <c r="T2058" s="86"/>
      <c r="U2058" s="86"/>
      <c r="V2058" s="48"/>
      <c r="W2058" s="48"/>
      <c r="X2058" s="48"/>
      <c r="Y2058" s="48"/>
      <c r="Z2058" s="48"/>
      <c r="AA2058" s="48"/>
      <c r="AB2058" s="48"/>
      <c r="AC2058" s="48"/>
      <c r="AD2058" s="48"/>
      <c r="AE2058" s="48"/>
      <c r="AF2058" s="48"/>
      <c r="AG2058" s="48"/>
      <c r="AH2058" s="48"/>
      <c r="AI2058" s="48"/>
      <c r="AJ2058" s="48"/>
      <c r="AK2058" s="48"/>
      <c r="AL2058" s="48"/>
      <c r="AM2058" s="48"/>
      <c r="AN2058" s="48"/>
      <c r="AO2058" s="48"/>
      <c r="AP2058" s="48"/>
      <c r="AQ2058" s="48"/>
      <c r="AR2058" s="48"/>
      <c r="AS2058" s="48"/>
      <c r="AT2058" s="48"/>
      <c r="AU2058" s="48"/>
      <c r="AV2058" s="48"/>
      <c r="AW2058" s="48"/>
      <c r="AX2058" s="48"/>
      <c r="AY2058" s="48"/>
      <c r="AZ2058" s="48"/>
      <c r="BA2058" s="48"/>
      <c r="BB2058" s="48"/>
      <c r="BC2058" s="48"/>
      <c r="BD2058" s="48"/>
    </row>
    <row r="2059" spans="1:56">
      <c r="A2059" s="48"/>
      <c r="B2059" s="48"/>
      <c r="C2059" s="49"/>
      <c r="D2059" s="48"/>
      <c r="E2059" s="48"/>
      <c r="F2059" s="48"/>
      <c r="G2059" s="48"/>
      <c r="H2059" s="48"/>
      <c r="I2059" s="48"/>
      <c r="J2059" s="86"/>
      <c r="K2059" s="86"/>
      <c r="L2059" s="86"/>
      <c r="M2059" s="86"/>
      <c r="N2059" s="86"/>
      <c r="O2059" s="86"/>
      <c r="P2059" s="86"/>
      <c r="Q2059" s="86"/>
      <c r="R2059" s="86"/>
      <c r="S2059" s="86"/>
      <c r="T2059" s="86"/>
      <c r="U2059" s="86"/>
      <c r="V2059" s="48"/>
      <c r="W2059" s="48"/>
      <c r="X2059" s="48"/>
      <c r="Y2059" s="48"/>
      <c r="Z2059" s="48"/>
      <c r="AA2059" s="48"/>
      <c r="AB2059" s="48"/>
      <c r="AC2059" s="48"/>
      <c r="AD2059" s="48"/>
      <c r="AE2059" s="48"/>
      <c r="AF2059" s="48"/>
      <c r="AG2059" s="48"/>
      <c r="AH2059" s="48"/>
      <c r="AI2059" s="48"/>
      <c r="AJ2059" s="48"/>
      <c r="AK2059" s="48"/>
      <c r="AL2059" s="48"/>
      <c r="AM2059" s="48"/>
      <c r="AN2059" s="48"/>
      <c r="AO2059" s="48"/>
      <c r="AP2059" s="48"/>
      <c r="AQ2059" s="48"/>
      <c r="AR2059" s="48"/>
      <c r="AS2059" s="48"/>
      <c r="AT2059" s="48"/>
      <c r="AU2059" s="48"/>
      <c r="AV2059" s="48"/>
      <c r="AW2059" s="48"/>
      <c r="AX2059" s="48"/>
      <c r="AY2059" s="48"/>
      <c r="AZ2059" s="48"/>
      <c r="BA2059" s="48"/>
      <c r="BB2059" s="48"/>
      <c r="BC2059" s="48"/>
      <c r="BD2059" s="48"/>
    </row>
    <row r="2060" spans="1:56">
      <c r="A2060" s="48"/>
      <c r="B2060" s="48"/>
      <c r="C2060" s="49"/>
      <c r="D2060" s="48"/>
      <c r="E2060" s="48"/>
      <c r="F2060" s="48"/>
      <c r="G2060" s="48"/>
      <c r="H2060" s="48"/>
      <c r="I2060" s="48"/>
      <c r="J2060" s="86"/>
      <c r="K2060" s="86"/>
      <c r="L2060" s="86"/>
      <c r="M2060" s="86"/>
      <c r="N2060" s="86"/>
      <c r="O2060" s="86"/>
      <c r="P2060" s="86"/>
      <c r="Q2060" s="86"/>
      <c r="R2060" s="86"/>
      <c r="S2060" s="86"/>
      <c r="T2060" s="86"/>
      <c r="U2060" s="86"/>
      <c r="V2060" s="48"/>
      <c r="W2060" s="48"/>
      <c r="X2060" s="48"/>
      <c r="Y2060" s="48"/>
      <c r="Z2060" s="48"/>
      <c r="AA2060" s="48"/>
      <c r="AB2060" s="48"/>
      <c r="AC2060" s="48"/>
      <c r="AD2060" s="48"/>
      <c r="AE2060" s="48"/>
      <c r="AF2060" s="48"/>
      <c r="AG2060" s="48"/>
      <c r="AH2060" s="48"/>
      <c r="AI2060" s="48"/>
      <c r="AJ2060" s="48"/>
      <c r="AK2060" s="48"/>
      <c r="AL2060" s="48"/>
      <c r="AM2060" s="48"/>
      <c r="AN2060" s="48"/>
      <c r="AO2060" s="48"/>
      <c r="AP2060" s="48"/>
      <c r="AQ2060" s="48"/>
      <c r="AR2060" s="48"/>
      <c r="AS2060" s="48"/>
      <c r="AT2060" s="48"/>
      <c r="AU2060" s="48"/>
      <c r="AV2060" s="48"/>
      <c r="AW2060" s="48"/>
      <c r="AX2060" s="48"/>
      <c r="AY2060" s="48"/>
      <c r="AZ2060" s="48"/>
      <c r="BA2060" s="48"/>
      <c r="BB2060" s="48"/>
      <c r="BC2060" s="48"/>
      <c r="BD2060" s="48"/>
    </row>
    <row r="2061" spans="1:56">
      <c r="A2061" s="48"/>
      <c r="B2061" s="48"/>
      <c r="C2061" s="49"/>
      <c r="D2061" s="48"/>
      <c r="E2061" s="48"/>
      <c r="F2061" s="48"/>
      <c r="G2061" s="48"/>
      <c r="H2061" s="48"/>
      <c r="I2061" s="48"/>
      <c r="J2061" s="86"/>
      <c r="K2061" s="86"/>
      <c r="L2061" s="86"/>
      <c r="M2061" s="86"/>
      <c r="N2061" s="86"/>
      <c r="O2061" s="86"/>
      <c r="P2061" s="86"/>
      <c r="Q2061" s="86"/>
      <c r="R2061" s="86"/>
      <c r="S2061" s="86"/>
      <c r="T2061" s="86"/>
      <c r="U2061" s="86"/>
      <c r="V2061" s="48"/>
      <c r="W2061" s="48"/>
      <c r="X2061" s="48"/>
      <c r="Y2061" s="48"/>
      <c r="Z2061" s="48"/>
      <c r="AA2061" s="48"/>
      <c r="AB2061" s="48"/>
      <c r="AC2061" s="48"/>
      <c r="AD2061" s="48"/>
      <c r="AE2061" s="48"/>
      <c r="AF2061" s="48"/>
      <c r="AG2061" s="48"/>
      <c r="AH2061" s="48"/>
      <c r="AI2061" s="48"/>
      <c r="AJ2061" s="48"/>
      <c r="AK2061" s="48"/>
      <c r="AL2061" s="48"/>
      <c r="AM2061" s="48"/>
      <c r="AN2061" s="48"/>
      <c r="AO2061" s="48"/>
      <c r="AP2061" s="48"/>
      <c r="AQ2061" s="48"/>
      <c r="AR2061" s="48"/>
      <c r="AS2061" s="48"/>
      <c r="AT2061" s="48"/>
      <c r="AU2061" s="48"/>
      <c r="AV2061" s="48"/>
      <c r="AW2061" s="48"/>
      <c r="AX2061" s="48"/>
      <c r="AY2061" s="48"/>
      <c r="AZ2061" s="48"/>
      <c r="BA2061" s="48"/>
      <c r="BB2061" s="48"/>
      <c r="BC2061" s="48"/>
      <c r="BD2061" s="48"/>
    </row>
    <row r="2062" spans="1:56">
      <c r="A2062" s="48"/>
      <c r="B2062" s="48"/>
      <c r="C2062" s="49"/>
      <c r="D2062" s="48"/>
      <c r="E2062" s="48"/>
      <c r="F2062" s="48"/>
      <c r="G2062" s="48"/>
      <c r="H2062" s="48"/>
      <c r="I2062" s="48"/>
      <c r="J2062" s="86"/>
      <c r="K2062" s="86"/>
      <c r="L2062" s="86"/>
      <c r="M2062" s="86"/>
      <c r="N2062" s="86"/>
      <c r="O2062" s="86"/>
      <c r="P2062" s="86"/>
      <c r="Q2062" s="86"/>
      <c r="R2062" s="86"/>
      <c r="S2062" s="86"/>
      <c r="T2062" s="86"/>
      <c r="U2062" s="86"/>
      <c r="V2062" s="48"/>
      <c r="W2062" s="48"/>
      <c r="X2062" s="48"/>
      <c r="Y2062" s="48"/>
      <c r="Z2062" s="48"/>
      <c r="AA2062" s="48"/>
      <c r="AB2062" s="48"/>
      <c r="AC2062" s="48"/>
      <c r="AD2062" s="48"/>
      <c r="AE2062" s="48"/>
      <c r="AF2062" s="48"/>
      <c r="AG2062" s="48"/>
      <c r="AH2062" s="48"/>
      <c r="AI2062" s="48"/>
      <c r="AJ2062" s="48"/>
      <c r="AK2062" s="48"/>
      <c r="AL2062" s="48"/>
      <c r="AM2062" s="48"/>
      <c r="AN2062" s="48"/>
      <c r="AO2062" s="48"/>
      <c r="AP2062" s="48"/>
      <c r="AQ2062" s="48"/>
      <c r="AR2062" s="48"/>
      <c r="AS2062" s="48"/>
      <c r="AT2062" s="48"/>
      <c r="AU2062" s="48"/>
      <c r="AV2062" s="48"/>
      <c r="AW2062" s="48"/>
      <c r="AX2062" s="48"/>
      <c r="AY2062" s="48"/>
      <c r="AZ2062" s="48"/>
      <c r="BA2062" s="48"/>
      <c r="BB2062" s="48"/>
      <c r="BC2062" s="48"/>
      <c r="BD2062" s="48"/>
    </row>
    <row r="2063" spans="1:56">
      <c r="A2063" s="48"/>
      <c r="B2063" s="48"/>
      <c r="C2063" s="49"/>
      <c r="D2063" s="48"/>
      <c r="E2063" s="48"/>
      <c r="F2063" s="48"/>
      <c r="G2063" s="48"/>
      <c r="H2063" s="48"/>
      <c r="I2063" s="48"/>
      <c r="J2063" s="86"/>
      <c r="K2063" s="86"/>
      <c r="L2063" s="86"/>
      <c r="M2063" s="86"/>
      <c r="N2063" s="86"/>
      <c r="O2063" s="86"/>
      <c r="P2063" s="86"/>
      <c r="Q2063" s="86"/>
      <c r="R2063" s="86"/>
      <c r="S2063" s="86"/>
      <c r="T2063" s="86"/>
      <c r="U2063" s="86"/>
      <c r="V2063" s="48"/>
      <c r="W2063" s="48"/>
      <c r="X2063" s="48"/>
      <c r="Y2063" s="48"/>
      <c r="Z2063" s="48"/>
      <c r="AA2063" s="48"/>
      <c r="AB2063" s="48"/>
      <c r="AC2063" s="48"/>
      <c r="AD2063" s="48"/>
      <c r="AE2063" s="48"/>
      <c r="AF2063" s="48"/>
      <c r="AG2063" s="48"/>
      <c r="AH2063" s="48"/>
      <c r="AI2063" s="48"/>
      <c r="AJ2063" s="48"/>
      <c r="AK2063" s="48"/>
      <c r="AL2063" s="48"/>
      <c r="AM2063" s="48"/>
      <c r="AN2063" s="48"/>
      <c r="AO2063" s="48"/>
      <c r="AP2063" s="48"/>
      <c r="AQ2063" s="48"/>
      <c r="AR2063" s="48"/>
      <c r="AS2063" s="48"/>
      <c r="AT2063" s="48"/>
      <c r="AU2063" s="48"/>
      <c r="AV2063" s="48"/>
      <c r="AW2063" s="48"/>
      <c r="AX2063" s="48"/>
      <c r="AY2063" s="48"/>
      <c r="AZ2063" s="48"/>
      <c r="BA2063" s="48"/>
      <c r="BB2063" s="48"/>
      <c r="BC2063" s="48"/>
      <c r="BD2063" s="48"/>
    </row>
    <row r="2064" spans="1:56">
      <c r="A2064" s="48"/>
      <c r="B2064" s="48"/>
      <c r="C2064" s="49"/>
      <c r="D2064" s="48"/>
      <c r="E2064" s="48"/>
      <c r="F2064" s="48"/>
      <c r="G2064" s="48"/>
      <c r="H2064" s="48"/>
      <c r="I2064" s="48"/>
      <c r="J2064" s="86"/>
      <c r="K2064" s="86"/>
      <c r="L2064" s="86"/>
      <c r="M2064" s="86"/>
      <c r="N2064" s="86"/>
      <c r="O2064" s="86"/>
      <c r="P2064" s="86"/>
      <c r="Q2064" s="86"/>
      <c r="R2064" s="86"/>
      <c r="S2064" s="86"/>
      <c r="T2064" s="86"/>
      <c r="U2064" s="86"/>
      <c r="V2064" s="48"/>
      <c r="W2064" s="48"/>
      <c r="X2064" s="48"/>
      <c r="Y2064" s="48"/>
      <c r="Z2064" s="48"/>
      <c r="AA2064" s="48"/>
      <c r="AB2064" s="48"/>
      <c r="AC2064" s="48"/>
      <c r="AD2064" s="48"/>
      <c r="AE2064" s="48"/>
      <c r="AF2064" s="48"/>
      <c r="AG2064" s="48"/>
      <c r="AH2064" s="48"/>
      <c r="AI2064" s="48"/>
      <c r="AJ2064" s="48"/>
      <c r="AK2064" s="48"/>
      <c r="AL2064" s="48"/>
      <c r="AM2064" s="48"/>
      <c r="AN2064" s="48"/>
      <c r="AO2064" s="48"/>
      <c r="AP2064" s="48"/>
      <c r="AQ2064" s="48"/>
      <c r="AR2064" s="48"/>
      <c r="AS2064" s="48"/>
      <c r="AT2064" s="48"/>
      <c r="AU2064" s="48"/>
      <c r="AV2064" s="48"/>
      <c r="AW2064" s="48"/>
      <c r="AX2064" s="48"/>
      <c r="AY2064" s="48"/>
      <c r="AZ2064" s="48"/>
      <c r="BA2064" s="48"/>
      <c r="BB2064" s="48"/>
      <c r="BC2064" s="48"/>
      <c r="BD2064" s="48"/>
    </row>
    <row r="2065" spans="1:56">
      <c r="A2065" s="48"/>
      <c r="B2065" s="48"/>
      <c r="C2065" s="49"/>
      <c r="D2065" s="48"/>
      <c r="E2065" s="48"/>
      <c r="F2065" s="48"/>
      <c r="G2065" s="48"/>
      <c r="H2065" s="48"/>
      <c r="I2065" s="48"/>
      <c r="J2065" s="86"/>
      <c r="K2065" s="86"/>
      <c r="L2065" s="86"/>
      <c r="M2065" s="86"/>
      <c r="N2065" s="86"/>
      <c r="O2065" s="86"/>
      <c r="P2065" s="86"/>
      <c r="Q2065" s="86"/>
      <c r="R2065" s="86"/>
      <c r="S2065" s="86"/>
      <c r="T2065" s="86"/>
      <c r="U2065" s="86"/>
      <c r="V2065" s="48"/>
      <c r="W2065" s="48"/>
      <c r="X2065" s="48"/>
      <c r="Y2065" s="48"/>
      <c r="Z2065" s="48"/>
      <c r="AA2065" s="48"/>
      <c r="AB2065" s="48"/>
      <c r="AC2065" s="48"/>
      <c r="AD2065" s="48"/>
      <c r="AE2065" s="48"/>
      <c r="AF2065" s="48"/>
      <c r="AG2065" s="48"/>
      <c r="AH2065" s="48"/>
      <c r="AI2065" s="48"/>
      <c r="AJ2065" s="48"/>
      <c r="AK2065" s="48"/>
      <c r="AL2065" s="48"/>
      <c r="AM2065" s="48"/>
      <c r="AN2065" s="48"/>
      <c r="AO2065" s="48"/>
      <c r="AP2065" s="48"/>
      <c r="AQ2065" s="48"/>
      <c r="AR2065" s="48"/>
      <c r="AS2065" s="48"/>
      <c r="AT2065" s="48"/>
      <c r="AU2065" s="48"/>
      <c r="AV2065" s="48"/>
      <c r="AW2065" s="48"/>
      <c r="AX2065" s="48"/>
      <c r="AY2065" s="48"/>
      <c r="AZ2065" s="48"/>
      <c r="BA2065" s="48"/>
      <c r="BB2065" s="48"/>
      <c r="BC2065" s="48"/>
      <c r="BD2065" s="48"/>
    </row>
    <row r="2066" spans="1:56">
      <c r="A2066" s="48"/>
      <c r="B2066" s="48"/>
      <c r="C2066" s="49"/>
      <c r="D2066" s="48"/>
      <c r="E2066" s="48"/>
      <c r="F2066" s="48"/>
      <c r="G2066" s="48"/>
      <c r="H2066" s="48"/>
      <c r="I2066" s="48"/>
      <c r="J2066" s="86"/>
      <c r="K2066" s="86"/>
      <c r="L2066" s="86"/>
      <c r="M2066" s="86"/>
      <c r="N2066" s="86"/>
      <c r="O2066" s="86"/>
      <c r="P2066" s="86"/>
      <c r="Q2066" s="86"/>
      <c r="R2066" s="86"/>
      <c r="S2066" s="86"/>
      <c r="T2066" s="86"/>
      <c r="U2066" s="86"/>
      <c r="V2066" s="48"/>
      <c r="W2066" s="48"/>
      <c r="X2066" s="48"/>
      <c r="Y2066" s="48"/>
      <c r="Z2066" s="48"/>
      <c r="AA2066" s="48"/>
      <c r="AB2066" s="48"/>
      <c r="AC2066" s="48"/>
      <c r="AD2066" s="48"/>
      <c r="AE2066" s="48"/>
      <c r="AF2066" s="48"/>
      <c r="AG2066" s="48"/>
      <c r="AH2066" s="48"/>
      <c r="AI2066" s="48"/>
      <c r="AJ2066" s="48"/>
      <c r="AK2066" s="48"/>
      <c r="AL2066" s="48"/>
      <c r="AM2066" s="48"/>
      <c r="AN2066" s="48"/>
      <c r="AO2066" s="48"/>
      <c r="AP2066" s="48"/>
      <c r="AQ2066" s="48"/>
      <c r="AR2066" s="48"/>
      <c r="AS2066" s="48"/>
      <c r="AT2066" s="48"/>
      <c r="AU2066" s="48"/>
      <c r="AV2066" s="48"/>
      <c r="AW2066" s="48"/>
      <c r="AX2066" s="48"/>
      <c r="AY2066" s="48"/>
      <c r="AZ2066" s="48"/>
      <c r="BA2066" s="48"/>
      <c r="BB2066" s="48"/>
      <c r="BC2066" s="48"/>
      <c r="BD2066" s="48"/>
    </row>
    <row r="2067" spans="1:56">
      <c r="A2067" s="48"/>
      <c r="B2067" s="48"/>
      <c r="C2067" s="49"/>
      <c r="D2067" s="48"/>
      <c r="E2067" s="48"/>
      <c r="F2067" s="48"/>
      <c r="G2067" s="48"/>
      <c r="H2067" s="48"/>
      <c r="I2067" s="48"/>
      <c r="J2067" s="86"/>
      <c r="K2067" s="86"/>
      <c r="L2067" s="86"/>
      <c r="M2067" s="86"/>
      <c r="N2067" s="86"/>
      <c r="O2067" s="86"/>
      <c r="P2067" s="86"/>
      <c r="Q2067" s="86"/>
      <c r="R2067" s="86"/>
      <c r="S2067" s="86"/>
      <c r="T2067" s="86"/>
      <c r="U2067" s="86"/>
      <c r="V2067" s="48"/>
      <c r="W2067" s="48"/>
      <c r="X2067" s="48"/>
      <c r="Y2067" s="48"/>
      <c r="Z2067" s="48"/>
      <c r="AA2067" s="48"/>
      <c r="AB2067" s="48"/>
      <c r="AC2067" s="48"/>
      <c r="AD2067" s="48"/>
      <c r="AE2067" s="48"/>
      <c r="AF2067" s="48"/>
      <c r="AG2067" s="48"/>
      <c r="AH2067" s="48"/>
      <c r="AI2067" s="48"/>
      <c r="AJ2067" s="48"/>
      <c r="AK2067" s="48"/>
      <c r="AL2067" s="48"/>
      <c r="AM2067" s="48"/>
      <c r="AN2067" s="48"/>
      <c r="AO2067" s="48"/>
      <c r="AP2067" s="48"/>
      <c r="AQ2067" s="48"/>
      <c r="AR2067" s="48"/>
      <c r="AS2067" s="48"/>
      <c r="AT2067" s="48"/>
      <c r="AU2067" s="48"/>
      <c r="AV2067" s="48"/>
      <c r="AW2067" s="48"/>
      <c r="AX2067" s="48"/>
      <c r="AY2067" s="48"/>
      <c r="AZ2067" s="48"/>
      <c r="BA2067" s="48"/>
      <c r="BB2067" s="48"/>
      <c r="BC2067" s="48"/>
      <c r="BD2067" s="48"/>
    </row>
    <row r="2068" spans="1:56">
      <c r="A2068" s="48"/>
      <c r="B2068" s="48"/>
      <c r="C2068" s="49"/>
      <c r="D2068" s="48"/>
      <c r="E2068" s="48"/>
      <c r="F2068" s="48"/>
      <c r="G2068" s="48"/>
      <c r="H2068" s="48"/>
      <c r="I2068" s="48"/>
      <c r="J2068" s="86"/>
      <c r="K2068" s="86"/>
      <c r="L2068" s="86"/>
      <c r="M2068" s="86"/>
      <c r="N2068" s="86"/>
      <c r="O2068" s="86"/>
      <c r="P2068" s="86"/>
      <c r="Q2068" s="86"/>
      <c r="R2068" s="86"/>
      <c r="S2068" s="86"/>
      <c r="T2068" s="86"/>
      <c r="U2068" s="86"/>
      <c r="V2068" s="48"/>
      <c r="W2068" s="48"/>
      <c r="X2068" s="48"/>
      <c r="Y2068" s="48"/>
      <c r="Z2068" s="48"/>
      <c r="AA2068" s="48"/>
      <c r="AB2068" s="48"/>
      <c r="AC2068" s="48"/>
      <c r="AD2068" s="48"/>
      <c r="AE2068" s="48"/>
      <c r="AF2068" s="48"/>
      <c r="AG2068" s="48"/>
      <c r="AH2068" s="48"/>
      <c r="AI2068" s="48"/>
      <c r="AJ2068" s="48"/>
      <c r="AK2068" s="48"/>
      <c r="AL2068" s="48"/>
      <c r="AM2068" s="48"/>
      <c r="AN2068" s="48"/>
      <c r="AO2068" s="48"/>
      <c r="AP2068" s="48"/>
      <c r="AQ2068" s="48"/>
      <c r="AR2068" s="48"/>
      <c r="AS2068" s="48"/>
      <c r="AT2068" s="48"/>
      <c r="AU2068" s="48"/>
      <c r="AV2068" s="48"/>
      <c r="AW2068" s="48"/>
      <c r="AX2068" s="48"/>
      <c r="AY2068" s="48"/>
      <c r="AZ2068" s="48"/>
      <c r="BA2068" s="48"/>
      <c r="BB2068" s="48"/>
      <c r="BC2068" s="48"/>
      <c r="BD2068" s="48"/>
    </row>
    <row r="2069" spans="1:56">
      <c r="A2069" s="48"/>
      <c r="B2069" s="48"/>
      <c r="C2069" s="49"/>
      <c r="D2069" s="48"/>
      <c r="E2069" s="48"/>
      <c r="F2069" s="48"/>
      <c r="G2069" s="48"/>
      <c r="H2069" s="48"/>
      <c r="I2069" s="48"/>
      <c r="J2069" s="86"/>
      <c r="K2069" s="86"/>
      <c r="L2069" s="86"/>
      <c r="M2069" s="86"/>
      <c r="N2069" s="86"/>
      <c r="O2069" s="86"/>
      <c r="P2069" s="86"/>
      <c r="Q2069" s="86"/>
      <c r="R2069" s="86"/>
      <c r="S2069" s="86"/>
      <c r="T2069" s="86"/>
      <c r="U2069" s="86"/>
      <c r="V2069" s="48"/>
      <c r="W2069" s="48"/>
      <c r="X2069" s="48"/>
      <c r="Y2069" s="48"/>
      <c r="Z2069" s="48"/>
      <c r="AA2069" s="48"/>
      <c r="AB2069" s="48"/>
      <c r="AC2069" s="48"/>
      <c r="AD2069" s="48"/>
      <c r="AE2069" s="48"/>
      <c r="AF2069" s="48"/>
      <c r="AG2069" s="48"/>
      <c r="AH2069" s="48"/>
      <c r="AI2069" s="48"/>
      <c r="AJ2069" s="48"/>
      <c r="AK2069" s="48"/>
      <c r="AL2069" s="48"/>
      <c r="AM2069" s="48"/>
      <c r="AN2069" s="48"/>
      <c r="AO2069" s="48"/>
      <c r="AP2069" s="48"/>
      <c r="AQ2069" s="48"/>
      <c r="AR2069" s="48"/>
      <c r="AS2069" s="48"/>
      <c r="AT2069" s="48"/>
      <c r="AU2069" s="48"/>
      <c r="AV2069" s="48"/>
      <c r="AW2069" s="48"/>
      <c r="AX2069" s="48"/>
      <c r="AY2069" s="48"/>
      <c r="AZ2069" s="48"/>
      <c r="BA2069" s="48"/>
      <c r="BB2069" s="48"/>
      <c r="BC2069" s="48"/>
      <c r="BD2069" s="48"/>
    </row>
    <row r="2070" spans="1:56">
      <c r="A2070" s="48"/>
      <c r="B2070" s="48"/>
      <c r="C2070" s="49"/>
      <c r="D2070" s="48"/>
      <c r="E2070" s="48"/>
      <c r="F2070" s="48"/>
      <c r="G2070" s="48"/>
      <c r="H2070" s="48"/>
      <c r="I2070" s="48"/>
      <c r="J2070" s="86"/>
      <c r="K2070" s="86"/>
      <c r="L2070" s="86"/>
      <c r="M2070" s="86"/>
      <c r="N2070" s="86"/>
      <c r="O2070" s="86"/>
      <c r="P2070" s="86"/>
      <c r="Q2070" s="86"/>
      <c r="R2070" s="86"/>
      <c r="S2070" s="86"/>
      <c r="T2070" s="86"/>
      <c r="U2070" s="86"/>
      <c r="V2070" s="48"/>
      <c r="W2070" s="48"/>
      <c r="X2070" s="48"/>
      <c r="Y2070" s="48"/>
      <c r="Z2070" s="48"/>
      <c r="AA2070" s="48"/>
      <c r="AB2070" s="48"/>
      <c r="AC2070" s="48"/>
      <c r="AD2070" s="48"/>
      <c r="AE2070" s="48"/>
      <c r="AF2070" s="48"/>
      <c r="AG2070" s="48"/>
      <c r="AH2070" s="48"/>
      <c r="AI2070" s="48"/>
      <c r="AJ2070" s="48"/>
      <c r="AK2070" s="48"/>
      <c r="AL2070" s="48"/>
      <c r="AM2070" s="48"/>
      <c r="AN2070" s="48"/>
      <c r="AO2070" s="48"/>
      <c r="AP2070" s="48"/>
      <c r="AQ2070" s="48"/>
      <c r="AR2070" s="48"/>
      <c r="AS2070" s="48"/>
      <c r="AT2070" s="48"/>
      <c r="AU2070" s="48"/>
      <c r="AV2070" s="48"/>
      <c r="AW2070" s="48"/>
      <c r="AX2070" s="48"/>
      <c r="AY2070" s="48"/>
      <c r="AZ2070" s="48"/>
      <c r="BA2070" s="48"/>
      <c r="BB2070" s="48"/>
      <c r="BC2070" s="48"/>
      <c r="BD2070" s="48"/>
    </row>
    <row r="2071" spans="1:56">
      <c r="A2071" s="48"/>
      <c r="B2071" s="48"/>
      <c r="C2071" s="49"/>
      <c r="D2071" s="48"/>
      <c r="E2071" s="48"/>
      <c r="F2071" s="48"/>
      <c r="G2071" s="48"/>
      <c r="H2071" s="48"/>
      <c r="I2071" s="48"/>
      <c r="J2071" s="86"/>
      <c r="K2071" s="86"/>
      <c r="L2071" s="86"/>
      <c r="M2071" s="86"/>
      <c r="N2071" s="86"/>
      <c r="O2071" s="86"/>
      <c r="P2071" s="86"/>
      <c r="Q2071" s="86"/>
      <c r="R2071" s="86"/>
      <c r="S2071" s="86"/>
      <c r="T2071" s="86"/>
      <c r="U2071" s="86"/>
      <c r="V2071" s="48"/>
      <c r="W2071" s="48"/>
      <c r="X2071" s="48"/>
      <c r="Y2071" s="48"/>
      <c r="Z2071" s="48"/>
      <c r="AA2071" s="48"/>
      <c r="AB2071" s="48"/>
      <c r="AC2071" s="48"/>
      <c r="AD2071" s="48"/>
      <c r="AE2071" s="48"/>
      <c r="AF2071" s="48"/>
      <c r="AG2071" s="48"/>
      <c r="AH2071" s="48"/>
      <c r="AI2071" s="48"/>
      <c r="AJ2071" s="48"/>
      <c r="AK2071" s="48"/>
      <c r="AL2071" s="48"/>
      <c r="AM2071" s="48"/>
      <c r="AN2071" s="48"/>
      <c r="AO2071" s="48"/>
      <c r="AP2071" s="48"/>
      <c r="AQ2071" s="48"/>
      <c r="AR2071" s="48"/>
      <c r="AS2071" s="48"/>
      <c r="AT2071" s="48"/>
      <c r="AU2071" s="48"/>
      <c r="AV2071" s="48"/>
      <c r="AW2071" s="48"/>
      <c r="AX2071" s="48"/>
      <c r="AY2071" s="48"/>
      <c r="AZ2071" s="48"/>
      <c r="BA2071" s="48"/>
      <c r="BB2071" s="48"/>
      <c r="BC2071" s="48"/>
      <c r="BD2071" s="48"/>
    </row>
    <row r="2072" spans="1:56">
      <c r="A2072" s="48"/>
      <c r="B2072" s="48"/>
      <c r="C2072" s="49"/>
      <c r="D2072" s="48"/>
      <c r="E2072" s="48"/>
      <c r="F2072" s="48"/>
      <c r="G2072" s="48"/>
      <c r="H2072" s="48"/>
      <c r="I2072" s="48"/>
      <c r="J2072" s="86"/>
      <c r="K2072" s="86"/>
      <c r="L2072" s="86"/>
      <c r="M2072" s="86"/>
      <c r="N2072" s="86"/>
      <c r="O2072" s="86"/>
      <c r="P2072" s="86"/>
      <c r="Q2072" s="86"/>
      <c r="R2072" s="86"/>
      <c r="S2072" s="86"/>
      <c r="T2072" s="86"/>
      <c r="U2072" s="86"/>
      <c r="V2072" s="48"/>
      <c r="W2072" s="48"/>
      <c r="X2072" s="48"/>
      <c r="Y2072" s="48"/>
      <c r="Z2072" s="48"/>
      <c r="AA2072" s="48"/>
      <c r="AB2072" s="48"/>
      <c r="AC2072" s="48"/>
      <c r="AD2072" s="48"/>
      <c r="AE2072" s="48"/>
      <c r="AF2072" s="48"/>
      <c r="AG2072" s="48"/>
      <c r="AH2072" s="48"/>
      <c r="AI2072" s="48"/>
      <c r="AJ2072" s="48"/>
      <c r="AK2072" s="48"/>
      <c r="AL2072" s="48"/>
      <c r="AM2072" s="48"/>
      <c r="AN2072" s="48"/>
      <c r="AO2072" s="48"/>
      <c r="AP2072" s="48"/>
      <c r="AQ2072" s="48"/>
      <c r="AR2072" s="48"/>
      <c r="AS2072" s="48"/>
      <c r="AT2072" s="48"/>
      <c r="AU2072" s="48"/>
      <c r="AV2072" s="48"/>
      <c r="AW2072" s="48"/>
      <c r="AX2072" s="48"/>
      <c r="AY2072" s="48"/>
      <c r="AZ2072" s="48"/>
      <c r="BA2072" s="48"/>
      <c r="BB2072" s="48"/>
      <c r="BC2072" s="48"/>
      <c r="BD2072" s="48"/>
    </row>
    <row r="2073" spans="1:56">
      <c r="A2073" s="48"/>
      <c r="B2073" s="48"/>
      <c r="C2073" s="49"/>
      <c r="D2073" s="48"/>
      <c r="E2073" s="48"/>
      <c r="F2073" s="48"/>
      <c r="G2073" s="48"/>
      <c r="H2073" s="48"/>
      <c r="I2073" s="48"/>
      <c r="J2073" s="86"/>
      <c r="K2073" s="86"/>
      <c r="L2073" s="86"/>
      <c r="M2073" s="86"/>
      <c r="N2073" s="86"/>
      <c r="O2073" s="86"/>
      <c r="P2073" s="86"/>
      <c r="Q2073" s="86"/>
      <c r="R2073" s="86"/>
      <c r="S2073" s="86"/>
      <c r="T2073" s="86"/>
      <c r="U2073" s="86"/>
      <c r="V2073" s="48"/>
      <c r="W2073" s="48"/>
      <c r="X2073" s="48"/>
      <c r="Y2073" s="48"/>
      <c r="Z2073" s="48"/>
      <c r="AA2073" s="48"/>
      <c r="AB2073" s="48"/>
      <c r="AC2073" s="48"/>
      <c r="AD2073" s="48"/>
      <c r="AE2073" s="48"/>
      <c r="AF2073" s="48"/>
      <c r="AG2073" s="48"/>
      <c r="AH2073" s="48"/>
      <c r="AI2073" s="48"/>
      <c r="AJ2073" s="48"/>
      <c r="AK2073" s="48"/>
      <c r="AL2073" s="48"/>
      <c r="AM2073" s="48"/>
      <c r="AN2073" s="48"/>
      <c r="AO2073" s="48"/>
      <c r="AP2073" s="48"/>
      <c r="AQ2073" s="48"/>
      <c r="AR2073" s="48"/>
      <c r="AS2073" s="48"/>
      <c r="AT2073" s="48"/>
      <c r="AU2073" s="48"/>
      <c r="AV2073" s="48"/>
      <c r="AW2073" s="48"/>
      <c r="AX2073" s="48"/>
      <c r="AY2073" s="48"/>
      <c r="AZ2073" s="48"/>
      <c r="BA2073" s="48"/>
      <c r="BB2073" s="48"/>
      <c r="BC2073" s="48"/>
      <c r="BD2073" s="48"/>
    </row>
    <row r="2074" spans="1:56">
      <c r="A2074" s="48"/>
      <c r="B2074" s="48"/>
      <c r="C2074" s="49"/>
      <c r="D2074" s="48"/>
      <c r="E2074" s="48"/>
      <c r="F2074" s="48"/>
      <c r="G2074" s="48"/>
      <c r="H2074" s="48"/>
      <c r="I2074" s="48"/>
      <c r="J2074" s="86"/>
      <c r="K2074" s="86"/>
      <c r="L2074" s="86"/>
      <c r="M2074" s="86"/>
      <c r="N2074" s="86"/>
      <c r="O2074" s="86"/>
      <c r="P2074" s="86"/>
      <c r="Q2074" s="86"/>
      <c r="R2074" s="86"/>
      <c r="S2074" s="86"/>
      <c r="T2074" s="86"/>
      <c r="U2074" s="86"/>
      <c r="V2074" s="48"/>
      <c r="W2074" s="48"/>
      <c r="X2074" s="48"/>
      <c r="Y2074" s="48"/>
      <c r="Z2074" s="48"/>
      <c r="AA2074" s="48"/>
      <c r="AB2074" s="48"/>
      <c r="AC2074" s="48"/>
      <c r="AD2074" s="48"/>
      <c r="AE2074" s="48"/>
      <c r="AF2074" s="48"/>
      <c r="AG2074" s="48"/>
      <c r="AH2074" s="48"/>
      <c r="AI2074" s="48"/>
      <c r="AJ2074" s="48"/>
      <c r="AK2074" s="48"/>
      <c r="AL2074" s="48"/>
      <c r="AM2074" s="48"/>
      <c r="AN2074" s="48"/>
      <c r="AO2074" s="48"/>
      <c r="AP2074" s="48"/>
      <c r="AQ2074" s="48"/>
      <c r="AR2074" s="48"/>
      <c r="AS2074" s="48"/>
      <c r="AT2074" s="48"/>
      <c r="AU2074" s="48"/>
      <c r="AV2074" s="48"/>
      <c r="AW2074" s="48"/>
      <c r="AX2074" s="48"/>
      <c r="AY2074" s="48"/>
      <c r="AZ2074" s="48"/>
      <c r="BA2074" s="48"/>
      <c r="BB2074" s="48"/>
      <c r="BC2074" s="48"/>
      <c r="BD2074" s="48"/>
    </row>
    <row r="2075" spans="1:56">
      <c r="A2075" s="48"/>
      <c r="B2075" s="48"/>
      <c r="C2075" s="49"/>
      <c r="D2075" s="48"/>
      <c r="E2075" s="48"/>
      <c r="F2075" s="48"/>
      <c r="G2075" s="48"/>
      <c r="H2075" s="48"/>
      <c r="I2075" s="48"/>
      <c r="J2075" s="86"/>
      <c r="K2075" s="86"/>
      <c r="L2075" s="86"/>
      <c r="M2075" s="86"/>
      <c r="N2075" s="86"/>
      <c r="O2075" s="86"/>
      <c r="P2075" s="86"/>
      <c r="Q2075" s="86"/>
      <c r="R2075" s="86"/>
      <c r="S2075" s="86"/>
      <c r="T2075" s="86"/>
      <c r="U2075" s="86"/>
      <c r="V2075" s="48"/>
      <c r="W2075" s="48"/>
      <c r="X2075" s="48"/>
      <c r="Y2075" s="48"/>
      <c r="Z2075" s="48"/>
      <c r="AA2075" s="48"/>
      <c r="AB2075" s="48"/>
      <c r="AC2075" s="48"/>
      <c r="AD2075" s="48"/>
      <c r="AE2075" s="48"/>
      <c r="AF2075" s="48"/>
      <c r="AG2075" s="48"/>
      <c r="AH2075" s="48"/>
      <c r="AI2075" s="48"/>
      <c r="AJ2075" s="48"/>
      <c r="AK2075" s="48"/>
      <c r="AL2075" s="48"/>
      <c r="AM2075" s="48"/>
      <c r="AN2075" s="48"/>
      <c r="AO2075" s="48"/>
      <c r="AP2075" s="48"/>
      <c r="AQ2075" s="48"/>
      <c r="AR2075" s="48"/>
      <c r="AS2075" s="48"/>
      <c r="AT2075" s="48"/>
      <c r="AU2075" s="48"/>
      <c r="AV2075" s="48"/>
      <c r="AW2075" s="48"/>
      <c r="AX2075" s="48"/>
      <c r="AY2075" s="48"/>
      <c r="AZ2075" s="48"/>
      <c r="BA2075" s="48"/>
      <c r="BB2075" s="48"/>
      <c r="BC2075" s="48"/>
      <c r="BD2075" s="48"/>
    </row>
    <row r="2076" spans="1:56">
      <c r="A2076" s="48"/>
      <c r="B2076" s="48"/>
      <c r="C2076" s="49"/>
      <c r="D2076" s="48"/>
      <c r="E2076" s="48"/>
      <c r="F2076" s="48"/>
      <c r="G2076" s="48"/>
      <c r="H2076" s="48"/>
      <c r="I2076" s="48"/>
      <c r="J2076" s="86"/>
      <c r="K2076" s="86"/>
      <c r="L2076" s="86"/>
      <c r="M2076" s="86"/>
      <c r="N2076" s="86"/>
      <c r="O2076" s="86"/>
      <c r="P2076" s="86"/>
      <c r="Q2076" s="86"/>
      <c r="R2076" s="86"/>
      <c r="S2076" s="86"/>
      <c r="T2076" s="86"/>
      <c r="U2076" s="86"/>
      <c r="V2076" s="48"/>
      <c r="W2076" s="48"/>
      <c r="X2076" s="48"/>
      <c r="Y2076" s="48"/>
      <c r="Z2076" s="48"/>
      <c r="AA2076" s="48"/>
      <c r="AB2076" s="48"/>
      <c r="AC2076" s="48"/>
      <c r="AD2076" s="48"/>
      <c r="AE2076" s="48"/>
      <c r="AF2076" s="48"/>
      <c r="AG2076" s="48"/>
      <c r="AH2076" s="48"/>
      <c r="AI2076" s="48"/>
      <c r="AJ2076" s="48"/>
      <c r="AK2076" s="48"/>
      <c r="AL2076" s="48"/>
      <c r="AM2076" s="48"/>
      <c r="AN2076" s="48"/>
      <c r="AO2076" s="48"/>
      <c r="AP2076" s="48"/>
      <c r="AQ2076" s="48"/>
      <c r="AR2076" s="48"/>
      <c r="AS2076" s="48"/>
      <c r="AT2076" s="48"/>
      <c r="AU2076" s="48"/>
      <c r="AV2076" s="48"/>
      <c r="AW2076" s="48"/>
      <c r="AX2076" s="48"/>
      <c r="AY2076" s="48"/>
      <c r="AZ2076" s="48"/>
      <c r="BA2076" s="48"/>
      <c r="BB2076" s="48"/>
      <c r="BC2076" s="48"/>
      <c r="BD2076" s="48"/>
    </row>
    <row r="2077" spans="1:56">
      <c r="A2077" s="48"/>
      <c r="B2077" s="48"/>
      <c r="C2077" s="49"/>
      <c r="D2077" s="48"/>
      <c r="E2077" s="48"/>
      <c r="F2077" s="48"/>
      <c r="G2077" s="48"/>
      <c r="H2077" s="48"/>
      <c r="I2077" s="48"/>
      <c r="J2077" s="86"/>
      <c r="K2077" s="86"/>
      <c r="L2077" s="86"/>
      <c r="M2077" s="86"/>
      <c r="N2077" s="86"/>
      <c r="O2077" s="86"/>
      <c r="P2077" s="86"/>
      <c r="Q2077" s="86"/>
      <c r="R2077" s="86"/>
      <c r="S2077" s="86"/>
      <c r="T2077" s="86"/>
      <c r="U2077" s="86"/>
      <c r="V2077" s="48"/>
      <c r="W2077" s="48"/>
      <c r="X2077" s="48"/>
      <c r="Y2077" s="48"/>
      <c r="Z2077" s="48"/>
      <c r="AA2077" s="48"/>
      <c r="AB2077" s="48"/>
      <c r="AC2077" s="48"/>
      <c r="AD2077" s="48"/>
      <c r="AE2077" s="48"/>
      <c r="AF2077" s="48"/>
      <c r="AG2077" s="48"/>
      <c r="AH2077" s="48"/>
      <c r="AI2077" s="48"/>
      <c r="AJ2077" s="48"/>
      <c r="AK2077" s="48"/>
      <c r="AL2077" s="48"/>
      <c r="AM2077" s="48"/>
      <c r="AN2077" s="48"/>
      <c r="AO2077" s="48"/>
      <c r="AP2077" s="48"/>
      <c r="AQ2077" s="48"/>
      <c r="AR2077" s="48"/>
      <c r="AS2077" s="48"/>
      <c r="AT2077" s="48"/>
      <c r="AU2077" s="48"/>
      <c r="AV2077" s="48"/>
      <c r="AW2077" s="48"/>
      <c r="AX2077" s="48"/>
      <c r="AY2077" s="48"/>
      <c r="AZ2077" s="48"/>
      <c r="BA2077" s="48"/>
      <c r="BB2077" s="48"/>
      <c r="BC2077" s="48"/>
      <c r="BD2077" s="48"/>
    </row>
    <row r="2078" spans="1:56">
      <c r="A2078" s="48"/>
      <c r="B2078" s="48"/>
      <c r="C2078" s="49"/>
      <c r="D2078" s="48"/>
      <c r="E2078" s="48"/>
      <c r="F2078" s="48"/>
      <c r="G2078" s="48"/>
      <c r="H2078" s="48"/>
      <c r="I2078" s="48"/>
      <c r="J2078" s="86"/>
      <c r="K2078" s="86"/>
      <c r="L2078" s="86"/>
      <c r="M2078" s="86"/>
      <c r="N2078" s="86"/>
      <c r="O2078" s="86"/>
      <c r="P2078" s="86"/>
      <c r="Q2078" s="86"/>
      <c r="R2078" s="86"/>
      <c r="S2078" s="86"/>
      <c r="T2078" s="86"/>
      <c r="U2078" s="86"/>
      <c r="V2078" s="48"/>
      <c r="W2078" s="48"/>
      <c r="X2078" s="48"/>
      <c r="Y2078" s="48"/>
      <c r="Z2078" s="48"/>
      <c r="AA2078" s="48"/>
      <c r="AB2078" s="48"/>
      <c r="AC2078" s="48"/>
      <c r="AD2078" s="48"/>
      <c r="AE2078" s="48"/>
      <c r="AF2078" s="48"/>
      <c r="AG2078" s="48"/>
      <c r="AH2078" s="48"/>
      <c r="AI2078" s="48"/>
      <c r="AJ2078" s="48"/>
      <c r="AK2078" s="48"/>
      <c r="AL2078" s="48"/>
      <c r="AM2078" s="48"/>
      <c r="AN2078" s="48"/>
      <c r="AO2078" s="48"/>
      <c r="AP2078" s="48"/>
      <c r="AQ2078" s="48"/>
      <c r="AR2078" s="48"/>
      <c r="AS2078" s="48"/>
      <c r="AT2078" s="48"/>
      <c r="AU2078" s="48"/>
      <c r="AV2078" s="48"/>
      <c r="AW2078" s="48"/>
      <c r="AX2078" s="48"/>
      <c r="AY2078" s="48"/>
      <c r="AZ2078" s="48"/>
      <c r="BA2078" s="48"/>
      <c r="BB2078" s="48"/>
      <c r="BC2078" s="48"/>
      <c r="BD2078" s="48"/>
    </row>
    <row r="2079" spans="1:56">
      <c r="A2079" s="48"/>
      <c r="B2079" s="48"/>
      <c r="C2079" s="49"/>
      <c r="D2079" s="48"/>
      <c r="E2079" s="48"/>
      <c r="F2079" s="48"/>
      <c r="G2079" s="48"/>
      <c r="H2079" s="48"/>
      <c r="I2079" s="48"/>
      <c r="J2079" s="86"/>
      <c r="K2079" s="86"/>
      <c r="L2079" s="86"/>
      <c r="M2079" s="86"/>
      <c r="N2079" s="86"/>
      <c r="O2079" s="86"/>
      <c r="P2079" s="86"/>
      <c r="Q2079" s="86"/>
      <c r="R2079" s="86"/>
      <c r="S2079" s="86"/>
      <c r="T2079" s="86"/>
      <c r="U2079" s="86"/>
      <c r="V2079" s="48"/>
      <c r="W2079" s="48"/>
      <c r="X2079" s="48"/>
      <c r="Y2079" s="48"/>
      <c r="Z2079" s="48"/>
      <c r="AA2079" s="48"/>
      <c r="AB2079" s="48"/>
      <c r="AC2079" s="48"/>
      <c r="AD2079" s="48"/>
      <c r="AE2079" s="48"/>
      <c r="AF2079" s="48"/>
      <c r="AG2079" s="48"/>
      <c r="AH2079" s="48"/>
      <c r="AI2079" s="48"/>
      <c r="AJ2079" s="48"/>
      <c r="AK2079" s="48"/>
      <c r="AL2079" s="48"/>
      <c r="AM2079" s="48"/>
      <c r="AN2079" s="48"/>
      <c r="AO2079" s="48"/>
      <c r="AP2079" s="48"/>
      <c r="AQ2079" s="48"/>
      <c r="AR2079" s="48"/>
      <c r="AS2079" s="48"/>
      <c r="AT2079" s="48"/>
      <c r="AU2079" s="48"/>
      <c r="AV2079" s="48"/>
      <c r="AW2079" s="48"/>
      <c r="AX2079" s="48"/>
      <c r="AY2079" s="48"/>
      <c r="AZ2079" s="48"/>
      <c r="BA2079" s="48"/>
      <c r="BB2079" s="48"/>
      <c r="BC2079" s="48"/>
      <c r="BD2079" s="48"/>
    </row>
    <row r="2080" spans="1:56">
      <c r="A2080" s="48"/>
      <c r="B2080" s="48"/>
      <c r="C2080" s="49"/>
      <c r="D2080" s="48"/>
      <c r="E2080" s="48"/>
      <c r="F2080" s="48"/>
      <c r="G2080" s="48"/>
      <c r="H2080" s="48"/>
      <c r="I2080" s="48"/>
      <c r="J2080" s="86"/>
      <c r="K2080" s="86"/>
      <c r="L2080" s="86"/>
      <c r="M2080" s="86"/>
      <c r="N2080" s="86"/>
      <c r="O2080" s="86"/>
      <c r="P2080" s="86"/>
      <c r="Q2080" s="86"/>
      <c r="R2080" s="86"/>
      <c r="S2080" s="86"/>
      <c r="T2080" s="86"/>
      <c r="U2080" s="86"/>
      <c r="V2080" s="48"/>
      <c r="W2080" s="48"/>
      <c r="X2080" s="48"/>
      <c r="Y2080" s="48"/>
      <c r="Z2080" s="48"/>
      <c r="AA2080" s="48"/>
      <c r="AB2080" s="48"/>
      <c r="AC2080" s="48"/>
      <c r="AD2080" s="48"/>
      <c r="AE2080" s="48"/>
      <c r="AF2080" s="48"/>
      <c r="AG2080" s="48"/>
      <c r="AH2080" s="48"/>
      <c r="AI2080" s="48"/>
      <c r="AJ2080" s="48"/>
      <c r="AK2080" s="48"/>
      <c r="AL2080" s="48"/>
      <c r="AM2080" s="48"/>
      <c r="AN2080" s="48"/>
      <c r="AO2080" s="48"/>
      <c r="AP2080" s="48"/>
      <c r="AQ2080" s="48"/>
      <c r="AR2080" s="48"/>
      <c r="AS2080" s="48"/>
      <c r="AT2080" s="48"/>
      <c r="AU2080" s="48"/>
      <c r="AV2080" s="48"/>
      <c r="AW2080" s="48"/>
      <c r="AX2080" s="48"/>
      <c r="AY2080" s="48"/>
      <c r="AZ2080" s="48"/>
      <c r="BA2080" s="48"/>
      <c r="BB2080" s="48"/>
      <c r="BC2080" s="48"/>
      <c r="BD2080" s="48"/>
    </row>
    <row r="2081" spans="1:56">
      <c r="A2081" s="48"/>
      <c r="B2081" s="48"/>
      <c r="C2081" s="49"/>
      <c r="D2081" s="48"/>
      <c r="E2081" s="48"/>
      <c r="F2081" s="48"/>
      <c r="G2081" s="48"/>
      <c r="H2081" s="48"/>
      <c r="I2081" s="48"/>
      <c r="J2081" s="86"/>
      <c r="K2081" s="86"/>
      <c r="L2081" s="86"/>
      <c r="M2081" s="86"/>
      <c r="N2081" s="86"/>
      <c r="O2081" s="86"/>
      <c r="P2081" s="86"/>
      <c r="Q2081" s="86"/>
      <c r="R2081" s="86"/>
      <c r="S2081" s="86"/>
      <c r="T2081" s="86"/>
      <c r="U2081" s="86"/>
      <c r="V2081" s="48"/>
      <c r="W2081" s="48"/>
      <c r="X2081" s="48"/>
      <c r="Y2081" s="48"/>
      <c r="Z2081" s="48"/>
      <c r="AA2081" s="48"/>
      <c r="AB2081" s="48"/>
      <c r="AC2081" s="48"/>
      <c r="AD2081" s="48"/>
      <c r="AE2081" s="48"/>
      <c r="AF2081" s="48"/>
      <c r="AG2081" s="48"/>
      <c r="AH2081" s="48"/>
      <c r="AI2081" s="48"/>
      <c r="AJ2081" s="48"/>
      <c r="AK2081" s="48"/>
      <c r="AL2081" s="48"/>
      <c r="AM2081" s="48"/>
      <c r="AN2081" s="48"/>
      <c r="AO2081" s="48"/>
      <c r="AP2081" s="48"/>
      <c r="AQ2081" s="48"/>
      <c r="AR2081" s="48"/>
      <c r="AS2081" s="48"/>
      <c r="AT2081" s="48"/>
      <c r="AU2081" s="48"/>
      <c r="AV2081" s="48"/>
      <c r="AW2081" s="48"/>
      <c r="AX2081" s="48"/>
      <c r="AY2081" s="48"/>
      <c r="AZ2081" s="48"/>
      <c r="BA2081" s="48"/>
      <c r="BB2081" s="48"/>
      <c r="BC2081" s="48"/>
      <c r="BD2081" s="48"/>
    </row>
    <row r="2082" spans="1:56">
      <c r="A2082" s="48"/>
      <c r="B2082" s="48"/>
      <c r="C2082" s="49"/>
      <c r="D2082" s="48"/>
      <c r="E2082" s="48"/>
      <c r="F2082" s="48"/>
      <c r="G2082" s="48"/>
      <c r="H2082" s="48"/>
      <c r="I2082" s="48"/>
      <c r="J2082" s="86"/>
      <c r="K2082" s="86"/>
      <c r="L2082" s="86"/>
      <c r="M2082" s="86"/>
      <c r="N2082" s="86"/>
      <c r="O2082" s="86"/>
      <c r="P2082" s="86"/>
      <c r="Q2082" s="86"/>
      <c r="R2082" s="86"/>
      <c r="S2082" s="86"/>
      <c r="T2082" s="86"/>
      <c r="U2082" s="86"/>
      <c r="V2082" s="48"/>
      <c r="W2082" s="48"/>
      <c r="X2082" s="48"/>
      <c r="Y2082" s="48"/>
      <c r="Z2082" s="48"/>
      <c r="AA2082" s="48"/>
      <c r="AB2082" s="48"/>
      <c r="AC2082" s="48"/>
      <c r="AD2082" s="48"/>
      <c r="AE2082" s="48"/>
      <c r="AF2082" s="48"/>
      <c r="AG2082" s="48"/>
      <c r="AH2082" s="48"/>
      <c r="AI2082" s="48"/>
      <c r="AJ2082" s="48"/>
      <c r="AK2082" s="48"/>
      <c r="AL2082" s="48"/>
      <c r="AM2082" s="48"/>
      <c r="AN2082" s="48"/>
      <c r="AO2082" s="48"/>
      <c r="AP2082" s="48"/>
      <c r="AQ2082" s="48"/>
      <c r="AR2082" s="48"/>
      <c r="AS2082" s="48"/>
      <c r="AT2082" s="48"/>
      <c r="AU2082" s="48"/>
      <c r="AV2082" s="48"/>
      <c r="AW2082" s="48"/>
      <c r="AX2082" s="48"/>
      <c r="AY2082" s="48"/>
      <c r="AZ2082" s="48"/>
      <c r="BA2082" s="48"/>
      <c r="BB2082" s="48"/>
      <c r="BC2082" s="48"/>
      <c r="BD2082" s="48"/>
    </row>
    <row r="2083" spans="1:56">
      <c r="A2083" s="48"/>
      <c r="B2083" s="48"/>
      <c r="C2083" s="49"/>
      <c r="D2083" s="48"/>
      <c r="E2083" s="48"/>
      <c r="F2083" s="48"/>
      <c r="G2083" s="48"/>
      <c r="H2083" s="48"/>
      <c r="I2083" s="48"/>
      <c r="J2083" s="86"/>
      <c r="K2083" s="86"/>
      <c r="L2083" s="86"/>
      <c r="M2083" s="86"/>
      <c r="N2083" s="86"/>
      <c r="O2083" s="86"/>
      <c r="P2083" s="86"/>
      <c r="Q2083" s="86"/>
      <c r="R2083" s="86"/>
      <c r="S2083" s="86"/>
      <c r="T2083" s="86"/>
      <c r="U2083" s="86"/>
      <c r="V2083" s="48"/>
      <c r="W2083" s="48"/>
      <c r="X2083" s="48"/>
      <c r="Y2083" s="48"/>
      <c r="Z2083" s="48"/>
      <c r="AA2083" s="48"/>
      <c r="AB2083" s="48"/>
      <c r="AC2083" s="48"/>
      <c r="AD2083" s="48"/>
      <c r="AE2083" s="48"/>
      <c r="AF2083" s="48"/>
      <c r="AG2083" s="48"/>
      <c r="AH2083" s="48"/>
      <c r="AI2083" s="48"/>
      <c r="AJ2083" s="48"/>
      <c r="AK2083" s="48"/>
      <c r="AL2083" s="48"/>
      <c r="AM2083" s="48"/>
      <c r="AN2083" s="48"/>
      <c r="AO2083" s="48"/>
      <c r="AP2083" s="48"/>
      <c r="AQ2083" s="48"/>
      <c r="AR2083" s="48"/>
      <c r="AS2083" s="48"/>
      <c r="AT2083" s="48"/>
      <c r="AU2083" s="48"/>
      <c r="AV2083" s="48"/>
      <c r="AW2083" s="48"/>
      <c r="AX2083" s="48"/>
      <c r="AY2083" s="48"/>
      <c r="AZ2083" s="48"/>
      <c r="BA2083" s="48"/>
      <c r="BB2083" s="48"/>
      <c r="BC2083" s="48"/>
      <c r="BD2083" s="48"/>
    </row>
    <row r="2084" spans="1:56">
      <c r="A2084" s="48"/>
      <c r="B2084" s="48"/>
      <c r="C2084" s="49"/>
      <c r="D2084" s="48"/>
      <c r="E2084" s="48"/>
      <c r="F2084" s="48"/>
      <c r="G2084" s="48"/>
      <c r="H2084" s="48"/>
      <c r="I2084" s="48"/>
      <c r="J2084" s="86"/>
      <c r="K2084" s="86"/>
      <c r="L2084" s="86"/>
      <c r="M2084" s="86"/>
      <c r="N2084" s="86"/>
      <c r="O2084" s="86"/>
      <c r="P2084" s="86"/>
      <c r="Q2084" s="86"/>
      <c r="R2084" s="86"/>
      <c r="S2084" s="86"/>
      <c r="T2084" s="86"/>
      <c r="U2084" s="86"/>
      <c r="V2084" s="48"/>
      <c r="W2084" s="48"/>
      <c r="X2084" s="48"/>
      <c r="Y2084" s="48"/>
      <c r="Z2084" s="48"/>
      <c r="AA2084" s="48"/>
      <c r="AB2084" s="48"/>
      <c r="AC2084" s="48"/>
      <c r="AD2084" s="48"/>
      <c r="AE2084" s="48"/>
      <c r="AF2084" s="48"/>
      <c r="AG2084" s="48"/>
      <c r="AH2084" s="48"/>
      <c r="AI2084" s="48"/>
      <c r="AJ2084" s="48"/>
      <c r="AK2084" s="48"/>
      <c r="AL2084" s="48"/>
      <c r="AM2084" s="48"/>
      <c r="AN2084" s="48"/>
      <c r="AO2084" s="48"/>
      <c r="AP2084" s="48"/>
      <c r="AQ2084" s="48"/>
      <c r="AR2084" s="48"/>
      <c r="AS2084" s="48"/>
      <c r="AT2084" s="48"/>
      <c r="AU2084" s="48"/>
      <c r="AV2084" s="48"/>
      <c r="AW2084" s="48"/>
      <c r="AX2084" s="48"/>
      <c r="AY2084" s="48"/>
      <c r="AZ2084" s="48"/>
      <c r="BA2084" s="48"/>
      <c r="BB2084" s="48"/>
      <c r="BC2084" s="48"/>
      <c r="BD2084" s="48"/>
    </row>
    <row r="2085" spans="1:56">
      <c r="A2085" s="48"/>
      <c r="B2085" s="48"/>
      <c r="C2085" s="49"/>
      <c r="D2085" s="48"/>
      <c r="E2085" s="48"/>
      <c r="F2085" s="48"/>
      <c r="G2085" s="48"/>
      <c r="H2085" s="48"/>
      <c r="I2085" s="48"/>
      <c r="J2085" s="86"/>
      <c r="K2085" s="86"/>
      <c r="L2085" s="86"/>
      <c r="M2085" s="86"/>
      <c r="N2085" s="86"/>
      <c r="O2085" s="86"/>
      <c r="P2085" s="86"/>
      <c r="Q2085" s="86"/>
      <c r="R2085" s="86"/>
      <c r="S2085" s="86"/>
      <c r="T2085" s="86"/>
      <c r="U2085" s="86"/>
      <c r="V2085" s="48"/>
      <c r="W2085" s="48"/>
      <c r="X2085" s="48"/>
      <c r="Y2085" s="48"/>
      <c r="Z2085" s="48"/>
      <c r="AA2085" s="48"/>
      <c r="AB2085" s="48"/>
      <c r="AC2085" s="48"/>
      <c r="AD2085" s="48"/>
      <c r="AE2085" s="48"/>
      <c r="AF2085" s="48"/>
      <c r="AG2085" s="48"/>
      <c r="AH2085" s="48"/>
      <c r="AI2085" s="48"/>
      <c r="AJ2085" s="48"/>
      <c r="AK2085" s="48"/>
      <c r="AL2085" s="48"/>
      <c r="AM2085" s="48"/>
      <c r="AN2085" s="48"/>
      <c r="AO2085" s="48"/>
      <c r="AP2085" s="48"/>
      <c r="AQ2085" s="48"/>
      <c r="AR2085" s="48"/>
      <c r="AS2085" s="48"/>
      <c r="AT2085" s="48"/>
      <c r="AU2085" s="48"/>
      <c r="AV2085" s="48"/>
      <c r="AW2085" s="48"/>
      <c r="AX2085" s="48"/>
      <c r="AY2085" s="48"/>
      <c r="AZ2085" s="48"/>
      <c r="BA2085" s="48"/>
      <c r="BB2085" s="48"/>
      <c r="BC2085" s="48"/>
      <c r="BD2085" s="48"/>
    </row>
    <row r="2086" spans="1:56">
      <c r="A2086" s="48"/>
      <c r="B2086" s="48"/>
      <c r="C2086" s="49"/>
      <c r="D2086" s="48"/>
      <c r="E2086" s="48"/>
      <c r="F2086" s="48"/>
      <c r="G2086" s="48"/>
      <c r="H2086" s="48"/>
      <c r="I2086" s="48"/>
      <c r="J2086" s="86"/>
      <c r="K2086" s="86"/>
      <c r="L2086" s="86"/>
      <c r="M2086" s="86"/>
      <c r="N2086" s="86"/>
      <c r="O2086" s="86"/>
      <c r="P2086" s="86"/>
      <c r="Q2086" s="86"/>
      <c r="R2086" s="86"/>
      <c r="S2086" s="86"/>
      <c r="T2086" s="86"/>
      <c r="U2086" s="86"/>
      <c r="V2086" s="48"/>
      <c r="W2086" s="48"/>
      <c r="X2086" s="48"/>
      <c r="Y2086" s="48"/>
      <c r="Z2086" s="48"/>
      <c r="AA2086" s="48"/>
      <c r="AB2086" s="48"/>
      <c r="AC2086" s="48"/>
      <c r="AD2086" s="48"/>
      <c r="AE2086" s="48"/>
      <c r="AF2086" s="48"/>
      <c r="AG2086" s="48"/>
      <c r="AH2086" s="48"/>
      <c r="AI2086" s="48"/>
      <c r="AJ2086" s="48"/>
      <c r="AK2086" s="48"/>
      <c r="AL2086" s="48"/>
      <c r="AM2086" s="48"/>
      <c r="AN2086" s="48"/>
      <c r="AO2086" s="48"/>
      <c r="AP2086" s="48"/>
      <c r="AQ2086" s="48"/>
      <c r="AR2086" s="48"/>
      <c r="AS2086" s="48"/>
      <c r="AT2086" s="48"/>
      <c r="AU2086" s="48"/>
      <c r="AV2086" s="48"/>
      <c r="AW2086" s="48"/>
      <c r="AX2086" s="48"/>
      <c r="AY2086" s="48"/>
      <c r="AZ2086" s="48"/>
      <c r="BA2086" s="48"/>
      <c r="BB2086" s="48"/>
      <c r="BC2086" s="48"/>
      <c r="BD2086" s="48"/>
    </row>
    <row r="2087" spans="1:56">
      <c r="A2087" s="48"/>
      <c r="B2087" s="48"/>
      <c r="C2087" s="49"/>
      <c r="D2087" s="48"/>
      <c r="E2087" s="48"/>
      <c r="F2087" s="48"/>
      <c r="G2087" s="48"/>
      <c r="H2087" s="48"/>
      <c r="I2087" s="48"/>
      <c r="J2087" s="86"/>
      <c r="K2087" s="86"/>
      <c r="L2087" s="86"/>
      <c r="M2087" s="86"/>
      <c r="N2087" s="86"/>
      <c r="O2087" s="86"/>
      <c r="P2087" s="86"/>
      <c r="Q2087" s="86"/>
      <c r="R2087" s="86"/>
      <c r="S2087" s="86"/>
      <c r="T2087" s="86"/>
      <c r="U2087" s="86"/>
      <c r="V2087" s="48"/>
      <c r="W2087" s="48"/>
      <c r="X2087" s="48"/>
      <c r="Y2087" s="48"/>
      <c r="Z2087" s="48"/>
      <c r="AA2087" s="48"/>
      <c r="AB2087" s="48"/>
      <c r="AC2087" s="48"/>
      <c r="AD2087" s="48"/>
      <c r="AE2087" s="48"/>
      <c r="AF2087" s="48"/>
      <c r="AG2087" s="48"/>
      <c r="AH2087" s="48"/>
      <c r="AI2087" s="48"/>
      <c r="AJ2087" s="48"/>
      <c r="AK2087" s="48"/>
      <c r="AL2087" s="48"/>
      <c r="AM2087" s="48"/>
      <c r="AN2087" s="48"/>
      <c r="AO2087" s="48"/>
      <c r="AP2087" s="48"/>
      <c r="AQ2087" s="48"/>
      <c r="AR2087" s="48"/>
      <c r="AS2087" s="48"/>
      <c r="AT2087" s="48"/>
      <c r="AU2087" s="48"/>
      <c r="AV2087" s="48"/>
      <c r="AW2087" s="48"/>
      <c r="AX2087" s="48"/>
      <c r="AY2087" s="48"/>
      <c r="AZ2087" s="48"/>
      <c r="BA2087" s="48"/>
      <c r="BB2087" s="48"/>
      <c r="BC2087" s="48"/>
      <c r="BD2087" s="48"/>
    </row>
    <row r="2088" spans="1:56">
      <c r="A2088" s="48"/>
      <c r="B2088" s="48"/>
      <c r="C2088" s="49"/>
      <c r="D2088" s="48"/>
      <c r="E2088" s="48"/>
      <c r="F2088" s="48"/>
      <c r="G2088" s="48"/>
      <c r="H2088" s="48"/>
      <c r="I2088" s="48"/>
      <c r="J2088" s="86"/>
      <c r="K2088" s="86"/>
      <c r="L2088" s="86"/>
      <c r="M2088" s="86"/>
      <c r="N2088" s="86"/>
      <c r="O2088" s="86"/>
      <c r="P2088" s="86"/>
      <c r="Q2088" s="86"/>
      <c r="R2088" s="86"/>
      <c r="S2088" s="86"/>
      <c r="T2088" s="86"/>
      <c r="U2088" s="86"/>
      <c r="V2088" s="48"/>
      <c r="W2088" s="48"/>
      <c r="X2088" s="48"/>
      <c r="Y2088" s="48"/>
      <c r="Z2088" s="48"/>
      <c r="AA2088" s="48"/>
      <c r="AB2088" s="48"/>
      <c r="AC2088" s="48"/>
      <c r="AD2088" s="48"/>
      <c r="AE2088" s="48"/>
      <c r="AF2088" s="48"/>
      <c r="AG2088" s="48"/>
      <c r="AH2088" s="48"/>
      <c r="AI2088" s="48"/>
      <c r="AJ2088" s="48"/>
      <c r="AK2088" s="48"/>
      <c r="AL2088" s="48"/>
      <c r="AM2088" s="48"/>
      <c r="AN2088" s="48"/>
      <c r="AO2088" s="48"/>
      <c r="AP2088" s="48"/>
      <c r="AQ2088" s="48"/>
      <c r="AR2088" s="48"/>
      <c r="AS2088" s="48"/>
      <c r="AT2088" s="48"/>
      <c r="AU2088" s="48"/>
      <c r="AV2088" s="48"/>
      <c r="AW2088" s="48"/>
      <c r="AX2088" s="48"/>
      <c r="AY2088" s="48"/>
      <c r="AZ2088" s="48"/>
      <c r="BA2088" s="48"/>
      <c r="BB2088" s="48"/>
      <c r="BC2088" s="48"/>
      <c r="BD2088" s="48"/>
    </row>
    <row r="2089" spans="1:56">
      <c r="A2089" s="48"/>
      <c r="B2089" s="48"/>
      <c r="C2089" s="49"/>
      <c r="D2089" s="48"/>
      <c r="E2089" s="48"/>
      <c r="F2089" s="48"/>
      <c r="G2089" s="48"/>
      <c r="H2089" s="48"/>
      <c r="I2089" s="48"/>
      <c r="J2089" s="86"/>
      <c r="K2089" s="86"/>
      <c r="L2089" s="86"/>
      <c r="M2089" s="86"/>
      <c r="N2089" s="86"/>
      <c r="O2089" s="86"/>
      <c r="P2089" s="86"/>
      <c r="Q2089" s="86"/>
      <c r="R2089" s="86"/>
      <c r="S2089" s="86"/>
      <c r="T2089" s="86"/>
      <c r="U2089" s="86"/>
      <c r="V2089" s="48"/>
      <c r="W2089" s="48"/>
      <c r="X2089" s="48"/>
      <c r="Y2089" s="48"/>
      <c r="Z2089" s="48"/>
      <c r="AA2089" s="48"/>
      <c r="AB2089" s="48"/>
      <c r="AC2089" s="48"/>
      <c r="AD2089" s="48"/>
      <c r="AE2089" s="48"/>
      <c r="AF2089" s="48"/>
      <c r="AG2089" s="48"/>
      <c r="AH2089" s="48"/>
      <c r="AI2089" s="48"/>
      <c r="AJ2089" s="48"/>
      <c r="AK2089" s="48"/>
      <c r="AL2089" s="48"/>
      <c r="AM2089" s="48"/>
      <c r="AN2089" s="48"/>
      <c r="AO2089" s="48"/>
      <c r="AP2089" s="48"/>
      <c r="AQ2089" s="48"/>
      <c r="AR2089" s="48"/>
      <c r="AS2089" s="48"/>
      <c r="AT2089" s="48"/>
      <c r="AU2089" s="48"/>
      <c r="AV2089" s="48"/>
      <c r="AW2089" s="48"/>
      <c r="AX2089" s="48"/>
      <c r="AY2089" s="48"/>
      <c r="AZ2089" s="48"/>
      <c r="BA2089" s="48"/>
      <c r="BB2089" s="48"/>
      <c r="BC2089" s="48"/>
      <c r="BD2089" s="48"/>
    </row>
    <row r="2090" spans="1:56">
      <c r="A2090" s="48"/>
      <c r="B2090" s="48"/>
      <c r="C2090" s="49"/>
      <c r="D2090" s="48"/>
      <c r="E2090" s="48"/>
      <c r="F2090" s="48"/>
      <c r="G2090" s="48"/>
      <c r="H2090" s="48"/>
      <c r="I2090" s="48"/>
      <c r="J2090" s="86"/>
      <c r="K2090" s="86"/>
      <c r="L2090" s="86"/>
      <c r="M2090" s="86"/>
      <c r="N2090" s="86"/>
      <c r="O2090" s="86"/>
      <c r="P2090" s="86"/>
      <c r="Q2090" s="86"/>
      <c r="R2090" s="86"/>
      <c r="S2090" s="86"/>
      <c r="T2090" s="86"/>
      <c r="U2090" s="86"/>
      <c r="V2090" s="48"/>
      <c r="W2090" s="48"/>
      <c r="X2090" s="48"/>
      <c r="Y2090" s="48"/>
      <c r="Z2090" s="48"/>
      <c r="AA2090" s="48"/>
      <c r="AB2090" s="48"/>
      <c r="AC2090" s="48"/>
      <c r="AD2090" s="48"/>
      <c r="AE2090" s="48"/>
      <c r="AF2090" s="48"/>
      <c r="AG2090" s="48"/>
      <c r="AH2090" s="48"/>
      <c r="AI2090" s="48"/>
      <c r="AJ2090" s="48"/>
      <c r="AK2090" s="48"/>
      <c r="AL2090" s="48"/>
      <c r="AM2090" s="48"/>
      <c r="AN2090" s="48"/>
      <c r="AO2090" s="48"/>
      <c r="AP2090" s="48"/>
      <c r="AQ2090" s="48"/>
      <c r="AR2090" s="48"/>
      <c r="AS2090" s="48"/>
      <c r="AT2090" s="48"/>
      <c r="AU2090" s="48"/>
      <c r="AV2090" s="48"/>
      <c r="AW2090" s="48"/>
      <c r="AX2090" s="48"/>
      <c r="AY2090" s="48"/>
      <c r="AZ2090" s="48"/>
      <c r="BA2090" s="48"/>
      <c r="BB2090" s="48"/>
      <c r="BC2090" s="48"/>
      <c r="BD2090" s="48"/>
    </row>
    <row r="2091" spans="1:56">
      <c r="A2091" s="48"/>
      <c r="B2091" s="48"/>
      <c r="C2091" s="49"/>
      <c r="D2091" s="48"/>
      <c r="E2091" s="48"/>
      <c r="F2091" s="48"/>
      <c r="G2091" s="48"/>
      <c r="H2091" s="48"/>
      <c r="I2091" s="48"/>
      <c r="J2091" s="86"/>
      <c r="K2091" s="86"/>
      <c r="L2091" s="86"/>
      <c r="M2091" s="86"/>
      <c r="N2091" s="86"/>
      <c r="O2091" s="86"/>
      <c r="P2091" s="86"/>
      <c r="Q2091" s="86"/>
      <c r="R2091" s="86"/>
      <c r="S2091" s="86"/>
      <c r="T2091" s="86"/>
      <c r="U2091" s="86"/>
      <c r="V2091" s="48"/>
      <c r="W2091" s="48"/>
      <c r="X2091" s="48"/>
      <c r="Y2091" s="48"/>
      <c r="Z2091" s="48"/>
      <c r="AA2091" s="48"/>
      <c r="AB2091" s="48"/>
      <c r="AC2091" s="48"/>
      <c r="AD2091" s="48"/>
      <c r="AE2091" s="48"/>
      <c r="AF2091" s="48"/>
      <c r="AG2091" s="48"/>
      <c r="AH2091" s="48"/>
      <c r="AI2091" s="48"/>
      <c r="AJ2091" s="48"/>
      <c r="AK2091" s="48"/>
      <c r="AL2091" s="48"/>
      <c r="AM2091" s="48"/>
      <c r="AN2091" s="48"/>
      <c r="AO2091" s="48"/>
      <c r="AP2091" s="48"/>
      <c r="AQ2091" s="48"/>
      <c r="AR2091" s="48"/>
      <c r="AS2091" s="48"/>
      <c r="AT2091" s="48"/>
      <c r="AU2091" s="48"/>
      <c r="AV2091" s="48"/>
      <c r="AW2091" s="48"/>
      <c r="AX2091" s="48"/>
      <c r="AY2091" s="48"/>
      <c r="AZ2091" s="48"/>
      <c r="BA2091" s="48"/>
      <c r="BB2091" s="48"/>
      <c r="BC2091" s="48"/>
      <c r="BD2091" s="48"/>
    </row>
    <row r="2092" spans="1:56">
      <c r="A2092" s="48"/>
      <c r="B2092" s="48"/>
      <c r="C2092" s="49"/>
      <c r="D2092" s="48"/>
      <c r="E2092" s="48"/>
      <c r="F2092" s="48"/>
      <c r="G2092" s="48"/>
      <c r="H2092" s="48"/>
      <c r="I2092" s="48"/>
      <c r="J2092" s="86"/>
      <c r="K2092" s="86"/>
      <c r="L2092" s="86"/>
      <c r="M2092" s="86"/>
      <c r="N2092" s="86"/>
      <c r="O2092" s="86"/>
      <c r="P2092" s="86"/>
      <c r="Q2092" s="86"/>
      <c r="R2092" s="86"/>
      <c r="S2092" s="86"/>
      <c r="T2092" s="86"/>
      <c r="U2092" s="86"/>
      <c r="V2092" s="48"/>
      <c r="W2092" s="48"/>
      <c r="X2092" s="48"/>
      <c r="Y2092" s="48"/>
      <c r="Z2092" s="48"/>
      <c r="AA2092" s="48"/>
      <c r="AB2092" s="48"/>
      <c r="AC2092" s="48"/>
      <c r="AD2092" s="48"/>
      <c r="AE2092" s="48"/>
      <c r="AF2092" s="48"/>
      <c r="AG2092" s="48"/>
      <c r="AH2092" s="48"/>
      <c r="AI2092" s="48"/>
      <c r="AJ2092" s="48"/>
      <c r="AK2092" s="48"/>
      <c r="AL2092" s="48"/>
      <c r="AM2092" s="48"/>
      <c r="AN2092" s="48"/>
      <c r="AO2092" s="48"/>
      <c r="AP2092" s="48"/>
      <c r="AQ2092" s="48"/>
      <c r="AR2092" s="48"/>
      <c r="AS2092" s="48"/>
      <c r="AT2092" s="48"/>
      <c r="AU2092" s="48"/>
      <c r="AV2092" s="48"/>
      <c r="AW2092" s="48"/>
      <c r="AX2092" s="48"/>
      <c r="AY2092" s="48"/>
      <c r="AZ2092" s="48"/>
      <c r="BA2092" s="48"/>
      <c r="BB2092" s="48"/>
      <c r="BC2092" s="48"/>
      <c r="BD2092" s="48"/>
    </row>
    <row r="2093" spans="1:56">
      <c r="A2093" s="48"/>
      <c r="B2093" s="48"/>
      <c r="C2093" s="49"/>
      <c r="D2093" s="48"/>
      <c r="E2093" s="48"/>
      <c r="F2093" s="48"/>
      <c r="G2093" s="48"/>
      <c r="H2093" s="48"/>
      <c r="I2093" s="48"/>
      <c r="J2093" s="86"/>
      <c r="K2093" s="86"/>
      <c r="L2093" s="86"/>
      <c r="M2093" s="86"/>
      <c r="N2093" s="86"/>
      <c r="O2093" s="86"/>
      <c r="P2093" s="86"/>
      <c r="Q2093" s="86"/>
      <c r="R2093" s="86"/>
      <c r="S2093" s="86"/>
      <c r="T2093" s="86"/>
      <c r="U2093" s="86"/>
      <c r="V2093" s="48"/>
      <c r="W2093" s="48"/>
      <c r="X2093" s="48"/>
      <c r="Y2093" s="48"/>
      <c r="Z2093" s="48"/>
      <c r="AA2093" s="48"/>
      <c r="AB2093" s="48"/>
      <c r="AC2093" s="48"/>
      <c r="AD2093" s="48"/>
      <c r="AE2093" s="48"/>
      <c r="AF2093" s="48"/>
      <c r="AG2093" s="48"/>
      <c r="AH2093" s="48"/>
      <c r="AI2093" s="48"/>
      <c r="AJ2093" s="48"/>
      <c r="AK2093" s="48"/>
      <c r="AL2093" s="48"/>
      <c r="AM2093" s="48"/>
      <c r="AN2093" s="48"/>
      <c r="AO2093" s="48"/>
      <c r="AP2093" s="48"/>
      <c r="AQ2093" s="48"/>
      <c r="AR2093" s="48"/>
      <c r="AS2093" s="48"/>
      <c r="AT2093" s="48"/>
      <c r="AU2093" s="48"/>
      <c r="AV2093" s="48"/>
      <c r="AW2093" s="48"/>
      <c r="AX2093" s="48"/>
      <c r="AY2093" s="48"/>
      <c r="AZ2093" s="48"/>
      <c r="BA2093" s="48"/>
      <c r="BB2093" s="48"/>
      <c r="BC2093" s="48"/>
      <c r="BD2093" s="48"/>
    </row>
    <row r="2094" spans="1:56">
      <c r="A2094" s="48"/>
      <c r="B2094" s="48"/>
      <c r="C2094" s="49"/>
      <c r="D2094" s="48"/>
      <c r="E2094" s="48"/>
      <c r="F2094" s="48"/>
      <c r="G2094" s="48"/>
      <c r="H2094" s="48"/>
      <c r="I2094" s="48"/>
      <c r="J2094" s="86"/>
      <c r="K2094" s="86"/>
      <c r="L2094" s="86"/>
      <c r="M2094" s="86"/>
      <c r="N2094" s="86"/>
      <c r="O2094" s="86"/>
      <c r="P2094" s="86"/>
      <c r="Q2094" s="86"/>
      <c r="R2094" s="86"/>
      <c r="S2094" s="86"/>
      <c r="T2094" s="86"/>
      <c r="U2094" s="86"/>
      <c r="V2094" s="48"/>
      <c r="W2094" s="48"/>
      <c r="X2094" s="48"/>
      <c r="Y2094" s="48"/>
      <c r="Z2094" s="48"/>
      <c r="AA2094" s="48"/>
      <c r="AB2094" s="48"/>
      <c r="AC2094" s="48"/>
      <c r="AD2094" s="48"/>
      <c r="AE2094" s="48"/>
      <c r="AF2094" s="48"/>
      <c r="AG2094" s="48"/>
      <c r="AH2094" s="48"/>
      <c r="AI2094" s="48"/>
      <c r="AJ2094" s="48"/>
      <c r="AK2094" s="48"/>
      <c r="AL2094" s="48"/>
      <c r="AM2094" s="48"/>
      <c r="AN2094" s="48"/>
      <c r="AO2094" s="48"/>
      <c r="AP2094" s="48"/>
      <c r="AQ2094" s="48"/>
      <c r="AR2094" s="48"/>
      <c r="AS2094" s="48"/>
      <c r="AT2094" s="48"/>
      <c r="AU2094" s="48"/>
      <c r="AV2094" s="48"/>
      <c r="AW2094" s="48"/>
      <c r="AX2094" s="48"/>
      <c r="AY2094" s="48"/>
      <c r="AZ2094" s="48"/>
      <c r="BA2094" s="48"/>
      <c r="BB2094" s="48"/>
      <c r="BC2094" s="48"/>
      <c r="BD2094" s="48"/>
    </row>
    <row r="2095" spans="1:56">
      <c r="A2095" s="48"/>
      <c r="B2095" s="48"/>
      <c r="C2095" s="49"/>
      <c r="D2095" s="48"/>
      <c r="E2095" s="48"/>
      <c r="F2095" s="48"/>
      <c r="G2095" s="48"/>
      <c r="H2095" s="48"/>
      <c r="I2095" s="48"/>
      <c r="J2095" s="86"/>
      <c r="K2095" s="86"/>
      <c r="L2095" s="86"/>
      <c r="M2095" s="86"/>
      <c r="N2095" s="86"/>
      <c r="O2095" s="86"/>
      <c r="P2095" s="86"/>
      <c r="Q2095" s="86"/>
      <c r="R2095" s="86"/>
      <c r="S2095" s="86"/>
      <c r="T2095" s="86"/>
      <c r="U2095" s="86"/>
      <c r="V2095" s="48"/>
      <c r="W2095" s="48"/>
      <c r="X2095" s="48"/>
      <c r="Y2095" s="48"/>
      <c r="Z2095" s="48"/>
      <c r="AA2095" s="48"/>
      <c r="AB2095" s="48"/>
      <c r="AC2095" s="48"/>
      <c r="AD2095" s="48"/>
      <c r="AE2095" s="48"/>
      <c r="AF2095" s="48"/>
      <c r="AG2095" s="48"/>
      <c r="AH2095" s="48"/>
      <c r="AI2095" s="48"/>
      <c r="AJ2095" s="48"/>
      <c r="AK2095" s="48"/>
      <c r="AL2095" s="48"/>
      <c r="AM2095" s="48"/>
      <c r="AN2095" s="48"/>
      <c r="AO2095" s="48"/>
      <c r="AP2095" s="48"/>
      <c r="AQ2095" s="48"/>
      <c r="AR2095" s="48"/>
      <c r="AS2095" s="48"/>
      <c r="AT2095" s="48"/>
      <c r="AU2095" s="48"/>
      <c r="AV2095" s="48"/>
      <c r="AW2095" s="48"/>
      <c r="AX2095" s="48"/>
      <c r="AY2095" s="48"/>
      <c r="AZ2095" s="48"/>
      <c r="BA2095" s="48"/>
      <c r="BB2095" s="48"/>
      <c r="BC2095" s="48"/>
      <c r="BD2095" s="48"/>
    </row>
    <row r="2096" spans="1:56">
      <c r="A2096" s="48"/>
      <c r="B2096" s="48"/>
      <c r="C2096" s="49"/>
      <c r="D2096" s="48"/>
      <c r="E2096" s="48"/>
      <c r="F2096" s="48"/>
      <c r="G2096" s="48"/>
      <c r="H2096" s="48"/>
      <c r="I2096" s="48"/>
      <c r="J2096" s="86"/>
      <c r="K2096" s="86"/>
      <c r="L2096" s="86"/>
      <c r="M2096" s="86"/>
      <c r="N2096" s="86"/>
      <c r="O2096" s="86"/>
      <c r="P2096" s="86"/>
      <c r="Q2096" s="86"/>
      <c r="R2096" s="86"/>
      <c r="S2096" s="86"/>
      <c r="T2096" s="86"/>
      <c r="U2096" s="86"/>
      <c r="V2096" s="48"/>
      <c r="W2096" s="48"/>
      <c r="X2096" s="48"/>
      <c r="Y2096" s="48"/>
      <c r="Z2096" s="48"/>
      <c r="AA2096" s="48"/>
      <c r="AB2096" s="48"/>
      <c r="AC2096" s="48"/>
      <c r="AD2096" s="48"/>
      <c r="AE2096" s="48"/>
      <c r="AF2096" s="48"/>
      <c r="AG2096" s="48"/>
      <c r="AH2096" s="48"/>
      <c r="AI2096" s="48"/>
      <c r="AJ2096" s="48"/>
      <c r="AK2096" s="48"/>
      <c r="AL2096" s="48"/>
      <c r="AM2096" s="48"/>
      <c r="AN2096" s="48"/>
      <c r="AO2096" s="48"/>
      <c r="AP2096" s="48"/>
      <c r="AQ2096" s="48"/>
      <c r="AR2096" s="48"/>
      <c r="AS2096" s="48"/>
      <c r="AT2096" s="48"/>
      <c r="AU2096" s="48"/>
      <c r="AV2096" s="48"/>
      <c r="AW2096" s="48"/>
      <c r="AX2096" s="48"/>
      <c r="AY2096" s="48"/>
      <c r="AZ2096" s="48"/>
      <c r="BA2096" s="48"/>
      <c r="BB2096" s="48"/>
      <c r="BC2096" s="48"/>
      <c r="BD2096" s="48"/>
    </row>
    <row r="2097" spans="1:56">
      <c r="A2097" s="48"/>
      <c r="B2097" s="48"/>
      <c r="C2097" s="49"/>
      <c r="D2097" s="48"/>
      <c r="E2097" s="48"/>
      <c r="F2097" s="48"/>
      <c r="G2097" s="48"/>
      <c r="H2097" s="48"/>
      <c r="I2097" s="48"/>
      <c r="J2097" s="86"/>
      <c r="K2097" s="86"/>
      <c r="L2097" s="86"/>
      <c r="M2097" s="86"/>
      <c r="N2097" s="86"/>
      <c r="O2097" s="86"/>
      <c r="P2097" s="86"/>
      <c r="Q2097" s="86"/>
      <c r="R2097" s="86"/>
      <c r="S2097" s="86"/>
      <c r="T2097" s="86"/>
      <c r="U2097" s="86"/>
      <c r="V2097" s="48"/>
      <c r="W2097" s="48"/>
      <c r="X2097" s="48"/>
      <c r="Y2097" s="48"/>
      <c r="Z2097" s="48"/>
      <c r="AA2097" s="48"/>
      <c r="AB2097" s="48"/>
      <c r="AC2097" s="48"/>
      <c r="AD2097" s="48"/>
      <c r="AE2097" s="48"/>
      <c r="AF2097" s="48"/>
      <c r="AG2097" s="48"/>
      <c r="AH2097" s="48"/>
      <c r="AI2097" s="48"/>
      <c r="AJ2097" s="48"/>
      <c r="AK2097" s="48"/>
      <c r="AL2097" s="48"/>
      <c r="AM2097" s="48"/>
      <c r="AN2097" s="48"/>
      <c r="AO2097" s="48"/>
      <c r="AP2097" s="48"/>
      <c r="AQ2097" s="48"/>
      <c r="AR2097" s="48"/>
      <c r="AS2097" s="48"/>
      <c r="AT2097" s="48"/>
      <c r="AU2097" s="48"/>
      <c r="AV2097" s="48"/>
      <c r="AW2097" s="48"/>
      <c r="AX2097" s="48"/>
      <c r="AY2097" s="48"/>
      <c r="AZ2097" s="48"/>
      <c r="BA2097" s="48"/>
      <c r="BB2097" s="48"/>
      <c r="BC2097" s="48"/>
      <c r="BD2097" s="48"/>
    </row>
    <row r="2098" spans="1:56">
      <c r="A2098" s="48"/>
      <c r="B2098" s="48"/>
      <c r="C2098" s="49"/>
      <c r="D2098" s="48"/>
      <c r="E2098" s="48"/>
      <c r="F2098" s="48"/>
      <c r="G2098" s="48"/>
      <c r="H2098" s="48"/>
      <c r="I2098" s="48"/>
      <c r="J2098" s="86"/>
      <c r="K2098" s="86"/>
      <c r="L2098" s="86"/>
      <c r="M2098" s="86"/>
      <c r="N2098" s="86"/>
      <c r="O2098" s="86"/>
      <c r="P2098" s="86"/>
      <c r="Q2098" s="86"/>
      <c r="R2098" s="86"/>
      <c r="S2098" s="86"/>
      <c r="T2098" s="86"/>
      <c r="U2098" s="86"/>
      <c r="V2098" s="48"/>
      <c r="W2098" s="48"/>
      <c r="X2098" s="48"/>
      <c r="Y2098" s="48"/>
      <c r="Z2098" s="48"/>
      <c r="AA2098" s="48"/>
      <c r="AB2098" s="48"/>
      <c r="AC2098" s="48"/>
      <c r="AD2098" s="48"/>
      <c r="AE2098" s="48"/>
      <c r="AF2098" s="48"/>
      <c r="AG2098" s="48"/>
      <c r="AH2098" s="48"/>
      <c r="AI2098" s="48"/>
      <c r="AJ2098" s="48"/>
      <c r="AK2098" s="48"/>
      <c r="AL2098" s="48"/>
      <c r="AM2098" s="48"/>
      <c r="AN2098" s="48"/>
      <c r="AO2098" s="48"/>
      <c r="AP2098" s="48"/>
      <c r="AQ2098" s="48"/>
      <c r="AR2098" s="48"/>
      <c r="AS2098" s="48"/>
      <c r="AT2098" s="48"/>
      <c r="AU2098" s="48"/>
      <c r="AV2098" s="48"/>
      <c r="AW2098" s="48"/>
      <c r="AX2098" s="48"/>
      <c r="AY2098" s="48"/>
      <c r="AZ2098" s="48"/>
      <c r="BA2098" s="48"/>
      <c r="BB2098" s="48"/>
      <c r="BC2098" s="48"/>
      <c r="BD2098" s="48"/>
    </row>
    <row r="2099" spans="1:56">
      <c r="A2099" s="48"/>
      <c r="B2099" s="48"/>
      <c r="C2099" s="49"/>
      <c r="D2099" s="48"/>
      <c r="E2099" s="48"/>
      <c r="F2099" s="48"/>
      <c r="G2099" s="48"/>
      <c r="H2099" s="48"/>
      <c r="I2099" s="48"/>
      <c r="J2099" s="86"/>
      <c r="K2099" s="86"/>
      <c r="L2099" s="86"/>
      <c r="M2099" s="86"/>
      <c r="N2099" s="86"/>
      <c r="O2099" s="86"/>
      <c r="P2099" s="86"/>
      <c r="Q2099" s="86"/>
      <c r="R2099" s="86"/>
      <c r="S2099" s="86"/>
      <c r="T2099" s="86"/>
      <c r="U2099" s="86"/>
      <c r="V2099" s="48"/>
      <c r="W2099" s="48"/>
      <c r="X2099" s="48"/>
      <c r="Y2099" s="48"/>
      <c r="Z2099" s="48"/>
      <c r="AA2099" s="48"/>
      <c r="AB2099" s="48"/>
      <c r="AC2099" s="48"/>
      <c r="AD2099" s="48"/>
      <c r="AE2099" s="48"/>
      <c r="AF2099" s="48"/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  <c r="AV2099" s="48"/>
      <c r="AW2099" s="48"/>
      <c r="AX2099" s="48"/>
      <c r="AY2099" s="48"/>
      <c r="AZ2099" s="48"/>
      <c r="BA2099" s="48"/>
      <c r="BB2099" s="48"/>
      <c r="BC2099" s="48"/>
      <c r="BD2099" s="48"/>
    </row>
    <row r="2100" spans="1:56">
      <c r="A2100" s="48"/>
      <c r="B2100" s="48"/>
      <c r="C2100" s="49"/>
      <c r="D2100" s="48"/>
      <c r="E2100" s="48"/>
      <c r="F2100" s="48"/>
      <c r="G2100" s="48"/>
      <c r="H2100" s="48"/>
      <c r="I2100" s="48"/>
      <c r="J2100" s="86"/>
      <c r="K2100" s="86"/>
      <c r="L2100" s="86"/>
      <c r="M2100" s="86"/>
      <c r="N2100" s="86"/>
      <c r="O2100" s="86"/>
      <c r="P2100" s="86"/>
      <c r="Q2100" s="86"/>
      <c r="R2100" s="86"/>
      <c r="S2100" s="86"/>
      <c r="T2100" s="86"/>
      <c r="U2100" s="86"/>
      <c r="V2100" s="48"/>
      <c r="W2100" s="48"/>
      <c r="X2100" s="48"/>
      <c r="Y2100" s="48"/>
      <c r="Z2100" s="48"/>
      <c r="AA2100" s="48"/>
      <c r="AB2100" s="48"/>
      <c r="AC2100" s="48"/>
      <c r="AD2100" s="48"/>
      <c r="AE2100" s="48"/>
      <c r="AF2100" s="48"/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  <c r="AV2100" s="48"/>
      <c r="AW2100" s="48"/>
      <c r="AX2100" s="48"/>
      <c r="AY2100" s="48"/>
      <c r="AZ2100" s="48"/>
      <c r="BA2100" s="48"/>
      <c r="BB2100" s="48"/>
      <c r="BC2100" s="48"/>
      <c r="BD2100" s="48"/>
    </row>
    <row r="2101" spans="1:56">
      <c r="A2101" s="48"/>
      <c r="B2101" s="48"/>
      <c r="C2101" s="49"/>
      <c r="D2101" s="48"/>
      <c r="E2101" s="48"/>
      <c r="F2101" s="48"/>
      <c r="G2101" s="48"/>
      <c r="H2101" s="48"/>
      <c r="I2101" s="48"/>
      <c r="J2101" s="86"/>
      <c r="K2101" s="86"/>
      <c r="L2101" s="86"/>
      <c r="M2101" s="86"/>
      <c r="N2101" s="86"/>
      <c r="O2101" s="86"/>
      <c r="P2101" s="86"/>
      <c r="Q2101" s="86"/>
      <c r="R2101" s="86"/>
      <c r="S2101" s="86"/>
      <c r="T2101" s="86"/>
      <c r="U2101" s="86"/>
      <c r="V2101" s="48"/>
      <c r="W2101" s="48"/>
      <c r="X2101" s="48"/>
      <c r="Y2101" s="48"/>
      <c r="Z2101" s="48"/>
      <c r="AA2101" s="48"/>
      <c r="AB2101" s="48"/>
      <c r="AC2101" s="48"/>
      <c r="AD2101" s="48"/>
      <c r="AE2101" s="48"/>
      <c r="AF2101" s="48"/>
      <c r="AG2101" s="48"/>
      <c r="AH2101" s="48"/>
      <c r="AI2101" s="48"/>
      <c r="AJ2101" s="48"/>
      <c r="AK2101" s="48"/>
      <c r="AL2101" s="48"/>
      <c r="AM2101" s="48"/>
      <c r="AN2101" s="48"/>
      <c r="AO2101" s="48"/>
      <c r="AP2101" s="48"/>
      <c r="AQ2101" s="48"/>
      <c r="AR2101" s="48"/>
      <c r="AS2101" s="48"/>
      <c r="AT2101" s="48"/>
      <c r="AU2101" s="48"/>
      <c r="AV2101" s="48"/>
      <c r="AW2101" s="48"/>
      <c r="AX2101" s="48"/>
      <c r="AY2101" s="48"/>
      <c r="AZ2101" s="48"/>
      <c r="BA2101" s="48"/>
      <c r="BB2101" s="48"/>
      <c r="BC2101" s="48"/>
      <c r="BD2101" s="48"/>
    </row>
    <row r="2102" spans="1:56">
      <c r="A2102" s="48"/>
      <c r="B2102" s="48"/>
      <c r="C2102" s="49"/>
      <c r="D2102" s="48"/>
      <c r="E2102" s="48"/>
      <c r="F2102" s="48"/>
      <c r="G2102" s="48"/>
      <c r="H2102" s="48"/>
      <c r="I2102" s="48"/>
      <c r="J2102" s="86"/>
      <c r="K2102" s="86"/>
      <c r="L2102" s="86"/>
      <c r="M2102" s="86"/>
      <c r="N2102" s="86"/>
      <c r="O2102" s="86"/>
      <c r="P2102" s="86"/>
      <c r="Q2102" s="86"/>
      <c r="R2102" s="86"/>
      <c r="S2102" s="86"/>
      <c r="T2102" s="86"/>
      <c r="U2102" s="86"/>
      <c r="V2102" s="48"/>
      <c r="W2102" s="48"/>
      <c r="X2102" s="48"/>
      <c r="Y2102" s="48"/>
      <c r="Z2102" s="48"/>
      <c r="AA2102" s="48"/>
      <c r="AB2102" s="48"/>
      <c r="AC2102" s="48"/>
      <c r="AD2102" s="48"/>
      <c r="AE2102" s="48"/>
      <c r="AF2102" s="48"/>
      <c r="AG2102" s="48"/>
      <c r="AH2102" s="48"/>
      <c r="AI2102" s="48"/>
      <c r="AJ2102" s="48"/>
      <c r="AK2102" s="48"/>
      <c r="AL2102" s="48"/>
      <c r="AM2102" s="48"/>
      <c r="AN2102" s="48"/>
      <c r="AO2102" s="48"/>
      <c r="AP2102" s="48"/>
      <c r="AQ2102" s="48"/>
      <c r="AR2102" s="48"/>
      <c r="AS2102" s="48"/>
      <c r="AT2102" s="48"/>
      <c r="AU2102" s="48"/>
      <c r="AV2102" s="48"/>
      <c r="AW2102" s="48"/>
      <c r="AX2102" s="48"/>
      <c r="AY2102" s="48"/>
      <c r="AZ2102" s="48"/>
      <c r="BA2102" s="48"/>
      <c r="BB2102" s="48"/>
      <c r="BC2102" s="48"/>
      <c r="BD2102" s="48"/>
    </row>
    <row r="2103" spans="1:56">
      <c r="A2103" s="48"/>
      <c r="B2103" s="48"/>
      <c r="C2103" s="49"/>
      <c r="D2103" s="48"/>
      <c r="E2103" s="48"/>
      <c r="F2103" s="48"/>
      <c r="G2103" s="48"/>
      <c r="H2103" s="48"/>
      <c r="I2103" s="48"/>
      <c r="J2103" s="86"/>
      <c r="K2103" s="86"/>
      <c r="L2103" s="86"/>
      <c r="M2103" s="86"/>
      <c r="N2103" s="86"/>
      <c r="O2103" s="86"/>
      <c r="P2103" s="86"/>
      <c r="Q2103" s="86"/>
      <c r="R2103" s="86"/>
      <c r="S2103" s="86"/>
      <c r="T2103" s="86"/>
      <c r="U2103" s="86"/>
      <c r="V2103" s="48"/>
      <c r="W2103" s="48"/>
      <c r="X2103" s="48"/>
      <c r="Y2103" s="48"/>
      <c r="Z2103" s="48"/>
      <c r="AA2103" s="48"/>
      <c r="AB2103" s="48"/>
      <c r="AC2103" s="48"/>
      <c r="AD2103" s="48"/>
      <c r="AE2103" s="48"/>
      <c r="AF2103" s="48"/>
      <c r="AG2103" s="48"/>
      <c r="AH2103" s="48"/>
      <c r="AI2103" s="48"/>
      <c r="AJ2103" s="48"/>
      <c r="AK2103" s="48"/>
      <c r="AL2103" s="48"/>
      <c r="AM2103" s="48"/>
      <c r="AN2103" s="48"/>
      <c r="AO2103" s="48"/>
      <c r="AP2103" s="48"/>
      <c r="AQ2103" s="48"/>
      <c r="AR2103" s="48"/>
      <c r="AS2103" s="48"/>
      <c r="AT2103" s="48"/>
      <c r="AU2103" s="48"/>
      <c r="AV2103" s="48"/>
      <c r="AW2103" s="48"/>
      <c r="AX2103" s="48"/>
      <c r="AY2103" s="48"/>
      <c r="AZ2103" s="48"/>
      <c r="BA2103" s="48"/>
      <c r="BB2103" s="48"/>
      <c r="BC2103" s="48"/>
      <c r="BD2103" s="48"/>
    </row>
    <row r="2104" spans="1:56">
      <c r="A2104" s="48"/>
      <c r="B2104" s="48"/>
      <c r="C2104" s="49"/>
      <c r="D2104" s="48"/>
      <c r="E2104" s="48"/>
      <c r="F2104" s="48"/>
      <c r="G2104" s="48"/>
      <c r="H2104" s="48"/>
      <c r="I2104" s="48"/>
      <c r="J2104" s="86"/>
      <c r="K2104" s="86"/>
      <c r="L2104" s="86"/>
      <c r="M2104" s="86"/>
      <c r="N2104" s="86"/>
      <c r="O2104" s="86"/>
      <c r="P2104" s="86"/>
      <c r="Q2104" s="86"/>
      <c r="R2104" s="86"/>
      <c r="S2104" s="86"/>
      <c r="T2104" s="86"/>
      <c r="U2104" s="86"/>
      <c r="V2104" s="48"/>
      <c r="W2104" s="48"/>
      <c r="X2104" s="48"/>
      <c r="Y2104" s="48"/>
      <c r="Z2104" s="48"/>
      <c r="AA2104" s="48"/>
      <c r="AB2104" s="48"/>
      <c r="AC2104" s="48"/>
      <c r="AD2104" s="48"/>
      <c r="AE2104" s="48"/>
      <c r="AF2104" s="48"/>
      <c r="AG2104" s="48"/>
      <c r="AH2104" s="48"/>
      <c r="AI2104" s="48"/>
      <c r="AJ2104" s="48"/>
      <c r="AK2104" s="48"/>
      <c r="AL2104" s="48"/>
      <c r="AM2104" s="48"/>
      <c r="AN2104" s="48"/>
      <c r="AO2104" s="48"/>
      <c r="AP2104" s="48"/>
      <c r="AQ2104" s="48"/>
      <c r="AR2104" s="48"/>
      <c r="AS2104" s="48"/>
      <c r="AT2104" s="48"/>
      <c r="AU2104" s="48"/>
      <c r="AV2104" s="48"/>
      <c r="AW2104" s="48"/>
      <c r="AX2104" s="48"/>
      <c r="AY2104" s="48"/>
      <c r="AZ2104" s="48"/>
      <c r="BA2104" s="48"/>
      <c r="BB2104" s="48"/>
      <c r="BC2104" s="48"/>
      <c r="BD2104" s="48"/>
    </row>
    <row r="2105" spans="1:56">
      <c r="A2105" s="48"/>
      <c r="B2105" s="48"/>
      <c r="C2105" s="49"/>
      <c r="D2105" s="48"/>
      <c r="E2105" s="48"/>
      <c r="F2105" s="48"/>
      <c r="G2105" s="48"/>
      <c r="H2105" s="48"/>
      <c r="I2105" s="48"/>
      <c r="J2105" s="86"/>
      <c r="K2105" s="86"/>
      <c r="L2105" s="86"/>
      <c r="M2105" s="86"/>
      <c r="N2105" s="86"/>
      <c r="O2105" s="86"/>
      <c r="P2105" s="86"/>
      <c r="Q2105" s="86"/>
      <c r="R2105" s="86"/>
      <c r="S2105" s="86"/>
      <c r="T2105" s="86"/>
      <c r="U2105" s="86"/>
      <c r="V2105" s="48"/>
      <c r="W2105" s="48"/>
      <c r="X2105" s="48"/>
      <c r="Y2105" s="48"/>
      <c r="Z2105" s="48"/>
      <c r="AA2105" s="48"/>
      <c r="AB2105" s="48"/>
      <c r="AC2105" s="48"/>
      <c r="AD2105" s="48"/>
      <c r="AE2105" s="48"/>
      <c r="AF2105" s="48"/>
      <c r="AG2105" s="48"/>
      <c r="AH2105" s="48"/>
      <c r="AI2105" s="48"/>
      <c r="AJ2105" s="48"/>
      <c r="AK2105" s="48"/>
      <c r="AL2105" s="48"/>
      <c r="AM2105" s="48"/>
      <c r="AN2105" s="48"/>
      <c r="AO2105" s="48"/>
      <c r="AP2105" s="48"/>
      <c r="AQ2105" s="48"/>
      <c r="AR2105" s="48"/>
      <c r="AS2105" s="48"/>
      <c r="AT2105" s="48"/>
      <c r="AU2105" s="48"/>
      <c r="AV2105" s="48"/>
      <c r="AW2105" s="48"/>
      <c r="AX2105" s="48"/>
      <c r="AY2105" s="48"/>
      <c r="AZ2105" s="48"/>
      <c r="BA2105" s="48"/>
      <c r="BB2105" s="48"/>
      <c r="BC2105" s="48"/>
      <c r="BD2105" s="48"/>
    </row>
    <row r="2106" spans="1:56">
      <c r="A2106" s="48"/>
      <c r="B2106" s="48"/>
      <c r="C2106" s="49"/>
      <c r="D2106" s="48"/>
      <c r="E2106" s="48"/>
      <c r="F2106" s="48"/>
      <c r="G2106" s="48"/>
      <c r="H2106" s="48"/>
      <c r="I2106" s="48"/>
      <c r="J2106" s="86"/>
      <c r="K2106" s="86"/>
      <c r="L2106" s="86"/>
      <c r="M2106" s="86"/>
      <c r="N2106" s="86"/>
      <c r="O2106" s="86"/>
      <c r="P2106" s="86"/>
      <c r="Q2106" s="86"/>
      <c r="R2106" s="86"/>
      <c r="S2106" s="86"/>
      <c r="T2106" s="86"/>
      <c r="U2106" s="86"/>
      <c r="V2106" s="48"/>
      <c r="W2106" s="48"/>
      <c r="X2106" s="48"/>
      <c r="Y2106" s="48"/>
      <c r="Z2106" s="48"/>
      <c r="AA2106" s="48"/>
      <c r="AB2106" s="48"/>
      <c r="AC2106" s="48"/>
      <c r="AD2106" s="48"/>
      <c r="AE2106" s="48"/>
      <c r="AF2106" s="48"/>
      <c r="AG2106" s="48"/>
      <c r="AH2106" s="48"/>
      <c r="AI2106" s="48"/>
      <c r="AJ2106" s="48"/>
      <c r="AK2106" s="48"/>
      <c r="AL2106" s="48"/>
      <c r="AM2106" s="48"/>
      <c r="AN2106" s="48"/>
      <c r="AO2106" s="48"/>
      <c r="AP2106" s="48"/>
      <c r="AQ2106" s="48"/>
      <c r="AR2106" s="48"/>
      <c r="AS2106" s="48"/>
      <c r="AT2106" s="48"/>
      <c r="AU2106" s="48"/>
      <c r="AV2106" s="48"/>
      <c r="AW2106" s="48"/>
      <c r="AX2106" s="48"/>
      <c r="AY2106" s="48"/>
      <c r="AZ2106" s="48"/>
      <c r="BA2106" s="48"/>
      <c r="BB2106" s="48"/>
      <c r="BC2106" s="48"/>
      <c r="BD2106" s="48"/>
    </row>
    <row r="2107" spans="1:56">
      <c r="A2107" s="48"/>
      <c r="B2107" s="48"/>
      <c r="C2107" s="49"/>
      <c r="D2107" s="48"/>
      <c r="E2107" s="48"/>
      <c r="F2107" s="48"/>
      <c r="G2107" s="48"/>
      <c r="H2107" s="48"/>
      <c r="I2107" s="48"/>
      <c r="J2107" s="86"/>
      <c r="K2107" s="86"/>
      <c r="L2107" s="86"/>
      <c r="M2107" s="86"/>
      <c r="N2107" s="86"/>
      <c r="O2107" s="86"/>
      <c r="P2107" s="86"/>
      <c r="Q2107" s="86"/>
      <c r="R2107" s="86"/>
      <c r="S2107" s="86"/>
      <c r="T2107" s="86"/>
      <c r="U2107" s="86"/>
      <c r="V2107" s="48"/>
      <c r="W2107" s="48"/>
      <c r="X2107" s="48"/>
      <c r="Y2107" s="48"/>
      <c r="Z2107" s="48"/>
      <c r="AA2107" s="48"/>
      <c r="AB2107" s="48"/>
      <c r="AC2107" s="48"/>
      <c r="AD2107" s="48"/>
      <c r="AE2107" s="48"/>
      <c r="AF2107" s="48"/>
      <c r="AG2107" s="48"/>
      <c r="AH2107" s="48"/>
      <c r="AI2107" s="48"/>
      <c r="AJ2107" s="48"/>
      <c r="AK2107" s="48"/>
      <c r="AL2107" s="48"/>
      <c r="AM2107" s="48"/>
      <c r="AN2107" s="48"/>
      <c r="AO2107" s="48"/>
      <c r="AP2107" s="48"/>
      <c r="AQ2107" s="48"/>
      <c r="AR2107" s="48"/>
      <c r="AS2107" s="48"/>
      <c r="AT2107" s="48"/>
      <c r="AU2107" s="48"/>
      <c r="AV2107" s="48"/>
      <c r="AW2107" s="48"/>
      <c r="AX2107" s="48"/>
      <c r="AY2107" s="48"/>
      <c r="AZ2107" s="48"/>
      <c r="BA2107" s="48"/>
      <c r="BB2107" s="48"/>
      <c r="BC2107" s="48"/>
      <c r="BD2107" s="48"/>
    </row>
    <row r="2108" spans="1:56">
      <c r="A2108" s="48"/>
      <c r="B2108" s="48"/>
      <c r="C2108" s="49"/>
      <c r="D2108" s="48"/>
      <c r="E2108" s="48"/>
      <c r="F2108" s="48"/>
      <c r="G2108" s="48"/>
      <c r="H2108" s="48"/>
      <c r="I2108" s="48"/>
      <c r="J2108" s="86"/>
      <c r="K2108" s="86"/>
      <c r="L2108" s="86"/>
      <c r="M2108" s="86"/>
      <c r="N2108" s="86"/>
      <c r="O2108" s="86"/>
      <c r="P2108" s="86"/>
      <c r="Q2108" s="86"/>
      <c r="R2108" s="86"/>
      <c r="S2108" s="86"/>
      <c r="T2108" s="86"/>
      <c r="U2108" s="86"/>
      <c r="V2108" s="48"/>
      <c r="W2108" s="48"/>
      <c r="X2108" s="48"/>
      <c r="Y2108" s="48"/>
      <c r="Z2108" s="48"/>
      <c r="AA2108" s="48"/>
      <c r="AB2108" s="48"/>
      <c r="AC2108" s="48"/>
      <c r="AD2108" s="48"/>
      <c r="AE2108" s="48"/>
      <c r="AF2108" s="48"/>
      <c r="AG2108" s="48"/>
      <c r="AH2108" s="48"/>
      <c r="AI2108" s="48"/>
      <c r="AJ2108" s="48"/>
      <c r="AK2108" s="48"/>
      <c r="AL2108" s="48"/>
      <c r="AM2108" s="48"/>
      <c r="AN2108" s="48"/>
      <c r="AO2108" s="48"/>
      <c r="AP2108" s="48"/>
      <c r="AQ2108" s="48"/>
      <c r="AR2108" s="48"/>
      <c r="AS2108" s="48"/>
      <c r="AT2108" s="48"/>
      <c r="AU2108" s="48"/>
      <c r="AV2108" s="48"/>
      <c r="AW2108" s="48"/>
      <c r="AX2108" s="48"/>
      <c r="AY2108" s="48"/>
      <c r="AZ2108" s="48"/>
      <c r="BA2108" s="48"/>
      <c r="BB2108" s="48"/>
      <c r="BC2108" s="48"/>
      <c r="BD2108" s="48"/>
    </row>
    <row r="2109" spans="1:56">
      <c r="A2109" s="48"/>
      <c r="B2109" s="48"/>
      <c r="C2109" s="49"/>
      <c r="D2109" s="48"/>
      <c r="E2109" s="48"/>
      <c r="F2109" s="48"/>
      <c r="G2109" s="48"/>
      <c r="H2109" s="48"/>
      <c r="I2109" s="48"/>
      <c r="J2109" s="86"/>
      <c r="K2109" s="86"/>
      <c r="L2109" s="86"/>
      <c r="M2109" s="86"/>
      <c r="N2109" s="86"/>
      <c r="O2109" s="86"/>
      <c r="P2109" s="86"/>
      <c r="Q2109" s="86"/>
      <c r="R2109" s="86"/>
      <c r="S2109" s="86"/>
      <c r="T2109" s="86"/>
      <c r="U2109" s="86"/>
      <c r="V2109" s="48"/>
      <c r="W2109" s="48"/>
      <c r="X2109" s="48"/>
      <c r="Y2109" s="48"/>
      <c r="Z2109" s="48"/>
      <c r="AA2109" s="48"/>
      <c r="AB2109" s="48"/>
      <c r="AC2109" s="48"/>
      <c r="AD2109" s="48"/>
      <c r="AE2109" s="48"/>
      <c r="AF2109" s="48"/>
      <c r="AG2109" s="48"/>
      <c r="AH2109" s="48"/>
      <c r="AI2109" s="48"/>
      <c r="AJ2109" s="48"/>
      <c r="AK2109" s="48"/>
      <c r="AL2109" s="48"/>
      <c r="AM2109" s="48"/>
      <c r="AN2109" s="48"/>
      <c r="AO2109" s="48"/>
      <c r="AP2109" s="48"/>
      <c r="AQ2109" s="48"/>
      <c r="AR2109" s="48"/>
      <c r="AS2109" s="48"/>
      <c r="AT2109" s="48"/>
      <c r="AU2109" s="48"/>
      <c r="AV2109" s="48"/>
      <c r="AW2109" s="48"/>
      <c r="AX2109" s="48"/>
      <c r="AY2109" s="48"/>
      <c r="AZ2109" s="48"/>
      <c r="BA2109" s="48"/>
      <c r="BB2109" s="48"/>
      <c r="BC2109" s="48"/>
      <c r="BD2109" s="48"/>
    </row>
    <row r="2110" spans="1:56">
      <c r="A2110" s="48"/>
      <c r="B2110" s="48"/>
      <c r="C2110" s="49"/>
      <c r="D2110" s="48"/>
      <c r="E2110" s="48"/>
      <c r="F2110" s="48"/>
      <c r="G2110" s="48"/>
      <c r="H2110" s="48"/>
      <c r="I2110" s="48"/>
      <c r="J2110" s="86"/>
      <c r="K2110" s="86"/>
      <c r="L2110" s="86"/>
      <c r="M2110" s="86"/>
      <c r="N2110" s="86"/>
      <c r="O2110" s="86"/>
      <c r="P2110" s="86"/>
      <c r="Q2110" s="86"/>
      <c r="R2110" s="86"/>
      <c r="S2110" s="86"/>
      <c r="T2110" s="86"/>
      <c r="U2110" s="86"/>
      <c r="V2110" s="48"/>
      <c r="W2110" s="48"/>
      <c r="X2110" s="48"/>
      <c r="Y2110" s="48"/>
      <c r="Z2110" s="48"/>
      <c r="AA2110" s="48"/>
      <c r="AB2110" s="48"/>
      <c r="AC2110" s="48"/>
      <c r="AD2110" s="48"/>
      <c r="AE2110" s="48"/>
      <c r="AF2110" s="48"/>
      <c r="AG2110" s="48"/>
      <c r="AH2110" s="48"/>
      <c r="AI2110" s="48"/>
      <c r="AJ2110" s="48"/>
      <c r="AK2110" s="48"/>
      <c r="AL2110" s="48"/>
      <c r="AM2110" s="48"/>
      <c r="AN2110" s="48"/>
      <c r="AO2110" s="48"/>
      <c r="AP2110" s="48"/>
      <c r="AQ2110" s="48"/>
      <c r="AR2110" s="48"/>
      <c r="AS2110" s="48"/>
      <c r="AT2110" s="48"/>
      <c r="AU2110" s="48"/>
      <c r="AV2110" s="48"/>
      <c r="AW2110" s="48"/>
      <c r="AX2110" s="48"/>
      <c r="AY2110" s="48"/>
      <c r="AZ2110" s="48"/>
      <c r="BA2110" s="48"/>
      <c r="BB2110" s="48"/>
      <c r="BC2110" s="48"/>
      <c r="BD2110" s="48"/>
    </row>
    <row r="2111" spans="1:56">
      <c r="A2111" s="48"/>
      <c r="B2111" s="48"/>
      <c r="C2111" s="49"/>
      <c r="D2111" s="48"/>
      <c r="E2111" s="48"/>
      <c r="F2111" s="48"/>
      <c r="G2111" s="48"/>
      <c r="H2111" s="48"/>
      <c r="I2111" s="48"/>
      <c r="J2111" s="86"/>
      <c r="K2111" s="86"/>
      <c r="L2111" s="86"/>
      <c r="M2111" s="86"/>
      <c r="N2111" s="86"/>
      <c r="O2111" s="86"/>
      <c r="P2111" s="86"/>
      <c r="Q2111" s="86"/>
      <c r="R2111" s="86"/>
      <c r="S2111" s="86"/>
      <c r="T2111" s="86"/>
      <c r="U2111" s="86"/>
      <c r="V2111" s="48"/>
      <c r="W2111" s="48"/>
      <c r="X2111" s="48"/>
      <c r="Y2111" s="48"/>
      <c r="Z2111" s="48"/>
      <c r="AA2111" s="48"/>
      <c r="AB2111" s="48"/>
      <c r="AC2111" s="48"/>
      <c r="AD2111" s="48"/>
      <c r="AE2111" s="48"/>
      <c r="AF2111" s="48"/>
      <c r="AG2111" s="48"/>
      <c r="AH2111" s="48"/>
      <c r="AI2111" s="48"/>
      <c r="AJ2111" s="48"/>
      <c r="AK2111" s="48"/>
      <c r="AL2111" s="48"/>
      <c r="AM2111" s="48"/>
      <c r="AN2111" s="48"/>
      <c r="AO2111" s="48"/>
      <c r="AP2111" s="48"/>
      <c r="AQ2111" s="48"/>
      <c r="AR2111" s="48"/>
      <c r="AS2111" s="48"/>
      <c r="AT2111" s="48"/>
      <c r="AU2111" s="48"/>
      <c r="AV2111" s="48"/>
      <c r="AW2111" s="48"/>
      <c r="AX2111" s="48"/>
      <c r="AY2111" s="48"/>
      <c r="AZ2111" s="48"/>
      <c r="BA2111" s="48"/>
      <c r="BB2111" s="48"/>
      <c r="BC2111" s="48"/>
      <c r="BD2111" s="48"/>
    </row>
    <row r="2112" spans="1:56">
      <c r="A2112" s="48"/>
      <c r="B2112" s="48"/>
      <c r="C2112" s="49"/>
      <c r="D2112" s="48"/>
      <c r="E2112" s="48"/>
      <c r="F2112" s="48"/>
      <c r="G2112" s="48"/>
      <c r="H2112" s="48"/>
      <c r="I2112" s="48"/>
      <c r="J2112" s="86"/>
      <c r="K2112" s="86"/>
      <c r="L2112" s="86"/>
      <c r="M2112" s="86"/>
      <c r="N2112" s="86"/>
      <c r="O2112" s="86"/>
      <c r="P2112" s="86"/>
      <c r="Q2112" s="86"/>
      <c r="R2112" s="86"/>
      <c r="S2112" s="86"/>
      <c r="T2112" s="86"/>
      <c r="U2112" s="86"/>
      <c r="V2112" s="48"/>
      <c r="W2112" s="48"/>
      <c r="X2112" s="48"/>
      <c r="Y2112" s="48"/>
      <c r="Z2112" s="48"/>
      <c r="AA2112" s="48"/>
      <c r="AB2112" s="48"/>
      <c r="AC2112" s="48"/>
      <c r="AD2112" s="48"/>
      <c r="AE2112" s="48"/>
      <c r="AF2112" s="48"/>
      <c r="AG2112" s="48"/>
      <c r="AH2112" s="48"/>
      <c r="AI2112" s="48"/>
      <c r="AJ2112" s="48"/>
      <c r="AK2112" s="48"/>
      <c r="AL2112" s="48"/>
      <c r="AM2112" s="48"/>
      <c r="AN2112" s="48"/>
      <c r="AO2112" s="48"/>
      <c r="AP2112" s="48"/>
      <c r="AQ2112" s="48"/>
      <c r="AR2112" s="48"/>
      <c r="AS2112" s="48"/>
      <c r="AT2112" s="48"/>
      <c r="AU2112" s="48"/>
      <c r="AV2112" s="48"/>
      <c r="AW2112" s="48"/>
      <c r="AX2112" s="48"/>
      <c r="AY2112" s="48"/>
      <c r="AZ2112" s="48"/>
      <c r="BA2112" s="48"/>
      <c r="BB2112" s="48"/>
      <c r="BC2112" s="48"/>
      <c r="BD2112" s="48"/>
    </row>
    <row r="2113" spans="1:56">
      <c r="A2113" s="48"/>
      <c r="B2113" s="48"/>
      <c r="C2113" s="49"/>
      <c r="D2113" s="48"/>
      <c r="E2113" s="48"/>
      <c r="F2113" s="48"/>
      <c r="G2113" s="48"/>
      <c r="H2113" s="48"/>
      <c r="I2113" s="48"/>
      <c r="J2113" s="86"/>
      <c r="K2113" s="86"/>
      <c r="L2113" s="86"/>
      <c r="M2113" s="86"/>
      <c r="N2113" s="86"/>
      <c r="O2113" s="86"/>
      <c r="P2113" s="86"/>
      <c r="Q2113" s="86"/>
      <c r="R2113" s="86"/>
      <c r="S2113" s="86"/>
      <c r="T2113" s="86"/>
      <c r="U2113" s="86"/>
      <c r="V2113" s="48"/>
      <c r="W2113" s="48"/>
      <c r="X2113" s="48"/>
      <c r="Y2113" s="48"/>
      <c r="Z2113" s="48"/>
      <c r="AA2113" s="48"/>
      <c r="AB2113" s="48"/>
      <c r="AC2113" s="48"/>
      <c r="AD2113" s="48"/>
      <c r="AE2113" s="48"/>
      <c r="AF2113" s="48"/>
      <c r="AG2113" s="48"/>
      <c r="AH2113" s="48"/>
      <c r="AI2113" s="48"/>
      <c r="AJ2113" s="48"/>
      <c r="AK2113" s="48"/>
      <c r="AL2113" s="48"/>
      <c r="AM2113" s="48"/>
      <c r="AN2113" s="48"/>
      <c r="AO2113" s="48"/>
      <c r="AP2113" s="48"/>
      <c r="AQ2113" s="48"/>
      <c r="AR2113" s="48"/>
      <c r="AS2113" s="48"/>
      <c r="AT2113" s="48"/>
      <c r="AU2113" s="48"/>
      <c r="AV2113" s="48"/>
      <c r="AW2113" s="48"/>
      <c r="AX2113" s="48"/>
      <c r="AY2113" s="48"/>
      <c r="AZ2113" s="48"/>
      <c r="BA2113" s="48"/>
      <c r="BB2113" s="48"/>
      <c r="BC2113" s="48"/>
      <c r="BD2113" s="48"/>
    </row>
    <row r="2114" spans="1:56">
      <c r="A2114" s="48"/>
      <c r="B2114" s="48"/>
      <c r="C2114" s="49"/>
      <c r="D2114" s="48"/>
      <c r="E2114" s="48"/>
      <c r="F2114" s="48"/>
      <c r="G2114" s="48"/>
      <c r="H2114" s="48"/>
      <c r="I2114" s="48"/>
      <c r="J2114" s="86"/>
      <c r="K2114" s="86"/>
      <c r="L2114" s="86"/>
      <c r="M2114" s="86"/>
      <c r="N2114" s="86"/>
      <c r="O2114" s="86"/>
      <c r="P2114" s="86"/>
      <c r="Q2114" s="86"/>
      <c r="R2114" s="86"/>
      <c r="S2114" s="86"/>
      <c r="T2114" s="86"/>
      <c r="U2114" s="86"/>
      <c r="V2114" s="48"/>
      <c r="W2114" s="48"/>
      <c r="X2114" s="48"/>
      <c r="Y2114" s="48"/>
      <c r="Z2114" s="48"/>
      <c r="AA2114" s="48"/>
      <c r="AB2114" s="48"/>
      <c r="AC2114" s="48"/>
      <c r="AD2114" s="48"/>
      <c r="AE2114" s="48"/>
      <c r="AF2114" s="48"/>
      <c r="AG2114" s="48"/>
      <c r="AH2114" s="48"/>
      <c r="AI2114" s="48"/>
      <c r="AJ2114" s="48"/>
      <c r="AK2114" s="48"/>
      <c r="AL2114" s="48"/>
      <c r="AM2114" s="48"/>
      <c r="AN2114" s="48"/>
      <c r="AO2114" s="48"/>
      <c r="AP2114" s="48"/>
      <c r="AQ2114" s="48"/>
      <c r="AR2114" s="48"/>
      <c r="AS2114" s="48"/>
      <c r="AT2114" s="48"/>
      <c r="AU2114" s="48"/>
      <c r="AV2114" s="48"/>
      <c r="AW2114" s="48"/>
      <c r="AX2114" s="48"/>
      <c r="AY2114" s="48"/>
      <c r="AZ2114" s="48"/>
      <c r="BA2114" s="48"/>
      <c r="BB2114" s="48"/>
      <c r="BC2114" s="48"/>
      <c r="BD2114" s="48"/>
    </row>
    <row r="2115" spans="1:56">
      <c r="A2115" s="48"/>
      <c r="B2115" s="48"/>
      <c r="C2115" s="49"/>
      <c r="D2115" s="48"/>
      <c r="E2115" s="48"/>
      <c r="F2115" s="48"/>
      <c r="G2115" s="48"/>
      <c r="H2115" s="48"/>
      <c r="I2115" s="48"/>
      <c r="J2115" s="86"/>
      <c r="K2115" s="86"/>
      <c r="L2115" s="86"/>
      <c r="M2115" s="86"/>
      <c r="N2115" s="86"/>
      <c r="O2115" s="86"/>
      <c r="P2115" s="86"/>
      <c r="Q2115" s="86"/>
      <c r="R2115" s="86"/>
      <c r="S2115" s="86"/>
      <c r="T2115" s="86"/>
      <c r="U2115" s="86"/>
      <c r="V2115" s="48"/>
      <c r="W2115" s="48"/>
      <c r="X2115" s="48"/>
      <c r="Y2115" s="48"/>
      <c r="Z2115" s="48"/>
      <c r="AA2115" s="48"/>
      <c r="AB2115" s="48"/>
      <c r="AC2115" s="48"/>
      <c r="AD2115" s="48"/>
      <c r="AE2115" s="48"/>
      <c r="AF2115" s="48"/>
      <c r="AG2115" s="48"/>
      <c r="AH2115" s="48"/>
      <c r="AI2115" s="48"/>
      <c r="AJ2115" s="48"/>
      <c r="AK2115" s="48"/>
      <c r="AL2115" s="48"/>
      <c r="AM2115" s="48"/>
      <c r="AN2115" s="48"/>
      <c r="AO2115" s="48"/>
      <c r="AP2115" s="48"/>
      <c r="AQ2115" s="48"/>
      <c r="AR2115" s="48"/>
      <c r="AS2115" s="48"/>
      <c r="AT2115" s="48"/>
      <c r="AU2115" s="48"/>
      <c r="AV2115" s="48"/>
      <c r="AW2115" s="48"/>
      <c r="AX2115" s="48"/>
      <c r="AY2115" s="48"/>
      <c r="AZ2115" s="48"/>
      <c r="BA2115" s="48"/>
      <c r="BB2115" s="48"/>
      <c r="BC2115" s="48"/>
      <c r="BD2115" s="48"/>
    </row>
    <row r="2116" spans="1:56">
      <c r="A2116" s="48"/>
      <c r="B2116" s="48"/>
      <c r="C2116" s="49"/>
      <c r="D2116" s="48"/>
      <c r="E2116" s="48"/>
      <c r="F2116" s="48"/>
      <c r="G2116" s="48"/>
      <c r="H2116" s="48"/>
      <c r="I2116" s="48"/>
      <c r="J2116" s="86"/>
      <c r="K2116" s="86"/>
      <c r="L2116" s="86"/>
      <c r="M2116" s="86"/>
      <c r="N2116" s="86"/>
      <c r="O2116" s="86"/>
      <c r="P2116" s="86"/>
      <c r="Q2116" s="86"/>
      <c r="R2116" s="86"/>
      <c r="S2116" s="86"/>
      <c r="T2116" s="86"/>
      <c r="U2116" s="86"/>
      <c r="V2116" s="48"/>
      <c r="W2116" s="48"/>
      <c r="X2116" s="48"/>
      <c r="Y2116" s="48"/>
      <c r="Z2116" s="48"/>
      <c r="AA2116" s="48"/>
      <c r="AB2116" s="48"/>
      <c r="AC2116" s="48"/>
      <c r="AD2116" s="48"/>
      <c r="AE2116" s="48"/>
      <c r="AF2116" s="48"/>
      <c r="AG2116" s="48"/>
      <c r="AH2116" s="48"/>
      <c r="AI2116" s="48"/>
      <c r="AJ2116" s="48"/>
      <c r="AK2116" s="48"/>
      <c r="AL2116" s="48"/>
      <c r="AM2116" s="48"/>
      <c r="AN2116" s="48"/>
      <c r="AO2116" s="48"/>
      <c r="AP2116" s="48"/>
      <c r="AQ2116" s="48"/>
      <c r="AR2116" s="48"/>
      <c r="AS2116" s="48"/>
      <c r="AT2116" s="48"/>
      <c r="AU2116" s="48"/>
      <c r="AV2116" s="48"/>
      <c r="AW2116" s="48"/>
      <c r="AX2116" s="48"/>
      <c r="AY2116" s="48"/>
      <c r="AZ2116" s="48"/>
      <c r="BA2116" s="48"/>
      <c r="BB2116" s="48"/>
      <c r="BC2116" s="48"/>
      <c r="BD2116" s="48"/>
    </row>
    <row r="2117" spans="1:56">
      <c r="A2117" s="48"/>
      <c r="B2117" s="48"/>
      <c r="C2117" s="49"/>
      <c r="D2117" s="48"/>
      <c r="E2117" s="48"/>
      <c r="F2117" s="48"/>
      <c r="G2117" s="48"/>
      <c r="H2117" s="48"/>
      <c r="I2117" s="48"/>
      <c r="J2117" s="86"/>
      <c r="K2117" s="86"/>
      <c r="L2117" s="86"/>
      <c r="M2117" s="86"/>
      <c r="N2117" s="86"/>
      <c r="O2117" s="86"/>
      <c r="P2117" s="86"/>
      <c r="Q2117" s="86"/>
      <c r="R2117" s="86"/>
      <c r="S2117" s="86"/>
      <c r="T2117" s="86"/>
      <c r="U2117" s="86"/>
      <c r="V2117" s="48"/>
      <c r="W2117" s="48"/>
      <c r="X2117" s="48"/>
      <c r="Y2117" s="48"/>
      <c r="Z2117" s="48"/>
      <c r="AA2117" s="48"/>
      <c r="AB2117" s="48"/>
      <c r="AC2117" s="48"/>
      <c r="AD2117" s="48"/>
      <c r="AE2117" s="48"/>
      <c r="AF2117" s="48"/>
      <c r="AG2117" s="48"/>
      <c r="AH2117" s="48"/>
      <c r="AI2117" s="48"/>
      <c r="AJ2117" s="48"/>
      <c r="AK2117" s="48"/>
      <c r="AL2117" s="48"/>
      <c r="AM2117" s="48"/>
      <c r="AN2117" s="48"/>
      <c r="AO2117" s="48"/>
      <c r="AP2117" s="48"/>
      <c r="AQ2117" s="48"/>
      <c r="AR2117" s="48"/>
      <c r="AS2117" s="48"/>
      <c r="AT2117" s="48"/>
      <c r="AU2117" s="48"/>
      <c r="AV2117" s="48"/>
      <c r="AW2117" s="48"/>
      <c r="AX2117" s="48"/>
      <c r="AY2117" s="48"/>
      <c r="AZ2117" s="48"/>
      <c r="BA2117" s="48"/>
      <c r="BB2117" s="48"/>
      <c r="BC2117" s="48"/>
      <c r="BD2117" s="48"/>
    </row>
    <row r="2118" spans="1:56">
      <c r="A2118" s="48"/>
      <c r="B2118" s="48"/>
      <c r="C2118" s="49"/>
      <c r="D2118" s="48"/>
      <c r="E2118" s="48"/>
      <c r="F2118" s="48"/>
      <c r="G2118" s="48"/>
      <c r="H2118" s="48"/>
      <c r="I2118" s="48"/>
      <c r="J2118" s="86"/>
      <c r="K2118" s="86"/>
      <c r="L2118" s="86"/>
      <c r="M2118" s="86"/>
      <c r="N2118" s="86"/>
      <c r="O2118" s="86"/>
      <c r="P2118" s="86"/>
      <c r="Q2118" s="86"/>
      <c r="R2118" s="86"/>
      <c r="S2118" s="86"/>
      <c r="T2118" s="86"/>
      <c r="U2118" s="86"/>
      <c r="V2118" s="48"/>
      <c r="W2118" s="48"/>
      <c r="X2118" s="48"/>
      <c r="Y2118" s="48"/>
      <c r="Z2118" s="48"/>
      <c r="AA2118" s="48"/>
      <c r="AB2118" s="48"/>
      <c r="AC2118" s="48"/>
      <c r="AD2118" s="48"/>
      <c r="AE2118" s="48"/>
      <c r="AF2118" s="48"/>
      <c r="AG2118" s="48"/>
      <c r="AH2118" s="48"/>
      <c r="AI2118" s="48"/>
      <c r="AJ2118" s="48"/>
      <c r="AK2118" s="48"/>
      <c r="AL2118" s="48"/>
      <c r="AM2118" s="48"/>
      <c r="AN2118" s="48"/>
      <c r="AO2118" s="48"/>
      <c r="AP2118" s="48"/>
      <c r="AQ2118" s="48"/>
      <c r="AR2118" s="48"/>
      <c r="AS2118" s="48"/>
      <c r="AT2118" s="48"/>
      <c r="AU2118" s="48"/>
      <c r="AV2118" s="48"/>
      <c r="AW2118" s="48"/>
      <c r="AX2118" s="48"/>
      <c r="AY2118" s="48"/>
      <c r="AZ2118" s="48"/>
      <c r="BA2118" s="48"/>
      <c r="BB2118" s="48"/>
      <c r="BC2118" s="48"/>
      <c r="BD2118" s="48"/>
    </row>
    <row r="2119" spans="1:56">
      <c r="A2119" s="48"/>
      <c r="B2119" s="48"/>
      <c r="C2119" s="49"/>
      <c r="D2119" s="48"/>
      <c r="E2119" s="48"/>
      <c r="F2119" s="48"/>
      <c r="G2119" s="48"/>
      <c r="H2119" s="48"/>
      <c r="I2119" s="48"/>
      <c r="J2119" s="86"/>
      <c r="K2119" s="86"/>
      <c r="L2119" s="86"/>
      <c r="M2119" s="86"/>
      <c r="N2119" s="86"/>
      <c r="O2119" s="86"/>
      <c r="P2119" s="86"/>
      <c r="Q2119" s="86"/>
      <c r="R2119" s="86"/>
      <c r="S2119" s="86"/>
      <c r="T2119" s="86"/>
      <c r="U2119" s="86"/>
      <c r="V2119" s="48"/>
      <c r="W2119" s="48"/>
      <c r="X2119" s="48"/>
      <c r="Y2119" s="48"/>
      <c r="Z2119" s="48"/>
      <c r="AA2119" s="48"/>
      <c r="AB2119" s="48"/>
      <c r="AC2119" s="48"/>
      <c r="AD2119" s="48"/>
      <c r="AE2119" s="48"/>
      <c r="AF2119" s="48"/>
      <c r="AG2119" s="48"/>
      <c r="AH2119" s="48"/>
      <c r="AI2119" s="48"/>
      <c r="AJ2119" s="48"/>
      <c r="AK2119" s="48"/>
      <c r="AL2119" s="48"/>
      <c r="AM2119" s="48"/>
      <c r="AN2119" s="48"/>
      <c r="AO2119" s="48"/>
      <c r="AP2119" s="48"/>
      <c r="AQ2119" s="48"/>
      <c r="AR2119" s="48"/>
      <c r="AS2119" s="48"/>
      <c r="AT2119" s="48"/>
      <c r="AU2119" s="48"/>
      <c r="AV2119" s="48"/>
      <c r="AW2119" s="48"/>
      <c r="AX2119" s="48"/>
      <c r="AY2119" s="48"/>
      <c r="AZ2119" s="48"/>
      <c r="BA2119" s="48"/>
      <c r="BB2119" s="48"/>
      <c r="BC2119" s="48"/>
      <c r="BD2119" s="48"/>
    </row>
    <row r="2120" spans="1:56">
      <c r="A2120" s="48"/>
      <c r="B2120" s="48"/>
      <c r="C2120" s="49"/>
      <c r="D2120" s="48"/>
      <c r="E2120" s="48"/>
      <c r="F2120" s="48"/>
      <c r="G2120" s="48"/>
      <c r="H2120" s="48"/>
      <c r="I2120" s="48"/>
      <c r="J2120" s="86"/>
      <c r="K2120" s="86"/>
      <c r="L2120" s="86"/>
      <c r="M2120" s="86"/>
      <c r="N2120" s="86"/>
      <c r="O2120" s="86"/>
      <c r="P2120" s="86"/>
      <c r="Q2120" s="86"/>
      <c r="R2120" s="86"/>
      <c r="S2120" s="86"/>
      <c r="T2120" s="86"/>
      <c r="U2120" s="86"/>
      <c r="V2120" s="48"/>
      <c r="W2120" s="48"/>
      <c r="X2120" s="48"/>
      <c r="Y2120" s="48"/>
      <c r="Z2120" s="48"/>
      <c r="AA2120" s="48"/>
      <c r="AB2120" s="48"/>
      <c r="AC2120" s="48"/>
      <c r="AD2120" s="48"/>
      <c r="AE2120" s="48"/>
      <c r="AF2120" s="48"/>
      <c r="AG2120" s="48"/>
      <c r="AH2120" s="48"/>
      <c r="AI2120" s="48"/>
      <c r="AJ2120" s="48"/>
      <c r="AK2120" s="48"/>
      <c r="AL2120" s="48"/>
      <c r="AM2120" s="48"/>
      <c r="AN2120" s="48"/>
      <c r="AO2120" s="48"/>
      <c r="AP2120" s="48"/>
      <c r="AQ2120" s="48"/>
      <c r="AR2120" s="48"/>
      <c r="AS2120" s="48"/>
      <c r="AT2120" s="48"/>
      <c r="AU2120" s="48"/>
      <c r="AV2120" s="48"/>
      <c r="AW2120" s="48"/>
      <c r="AX2120" s="48"/>
      <c r="AY2120" s="48"/>
      <c r="AZ2120" s="48"/>
      <c r="BA2120" s="48"/>
      <c r="BB2120" s="48"/>
      <c r="BC2120" s="48"/>
      <c r="BD2120" s="48"/>
    </row>
    <row r="2121" spans="1:56">
      <c r="A2121" s="48"/>
      <c r="B2121" s="48"/>
      <c r="C2121" s="49"/>
      <c r="D2121" s="48"/>
      <c r="E2121" s="48"/>
      <c r="F2121" s="48"/>
      <c r="G2121" s="48"/>
      <c r="H2121" s="48"/>
      <c r="I2121" s="48"/>
      <c r="J2121" s="86"/>
      <c r="K2121" s="86"/>
      <c r="L2121" s="86"/>
      <c r="M2121" s="86"/>
      <c r="N2121" s="86"/>
      <c r="O2121" s="86"/>
      <c r="P2121" s="86"/>
      <c r="Q2121" s="86"/>
      <c r="R2121" s="86"/>
      <c r="S2121" s="86"/>
      <c r="T2121" s="86"/>
      <c r="U2121" s="86"/>
      <c r="V2121" s="48"/>
      <c r="W2121" s="48"/>
      <c r="X2121" s="48"/>
      <c r="Y2121" s="48"/>
      <c r="Z2121" s="48"/>
      <c r="AA2121" s="48"/>
      <c r="AB2121" s="48"/>
      <c r="AC2121" s="48"/>
      <c r="AD2121" s="48"/>
      <c r="AE2121" s="48"/>
      <c r="AF2121" s="48"/>
      <c r="AG2121" s="48"/>
      <c r="AH2121" s="48"/>
      <c r="AI2121" s="48"/>
      <c r="AJ2121" s="48"/>
      <c r="AK2121" s="48"/>
      <c r="AL2121" s="48"/>
      <c r="AM2121" s="48"/>
      <c r="AN2121" s="48"/>
      <c r="AO2121" s="48"/>
      <c r="AP2121" s="48"/>
      <c r="AQ2121" s="48"/>
      <c r="AR2121" s="48"/>
      <c r="AS2121" s="48"/>
      <c r="AT2121" s="48"/>
      <c r="AU2121" s="48"/>
      <c r="AV2121" s="48"/>
      <c r="AW2121" s="48"/>
      <c r="AX2121" s="48"/>
      <c r="AY2121" s="48"/>
      <c r="AZ2121" s="48"/>
      <c r="BA2121" s="48"/>
      <c r="BB2121" s="48"/>
      <c r="BC2121" s="48"/>
      <c r="BD2121" s="48"/>
    </row>
    <row r="2122" spans="1:56">
      <c r="A2122" s="48"/>
      <c r="B2122" s="48"/>
      <c r="C2122" s="49"/>
      <c r="D2122" s="48"/>
      <c r="E2122" s="48"/>
      <c r="F2122" s="48"/>
      <c r="G2122" s="48"/>
      <c r="H2122" s="48"/>
      <c r="I2122" s="48"/>
      <c r="J2122" s="86"/>
      <c r="K2122" s="86"/>
      <c r="L2122" s="86"/>
      <c r="M2122" s="86"/>
      <c r="N2122" s="86"/>
      <c r="O2122" s="86"/>
      <c r="P2122" s="86"/>
      <c r="Q2122" s="86"/>
      <c r="R2122" s="86"/>
      <c r="S2122" s="86"/>
      <c r="T2122" s="86"/>
      <c r="U2122" s="86"/>
      <c r="V2122" s="48"/>
      <c r="W2122" s="48"/>
      <c r="X2122" s="48"/>
      <c r="Y2122" s="48"/>
      <c r="Z2122" s="48"/>
      <c r="AA2122" s="48"/>
      <c r="AB2122" s="48"/>
      <c r="AC2122" s="48"/>
      <c r="AD2122" s="48"/>
      <c r="AE2122" s="48"/>
      <c r="AF2122" s="48"/>
      <c r="AG2122" s="48"/>
      <c r="AH2122" s="48"/>
      <c r="AI2122" s="48"/>
      <c r="AJ2122" s="48"/>
      <c r="AK2122" s="48"/>
      <c r="AL2122" s="48"/>
      <c r="AM2122" s="48"/>
      <c r="AN2122" s="48"/>
      <c r="AO2122" s="48"/>
      <c r="AP2122" s="48"/>
      <c r="AQ2122" s="48"/>
      <c r="AR2122" s="48"/>
      <c r="AS2122" s="48"/>
      <c r="AT2122" s="48"/>
      <c r="AU2122" s="48"/>
      <c r="AV2122" s="48"/>
      <c r="AW2122" s="48"/>
      <c r="AX2122" s="48"/>
      <c r="AY2122" s="48"/>
      <c r="AZ2122" s="48"/>
      <c r="BA2122" s="48"/>
      <c r="BB2122" s="48"/>
      <c r="BC2122" s="48"/>
      <c r="BD2122" s="48"/>
    </row>
    <row r="2123" spans="1:56">
      <c r="A2123" s="48"/>
      <c r="B2123" s="48"/>
      <c r="C2123" s="49"/>
      <c r="D2123" s="48"/>
      <c r="E2123" s="48"/>
      <c r="F2123" s="48"/>
      <c r="G2123" s="48"/>
      <c r="H2123" s="48"/>
      <c r="I2123" s="48"/>
      <c r="J2123" s="86"/>
      <c r="K2123" s="86"/>
      <c r="L2123" s="86"/>
      <c r="M2123" s="86"/>
      <c r="N2123" s="86"/>
      <c r="O2123" s="86"/>
      <c r="P2123" s="86"/>
      <c r="Q2123" s="86"/>
      <c r="R2123" s="86"/>
      <c r="S2123" s="86"/>
      <c r="T2123" s="86"/>
      <c r="U2123" s="86"/>
      <c r="V2123" s="48"/>
      <c r="W2123" s="48"/>
      <c r="X2123" s="48"/>
      <c r="Y2123" s="48"/>
      <c r="Z2123" s="48"/>
      <c r="AA2123" s="48"/>
      <c r="AB2123" s="48"/>
      <c r="AC2123" s="48"/>
      <c r="AD2123" s="48"/>
      <c r="AE2123" s="48"/>
      <c r="AF2123" s="48"/>
      <c r="AG2123" s="48"/>
      <c r="AH2123" s="48"/>
      <c r="AI2123" s="48"/>
      <c r="AJ2123" s="48"/>
      <c r="AK2123" s="48"/>
      <c r="AL2123" s="48"/>
      <c r="AM2123" s="48"/>
      <c r="AN2123" s="48"/>
      <c r="AO2123" s="48"/>
      <c r="AP2123" s="48"/>
      <c r="AQ2123" s="48"/>
      <c r="AR2123" s="48"/>
      <c r="AS2123" s="48"/>
      <c r="AT2123" s="48"/>
      <c r="AU2123" s="48"/>
      <c r="AV2123" s="48"/>
      <c r="AW2123" s="48"/>
      <c r="AX2123" s="48"/>
      <c r="AY2123" s="48"/>
      <c r="AZ2123" s="48"/>
      <c r="BA2123" s="48"/>
      <c r="BB2123" s="48"/>
      <c r="BC2123" s="48"/>
      <c r="BD2123" s="48"/>
    </row>
    <row r="2124" spans="1:56">
      <c r="A2124" s="48"/>
      <c r="B2124" s="48"/>
      <c r="C2124" s="49"/>
      <c r="D2124" s="48"/>
      <c r="E2124" s="48"/>
      <c r="F2124" s="48"/>
      <c r="G2124" s="48"/>
      <c r="H2124" s="48"/>
      <c r="I2124" s="48"/>
      <c r="J2124" s="86"/>
      <c r="K2124" s="86"/>
      <c r="L2124" s="86"/>
      <c r="M2124" s="86"/>
      <c r="N2124" s="86"/>
      <c r="O2124" s="86"/>
      <c r="P2124" s="86"/>
      <c r="Q2124" s="86"/>
      <c r="R2124" s="86"/>
      <c r="S2124" s="86"/>
      <c r="T2124" s="86"/>
      <c r="U2124" s="86"/>
      <c r="V2124" s="48"/>
      <c r="W2124" s="48"/>
      <c r="X2124" s="48"/>
      <c r="Y2124" s="48"/>
      <c r="Z2124" s="48"/>
      <c r="AA2124" s="48"/>
      <c r="AB2124" s="48"/>
      <c r="AC2124" s="48"/>
      <c r="AD2124" s="48"/>
      <c r="AE2124" s="48"/>
      <c r="AF2124" s="48"/>
      <c r="AG2124" s="48"/>
      <c r="AH2124" s="48"/>
      <c r="AI2124" s="48"/>
      <c r="AJ2124" s="48"/>
      <c r="AK2124" s="48"/>
      <c r="AL2124" s="48"/>
      <c r="AM2124" s="48"/>
      <c r="AN2124" s="48"/>
      <c r="AO2124" s="48"/>
      <c r="AP2124" s="48"/>
      <c r="AQ2124" s="48"/>
      <c r="AR2124" s="48"/>
      <c r="AS2124" s="48"/>
      <c r="AT2124" s="48"/>
      <c r="AU2124" s="48"/>
      <c r="AV2124" s="48"/>
      <c r="AW2124" s="48"/>
      <c r="AX2124" s="48"/>
      <c r="AY2124" s="48"/>
      <c r="AZ2124" s="48"/>
      <c r="BA2124" s="48"/>
      <c r="BB2124" s="48"/>
      <c r="BC2124" s="48"/>
      <c r="BD2124" s="48"/>
    </row>
    <row r="2125" spans="1:56">
      <c r="A2125" s="48"/>
      <c r="B2125" s="48"/>
      <c r="C2125" s="49"/>
      <c r="D2125" s="48"/>
      <c r="E2125" s="48"/>
      <c r="F2125" s="48"/>
      <c r="G2125" s="48"/>
      <c r="H2125" s="48"/>
      <c r="I2125" s="48"/>
      <c r="J2125" s="86"/>
      <c r="K2125" s="86"/>
      <c r="L2125" s="86"/>
      <c r="M2125" s="86"/>
      <c r="N2125" s="86"/>
      <c r="O2125" s="86"/>
      <c r="P2125" s="86"/>
      <c r="Q2125" s="86"/>
      <c r="R2125" s="86"/>
      <c r="S2125" s="86"/>
      <c r="T2125" s="86"/>
      <c r="U2125" s="86"/>
      <c r="V2125" s="48"/>
      <c r="W2125" s="48"/>
      <c r="X2125" s="48"/>
      <c r="Y2125" s="48"/>
      <c r="Z2125" s="48"/>
      <c r="AA2125" s="48"/>
      <c r="AB2125" s="48"/>
      <c r="AC2125" s="48"/>
      <c r="AD2125" s="48"/>
      <c r="AE2125" s="48"/>
      <c r="AF2125" s="48"/>
      <c r="AG2125" s="48"/>
      <c r="AH2125" s="48"/>
      <c r="AI2125" s="48"/>
      <c r="AJ2125" s="48"/>
      <c r="AK2125" s="48"/>
      <c r="AL2125" s="48"/>
      <c r="AM2125" s="48"/>
      <c r="AN2125" s="48"/>
      <c r="AO2125" s="48"/>
      <c r="AP2125" s="48"/>
      <c r="AQ2125" s="48"/>
      <c r="AR2125" s="48"/>
      <c r="AS2125" s="48"/>
      <c r="AT2125" s="48"/>
      <c r="AU2125" s="48"/>
      <c r="AV2125" s="48"/>
      <c r="AW2125" s="48"/>
      <c r="AX2125" s="48"/>
      <c r="AY2125" s="48"/>
      <c r="AZ2125" s="48"/>
      <c r="BA2125" s="48"/>
      <c r="BB2125" s="48"/>
      <c r="BC2125" s="48"/>
      <c r="BD2125" s="48"/>
    </row>
    <row r="2126" spans="1:56">
      <c r="A2126" s="48"/>
      <c r="B2126" s="48"/>
      <c r="C2126" s="49"/>
      <c r="D2126" s="48"/>
      <c r="E2126" s="48"/>
      <c r="F2126" s="48"/>
      <c r="G2126" s="48"/>
      <c r="H2126" s="48"/>
      <c r="I2126" s="48"/>
      <c r="J2126" s="86"/>
      <c r="K2126" s="86"/>
      <c r="L2126" s="86"/>
      <c r="M2126" s="86"/>
      <c r="N2126" s="86"/>
      <c r="O2126" s="86"/>
      <c r="P2126" s="86"/>
      <c r="Q2126" s="86"/>
      <c r="R2126" s="86"/>
      <c r="S2126" s="86"/>
      <c r="T2126" s="86"/>
      <c r="U2126" s="86"/>
      <c r="V2126" s="48"/>
      <c r="W2126" s="48"/>
      <c r="X2126" s="48"/>
      <c r="Y2126" s="48"/>
      <c r="Z2126" s="48"/>
      <c r="AA2126" s="48"/>
      <c r="AB2126" s="48"/>
      <c r="AC2126" s="48"/>
      <c r="AD2126" s="48"/>
      <c r="AE2126" s="48"/>
      <c r="AF2126" s="48"/>
      <c r="AG2126" s="48"/>
      <c r="AH2126" s="48"/>
      <c r="AI2126" s="48"/>
      <c r="AJ2126" s="48"/>
      <c r="AK2126" s="48"/>
      <c r="AL2126" s="48"/>
      <c r="AM2126" s="48"/>
      <c r="AN2126" s="48"/>
      <c r="AO2126" s="48"/>
      <c r="AP2126" s="48"/>
      <c r="AQ2126" s="48"/>
      <c r="AR2126" s="48"/>
      <c r="AS2126" s="48"/>
      <c r="AT2126" s="48"/>
      <c r="AU2126" s="48"/>
      <c r="AV2126" s="48"/>
      <c r="AW2126" s="48"/>
      <c r="AX2126" s="48"/>
      <c r="AY2126" s="48"/>
      <c r="AZ2126" s="48"/>
      <c r="BA2126" s="48"/>
      <c r="BB2126" s="48"/>
      <c r="BC2126" s="48"/>
      <c r="BD2126" s="48"/>
    </row>
    <row r="2127" spans="1:56">
      <c r="A2127" s="48"/>
      <c r="B2127" s="48"/>
      <c r="C2127" s="49"/>
      <c r="D2127" s="48"/>
      <c r="E2127" s="48"/>
      <c r="F2127" s="48"/>
      <c r="G2127" s="48"/>
      <c r="H2127" s="48"/>
      <c r="I2127" s="48"/>
      <c r="J2127" s="86"/>
      <c r="K2127" s="86"/>
      <c r="L2127" s="86"/>
      <c r="M2127" s="86"/>
      <c r="N2127" s="86"/>
      <c r="O2127" s="86"/>
      <c r="P2127" s="86"/>
      <c r="Q2127" s="86"/>
      <c r="R2127" s="86"/>
      <c r="S2127" s="86"/>
      <c r="T2127" s="86"/>
      <c r="U2127" s="86"/>
      <c r="V2127" s="48"/>
      <c r="W2127" s="48"/>
      <c r="X2127" s="48"/>
      <c r="Y2127" s="48"/>
      <c r="Z2127" s="48"/>
      <c r="AA2127" s="48"/>
      <c r="AB2127" s="48"/>
      <c r="AC2127" s="48"/>
      <c r="AD2127" s="48"/>
      <c r="AE2127" s="48"/>
      <c r="AF2127" s="48"/>
      <c r="AG2127" s="48"/>
      <c r="AH2127" s="48"/>
      <c r="AI2127" s="48"/>
      <c r="AJ2127" s="48"/>
      <c r="AK2127" s="48"/>
      <c r="AL2127" s="48"/>
      <c r="AM2127" s="48"/>
      <c r="AN2127" s="48"/>
      <c r="AO2127" s="48"/>
      <c r="AP2127" s="48"/>
      <c r="AQ2127" s="48"/>
      <c r="AR2127" s="48"/>
      <c r="AS2127" s="48"/>
      <c r="AT2127" s="48"/>
      <c r="AU2127" s="48"/>
      <c r="AV2127" s="48"/>
      <c r="AW2127" s="48"/>
      <c r="AX2127" s="48"/>
      <c r="AY2127" s="48"/>
      <c r="AZ2127" s="48"/>
      <c r="BA2127" s="48"/>
      <c r="BB2127" s="48"/>
      <c r="BC2127" s="48"/>
      <c r="BD2127" s="48"/>
    </row>
    <row r="2128" spans="1:56">
      <c r="A2128" s="48"/>
      <c r="B2128" s="48"/>
      <c r="C2128" s="49"/>
      <c r="D2128" s="48"/>
      <c r="E2128" s="48"/>
      <c r="F2128" s="48"/>
      <c r="G2128" s="48"/>
      <c r="H2128" s="48"/>
      <c r="I2128" s="48"/>
      <c r="J2128" s="86"/>
      <c r="K2128" s="86"/>
      <c r="L2128" s="86"/>
      <c r="M2128" s="86"/>
      <c r="N2128" s="86"/>
      <c r="O2128" s="86"/>
      <c r="P2128" s="86"/>
      <c r="Q2128" s="86"/>
      <c r="R2128" s="86"/>
      <c r="S2128" s="86"/>
      <c r="T2128" s="86"/>
      <c r="U2128" s="86"/>
      <c r="V2128" s="48"/>
      <c r="W2128" s="48"/>
      <c r="X2128" s="48"/>
      <c r="Y2128" s="48"/>
      <c r="Z2128" s="48"/>
      <c r="AA2128" s="48"/>
      <c r="AB2128" s="48"/>
      <c r="AC2128" s="48"/>
      <c r="AD2128" s="48"/>
      <c r="AE2128" s="48"/>
      <c r="AF2128" s="48"/>
      <c r="AG2128" s="48"/>
      <c r="AH2128" s="48"/>
      <c r="AI2128" s="48"/>
      <c r="AJ2128" s="48"/>
      <c r="AK2128" s="48"/>
      <c r="AL2128" s="48"/>
      <c r="AM2128" s="48"/>
      <c r="AN2128" s="48"/>
      <c r="AO2128" s="48"/>
      <c r="AP2128" s="48"/>
      <c r="AQ2128" s="48"/>
      <c r="AR2128" s="48"/>
      <c r="AS2128" s="48"/>
      <c r="AT2128" s="48"/>
      <c r="AU2128" s="48"/>
      <c r="AV2128" s="48"/>
      <c r="AW2128" s="48"/>
      <c r="AX2128" s="48"/>
      <c r="AY2128" s="48"/>
      <c r="AZ2128" s="48"/>
      <c r="BA2128" s="48"/>
      <c r="BB2128" s="48"/>
      <c r="BC2128" s="48"/>
      <c r="BD2128" s="48"/>
    </row>
    <row r="2129" spans="1:56">
      <c r="A2129" s="48"/>
      <c r="B2129" s="48"/>
      <c r="C2129" s="49"/>
      <c r="D2129" s="48"/>
      <c r="E2129" s="48"/>
      <c r="F2129" s="48"/>
      <c r="G2129" s="48"/>
      <c r="H2129" s="48"/>
      <c r="I2129" s="48"/>
      <c r="J2129" s="86"/>
      <c r="K2129" s="86"/>
      <c r="L2129" s="86"/>
      <c r="M2129" s="86"/>
      <c r="N2129" s="86"/>
      <c r="O2129" s="86"/>
      <c r="P2129" s="86"/>
      <c r="Q2129" s="86"/>
      <c r="R2129" s="86"/>
      <c r="S2129" s="86"/>
      <c r="T2129" s="86"/>
      <c r="U2129" s="86"/>
      <c r="V2129" s="48"/>
      <c r="W2129" s="48"/>
      <c r="X2129" s="48"/>
      <c r="Y2129" s="48"/>
      <c r="Z2129" s="48"/>
      <c r="AA2129" s="48"/>
      <c r="AB2129" s="48"/>
      <c r="AC2129" s="48"/>
      <c r="AD2129" s="48"/>
      <c r="AE2129" s="48"/>
      <c r="AF2129" s="48"/>
      <c r="AG2129" s="48"/>
      <c r="AH2129" s="48"/>
      <c r="AI2129" s="48"/>
      <c r="AJ2129" s="48"/>
      <c r="AK2129" s="48"/>
      <c r="AL2129" s="48"/>
      <c r="AM2129" s="48"/>
      <c r="AN2129" s="48"/>
      <c r="AO2129" s="48"/>
      <c r="AP2129" s="48"/>
      <c r="AQ2129" s="48"/>
      <c r="AR2129" s="48"/>
      <c r="AS2129" s="48"/>
      <c r="AT2129" s="48"/>
      <c r="AU2129" s="48"/>
      <c r="AV2129" s="48"/>
      <c r="AW2129" s="48"/>
      <c r="AX2129" s="48"/>
      <c r="AY2129" s="48"/>
      <c r="AZ2129" s="48"/>
      <c r="BA2129" s="48"/>
      <c r="BB2129" s="48"/>
      <c r="BC2129" s="48"/>
      <c r="BD2129" s="48"/>
    </row>
    <row r="2130" spans="1:56">
      <c r="A2130" s="48"/>
      <c r="B2130" s="48"/>
      <c r="C2130" s="49"/>
      <c r="D2130" s="48"/>
      <c r="E2130" s="48"/>
      <c r="F2130" s="48"/>
      <c r="G2130" s="48"/>
      <c r="H2130" s="48"/>
      <c r="I2130" s="48"/>
      <c r="J2130" s="86"/>
      <c r="K2130" s="86"/>
      <c r="L2130" s="86"/>
      <c r="M2130" s="86"/>
      <c r="N2130" s="86"/>
      <c r="O2130" s="86"/>
      <c r="P2130" s="86"/>
      <c r="Q2130" s="86"/>
      <c r="R2130" s="86"/>
      <c r="S2130" s="86"/>
      <c r="T2130" s="86"/>
      <c r="U2130" s="86"/>
      <c r="V2130" s="48"/>
      <c r="W2130" s="48"/>
      <c r="X2130" s="48"/>
      <c r="Y2130" s="48"/>
      <c r="Z2130" s="48"/>
      <c r="AA2130" s="48"/>
      <c r="AB2130" s="48"/>
      <c r="AC2130" s="48"/>
      <c r="AD2130" s="48"/>
      <c r="AE2130" s="48"/>
      <c r="AF2130" s="48"/>
      <c r="AG2130" s="48"/>
      <c r="AH2130" s="48"/>
      <c r="AI2130" s="48"/>
      <c r="AJ2130" s="48"/>
      <c r="AK2130" s="48"/>
      <c r="AL2130" s="48"/>
      <c r="AM2130" s="48"/>
      <c r="AN2130" s="48"/>
      <c r="AO2130" s="48"/>
      <c r="AP2130" s="48"/>
      <c r="AQ2130" s="48"/>
      <c r="AR2130" s="48"/>
      <c r="AS2130" s="48"/>
      <c r="AT2130" s="48"/>
      <c r="AU2130" s="48"/>
      <c r="AV2130" s="48"/>
      <c r="AW2130" s="48"/>
      <c r="AX2130" s="48"/>
      <c r="AY2130" s="48"/>
      <c r="AZ2130" s="48"/>
      <c r="BA2130" s="48"/>
      <c r="BB2130" s="48"/>
      <c r="BC2130" s="48"/>
      <c r="BD2130" s="48"/>
    </row>
    <row r="2131" spans="1:56">
      <c r="A2131" s="48"/>
      <c r="B2131" s="48"/>
      <c r="C2131" s="49"/>
      <c r="D2131" s="48"/>
      <c r="E2131" s="48"/>
      <c r="F2131" s="48"/>
      <c r="G2131" s="48"/>
      <c r="H2131" s="48"/>
      <c r="I2131" s="48"/>
      <c r="J2131" s="86"/>
      <c r="K2131" s="86"/>
      <c r="L2131" s="86"/>
      <c r="M2131" s="86"/>
      <c r="N2131" s="86"/>
      <c r="O2131" s="86"/>
      <c r="P2131" s="86"/>
      <c r="Q2131" s="86"/>
      <c r="R2131" s="86"/>
      <c r="S2131" s="86"/>
      <c r="T2131" s="86"/>
      <c r="U2131" s="86"/>
      <c r="V2131" s="48"/>
      <c r="W2131" s="48"/>
      <c r="X2131" s="48"/>
      <c r="Y2131" s="48"/>
      <c r="Z2131" s="48"/>
      <c r="AA2131" s="48"/>
      <c r="AB2131" s="48"/>
      <c r="AC2131" s="48"/>
      <c r="AD2131" s="48"/>
      <c r="AE2131" s="48"/>
      <c r="AF2131" s="48"/>
      <c r="AG2131" s="48"/>
      <c r="AH2131" s="48"/>
      <c r="AI2131" s="48"/>
      <c r="AJ2131" s="48"/>
      <c r="AK2131" s="48"/>
      <c r="AL2131" s="48"/>
      <c r="AM2131" s="48"/>
      <c r="AN2131" s="48"/>
      <c r="AO2131" s="48"/>
      <c r="AP2131" s="48"/>
      <c r="AQ2131" s="48"/>
      <c r="AR2131" s="48"/>
      <c r="AS2131" s="48"/>
      <c r="AT2131" s="48"/>
      <c r="AU2131" s="48"/>
      <c r="AV2131" s="48"/>
      <c r="AW2131" s="48"/>
      <c r="AX2131" s="48"/>
      <c r="AY2131" s="48"/>
      <c r="AZ2131" s="48"/>
      <c r="BA2131" s="48"/>
      <c r="BB2131" s="48"/>
      <c r="BC2131" s="48"/>
      <c r="BD2131" s="48"/>
    </row>
    <row r="2132" spans="1:56">
      <c r="A2132" s="48"/>
      <c r="B2132" s="48"/>
      <c r="C2132" s="49"/>
      <c r="D2132" s="48"/>
      <c r="E2132" s="48"/>
      <c r="F2132" s="48"/>
      <c r="G2132" s="48"/>
      <c r="H2132" s="48"/>
      <c r="I2132" s="48"/>
      <c r="J2132" s="86"/>
      <c r="K2132" s="86"/>
      <c r="L2132" s="86"/>
      <c r="M2132" s="86"/>
      <c r="N2132" s="86"/>
      <c r="O2132" s="86"/>
      <c r="P2132" s="86"/>
      <c r="Q2132" s="86"/>
      <c r="R2132" s="86"/>
      <c r="S2132" s="86"/>
      <c r="T2132" s="86"/>
      <c r="U2132" s="86"/>
      <c r="V2132" s="48"/>
      <c r="W2132" s="48"/>
      <c r="X2132" s="48"/>
      <c r="Y2132" s="48"/>
      <c r="Z2132" s="48"/>
      <c r="AA2132" s="48"/>
      <c r="AB2132" s="48"/>
      <c r="AC2132" s="48"/>
      <c r="AD2132" s="48"/>
      <c r="AE2132" s="48"/>
      <c r="AF2132" s="48"/>
      <c r="AG2132" s="48"/>
      <c r="AH2132" s="48"/>
      <c r="AI2132" s="48"/>
      <c r="AJ2132" s="48"/>
      <c r="AK2132" s="48"/>
      <c r="AL2132" s="48"/>
      <c r="AM2132" s="48"/>
      <c r="AN2132" s="48"/>
      <c r="AO2132" s="48"/>
      <c r="AP2132" s="48"/>
      <c r="AQ2132" s="48"/>
      <c r="AR2132" s="48"/>
      <c r="AS2132" s="48"/>
      <c r="AT2132" s="48"/>
      <c r="AU2132" s="48"/>
      <c r="AV2132" s="48"/>
      <c r="AW2132" s="48"/>
      <c r="AX2132" s="48"/>
      <c r="AY2132" s="48"/>
      <c r="AZ2132" s="48"/>
      <c r="BA2132" s="48"/>
      <c r="BB2132" s="48"/>
      <c r="BC2132" s="48"/>
      <c r="BD2132" s="48"/>
    </row>
    <row r="2133" spans="1:56">
      <c r="A2133" s="48"/>
      <c r="B2133" s="48"/>
      <c r="C2133" s="49"/>
      <c r="D2133" s="48"/>
      <c r="E2133" s="48"/>
      <c r="F2133" s="48"/>
      <c r="G2133" s="48"/>
      <c r="H2133" s="48"/>
      <c r="I2133" s="48"/>
      <c r="J2133" s="86"/>
      <c r="K2133" s="86"/>
      <c r="L2133" s="86"/>
      <c r="M2133" s="86"/>
      <c r="N2133" s="86"/>
      <c r="O2133" s="86"/>
      <c r="P2133" s="86"/>
      <c r="Q2133" s="86"/>
      <c r="R2133" s="86"/>
      <c r="S2133" s="86"/>
      <c r="T2133" s="86"/>
      <c r="U2133" s="86"/>
      <c r="V2133" s="48"/>
      <c r="W2133" s="48"/>
      <c r="X2133" s="48"/>
      <c r="Y2133" s="48"/>
      <c r="Z2133" s="48"/>
      <c r="AA2133" s="48"/>
      <c r="AB2133" s="48"/>
      <c r="AC2133" s="48"/>
      <c r="AD2133" s="48"/>
      <c r="AE2133" s="48"/>
      <c r="AF2133" s="48"/>
      <c r="AG2133" s="48"/>
      <c r="AH2133" s="48"/>
      <c r="AI2133" s="48"/>
      <c r="AJ2133" s="48"/>
      <c r="AK2133" s="48"/>
      <c r="AL2133" s="48"/>
      <c r="AM2133" s="48"/>
      <c r="AN2133" s="48"/>
      <c r="AO2133" s="48"/>
      <c r="AP2133" s="48"/>
      <c r="AQ2133" s="48"/>
      <c r="AR2133" s="48"/>
      <c r="AS2133" s="48"/>
      <c r="AT2133" s="48"/>
      <c r="AU2133" s="48"/>
      <c r="AV2133" s="48"/>
      <c r="AW2133" s="48"/>
      <c r="AX2133" s="48"/>
      <c r="AY2133" s="48"/>
      <c r="AZ2133" s="48"/>
      <c r="BA2133" s="48"/>
      <c r="BB2133" s="48"/>
      <c r="BC2133" s="48"/>
      <c r="BD2133" s="48"/>
    </row>
    <row r="2134" spans="1:56">
      <c r="A2134" s="48"/>
      <c r="B2134" s="48"/>
      <c r="C2134" s="49"/>
      <c r="D2134" s="48"/>
      <c r="E2134" s="48"/>
      <c r="F2134" s="48"/>
      <c r="G2134" s="48"/>
      <c r="H2134" s="48"/>
      <c r="I2134" s="48"/>
      <c r="J2134" s="86"/>
      <c r="K2134" s="86"/>
      <c r="L2134" s="86"/>
      <c r="M2134" s="86"/>
      <c r="N2134" s="86"/>
      <c r="O2134" s="86"/>
      <c r="P2134" s="86"/>
      <c r="Q2134" s="86"/>
      <c r="R2134" s="86"/>
      <c r="S2134" s="86"/>
      <c r="T2134" s="86"/>
      <c r="U2134" s="86"/>
      <c r="V2134" s="48"/>
      <c r="W2134" s="48"/>
      <c r="X2134" s="48"/>
      <c r="Y2134" s="48"/>
      <c r="Z2134" s="48"/>
      <c r="AA2134" s="48"/>
      <c r="AB2134" s="48"/>
      <c r="AC2134" s="48"/>
      <c r="AD2134" s="48"/>
      <c r="AE2134" s="48"/>
      <c r="AF2134" s="48"/>
      <c r="AG2134" s="48"/>
      <c r="AH2134" s="48"/>
      <c r="AI2134" s="48"/>
      <c r="AJ2134" s="48"/>
      <c r="AK2134" s="48"/>
      <c r="AL2134" s="48"/>
      <c r="AM2134" s="48"/>
      <c r="AN2134" s="48"/>
      <c r="AO2134" s="48"/>
      <c r="AP2134" s="48"/>
      <c r="AQ2134" s="48"/>
      <c r="AR2134" s="48"/>
      <c r="AS2134" s="48"/>
      <c r="AT2134" s="48"/>
      <c r="AU2134" s="48"/>
      <c r="AV2134" s="48"/>
      <c r="AW2134" s="48"/>
      <c r="AX2134" s="48"/>
      <c r="AY2134" s="48"/>
      <c r="AZ2134" s="48"/>
      <c r="BA2134" s="48"/>
      <c r="BB2134" s="48"/>
      <c r="BC2134" s="48"/>
      <c r="BD2134" s="48"/>
    </row>
    <row r="2135" spans="1:56">
      <c r="A2135" s="48"/>
      <c r="B2135" s="48"/>
      <c r="C2135" s="49"/>
      <c r="D2135" s="48"/>
      <c r="E2135" s="48"/>
      <c r="F2135" s="48"/>
      <c r="G2135" s="48"/>
      <c r="H2135" s="48"/>
      <c r="I2135" s="48"/>
      <c r="J2135" s="86"/>
      <c r="K2135" s="86"/>
      <c r="L2135" s="86"/>
      <c r="M2135" s="86"/>
      <c r="N2135" s="86"/>
      <c r="O2135" s="86"/>
      <c r="P2135" s="86"/>
      <c r="Q2135" s="86"/>
      <c r="R2135" s="86"/>
      <c r="S2135" s="86"/>
      <c r="T2135" s="86"/>
      <c r="U2135" s="86"/>
      <c r="V2135" s="48"/>
      <c r="W2135" s="48"/>
      <c r="X2135" s="48"/>
      <c r="Y2135" s="48"/>
      <c r="Z2135" s="48"/>
      <c r="AA2135" s="48"/>
      <c r="AB2135" s="48"/>
      <c r="AC2135" s="48"/>
      <c r="AD2135" s="48"/>
      <c r="AE2135" s="48"/>
      <c r="AF2135" s="48"/>
      <c r="AG2135" s="48"/>
      <c r="AH2135" s="48"/>
      <c r="AI2135" s="48"/>
      <c r="AJ2135" s="48"/>
      <c r="AK2135" s="48"/>
      <c r="AL2135" s="48"/>
      <c r="AM2135" s="48"/>
      <c r="AN2135" s="48"/>
      <c r="AO2135" s="48"/>
      <c r="AP2135" s="48"/>
      <c r="AQ2135" s="48"/>
      <c r="AR2135" s="48"/>
      <c r="AS2135" s="48"/>
      <c r="AT2135" s="48"/>
      <c r="AU2135" s="48"/>
      <c r="AV2135" s="48"/>
      <c r="AW2135" s="48"/>
      <c r="AX2135" s="48"/>
      <c r="AY2135" s="48"/>
      <c r="AZ2135" s="48"/>
      <c r="BA2135" s="48"/>
      <c r="BB2135" s="48"/>
      <c r="BC2135" s="48"/>
      <c r="BD2135" s="48"/>
    </row>
    <row r="2136" spans="1:56">
      <c r="A2136" s="48"/>
      <c r="B2136" s="48"/>
      <c r="C2136" s="49"/>
      <c r="D2136" s="48"/>
      <c r="E2136" s="48"/>
      <c r="F2136" s="48"/>
      <c r="G2136" s="48"/>
      <c r="H2136" s="48"/>
      <c r="I2136" s="48"/>
      <c r="J2136" s="86"/>
      <c r="K2136" s="86"/>
      <c r="L2136" s="86"/>
      <c r="M2136" s="86"/>
      <c r="N2136" s="86"/>
      <c r="O2136" s="86"/>
      <c r="P2136" s="86"/>
      <c r="Q2136" s="86"/>
      <c r="R2136" s="86"/>
      <c r="S2136" s="86"/>
      <c r="T2136" s="86"/>
      <c r="U2136" s="86"/>
      <c r="V2136" s="48"/>
      <c r="W2136" s="48"/>
      <c r="X2136" s="48"/>
      <c r="Y2136" s="48"/>
      <c r="Z2136" s="48"/>
      <c r="AA2136" s="48"/>
      <c r="AB2136" s="48"/>
      <c r="AC2136" s="48"/>
      <c r="AD2136" s="48"/>
      <c r="AE2136" s="48"/>
      <c r="AF2136" s="48"/>
      <c r="AG2136" s="48"/>
      <c r="AH2136" s="48"/>
      <c r="AI2136" s="48"/>
      <c r="AJ2136" s="48"/>
      <c r="AK2136" s="48"/>
      <c r="AL2136" s="48"/>
      <c r="AM2136" s="48"/>
      <c r="AN2136" s="48"/>
      <c r="AO2136" s="48"/>
      <c r="AP2136" s="48"/>
      <c r="AQ2136" s="48"/>
      <c r="AR2136" s="48"/>
      <c r="AS2136" s="48"/>
      <c r="AT2136" s="48"/>
      <c r="AU2136" s="48"/>
      <c r="AV2136" s="48"/>
      <c r="AW2136" s="48"/>
      <c r="AX2136" s="48"/>
      <c r="AY2136" s="48"/>
      <c r="AZ2136" s="48"/>
      <c r="BA2136" s="48"/>
      <c r="BB2136" s="48"/>
      <c r="BC2136" s="48"/>
      <c r="BD2136" s="48"/>
    </row>
    <row r="2137" spans="1:56">
      <c r="A2137" s="48"/>
      <c r="B2137" s="48"/>
      <c r="C2137" s="49"/>
      <c r="D2137" s="48"/>
      <c r="E2137" s="48"/>
      <c r="F2137" s="48"/>
      <c r="G2137" s="48"/>
      <c r="H2137" s="48"/>
      <c r="I2137" s="48"/>
      <c r="J2137" s="86"/>
      <c r="K2137" s="86"/>
      <c r="L2137" s="86"/>
      <c r="M2137" s="86"/>
      <c r="N2137" s="86"/>
      <c r="O2137" s="86"/>
      <c r="P2137" s="86"/>
      <c r="Q2137" s="86"/>
      <c r="R2137" s="86"/>
      <c r="S2137" s="86"/>
      <c r="T2137" s="86"/>
      <c r="U2137" s="86"/>
      <c r="V2137" s="48"/>
      <c r="W2137" s="48"/>
      <c r="X2137" s="48"/>
      <c r="Y2137" s="48"/>
      <c r="Z2137" s="48"/>
      <c r="AA2137" s="48"/>
      <c r="AB2137" s="48"/>
      <c r="AC2137" s="48"/>
      <c r="AD2137" s="48"/>
      <c r="AE2137" s="48"/>
      <c r="AF2137" s="48"/>
      <c r="AG2137" s="48"/>
      <c r="AH2137" s="48"/>
      <c r="AI2137" s="48"/>
      <c r="AJ2137" s="48"/>
      <c r="AK2137" s="48"/>
      <c r="AL2137" s="48"/>
      <c r="AM2137" s="48"/>
      <c r="AN2137" s="48"/>
      <c r="AO2137" s="48"/>
      <c r="AP2137" s="48"/>
      <c r="AQ2137" s="48"/>
      <c r="AR2137" s="48"/>
      <c r="AS2137" s="48"/>
      <c r="AT2137" s="48"/>
      <c r="AU2137" s="48"/>
      <c r="AV2137" s="48"/>
      <c r="AW2137" s="48"/>
      <c r="AX2137" s="48"/>
      <c r="AY2137" s="48"/>
      <c r="AZ2137" s="48"/>
      <c r="BA2137" s="48"/>
      <c r="BB2137" s="48"/>
      <c r="BC2137" s="48"/>
      <c r="BD2137" s="48"/>
    </row>
    <row r="2138" spans="1:56">
      <c r="A2138" s="48"/>
      <c r="B2138" s="48"/>
      <c r="C2138" s="49"/>
      <c r="D2138" s="48"/>
      <c r="E2138" s="48"/>
      <c r="F2138" s="48"/>
      <c r="G2138" s="48"/>
      <c r="H2138" s="48"/>
      <c r="I2138" s="48"/>
      <c r="J2138" s="86"/>
      <c r="K2138" s="86"/>
      <c r="L2138" s="86"/>
      <c r="M2138" s="86"/>
      <c r="N2138" s="86"/>
      <c r="O2138" s="86"/>
      <c r="P2138" s="86"/>
      <c r="Q2138" s="86"/>
      <c r="R2138" s="86"/>
      <c r="S2138" s="86"/>
      <c r="T2138" s="86"/>
      <c r="U2138" s="86"/>
      <c r="V2138" s="48"/>
      <c r="W2138" s="48"/>
      <c r="X2138" s="48"/>
      <c r="Y2138" s="48"/>
      <c r="Z2138" s="48"/>
      <c r="AA2138" s="48"/>
      <c r="AB2138" s="48"/>
      <c r="AC2138" s="48"/>
      <c r="AD2138" s="48"/>
      <c r="AE2138" s="48"/>
      <c r="AF2138" s="48"/>
      <c r="AG2138" s="48"/>
      <c r="AH2138" s="48"/>
      <c r="AI2138" s="48"/>
      <c r="AJ2138" s="48"/>
      <c r="AK2138" s="48"/>
      <c r="AL2138" s="48"/>
      <c r="AM2138" s="48"/>
      <c r="AN2138" s="48"/>
      <c r="AO2138" s="48"/>
      <c r="AP2138" s="48"/>
      <c r="AQ2138" s="48"/>
      <c r="AR2138" s="48"/>
      <c r="AS2138" s="48"/>
      <c r="AT2138" s="48"/>
      <c r="AU2138" s="48"/>
      <c r="AV2138" s="48"/>
      <c r="AW2138" s="48"/>
      <c r="AX2138" s="48"/>
      <c r="AY2138" s="48"/>
      <c r="AZ2138" s="48"/>
      <c r="BA2138" s="48"/>
      <c r="BB2138" s="48"/>
      <c r="BC2138" s="48"/>
      <c r="BD2138" s="48"/>
    </row>
    <row r="2139" spans="1:56">
      <c r="A2139" s="48"/>
      <c r="B2139" s="48"/>
      <c r="C2139" s="49"/>
      <c r="D2139" s="48"/>
      <c r="E2139" s="48"/>
      <c r="F2139" s="48"/>
      <c r="G2139" s="48"/>
      <c r="H2139" s="48"/>
      <c r="I2139" s="48"/>
      <c r="J2139" s="86"/>
      <c r="K2139" s="86"/>
      <c r="L2139" s="86"/>
      <c r="M2139" s="86"/>
      <c r="N2139" s="86"/>
      <c r="O2139" s="86"/>
      <c r="P2139" s="86"/>
      <c r="Q2139" s="86"/>
      <c r="R2139" s="86"/>
      <c r="S2139" s="86"/>
      <c r="T2139" s="86"/>
      <c r="U2139" s="86"/>
      <c r="V2139" s="48"/>
      <c r="W2139" s="48"/>
      <c r="X2139" s="48"/>
      <c r="Y2139" s="48"/>
      <c r="Z2139" s="48"/>
      <c r="AA2139" s="48"/>
      <c r="AB2139" s="48"/>
      <c r="AC2139" s="48"/>
      <c r="AD2139" s="48"/>
      <c r="AE2139" s="48"/>
      <c r="AF2139" s="48"/>
      <c r="AG2139" s="48"/>
      <c r="AH2139" s="48"/>
      <c r="AI2139" s="48"/>
      <c r="AJ2139" s="48"/>
      <c r="AK2139" s="48"/>
      <c r="AL2139" s="48"/>
      <c r="AM2139" s="48"/>
      <c r="AN2139" s="48"/>
      <c r="AO2139" s="48"/>
      <c r="AP2139" s="48"/>
      <c r="AQ2139" s="48"/>
      <c r="AR2139" s="48"/>
      <c r="AS2139" s="48"/>
      <c r="AT2139" s="48"/>
      <c r="AU2139" s="48"/>
      <c r="AV2139" s="48"/>
      <c r="AW2139" s="48"/>
      <c r="AX2139" s="48"/>
      <c r="AY2139" s="48"/>
      <c r="AZ2139" s="48"/>
      <c r="BA2139" s="48"/>
      <c r="BB2139" s="48"/>
      <c r="BC2139" s="48"/>
      <c r="BD2139" s="48"/>
    </row>
    <row r="2140" spans="1:56">
      <c r="A2140" s="48"/>
      <c r="B2140" s="48"/>
      <c r="C2140" s="49"/>
      <c r="D2140" s="48"/>
      <c r="E2140" s="48"/>
      <c r="F2140" s="48"/>
      <c r="G2140" s="48"/>
      <c r="H2140" s="48"/>
      <c r="I2140" s="48"/>
      <c r="J2140" s="86"/>
      <c r="K2140" s="86"/>
      <c r="L2140" s="86"/>
      <c r="M2140" s="86"/>
      <c r="N2140" s="86"/>
      <c r="O2140" s="86"/>
      <c r="P2140" s="86"/>
      <c r="Q2140" s="86"/>
      <c r="R2140" s="86"/>
      <c r="S2140" s="86"/>
      <c r="T2140" s="86"/>
      <c r="U2140" s="86"/>
      <c r="V2140" s="48"/>
      <c r="W2140" s="48"/>
      <c r="X2140" s="48"/>
      <c r="Y2140" s="48"/>
      <c r="Z2140" s="48"/>
      <c r="AA2140" s="48"/>
      <c r="AB2140" s="48"/>
      <c r="AC2140" s="48"/>
      <c r="AD2140" s="48"/>
      <c r="AE2140" s="48"/>
      <c r="AF2140" s="48"/>
      <c r="AG2140" s="48"/>
      <c r="AH2140" s="48"/>
      <c r="AI2140" s="48"/>
      <c r="AJ2140" s="48"/>
      <c r="AK2140" s="48"/>
      <c r="AL2140" s="48"/>
      <c r="AM2140" s="48"/>
      <c r="AN2140" s="48"/>
      <c r="AO2140" s="48"/>
      <c r="AP2140" s="48"/>
      <c r="AQ2140" s="48"/>
      <c r="AR2140" s="48"/>
      <c r="AS2140" s="48"/>
      <c r="AT2140" s="48"/>
      <c r="AU2140" s="48"/>
      <c r="AV2140" s="48"/>
      <c r="AW2140" s="48"/>
      <c r="AX2140" s="48"/>
      <c r="AY2140" s="48"/>
      <c r="AZ2140" s="48"/>
      <c r="BA2140" s="48"/>
      <c r="BB2140" s="48"/>
      <c r="BC2140" s="48"/>
      <c r="BD2140" s="48"/>
    </row>
    <row r="2141" spans="1:56">
      <c r="A2141" s="48"/>
      <c r="B2141" s="48"/>
      <c r="C2141" s="49"/>
      <c r="D2141" s="48"/>
      <c r="E2141" s="48"/>
      <c r="F2141" s="48"/>
      <c r="G2141" s="48"/>
      <c r="H2141" s="48"/>
      <c r="I2141" s="48"/>
      <c r="J2141" s="86"/>
      <c r="K2141" s="86"/>
      <c r="L2141" s="86"/>
      <c r="M2141" s="86"/>
      <c r="N2141" s="86"/>
      <c r="O2141" s="86"/>
      <c r="P2141" s="86"/>
      <c r="Q2141" s="86"/>
      <c r="R2141" s="86"/>
      <c r="S2141" s="86"/>
      <c r="T2141" s="86"/>
      <c r="U2141" s="86"/>
      <c r="V2141" s="48"/>
      <c r="W2141" s="48"/>
      <c r="X2141" s="48"/>
      <c r="Y2141" s="48"/>
      <c r="Z2141" s="48"/>
      <c r="AA2141" s="48"/>
      <c r="AB2141" s="48"/>
      <c r="AC2141" s="48"/>
      <c r="AD2141" s="48"/>
      <c r="AE2141" s="48"/>
      <c r="AF2141" s="48"/>
      <c r="AG2141" s="48"/>
      <c r="AH2141" s="48"/>
      <c r="AI2141" s="48"/>
      <c r="AJ2141" s="48"/>
      <c r="AK2141" s="48"/>
      <c r="AL2141" s="48"/>
      <c r="AM2141" s="48"/>
      <c r="AN2141" s="48"/>
      <c r="AO2141" s="48"/>
      <c r="AP2141" s="48"/>
      <c r="AQ2141" s="48"/>
      <c r="AR2141" s="48"/>
      <c r="AS2141" s="48"/>
      <c r="AT2141" s="48"/>
      <c r="AU2141" s="48"/>
      <c r="AV2141" s="48"/>
      <c r="AW2141" s="48"/>
      <c r="AX2141" s="48"/>
      <c r="AY2141" s="48"/>
      <c r="AZ2141" s="48"/>
      <c r="BA2141" s="48"/>
      <c r="BB2141" s="48"/>
      <c r="BC2141" s="48"/>
      <c r="BD2141" s="48"/>
    </row>
    <row r="2142" spans="1:56">
      <c r="A2142" s="48"/>
      <c r="B2142" s="48"/>
      <c r="C2142" s="49"/>
      <c r="D2142" s="48"/>
      <c r="E2142" s="48"/>
      <c r="F2142" s="48"/>
      <c r="G2142" s="48"/>
      <c r="H2142" s="48"/>
      <c r="I2142" s="48"/>
      <c r="J2142" s="86"/>
      <c r="K2142" s="86"/>
      <c r="L2142" s="86"/>
      <c r="M2142" s="86"/>
      <c r="N2142" s="86"/>
      <c r="O2142" s="86"/>
      <c r="P2142" s="86"/>
      <c r="Q2142" s="86"/>
      <c r="R2142" s="86"/>
      <c r="S2142" s="86"/>
      <c r="T2142" s="86"/>
      <c r="U2142" s="86"/>
      <c r="V2142" s="48"/>
      <c r="W2142" s="48"/>
      <c r="X2142" s="48"/>
      <c r="Y2142" s="48"/>
      <c r="Z2142" s="48"/>
      <c r="AA2142" s="48"/>
      <c r="AB2142" s="48"/>
      <c r="AC2142" s="48"/>
      <c r="AD2142" s="48"/>
      <c r="AE2142" s="48"/>
      <c r="AF2142" s="48"/>
      <c r="AG2142" s="48"/>
      <c r="AH2142" s="48"/>
      <c r="AI2142" s="48"/>
      <c r="AJ2142" s="48"/>
      <c r="AK2142" s="48"/>
      <c r="AL2142" s="48"/>
      <c r="AM2142" s="48"/>
      <c r="AN2142" s="48"/>
      <c r="AO2142" s="48"/>
      <c r="AP2142" s="48"/>
      <c r="AQ2142" s="48"/>
      <c r="AR2142" s="48"/>
      <c r="AS2142" s="48"/>
      <c r="AT2142" s="48"/>
      <c r="AU2142" s="48"/>
      <c r="AV2142" s="48"/>
      <c r="AW2142" s="48"/>
      <c r="AX2142" s="48"/>
      <c r="AY2142" s="48"/>
      <c r="AZ2142" s="48"/>
      <c r="BA2142" s="48"/>
      <c r="BB2142" s="48"/>
      <c r="BC2142" s="48"/>
      <c r="BD2142" s="48"/>
    </row>
    <row r="2143" spans="1:56">
      <c r="A2143" s="48"/>
      <c r="B2143" s="48"/>
      <c r="C2143" s="49"/>
      <c r="D2143" s="48"/>
      <c r="E2143" s="48"/>
      <c r="F2143" s="48"/>
      <c r="G2143" s="48"/>
      <c r="H2143" s="48"/>
      <c r="I2143" s="48"/>
      <c r="J2143" s="86"/>
      <c r="K2143" s="86"/>
      <c r="L2143" s="86"/>
      <c r="M2143" s="86"/>
      <c r="N2143" s="86"/>
      <c r="O2143" s="86"/>
      <c r="P2143" s="86"/>
      <c r="Q2143" s="86"/>
      <c r="R2143" s="86"/>
      <c r="S2143" s="86"/>
      <c r="T2143" s="86"/>
      <c r="U2143" s="86"/>
      <c r="V2143" s="48"/>
      <c r="W2143" s="48"/>
      <c r="X2143" s="48"/>
      <c r="Y2143" s="48"/>
      <c r="Z2143" s="48"/>
      <c r="AA2143" s="48"/>
      <c r="AB2143" s="48"/>
      <c r="AC2143" s="48"/>
      <c r="AD2143" s="48"/>
      <c r="AE2143" s="48"/>
      <c r="AF2143" s="48"/>
      <c r="AG2143" s="48"/>
      <c r="AH2143" s="48"/>
      <c r="AI2143" s="48"/>
      <c r="AJ2143" s="48"/>
      <c r="AK2143" s="48"/>
      <c r="AL2143" s="48"/>
      <c r="AM2143" s="48"/>
      <c r="AN2143" s="48"/>
      <c r="AO2143" s="48"/>
      <c r="AP2143" s="48"/>
      <c r="AQ2143" s="48"/>
      <c r="AR2143" s="48"/>
      <c r="AS2143" s="48"/>
      <c r="AT2143" s="48"/>
      <c r="AU2143" s="48"/>
      <c r="AV2143" s="48"/>
      <c r="AW2143" s="48"/>
      <c r="AX2143" s="48"/>
      <c r="AY2143" s="48"/>
      <c r="AZ2143" s="48"/>
      <c r="BA2143" s="48"/>
      <c r="BB2143" s="48"/>
      <c r="BC2143" s="48"/>
      <c r="BD2143" s="48"/>
    </row>
    <row r="2144" spans="1:56">
      <c r="A2144" s="48"/>
      <c r="B2144" s="48"/>
      <c r="C2144" s="49"/>
      <c r="D2144" s="48"/>
      <c r="E2144" s="48"/>
      <c r="F2144" s="48"/>
      <c r="G2144" s="48"/>
      <c r="H2144" s="48"/>
      <c r="I2144" s="48"/>
      <c r="J2144" s="86"/>
      <c r="K2144" s="86"/>
      <c r="L2144" s="86"/>
      <c r="M2144" s="86"/>
      <c r="N2144" s="86"/>
      <c r="O2144" s="86"/>
      <c r="P2144" s="86"/>
      <c r="Q2144" s="86"/>
      <c r="R2144" s="86"/>
      <c r="S2144" s="86"/>
      <c r="T2144" s="86"/>
      <c r="U2144" s="86"/>
      <c r="V2144" s="48"/>
      <c r="W2144" s="48"/>
      <c r="X2144" s="48"/>
      <c r="Y2144" s="48"/>
      <c r="Z2144" s="48"/>
      <c r="AA2144" s="48"/>
      <c r="AB2144" s="48"/>
      <c r="AC2144" s="48"/>
      <c r="AD2144" s="48"/>
      <c r="AE2144" s="48"/>
      <c r="AF2144" s="48"/>
      <c r="AG2144" s="48"/>
      <c r="AH2144" s="48"/>
      <c r="AI2144" s="48"/>
      <c r="AJ2144" s="48"/>
      <c r="AK2144" s="48"/>
      <c r="AL2144" s="48"/>
      <c r="AM2144" s="48"/>
      <c r="AN2144" s="48"/>
      <c r="AO2144" s="48"/>
      <c r="AP2144" s="48"/>
      <c r="AQ2144" s="48"/>
      <c r="AR2144" s="48"/>
      <c r="AS2144" s="48"/>
      <c r="AT2144" s="48"/>
      <c r="AU2144" s="48"/>
      <c r="AV2144" s="48"/>
      <c r="AW2144" s="48"/>
      <c r="AX2144" s="48"/>
      <c r="AY2144" s="48"/>
      <c r="AZ2144" s="48"/>
      <c r="BA2144" s="48"/>
      <c r="BB2144" s="48"/>
      <c r="BC2144" s="48"/>
      <c r="BD2144" s="48"/>
    </row>
    <row r="2145" spans="1:56">
      <c r="A2145" s="48"/>
      <c r="B2145" s="48"/>
      <c r="C2145" s="49"/>
      <c r="D2145" s="48"/>
      <c r="E2145" s="48"/>
      <c r="F2145" s="48"/>
      <c r="G2145" s="48"/>
      <c r="H2145" s="48"/>
      <c r="I2145" s="48"/>
      <c r="J2145" s="86"/>
      <c r="K2145" s="86"/>
      <c r="L2145" s="86"/>
      <c r="M2145" s="86"/>
      <c r="N2145" s="86"/>
      <c r="O2145" s="86"/>
      <c r="P2145" s="86"/>
      <c r="Q2145" s="86"/>
      <c r="R2145" s="86"/>
      <c r="S2145" s="86"/>
      <c r="T2145" s="86"/>
      <c r="U2145" s="86"/>
      <c r="V2145" s="48"/>
      <c r="W2145" s="48"/>
      <c r="X2145" s="48"/>
      <c r="Y2145" s="48"/>
      <c r="Z2145" s="48"/>
      <c r="AA2145" s="48"/>
      <c r="AB2145" s="48"/>
      <c r="AC2145" s="48"/>
      <c r="AD2145" s="48"/>
      <c r="AE2145" s="48"/>
      <c r="AF2145" s="48"/>
      <c r="AG2145" s="48"/>
      <c r="AH2145" s="48"/>
      <c r="AI2145" s="48"/>
      <c r="AJ2145" s="48"/>
      <c r="AK2145" s="48"/>
      <c r="AL2145" s="48"/>
      <c r="AM2145" s="48"/>
      <c r="AN2145" s="48"/>
      <c r="AO2145" s="48"/>
      <c r="AP2145" s="48"/>
      <c r="AQ2145" s="48"/>
      <c r="AR2145" s="48"/>
      <c r="AS2145" s="48"/>
      <c r="AT2145" s="48"/>
      <c r="AU2145" s="48"/>
      <c r="AV2145" s="48"/>
      <c r="AW2145" s="48"/>
      <c r="AX2145" s="48"/>
      <c r="AY2145" s="48"/>
      <c r="AZ2145" s="48"/>
      <c r="BA2145" s="48"/>
      <c r="BB2145" s="48"/>
      <c r="BC2145" s="48"/>
      <c r="BD2145" s="48"/>
    </row>
    <row r="2146" spans="1:56">
      <c r="A2146" s="48"/>
      <c r="B2146" s="48"/>
      <c r="C2146" s="49"/>
      <c r="D2146" s="48"/>
      <c r="E2146" s="48"/>
      <c r="F2146" s="48"/>
      <c r="G2146" s="48"/>
      <c r="H2146" s="48"/>
      <c r="I2146" s="48"/>
      <c r="J2146" s="86"/>
      <c r="K2146" s="86"/>
      <c r="L2146" s="86"/>
      <c r="M2146" s="86"/>
      <c r="N2146" s="86"/>
      <c r="O2146" s="86"/>
      <c r="P2146" s="86"/>
      <c r="Q2146" s="86"/>
      <c r="R2146" s="86"/>
      <c r="S2146" s="86"/>
      <c r="T2146" s="86"/>
      <c r="U2146" s="86"/>
      <c r="V2146" s="48"/>
      <c r="W2146" s="48"/>
      <c r="X2146" s="48"/>
      <c r="Y2146" s="48"/>
      <c r="Z2146" s="48"/>
      <c r="AA2146" s="48"/>
      <c r="AB2146" s="48"/>
      <c r="AC2146" s="48"/>
      <c r="AD2146" s="48"/>
      <c r="AE2146" s="48"/>
      <c r="AF2146" s="48"/>
      <c r="AG2146" s="48"/>
      <c r="AH2146" s="48"/>
      <c r="AI2146" s="48"/>
      <c r="AJ2146" s="48"/>
      <c r="AK2146" s="48"/>
      <c r="AL2146" s="48"/>
      <c r="AM2146" s="48"/>
      <c r="AN2146" s="48"/>
      <c r="AO2146" s="48"/>
      <c r="AP2146" s="48"/>
      <c r="AQ2146" s="48"/>
      <c r="AR2146" s="48"/>
      <c r="AS2146" s="48"/>
      <c r="AT2146" s="48"/>
      <c r="AU2146" s="48"/>
      <c r="AV2146" s="48"/>
      <c r="AW2146" s="48"/>
      <c r="AX2146" s="48"/>
      <c r="AY2146" s="48"/>
      <c r="AZ2146" s="48"/>
      <c r="BA2146" s="48"/>
      <c r="BB2146" s="48"/>
      <c r="BC2146" s="48"/>
      <c r="BD2146" s="48"/>
    </row>
    <row r="2147" spans="1:56">
      <c r="A2147" s="48"/>
      <c r="B2147" s="48"/>
      <c r="C2147" s="49"/>
      <c r="D2147" s="48"/>
      <c r="E2147" s="48"/>
      <c r="F2147" s="48"/>
      <c r="G2147" s="48"/>
      <c r="H2147" s="48"/>
      <c r="I2147" s="48"/>
      <c r="J2147" s="86"/>
      <c r="K2147" s="86"/>
      <c r="L2147" s="86"/>
      <c r="M2147" s="86"/>
      <c r="N2147" s="86"/>
      <c r="O2147" s="86"/>
      <c r="P2147" s="86"/>
      <c r="Q2147" s="86"/>
      <c r="R2147" s="86"/>
      <c r="S2147" s="86"/>
      <c r="T2147" s="86"/>
      <c r="U2147" s="86"/>
      <c r="V2147" s="48"/>
      <c r="W2147" s="48"/>
      <c r="X2147" s="48"/>
      <c r="Y2147" s="48"/>
      <c r="Z2147" s="48"/>
      <c r="AA2147" s="48"/>
      <c r="AB2147" s="48"/>
      <c r="AC2147" s="48"/>
      <c r="AD2147" s="48"/>
      <c r="AE2147" s="48"/>
      <c r="AF2147" s="48"/>
      <c r="AG2147" s="48"/>
      <c r="AH2147" s="48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48"/>
      <c r="BB2147" s="48"/>
      <c r="BC2147" s="48"/>
      <c r="BD2147" s="48"/>
    </row>
    <row r="2148" spans="1:56">
      <c r="A2148" s="48"/>
      <c r="B2148" s="48"/>
      <c r="C2148" s="49"/>
      <c r="D2148" s="48"/>
      <c r="E2148" s="48"/>
      <c r="F2148" s="48"/>
      <c r="G2148" s="48"/>
      <c r="H2148" s="48"/>
      <c r="I2148" s="48"/>
      <c r="J2148" s="86"/>
      <c r="K2148" s="86"/>
      <c r="L2148" s="86"/>
      <c r="M2148" s="86"/>
      <c r="N2148" s="86"/>
      <c r="O2148" s="86"/>
      <c r="P2148" s="86"/>
      <c r="Q2148" s="86"/>
      <c r="R2148" s="86"/>
      <c r="S2148" s="86"/>
      <c r="T2148" s="86"/>
      <c r="U2148" s="86"/>
      <c r="V2148" s="48"/>
      <c r="W2148" s="48"/>
      <c r="X2148" s="48"/>
      <c r="Y2148" s="48"/>
      <c r="Z2148" s="48"/>
      <c r="AA2148" s="48"/>
      <c r="AB2148" s="48"/>
      <c r="AC2148" s="48"/>
      <c r="AD2148" s="48"/>
      <c r="AE2148" s="48"/>
      <c r="AF2148" s="48"/>
      <c r="AG2148" s="48"/>
      <c r="AH2148" s="48"/>
      <c r="AI2148" s="48"/>
      <c r="AJ2148" s="48"/>
      <c r="AK2148" s="48"/>
      <c r="AL2148" s="48"/>
      <c r="AM2148" s="48"/>
      <c r="AN2148" s="48"/>
      <c r="AO2148" s="48"/>
      <c r="AP2148" s="48"/>
      <c r="AQ2148" s="48"/>
      <c r="AR2148" s="48"/>
      <c r="AS2148" s="48"/>
      <c r="AT2148" s="48"/>
      <c r="AU2148" s="48"/>
      <c r="AV2148" s="48"/>
      <c r="AW2148" s="48"/>
      <c r="AX2148" s="48"/>
      <c r="AY2148" s="48"/>
      <c r="AZ2148" s="48"/>
      <c r="BA2148" s="48"/>
      <c r="BB2148" s="48"/>
      <c r="BC2148" s="48"/>
      <c r="BD2148" s="48"/>
    </row>
    <row r="2149" spans="1:56">
      <c r="A2149" s="48"/>
      <c r="B2149" s="48"/>
      <c r="C2149" s="49"/>
      <c r="D2149" s="48"/>
      <c r="E2149" s="48"/>
      <c r="F2149" s="48"/>
      <c r="G2149" s="48"/>
      <c r="H2149" s="48"/>
      <c r="I2149" s="48"/>
      <c r="J2149" s="86"/>
      <c r="K2149" s="86"/>
      <c r="L2149" s="86"/>
      <c r="M2149" s="86"/>
      <c r="N2149" s="86"/>
      <c r="O2149" s="86"/>
      <c r="P2149" s="86"/>
      <c r="Q2149" s="86"/>
      <c r="R2149" s="86"/>
      <c r="S2149" s="86"/>
      <c r="T2149" s="86"/>
      <c r="U2149" s="86"/>
      <c r="V2149" s="48"/>
      <c r="W2149" s="48"/>
      <c r="X2149" s="48"/>
      <c r="Y2149" s="48"/>
      <c r="Z2149" s="48"/>
      <c r="AA2149" s="48"/>
      <c r="AB2149" s="48"/>
      <c r="AC2149" s="48"/>
      <c r="AD2149" s="48"/>
      <c r="AE2149" s="48"/>
      <c r="AF2149" s="48"/>
      <c r="AG2149" s="48"/>
      <c r="AH2149" s="48"/>
      <c r="AI2149" s="48"/>
      <c r="AJ2149" s="48"/>
      <c r="AK2149" s="48"/>
      <c r="AL2149" s="48"/>
      <c r="AM2149" s="48"/>
      <c r="AN2149" s="48"/>
      <c r="AO2149" s="48"/>
      <c r="AP2149" s="48"/>
      <c r="AQ2149" s="48"/>
      <c r="AR2149" s="48"/>
      <c r="AS2149" s="48"/>
      <c r="AT2149" s="48"/>
      <c r="AU2149" s="48"/>
      <c r="AV2149" s="48"/>
      <c r="AW2149" s="48"/>
      <c r="AX2149" s="48"/>
      <c r="AY2149" s="48"/>
      <c r="AZ2149" s="48"/>
      <c r="BA2149" s="48"/>
      <c r="BB2149" s="48"/>
      <c r="BC2149" s="48"/>
      <c r="BD2149" s="48"/>
    </row>
    <row r="2150" spans="1:56">
      <c r="A2150" s="48"/>
      <c r="B2150" s="48"/>
      <c r="C2150" s="49"/>
      <c r="D2150" s="48"/>
      <c r="E2150" s="48"/>
      <c r="F2150" s="48"/>
      <c r="G2150" s="48"/>
      <c r="H2150" s="48"/>
      <c r="I2150" s="48"/>
      <c r="J2150" s="86"/>
      <c r="K2150" s="86"/>
      <c r="L2150" s="86"/>
      <c r="M2150" s="86"/>
      <c r="N2150" s="86"/>
      <c r="O2150" s="86"/>
      <c r="P2150" s="86"/>
      <c r="Q2150" s="86"/>
      <c r="R2150" s="86"/>
      <c r="S2150" s="86"/>
      <c r="T2150" s="86"/>
      <c r="U2150" s="86"/>
      <c r="V2150" s="48"/>
      <c r="W2150" s="48"/>
      <c r="X2150" s="48"/>
      <c r="Y2150" s="48"/>
      <c r="Z2150" s="48"/>
      <c r="AA2150" s="48"/>
      <c r="AB2150" s="48"/>
      <c r="AC2150" s="48"/>
      <c r="AD2150" s="48"/>
      <c r="AE2150" s="48"/>
      <c r="AF2150" s="48"/>
      <c r="AG2150" s="48"/>
      <c r="AH2150" s="48"/>
      <c r="AI2150" s="48"/>
      <c r="AJ2150" s="48"/>
      <c r="AK2150" s="48"/>
      <c r="AL2150" s="48"/>
      <c r="AM2150" s="48"/>
      <c r="AN2150" s="48"/>
      <c r="AO2150" s="48"/>
      <c r="AP2150" s="48"/>
      <c r="AQ2150" s="48"/>
      <c r="AR2150" s="48"/>
      <c r="AS2150" s="48"/>
      <c r="AT2150" s="48"/>
      <c r="AU2150" s="48"/>
      <c r="AV2150" s="48"/>
      <c r="AW2150" s="48"/>
      <c r="AX2150" s="48"/>
      <c r="AY2150" s="48"/>
      <c r="AZ2150" s="48"/>
      <c r="BA2150" s="48"/>
      <c r="BB2150" s="48"/>
      <c r="BC2150" s="48"/>
      <c r="BD2150" s="48"/>
    </row>
    <row r="2151" spans="1:56">
      <c r="A2151" s="48"/>
      <c r="B2151" s="48"/>
      <c r="C2151" s="49"/>
      <c r="D2151" s="48"/>
      <c r="E2151" s="48"/>
      <c r="F2151" s="48"/>
      <c r="G2151" s="48"/>
      <c r="H2151" s="48"/>
      <c r="I2151" s="48"/>
      <c r="J2151" s="86"/>
      <c r="K2151" s="86"/>
      <c r="L2151" s="86"/>
      <c r="M2151" s="86"/>
      <c r="N2151" s="86"/>
      <c r="O2151" s="86"/>
      <c r="P2151" s="86"/>
      <c r="Q2151" s="86"/>
      <c r="R2151" s="86"/>
      <c r="S2151" s="86"/>
      <c r="T2151" s="86"/>
      <c r="U2151" s="86"/>
      <c r="V2151" s="48"/>
      <c r="W2151" s="48"/>
      <c r="X2151" s="48"/>
      <c r="Y2151" s="48"/>
      <c r="Z2151" s="48"/>
      <c r="AA2151" s="48"/>
      <c r="AB2151" s="48"/>
      <c r="AC2151" s="48"/>
      <c r="AD2151" s="48"/>
      <c r="AE2151" s="48"/>
      <c r="AF2151" s="48"/>
      <c r="AG2151" s="48"/>
      <c r="AH2151" s="48"/>
      <c r="AI2151" s="48"/>
      <c r="AJ2151" s="48"/>
      <c r="AK2151" s="48"/>
      <c r="AL2151" s="48"/>
      <c r="AM2151" s="48"/>
      <c r="AN2151" s="48"/>
      <c r="AO2151" s="48"/>
      <c r="AP2151" s="48"/>
      <c r="AQ2151" s="48"/>
      <c r="AR2151" s="48"/>
      <c r="AS2151" s="48"/>
      <c r="AT2151" s="48"/>
      <c r="AU2151" s="48"/>
      <c r="AV2151" s="48"/>
      <c r="AW2151" s="48"/>
      <c r="AX2151" s="48"/>
      <c r="AY2151" s="48"/>
      <c r="AZ2151" s="48"/>
      <c r="BA2151" s="48"/>
      <c r="BB2151" s="48"/>
      <c r="BC2151" s="48"/>
      <c r="BD2151" s="48"/>
    </row>
    <row r="2152" spans="1:56">
      <c r="A2152" s="48"/>
      <c r="B2152" s="48"/>
      <c r="C2152" s="49"/>
      <c r="D2152" s="48"/>
      <c r="E2152" s="48"/>
      <c r="F2152" s="48"/>
      <c r="G2152" s="48"/>
      <c r="H2152" s="48"/>
      <c r="I2152" s="48"/>
      <c r="J2152" s="86"/>
      <c r="K2152" s="86"/>
      <c r="L2152" s="86"/>
      <c r="M2152" s="86"/>
      <c r="N2152" s="86"/>
      <c r="O2152" s="86"/>
      <c r="P2152" s="86"/>
      <c r="Q2152" s="86"/>
      <c r="R2152" s="86"/>
      <c r="S2152" s="86"/>
      <c r="T2152" s="86"/>
      <c r="U2152" s="86"/>
      <c r="V2152" s="48"/>
      <c r="W2152" s="48"/>
      <c r="X2152" s="48"/>
      <c r="Y2152" s="48"/>
      <c r="Z2152" s="48"/>
      <c r="AA2152" s="48"/>
      <c r="AB2152" s="48"/>
      <c r="AC2152" s="48"/>
      <c r="AD2152" s="48"/>
      <c r="AE2152" s="48"/>
      <c r="AF2152" s="48"/>
      <c r="AG2152" s="48"/>
      <c r="AH2152" s="48"/>
      <c r="AI2152" s="48"/>
      <c r="AJ2152" s="48"/>
      <c r="AK2152" s="48"/>
      <c r="AL2152" s="48"/>
      <c r="AM2152" s="48"/>
      <c r="AN2152" s="48"/>
      <c r="AO2152" s="48"/>
      <c r="AP2152" s="48"/>
      <c r="AQ2152" s="48"/>
      <c r="AR2152" s="48"/>
      <c r="AS2152" s="48"/>
      <c r="AT2152" s="48"/>
      <c r="AU2152" s="48"/>
      <c r="AV2152" s="48"/>
      <c r="AW2152" s="48"/>
      <c r="AX2152" s="48"/>
      <c r="AY2152" s="48"/>
      <c r="AZ2152" s="48"/>
      <c r="BA2152" s="48"/>
      <c r="BB2152" s="48"/>
      <c r="BC2152" s="48"/>
      <c r="BD2152" s="48"/>
    </row>
    <row r="2153" spans="1:56">
      <c r="A2153" s="48"/>
      <c r="B2153" s="48"/>
      <c r="C2153" s="49"/>
      <c r="D2153" s="48"/>
      <c r="E2153" s="48"/>
      <c r="F2153" s="48"/>
      <c r="G2153" s="48"/>
      <c r="H2153" s="48"/>
      <c r="I2153" s="48"/>
      <c r="J2153" s="86"/>
      <c r="K2153" s="86"/>
      <c r="L2153" s="86"/>
      <c r="M2153" s="86"/>
      <c r="N2153" s="86"/>
      <c r="O2153" s="86"/>
      <c r="P2153" s="86"/>
      <c r="Q2153" s="86"/>
      <c r="R2153" s="86"/>
      <c r="S2153" s="86"/>
      <c r="T2153" s="86"/>
      <c r="U2153" s="86"/>
      <c r="V2153" s="48"/>
      <c r="W2153" s="48"/>
      <c r="X2153" s="48"/>
      <c r="Y2153" s="48"/>
      <c r="Z2153" s="48"/>
      <c r="AA2153" s="48"/>
      <c r="AB2153" s="48"/>
      <c r="AC2153" s="48"/>
      <c r="AD2153" s="48"/>
      <c r="AE2153" s="48"/>
      <c r="AF2153" s="48"/>
      <c r="AG2153" s="48"/>
      <c r="AH2153" s="48"/>
      <c r="AI2153" s="48"/>
      <c r="AJ2153" s="48"/>
      <c r="AK2153" s="48"/>
      <c r="AL2153" s="48"/>
      <c r="AM2153" s="48"/>
      <c r="AN2153" s="48"/>
      <c r="AO2153" s="48"/>
      <c r="AP2153" s="48"/>
      <c r="AQ2153" s="48"/>
      <c r="AR2153" s="48"/>
      <c r="AS2153" s="48"/>
      <c r="AT2153" s="48"/>
      <c r="AU2153" s="48"/>
      <c r="AV2153" s="48"/>
      <c r="AW2153" s="48"/>
      <c r="AX2153" s="48"/>
      <c r="AY2153" s="48"/>
      <c r="AZ2153" s="48"/>
      <c r="BA2153" s="48"/>
      <c r="BB2153" s="48"/>
      <c r="BC2153" s="48"/>
      <c r="BD2153" s="48"/>
    </row>
    <row r="2154" spans="1:56">
      <c r="A2154" s="48"/>
      <c r="B2154" s="48"/>
      <c r="C2154" s="49"/>
      <c r="D2154" s="48"/>
      <c r="E2154" s="48"/>
      <c r="F2154" s="48"/>
      <c r="G2154" s="48"/>
      <c r="H2154" s="48"/>
      <c r="I2154" s="48"/>
      <c r="J2154" s="86"/>
      <c r="K2154" s="86"/>
      <c r="L2154" s="86"/>
      <c r="M2154" s="86"/>
      <c r="N2154" s="86"/>
      <c r="O2154" s="86"/>
      <c r="P2154" s="86"/>
      <c r="Q2154" s="86"/>
      <c r="R2154" s="86"/>
      <c r="S2154" s="86"/>
      <c r="T2154" s="86"/>
      <c r="U2154" s="86"/>
      <c r="V2154" s="48"/>
      <c r="W2154" s="48"/>
      <c r="X2154" s="48"/>
      <c r="Y2154" s="48"/>
      <c r="Z2154" s="48"/>
      <c r="AA2154" s="48"/>
      <c r="AB2154" s="48"/>
      <c r="AC2154" s="48"/>
      <c r="AD2154" s="48"/>
      <c r="AE2154" s="48"/>
      <c r="AF2154" s="48"/>
      <c r="AG2154" s="48"/>
      <c r="AH2154" s="48"/>
      <c r="AI2154" s="48"/>
      <c r="AJ2154" s="48"/>
      <c r="AK2154" s="48"/>
      <c r="AL2154" s="48"/>
      <c r="AM2154" s="48"/>
      <c r="AN2154" s="48"/>
      <c r="AO2154" s="48"/>
      <c r="AP2154" s="48"/>
      <c r="AQ2154" s="48"/>
      <c r="AR2154" s="48"/>
      <c r="AS2154" s="48"/>
      <c r="AT2154" s="48"/>
      <c r="AU2154" s="48"/>
      <c r="AV2154" s="48"/>
      <c r="AW2154" s="48"/>
      <c r="AX2154" s="48"/>
      <c r="AY2154" s="48"/>
      <c r="AZ2154" s="48"/>
      <c r="BA2154" s="48"/>
      <c r="BB2154" s="48"/>
      <c r="BC2154" s="48"/>
      <c r="BD2154" s="48"/>
    </row>
    <row r="2155" spans="1:56">
      <c r="A2155" s="48"/>
      <c r="B2155" s="48"/>
      <c r="C2155" s="49"/>
      <c r="D2155" s="48"/>
      <c r="E2155" s="48"/>
      <c r="F2155" s="48"/>
      <c r="G2155" s="48"/>
      <c r="H2155" s="48"/>
      <c r="I2155" s="48"/>
      <c r="J2155" s="86"/>
      <c r="K2155" s="86"/>
      <c r="L2155" s="86"/>
      <c r="M2155" s="86"/>
      <c r="N2155" s="86"/>
      <c r="O2155" s="86"/>
      <c r="P2155" s="86"/>
      <c r="Q2155" s="86"/>
      <c r="R2155" s="86"/>
      <c r="S2155" s="86"/>
      <c r="T2155" s="86"/>
      <c r="U2155" s="86"/>
      <c r="V2155" s="48"/>
      <c r="W2155" s="48"/>
      <c r="X2155" s="48"/>
      <c r="Y2155" s="48"/>
      <c r="Z2155" s="48"/>
      <c r="AA2155" s="48"/>
      <c r="AB2155" s="48"/>
      <c r="AC2155" s="48"/>
      <c r="AD2155" s="48"/>
      <c r="AE2155" s="48"/>
      <c r="AF2155" s="48"/>
      <c r="AG2155" s="48"/>
      <c r="AH2155" s="48"/>
      <c r="AI2155" s="48"/>
      <c r="AJ2155" s="48"/>
      <c r="AK2155" s="48"/>
      <c r="AL2155" s="48"/>
      <c r="AM2155" s="48"/>
      <c r="AN2155" s="48"/>
      <c r="AO2155" s="48"/>
      <c r="AP2155" s="48"/>
      <c r="AQ2155" s="48"/>
      <c r="AR2155" s="48"/>
      <c r="AS2155" s="48"/>
      <c r="AT2155" s="48"/>
      <c r="AU2155" s="48"/>
      <c r="AV2155" s="48"/>
      <c r="AW2155" s="48"/>
      <c r="AX2155" s="48"/>
      <c r="AY2155" s="48"/>
      <c r="AZ2155" s="48"/>
      <c r="BA2155" s="48"/>
      <c r="BB2155" s="48"/>
      <c r="BC2155" s="48"/>
      <c r="BD2155" s="48"/>
    </row>
    <row r="2156" spans="1:56">
      <c r="A2156" s="48"/>
      <c r="B2156" s="48"/>
      <c r="C2156" s="49"/>
      <c r="D2156" s="48"/>
      <c r="E2156" s="48"/>
      <c r="F2156" s="48"/>
      <c r="G2156" s="48"/>
      <c r="H2156" s="48"/>
      <c r="I2156" s="48"/>
      <c r="J2156" s="86"/>
      <c r="K2156" s="86"/>
      <c r="L2156" s="86"/>
      <c r="M2156" s="86"/>
      <c r="N2156" s="86"/>
      <c r="O2156" s="86"/>
      <c r="P2156" s="86"/>
      <c r="Q2156" s="86"/>
      <c r="R2156" s="86"/>
      <c r="S2156" s="86"/>
      <c r="T2156" s="86"/>
      <c r="U2156" s="86"/>
      <c r="V2156" s="48"/>
      <c r="W2156" s="48"/>
      <c r="X2156" s="48"/>
      <c r="Y2156" s="48"/>
      <c r="Z2156" s="48"/>
      <c r="AA2156" s="48"/>
      <c r="AB2156" s="48"/>
      <c r="AC2156" s="48"/>
      <c r="AD2156" s="48"/>
      <c r="AE2156" s="48"/>
      <c r="AF2156" s="48"/>
      <c r="AG2156" s="48"/>
      <c r="AH2156" s="48"/>
      <c r="AI2156" s="48"/>
      <c r="AJ2156" s="48"/>
      <c r="AK2156" s="48"/>
      <c r="AL2156" s="48"/>
      <c r="AM2156" s="48"/>
      <c r="AN2156" s="48"/>
      <c r="AO2156" s="48"/>
      <c r="AP2156" s="48"/>
      <c r="AQ2156" s="48"/>
      <c r="AR2156" s="48"/>
      <c r="AS2156" s="48"/>
      <c r="AT2156" s="48"/>
      <c r="AU2156" s="48"/>
      <c r="AV2156" s="48"/>
      <c r="AW2156" s="48"/>
      <c r="AX2156" s="48"/>
      <c r="AY2156" s="48"/>
      <c r="AZ2156" s="48"/>
      <c r="BA2156" s="48"/>
      <c r="BB2156" s="48"/>
      <c r="BC2156" s="48"/>
      <c r="BD2156" s="48"/>
    </row>
    <row r="2157" spans="1:56">
      <c r="A2157" s="48"/>
      <c r="B2157" s="48"/>
      <c r="C2157" s="49"/>
      <c r="D2157" s="48"/>
      <c r="E2157" s="48"/>
      <c r="F2157" s="48"/>
      <c r="G2157" s="48"/>
      <c r="H2157" s="48"/>
      <c r="I2157" s="48"/>
      <c r="J2157" s="86"/>
      <c r="K2157" s="86"/>
      <c r="L2157" s="86"/>
      <c r="M2157" s="86"/>
      <c r="N2157" s="86"/>
      <c r="O2157" s="86"/>
      <c r="P2157" s="86"/>
      <c r="Q2157" s="86"/>
      <c r="R2157" s="86"/>
      <c r="S2157" s="86"/>
      <c r="T2157" s="86"/>
      <c r="U2157" s="86"/>
      <c r="V2157" s="48"/>
      <c r="W2157" s="48"/>
      <c r="X2157" s="48"/>
      <c r="Y2157" s="48"/>
      <c r="Z2157" s="48"/>
      <c r="AA2157" s="48"/>
      <c r="AB2157" s="48"/>
      <c r="AC2157" s="48"/>
      <c r="AD2157" s="48"/>
      <c r="AE2157" s="48"/>
      <c r="AF2157" s="48"/>
      <c r="AG2157" s="48"/>
      <c r="AH2157" s="48"/>
      <c r="AI2157" s="48"/>
      <c r="AJ2157" s="48"/>
      <c r="AK2157" s="48"/>
      <c r="AL2157" s="48"/>
      <c r="AM2157" s="48"/>
      <c r="AN2157" s="48"/>
      <c r="AO2157" s="48"/>
      <c r="AP2157" s="48"/>
      <c r="AQ2157" s="48"/>
      <c r="AR2157" s="48"/>
      <c r="AS2157" s="48"/>
      <c r="AT2157" s="48"/>
      <c r="AU2157" s="48"/>
      <c r="AV2157" s="48"/>
      <c r="AW2157" s="48"/>
      <c r="AX2157" s="48"/>
      <c r="AY2157" s="48"/>
      <c r="AZ2157" s="48"/>
      <c r="BA2157" s="48"/>
      <c r="BB2157" s="48"/>
      <c r="BC2157" s="48"/>
      <c r="BD2157" s="48"/>
    </row>
    <row r="2158" spans="1:56">
      <c r="A2158" s="48"/>
      <c r="B2158" s="48"/>
      <c r="C2158" s="49"/>
      <c r="D2158" s="48"/>
      <c r="E2158" s="48"/>
      <c r="F2158" s="48"/>
      <c r="G2158" s="48"/>
      <c r="H2158" s="48"/>
      <c r="I2158" s="48"/>
      <c r="J2158" s="86"/>
      <c r="K2158" s="86"/>
      <c r="L2158" s="86"/>
      <c r="M2158" s="86"/>
      <c r="N2158" s="86"/>
      <c r="O2158" s="86"/>
      <c r="P2158" s="86"/>
      <c r="Q2158" s="86"/>
      <c r="R2158" s="86"/>
      <c r="S2158" s="86"/>
      <c r="T2158" s="86"/>
      <c r="U2158" s="86"/>
      <c r="V2158" s="48"/>
      <c r="W2158" s="48"/>
      <c r="X2158" s="48"/>
      <c r="Y2158" s="48"/>
      <c r="Z2158" s="48"/>
      <c r="AA2158" s="48"/>
      <c r="AB2158" s="48"/>
      <c r="AC2158" s="48"/>
      <c r="AD2158" s="48"/>
      <c r="AE2158" s="48"/>
      <c r="AF2158" s="48"/>
      <c r="AG2158" s="48"/>
      <c r="AH2158" s="48"/>
      <c r="AI2158" s="48"/>
      <c r="AJ2158" s="48"/>
      <c r="AK2158" s="48"/>
      <c r="AL2158" s="48"/>
      <c r="AM2158" s="48"/>
      <c r="AN2158" s="48"/>
      <c r="AO2158" s="48"/>
      <c r="AP2158" s="48"/>
      <c r="AQ2158" s="48"/>
      <c r="AR2158" s="48"/>
      <c r="AS2158" s="48"/>
      <c r="AT2158" s="48"/>
      <c r="AU2158" s="48"/>
      <c r="AV2158" s="48"/>
      <c r="AW2158" s="48"/>
      <c r="AX2158" s="48"/>
      <c r="AY2158" s="48"/>
      <c r="AZ2158" s="48"/>
      <c r="BA2158" s="48"/>
      <c r="BB2158" s="48"/>
      <c r="BC2158" s="48"/>
      <c r="BD2158" s="48"/>
    </row>
    <row r="2159" spans="1:56">
      <c r="A2159" s="48"/>
      <c r="B2159" s="48"/>
      <c r="C2159" s="49"/>
      <c r="D2159" s="48"/>
      <c r="E2159" s="48"/>
      <c r="F2159" s="48"/>
      <c r="G2159" s="48"/>
      <c r="H2159" s="48"/>
      <c r="I2159" s="48"/>
      <c r="J2159" s="86"/>
      <c r="K2159" s="86"/>
      <c r="L2159" s="86"/>
      <c r="M2159" s="86"/>
      <c r="N2159" s="86"/>
      <c r="O2159" s="86"/>
      <c r="P2159" s="86"/>
      <c r="Q2159" s="86"/>
      <c r="R2159" s="86"/>
      <c r="S2159" s="86"/>
      <c r="T2159" s="86"/>
      <c r="U2159" s="86"/>
      <c r="V2159" s="48"/>
      <c r="W2159" s="48"/>
      <c r="X2159" s="48"/>
      <c r="Y2159" s="48"/>
      <c r="Z2159" s="48"/>
      <c r="AA2159" s="48"/>
      <c r="AB2159" s="48"/>
      <c r="AC2159" s="48"/>
      <c r="AD2159" s="48"/>
      <c r="AE2159" s="48"/>
      <c r="AF2159" s="48"/>
      <c r="AG2159" s="48"/>
      <c r="AH2159" s="48"/>
      <c r="AI2159" s="48"/>
      <c r="AJ2159" s="48"/>
      <c r="AK2159" s="48"/>
      <c r="AL2159" s="48"/>
      <c r="AM2159" s="48"/>
      <c r="AN2159" s="48"/>
      <c r="AO2159" s="48"/>
      <c r="AP2159" s="48"/>
      <c r="AQ2159" s="48"/>
      <c r="AR2159" s="48"/>
      <c r="AS2159" s="48"/>
      <c r="AT2159" s="48"/>
      <c r="AU2159" s="48"/>
      <c r="AV2159" s="48"/>
      <c r="AW2159" s="48"/>
      <c r="AX2159" s="48"/>
      <c r="AY2159" s="48"/>
      <c r="AZ2159" s="48"/>
      <c r="BA2159" s="48"/>
      <c r="BB2159" s="48"/>
      <c r="BC2159" s="48"/>
      <c r="BD2159" s="48"/>
    </row>
    <row r="2160" spans="1:56">
      <c r="A2160" s="48"/>
      <c r="B2160" s="48"/>
      <c r="C2160" s="49"/>
      <c r="D2160" s="48"/>
      <c r="E2160" s="48"/>
      <c r="F2160" s="48"/>
      <c r="G2160" s="48"/>
      <c r="H2160" s="48"/>
      <c r="I2160" s="48"/>
      <c r="J2160" s="86"/>
      <c r="K2160" s="86"/>
      <c r="L2160" s="86"/>
      <c r="M2160" s="86"/>
      <c r="N2160" s="86"/>
      <c r="O2160" s="86"/>
      <c r="P2160" s="86"/>
      <c r="Q2160" s="86"/>
      <c r="R2160" s="86"/>
      <c r="S2160" s="86"/>
      <c r="T2160" s="86"/>
      <c r="U2160" s="86"/>
      <c r="V2160" s="48"/>
      <c r="W2160" s="48"/>
      <c r="X2160" s="48"/>
      <c r="Y2160" s="48"/>
      <c r="Z2160" s="48"/>
      <c r="AA2160" s="48"/>
      <c r="AB2160" s="48"/>
      <c r="AC2160" s="48"/>
      <c r="AD2160" s="48"/>
      <c r="AE2160" s="48"/>
      <c r="AF2160" s="48"/>
      <c r="AG2160" s="48"/>
      <c r="AH2160" s="48"/>
      <c r="AI2160" s="48"/>
      <c r="AJ2160" s="48"/>
      <c r="AK2160" s="48"/>
      <c r="AL2160" s="48"/>
      <c r="AM2160" s="48"/>
      <c r="AN2160" s="48"/>
      <c r="AO2160" s="48"/>
      <c r="AP2160" s="48"/>
      <c r="AQ2160" s="48"/>
      <c r="AR2160" s="48"/>
      <c r="AS2160" s="48"/>
      <c r="AT2160" s="48"/>
      <c r="AU2160" s="48"/>
      <c r="AV2160" s="48"/>
      <c r="AW2160" s="48"/>
      <c r="AX2160" s="48"/>
      <c r="AY2160" s="48"/>
      <c r="AZ2160" s="48"/>
      <c r="BA2160" s="48"/>
      <c r="BB2160" s="48"/>
      <c r="BC2160" s="48"/>
      <c r="BD2160" s="48"/>
    </row>
    <row r="2161" spans="1:56">
      <c r="A2161" s="48"/>
      <c r="B2161" s="48"/>
      <c r="C2161" s="49"/>
      <c r="D2161" s="48"/>
      <c r="E2161" s="48"/>
      <c r="F2161" s="48"/>
      <c r="G2161" s="48"/>
      <c r="H2161" s="48"/>
      <c r="I2161" s="48"/>
      <c r="J2161" s="86"/>
      <c r="K2161" s="86"/>
      <c r="L2161" s="86"/>
      <c r="M2161" s="86"/>
      <c r="N2161" s="86"/>
      <c r="O2161" s="86"/>
      <c r="P2161" s="86"/>
      <c r="Q2161" s="86"/>
      <c r="R2161" s="86"/>
      <c r="S2161" s="86"/>
      <c r="T2161" s="86"/>
      <c r="U2161" s="86"/>
      <c r="V2161" s="48"/>
      <c r="W2161" s="48"/>
      <c r="X2161" s="48"/>
      <c r="Y2161" s="48"/>
      <c r="Z2161" s="48"/>
      <c r="AA2161" s="48"/>
      <c r="AB2161" s="48"/>
      <c r="AC2161" s="48"/>
      <c r="AD2161" s="48"/>
      <c r="AE2161" s="48"/>
      <c r="AF2161" s="48"/>
      <c r="AG2161" s="48"/>
      <c r="AH2161" s="48"/>
      <c r="AI2161" s="48"/>
      <c r="AJ2161" s="48"/>
      <c r="AK2161" s="48"/>
      <c r="AL2161" s="48"/>
      <c r="AM2161" s="48"/>
      <c r="AN2161" s="48"/>
      <c r="AO2161" s="48"/>
      <c r="AP2161" s="48"/>
      <c r="AQ2161" s="48"/>
      <c r="AR2161" s="48"/>
      <c r="AS2161" s="48"/>
      <c r="AT2161" s="48"/>
      <c r="AU2161" s="48"/>
      <c r="AV2161" s="48"/>
      <c r="AW2161" s="48"/>
      <c r="AX2161" s="48"/>
      <c r="AY2161" s="48"/>
      <c r="AZ2161" s="48"/>
      <c r="BA2161" s="48"/>
      <c r="BB2161" s="48"/>
      <c r="BC2161" s="48"/>
      <c r="BD2161" s="48"/>
    </row>
    <row r="2162" spans="1:56">
      <c r="A2162" s="48"/>
      <c r="B2162" s="48"/>
      <c r="C2162" s="49"/>
      <c r="D2162" s="48"/>
      <c r="E2162" s="48"/>
      <c r="F2162" s="48"/>
      <c r="G2162" s="48"/>
      <c r="H2162" s="48"/>
      <c r="I2162" s="48"/>
      <c r="J2162" s="86"/>
      <c r="K2162" s="86"/>
      <c r="L2162" s="86"/>
      <c r="M2162" s="86"/>
      <c r="N2162" s="86"/>
      <c r="O2162" s="86"/>
      <c r="P2162" s="86"/>
      <c r="Q2162" s="86"/>
      <c r="R2162" s="86"/>
      <c r="S2162" s="86"/>
      <c r="T2162" s="86"/>
      <c r="U2162" s="86"/>
      <c r="V2162" s="48"/>
      <c r="W2162" s="48"/>
      <c r="X2162" s="48"/>
      <c r="Y2162" s="48"/>
      <c r="Z2162" s="48"/>
      <c r="AA2162" s="48"/>
      <c r="AB2162" s="48"/>
      <c r="AC2162" s="48"/>
      <c r="AD2162" s="48"/>
      <c r="AE2162" s="48"/>
      <c r="AF2162" s="48"/>
      <c r="AG2162" s="48"/>
      <c r="AH2162" s="48"/>
      <c r="AI2162" s="48"/>
      <c r="AJ2162" s="48"/>
      <c r="AK2162" s="48"/>
      <c r="AL2162" s="48"/>
      <c r="AM2162" s="48"/>
      <c r="AN2162" s="48"/>
      <c r="AO2162" s="48"/>
      <c r="AP2162" s="48"/>
      <c r="AQ2162" s="48"/>
      <c r="AR2162" s="48"/>
      <c r="AS2162" s="48"/>
      <c r="AT2162" s="48"/>
      <c r="AU2162" s="48"/>
      <c r="AV2162" s="48"/>
      <c r="AW2162" s="48"/>
      <c r="AX2162" s="48"/>
      <c r="AY2162" s="48"/>
      <c r="AZ2162" s="48"/>
      <c r="BA2162" s="48"/>
      <c r="BB2162" s="48"/>
      <c r="BC2162" s="48"/>
      <c r="BD2162" s="48"/>
    </row>
    <row r="2163" spans="1:56">
      <c r="A2163" s="48"/>
      <c r="B2163" s="48"/>
      <c r="C2163" s="49"/>
      <c r="D2163" s="48"/>
      <c r="E2163" s="48"/>
      <c r="F2163" s="48"/>
      <c r="G2163" s="48"/>
      <c r="H2163" s="48"/>
      <c r="I2163" s="48"/>
      <c r="J2163" s="86"/>
      <c r="K2163" s="86"/>
      <c r="L2163" s="86"/>
      <c r="M2163" s="86"/>
      <c r="N2163" s="86"/>
      <c r="O2163" s="86"/>
      <c r="P2163" s="86"/>
      <c r="Q2163" s="86"/>
      <c r="R2163" s="86"/>
      <c r="S2163" s="86"/>
      <c r="T2163" s="86"/>
      <c r="U2163" s="86"/>
      <c r="V2163" s="48"/>
      <c r="W2163" s="48"/>
      <c r="X2163" s="48"/>
      <c r="Y2163" s="48"/>
      <c r="Z2163" s="48"/>
      <c r="AA2163" s="48"/>
      <c r="AB2163" s="48"/>
      <c r="AC2163" s="48"/>
      <c r="AD2163" s="48"/>
      <c r="AE2163" s="48"/>
      <c r="AF2163" s="48"/>
      <c r="AG2163" s="48"/>
      <c r="AH2163" s="48"/>
      <c r="AI2163" s="48"/>
      <c r="AJ2163" s="48"/>
      <c r="AK2163" s="48"/>
      <c r="AL2163" s="48"/>
      <c r="AM2163" s="48"/>
      <c r="AN2163" s="48"/>
      <c r="AO2163" s="48"/>
      <c r="AP2163" s="48"/>
      <c r="AQ2163" s="48"/>
      <c r="AR2163" s="48"/>
      <c r="AS2163" s="48"/>
      <c r="AT2163" s="48"/>
      <c r="AU2163" s="48"/>
      <c r="AV2163" s="48"/>
      <c r="AW2163" s="48"/>
      <c r="AX2163" s="48"/>
      <c r="AY2163" s="48"/>
      <c r="AZ2163" s="48"/>
      <c r="BA2163" s="48"/>
      <c r="BB2163" s="48"/>
      <c r="BC2163" s="48"/>
      <c r="BD2163" s="48"/>
    </row>
    <row r="2164" spans="1:56">
      <c r="A2164" s="48"/>
      <c r="B2164" s="48"/>
      <c r="C2164" s="49"/>
      <c r="D2164" s="48"/>
      <c r="E2164" s="48"/>
      <c r="F2164" s="48"/>
      <c r="G2164" s="48"/>
      <c r="H2164" s="48"/>
      <c r="I2164" s="48"/>
      <c r="J2164" s="86"/>
      <c r="K2164" s="86"/>
      <c r="L2164" s="86"/>
      <c r="M2164" s="86"/>
      <c r="N2164" s="86"/>
      <c r="O2164" s="86"/>
      <c r="P2164" s="86"/>
      <c r="Q2164" s="86"/>
      <c r="R2164" s="86"/>
      <c r="S2164" s="86"/>
      <c r="T2164" s="86"/>
      <c r="U2164" s="86"/>
      <c r="V2164" s="48"/>
      <c r="W2164" s="48"/>
      <c r="X2164" s="48"/>
      <c r="Y2164" s="48"/>
      <c r="Z2164" s="48"/>
      <c r="AA2164" s="48"/>
      <c r="AB2164" s="48"/>
      <c r="AC2164" s="48"/>
      <c r="AD2164" s="48"/>
      <c r="AE2164" s="48"/>
      <c r="AF2164" s="48"/>
      <c r="AG2164" s="48"/>
      <c r="AH2164" s="48"/>
      <c r="AI2164" s="48"/>
      <c r="AJ2164" s="48"/>
      <c r="AK2164" s="48"/>
      <c r="AL2164" s="48"/>
      <c r="AM2164" s="48"/>
      <c r="AN2164" s="48"/>
      <c r="AO2164" s="48"/>
      <c r="AP2164" s="48"/>
      <c r="AQ2164" s="48"/>
      <c r="AR2164" s="48"/>
      <c r="AS2164" s="48"/>
      <c r="AT2164" s="48"/>
      <c r="AU2164" s="48"/>
      <c r="AV2164" s="48"/>
      <c r="AW2164" s="48"/>
      <c r="AX2164" s="48"/>
      <c r="AY2164" s="48"/>
      <c r="AZ2164" s="48"/>
      <c r="BA2164" s="48"/>
      <c r="BB2164" s="48"/>
      <c r="BC2164" s="48"/>
      <c r="BD2164" s="48"/>
    </row>
    <row r="2165" spans="1:56">
      <c r="A2165" s="48"/>
      <c r="B2165" s="48"/>
      <c r="C2165" s="49"/>
      <c r="D2165" s="48"/>
      <c r="E2165" s="48"/>
      <c r="F2165" s="48"/>
      <c r="G2165" s="48"/>
      <c r="H2165" s="48"/>
      <c r="I2165" s="48"/>
      <c r="J2165" s="86"/>
      <c r="K2165" s="86"/>
      <c r="L2165" s="86"/>
      <c r="M2165" s="86"/>
      <c r="N2165" s="86"/>
      <c r="O2165" s="86"/>
      <c r="P2165" s="86"/>
      <c r="Q2165" s="86"/>
      <c r="R2165" s="86"/>
      <c r="S2165" s="86"/>
      <c r="T2165" s="86"/>
      <c r="U2165" s="86"/>
      <c r="V2165" s="48"/>
      <c r="W2165" s="48"/>
      <c r="X2165" s="48"/>
      <c r="Y2165" s="48"/>
      <c r="Z2165" s="48"/>
      <c r="AA2165" s="48"/>
      <c r="AB2165" s="48"/>
      <c r="AC2165" s="48"/>
      <c r="AD2165" s="48"/>
      <c r="AE2165" s="48"/>
      <c r="AF2165" s="48"/>
      <c r="AG2165" s="48"/>
      <c r="AH2165" s="48"/>
      <c r="AI2165" s="48"/>
      <c r="AJ2165" s="48"/>
      <c r="AK2165" s="48"/>
      <c r="AL2165" s="48"/>
      <c r="AM2165" s="48"/>
      <c r="AN2165" s="48"/>
      <c r="AO2165" s="48"/>
      <c r="AP2165" s="48"/>
      <c r="AQ2165" s="48"/>
      <c r="AR2165" s="48"/>
      <c r="AS2165" s="48"/>
      <c r="AT2165" s="48"/>
      <c r="AU2165" s="48"/>
      <c r="AV2165" s="48"/>
      <c r="AW2165" s="48"/>
      <c r="AX2165" s="48"/>
      <c r="AY2165" s="48"/>
      <c r="AZ2165" s="48"/>
      <c r="BA2165" s="48"/>
      <c r="BB2165" s="48"/>
      <c r="BC2165" s="48"/>
      <c r="BD2165" s="48"/>
    </row>
    <row r="2166" spans="1:56">
      <c r="A2166" s="48"/>
      <c r="B2166" s="48"/>
      <c r="C2166" s="49"/>
      <c r="D2166" s="48"/>
      <c r="E2166" s="48"/>
      <c r="F2166" s="48"/>
      <c r="G2166" s="48"/>
      <c r="H2166" s="48"/>
      <c r="I2166" s="48"/>
      <c r="J2166" s="86"/>
      <c r="K2166" s="86"/>
      <c r="L2166" s="86"/>
      <c r="M2166" s="86"/>
      <c r="N2166" s="86"/>
      <c r="O2166" s="86"/>
      <c r="P2166" s="86"/>
      <c r="Q2166" s="86"/>
      <c r="R2166" s="86"/>
      <c r="S2166" s="86"/>
      <c r="T2166" s="86"/>
      <c r="U2166" s="86"/>
      <c r="V2166" s="48"/>
      <c r="W2166" s="48"/>
      <c r="X2166" s="48"/>
      <c r="Y2166" s="48"/>
      <c r="Z2166" s="48"/>
      <c r="AA2166" s="48"/>
      <c r="AB2166" s="48"/>
      <c r="AC2166" s="48"/>
      <c r="AD2166" s="48"/>
      <c r="AE2166" s="48"/>
      <c r="AF2166" s="48"/>
      <c r="AG2166" s="48"/>
      <c r="AH2166" s="48"/>
      <c r="AI2166" s="48"/>
      <c r="AJ2166" s="48"/>
      <c r="AK2166" s="48"/>
      <c r="AL2166" s="48"/>
      <c r="AM2166" s="48"/>
      <c r="AN2166" s="48"/>
      <c r="AO2166" s="48"/>
      <c r="AP2166" s="48"/>
      <c r="AQ2166" s="48"/>
      <c r="AR2166" s="48"/>
      <c r="AS2166" s="48"/>
      <c r="AT2166" s="48"/>
      <c r="AU2166" s="48"/>
      <c r="AV2166" s="48"/>
      <c r="AW2166" s="48"/>
      <c r="AX2166" s="48"/>
      <c r="AY2166" s="48"/>
      <c r="AZ2166" s="48"/>
      <c r="BA2166" s="48"/>
      <c r="BB2166" s="48"/>
      <c r="BC2166" s="48"/>
      <c r="BD2166" s="48"/>
    </row>
    <row r="2167" spans="1:56">
      <c r="A2167" s="48"/>
      <c r="B2167" s="48"/>
      <c r="C2167" s="49"/>
      <c r="D2167" s="48"/>
      <c r="E2167" s="48"/>
      <c r="F2167" s="48"/>
      <c r="G2167" s="48"/>
      <c r="H2167" s="48"/>
      <c r="I2167" s="48"/>
      <c r="J2167" s="86"/>
      <c r="K2167" s="86"/>
      <c r="L2167" s="86"/>
      <c r="M2167" s="86"/>
      <c r="N2167" s="86"/>
      <c r="O2167" s="86"/>
      <c r="P2167" s="86"/>
      <c r="Q2167" s="86"/>
      <c r="R2167" s="86"/>
      <c r="S2167" s="86"/>
      <c r="T2167" s="86"/>
      <c r="U2167" s="86"/>
      <c r="V2167" s="48"/>
      <c r="W2167" s="48"/>
      <c r="X2167" s="48"/>
      <c r="Y2167" s="48"/>
      <c r="Z2167" s="48"/>
      <c r="AA2167" s="48"/>
      <c r="AB2167" s="48"/>
      <c r="AC2167" s="48"/>
      <c r="AD2167" s="48"/>
      <c r="AE2167" s="48"/>
      <c r="AF2167" s="48"/>
      <c r="AG2167" s="48"/>
      <c r="AH2167" s="48"/>
      <c r="AI2167" s="48"/>
      <c r="AJ2167" s="48"/>
      <c r="AK2167" s="48"/>
      <c r="AL2167" s="48"/>
      <c r="AM2167" s="48"/>
      <c r="AN2167" s="48"/>
      <c r="AO2167" s="48"/>
      <c r="AP2167" s="48"/>
      <c r="AQ2167" s="48"/>
      <c r="AR2167" s="48"/>
      <c r="AS2167" s="48"/>
      <c r="AT2167" s="48"/>
      <c r="AU2167" s="48"/>
      <c r="AV2167" s="48"/>
      <c r="AW2167" s="48"/>
      <c r="AX2167" s="48"/>
      <c r="AY2167" s="48"/>
      <c r="AZ2167" s="48"/>
      <c r="BA2167" s="48"/>
      <c r="BB2167" s="48"/>
      <c r="BC2167" s="48"/>
      <c r="BD2167" s="48"/>
    </row>
    <row r="2168" spans="1:56">
      <c r="A2168" s="48"/>
      <c r="B2168" s="48"/>
      <c r="C2168" s="49"/>
      <c r="D2168" s="48"/>
      <c r="E2168" s="48"/>
      <c r="F2168" s="48"/>
      <c r="G2168" s="48"/>
      <c r="H2168" s="48"/>
      <c r="I2168" s="48"/>
      <c r="J2168" s="86"/>
      <c r="K2168" s="86"/>
      <c r="L2168" s="86"/>
      <c r="M2168" s="86"/>
      <c r="N2168" s="86"/>
      <c r="O2168" s="86"/>
      <c r="P2168" s="86"/>
      <c r="Q2168" s="86"/>
      <c r="R2168" s="86"/>
      <c r="S2168" s="86"/>
      <c r="T2168" s="86"/>
      <c r="U2168" s="86"/>
      <c r="V2168" s="48"/>
      <c r="W2168" s="48"/>
      <c r="X2168" s="48"/>
      <c r="Y2168" s="48"/>
      <c r="Z2168" s="48"/>
      <c r="AA2168" s="48"/>
      <c r="AB2168" s="48"/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  <c r="AR2168" s="48"/>
      <c r="AS2168" s="48"/>
      <c r="AT2168" s="48"/>
      <c r="AU2168" s="48"/>
      <c r="AV2168" s="48"/>
      <c r="AW2168" s="48"/>
      <c r="AX2168" s="48"/>
      <c r="AY2168" s="48"/>
      <c r="AZ2168" s="48"/>
      <c r="BA2168" s="48"/>
      <c r="BB2168" s="48"/>
      <c r="BC2168" s="48"/>
      <c r="BD2168" s="48"/>
    </row>
    <row r="2169" spans="1:56">
      <c r="A2169" s="48"/>
      <c r="B2169" s="48"/>
      <c r="C2169" s="49"/>
      <c r="D2169" s="48"/>
      <c r="E2169" s="48"/>
      <c r="F2169" s="48"/>
      <c r="G2169" s="48"/>
      <c r="H2169" s="48"/>
      <c r="I2169" s="48"/>
      <c r="J2169" s="86"/>
      <c r="K2169" s="86"/>
      <c r="L2169" s="86"/>
      <c r="M2169" s="86"/>
      <c r="N2169" s="86"/>
      <c r="O2169" s="86"/>
      <c r="P2169" s="86"/>
      <c r="Q2169" s="86"/>
      <c r="R2169" s="86"/>
      <c r="S2169" s="86"/>
      <c r="T2169" s="86"/>
      <c r="U2169" s="86"/>
      <c r="V2169" s="48"/>
      <c r="W2169" s="48"/>
      <c r="X2169" s="48"/>
      <c r="Y2169" s="48"/>
      <c r="Z2169" s="48"/>
      <c r="AA2169" s="48"/>
      <c r="AB2169" s="48"/>
      <c r="AC2169" s="48"/>
      <c r="AD2169" s="48"/>
      <c r="AE2169" s="48"/>
      <c r="AF2169" s="48"/>
      <c r="AG2169" s="48"/>
      <c r="AH2169" s="48"/>
      <c r="AI2169" s="48"/>
      <c r="AJ2169" s="48"/>
      <c r="AK2169" s="48"/>
      <c r="AL2169" s="48"/>
      <c r="AM2169" s="48"/>
      <c r="AN2169" s="48"/>
      <c r="AO2169" s="48"/>
      <c r="AP2169" s="48"/>
      <c r="AQ2169" s="48"/>
      <c r="AR2169" s="48"/>
      <c r="AS2169" s="48"/>
      <c r="AT2169" s="48"/>
      <c r="AU2169" s="48"/>
      <c r="AV2169" s="48"/>
      <c r="AW2169" s="48"/>
      <c r="AX2169" s="48"/>
      <c r="AY2169" s="48"/>
      <c r="AZ2169" s="48"/>
      <c r="BA2169" s="48"/>
      <c r="BB2169" s="48"/>
      <c r="BC2169" s="48"/>
      <c r="BD2169" s="48"/>
    </row>
    <row r="2170" spans="1:56">
      <c r="A2170" s="48"/>
      <c r="B2170" s="48"/>
      <c r="C2170" s="49"/>
      <c r="D2170" s="48"/>
      <c r="E2170" s="48"/>
      <c r="F2170" s="48"/>
      <c r="G2170" s="48"/>
      <c r="H2170" s="48"/>
      <c r="I2170" s="48"/>
      <c r="J2170" s="86"/>
      <c r="K2170" s="86"/>
      <c r="L2170" s="86"/>
      <c r="M2170" s="86"/>
      <c r="N2170" s="86"/>
      <c r="O2170" s="86"/>
      <c r="P2170" s="86"/>
      <c r="Q2170" s="86"/>
      <c r="R2170" s="86"/>
      <c r="S2170" s="86"/>
      <c r="T2170" s="86"/>
      <c r="U2170" s="86"/>
      <c r="V2170" s="48"/>
      <c r="W2170" s="48"/>
      <c r="X2170" s="48"/>
      <c r="Y2170" s="48"/>
      <c r="Z2170" s="48"/>
      <c r="AA2170" s="48"/>
      <c r="AB2170" s="48"/>
      <c r="AC2170" s="48"/>
      <c r="AD2170" s="48"/>
      <c r="AE2170" s="48"/>
      <c r="AF2170" s="48"/>
      <c r="AG2170" s="48"/>
      <c r="AH2170" s="48"/>
      <c r="AI2170" s="48"/>
      <c r="AJ2170" s="48"/>
      <c r="AK2170" s="48"/>
      <c r="AL2170" s="48"/>
      <c r="AM2170" s="48"/>
      <c r="AN2170" s="48"/>
      <c r="AO2170" s="48"/>
      <c r="AP2170" s="48"/>
      <c r="AQ2170" s="48"/>
      <c r="AR2170" s="48"/>
      <c r="AS2170" s="48"/>
      <c r="AT2170" s="48"/>
      <c r="AU2170" s="48"/>
      <c r="AV2170" s="48"/>
      <c r="AW2170" s="48"/>
      <c r="AX2170" s="48"/>
      <c r="AY2170" s="48"/>
      <c r="AZ2170" s="48"/>
      <c r="BA2170" s="48"/>
      <c r="BB2170" s="48"/>
      <c r="BC2170" s="48"/>
      <c r="BD2170" s="48"/>
    </row>
    <row r="2171" spans="1:56">
      <c r="A2171" s="48"/>
      <c r="B2171" s="48"/>
      <c r="C2171" s="49"/>
      <c r="D2171" s="48"/>
      <c r="E2171" s="48"/>
      <c r="F2171" s="48"/>
      <c r="G2171" s="48"/>
      <c r="H2171" s="48"/>
      <c r="I2171" s="48"/>
      <c r="J2171" s="86"/>
      <c r="K2171" s="86"/>
      <c r="L2171" s="86"/>
      <c r="M2171" s="86"/>
      <c r="N2171" s="86"/>
      <c r="O2171" s="86"/>
      <c r="P2171" s="86"/>
      <c r="Q2171" s="86"/>
      <c r="R2171" s="86"/>
      <c r="S2171" s="86"/>
      <c r="T2171" s="86"/>
      <c r="U2171" s="86"/>
      <c r="V2171" s="48"/>
      <c r="W2171" s="48"/>
      <c r="X2171" s="48"/>
      <c r="Y2171" s="48"/>
      <c r="Z2171" s="48"/>
      <c r="AA2171" s="48"/>
      <c r="AB2171" s="48"/>
      <c r="AC2171" s="48"/>
      <c r="AD2171" s="48"/>
      <c r="AE2171" s="48"/>
      <c r="AF2171" s="48"/>
      <c r="AG2171" s="48"/>
      <c r="AH2171" s="48"/>
      <c r="AI2171" s="48"/>
      <c r="AJ2171" s="48"/>
      <c r="AK2171" s="48"/>
      <c r="AL2171" s="48"/>
      <c r="AM2171" s="48"/>
      <c r="AN2171" s="48"/>
      <c r="AO2171" s="48"/>
      <c r="AP2171" s="48"/>
      <c r="AQ2171" s="48"/>
      <c r="AR2171" s="48"/>
      <c r="AS2171" s="48"/>
      <c r="AT2171" s="48"/>
      <c r="AU2171" s="48"/>
      <c r="AV2171" s="48"/>
      <c r="AW2171" s="48"/>
      <c r="AX2171" s="48"/>
      <c r="AY2171" s="48"/>
      <c r="AZ2171" s="48"/>
      <c r="BA2171" s="48"/>
      <c r="BB2171" s="48"/>
      <c r="BC2171" s="48"/>
      <c r="BD2171" s="48"/>
    </row>
    <row r="2172" spans="1:56">
      <c r="A2172" s="48"/>
      <c r="B2172" s="48"/>
      <c r="C2172" s="49"/>
      <c r="D2172" s="48"/>
      <c r="E2172" s="48"/>
      <c r="F2172" s="48"/>
      <c r="G2172" s="48"/>
      <c r="H2172" s="48"/>
      <c r="I2172" s="48"/>
      <c r="J2172" s="86"/>
      <c r="K2172" s="86"/>
      <c r="L2172" s="86"/>
      <c r="M2172" s="86"/>
      <c r="N2172" s="86"/>
      <c r="O2172" s="86"/>
      <c r="P2172" s="86"/>
      <c r="Q2172" s="86"/>
      <c r="R2172" s="86"/>
      <c r="S2172" s="86"/>
      <c r="T2172" s="86"/>
      <c r="U2172" s="86"/>
      <c r="V2172" s="48"/>
      <c r="W2172" s="48"/>
      <c r="X2172" s="48"/>
      <c r="Y2172" s="48"/>
      <c r="Z2172" s="48"/>
      <c r="AA2172" s="48"/>
      <c r="AB2172" s="48"/>
      <c r="AC2172" s="48"/>
      <c r="AD2172" s="48"/>
      <c r="AE2172" s="48"/>
      <c r="AF2172" s="48"/>
      <c r="AG2172" s="48"/>
      <c r="AH2172" s="48"/>
      <c r="AI2172" s="48"/>
      <c r="AJ2172" s="48"/>
      <c r="AK2172" s="48"/>
      <c r="AL2172" s="48"/>
      <c r="AM2172" s="48"/>
      <c r="AN2172" s="48"/>
      <c r="AO2172" s="48"/>
      <c r="AP2172" s="48"/>
      <c r="AQ2172" s="48"/>
      <c r="AR2172" s="48"/>
      <c r="AS2172" s="48"/>
      <c r="AT2172" s="48"/>
      <c r="AU2172" s="48"/>
      <c r="AV2172" s="48"/>
      <c r="AW2172" s="48"/>
      <c r="AX2172" s="48"/>
      <c r="AY2172" s="48"/>
      <c r="AZ2172" s="48"/>
      <c r="BA2172" s="48"/>
      <c r="BB2172" s="48"/>
      <c r="BC2172" s="48"/>
      <c r="BD2172" s="48"/>
    </row>
    <row r="2173" spans="1:56">
      <c r="A2173" s="48"/>
      <c r="B2173" s="48"/>
      <c r="C2173" s="49"/>
      <c r="D2173" s="48"/>
      <c r="E2173" s="48"/>
      <c r="F2173" s="48"/>
      <c r="G2173" s="48"/>
      <c r="H2173" s="48"/>
      <c r="I2173" s="48"/>
      <c r="J2173" s="86"/>
      <c r="K2173" s="86"/>
      <c r="L2173" s="86"/>
      <c r="M2173" s="86"/>
      <c r="N2173" s="86"/>
      <c r="O2173" s="86"/>
      <c r="P2173" s="86"/>
      <c r="Q2173" s="86"/>
      <c r="R2173" s="86"/>
      <c r="S2173" s="86"/>
      <c r="T2173" s="86"/>
      <c r="U2173" s="86"/>
      <c r="V2173" s="48"/>
      <c r="W2173" s="48"/>
      <c r="X2173" s="48"/>
      <c r="Y2173" s="48"/>
      <c r="Z2173" s="48"/>
      <c r="AA2173" s="48"/>
      <c r="AB2173" s="48"/>
      <c r="AC2173" s="48"/>
      <c r="AD2173" s="48"/>
      <c r="AE2173" s="48"/>
      <c r="AF2173" s="48"/>
      <c r="AG2173" s="48"/>
      <c r="AH2173" s="48"/>
      <c r="AI2173" s="48"/>
      <c r="AJ2173" s="48"/>
      <c r="AK2173" s="48"/>
      <c r="AL2173" s="48"/>
      <c r="AM2173" s="48"/>
      <c r="AN2173" s="48"/>
      <c r="AO2173" s="48"/>
      <c r="AP2173" s="48"/>
      <c r="AQ2173" s="48"/>
      <c r="AR2173" s="48"/>
      <c r="AS2173" s="48"/>
      <c r="AT2173" s="48"/>
      <c r="AU2173" s="48"/>
      <c r="AV2173" s="48"/>
      <c r="AW2173" s="48"/>
      <c r="AX2173" s="48"/>
      <c r="AY2173" s="48"/>
      <c r="AZ2173" s="48"/>
      <c r="BA2173" s="48"/>
      <c r="BB2173" s="48"/>
      <c r="BC2173" s="48"/>
      <c r="BD2173" s="48"/>
    </row>
    <row r="2174" spans="1:56">
      <c r="A2174" s="48"/>
      <c r="B2174" s="48"/>
      <c r="C2174" s="49"/>
      <c r="D2174" s="48"/>
      <c r="E2174" s="48"/>
      <c r="F2174" s="48"/>
      <c r="G2174" s="48"/>
      <c r="H2174" s="48"/>
      <c r="I2174" s="48"/>
      <c r="J2174" s="86"/>
      <c r="K2174" s="86"/>
      <c r="L2174" s="86"/>
      <c r="M2174" s="86"/>
      <c r="N2174" s="86"/>
      <c r="O2174" s="86"/>
      <c r="P2174" s="86"/>
      <c r="Q2174" s="86"/>
      <c r="R2174" s="86"/>
      <c r="S2174" s="86"/>
      <c r="T2174" s="86"/>
      <c r="U2174" s="86"/>
      <c r="V2174" s="48"/>
      <c r="W2174" s="48"/>
      <c r="X2174" s="48"/>
      <c r="Y2174" s="48"/>
      <c r="Z2174" s="48"/>
      <c r="AA2174" s="48"/>
      <c r="AB2174" s="48"/>
      <c r="AC2174" s="48"/>
      <c r="AD2174" s="48"/>
      <c r="AE2174" s="48"/>
      <c r="AF2174" s="48"/>
      <c r="AG2174" s="48"/>
      <c r="AH2174" s="48"/>
      <c r="AI2174" s="48"/>
      <c r="AJ2174" s="48"/>
      <c r="AK2174" s="48"/>
      <c r="AL2174" s="48"/>
      <c r="AM2174" s="48"/>
      <c r="AN2174" s="48"/>
      <c r="AO2174" s="48"/>
      <c r="AP2174" s="48"/>
      <c r="AQ2174" s="48"/>
      <c r="AR2174" s="48"/>
      <c r="AS2174" s="48"/>
      <c r="AT2174" s="48"/>
      <c r="AU2174" s="48"/>
      <c r="AV2174" s="48"/>
      <c r="AW2174" s="48"/>
      <c r="AX2174" s="48"/>
      <c r="AY2174" s="48"/>
      <c r="AZ2174" s="48"/>
      <c r="BA2174" s="48"/>
      <c r="BB2174" s="48"/>
      <c r="BC2174" s="48"/>
      <c r="BD2174" s="48"/>
    </row>
    <row r="2175" spans="1:56">
      <c r="A2175" s="48"/>
      <c r="B2175" s="48"/>
      <c r="C2175" s="49"/>
      <c r="D2175" s="48"/>
      <c r="E2175" s="48"/>
      <c r="F2175" s="48"/>
      <c r="G2175" s="48"/>
      <c r="H2175" s="48"/>
      <c r="I2175" s="48"/>
      <c r="J2175" s="86"/>
      <c r="K2175" s="86"/>
      <c r="L2175" s="86"/>
      <c r="M2175" s="86"/>
      <c r="N2175" s="86"/>
      <c r="O2175" s="86"/>
      <c r="P2175" s="86"/>
      <c r="Q2175" s="86"/>
      <c r="R2175" s="86"/>
      <c r="S2175" s="86"/>
      <c r="T2175" s="86"/>
      <c r="U2175" s="86"/>
      <c r="V2175" s="48"/>
      <c r="W2175" s="48"/>
      <c r="X2175" s="48"/>
      <c r="Y2175" s="48"/>
      <c r="Z2175" s="48"/>
      <c r="AA2175" s="48"/>
      <c r="AB2175" s="48"/>
      <c r="AC2175" s="48"/>
      <c r="AD2175" s="48"/>
      <c r="AE2175" s="48"/>
      <c r="AF2175" s="48"/>
      <c r="AG2175" s="48"/>
      <c r="AH2175" s="48"/>
      <c r="AI2175" s="48"/>
      <c r="AJ2175" s="48"/>
      <c r="AK2175" s="48"/>
      <c r="AL2175" s="48"/>
      <c r="AM2175" s="48"/>
      <c r="AN2175" s="48"/>
      <c r="AO2175" s="48"/>
      <c r="AP2175" s="48"/>
      <c r="AQ2175" s="48"/>
      <c r="AR2175" s="48"/>
      <c r="AS2175" s="48"/>
      <c r="AT2175" s="48"/>
      <c r="AU2175" s="48"/>
      <c r="AV2175" s="48"/>
      <c r="AW2175" s="48"/>
      <c r="AX2175" s="48"/>
      <c r="AY2175" s="48"/>
      <c r="AZ2175" s="48"/>
      <c r="BA2175" s="48"/>
      <c r="BB2175" s="48"/>
      <c r="BC2175" s="48"/>
      <c r="BD2175" s="48"/>
    </row>
    <row r="2176" spans="1:56">
      <c r="A2176" s="48"/>
      <c r="B2176" s="48"/>
      <c r="C2176" s="49"/>
      <c r="D2176" s="48"/>
      <c r="E2176" s="48"/>
      <c r="F2176" s="48"/>
      <c r="G2176" s="48"/>
      <c r="H2176" s="48"/>
      <c r="I2176" s="48"/>
      <c r="J2176" s="86"/>
      <c r="K2176" s="86"/>
      <c r="L2176" s="86"/>
      <c r="M2176" s="86"/>
      <c r="N2176" s="86"/>
      <c r="O2176" s="86"/>
      <c r="P2176" s="86"/>
      <c r="Q2176" s="86"/>
      <c r="R2176" s="86"/>
      <c r="S2176" s="86"/>
      <c r="T2176" s="86"/>
      <c r="U2176" s="86"/>
      <c r="V2176" s="48"/>
      <c r="W2176" s="48"/>
      <c r="X2176" s="48"/>
      <c r="Y2176" s="48"/>
      <c r="Z2176" s="48"/>
      <c r="AA2176" s="48"/>
      <c r="AB2176" s="48"/>
      <c r="AC2176" s="48"/>
      <c r="AD2176" s="48"/>
      <c r="AE2176" s="48"/>
      <c r="AF2176" s="48"/>
      <c r="AG2176" s="48"/>
      <c r="AH2176" s="48"/>
      <c r="AI2176" s="48"/>
      <c r="AJ2176" s="48"/>
      <c r="AK2176" s="48"/>
      <c r="AL2176" s="48"/>
      <c r="AM2176" s="48"/>
      <c r="AN2176" s="48"/>
      <c r="AO2176" s="48"/>
      <c r="AP2176" s="48"/>
      <c r="AQ2176" s="48"/>
      <c r="AR2176" s="48"/>
      <c r="AS2176" s="48"/>
      <c r="AT2176" s="48"/>
      <c r="AU2176" s="48"/>
      <c r="AV2176" s="48"/>
      <c r="AW2176" s="48"/>
      <c r="AX2176" s="48"/>
      <c r="AY2176" s="48"/>
      <c r="AZ2176" s="48"/>
      <c r="BA2176" s="48"/>
      <c r="BB2176" s="48"/>
      <c r="BC2176" s="48"/>
      <c r="BD2176" s="48"/>
    </row>
    <row r="2177" spans="1:56">
      <c r="A2177" s="48"/>
      <c r="B2177" s="48"/>
      <c r="C2177" s="49"/>
      <c r="D2177" s="48"/>
      <c r="E2177" s="48"/>
      <c r="F2177" s="48"/>
      <c r="G2177" s="48"/>
      <c r="H2177" s="48"/>
      <c r="I2177" s="48"/>
      <c r="J2177" s="86"/>
      <c r="K2177" s="86"/>
      <c r="L2177" s="86"/>
      <c r="M2177" s="86"/>
      <c r="N2177" s="86"/>
      <c r="O2177" s="86"/>
      <c r="P2177" s="86"/>
      <c r="Q2177" s="86"/>
      <c r="R2177" s="86"/>
      <c r="S2177" s="86"/>
      <c r="T2177" s="86"/>
      <c r="U2177" s="86"/>
      <c r="V2177" s="48"/>
      <c r="W2177" s="48"/>
      <c r="X2177" s="48"/>
      <c r="Y2177" s="48"/>
      <c r="Z2177" s="48"/>
      <c r="AA2177" s="48"/>
      <c r="AB2177" s="48"/>
      <c r="AC2177" s="48"/>
      <c r="AD2177" s="48"/>
      <c r="AE2177" s="48"/>
      <c r="AF2177" s="48"/>
      <c r="AG2177" s="48"/>
      <c r="AH2177" s="48"/>
      <c r="AI2177" s="48"/>
      <c r="AJ2177" s="48"/>
      <c r="AK2177" s="48"/>
      <c r="AL2177" s="48"/>
      <c r="AM2177" s="48"/>
      <c r="AN2177" s="48"/>
      <c r="AO2177" s="48"/>
      <c r="AP2177" s="48"/>
      <c r="AQ2177" s="48"/>
      <c r="AR2177" s="48"/>
      <c r="AS2177" s="48"/>
      <c r="AT2177" s="48"/>
      <c r="AU2177" s="48"/>
      <c r="AV2177" s="48"/>
      <c r="AW2177" s="48"/>
      <c r="AX2177" s="48"/>
      <c r="AY2177" s="48"/>
      <c r="AZ2177" s="48"/>
      <c r="BA2177" s="48"/>
      <c r="BB2177" s="48"/>
      <c r="BC2177" s="48"/>
      <c r="BD2177" s="48"/>
    </row>
    <row r="2178" spans="1:56">
      <c r="A2178" s="48"/>
      <c r="B2178" s="48"/>
      <c r="C2178" s="49"/>
      <c r="D2178" s="48"/>
      <c r="E2178" s="48"/>
      <c r="F2178" s="48"/>
      <c r="G2178" s="48"/>
      <c r="H2178" s="48"/>
      <c r="I2178" s="48"/>
      <c r="J2178" s="86"/>
      <c r="K2178" s="86"/>
      <c r="L2178" s="86"/>
      <c r="M2178" s="86"/>
      <c r="N2178" s="86"/>
      <c r="O2178" s="86"/>
      <c r="P2178" s="86"/>
      <c r="Q2178" s="86"/>
      <c r="R2178" s="86"/>
      <c r="S2178" s="86"/>
      <c r="T2178" s="86"/>
      <c r="U2178" s="86"/>
      <c r="V2178" s="48"/>
      <c r="W2178" s="48"/>
      <c r="X2178" s="48"/>
      <c r="Y2178" s="48"/>
      <c r="Z2178" s="48"/>
      <c r="AA2178" s="48"/>
      <c r="AB2178" s="48"/>
      <c r="AC2178" s="48"/>
      <c r="AD2178" s="48"/>
      <c r="AE2178" s="48"/>
      <c r="AF2178" s="48"/>
      <c r="AG2178" s="48"/>
      <c r="AH2178" s="48"/>
      <c r="AI2178" s="48"/>
      <c r="AJ2178" s="48"/>
      <c r="AK2178" s="48"/>
      <c r="AL2178" s="48"/>
      <c r="AM2178" s="48"/>
      <c r="AN2178" s="48"/>
      <c r="AO2178" s="48"/>
      <c r="AP2178" s="48"/>
      <c r="AQ2178" s="48"/>
      <c r="AR2178" s="48"/>
      <c r="AS2178" s="48"/>
      <c r="AT2178" s="48"/>
      <c r="AU2178" s="48"/>
      <c r="AV2178" s="48"/>
      <c r="AW2178" s="48"/>
      <c r="AX2178" s="48"/>
      <c r="AY2178" s="48"/>
      <c r="AZ2178" s="48"/>
      <c r="BA2178" s="48"/>
      <c r="BB2178" s="48"/>
      <c r="BC2178" s="48"/>
      <c r="BD2178" s="48"/>
    </row>
    <row r="2179" spans="1:56">
      <c r="A2179" s="48"/>
      <c r="B2179" s="48"/>
      <c r="C2179" s="49"/>
      <c r="D2179" s="48"/>
      <c r="E2179" s="48"/>
      <c r="F2179" s="48"/>
      <c r="G2179" s="48"/>
      <c r="H2179" s="48"/>
      <c r="I2179" s="48"/>
      <c r="J2179" s="86"/>
      <c r="K2179" s="86"/>
      <c r="L2179" s="86"/>
      <c r="M2179" s="86"/>
      <c r="N2179" s="86"/>
      <c r="O2179" s="86"/>
      <c r="P2179" s="86"/>
      <c r="Q2179" s="86"/>
      <c r="R2179" s="86"/>
      <c r="S2179" s="86"/>
      <c r="T2179" s="86"/>
      <c r="U2179" s="86"/>
      <c r="V2179" s="48"/>
      <c r="W2179" s="48"/>
      <c r="X2179" s="48"/>
      <c r="Y2179" s="48"/>
      <c r="Z2179" s="48"/>
      <c r="AA2179" s="48"/>
      <c r="AB2179" s="48"/>
      <c r="AC2179" s="48"/>
      <c r="AD2179" s="48"/>
      <c r="AE2179" s="48"/>
      <c r="AF2179" s="48"/>
      <c r="AG2179" s="48"/>
      <c r="AH2179" s="48"/>
      <c r="AI2179" s="48"/>
      <c r="AJ2179" s="48"/>
      <c r="AK2179" s="48"/>
      <c r="AL2179" s="48"/>
      <c r="AM2179" s="48"/>
      <c r="AN2179" s="48"/>
      <c r="AO2179" s="48"/>
      <c r="AP2179" s="48"/>
      <c r="AQ2179" s="48"/>
      <c r="AR2179" s="48"/>
      <c r="AS2179" s="48"/>
      <c r="AT2179" s="48"/>
      <c r="AU2179" s="48"/>
      <c r="AV2179" s="48"/>
      <c r="AW2179" s="48"/>
      <c r="AX2179" s="48"/>
      <c r="AY2179" s="48"/>
      <c r="AZ2179" s="48"/>
      <c r="BA2179" s="48"/>
      <c r="BB2179" s="48"/>
      <c r="BC2179" s="48"/>
      <c r="BD2179" s="48"/>
    </row>
    <row r="2180" spans="1:56">
      <c r="A2180" s="48"/>
      <c r="B2180" s="48"/>
      <c r="C2180" s="49"/>
      <c r="D2180" s="48"/>
      <c r="E2180" s="48"/>
      <c r="F2180" s="48"/>
      <c r="G2180" s="48"/>
      <c r="H2180" s="48"/>
      <c r="I2180" s="48"/>
      <c r="J2180" s="86"/>
      <c r="K2180" s="86"/>
      <c r="L2180" s="86"/>
      <c r="M2180" s="86"/>
      <c r="N2180" s="86"/>
      <c r="O2180" s="86"/>
      <c r="P2180" s="86"/>
      <c r="Q2180" s="86"/>
      <c r="R2180" s="86"/>
      <c r="S2180" s="86"/>
      <c r="T2180" s="86"/>
      <c r="U2180" s="86"/>
      <c r="V2180" s="48"/>
      <c r="W2180" s="48"/>
      <c r="X2180" s="48"/>
      <c r="Y2180" s="48"/>
      <c r="Z2180" s="48"/>
      <c r="AA2180" s="48"/>
      <c r="AB2180" s="48"/>
      <c r="AC2180" s="48"/>
      <c r="AD2180" s="48"/>
      <c r="AE2180" s="48"/>
      <c r="AF2180" s="48"/>
      <c r="AG2180" s="48"/>
      <c r="AH2180" s="48"/>
      <c r="AI2180" s="48"/>
      <c r="AJ2180" s="48"/>
      <c r="AK2180" s="48"/>
      <c r="AL2180" s="48"/>
      <c r="AM2180" s="48"/>
      <c r="AN2180" s="48"/>
      <c r="AO2180" s="48"/>
      <c r="AP2180" s="48"/>
      <c r="AQ2180" s="48"/>
      <c r="AR2180" s="48"/>
      <c r="AS2180" s="48"/>
      <c r="AT2180" s="48"/>
      <c r="AU2180" s="48"/>
      <c r="AV2180" s="48"/>
      <c r="AW2180" s="48"/>
      <c r="AX2180" s="48"/>
      <c r="AY2180" s="48"/>
      <c r="AZ2180" s="48"/>
      <c r="BA2180" s="48"/>
      <c r="BB2180" s="48"/>
      <c r="BC2180" s="48"/>
      <c r="BD2180" s="48"/>
    </row>
    <row r="2181" spans="1:56">
      <c r="A2181" s="48"/>
      <c r="B2181" s="48"/>
      <c r="C2181" s="49"/>
      <c r="D2181" s="48"/>
      <c r="E2181" s="48"/>
      <c r="F2181" s="48"/>
      <c r="G2181" s="48"/>
      <c r="H2181" s="48"/>
      <c r="I2181" s="48"/>
      <c r="J2181" s="86"/>
      <c r="K2181" s="86"/>
      <c r="L2181" s="86"/>
      <c r="M2181" s="86"/>
      <c r="N2181" s="86"/>
      <c r="O2181" s="86"/>
      <c r="P2181" s="86"/>
      <c r="Q2181" s="86"/>
      <c r="R2181" s="86"/>
      <c r="S2181" s="86"/>
      <c r="T2181" s="86"/>
      <c r="U2181" s="86"/>
      <c r="V2181" s="48"/>
      <c r="W2181" s="48"/>
      <c r="X2181" s="48"/>
      <c r="Y2181" s="48"/>
      <c r="Z2181" s="48"/>
      <c r="AA2181" s="48"/>
      <c r="AB2181" s="48"/>
      <c r="AC2181" s="48"/>
      <c r="AD2181" s="48"/>
      <c r="AE2181" s="48"/>
      <c r="AF2181" s="48"/>
      <c r="AG2181" s="48"/>
      <c r="AH2181" s="48"/>
      <c r="AI2181" s="48"/>
      <c r="AJ2181" s="48"/>
      <c r="AK2181" s="48"/>
      <c r="AL2181" s="48"/>
      <c r="AM2181" s="48"/>
      <c r="AN2181" s="48"/>
      <c r="AO2181" s="48"/>
      <c r="AP2181" s="48"/>
      <c r="AQ2181" s="48"/>
      <c r="AR2181" s="48"/>
      <c r="AS2181" s="48"/>
      <c r="AT2181" s="48"/>
      <c r="AU2181" s="48"/>
      <c r="AV2181" s="48"/>
      <c r="AW2181" s="48"/>
      <c r="AX2181" s="48"/>
      <c r="AY2181" s="48"/>
      <c r="AZ2181" s="48"/>
      <c r="BA2181" s="48"/>
      <c r="BB2181" s="48"/>
      <c r="BC2181" s="48"/>
      <c r="BD2181" s="48"/>
    </row>
    <row r="2182" spans="1:56">
      <c r="A2182" s="48"/>
      <c r="B2182" s="48"/>
      <c r="C2182" s="49"/>
      <c r="D2182" s="48"/>
      <c r="E2182" s="48"/>
      <c r="F2182" s="48"/>
      <c r="G2182" s="48"/>
      <c r="H2182" s="48"/>
      <c r="I2182" s="48"/>
      <c r="J2182" s="86"/>
      <c r="K2182" s="86"/>
      <c r="L2182" s="86"/>
      <c r="M2182" s="86"/>
      <c r="N2182" s="86"/>
      <c r="O2182" s="86"/>
      <c r="P2182" s="86"/>
      <c r="Q2182" s="86"/>
      <c r="R2182" s="86"/>
      <c r="S2182" s="86"/>
      <c r="T2182" s="86"/>
      <c r="U2182" s="86"/>
      <c r="V2182" s="48"/>
      <c r="W2182" s="48"/>
      <c r="X2182" s="48"/>
      <c r="Y2182" s="48"/>
      <c r="Z2182" s="48"/>
      <c r="AA2182" s="48"/>
      <c r="AB2182" s="48"/>
      <c r="AC2182" s="48"/>
      <c r="AD2182" s="48"/>
      <c r="AE2182" s="48"/>
      <c r="AF2182" s="48"/>
      <c r="AG2182" s="48"/>
      <c r="AH2182" s="48"/>
      <c r="AI2182" s="48"/>
      <c r="AJ2182" s="48"/>
      <c r="AK2182" s="48"/>
      <c r="AL2182" s="48"/>
      <c r="AM2182" s="48"/>
      <c r="AN2182" s="48"/>
      <c r="AO2182" s="48"/>
      <c r="AP2182" s="48"/>
      <c r="AQ2182" s="48"/>
      <c r="AR2182" s="48"/>
      <c r="AS2182" s="48"/>
      <c r="AT2182" s="48"/>
      <c r="AU2182" s="48"/>
      <c r="AV2182" s="48"/>
      <c r="AW2182" s="48"/>
      <c r="AX2182" s="48"/>
      <c r="AY2182" s="48"/>
      <c r="AZ2182" s="48"/>
      <c r="BA2182" s="48"/>
      <c r="BB2182" s="48"/>
      <c r="BC2182" s="48"/>
      <c r="BD2182" s="48"/>
    </row>
    <row r="2183" spans="1:56">
      <c r="A2183" s="48"/>
      <c r="B2183" s="48"/>
      <c r="C2183" s="49"/>
      <c r="D2183" s="48"/>
      <c r="E2183" s="48"/>
      <c r="F2183" s="48"/>
      <c r="G2183" s="48"/>
      <c r="H2183" s="48"/>
      <c r="I2183" s="48"/>
      <c r="J2183" s="86"/>
      <c r="K2183" s="86"/>
      <c r="L2183" s="86"/>
      <c r="M2183" s="86"/>
      <c r="N2183" s="86"/>
      <c r="O2183" s="86"/>
      <c r="P2183" s="86"/>
      <c r="Q2183" s="86"/>
      <c r="R2183" s="86"/>
      <c r="S2183" s="86"/>
      <c r="T2183" s="86"/>
      <c r="U2183" s="86"/>
      <c r="V2183" s="48"/>
      <c r="W2183" s="48"/>
      <c r="X2183" s="48"/>
      <c r="Y2183" s="48"/>
      <c r="Z2183" s="48"/>
      <c r="AA2183" s="48"/>
      <c r="AB2183" s="48"/>
      <c r="AC2183" s="48"/>
      <c r="AD2183" s="48"/>
      <c r="AE2183" s="48"/>
      <c r="AF2183" s="48"/>
      <c r="AG2183" s="48"/>
      <c r="AH2183" s="48"/>
      <c r="AI2183" s="48"/>
      <c r="AJ2183" s="48"/>
      <c r="AK2183" s="48"/>
      <c r="AL2183" s="48"/>
      <c r="AM2183" s="48"/>
      <c r="AN2183" s="48"/>
      <c r="AO2183" s="48"/>
      <c r="AP2183" s="48"/>
      <c r="AQ2183" s="48"/>
      <c r="AR2183" s="48"/>
      <c r="AS2183" s="48"/>
      <c r="AT2183" s="48"/>
      <c r="AU2183" s="48"/>
      <c r="AV2183" s="48"/>
      <c r="AW2183" s="48"/>
      <c r="AX2183" s="48"/>
      <c r="AY2183" s="48"/>
      <c r="AZ2183" s="48"/>
      <c r="BA2183" s="48"/>
      <c r="BB2183" s="48"/>
      <c r="BC2183" s="48"/>
      <c r="BD2183" s="48"/>
    </row>
    <row r="2184" spans="1:56">
      <c r="A2184" s="48"/>
      <c r="B2184" s="48"/>
      <c r="C2184" s="49"/>
      <c r="D2184" s="48"/>
      <c r="E2184" s="48"/>
      <c r="F2184" s="48"/>
      <c r="G2184" s="48"/>
      <c r="H2184" s="48"/>
      <c r="I2184" s="48"/>
      <c r="J2184" s="86"/>
      <c r="K2184" s="86"/>
      <c r="L2184" s="86"/>
      <c r="M2184" s="86"/>
      <c r="N2184" s="86"/>
      <c r="O2184" s="86"/>
      <c r="P2184" s="86"/>
      <c r="Q2184" s="86"/>
      <c r="R2184" s="86"/>
      <c r="S2184" s="86"/>
      <c r="T2184" s="86"/>
      <c r="U2184" s="86"/>
      <c r="V2184" s="48"/>
      <c r="W2184" s="48"/>
      <c r="X2184" s="48"/>
      <c r="Y2184" s="48"/>
      <c r="Z2184" s="48"/>
      <c r="AA2184" s="48"/>
      <c r="AB2184" s="48"/>
      <c r="AC2184" s="48"/>
      <c r="AD2184" s="48"/>
      <c r="AE2184" s="48"/>
      <c r="AF2184" s="48"/>
      <c r="AG2184" s="48"/>
      <c r="AH2184" s="48"/>
      <c r="AI2184" s="48"/>
      <c r="AJ2184" s="48"/>
      <c r="AK2184" s="48"/>
      <c r="AL2184" s="48"/>
      <c r="AM2184" s="48"/>
      <c r="AN2184" s="48"/>
      <c r="AO2184" s="48"/>
      <c r="AP2184" s="48"/>
      <c r="AQ2184" s="48"/>
      <c r="AR2184" s="48"/>
      <c r="AS2184" s="48"/>
      <c r="AT2184" s="48"/>
      <c r="AU2184" s="48"/>
      <c r="AV2184" s="48"/>
      <c r="AW2184" s="48"/>
      <c r="AX2184" s="48"/>
      <c r="AY2184" s="48"/>
      <c r="AZ2184" s="48"/>
      <c r="BA2184" s="48"/>
      <c r="BB2184" s="48"/>
      <c r="BC2184" s="48"/>
      <c r="BD2184" s="48"/>
    </row>
    <row r="2185" spans="1:56">
      <c r="A2185" s="48"/>
      <c r="B2185" s="48"/>
      <c r="C2185" s="49"/>
      <c r="D2185" s="48"/>
      <c r="E2185" s="48"/>
      <c r="F2185" s="48"/>
      <c r="G2185" s="48"/>
      <c r="H2185" s="48"/>
      <c r="I2185" s="48"/>
      <c r="J2185" s="86"/>
      <c r="K2185" s="86"/>
      <c r="L2185" s="86"/>
      <c r="M2185" s="86"/>
      <c r="N2185" s="86"/>
      <c r="O2185" s="86"/>
      <c r="P2185" s="86"/>
      <c r="Q2185" s="86"/>
      <c r="R2185" s="86"/>
      <c r="S2185" s="86"/>
      <c r="T2185" s="86"/>
      <c r="U2185" s="86"/>
      <c r="V2185" s="48"/>
      <c r="W2185" s="48"/>
      <c r="X2185" s="48"/>
      <c r="Y2185" s="48"/>
      <c r="Z2185" s="48"/>
      <c r="AA2185" s="48"/>
      <c r="AB2185" s="48"/>
      <c r="AC2185" s="48"/>
      <c r="AD2185" s="48"/>
      <c r="AE2185" s="48"/>
      <c r="AF2185" s="48"/>
      <c r="AG2185" s="48"/>
      <c r="AH2185" s="48"/>
      <c r="AI2185" s="48"/>
      <c r="AJ2185" s="48"/>
      <c r="AK2185" s="48"/>
      <c r="AL2185" s="48"/>
      <c r="AM2185" s="48"/>
      <c r="AN2185" s="48"/>
      <c r="AO2185" s="48"/>
      <c r="AP2185" s="48"/>
      <c r="AQ2185" s="48"/>
      <c r="AR2185" s="48"/>
      <c r="AS2185" s="48"/>
      <c r="AT2185" s="48"/>
      <c r="AU2185" s="48"/>
      <c r="AV2185" s="48"/>
      <c r="AW2185" s="48"/>
      <c r="AX2185" s="48"/>
      <c r="AY2185" s="48"/>
      <c r="AZ2185" s="48"/>
      <c r="BA2185" s="48"/>
      <c r="BB2185" s="48"/>
      <c r="BC2185" s="48"/>
      <c r="BD2185" s="48"/>
    </row>
    <row r="2186" spans="1:56">
      <c r="A2186" s="48"/>
      <c r="B2186" s="48"/>
      <c r="C2186" s="49"/>
      <c r="D2186" s="48"/>
      <c r="E2186" s="48"/>
      <c r="F2186" s="48"/>
      <c r="G2186" s="48"/>
      <c r="H2186" s="48"/>
      <c r="I2186" s="48"/>
      <c r="J2186" s="86"/>
      <c r="K2186" s="86"/>
      <c r="L2186" s="86"/>
      <c r="M2186" s="86"/>
      <c r="N2186" s="86"/>
      <c r="O2186" s="86"/>
      <c r="P2186" s="86"/>
      <c r="Q2186" s="86"/>
      <c r="R2186" s="86"/>
      <c r="S2186" s="86"/>
      <c r="T2186" s="86"/>
      <c r="U2186" s="86"/>
      <c r="V2186" s="48"/>
      <c r="W2186" s="48"/>
      <c r="X2186" s="48"/>
      <c r="Y2186" s="48"/>
      <c r="Z2186" s="48"/>
      <c r="AA2186" s="48"/>
      <c r="AB2186" s="48"/>
      <c r="AC2186" s="48"/>
      <c r="AD2186" s="48"/>
      <c r="AE2186" s="48"/>
      <c r="AF2186" s="48"/>
      <c r="AG2186" s="48"/>
      <c r="AH2186" s="48"/>
      <c r="AI2186" s="48"/>
      <c r="AJ2186" s="48"/>
      <c r="AK2186" s="48"/>
      <c r="AL2186" s="48"/>
      <c r="AM2186" s="48"/>
      <c r="AN2186" s="48"/>
      <c r="AO2186" s="48"/>
      <c r="AP2186" s="48"/>
      <c r="AQ2186" s="48"/>
      <c r="AR2186" s="48"/>
      <c r="AS2186" s="48"/>
      <c r="AT2186" s="48"/>
      <c r="AU2186" s="48"/>
      <c r="AV2186" s="48"/>
      <c r="AW2186" s="48"/>
      <c r="AX2186" s="48"/>
      <c r="AY2186" s="48"/>
      <c r="AZ2186" s="48"/>
      <c r="BA2186" s="48"/>
      <c r="BB2186" s="48"/>
      <c r="BC2186" s="48"/>
      <c r="BD2186" s="48"/>
    </row>
    <row r="2187" spans="1:56">
      <c r="A2187" s="48"/>
      <c r="B2187" s="48"/>
      <c r="C2187" s="49"/>
      <c r="D2187" s="48"/>
      <c r="E2187" s="48"/>
      <c r="F2187" s="48"/>
      <c r="G2187" s="48"/>
      <c r="H2187" s="48"/>
      <c r="I2187" s="48"/>
      <c r="J2187" s="86"/>
      <c r="K2187" s="86"/>
      <c r="L2187" s="86"/>
      <c r="M2187" s="86"/>
      <c r="N2187" s="86"/>
      <c r="O2187" s="86"/>
      <c r="P2187" s="86"/>
      <c r="Q2187" s="86"/>
      <c r="R2187" s="86"/>
      <c r="S2187" s="86"/>
      <c r="T2187" s="86"/>
      <c r="U2187" s="86"/>
      <c r="V2187" s="48"/>
      <c r="W2187" s="48"/>
      <c r="X2187" s="48"/>
      <c r="Y2187" s="48"/>
      <c r="Z2187" s="48"/>
      <c r="AA2187" s="48"/>
      <c r="AB2187" s="48"/>
      <c r="AC2187" s="48"/>
      <c r="AD2187" s="48"/>
      <c r="AE2187" s="48"/>
      <c r="AF2187" s="48"/>
      <c r="AG2187" s="48"/>
      <c r="AH2187" s="48"/>
      <c r="AI2187" s="48"/>
      <c r="AJ2187" s="48"/>
      <c r="AK2187" s="48"/>
      <c r="AL2187" s="48"/>
      <c r="AM2187" s="48"/>
      <c r="AN2187" s="48"/>
      <c r="AO2187" s="48"/>
      <c r="AP2187" s="48"/>
      <c r="AQ2187" s="48"/>
      <c r="AR2187" s="48"/>
      <c r="AS2187" s="48"/>
      <c r="AT2187" s="48"/>
      <c r="AU2187" s="48"/>
      <c r="AV2187" s="48"/>
      <c r="AW2187" s="48"/>
      <c r="AX2187" s="48"/>
      <c r="AY2187" s="48"/>
      <c r="AZ2187" s="48"/>
      <c r="BA2187" s="48"/>
      <c r="BB2187" s="48"/>
      <c r="BC2187" s="48"/>
      <c r="BD2187" s="48"/>
    </row>
    <row r="2188" spans="1:56">
      <c r="A2188" s="48"/>
      <c r="B2188" s="48"/>
      <c r="C2188" s="49"/>
      <c r="D2188" s="48"/>
      <c r="E2188" s="48"/>
      <c r="F2188" s="48"/>
      <c r="G2188" s="48"/>
      <c r="H2188" s="48"/>
      <c r="I2188" s="48"/>
      <c r="J2188" s="86"/>
      <c r="K2188" s="86"/>
      <c r="L2188" s="86"/>
      <c r="M2188" s="86"/>
      <c r="N2188" s="86"/>
      <c r="O2188" s="86"/>
      <c r="P2188" s="86"/>
      <c r="Q2188" s="86"/>
      <c r="R2188" s="86"/>
      <c r="S2188" s="86"/>
      <c r="T2188" s="86"/>
      <c r="U2188" s="86"/>
      <c r="V2188" s="48"/>
      <c r="W2188" s="48"/>
      <c r="X2188" s="48"/>
      <c r="Y2188" s="48"/>
      <c r="Z2188" s="48"/>
      <c r="AA2188" s="48"/>
      <c r="AB2188" s="48"/>
      <c r="AC2188" s="48"/>
      <c r="AD2188" s="48"/>
      <c r="AE2188" s="48"/>
      <c r="AF2188" s="48"/>
      <c r="AG2188" s="48"/>
      <c r="AH2188" s="48"/>
      <c r="AI2188" s="48"/>
      <c r="AJ2188" s="48"/>
      <c r="AK2188" s="48"/>
      <c r="AL2188" s="48"/>
      <c r="AM2188" s="48"/>
      <c r="AN2188" s="48"/>
      <c r="AO2188" s="48"/>
      <c r="AP2188" s="48"/>
      <c r="AQ2188" s="48"/>
      <c r="AR2188" s="48"/>
      <c r="AS2188" s="48"/>
      <c r="AT2188" s="48"/>
      <c r="AU2188" s="48"/>
      <c r="AV2188" s="48"/>
      <c r="AW2188" s="48"/>
      <c r="AX2188" s="48"/>
      <c r="AY2188" s="48"/>
      <c r="AZ2188" s="48"/>
      <c r="BA2188" s="48"/>
      <c r="BB2188" s="48"/>
      <c r="BC2188" s="48"/>
      <c r="BD2188" s="48"/>
    </row>
    <row r="2189" spans="1:56">
      <c r="A2189" s="48"/>
      <c r="B2189" s="48"/>
      <c r="C2189" s="49"/>
      <c r="D2189" s="48"/>
      <c r="E2189" s="48"/>
      <c r="F2189" s="48"/>
      <c r="G2189" s="48"/>
      <c r="H2189" s="48"/>
      <c r="I2189" s="48"/>
      <c r="J2189" s="86"/>
      <c r="K2189" s="86"/>
      <c r="L2189" s="86"/>
      <c r="M2189" s="86"/>
      <c r="N2189" s="86"/>
      <c r="O2189" s="86"/>
      <c r="P2189" s="86"/>
      <c r="Q2189" s="86"/>
      <c r="R2189" s="86"/>
      <c r="S2189" s="86"/>
      <c r="T2189" s="86"/>
      <c r="U2189" s="86"/>
      <c r="V2189" s="48"/>
      <c r="W2189" s="48"/>
      <c r="X2189" s="48"/>
      <c r="Y2189" s="48"/>
      <c r="Z2189" s="48"/>
      <c r="AA2189" s="48"/>
      <c r="AB2189" s="48"/>
      <c r="AC2189" s="48"/>
      <c r="AD2189" s="48"/>
      <c r="AE2189" s="48"/>
      <c r="AF2189" s="48"/>
      <c r="AG2189" s="48"/>
      <c r="AH2189" s="48"/>
      <c r="AI2189" s="48"/>
      <c r="AJ2189" s="48"/>
      <c r="AK2189" s="48"/>
      <c r="AL2189" s="48"/>
      <c r="AM2189" s="48"/>
      <c r="AN2189" s="48"/>
      <c r="AO2189" s="48"/>
      <c r="AP2189" s="48"/>
      <c r="AQ2189" s="48"/>
      <c r="AR2189" s="48"/>
      <c r="AS2189" s="48"/>
      <c r="AT2189" s="48"/>
      <c r="AU2189" s="48"/>
      <c r="AV2189" s="48"/>
      <c r="AW2189" s="48"/>
      <c r="AX2189" s="48"/>
      <c r="AY2189" s="48"/>
      <c r="AZ2189" s="48"/>
      <c r="BA2189" s="48"/>
      <c r="BB2189" s="48"/>
      <c r="BC2189" s="48"/>
      <c r="BD2189" s="48"/>
    </row>
    <row r="2190" spans="1:56">
      <c r="A2190" s="48"/>
      <c r="B2190" s="48"/>
      <c r="C2190" s="49"/>
      <c r="D2190" s="48"/>
      <c r="E2190" s="48"/>
      <c r="F2190" s="48"/>
      <c r="G2190" s="48"/>
      <c r="H2190" s="48"/>
      <c r="I2190" s="48"/>
      <c r="J2190" s="86"/>
      <c r="K2190" s="86"/>
      <c r="L2190" s="86"/>
      <c r="M2190" s="86"/>
      <c r="N2190" s="86"/>
      <c r="O2190" s="86"/>
      <c r="P2190" s="86"/>
      <c r="Q2190" s="86"/>
      <c r="R2190" s="86"/>
      <c r="S2190" s="86"/>
      <c r="T2190" s="86"/>
      <c r="U2190" s="86"/>
      <c r="V2190" s="48"/>
      <c r="W2190" s="48"/>
      <c r="X2190" s="48"/>
      <c r="Y2190" s="48"/>
      <c r="Z2190" s="48"/>
      <c r="AA2190" s="48"/>
      <c r="AB2190" s="48"/>
      <c r="AC2190" s="48"/>
      <c r="AD2190" s="48"/>
      <c r="AE2190" s="48"/>
      <c r="AF2190" s="48"/>
      <c r="AG2190" s="48"/>
      <c r="AH2190" s="48"/>
      <c r="AI2190" s="48"/>
      <c r="AJ2190" s="48"/>
      <c r="AK2190" s="48"/>
      <c r="AL2190" s="48"/>
      <c r="AM2190" s="48"/>
      <c r="AN2190" s="48"/>
      <c r="AO2190" s="48"/>
      <c r="AP2190" s="48"/>
      <c r="AQ2190" s="48"/>
      <c r="AR2190" s="48"/>
      <c r="AS2190" s="48"/>
      <c r="AT2190" s="48"/>
      <c r="AU2190" s="48"/>
      <c r="AV2190" s="48"/>
      <c r="AW2190" s="48"/>
      <c r="AX2190" s="48"/>
      <c r="AY2190" s="48"/>
      <c r="AZ2190" s="48"/>
      <c r="BA2190" s="48"/>
      <c r="BB2190" s="48"/>
      <c r="BC2190" s="48"/>
      <c r="BD2190" s="48"/>
    </row>
    <row r="2191" spans="1:56">
      <c r="A2191" s="48"/>
      <c r="B2191" s="48"/>
      <c r="C2191" s="49"/>
      <c r="D2191" s="48"/>
      <c r="E2191" s="48"/>
      <c r="F2191" s="48"/>
      <c r="G2191" s="48"/>
      <c r="H2191" s="48"/>
      <c r="I2191" s="48"/>
      <c r="J2191" s="86"/>
      <c r="K2191" s="86"/>
      <c r="L2191" s="86"/>
      <c r="M2191" s="86"/>
      <c r="N2191" s="86"/>
      <c r="O2191" s="86"/>
      <c r="P2191" s="86"/>
      <c r="Q2191" s="86"/>
      <c r="R2191" s="86"/>
      <c r="S2191" s="86"/>
      <c r="T2191" s="86"/>
      <c r="U2191" s="86"/>
      <c r="V2191" s="48"/>
      <c r="W2191" s="48"/>
      <c r="X2191" s="48"/>
      <c r="Y2191" s="48"/>
      <c r="Z2191" s="48"/>
      <c r="AA2191" s="48"/>
      <c r="AB2191" s="48"/>
      <c r="AC2191" s="48"/>
      <c r="AD2191" s="48"/>
      <c r="AE2191" s="48"/>
      <c r="AF2191" s="48"/>
      <c r="AG2191" s="48"/>
      <c r="AH2191" s="48"/>
      <c r="AI2191" s="48"/>
      <c r="AJ2191" s="48"/>
      <c r="AK2191" s="48"/>
      <c r="AL2191" s="48"/>
      <c r="AM2191" s="48"/>
      <c r="AN2191" s="48"/>
      <c r="AO2191" s="48"/>
      <c r="AP2191" s="48"/>
      <c r="AQ2191" s="48"/>
      <c r="AR2191" s="48"/>
      <c r="AS2191" s="48"/>
      <c r="AT2191" s="48"/>
      <c r="AU2191" s="48"/>
      <c r="AV2191" s="48"/>
      <c r="AW2191" s="48"/>
      <c r="AX2191" s="48"/>
      <c r="AY2191" s="48"/>
      <c r="AZ2191" s="48"/>
      <c r="BA2191" s="48"/>
      <c r="BB2191" s="48"/>
      <c r="BC2191" s="48"/>
      <c r="BD2191" s="48"/>
    </row>
    <row r="2192" spans="1:56">
      <c r="A2192" s="48"/>
      <c r="B2192" s="48"/>
      <c r="C2192" s="49"/>
      <c r="D2192" s="48"/>
      <c r="E2192" s="48"/>
      <c r="F2192" s="48"/>
      <c r="G2192" s="48"/>
      <c r="H2192" s="48"/>
      <c r="I2192" s="48"/>
      <c r="J2192" s="86"/>
      <c r="K2192" s="86"/>
      <c r="L2192" s="86"/>
      <c r="M2192" s="86"/>
      <c r="N2192" s="86"/>
      <c r="O2192" s="86"/>
      <c r="P2192" s="86"/>
      <c r="Q2192" s="86"/>
      <c r="R2192" s="86"/>
      <c r="S2192" s="86"/>
      <c r="T2192" s="86"/>
      <c r="U2192" s="86"/>
      <c r="V2192" s="48"/>
      <c r="W2192" s="48"/>
      <c r="X2192" s="48"/>
      <c r="Y2192" s="48"/>
      <c r="Z2192" s="48"/>
      <c r="AA2192" s="48"/>
      <c r="AB2192" s="48"/>
      <c r="AC2192" s="48"/>
      <c r="AD2192" s="48"/>
      <c r="AE2192" s="48"/>
      <c r="AF2192" s="48"/>
      <c r="AG2192" s="48"/>
      <c r="AH2192" s="48"/>
      <c r="AI2192" s="48"/>
      <c r="AJ2192" s="48"/>
      <c r="AK2192" s="48"/>
      <c r="AL2192" s="48"/>
      <c r="AM2192" s="48"/>
      <c r="AN2192" s="48"/>
      <c r="AO2192" s="48"/>
      <c r="AP2192" s="48"/>
      <c r="AQ2192" s="48"/>
      <c r="AR2192" s="48"/>
      <c r="AS2192" s="48"/>
      <c r="AT2192" s="48"/>
      <c r="AU2192" s="48"/>
      <c r="AV2192" s="48"/>
      <c r="AW2192" s="48"/>
      <c r="AX2192" s="48"/>
      <c r="AY2192" s="48"/>
      <c r="AZ2192" s="48"/>
      <c r="BA2192" s="48"/>
      <c r="BB2192" s="48"/>
      <c r="BC2192" s="48"/>
      <c r="BD2192" s="48"/>
    </row>
    <row r="2193" spans="1:56">
      <c r="A2193" s="48"/>
      <c r="B2193" s="48"/>
      <c r="C2193" s="49"/>
      <c r="D2193" s="48"/>
      <c r="E2193" s="48"/>
      <c r="F2193" s="48"/>
      <c r="G2193" s="48"/>
      <c r="H2193" s="48"/>
      <c r="I2193" s="48"/>
      <c r="J2193" s="86"/>
      <c r="K2193" s="86"/>
      <c r="L2193" s="86"/>
      <c r="M2193" s="86"/>
      <c r="N2193" s="86"/>
      <c r="O2193" s="86"/>
      <c r="P2193" s="86"/>
      <c r="Q2193" s="86"/>
      <c r="R2193" s="86"/>
      <c r="S2193" s="86"/>
      <c r="T2193" s="86"/>
      <c r="U2193" s="86"/>
      <c r="V2193" s="48"/>
      <c r="W2193" s="48"/>
      <c r="X2193" s="48"/>
      <c r="Y2193" s="48"/>
      <c r="Z2193" s="48"/>
      <c r="AA2193" s="48"/>
      <c r="AB2193" s="48"/>
      <c r="AC2193" s="48"/>
      <c r="AD2193" s="48"/>
      <c r="AE2193" s="48"/>
      <c r="AF2193" s="48"/>
      <c r="AG2193" s="48"/>
      <c r="AH2193" s="48"/>
      <c r="AI2193" s="48"/>
      <c r="AJ2193" s="48"/>
      <c r="AK2193" s="48"/>
      <c r="AL2193" s="48"/>
      <c r="AM2193" s="48"/>
      <c r="AN2193" s="48"/>
      <c r="AO2193" s="48"/>
      <c r="AP2193" s="48"/>
      <c r="AQ2193" s="48"/>
      <c r="AR2193" s="48"/>
      <c r="AS2193" s="48"/>
      <c r="AT2193" s="48"/>
      <c r="AU2193" s="48"/>
      <c r="AV2193" s="48"/>
      <c r="AW2193" s="48"/>
      <c r="AX2193" s="48"/>
      <c r="AY2193" s="48"/>
      <c r="AZ2193" s="48"/>
      <c r="BA2193" s="48"/>
      <c r="BB2193" s="48"/>
      <c r="BC2193" s="48"/>
      <c r="BD2193" s="48"/>
    </row>
    <row r="2194" spans="1:56">
      <c r="A2194" s="48"/>
      <c r="B2194" s="48"/>
      <c r="C2194" s="49"/>
      <c r="D2194" s="48"/>
      <c r="E2194" s="48"/>
      <c r="F2194" s="48"/>
      <c r="G2194" s="48"/>
      <c r="H2194" s="48"/>
      <c r="I2194" s="48"/>
      <c r="J2194" s="86"/>
      <c r="K2194" s="86"/>
      <c r="L2194" s="86"/>
      <c r="M2194" s="86"/>
      <c r="N2194" s="86"/>
      <c r="O2194" s="86"/>
      <c r="P2194" s="86"/>
      <c r="Q2194" s="86"/>
      <c r="R2194" s="86"/>
      <c r="S2194" s="86"/>
      <c r="T2194" s="86"/>
      <c r="U2194" s="86"/>
      <c r="V2194" s="48"/>
      <c r="W2194" s="48"/>
      <c r="X2194" s="48"/>
      <c r="Y2194" s="48"/>
      <c r="Z2194" s="48"/>
      <c r="AA2194" s="48"/>
      <c r="AB2194" s="48"/>
      <c r="AC2194" s="48"/>
      <c r="AD2194" s="48"/>
      <c r="AE2194" s="48"/>
      <c r="AF2194" s="48"/>
      <c r="AG2194" s="48"/>
      <c r="AH2194" s="48"/>
      <c r="AI2194" s="48"/>
      <c r="AJ2194" s="48"/>
      <c r="AK2194" s="48"/>
      <c r="AL2194" s="48"/>
      <c r="AM2194" s="48"/>
      <c r="AN2194" s="48"/>
      <c r="AO2194" s="48"/>
      <c r="AP2194" s="48"/>
      <c r="AQ2194" s="48"/>
      <c r="AR2194" s="48"/>
      <c r="AS2194" s="48"/>
      <c r="AT2194" s="48"/>
      <c r="AU2194" s="48"/>
      <c r="AV2194" s="48"/>
      <c r="AW2194" s="48"/>
      <c r="AX2194" s="48"/>
      <c r="AY2194" s="48"/>
      <c r="AZ2194" s="48"/>
      <c r="BA2194" s="48"/>
      <c r="BB2194" s="48"/>
      <c r="BC2194" s="48"/>
      <c r="BD2194" s="48"/>
    </row>
    <row r="2195" spans="1:56">
      <c r="A2195" s="48"/>
      <c r="B2195" s="48"/>
      <c r="C2195" s="49"/>
      <c r="D2195" s="48"/>
      <c r="E2195" s="48"/>
      <c r="F2195" s="48"/>
      <c r="G2195" s="48"/>
      <c r="H2195" s="48"/>
      <c r="I2195" s="48"/>
      <c r="J2195" s="86"/>
      <c r="K2195" s="86"/>
      <c r="L2195" s="86"/>
      <c r="M2195" s="86"/>
      <c r="N2195" s="86"/>
      <c r="O2195" s="86"/>
      <c r="P2195" s="86"/>
      <c r="Q2195" s="86"/>
      <c r="R2195" s="86"/>
      <c r="S2195" s="86"/>
      <c r="T2195" s="86"/>
      <c r="U2195" s="86"/>
      <c r="V2195" s="48"/>
      <c r="W2195" s="48"/>
      <c r="X2195" s="48"/>
      <c r="Y2195" s="48"/>
      <c r="Z2195" s="48"/>
      <c r="AA2195" s="48"/>
      <c r="AB2195" s="48"/>
      <c r="AC2195" s="48"/>
      <c r="AD2195" s="48"/>
      <c r="AE2195" s="48"/>
      <c r="AF2195" s="48"/>
      <c r="AG2195" s="48"/>
      <c r="AH2195" s="48"/>
      <c r="AI2195" s="48"/>
      <c r="AJ2195" s="48"/>
      <c r="AK2195" s="48"/>
      <c r="AL2195" s="48"/>
      <c r="AM2195" s="48"/>
      <c r="AN2195" s="48"/>
      <c r="AO2195" s="48"/>
      <c r="AP2195" s="48"/>
      <c r="AQ2195" s="48"/>
      <c r="AR2195" s="48"/>
      <c r="AS2195" s="48"/>
      <c r="AT2195" s="48"/>
      <c r="AU2195" s="48"/>
      <c r="AV2195" s="48"/>
      <c r="AW2195" s="48"/>
      <c r="AX2195" s="48"/>
      <c r="AY2195" s="48"/>
      <c r="AZ2195" s="48"/>
      <c r="BA2195" s="48"/>
      <c r="BB2195" s="48"/>
      <c r="BC2195" s="48"/>
      <c r="BD2195" s="48"/>
    </row>
    <row r="2196" spans="1:56">
      <c r="A2196" s="48"/>
      <c r="B2196" s="48"/>
      <c r="C2196" s="49"/>
      <c r="D2196" s="48"/>
      <c r="E2196" s="48"/>
      <c r="F2196" s="48"/>
      <c r="G2196" s="48"/>
      <c r="H2196" s="48"/>
      <c r="I2196" s="48"/>
      <c r="J2196" s="86"/>
      <c r="K2196" s="86"/>
      <c r="L2196" s="86"/>
      <c r="M2196" s="86"/>
      <c r="N2196" s="86"/>
      <c r="O2196" s="86"/>
      <c r="P2196" s="86"/>
      <c r="Q2196" s="86"/>
      <c r="R2196" s="86"/>
      <c r="S2196" s="86"/>
      <c r="T2196" s="86"/>
      <c r="U2196" s="86"/>
      <c r="V2196" s="48"/>
      <c r="W2196" s="48"/>
      <c r="X2196" s="48"/>
      <c r="Y2196" s="48"/>
      <c r="Z2196" s="48"/>
      <c r="AA2196" s="48"/>
      <c r="AB2196" s="48"/>
      <c r="AC2196" s="48"/>
      <c r="AD2196" s="48"/>
      <c r="AE2196" s="48"/>
      <c r="AF2196" s="48"/>
      <c r="AG2196" s="48"/>
      <c r="AH2196" s="48"/>
      <c r="AI2196" s="48"/>
      <c r="AJ2196" s="48"/>
      <c r="AK2196" s="48"/>
      <c r="AL2196" s="48"/>
      <c r="AM2196" s="48"/>
      <c r="AN2196" s="48"/>
      <c r="AO2196" s="48"/>
      <c r="AP2196" s="48"/>
      <c r="AQ2196" s="48"/>
      <c r="AR2196" s="48"/>
      <c r="AS2196" s="48"/>
      <c r="AT2196" s="48"/>
      <c r="AU2196" s="48"/>
      <c r="AV2196" s="48"/>
      <c r="AW2196" s="48"/>
      <c r="AX2196" s="48"/>
      <c r="AY2196" s="48"/>
      <c r="AZ2196" s="48"/>
      <c r="BA2196" s="48"/>
      <c r="BB2196" s="48"/>
      <c r="BC2196" s="48"/>
      <c r="BD2196" s="48"/>
    </row>
    <row r="2197" spans="1:56">
      <c r="A2197" s="48"/>
      <c r="B2197" s="48"/>
      <c r="C2197" s="49"/>
      <c r="D2197" s="48"/>
      <c r="E2197" s="48"/>
      <c r="F2197" s="48"/>
      <c r="G2197" s="48"/>
      <c r="H2197" s="48"/>
      <c r="I2197" s="48"/>
      <c r="J2197" s="86"/>
      <c r="K2197" s="86"/>
      <c r="L2197" s="86"/>
      <c r="M2197" s="86"/>
      <c r="N2197" s="86"/>
      <c r="O2197" s="86"/>
      <c r="P2197" s="86"/>
      <c r="Q2197" s="86"/>
      <c r="R2197" s="86"/>
      <c r="S2197" s="86"/>
      <c r="T2197" s="86"/>
      <c r="U2197" s="86"/>
      <c r="V2197" s="48"/>
      <c r="W2197" s="48"/>
      <c r="X2197" s="48"/>
      <c r="Y2197" s="48"/>
      <c r="Z2197" s="48"/>
      <c r="AA2197" s="48"/>
      <c r="AB2197" s="48"/>
      <c r="AC2197" s="48"/>
      <c r="AD2197" s="48"/>
      <c r="AE2197" s="48"/>
      <c r="AF2197" s="48"/>
      <c r="AG2197" s="48"/>
      <c r="AH2197" s="48"/>
      <c r="AI2197" s="48"/>
      <c r="AJ2197" s="48"/>
      <c r="AK2197" s="48"/>
      <c r="AL2197" s="48"/>
      <c r="AM2197" s="48"/>
      <c r="AN2197" s="48"/>
      <c r="AO2197" s="48"/>
      <c r="AP2197" s="48"/>
      <c r="AQ2197" s="48"/>
      <c r="AR2197" s="48"/>
      <c r="AS2197" s="48"/>
      <c r="AT2197" s="48"/>
      <c r="AU2197" s="48"/>
      <c r="AV2197" s="48"/>
      <c r="AW2197" s="48"/>
      <c r="AX2197" s="48"/>
      <c r="AY2197" s="48"/>
      <c r="AZ2197" s="48"/>
      <c r="BA2197" s="48"/>
      <c r="BB2197" s="48"/>
      <c r="BC2197" s="48"/>
      <c r="BD2197" s="48"/>
    </row>
    <row r="2198" spans="1:56">
      <c r="A2198" s="48"/>
      <c r="B2198" s="48"/>
      <c r="C2198" s="49"/>
      <c r="D2198" s="48"/>
      <c r="E2198" s="48"/>
      <c r="F2198" s="48"/>
      <c r="G2198" s="48"/>
      <c r="H2198" s="48"/>
      <c r="I2198" s="48"/>
      <c r="J2198" s="86"/>
      <c r="K2198" s="86"/>
      <c r="L2198" s="86"/>
      <c r="M2198" s="86"/>
      <c r="N2198" s="86"/>
      <c r="O2198" s="86"/>
      <c r="P2198" s="86"/>
      <c r="Q2198" s="86"/>
      <c r="R2198" s="86"/>
      <c r="S2198" s="86"/>
      <c r="T2198" s="86"/>
      <c r="U2198" s="86"/>
      <c r="V2198" s="48"/>
      <c r="W2198" s="48"/>
      <c r="X2198" s="48"/>
      <c r="Y2198" s="48"/>
      <c r="Z2198" s="48"/>
      <c r="AA2198" s="48"/>
      <c r="AB2198" s="48"/>
      <c r="AC2198" s="48"/>
      <c r="AD2198" s="48"/>
      <c r="AE2198" s="48"/>
      <c r="AF2198" s="48"/>
      <c r="AG2198" s="48"/>
      <c r="AH2198" s="48"/>
      <c r="AI2198" s="48"/>
      <c r="AJ2198" s="48"/>
      <c r="AK2198" s="48"/>
      <c r="AL2198" s="48"/>
      <c r="AM2198" s="48"/>
      <c r="AN2198" s="48"/>
      <c r="AO2198" s="48"/>
      <c r="AP2198" s="48"/>
      <c r="AQ2198" s="48"/>
      <c r="AR2198" s="48"/>
      <c r="AS2198" s="48"/>
      <c r="AT2198" s="48"/>
      <c r="AU2198" s="48"/>
      <c r="AV2198" s="48"/>
      <c r="AW2198" s="48"/>
      <c r="AX2198" s="48"/>
      <c r="AY2198" s="48"/>
      <c r="AZ2198" s="48"/>
      <c r="BA2198" s="48"/>
      <c r="BB2198" s="48"/>
      <c r="BC2198" s="48"/>
      <c r="BD2198" s="48"/>
    </row>
    <row r="2199" spans="1:56">
      <c r="A2199" s="48"/>
      <c r="B2199" s="48"/>
      <c r="C2199" s="49"/>
      <c r="D2199" s="48"/>
      <c r="E2199" s="48"/>
      <c r="F2199" s="48"/>
      <c r="G2199" s="48"/>
      <c r="H2199" s="48"/>
      <c r="I2199" s="48"/>
      <c r="J2199" s="86"/>
      <c r="K2199" s="86"/>
      <c r="L2199" s="86"/>
      <c r="M2199" s="86"/>
      <c r="N2199" s="86"/>
      <c r="O2199" s="86"/>
      <c r="P2199" s="86"/>
      <c r="Q2199" s="86"/>
      <c r="R2199" s="86"/>
      <c r="S2199" s="86"/>
      <c r="T2199" s="86"/>
      <c r="U2199" s="86"/>
      <c r="V2199" s="48"/>
      <c r="W2199" s="48"/>
      <c r="X2199" s="48"/>
      <c r="Y2199" s="48"/>
      <c r="Z2199" s="48"/>
      <c r="AA2199" s="48"/>
      <c r="AB2199" s="48"/>
      <c r="AC2199" s="48"/>
      <c r="AD2199" s="48"/>
      <c r="AE2199" s="48"/>
      <c r="AF2199" s="48"/>
      <c r="AG2199" s="48"/>
      <c r="AH2199" s="48"/>
      <c r="AI2199" s="48"/>
      <c r="AJ2199" s="48"/>
      <c r="AK2199" s="48"/>
      <c r="AL2199" s="48"/>
      <c r="AM2199" s="48"/>
      <c r="AN2199" s="48"/>
      <c r="AO2199" s="48"/>
      <c r="AP2199" s="48"/>
      <c r="AQ2199" s="48"/>
      <c r="AR2199" s="48"/>
      <c r="AS2199" s="48"/>
      <c r="AT2199" s="48"/>
      <c r="AU2199" s="48"/>
      <c r="AV2199" s="48"/>
      <c r="AW2199" s="48"/>
      <c r="AX2199" s="48"/>
      <c r="AY2199" s="48"/>
      <c r="AZ2199" s="48"/>
      <c r="BA2199" s="48"/>
      <c r="BB2199" s="48"/>
      <c r="BC2199" s="48"/>
      <c r="BD2199" s="48"/>
    </row>
    <row r="2200" spans="1:56">
      <c r="A2200" s="48"/>
      <c r="B2200" s="48"/>
      <c r="C2200" s="49"/>
      <c r="D2200" s="48"/>
      <c r="E2200" s="48"/>
      <c r="F2200" s="48"/>
      <c r="G2200" s="48"/>
      <c r="H2200" s="48"/>
      <c r="I2200" s="48"/>
      <c r="J2200" s="86"/>
      <c r="K2200" s="86"/>
      <c r="L2200" s="86"/>
      <c r="M2200" s="86"/>
      <c r="N2200" s="86"/>
      <c r="O2200" s="86"/>
      <c r="P2200" s="86"/>
      <c r="Q2200" s="86"/>
      <c r="R2200" s="86"/>
      <c r="S2200" s="86"/>
      <c r="T2200" s="86"/>
      <c r="U2200" s="86"/>
      <c r="V2200" s="48"/>
      <c r="W2200" s="48"/>
      <c r="X2200" s="48"/>
      <c r="Y2200" s="48"/>
      <c r="Z2200" s="48"/>
      <c r="AA2200" s="48"/>
      <c r="AB2200" s="48"/>
      <c r="AC2200" s="48"/>
      <c r="AD2200" s="48"/>
      <c r="AE2200" s="48"/>
      <c r="AF2200" s="48"/>
      <c r="AG2200" s="48"/>
      <c r="AH2200" s="48"/>
      <c r="AI2200" s="48"/>
      <c r="AJ2200" s="48"/>
      <c r="AK2200" s="48"/>
      <c r="AL2200" s="48"/>
      <c r="AM2200" s="48"/>
      <c r="AN2200" s="48"/>
      <c r="AO2200" s="48"/>
      <c r="AP2200" s="48"/>
      <c r="AQ2200" s="48"/>
      <c r="AR2200" s="48"/>
      <c r="AS2200" s="48"/>
      <c r="AT2200" s="48"/>
      <c r="AU2200" s="48"/>
      <c r="AV2200" s="48"/>
      <c r="AW2200" s="48"/>
      <c r="AX2200" s="48"/>
      <c r="AY2200" s="48"/>
      <c r="AZ2200" s="48"/>
      <c r="BA2200" s="48"/>
      <c r="BB2200" s="48"/>
      <c r="BC2200" s="48"/>
      <c r="BD2200" s="48"/>
    </row>
    <row r="2201" spans="1:56">
      <c r="A2201" s="48"/>
      <c r="B2201" s="48"/>
      <c r="C2201" s="49"/>
      <c r="D2201" s="48"/>
      <c r="E2201" s="48"/>
      <c r="F2201" s="48"/>
      <c r="G2201" s="48"/>
      <c r="H2201" s="48"/>
      <c r="I2201" s="48"/>
      <c r="J2201" s="86"/>
      <c r="K2201" s="86"/>
      <c r="L2201" s="86"/>
      <c r="M2201" s="86"/>
      <c r="N2201" s="86"/>
      <c r="O2201" s="86"/>
      <c r="P2201" s="86"/>
      <c r="Q2201" s="86"/>
      <c r="R2201" s="86"/>
      <c r="S2201" s="86"/>
      <c r="T2201" s="86"/>
      <c r="U2201" s="86"/>
      <c r="V2201" s="48"/>
      <c r="W2201" s="48"/>
      <c r="X2201" s="48"/>
      <c r="Y2201" s="48"/>
      <c r="Z2201" s="48"/>
      <c r="AA2201" s="48"/>
      <c r="AB2201" s="48"/>
      <c r="AC2201" s="48"/>
      <c r="AD2201" s="48"/>
      <c r="AE2201" s="48"/>
      <c r="AF2201" s="48"/>
      <c r="AG2201" s="48"/>
      <c r="AH2201" s="48"/>
      <c r="AI2201" s="48"/>
      <c r="AJ2201" s="48"/>
      <c r="AK2201" s="48"/>
      <c r="AL2201" s="48"/>
      <c r="AM2201" s="48"/>
      <c r="AN2201" s="48"/>
      <c r="AO2201" s="48"/>
      <c r="AP2201" s="48"/>
      <c r="AQ2201" s="48"/>
      <c r="AR2201" s="48"/>
      <c r="AS2201" s="48"/>
      <c r="AT2201" s="48"/>
      <c r="AU2201" s="48"/>
      <c r="AV2201" s="48"/>
      <c r="AW2201" s="48"/>
      <c r="AX2201" s="48"/>
      <c r="AY2201" s="48"/>
      <c r="AZ2201" s="48"/>
      <c r="BA2201" s="48"/>
      <c r="BB2201" s="48"/>
      <c r="BC2201" s="48"/>
      <c r="BD2201" s="48"/>
    </row>
    <row r="2202" spans="1:56">
      <c r="A2202" s="48"/>
      <c r="B2202" s="48"/>
      <c r="C2202" s="49"/>
      <c r="D2202" s="48"/>
      <c r="E2202" s="48"/>
      <c r="F2202" s="48"/>
      <c r="G2202" s="48"/>
      <c r="H2202" s="48"/>
      <c r="I2202" s="48"/>
      <c r="J2202" s="86"/>
      <c r="K2202" s="86"/>
      <c r="L2202" s="86"/>
      <c r="M2202" s="86"/>
      <c r="N2202" s="86"/>
      <c r="O2202" s="86"/>
      <c r="P2202" s="86"/>
      <c r="Q2202" s="86"/>
      <c r="R2202" s="86"/>
      <c r="S2202" s="86"/>
      <c r="T2202" s="86"/>
      <c r="U2202" s="86"/>
      <c r="V2202" s="48"/>
      <c r="W2202" s="48"/>
      <c r="X2202" s="48"/>
      <c r="Y2202" s="48"/>
      <c r="Z2202" s="48"/>
      <c r="AA2202" s="48"/>
      <c r="AB2202" s="48"/>
      <c r="AC2202" s="48"/>
      <c r="AD2202" s="48"/>
      <c r="AE2202" s="48"/>
      <c r="AF2202" s="48"/>
      <c r="AG2202" s="48"/>
      <c r="AH2202" s="48"/>
      <c r="AI2202" s="48"/>
      <c r="AJ2202" s="48"/>
      <c r="AK2202" s="48"/>
      <c r="AL2202" s="48"/>
      <c r="AM2202" s="48"/>
      <c r="AN2202" s="48"/>
      <c r="AO2202" s="48"/>
      <c r="AP2202" s="48"/>
      <c r="AQ2202" s="48"/>
      <c r="AR2202" s="48"/>
      <c r="AS2202" s="48"/>
      <c r="AT2202" s="48"/>
      <c r="AU2202" s="48"/>
      <c r="AV2202" s="48"/>
      <c r="AW2202" s="48"/>
      <c r="AX2202" s="48"/>
      <c r="AY2202" s="48"/>
      <c r="AZ2202" s="48"/>
      <c r="BA2202" s="48"/>
      <c r="BB2202" s="48"/>
      <c r="BC2202" s="48"/>
      <c r="BD2202" s="48"/>
    </row>
    <row r="2203" spans="1:56">
      <c r="A2203" s="48"/>
      <c r="B2203" s="48"/>
      <c r="C2203" s="49"/>
      <c r="D2203" s="48"/>
      <c r="E2203" s="48"/>
      <c r="F2203" s="48"/>
      <c r="G2203" s="48"/>
      <c r="H2203" s="48"/>
      <c r="I2203" s="48"/>
      <c r="J2203" s="86"/>
      <c r="K2203" s="86"/>
      <c r="L2203" s="86"/>
      <c r="M2203" s="86"/>
      <c r="N2203" s="86"/>
      <c r="O2203" s="86"/>
      <c r="P2203" s="86"/>
      <c r="Q2203" s="86"/>
      <c r="R2203" s="86"/>
      <c r="S2203" s="86"/>
      <c r="T2203" s="86"/>
      <c r="U2203" s="86"/>
      <c r="V2203" s="48"/>
      <c r="W2203" s="48"/>
      <c r="X2203" s="48"/>
      <c r="Y2203" s="48"/>
      <c r="Z2203" s="48"/>
      <c r="AA2203" s="48"/>
      <c r="AB2203" s="48"/>
      <c r="AC2203" s="48"/>
      <c r="AD2203" s="48"/>
      <c r="AE2203" s="48"/>
      <c r="AF2203" s="48"/>
      <c r="AG2203" s="48"/>
      <c r="AH2203" s="48"/>
      <c r="AI2203" s="48"/>
      <c r="AJ2203" s="48"/>
      <c r="AK2203" s="48"/>
      <c r="AL2203" s="48"/>
      <c r="AM2203" s="48"/>
      <c r="AN2203" s="48"/>
      <c r="AO2203" s="48"/>
      <c r="AP2203" s="48"/>
      <c r="AQ2203" s="48"/>
      <c r="AR2203" s="48"/>
      <c r="AS2203" s="48"/>
      <c r="AT2203" s="48"/>
      <c r="AU2203" s="48"/>
      <c r="AV2203" s="48"/>
      <c r="AW2203" s="48"/>
      <c r="AX2203" s="48"/>
      <c r="AY2203" s="48"/>
      <c r="AZ2203" s="48"/>
      <c r="BA2203" s="48"/>
      <c r="BB2203" s="48"/>
      <c r="BC2203" s="48"/>
      <c r="BD2203" s="48"/>
    </row>
    <row r="2204" spans="1:56">
      <c r="A2204" s="48"/>
      <c r="B2204" s="48"/>
      <c r="C2204" s="49"/>
      <c r="D2204" s="48"/>
      <c r="E2204" s="48"/>
      <c r="F2204" s="48"/>
      <c r="G2204" s="48"/>
      <c r="H2204" s="48"/>
      <c r="I2204" s="48"/>
      <c r="J2204" s="86"/>
      <c r="K2204" s="86"/>
      <c r="L2204" s="86"/>
      <c r="M2204" s="86"/>
      <c r="N2204" s="86"/>
      <c r="O2204" s="86"/>
      <c r="P2204" s="86"/>
      <c r="Q2204" s="86"/>
      <c r="R2204" s="86"/>
      <c r="S2204" s="86"/>
      <c r="T2204" s="86"/>
      <c r="U2204" s="86"/>
      <c r="V2204" s="48"/>
      <c r="W2204" s="48"/>
      <c r="X2204" s="48"/>
      <c r="Y2204" s="48"/>
      <c r="Z2204" s="48"/>
      <c r="AA2204" s="48"/>
      <c r="AB2204" s="48"/>
      <c r="AC2204" s="48"/>
      <c r="AD2204" s="48"/>
      <c r="AE2204" s="48"/>
      <c r="AF2204" s="48"/>
      <c r="AG2204" s="48"/>
      <c r="AH2204" s="48"/>
      <c r="AI2204" s="48"/>
      <c r="AJ2204" s="48"/>
      <c r="AK2204" s="48"/>
      <c r="AL2204" s="48"/>
      <c r="AM2204" s="48"/>
      <c r="AN2204" s="48"/>
      <c r="AO2204" s="48"/>
      <c r="AP2204" s="48"/>
      <c r="AQ2204" s="48"/>
      <c r="AR2204" s="48"/>
      <c r="AS2204" s="48"/>
      <c r="AT2204" s="48"/>
      <c r="AU2204" s="48"/>
      <c r="AV2204" s="48"/>
      <c r="AW2204" s="48"/>
      <c r="AX2204" s="48"/>
      <c r="AY2204" s="48"/>
      <c r="AZ2204" s="48"/>
      <c r="BA2204" s="48"/>
      <c r="BB2204" s="48"/>
      <c r="BC2204" s="48"/>
      <c r="BD2204" s="48"/>
    </row>
    <row r="2205" spans="1:56">
      <c r="A2205" s="48"/>
      <c r="B2205" s="48"/>
      <c r="C2205" s="49"/>
      <c r="D2205" s="48"/>
      <c r="E2205" s="48"/>
      <c r="F2205" s="48"/>
      <c r="G2205" s="48"/>
      <c r="H2205" s="48"/>
      <c r="I2205" s="48"/>
      <c r="J2205" s="86"/>
      <c r="K2205" s="86"/>
      <c r="L2205" s="86"/>
      <c r="M2205" s="86"/>
      <c r="N2205" s="86"/>
      <c r="O2205" s="86"/>
      <c r="P2205" s="86"/>
      <c r="Q2205" s="86"/>
      <c r="R2205" s="86"/>
      <c r="S2205" s="86"/>
      <c r="T2205" s="86"/>
      <c r="U2205" s="86"/>
      <c r="V2205" s="48"/>
      <c r="W2205" s="48"/>
      <c r="X2205" s="48"/>
      <c r="Y2205" s="48"/>
      <c r="Z2205" s="48"/>
      <c r="AA2205" s="48"/>
      <c r="AB2205" s="48"/>
      <c r="AC2205" s="48"/>
      <c r="AD2205" s="48"/>
      <c r="AE2205" s="48"/>
      <c r="AF2205" s="48"/>
      <c r="AG2205" s="48"/>
      <c r="AH2205" s="48"/>
      <c r="AI2205" s="48"/>
      <c r="AJ2205" s="48"/>
      <c r="AK2205" s="48"/>
      <c r="AL2205" s="48"/>
      <c r="AM2205" s="48"/>
      <c r="AN2205" s="48"/>
      <c r="AO2205" s="48"/>
      <c r="AP2205" s="48"/>
      <c r="AQ2205" s="48"/>
      <c r="AR2205" s="48"/>
      <c r="AS2205" s="48"/>
      <c r="AT2205" s="48"/>
      <c r="AU2205" s="48"/>
      <c r="AV2205" s="48"/>
      <c r="AW2205" s="48"/>
      <c r="AX2205" s="48"/>
      <c r="AY2205" s="48"/>
      <c r="AZ2205" s="48"/>
      <c r="BA2205" s="48"/>
      <c r="BB2205" s="48"/>
      <c r="BC2205" s="48"/>
      <c r="BD2205" s="48"/>
    </row>
    <row r="2206" spans="1:56">
      <c r="A2206" s="48"/>
      <c r="B2206" s="48"/>
      <c r="C2206" s="49"/>
      <c r="D2206" s="48"/>
      <c r="E2206" s="48"/>
      <c r="F2206" s="48"/>
      <c r="G2206" s="48"/>
      <c r="H2206" s="48"/>
      <c r="I2206" s="48"/>
      <c r="J2206" s="86"/>
      <c r="K2206" s="86"/>
      <c r="L2206" s="86"/>
      <c r="M2206" s="86"/>
      <c r="N2206" s="86"/>
      <c r="O2206" s="86"/>
      <c r="P2206" s="86"/>
      <c r="Q2206" s="86"/>
      <c r="R2206" s="86"/>
      <c r="S2206" s="86"/>
      <c r="T2206" s="86"/>
      <c r="U2206" s="86"/>
      <c r="V2206" s="48"/>
      <c r="W2206" s="48"/>
      <c r="X2206" s="48"/>
      <c r="Y2206" s="48"/>
      <c r="Z2206" s="48"/>
      <c r="AA2206" s="48"/>
      <c r="AB2206" s="48"/>
      <c r="AC2206" s="48"/>
      <c r="AD2206" s="48"/>
      <c r="AE2206" s="48"/>
      <c r="AF2206" s="48"/>
      <c r="AG2206" s="48"/>
      <c r="AH2206" s="48"/>
      <c r="AI2206" s="48"/>
      <c r="AJ2206" s="48"/>
      <c r="AK2206" s="48"/>
      <c r="AL2206" s="48"/>
      <c r="AM2206" s="48"/>
      <c r="AN2206" s="48"/>
      <c r="AO2206" s="48"/>
      <c r="AP2206" s="48"/>
      <c r="AQ2206" s="48"/>
      <c r="AR2206" s="48"/>
      <c r="AS2206" s="48"/>
      <c r="AT2206" s="48"/>
      <c r="AU2206" s="48"/>
      <c r="AV2206" s="48"/>
      <c r="AW2206" s="48"/>
      <c r="AX2206" s="48"/>
      <c r="AY2206" s="48"/>
      <c r="AZ2206" s="48"/>
      <c r="BA2206" s="48"/>
      <c r="BB2206" s="48"/>
      <c r="BC2206" s="48"/>
      <c r="BD2206" s="48"/>
    </row>
    <row r="2207" spans="1:56">
      <c r="A2207" s="48"/>
      <c r="B2207" s="48"/>
      <c r="C2207" s="49"/>
      <c r="D2207" s="48"/>
      <c r="E2207" s="48"/>
      <c r="F2207" s="48"/>
      <c r="G2207" s="48"/>
      <c r="H2207" s="48"/>
      <c r="I2207" s="48"/>
      <c r="J2207" s="86"/>
      <c r="K2207" s="86"/>
      <c r="L2207" s="86"/>
      <c r="M2207" s="86"/>
      <c r="N2207" s="86"/>
      <c r="O2207" s="86"/>
      <c r="P2207" s="86"/>
      <c r="Q2207" s="86"/>
      <c r="R2207" s="86"/>
      <c r="S2207" s="86"/>
      <c r="T2207" s="86"/>
      <c r="U2207" s="86"/>
      <c r="V2207" s="48"/>
      <c r="W2207" s="48"/>
      <c r="X2207" s="48"/>
      <c r="Y2207" s="48"/>
      <c r="Z2207" s="48"/>
      <c r="AA2207" s="48"/>
      <c r="AB2207" s="48"/>
      <c r="AC2207" s="48"/>
      <c r="AD2207" s="48"/>
      <c r="AE2207" s="48"/>
      <c r="AF2207" s="48"/>
      <c r="AG2207" s="48"/>
      <c r="AH2207" s="48"/>
      <c r="AI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  <c r="AZ2207" s="48"/>
      <c r="BA2207" s="48"/>
      <c r="BB2207" s="48"/>
      <c r="BC2207" s="48"/>
      <c r="BD2207" s="48"/>
    </row>
    <row r="2208" spans="1:56">
      <c r="A2208" s="48"/>
      <c r="B2208" s="48"/>
      <c r="C2208" s="49"/>
      <c r="D2208" s="48"/>
      <c r="E2208" s="48"/>
      <c r="F2208" s="48"/>
      <c r="G2208" s="48"/>
      <c r="H2208" s="48"/>
      <c r="I2208" s="48"/>
      <c r="J2208" s="86"/>
      <c r="K2208" s="86"/>
      <c r="L2208" s="86"/>
      <c r="M2208" s="86"/>
      <c r="N2208" s="86"/>
      <c r="O2208" s="86"/>
      <c r="P2208" s="86"/>
      <c r="Q2208" s="86"/>
      <c r="R2208" s="86"/>
      <c r="S2208" s="86"/>
      <c r="T2208" s="86"/>
      <c r="U2208" s="86"/>
      <c r="V2208" s="48"/>
      <c r="W2208" s="48"/>
      <c r="X2208" s="48"/>
      <c r="Y2208" s="48"/>
      <c r="Z2208" s="48"/>
      <c r="AA2208" s="48"/>
      <c r="AB2208" s="48"/>
      <c r="AC2208" s="48"/>
      <c r="AD2208" s="48"/>
      <c r="AE2208" s="48"/>
      <c r="AF2208" s="48"/>
      <c r="AG2208" s="48"/>
      <c r="AH2208" s="48"/>
      <c r="AI2208" s="48"/>
      <c r="AJ2208" s="48"/>
      <c r="AK2208" s="48"/>
      <c r="AL2208" s="48"/>
      <c r="AM2208" s="48"/>
      <c r="AN2208" s="48"/>
      <c r="AO2208" s="48"/>
      <c r="AP2208" s="48"/>
      <c r="AQ2208" s="48"/>
      <c r="AR2208" s="48"/>
      <c r="AS2208" s="48"/>
      <c r="AT2208" s="48"/>
      <c r="AU2208" s="48"/>
      <c r="AV2208" s="48"/>
      <c r="AW2208" s="48"/>
      <c r="AX2208" s="48"/>
      <c r="AY2208" s="48"/>
      <c r="AZ2208" s="48"/>
      <c r="BA2208" s="48"/>
      <c r="BB2208" s="48"/>
      <c r="BC2208" s="48"/>
      <c r="BD2208" s="48"/>
    </row>
    <row r="2209" spans="1:56">
      <c r="A2209" s="48"/>
      <c r="B2209" s="48"/>
      <c r="C2209" s="49"/>
      <c r="D2209" s="48"/>
      <c r="E2209" s="48"/>
      <c r="F2209" s="48"/>
      <c r="G2209" s="48"/>
      <c r="H2209" s="48"/>
      <c r="I2209" s="48"/>
      <c r="J2209" s="86"/>
      <c r="K2209" s="86"/>
      <c r="L2209" s="86"/>
      <c r="M2209" s="86"/>
      <c r="N2209" s="86"/>
      <c r="O2209" s="86"/>
      <c r="P2209" s="86"/>
      <c r="Q2209" s="86"/>
      <c r="R2209" s="86"/>
      <c r="S2209" s="86"/>
      <c r="T2209" s="86"/>
      <c r="U2209" s="86"/>
      <c r="V2209" s="48"/>
      <c r="W2209" s="48"/>
      <c r="X2209" s="48"/>
      <c r="Y2209" s="48"/>
      <c r="Z2209" s="48"/>
      <c r="AA2209" s="48"/>
      <c r="AB2209" s="48"/>
      <c r="AC2209" s="48"/>
      <c r="AD2209" s="48"/>
      <c r="AE2209" s="48"/>
      <c r="AF2209" s="48"/>
      <c r="AG2209" s="48"/>
      <c r="AH2209" s="48"/>
      <c r="AI2209" s="48"/>
      <c r="AJ2209" s="48"/>
      <c r="AK2209" s="48"/>
      <c r="AL2209" s="48"/>
      <c r="AM2209" s="48"/>
      <c r="AN2209" s="48"/>
      <c r="AO2209" s="48"/>
      <c r="AP2209" s="48"/>
      <c r="AQ2209" s="48"/>
      <c r="AR2209" s="48"/>
      <c r="AS2209" s="48"/>
      <c r="AT2209" s="48"/>
      <c r="AU2209" s="48"/>
      <c r="AV2209" s="48"/>
      <c r="AW2209" s="48"/>
      <c r="AX2209" s="48"/>
      <c r="AY2209" s="48"/>
      <c r="AZ2209" s="48"/>
      <c r="BA2209" s="48"/>
      <c r="BB2209" s="48"/>
      <c r="BC2209" s="48"/>
      <c r="BD2209" s="48"/>
    </row>
    <row r="2210" spans="1:56">
      <c r="A2210" s="48"/>
      <c r="B2210" s="48"/>
      <c r="C2210" s="49"/>
      <c r="D2210" s="48"/>
      <c r="E2210" s="48"/>
      <c r="F2210" s="48"/>
      <c r="G2210" s="48"/>
      <c r="H2210" s="48"/>
      <c r="I2210" s="48"/>
      <c r="J2210" s="86"/>
      <c r="K2210" s="86"/>
      <c r="L2210" s="86"/>
      <c r="M2210" s="86"/>
      <c r="N2210" s="86"/>
      <c r="O2210" s="86"/>
      <c r="P2210" s="86"/>
      <c r="Q2210" s="86"/>
      <c r="R2210" s="86"/>
      <c r="S2210" s="86"/>
      <c r="T2210" s="86"/>
      <c r="U2210" s="86"/>
      <c r="V2210" s="48"/>
      <c r="W2210" s="48"/>
      <c r="X2210" s="48"/>
      <c r="Y2210" s="48"/>
      <c r="Z2210" s="48"/>
      <c r="AA2210" s="48"/>
      <c r="AB2210" s="48"/>
      <c r="AC2210" s="48"/>
      <c r="AD2210" s="48"/>
      <c r="AE2210" s="48"/>
      <c r="AF2210" s="48"/>
      <c r="AG2210" s="48"/>
      <c r="AH2210" s="48"/>
      <c r="AI2210" s="48"/>
      <c r="AJ2210" s="48"/>
      <c r="AK2210" s="48"/>
      <c r="AL2210" s="48"/>
      <c r="AM2210" s="48"/>
      <c r="AN2210" s="48"/>
      <c r="AO2210" s="48"/>
      <c r="AP2210" s="48"/>
      <c r="AQ2210" s="48"/>
      <c r="AR2210" s="48"/>
      <c r="AS2210" s="48"/>
      <c r="AT2210" s="48"/>
      <c r="AU2210" s="48"/>
      <c r="AV2210" s="48"/>
      <c r="AW2210" s="48"/>
      <c r="AX2210" s="48"/>
      <c r="AY2210" s="48"/>
      <c r="AZ2210" s="48"/>
      <c r="BA2210" s="48"/>
      <c r="BB2210" s="48"/>
      <c r="BC2210" s="48"/>
      <c r="BD2210" s="48"/>
    </row>
    <row r="2211" spans="1:56">
      <c r="A2211" s="48"/>
      <c r="B2211" s="48"/>
      <c r="C2211" s="49"/>
      <c r="D2211" s="48"/>
      <c r="E2211" s="48"/>
      <c r="F2211" s="48"/>
      <c r="G2211" s="48"/>
      <c r="H2211" s="48"/>
      <c r="I2211" s="48"/>
      <c r="J2211" s="86"/>
      <c r="K2211" s="86"/>
      <c r="L2211" s="86"/>
      <c r="M2211" s="86"/>
      <c r="N2211" s="86"/>
      <c r="O2211" s="86"/>
      <c r="P2211" s="86"/>
      <c r="Q2211" s="86"/>
      <c r="R2211" s="86"/>
      <c r="S2211" s="86"/>
      <c r="T2211" s="86"/>
      <c r="U2211" s="86"/>
      <c r="V2211" s="48"/>
      <c r="W2211" s="48"/>
      <c r="X2211" s="48"/>
      <c r="Y2211" s="48"/>
      <c r="Z2211" s="48"/>
      <c r="AA2211" s="48"/>
      <c r="AB2211" s="48"/>
      <c r="AC2211" s="48"/>
      <c r="AD2211" s="48"/>
      <c r="AE2211" s="48"/>
      <c r="AF2211" s="48"/>
      <c r="AG2211" s="48"/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48"/>
      <c r="BB2211" s="48"/>
      <c r="BC2211" s="48"/>
      <c r="BD2211" s="48"/>
    </row>
    <row r="2212" spans="1:56">
      <c r="A2212" s="48"/>
      <c r="B2212" s="48"/>
      <c r="C2212" s="49"/>
      <c r="D2212" s="48"/>
      <c r="E2212" s="48"/>
      <c r="F2212" s="48"/>
      <c r="G2212" s="48"/>
      <c r="H2212" s="48"/>
      <c r="I2212" s="48"/>
      <c r="J2212" s="86"/>
      <c r="K2212" s="86"/>
      <c r="L2212" s="86"/>
      <c r="M2212" s="86"/>
      <c r="N2212" s="86"/>
      <c r="O2212" s="86"/>
      <c r="P2212" s="86"/>
      <c r="Q2212" s="86"/>
      <c r="R2212" s="86"/>
      <c r="S2212" s="86"/>
      <c r="T2212" s="86"/>
      <c r="U2212" s="86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  <c r="AP2212" s="48"/>
      <c r="AQ2212" s="48"/>
      <c r="AR2212" s="48"/>
      <c r="AS2212" s="48"/>
      <c r="AT2212" s="48"/>
      <c r="AU2212" s="48"/>
      <c r="AV2212" s="48"/>
      <c r="AW2212" s="48"/>
      <c r="AX2212" s="48"/>
      <c r="AY2212" s="48"/>
      <c r="AZ2212" s="48"/>
      <c r="BA2212" s="48"/>
      <c r="BB2212" s="48"/>
      <c r="BC2212" s="48"/>
      <c r="BD2212" s="48"/>
    </row>
    <row r="2213" spans="1:56">
      <c r="A2213" s="48"/>
      <c r="B2213" s="48"/>
      <c r="C2213" s="49"/>
      <c r="D2213" s="48"/>
      <c r="E2213" s="48"/>
      <c r="F2213" s="48"/>
      <c r="G2213" s="48"/>
      <c r="H2213" s="48"/>
      <c r="I2213" s="48"/>
      <c r="J2213" s="86"/>
      <c r="K2213" s="86"/>
      <c r="L2213" s="86"/>
      <c r="M2213" s="86"/>
      <c r="N2213" s="86"/>
      <c r="O2213" s="86"/>
      <c r="P2213" s="86"/>
      <c r="Q2213" s="86"/>
      <c r="R2213" s="86"/>
      <c r="S2213" s="86"/>
      <c r="T2213" s="86"/>
      <c r="U2213" s="86"/>
      <c r="V2213" s="48"/>
      <c r="W2213" s="48"/>
      <c r="X2213" s="48"/>
      <c r="Y2213" s="48"/>
      <c r="Z2213" s="48"/>
      <c r="AA2213" s="48"/>
      <c r="AB2213" s="48"/>
      <c r="AC2213" s="48"/>
      <c r="AD2213" s="48"/>
      <c r="AE2213" s="48"/>
      <c r="AF2213" s="48"/>
      <c r="AG2213" s="48"/>
      <c r="AH2213" s="48"/>
      <c r="AI2213" s="48"/>
      <c r="AJ2213" s="48"/>
      <c r="AK2213" s="48"/>
      <c r="AL2213" s="48"/>
      <c r="AM2213" s="48"/>
      <c r="AN2213" s="48"/>
      <c r="AO2213" s="48"/>
      <c r="AP2213" s="48"/>
      <c r="AQ2213" s="48"/>
      <c r="AR2213" s="48"/>
      <c r="AS2213" s="48"/>
      <c r="AT2213" s="48"/>
      <c r="AU2213" s="48"/>
      <c r="AV2213" s="48"/>
      <c r="AW2213" s="48"/>
      <c r="AX2213" s="48"/>
      <c r="AY2213" s="48"/>
      <c r="AZ2213" s="48"/>
      <c r="BA2213" s="48"/>
      <c r="BB2213" s="48"/>
      <c r="BC2213" s="48"/>
      <c r="BD2213" s="48"/>
    </row>
    <row r="2214" spans="1:56">
      <c r="A2214" s="48"/>
      <c r="B2214" s="48"/>
      <c r="C2214" s="49"/>
      <c r="D2214" s="48"/>
      <c r="E2214" s="48"/>
      <c r="F2214" s="48"/>
      <c r="G2214" s="48"/>
      <c r="H2214" s="48"/>
      <c r="I2214" s="48"/>
      <c r="J2214" s="86"/>
      <c r="K2214" s="86"/>
      <c r="L2214" s="86"/>
      <c r="M2214" s="86"/>
      <c r="N2214" s="86"/>
      <c r="O2214" s="86"/>
      <c r="P2214" s="86"/>
      <c r="Q2214" s="86"/>
      <c r="R2214" s="86"/>
      <c r="S2214" s="86"/>
      <c r="T2214" s="86"/>
      <c r="U2214" s="86"/>
      <c r="V2214" s="48"/>
      <c r="W2214" s="48"/>
      <c r="X2214" s="48"/>
      <c r="Y2214" s="48"/>
      <c r="Z2214" s="48"/>
      <c r="AA2214" s="48"/>
      <c r="AB2214" s="48"/>
      <c r="AC2214" s="48"/>
      <c r="AD2214" s="48"/>
      <c r="AE2214" s="48"/>
      <c r="AF2214" s="48"/>
      <c r="AG2214" s="48"/>
      <c r="AH2214" s="48"/>
      <c r="AI2214" s="48"/>
      <c r="AJ2214" s="48"/>
      <c r="AK2214" s="48"/>
      <c r="AL2214" s="48"/>
      <c r="AM2214" s="48"/>
      <c r="AN2214" s="48"/>
      <c r="AO2214" s="48"/>
      <c r="AP2214" s="48"/>
      <c r="AQ2214" s="48"/>
      <c r="AR2214" s="48"/>
      <c r="AS2214" s="48"/>
      <c r="AT2214" s="48"/>
      <c r="AU2214" s="48"/>
      <c r="AV2214" s="48"/>
      <c r="AW2214" s="48"/>
      <c r="AX2214" s="48"/>
      <c r="AY2214" s="48"/>
      <c r="AZ2214" s="48"/>
      <c r="BA2214" s="48"/>
      <c r="BB2214" s="48"/>
      <c r="BC2214" s="48"/>
      <c r="BD2214" s="48"/>
    </row>
    <row r="2215" spans="1:56">
      <c r="A2215" s="48"/>
      <c r="B2215" s="48"/>
      <c r="C2215" s="49"/>
      <c r="D2215" s="48"/>
      <c r="E2215" s="48"/>
      <c r="F2215" s="48"/>
      <c r="G2215" s="48"/>
      <c r="H2215" s="48"/>
      <c r="I2215" s="48"/>
      <c r="J2215" s="86"/>
      <c r="K2215" s="86"/>
      <c r="L2215" s="86"/>
      <c r="M2215" s="86"/>
      <c r="N2215" s="86"/>
      <c r="O2215" s="86"/>
      <c r="P2215" s="86"/>
      <c r="Q2215" s="86"/>
      <c r="R2215" s="86"/>
      <c r="S2215" s="86"/>
      <c r="T2215" s="86"/>
      <c r="U2215" s="86"/>
      <c r="V2215" s="48"/>
      <c r="W2215" s="48"/>
      <c r="X2215" s="48"/>
      <c r="Y2215" s="48"/>
      <c r="Z2215" s="48"/>
      <c r="AA2215" s="48"/>
      <c r="AB2215" s="48"/>
      <c r="AC2215" s="48"/>
      <c r="AD2215" s="48"/>
      <c r="AE2215" s="48"/>
      <c r="AF2215" s="48"/>
      <c r="AG2215" s="48"/>
      <c r="AH2215" s="48"/>
      <c r="AI2215" s="48"/>
      <c r="AJ2215" s="48"/>
      <c r="AK2215" s="48"/>
      <c r="AL2215" s="48"/>
      <c r="AM2215" s="48"/>
      <c r="AN2215" s="48"/>
      <c r="AO2215" s="48"/>
      <c r="AP2215" s="48"/>
      <c r="AQ2215" s="48"/>
      <c r="AR2215" s="48"/>
      <c r="AS2215" s="48"/>
      <c r="AT2215" s="48"/>
      <c r="AU2215" s="48"/>
      <c r="AV2215" s="48"/>
      <c r="AW2215" s="48"/>
      <c r="AX2215" s="48"/>
      <c r="AY2215" s="48"/>
      <c r="AZ2215" s="48"/>
      <c r="BA2215" s="48"/>
      <c r="BB2215" s="48"/>
      <c r="BC2215" s="48"/>
      <c r="BD2215" s="48"/>
    </row>
    <row r="2216" spans="1:56">
      <c r="A2216" s="48"/>
      <c r="B2216" s="48"/>
      <c r="C2216" s="49"/>
      <c r="D2216" s="48"/>
      <c r="E2216" s="48"/>
      <c r="F2216" s="48"/>
      <c r="G2216" s="48"/>
      <c r="H2216" s="48"/>
      <c r="I2216" s="48"/>
      <c r="J2216" s="86"/>
      <c r="K2216" s="86"/>
      <c r="L2216" s="86"/>
      <c r="M2216" s="86"/>
      <c r="N2216" s="86"/>
      <c r="O2216" s="86"/>
      <c r="P2216" s="86"/>
      <c r="Q2216" s="86"/>
      <c r="R2216" s="86"/>
      <c r="S2216" s="86"/>
      <c r="T2216" s="86"/>
      <c r="U2216" s="86"/>
      <c r="V2216" s="48"/>
      <c r="W2216" s="48"/>
      <c r="X2216" s="48"/>
      <c r="Y2216" s="48"/>
      <c r="Z2216" s="48"/>
      <c r="AA2216" s="48"/>
      <c r="AB2216" s="48"/>
      <c r="AC2216" s="48"/>
      <c r="AD2216" s="48"/>
      <c r="AE2216" s="48"/>
      <c r="AF2216" s="48"/>
      <c r="AG2216" s="48"/>
      <c r="AH2216" s="48"/>
      <c r="AI2216" s="48"/>
      <c r="AJ2216" s="48"/>
      <c r="AK2216" s="48"/>
      <c r="AL2216" s="48"/>
      <c r="AM2216" s="48"/>
      <c r="AN2216" s="48"/>
      <c r="AO2216" s="48"/>
      <c r="AP2216" s="48"/>
      <c r="AQ2216" s="48"/>
      <c r="AR2216" s="48"/>
      <c r="AS2216" s="48"/>
      <c r="AT2216" s="48"/>
      <c r="AU2216" s="48"/>
      <c r="AV2216" s="48"/>
      <c r="AW2216" s="48"/>
      <c r="AX2216" s="48"/>
      <c r="AY2216" s="48"/>
      <c r="AZ2216" s="48"/>
      <c r="BA2216" s="48"/>
      <c r="BB2216" s="48"/>
      <c r="BC2216" s="48"/>
      <c r="BD2216" s="48"/>
    </row>
    <row r="2217" spans="1:56">
      <c r="A2217" s="48"/>
      <c r="B2217" s="48"/>
      <c r="C2217" s="49"/>
      <c r="D2217" s="48"/>
      <c r="E2217" s="48"/>
      <c r="F2217" s="48"/>
      <c r="G2217" s="48"/>
      <c r="H2217" s="48"/>
      <c r="I2217" s="48"/>
      <c r="J2217" s="86"/>
      <c r="K2217" s="86"/>
      <c r="L2217" s="86"/>
      <c r="M2217" s="86"/>
      <c r="N2217" s="86"/>
      <c r="O2217" s="86"/>
      <c r="P2217" s="86"/>
      <c r="Q2217" s="86"/>
      <c r="R2217" s="86"/>
      <c r="S2217" s="86"/>
      <c r="T2217" s="86"/>
      <c r="U2217" s="86"/>
      <c r="V2217" s="48"/>
      <c r="W2217" s="48"/>
      <c r="X2217" s="48"/>
      <c r="Y2217" s="48"/>
      <c r="Z2217" s="48"/>
      <c r="AA2217" s="48"/>
      <c r="AB2217" s="48"/>
      <c r="AC2217" s="48"/>
      <c r="AD2217" s="48"/>
      <c r="AE2217" s="48"/>
      <c r="AF2217" s="48"/>
      <c r="AG2217" s="48"/>
      <c r="AH2217" s="48"/>
      <c r="AI2217" s="48"/>
      <c r="AJ2217" s="48"/>
      <c r="AK2217" s="48"/>
      <c r="AL2217" s="48"/>
      <c r="AM2217" s="48"/>
      <c r="AN2217" s="48"/>
      <c r="AO2217" s="48"/>
      <c r="AP2217" s="48"/>
      <c r="AQ2217" s="48"/>
      <c r="AR2217" s="48"/>
      <c r="AS2217" s="48"/>
      <c r="AT2217" s="48"/>
      <c r="AU2217" s="48"/>
      <c r="AV2217" s="48"/>
      <c r="AW2217" s="48"/>
      <c r="AX2217" s="48"/>
      <c r="AY2217" s="48"/>
      <c r="AZ2217" s="48"/>
      <c r="BA2217" s="48"/>
      <c r="BB2217" s="48"/>
      <c r="BC2217" s="48"/>
      <c r="BD2217" s="48"/>
    </row>
    <row r="2218" spans="1:56">
      <c r="A2218" s="48"/>
      <c r="B2218" s="48"/>
      <c r="C2218" s="49"/>
      <c r="D2218" s="48"/>
      <c r="E2218" s="48"/>
      <c r="F2218" s="48"/>
      <c r="G2218" s="48"/>
      <c r="H2218" s="48"/>
      <c r="I2218" s="48"/>
      <c r="J2218" s="86"/>
      <c r="K2218" s="86"/>
      <c r="L2218" s="86"/>
      <c r="M2218" s="86"/>
      <c r="N2218" s="86"/>
      <c r="O2218" s="86"/>
      <c r="P2218" s="86"/>
      <c r="Q2218" s="86"/>
      <c r="R2218" s="86"/>
      <c r="S2218" s="86"/>
      <c r="T2218" s="86"/>
      <c r="U2218" s="86"/>
      <c r="V2218" s="48"/>
      <c r="W2218" s="48"/>
      <c r="X2218" s="48"/>
      <c r="Y2218" s="48"/>
      <c r="Z2218" s="48"/>
      <c r="AA2218" s="48"/>
      <c r="AB2218" s="48"/>
      <c r="AC2218" s="48"/>
      <c r="AD2218" s="48"/>
      <c r="AE2218" s="48"/>
      <c r="AF2218" s="48"/>
      <c r="AG2218" s="48"/>
      <c r="AH2218" s="48"/>
      <c r="AI2218" s="48"/>
      <c r="AJ2218" s="48"/>
      <c r="AK2218" s="48"/>
      <c r="AL2218" s="48"/>
      <c r="AM2218" s="48"/>
      <c r="AN2218" s="48"/>
      <c r="AO2218" s="48"/>
      <c r="AP2218" s="48"/>
      <c r="AQ2218" s="48"/>
      <c r="AR2218" s="48"/>
      <c r="AS2218" s="48"/>
      <c r="AT2218" s="48"/>
      <c r="AU2218" s="48"/>
      <c r="AV2218" s="48"/>
      <c r="AW2218" s="48"/>
      <c r="AX2218" s="48"/>
      <c r="AY2218" s="48"/>
      <c r="AZ2218" s="48"/>
      <c r="BA2218" s="48"/>
      <c r="BB2218" s="48"/>
      <c r="BC2218" s="48"/>
      <c r="BD2218" s="48"/>
    </row>
    <row r="2219" spans="1:56">
      <c r="A2219" s="48"/>
      <c r="B2219" s="48"/>
      <c r="C2219" s="49"/>
      <c r="D2219" s="48"/>
      <c r="E2219" s="48"/>
      <c r="F2219" s="48"/>
      <c r="G2219" s="48"/>
      <c r="H2219" s="48"/>
      <c r="I2219" s="48"/>
      <c r="J2219" s="86"/>
      <c r="K2219" s="86"/>
      <c r="L2219" s="86"/>
      <c r="M2219" s="86"/>
      <c r="N2219" s="86"/>
      <c r="O2219" s="86"/>
      <c r="P2219" s="86"/>
      <c r="Q2219" s="86"/>
      <c r="R2219" s="86"/>
      <c r="S2219" s="86"/>
      <c r="T2219" s="86"/>
      <c r="U2219" s="86"/>
      <c r="V2219" s="48"/>
      <c r="W2219" s="48"/>
      <c r="X2219" s="48"/>
      <c r="Y2219" s="48"/>
      <c r="Z2219" s="48"/>
      <c r="AA2219" s="48"/>
      <c r="AB2219" s="48"/>
      <c r="AC2219" s="48"/>
      <c r="AD2219" s="48"/>
      <c r="AE2219" s="48"/>
      <c r="AF2219" s="48"/>
      <c r="AG2219" s="48"/>
      <c r="AH2219" s="48"/>
      <c r="AI2219" s="48"/>
      <c r="AJ2219" s="48"/>
      <c r="AK2219" s="48"/>
      <c r="AL2219" s="48"/>
      <c r="AM2219" s="48"/>
      <c r="AN2219" s="48"/>
      <c r="AO2219" s="48"/>
      <c r="AP2219" s="48"/>
      <c r="AQ2219" s="48"/>
      <c r="AR2219" s="48"/>
      <c r="AS2219" s="48"/>
      <c r="AT2219" s="48"/>
      <c r="AU2219" s="48"/>
      <c r="AV2219" s="48"/>
      <c r="AW2219" s="48"/>
      <c r="AX2219" s="48"/>
      <c r="AY2219" s="48"/>
      <c r="AZ2219" s="48"/>
      <c r="BA2219" s="48"/>
      <c r="BB2219" s="48"/>
      <c r="BC2219" s="48"/>
      <c r="BD2219" s="48"/>
    </row>
    <row r="2220" spans="1:56">
      <c r="A2220" s="48"/>
      <c r="B2220" s="48"/>
      <c r="C2220" s="49"/>
      <c r="D2220" s="48"/>
      <c r="E2220" s="48"/>
      <c r="F2220" s="48"/>
      <c r="G2220" s="48"/>
      <c r="H2220" s="48"/>
      <c r="I2220" s="48"/>
      <c r="J2220" s="86"/>
      <c r="K2220" s="86"/>
      <c r="L2220" s="86"/>
      <c r="M2220" s="86"/>
      <c r="N2220" s="86"/>
      <c r="O2220" s="86"/>
      <c r="P2220" s="86"/>
      <c r="Q2220" s="86"/>
      <c r="R2220" s="86"/>
      <c r="S2220" s="86"/>
      <c r="T2220" s="86"/>
      <c r="U2220" s="86"/>
      <c r="V2220" s="48"/>
      <c r="W2220" s="48"/>
      <c r="X2220" s="48"/>
      <c r="Y2220" s="48"/>
      <c r="Z2220" s="48"/>
      <c r="AA2220" s="48"/>
      <c r="AB2220" s="48"/>
      <c r="AC2220" s="48"/>
      <c r="AD2220" s="48"/>
      <c r="AE2220" s="48"/>
      <c r="AF2220" s="48"/>
      <c r="AG2220" s="48"/>
      <c r="AH2220" s="48"/>
      <c r="AI2220" s="48"/>
      <c r="AJ2220" s="48"/>
      <c r="AK2220" s="48"/>
      <c r="AL2220" s="48"/>
      <c r="AM2220" s="48"/>
      <c r="AN2220" s="48"/>
      <c r="AO2220" s="48"/>
      <c r="AP2220" s="48"/>
      <c r="AQ2220" s="48"/>
      <c r="AR2220" s="48"/>
      <c r="AS2220" s="48"/>
      <c r="AT2220" s="48"/>
      <c r="AU2220" s="48"/>
      <c r="AV2220" s="48"/>
      <c r="AW2220" s="48"/>
      <c r="AX2220" s="48"/>
      <c r="AY2220" s="48"/>
      <c r="AZ2220" s="48"/>
      <c r="BA2220" s="48"/>
      <c r="BB2220" s="48"/>
      <c r="BC2220" s="48"/>
      <c r="BD2220" s="48"/>
    </row>
    <row r="2221" spans="1:56">
      <c r="A2221" s="48"/>
      <c r="B2221" s="48"/>
      <c r="C2221" s="49"/>
      <c r="D2221" s="48"/>
      <c r="E2221" s="48"/>
      <c r="F2221" s="48"/>
      <c r="G2221" s="48"/>
      <c r="H2221" s="48"/>
      <c r="I2221" s="48"/>
      <c r="J2221" s="86"/>
      <c r="K2221" s="86"/>
      <c r="L2221" s="86"/>
      <c r="M2221" s="86"/>
      <c r="N2221" s="86"/>
      <c r="O2221" s="86"/>
      <c r="P2221" s="86"/>
      <c r="Q2221" s="86"/>
      <c r="R2221" s="86"/>
      <c r="S2221" s="86"/>
      <c r="T2221" s="86"/>
      <c r="U2221" s="86"/>
      <c r="V2221" s="48"/>
      <c r="W2221" s="48"/>
      <c r="X2221" s="48"/>
      <c r="Y2221" s="48"/>
      <c r="Z2221" s="48"/>
      <c r="AA2221" s="48"/>
      <c r="AB2221" s="48"/>
      <c r="AC2221" s="48"/>
      <c r="AD2221" s="48"/>
      <c r="AE2221" s="48"/>
      <c r="AF2221" s="48"/>
      <c r="AG2221" s="48"/>
      <c r="AH2221" s="48"/>
      <c r="AI2221" s="48"/>
      <c r="AJ2221" s="48"/>
      <c r="AK2221" s="48"/>
      <c r="AL2221" s="48"/>
      <c r="AM2221" s="48"/>
      <c r="AN2221" s="48"/>
      <c r="AO2221" s="48"/>
      <c r="AP2221" s="48"/>
      <c r="AQ2221" s="48"/>
      <c r="AR2221" s="48"/>
      <c r="AS2221" s="48"/>
      <c r="AT2221" s="48"/>
      <c r="AU2221" s="48"/>
      <c r="AV2221" s="48"/>
      <c r="AW2221" s="48"/>
      <c r="AX2221" s="48"/>
      <c r="AY2221" s="48"/>
      <c r="AZ2221" s="48"/>
      <c r="BA2221" s="48"/>
      <c r="BB2221" s="48"/>
      <c r="BC2221" s="48"/>
      <c r="BD2221" s="48"/>
    </row>
    <row r="2222" spans="1:56">
      <c r="A2222" s="48"/>
      <c r="B2222" s="48"/>
      <c r="C2222" s="49"/>
      <c r="D2222" s="48"/>
      <c r="E2222" s="48"/>
      <c r="F2222" s="48"/>
      <c r="G2222" s="48"/>
      <c r="H2222" s="48"/>
      <c r="I2222" s="48"/>
      <c r="J2222" s="86"/>
      <c r="K2222" s="86"/>
      <c r="L2222" s="86"/>
      <c r="M2222" s="86"/>
      <c r="N2222" s="86"/>
      <c r="O2222" s="86"/>
      <c r="P2222" s="86"/>
      <c r="Q2222" s="86"/>
      <c r="R2222" s="86"/>
      <c r="S2222" s="86"/>
      <c r="T2222" s="86"/>
      <c r="U2222" s="86"/>
      <c r="V2222" s="48"/>
      <c r="W2222" s="48"/>
      <c r="X2222" s="48"/>
      <c r="Y2222" s="48"/>
      <c r="Z2222" s="48"/>
      <c r="AA2222" s="48"/>
      <c r="AB2222" s="48"/>
      <c r="AC2222" s="48"/>
      <c r="AD2222" s="48"/>
      <c r="AE2222" s="48"/>
      <c r="AF2222" s="48"/>
      <c r="AG2222" s="48"/>
      <c r="AH2222" s="48"/>
      <c r="AI2222" s="48"/>
      <c r="AJ2222" s="48"/>
      <c r="AK2222" s="48"/>
      <c r="AL2222" s="48"/>
      <c r="AM2222" s="48"/>
      <c r="AN2222" s="48"/>
      <c r="AO2222" s="48"/>
      <c r="AP2222" s="48"/>
      <c r="AQ2222" s="48"/>
      <c r="AR2222" s="48"/>
      <c r="AS2222" s="48"/>
      <c r="AT2222" s="48"/>
      <c r="AU2222" s="48"/>
      <c r="AV2222" s="48"/>
      <c r="AW2222" s="48"/>
      <c r="AX2222" s="48"/>
      <c r="AY2222" s="48"/>
      <c r="AZ2222" s="48"/>
      <c r="BA2222" s="48"/>
      <c r="BB2222" s="48"/>
      <c r="BC2222" s="48"/>
      <c r="BD2222" s="48"/>
    </row>
    <row r="2223" spans="1:56">
      <c r="A2223" s="48"/>
      <c r="B2223" s="48"/>
      <c r="C2223" s="49"/>
      <c r="D2223" s="48"/>
      <c r="E2223" s="48"/>
      <c r="F2223" s="48"/>
      <c r="G2223" s="48"/>
      <c r="H2223" s="48"/>
      <c r="I2223" s="48"/>
      <c r="J2223" s="86"/>
      <c r="K2223" s="86"/>
      <c r="L2223" s="86"/>
      <c r="M2223" s="86"/>
      <c r="N2223" s="86"/>
      <c r="O2223" s="86"/>
      <c r="P2223" s="86"/>
      <c r="Q2223" s="86"/>
      <c r="R2223" s="86"/>
      <c r="S2223" s="86"/>
      <c r="T2223" s="86"/>
      <c r="U2223" s="86"/>
      <c r="V2223" s="48"/>
      <c r="W2223" s="48"/>
      <c r="X2223" s="48"/>
      <c r="Y2223" s="48"/>
      <c r="Z2223" s="48"/>
      <c r="AA2223" s="48"/>
      <c r="AB2223" s="48"/>
      <c r="AC2223" s="48"/>
      <c r="AD2223" s="48"/>
      <c r="AE2223" s="48"/>
      <c r="AF2223" s="48"/>
      <c r="AG2223" s="48"/>
      <c r="AH2223" s="48"/>
      <c r="AI2223" s="48"/>
      <c r="AJ2223" s="48"/>
      <c r="AK2223" s="48"/>
      <c r="AL2223" s="48"/>
      <c r="AM2223" s="48"/>
      <c r="AN2223" s="48"/>
      <c r="AO2223" s="48"/>
      <c r="AP2223" s="48"/>
      <c r="AQ2223" s="48"/>
      <c r="AR2223" s="48"/>
      <c r="AS2223" s="48"/>
      <c r="AT2223" s="48"/>
      <c r="AU2223" s="48"/>
      <c r="AV2223" s="48"/>
      <c r="AW2223" s="48"/>
      <c r="AX2223" s="48"/>
      <c r="AY2223" s="48"/>
      <c r="AZ2223" s="48"/>
      <c r="BA2223" s="48"/>
      <c r="BB2223" s="48"/>
      <c r="BC2223" s="48"/>
      <c r="BD2223" s="48"/>
    </row>
    <row r="2224" spans="1:56">
      <c r="A2224" s="48"/>
      <c r="B2224" s="48"/>
      <c r="C2224" s="49"/>
      <c r="D2224" s="48"/>
      <c r="E2224" s="48"/>
      <c r="F2224" s="48"/>
      <c r="G2224" s="48"/>
      <c r="H2224" s="48"/>
      <c r="I2224" s="48"/>
      <c r="J2224" s="86"/>
      <c r="K2224" s="86"/>
      <c r="L2224" s="86"/>
      <c r="M2224" s="86"/>
      <c r="N2224" s="86"/>
      <c r="O2224" s="86"/>
      <c r="P2224" s="86"/>
      <c r="Q2224" s="86"/>
      <c r="R2224" s="86"/>
      <c r="S2224" s="86"/>
      <c r="T2224" s="86"/>
      <c r="U2224" s="86"/>
      <c r="V2224" s="48"/>
      <c r="W2224" s="48"/>
      <c r="X2224" s="48"/>
      <c r="Y2224" s="48"/>
      <c r="Z2224" s="48"/>
      <c r="AA2224" s="48"/>
      <c r="AB2224" s="48"/>
      <c r="AC2224" s="48"/>
      <c r="AD2224" s="48"/>
      <c r="AE2224" s="48"/>
      <c r="AF2224" s="48"/>
      <c r="AG2224" s="48"/>
      <c r="AH2224" s="48"/>
      <c r="AI2224" s="48"/>
      <c r="AJ2224" s="48"/>
      <c r="AK2224" s="48"/>
      <c r="AL2224" s="48"/>
      <c r="AM2224" s="48"/>
      <c r="AN2224" s="48"/>
      <c r="AO2224" s="48"/>
      <c r="AP2224" s="48"/>
      <c r="AQ2224" s="48"/>
      <c r="AR2224" s="48"/>
      <c r="AS2224" s="48"/>
      <c r="AT2224" s="48"/>
      <c r="AU2224" s="48"/>
      <c r="AV2224" s="48"/>
      <c r="AW2224" s="48"/>
      <c r="AX2224" s="48"/>
      <c r="AY2224" s="48"/>
      <c r="AZ2224" s="48"/>
      <c r="BA2224" s="48"/>
      <c r="BB2224" s="48"/>
      <c r="BC2224" s="48"/>
      <c r="BD2224" s="48"/>
    </row>
    <row r="2225" spans="1:56">
      <c r="A2225" s="48"/>
      <c r="B2225" s="48"/>
      <c r="C2225" s="49"/>
      <c r="D2225" s="48"/>
      <c r="E2225" s="48"/>
      <c r="F2225" s="48"/>
      <c r="G2225" s="48"/>
      <c r="H2225" s="48"/>
      <c r="I2225" s="48"/>
      <c r="J2225" s="86"/>
      <c r="K2225" s="86"/>
      <c r="L2225" s="86"/>
      <c r="M2225" s="86"/>
      <c r="N2225" s="86"/>
      <c r="O2225" s="86"/>
      <c r="P2225" s="86"/>
      <c r="Q2225" s="86"/>
      <c r="R2225" s="86"/>
      <c r="S2225" s="86"/>
      <c r="T2225" s="86"/>
      <c r="U2225" s="86"/>
      <c r="V2225" s="48"/>
      <c r="W2225" s="48"/>
      <c r="X2225" s="48"/>
      <c r="Y2225" s="48"/>
      <c r="Z2225" s="48"/>
      <c r="AA2225" s="48"/>
      <c r="AB2225" s="48"/>
      <c r="AC2225" s="48"/>
      <c r="AD2225" s="48"/>
      <c r="AE2225" s="48"/>
      <c r="AF2225" s="48"/>
      <c r="AG2225" s="48"/>
      <c r="AH2225" s="48"/>
      <c r="AI2225" s="48"/>
      <c r="AJ2225" s="48"/>
      <c r="AK2225" s="48"/>
      <c r="AL2225" s="48"/>
      <c r="AM2225" s="48"/>
      <c r="AN2225" s="48"/>
      <c r="AO2225" s="48"/>
      <c r="AP2225" s="48"/>
      <c r="AQ2225" s="48"/>
      <c r="AR2225" s="48"/>
      <c r="AS2225" s="48"/>
      <c r="AT2225" s="48"/>
      <c r="AU2225" s="48"/>
      <c r="AV2225" s="48"/>
      <c r="AW2225" s="48"/>
      <c r="AX2225" s="48"/>
      <c r="AY2225" s="48"/>
      <c r="AZ2225" s="48"/>
      <c r="BA2225" s="48"/>
      <c r="BB2225" s="48"/>
      <c r="BC2225" s="48"/>
      <c r="BD2225" s="48"/>
    </row>
    <row r="2226" spans="1:56">
      <c r="A2226" s="48"/>
      <c r="B2226" s="48"/>
      <c r="C2226" s="49"/>
      <c r="D2226" s="48"/>
      <c r="E2226" s="48"/>
      <c r="F2226" s="48"/>
      <c r="G2226" s="48"/>
      <c r="H2226" s="48"/>
      <c r="I2226" s="48"/>
      <c r="J2226" s="86"/>
      <c r="K2226" s="86"/>
      <c r="L2226" s="86"/>
      <c r="M2226" s="86"/>
      <c r="N2226" s="86"/>
      <c r="O2226" s="86"/>
      <c r="P2226" s="86"/>
      <c r="Q2226" s="86"/>
      <c r="R2226" s="86"/>
      <c r="S2226" s="86"/>
      <c r="T2226" s="86"/>
      <c r="U2226" s="86"/>
      <c r="V2226" s="48"/>
      <c r="W2226" s="48"/>
      <c r="X2226" s="48"/>
      <c r="Y2226" s="48"/>
      <c r="Z2226" s="48"/>
      <c r="AA2226" s="48"/>
      <c r="AB2226" s="48"/>
      <c r="AC2226" s="48"/>
      <c r="AD2226" s="48"/>
      <c r="AE2226" s="48"/>
      <c r="AF2226" s="48"/>
      <c r="AG2226" s="48"/>
      <c r="AH2226" s="48"/>
      <c r="AI2226" s="48"/>
      <c r="AJ2226" s="48"/>
      <c r="AK2226" s="48"/>
      <c r="AL2226" s="48"/>
      <c r="AM2226" s="48"/>
      <c r="AN2226" s="48"/>
      <c r="AO2226" s="48"/>
      <c r="AP2226" s="48"/>
      <c r="AQ2226" s="48"/>
      <c r="AR2226" s="48"/>
      <c r="AS2226" s="48"/>
      <c r="AT2226" s="48"/>
      <c r="AU2226" s="48"/>
      <c r="AV2226" s="48"/>
      <c r="AW2226" s="48"/>
      <c r="AX2226" s="48"/>
      <c r="AY2226" s="48"/>
      <c r="AZ2226" s="48"/>
      <c r="BA2226" s="48"/>
      <c r="BB2226" s="48"/>
      <c r="BC2226" s="48"/>
      <c r="BD2226" s="48"/>
    </row>
    <row r="2227" spans="1:56">
      <c r="A2227" s="48"/>
      <c r="B2227" s="48"/>
      <c r="C2227" s="49"/>
      <c r="D2227" s="48"/>
      <c r="E2227" s="48"/>
      <c r="F2227" s="48"/>
      <c r="G2227" s="48"/>
      <c r="H2227" s="48"/>
      <c r="I2227" s="48"/>
      <c r="J2227" s="86"/>
      <c r="K2227" s="86"/>
      <c r="L2227" s="86"/>
      <c r="M2227" s="86"/>
      <c r="N2227" s="86"/>
      <c r="O2227" s="86"/>
      <c r="P2227" s="86"/>
      <c r="Q2227" s="86"/>
      <c r="R2227" s="86"/>
      <c r="S2227" s="86"/>
      <c r="T2227" s="86"/>
      <c r="U2227" s="86"/>
      <c r="V2227" s="48"/>
      <c r="W2227" s="48"/>
      <c r="X2227" s="48"/>
      <c r="Y2227" s="48"/>
      <c r="Z2227" s="48"/>
      <c r="AA2227" s="48"/>
      <c r="AB2227" s="48"/>
      <c r="AC2227" s="48"/>
      <c r="AD2227" s="48"/>
      <c r="AE2227" s="48"/>
      <c r="AF2227" s="48"/>
      <c r="AG2227" s="48"/>
      <c r="AH2227" s="48"/>
      <c r="AI2227" s="48"/>
      <c r="AJ2227" s="48"/>
      <c r="AK2227" s="48"/>
      <c r="AL2227" s="48"/>
      <c r="AM2227" s="48"/>
      <c r="AN2227" s="48"/>
      <c r="AO2227" s="48"/>
      <c r="AP2227" s="48"/>
      <c r="AQ2227" s="48"/>
      <c r="AR2227" s="48"/>
      <c r="AS2227" s="48"/>
      <c r="AT2227" s="48"/>
      <c r="AU2227" s="48"/>
      <c r="AV2227" s="48"/>
      <c r="AW2227" s="48"/>
      <c r="AX2227" s="48"/>
      <c r="AY2227" s="48"/>
      <c r="AZ2227" s="48"/>
      <c r="BA2227" s="48"/>
      <c r="BB2227" s="48"/>
      <c r="BC2227" s="48"/>
      <c r="BD2227" s="48"/>
    </row>
    <row r="2228" spans="1:56">
      <c r="A2228" s="48"/>
      <c r="B2228" s="48"/>
      <c r="C2228" s="49"/>
      <c r="D2228" s="48"/>
      <c r="E2228" s="48"/>
      <c r="F2228" s="48"/>
      <c r="G2228" s="48"/>
      <c r="H2228" s="48"/>
      <c r="I2228" s="48"/>
      <c r="J2228" s="86"/>
      <c r="K2228" s="86"/>
      <c r="L2228" s="86"/>
      <c r="M2228" s="86"/>
      <c r="N2228" s="86"/>
      <c r="O2228" s="86"/>
      <c r="P2228" s="86"/>
      <c r="Q2228" s="86"/>
      <c r="R2228" s="86"/>
      <c r="S2228" s="86"/>
      <c r="T2228" s="86"/>
      <c r="U2228" s="86"/>
      <c r="V2228" s="48"/>
      <c r="W2228" s="48"/>
      <c r="X2228" s="48"/>
      <c r="Y2228" s="48"/>
      <c r="Z2228" s="48"/>
      <c r="AA2228" s="48"/>
      <c r="AB2228" s="48"/>
      <c r="AC2228" s="48"/>
      <c r="AD2228" s="48"/>
      <c r="AE2228" s="48"/>
      <c r="AF2228" s="48"/>
      <c r="AG2228" s="48"/>
      <c r="AH2228" s="48"/>
      <c r="AI2228" s="48"/>
      <c r="AJ2228" s="48"/>
      <c r="AK2228" s="48"/>
      <c r="AL2228" s="48"/>
      <c r="AM2228" s="48"/>
      <c r="AN2228" s="48"/>
      <c r="AO2228" s="48"/>
      <c r="AP2228" s="48"/>
      <c r="AQ2228" s="48"/>
      <c r="AR2228" s="48"/>
      <c r="AS2228" s="48"/>
      <c r="AT2228" s="48"/>
      <c r="AU2228" s="48"/>
      <c r="AV2228" s="48"/>
      <c r="AW2228" s="48"/>
      <c r="AX2228" s="48"/>
      <c r="AY2228" s="48"/>
      <c r="AZ2228" s="48"/>
      <c r="BA2228" s="48"/>
      <c r="BB2228" s="48"/>
      <c r="BC2228" s="48"/>
      <c r="BD2228" s="48"/>
    </row>
    <row r="2229" spans="1:56">
      <c r="A2229" s="48"/>
      <c r="B2229" s="48"/>
      <c r="C2229" s="49"/>
      <c r="D2229" s="48"/>
      <c r="E2229" s="48"/>
      <c r="F2229" s="48"/>
      <c r="G2229" s="48"/>
      <c r="H2229" s="48"/>
      <c r="I2229" s="48"/>
      <c r="J2229" s="86"/>
      <c r="K2229" s="86"/>
      <c r="L2229" s="86"/>
      <c r="M2229" s="86"/>
      <c r="N2229" s="86"/>
      <c r="O2229" s="86"/>
      <c r="P2229" s="86"/>
      <c r="Q2229" s="86"/>
      <c r="R2229" s="86"/>
      <c r="S2229" s="86"/>
      <c r="T2229" s="86"/>
      <c r="U2229" s="86"/>
      <c r="V2229" s="48"/>
      <c r="W2229" s="48"/>
      <c r="X2229" s="48"/>
      <c r="Y2229" s="48"/>
      <c r="Z2229" s="48"/>
      <c r="AA2229" s="48"/>
      <c r="AB2229" s="48"/>
      <c r="AC2229" s="48"/>
      <c r="AD2229" s="48"/>
      <c r="AE2229" s="48"/>
      <c r="AF2229" s="48"/>
      <c r="AG2229" s="48"/>
      <c r="AH2229" s="48"/>
      <c r="AI2229" s="48"/>
      <c r="AJ2229" s="48"/>
      <c r="AK2229" s="48"/>
      <c r="AL2229" s="48"/>
      <c r="AM2229" s="48"/>
      <c r="AN2229" s="48"/>
      <c r="AO2229" s="48"/>
      <c r="AP2229" s="48"/>
      <c r="AQ2229" s="48"/>
      <c r="AR2229" s="48"/>
      <c r="AS2229" s="48"/>
      <c r="AT2229" s="48"/>
      <c r="AU2229" s="48"/>
      <c r="AV2229" s="48"/>
      <c r="AW2229" s="48"/>
      <c r="AX2229" s="48"/>
      <c r="AY2229" s="48"/>
      <c r="AZ2229" s="48"/>
      <c r="BA2229" s="48"/>
      <c r="BB2229" s="48"/>
      <c r="BC2229" s="48"/>
      <c r="BD2229" s="48"/>
    </row>
    <row r="2230" spans="1:56">
      <c r="A2230" s="48"/>
      <c r="B2230" s="48"/>
      <c r="C2230" s="49"/>
      <c r="D2230" s="48"/>
      <c r="E2230" s="48"/>
      <c r="F2230" s="48"/>
      <c r="G2230" s="48"/>
      <c r="H2230" s="48"/>
      <c r="I2230" s="48"/>
      <c r="J2230" s="86"/>
      <c r="K2230" s="86"/>
      <c r="L2230" s="86"/>
      <c r="M2230" s="86"/>
      <c r="N2230" s="86"/>
      <c r="O2230" s="86"/>
      <c r="P2230" s="86"/>
      <c r="Q2230" s="86"/>
      <c r="R2230" s="86"/>
      <c r="S2230" s="86"/>
      <c r="T2230" s="86"/>
      <c r="U2230" s="86"/>
      <c r="V2230" s="48"/>
      <c r="W2230" s="48"/>
      <c r="X2230" s="48"/>
      <c r="Y2230" s="48"/>
      <c r="Z2230" s="48"/>
      <c r="AA2230" s="48"/>
      <c r="AB2230" s="48"/>
      <c r="AC2230" s="48"/>
      <c r="AD2230" s="48"/>
      <c r="AE2230" s="48"/>
      <c r="AF2230" s="48"/>
      <c r="AG2230" s="48"/>
      <c r="AH2230" s="48"/>
      <c r="AI2230" s="48"/>
      <c r="AJ2230" s="48"/>
      <c r="AK2230" s="48"/>
      <c r="AL2230" s="48"/>
      <c r="AM2230" s="48"/>
      <c r="AN2230" s="48"/>
      <c r="AO2230" s="48"/>
      <c r="AP2230" s="48"/>
      <c r="AQ2230" s="48"/>
      <c r="AR2230" s="48"/>
      <c r="AS2230" s="48"/>
      <c r="AT2230" s="48"/>
      <c r="AU2230" s="48"/>
      <c r="AV2230" s="48"/>
      <c r="AW2230" s="48"/>
      <c r="AX2230" s="48"/>
      <c r="AY2230" s="48"/>
      <c r="AZ2230" s="48"/>
      <c r="BA2230" s="48"/>
      <c r="BB2230" s="48"/>
      <c r="BC2230" s="48"/>
      <c r="BD2230" s="48"/>
    </row>
    <row r="2231" spans="1:56">
      <c r="A2231" s="48"/>
      <c r="B2231" s="48"/>
      <c r="C2231" s="49"/>
      <c r="D2231" s="48"/>
      <c r="E2231" s="48"/>
      <c r="F2231" s="48"/>
      <c r="G2231" s="48"/>
      <c r="H2231" s="48"/>
      <c r="I2231" s="48"/>
      <c r="J2231" s="86"/>
      <c r="K2231" s="86"/>
      <c r="L2231" s="86"/>
      <c r="M2231" s="86"/>
      <c r="N2231" s="86"/>
      <c r="O2231" s="86"/>
      <c r="P2231" s="86"/>
      <c r="Q2231" s="86"/>
      <c r="R2231" s="86"/>
      <c r="S2231" s="86"/>
      <c r="T2231" s="86"/>
      <c r="U2231" s="86"/>
      <c r="V2231" s="48"/>
      <c r="W2231" s="48"/>
      <c r="X2231" s="48"/>
      <c r="Y2231" s="48"/>
      <c r="Z2231" s="48"/>
      <c r="AA2231" s="48"/>
      <c r="AB2231" s="48"/>
      <c r="AC2231" s="48"/>
      <c r="AD2231" s="48"/>
      <c r="AE2231" s="48"/>
      <c r="AF2231" s="48"/>
      <c r="AG2231" s="48"/>
      <c r="AH2231" s="48"/>
      <c r="AI2231" s="48"/>
      <c r="AJ2231" s="48"/>
      <c r="AK2231" s="48"/>
      <c r="AL2231" s="48"/>
      <c r="AM2231" s="48"/>
      <c r="AN2231" s="48"/>
      <c r="AO2231" s="48"/>
      <c r="AP2231" s="48"/>
      <c r="AQ2231" s="48"/>
      <c r="AR2231" s="48"/>
      <c r="AS2231" s="48"/>
      <c r="AT2231" s="48"/>
      <c r="AU2231" s="48"/>
      <c r="AV2231" s="48"/>
      <c r="AW2231" s="48"/>
      <c r="AX2231" s="48"/>
      <c r="AY2231" s="48"/>
      <c r="AZ2231" s="48"/>
      <c r="BA2231" s="48"/>
      <c r="BB2231" s="48"/>
      <c r="BC2231" s="48"/>
      <c r="BD2231" s="48"/>
    </row>
    <row r="2232" spans="1:56">
      <c r="A2232" s="48"/>
      <c r="B2232" s="48"/>
      <c r="C2232" s="49"/>
      <c r="D2232" s="48"/>
      <c r="E2232" s="48"/>
      <c r="F2232" s="48"/>
      <c r="G2232" s="48"/>
      <c r="H2232" s="48"/>
      <c r="I2232" s="48"/>
      <c r="J2232" s="86"/>
      <c r="K2232" s="86"/>
      <c r="L2232" s="86"/>
      <c r="M2232" s="86"/>
      <c r="N2232" s="86"/>
      <c r="O2232" s="86"/>
      <c r="P2232" s="86"/>
      <c r="Q2232" s="86"/>
      <c r="R2232" s="86"/>
      <c r="S2232" s="86"/>
      <c r="T2232" s="86"/>
      <c r="U2232" s="86"/>
      <c r="V2232" s="48"/>
      <c r="W2232" s="48"/>
      <c r="X2232" s="48"/>
      <c r="Y2232" s="48"/>
      <c r="Z2232" s="48"/>
      <c r="AA2232" s="48"/>
      <c r="AB2232" s="48"/>
      <c r="AC2232" s="48"/>
      <c r="AD2232" s="48"/>
      <c r="AE2232" s="48"/>
      <c r="AF2232" s="48"/>
      <c r="AG2232" s="48"/>
      <c r="AH2232" s="48"/>
      <c r="AI2232" s="48"/>
      <c r="AJ2232" s="48"/>
      <c r="AK2232" s="48"/>
      <c r="AL2232" s="48"/>
      <c r="AM2232" s="48"/>
      <c r="AN2232" s="48"/>
      <c r="AO2232" s="48"/>
      <c r="AP2232" s="48"/>
      <c r="AQ2232" s="48"/>
      <c r="AR2232" s="48"/>
      <c r="AS2232" s="48"/>
      <c r="AT2232" s="48"/>
      <c r="AU2232" s="48"/>
      <c r="AV2232" s="48"/>
      <c r="AW2232" s="48"/>
      <c r="AX2232" s="48"/>
      <c r="AY2232" s="48"/>
      <c r="AZ2232" s="48"/>
      <c r="BA2232" s="48"/>
      <c r="BB2232" s="48"/>
      <c r="BC2232" s="48"/>
      <c r="BD2232" s="48"/>
    </row>
    <row r="2233" spans="1:56">
      <c r="A2233" s="48"/>
      <c r="B2233" s="48"/>
      <c r="C2233" s="49"/>
      <c r="D2233" s="48"/>
      <c r="E2233" s="48"/>
      <c r="F2233" s="48"/>
      <c r="G2233" s="48"/>
      <c r="H2233" s="48"/>
      <c r="I2233" s="48"/>
      <c r="J2233" s="86"/>
      <c r="K2233" s="86"/>
      <c r="L2233" s="86"/>
      <c r="M2233" s="86"/>
      <c r="N2233" s="86"/>
      <c r="O2233" s="86"/>
      <c r="P2233" s="86"/>
      <c r="Q2233" s="86"/>
      <c r="R2233" s="86"/>
      <c r="S2233" s="86"/>
      <c r="T2233" s="86"/>
      <c r="U2233" s="86"/>
      <c r="V2233" s="48"/>
      <c r="W2233" s="48"/>
      <c r="X2233" s="48"/>
      <c r="Y2233" s="48"/>
      <c r="Z2233" s="48"/>
      <c r="AA2233" s="48"/>
      <c r="AB2233" s="48"/>
      <c r="AC2233" s="48"/>
      <c r="AD2233" s="48"/>
      <c r="AE2233" s="48"/>
      <c r="AF2233" s="48"/>
      <c r="AG2233" s="48"/>
      <c r="AH2233" s="48"/>
      <c r="AI2233" s="48"/>
      <c r="AJ2233" s="48"/>
      <c r="AK2233" s="48"/>
      <c r="AL2233" s="48"/>
      <c r="AM2233" s="48"/>
      <c r="AN2233" s="48"/>
      <c r="AO2233" s="48"/>
      <c r="AP2233" s="48"/>
      <c r="AQ2233" s="48"/>
      <c r="AR2233" s="48"/>
      <c r="AS2233" s="48"/>
      <c r="AT2233" s="48"/>
      <c r="AU2233" s="48"/>
      <c r="AV2233" s="48"/>
      <c r="AW2233" s="48"/>
      <c r="AX2233" s="48"/>
      <c r="AY2233" s="48"/>
      <c r="AZ2233" s="48"/>
      <c r="BA2233" s="48"/>
      <c r="BB2233" s="48"/>
      <c r="BC2233" s="48"/>
      <c r="BD2233" s="48"/>
    </row>
    <row r="2234" spans="1:56">
      <c r="A2234" s="48"/>
      <c r="B2234" s="48"/>
      <c r="C2234" s="49"/>
      <c r="D2234" s="48"/>
      <c r="E2234" s="48"/>
      <c r="F2234" s="48"/>
      <c r="G2234" s="48"/>
      <c r="H2234" s="48"/>
      <c r="I2234" s="48"/>
      <c r="J2234" s="86"/>
      <c r="K2234" s="86"/>
      <c r="L2234" s="86"/>
      <c r="M2234" s="86"/>
      <c r="N2234" s="86"/>
      <c r="O2234" s="86"/>
      <c r="P2234" s="86"/>
      <c r="Q2234" s="86"/>
      <c r="R2234" s="86"/>
      <c r="S2234" s="86"/>
      <c r="T2234" s="86"/>
      <c r="U2234" s="86"/>
      <c r="V2234" s="48"/>
      <c r="W2234" s="48"/>
      <c r="X2234" s="48"/>
      <c r="Y2234" s="48"/>
      <c r="Z2234" s="48"/>
      <c r="AA2234" s="48"/>
      <c r="AB2234" s="48"/>
      <c r="AC2234" s="48"/>
      <c r="AD2234" s="48"/>
      <c r="AE2234" s="48"/>
      <c r="AF2234" s="48"/>
      <c r="AG2234" s="48"/>
      <c r="AH2234" s="48"/>
      <c r="AI2234" s="48"/>
      <c r="AJ2234" s="48"/>
      <c r="AK2234" s="48"/>
      <c r="AL2234" s="48"/>
      <c r="AM2234" s="48"/>
      <c r="AN2234" s="48"/>
      <c r="AO2234" s="48"/>
      <c r="AP2234" s="48"/>
      <c r="AQ2234" s="48"/>
      <c r="AR2234" s="48"/>
      <c r="AS2234" s="48"/>
      <c r="AT2234" s="48"/>
      <c r="AU2234" s="48"/>
      <c r="AV2234" s="48"/>
      <c r="AW2234" s="48"/>
      <c r="AX2234" s="48"/>
      <c r="AY2234" s="48"/>
      <c r="AZ2234" s="48"/>
      <c r="BA2234" s="48"/>
      <c r="BB2234" s="48"/>
      <c r="BC2234" s="48"/>
      <c r="BD2234" s="48"/>
    </row>
    <row r="2235" spans="1:56">
      <c r="A2235" s="48"/>
      <c r="B2235" s="48"/>
      <c r="C2235" s="49"/>
      <c r="D2235" s="48"/>
      <c r="E2235" s="48"/>
      <c r="F2235" s="48"/>
      <c r="G2235" s="48"/>
      <c r="H2235" s="48"/>
      <c r="I2235" s="48"/>
      <c r="J2235" s="86"/>
      <c r="K2235" s="86"/>
      <c r="L2235" s="86"/>
      <c r="M2235" s="86"/>
      <c r="N2235" s="86"/>
      <c r="O2235" s="86"/>
      <c r="P2235" s="86"/>
      <c r="Q2235" s="86"/>
      <c r="R2235" s="86"/>
      <c r="S2235" s="86"/>
      <c r="T2235" s="86"/>
      <c r="U2235" s="86"/>
      <c r="V2235" s="48"/>
      <c r="W2235" s="48"/>
      <c r="X2235" s="48"/>
      <c r="Y2235" s="48"/>
      <c r="Z2235" s="48"/>
      <c r="AA2235" s="48"/>
      <c r="AB2235" s="48"/>
      <c r="AC2235" s="48"/>
      <c r="AD2235" s="48"/>
      <c r="AE2235" s="48"/>
      <c r="AF2235" s="48"/>
      <c r="AG2235" s="48"/>
      <c r="AH2235" s="48"/>
      <c r="AI2235" s="48"/>
      <c r="AJ2235" s="48"/>
      <c r="AK2235" s="48"/>
      <c r="AL2235" s="48"/>
      <c r="AM2235" s="48"/>
      <c r="AN2235" s="48"/>
      <c r="AO2235" s="48"/>
      <c r="AP2235" s="48"/>
      <c r="AQ2235" s="48"/>
      <c r="AR2235" s="48"/>
      <c r="AS2235" s="48"/>
      <c r="AT2235" s="48"/>
      <c r="AU2235" s="48"/>
      <c r="AV2235" s="48"/>
      <c r="AW2235" s="48"/>
      <c r="AX2235" s="48"/>
      <c r="AY2235" s="48"/>
      <c r="AZ2235" s="48"/>
      <c r="BA2235" s="48"/>
      <c r="BB2235" s="48"/>
      <c r="BC2235" s="48"/>
      <c r="BD2235" s="48"/>
    </row>
    <row r="2236" spans="1:56">
      <c r="A2236" s="48"/>
      <c r="B2236" s="48"/>
      <c r="C2236" s="49"/>
      <c r="D2236" s="48"/>
      <c r="E2236" s="48"/>
      <c r="F2236" s="48"/>
      <c r="G2236" s="48"/>
      <c r="H2236" s="48"/>
      <c r="I2236" s="48"/>
      <c r="J2236" s="86"/>
      <c r="K2236" s="86"/>
      <c r="L2236" s="86"/>
      <c r="M2236" s="86"/>
      <c r="N2236" s="86"/>
      <c r="O2236" s="86"/>
      <c r="P2236" s="86"/>
      <c r="Q2236" s="86"/>
      <c r="R2236" s="86"/>
      <c r="S2236" s="86"/>
      <c r="T2236" s="86"/>
      <c r="U2236" s="86"/>
      <c r="V2236" s="48"/>
      <c r="W2236" s="48"/>
      <c r="X2236" s="48"/>
      <c r="Y2236" s="48"/>
      <c r="Z2236" s="48"/>
      <c r="AA2236" s="48"/>
      <c r="AB2236" s="48"/>
      <c r="AC2236" s="48"/>
      <c r="AD2236" s="48"/>
      <c r="AE2236" s="48"/>
      <c r="AF2236" s="48"/>
      <c r="AG2236" s="48"/>
      <c r="AH2236" s="48"/>
      <c r="AI2236" s="48"/>
      <c r="AJ2236" s="48"/>
      <c r="AK2236" s="48"/>
      <c r="AL2236" s="48"/>
      <c r="AM2236" s="48"/>
      <c r="AN2236" s="48"/>
      <c r="AO2236" s="48"/>
      <c r="AP2236" s="48"/>
      <c r="AQ2236" s="48"/>
      <c r="AR2236" s="48"/>
      <c r="AS2236" s="48"/>
      <c r="AT2236" s="48"/>
      <c r="AU2236" s="48"/>
      <c r="AV2236" s="48"/>
      <c r="AW2236" s="48"/>
      <c r="AX2236" s="48"/>
      <c r="AY2236" s="48"/>
      <c r="AZ2236" s="48"/>
      <c r="BA2236" s="48"/>
      <c r="BB2236" s="48"/>
      <c r="BC2236" s="48"/>
      <c r="BD2236" s="48"/>
    </row>
    <row r="2237" spans="1:56">
      <c r="A2237" s="48"/>
      <c r="B2237" s="48"/>
      <c r="C2237" s="49"/>
      <c r="D2237" s="48"/>
      <c r="E2237" s="48"/>
      <c r="F2237" s="48"/>
      <c r="G2237" s="48"/>
      <c r="H2237" s="48"/>
      <c r="I2237" s="48"/>
      <c r="J2237" s="86"/>
      <c r="K2237" s="86"/>
      <c r="L2237" s="86"/>
      <c r="M2237" s="86"/>
      <c r="N2237" s="86"/>
      <c r="O2237" s="86"/>
      <c r="P2237" s="86"/>
      <c r="Q2237" s="86"/>
      <c r="R2237" s="86"/>
      <c r="S2237" s="86"/>
      <c r="T2237" s="86"/>
      <c r="U2237" s="86"/>
      <c r="V2237" s="48"/>
      <c r="W2237" s="48"/>
      <c r="X2237" s="48"/>
      <c r="Y2237" s="48"/>
      <c r="Z2237" s="48"/>
      <c r="AA2237" s="48"/>
      <c r="AB2237" s="48"/>
      <c r="AC2237" s="48"/>
      <c r="AD2237" s="48"/>
      <c r="AE2237" s="48"/>
      <c r="AF2237" s="48"/>
      <c r="AG2237" s="48"/>
      <c r="AH2237" s="48"/>
      <c r="AI2237" s="48"/>
      <c r="AJ2237" s="48"/>
      <c r="AK2237" s="48"/>
      <c r="AL2237" s="48"/>
      <c r="AM2237" s="48"/>
      <c r="AN2237" s="48"/>
      <c r="AO2237" s="48"/>
      <c r="AP2237" s="48"/>
      <c r="AQ2237" s="48"/>
      <c r="AR2237" s="48"/>
      <c r="AS2237" s="48"/>
      <c r="AT2237" s="48"/>
      <c r="AU2237" s="48"/>
      <c r="AV2237" s="48"/>
      <c r="AW2237" s="48"/>
      <c r="AX2237" s="48"/>
      <c r="AY2237" s="48"/>
      <c r="AZ2237" s="48"/>
      <c r="BA2237" s="48"/>
      <c r="BB2237" s="48"/>
      <c r="BC2237" s="48"/>
      <c r="BD2237" s="48"/>
    </row>
    <row r="2238" spans="1:56">
      <c r="A2238" s="48"/>
      <c r="B2238" s="48"/>
      <c r="C2238" s="49"/>
      <c r="D2238" s="48"/>
      <c r="E2238" s="48"/>
      <c r="F2238" s="48"/>
      <c r="G2238" s="48"/>
      <c r="H2238" s="48"/>
      <c r="I2238" s="48"/>
      <c r="J2238" s="86"/>
      <c r="K2238" s="86"/>
      <c r="L2238" s="86"/>
      <c r="M2238" s="86"/>
      <c r="N2238" s="86"/>
      <c r="O2238" s="86"/>
      <c r="P2238" s="86"/>
      <c r="Q2238" s="86"/>
      <c r="R2238" s="86"/>
      <c r="S2238" s="86"/>
      <c r="T2238" s="86"/>
      <c r="U2238" s="86"/>
      <c r="V2238" s="48"/>
      <c r="W2238" s="48"/>
      <c r="X2238" s="48"/>
      <c r="Y2238" s="48"/>
      <c r="Z2238" s="48"/>
      <c r="AA2238" s="48"/>
      <c r="AB2238" s="48"/>
      <c r="AC2238" s="48"/>
      <c r="AD2238" s="48"/>
      <c r="AE2238" s="48"/>
      <c r="AF2238" s="48"/>
      <c r="AG2238" s="48"/>
      <c r="AH2238" s="48"/>
      <c r="AI2238" s="48"/>
      <c r="AJ2238" s="48"/>
      <c r="AK2238" s="48"/>
      <c r="AL2238" s="48"/>
      <c r="AM2238" s="48"/>
      <c r="AN2238" s="48"/>
      <c r="AO2238" s="48"/>
      <c r="AP2238" s="48"/>
      <c r="AQ2238" s="48"/>
      <c r="AR2238" s="48"/>
      <c r="AS2238" s="48"/>
      <c r="AT2238" s="48"/>
      <c r="AU2238" s="48"/>
      <c r="AV2238" s="48"/>
      <c r="AW2238" s="48"/>
      <c r="AX2238" s="48"/>
      <c r="AY2238" s="48"/>
      <c r="AZ2238" s="48"/>
      <c r="BA2238" s="48"/>
      <c r="BB2238" s="48"/>
      <c r="BC2238" s="48"/>
      <c r="BD2238" s="48"/>
    </row>
    <row r="2239" spans="1:56">
      <c r="A2239" s="48"/>
      <c r="B2239" s="48"/>
      <c r="C2239" s="49"/>
      <c r="D2239" s="48"/>
      <c r="E2239" s="48"/>
      <c r="F2239" s="48"/>
      <c r="G2239" s="48"/>
      <c r="H2239" s="48"/>
      <c r="I2239" s="48"/>
      <c r="J2239" s="86"/>
      <c r="K2239" s="86"/>
      <c r="L2239" s="86"/>
      <c r="M2239" s="86"/>
      <c r="N2239" s="86"/>
      <c r="O2239" s="86"/>
      <c r="P2239" s="86"/>
      <c r="Q2239" s="86"/>
      <c r="R2239" s="86"/>
      <c r="S2239" s="86"/>
      <c r="T2239" s="86"/>
      <c r="U2239" s="86"/>
      <c r="V2239" s="48"/>
      <c r="W2239" s="48"/>
      <c r="X2239" s="48"/>
      <c r="Y2239" s="48"/>
      <c r="Z2239" s="48"/>
      <c r="AA2239" s="48"/>
      <c r="AB2239" s="48"/>
      <c r="AC2239" s="48"/>
      <c r="AD2239" s="48"/>
      <c r="AE2239" s="48"/>
      <c r="AF2239" s="48"/>
      <c r="AG2239" s="48"/>
      <c r="AH2239" s="48"/>
      <c r="AI2239" s="48"/>
      <c r="AJ2239" s="48"/>
      <c r="AK2239" s="48"/>
      <c r="AL2239" s="48"/>
      <c r="AM2239" s="48"/>
      <c r="AN2239" s="48"/>
      <c r="AO2239" s="48"/>
      <c r="AP2239" s="48"/>
      <c r="AQ2239" s="48"/>
      <c r="AR2239" s="48"/>
      <c r="AS2239" s="48"/>
      <c r="AT2239" s="48"/>
      <c r="AU2239" s="48"/>
      <c r="AV2239" s="48"/>
      <c r="AW2239" s="48"/>
      <c r="AX2239" s="48"/>
      <c r="AY2239" s="48"/>
      <c r="AZ2239" s="48"/>
      <c r="BA2239" s="48"/>
      <c r="BB2239" s="48"/>
      <c r="BC2239" s="48"/>
      <c r="BD2239" s="48"/>
    </row>
    <row r="2240" spans="1:56">
      <c r="A2240" s="48"/>
      <c r="B2240" s="48"/>
      <c r="C2240" s="49"/>
      <c r="D2240" s="48"/>
      <c r="E2240" s="48"/>
      <c r="F2240" s="48"/>
      <c r="G2240" s="48"/>
      <c r="H2240" s="48"/>
      <c r="I2240" s="48"/>
      <c r="J2240" s="86"/>
      <c r="K2240" s="86"/>
      <c r="L2240" s="86"/>
      <c r="M2240" s="86"/>
      <c r="N2240" s="86"/>
      <c r="O2240" s="86"/>
      <c r="P2240" s="86"/>
      <c r="Q2240" s="86"/>
      <c r="R2240" s="86"/>
      <c r="S2240" s="86"/>
      <c r="T2240" s="86"/>
      <c r="U2240" s="86"/>
      <c r="V2240" s="48"/>
      <c r="W2240" s="48"/>
      <c r="X2240" s="48"/>
      <c r="Y2240" s="48"/>
      <c r="Z2240" s="48"/>
      <c r="AA2240" s="48"/>
      <c r="AB2240" s="48"/>
      <c r="AC2240" s="48"/>
      <c r="AD2240" s="48"/>
      <c r="AE2240" s="48"/>
      <c r="AF2240" s="48"/>
      <c r="AG2240" s="48"/>
      <c r="AH2240" s="48"/>
      <c r="AI2240" s="48"/>
      <c r="AJ2240" s="48"/>
      <c r="AK2240" s="48"/>
      <c r="AL2240" s="48"/>
      <c r="AM2240" s="48"/>
      <c r="AN2240" s="48"/>
      <c r="AO2240" s="48"/>
      <c r="AP2240" s="48"/>
      <c r="AQ2240" s="48"/>
      <c r="AR2240" s="48"/>
      <c r="AS2240" s="48"/>
      <c r="AT2240" s="48"/>
      <c r="AU2240" s="48"/>
      <c r="AV2240" s="48"/>
      <c r="AW2240" s="48"/>
      <c r="AX2240" s="48"/>
      <c r="AY2240" s="48"/>
      <c r="AZ2240" s="48"/>
      <c r="BA2240" s="48"/>
      <c r="BB2240" s="48"/>
      <c r="BC2240" s="48"/>
      <c r="BD2240" s="48"/>
    </row>
    <row r="2241" spans="1:56">
      <c r="A2241" s="48"/>
      <c r="B2241" s="48"/>
      <c r="C2241" s="49"/>
      <c r="D2241" s="48"/>
      <c r="E2241" s="48"/>
      <c r="F2241" s="48"/>
      <c r="G2241" s="48"/>
      <c r="H2241" s="48"/>
      <c r="I2241" s="48"/>
      <c r="J2241" s="86"/>
      <c r="K2241" s="86"/>
      <c r="L2241" s="86"/>
      <c r="M2241" s="86"/>
      <c r="N2241" s="86"/>
      <c r="O2241" s="86"/>
      <c r="P2241" s="86"/>
      <c r="Q2241" s="86"/>
      <c r="R2241" s="86"/>
      <c r="S2241" s="86"/>
      <c r="T2241" s="86"/>
      <c r="U2241" s="86"/>
      <c r="V2241" s="48"/>
      <c r="W2241" s="48"/>
      <c r="X2241" s="48"/>
      <c r="Y2241" s="48"/>
      <c r="Z2241" s="48"/>
      <c r="AA2241" s="48"/>
      <c r="AB2241" s="48"/>
      <c r="AC2241" s="48"/>
      <c r="AD2241" s="48"/>
      <c r="AE2241" s="48"/>
      <c r="AF2241" s="48"/>
      <c r="AG2241" s="48"/>
      <c r="AH2241" s="48"/>
      <c r="AI2241" s="48"/>
      <c r="AJ2241" s="48"/>
      <c r="AK2241" s="48"/>
      <c r="AL2241" s="48"/>
      <c r="AM2241" s="48"/>
      <c r="AN2241" s="48"/>
      <c r="AO2241" s="48"/>
      <c r="AP2241" s="48"/>
      <c r="AQ2241" s="48"/>
      <c r="AR2241" s="48"/>
      <c r="AS2241" s="48"/>
      <c r="AT2241" s="48"/>
      <c r="AU2241" s="48"/>
      <c r="AV2241" s="48"/>
      <c r="AW2241" s="48"/>
      <c r="AX2241" s="48"/>
      <c r="AY2241" s="48"/>
      <c r="AZ2241" s="48"/>
      <c r="BA2241" s="48"/>
      <c r="BB2241" s="48"/>
      <c r="BC2241" s="48"/>
      <c r="BD2241" s="48"/>
    </row>
    <row r="2242" spans="1:56">
      <c r="A2242" s="48"/>
      <c r="B2242" s="48"/>
      <c r="C2242" s="49"/>
      <c r="D2242" s="48"/>
      <c r="E2242" s="48"/>
      <c r="F2242" s="48"/>
      <c r="G2242" s="48"/>
      <c r="H2242" s="48"/>
      <c r="I2242" s="48"/>
      <c r="J2242" s="86"/>
      <c r="K2242" s="86"/>
      <c r="L2242" s="86"/>
      <c r="M2242" s="86"/>
      <c r="N2242" s="86"/>
      <c r="O2242" s="86"/>
      <c r="P2242" s="86"/>
      <c r="Q2242" s="86"/>
      <c r="R2242" s="86"/>
      <c r="S2242" s="86"/>
      <c r="T2242" s="86"/>
      <c r="U2242" s="86"/>
      <c r="V2242" s="48"/>
      <c r="W2242" s="48"/>
      <c r="X2242" s="48"/>
      <c r="Y2242" s="48"/>
      <c r="Z2242" s="48"/>
      <c r="AA2242" s="48"/>
      <c r="AB2242" s="48"/>
      <c r="AC2242" s="48"/>
      <c r="AD2242" s="48"/>
      <c r="AE2242" s="48"/>
      <c r="AF2242" s="48"/>
      <c r="AG2242" s="48"/>
      <c r="AH2242" s="48"/>
      <c r="AI2242" s="48"/>
      <c r="AJ2242" s="48"/>
      <c r="AK2242" s="48"/>
      <c r="AL2242" s="48"/>
      <c r="AM2242" s="48"/>
      <c r="AN2242" s="48"/>
      <c r="AO2242" s="48"/>
      <c r="AP2242" s="48"/>
      <c r="AQ2242" s="48"/>
      <c r="AR2242" s="48"/>
      <c r="AS2242" s="48"/>
      <c r="AT2242" s="48"/>
      <c r="AU2242" s="48"/>
      <c r="AV2242" s="48"/>
      <c r="AW2242" s="48"/>
      <c r="AX2242" s="48"/>
      <c r="AY2242" s="48"/>
      <c r="AZ2242" s="48"/>
      <c r="BA2242" s="48"/>
      <c r="BB2242" s="48"/>
      <c r="BC2242" s="48"/>
      <c r="BD2242" s="48"/>
    </row>
    <row r="2243" spans="1:56">
      <c r="A2243" s="48"/>
      <c r="B2243" s="48"/>
      <c r="C2243" s="49"/>
      <c r="D2243" s="48"/>
      <c r="E2243" s="48"/>
      <c r="F2243" s="48"/>
      <c r="G2243" s="48"/>
      <c r="H2243" s="48"/>
      <c r="I2243" s="48"/>
      <c r="J2243" s="86"/>
      <c r="K2243" s="86"/>
      <c r="L2243" s="86"/>
      <c r="M2243" s="86"/>
      <c r="N2243" s="86"/>
      <c r="O2243" s="86"/>
      <c r="P2243" s="86"/>
      <c r="Q2243" s="86"/>
      <c r="R2243" s="86"/>
      <c r="S2243" s="86"/>
      <c r="T2243" s="86"/>
      <c r="U2243" s="86"/>
      <c r="V2243" s="48"/>
      <c r="W2243" s="48"/>
      <c r="X2243" s="48"/>
      <c r="Y2243" s="48"/>
      <c r="Z2243" s="48"/>
      <c r="AA2243" s="48"/>
      <c r="AB2243" s="48"/>
      <c r="AC2243" s="48"/>
      <c r="AD2243" s="48"/>
      <c r="AE2243" s="48"/>
      <c r="AF2243" s="48"/>
      <c r="AG2243" s="48"/>
      <c r="AH2243" s="48"/>
      <c r="AI2243" s="48"/>
      <c r="AJ2243" s="48"/>
      <c r="AK2243" s="48"/>
      <c r="AL2243" s="48"/>
      <c r="AM2243" s="48"/>
      <c r="AN2243" s="48"/>
      <c r="AO2243" s="48"/>
      <c r="AP2243" s="48"/>
      <c r="AQ2243" s="48"/>
      <c r="AR2243" s="48"/>
      <c r="AS2243" s="48"/>
      <c r="AT2243" s="48"/>
      <c r="AU2243" s="48"/>
      <c r="AV2243" s="48"/>
      <c r="AW2243" s="48"/>
      <c r="AX2243" s="48"/>
      <c r="AY2243" s="48"/>
      <c r="AZ2243" s="48"/>
      <c r="BA2243" s="48"/>
      <c r="BB2243" s="48"/>
      <c r="BC2243" s="48"/>
      <c r="BD2243" s="48"/>
    </row>
    <row r="2244" spans="1:56">
      <c r="A2244" s="48"/>
      <c r="B2244" s="48"/>
      <c r="C2244" s="49"/>
      <c r="D2244" s="48"/>
      <c r="E2244" s="48"/>
      <c r="F2244" s="48"/>
      <c r="G2244" s="48"/>
      <c r="H2244" s="48"/>
      <c r="I2244" s="48"/>
      <c r="J2244" s="86"/>
      <c r="K2244" s="86"/>
      <c r="L2244" s="86"/>
      <c r="M2244" s="86"/>
      <c r="N2244" s="86"/>
      <c r="O2244" s="86"/>
      <c r="P2244" s="86"/>
      <c r="Q2244" s="86"/>
      <c r="R2244" s="86"/>
      <c r="S2244" s="86"/>
      <c r="T2244" s="86"/>
      <c r="U2244" s="86"/>
      <c r="V2244" s="48"/>
      <c r="W2244" s="48"/>
      <c r="X2244" s="48"/>
      <c r="Y2244" s="48"/>
      <c r="Z2244" s="48"/>
      <c r="AA2244" s="48"/>
      <c r="AB2244" s="48"/>
      <c r="AC2244" s="48"/>
      <c r="AD2244" s="48"/>
      <c r="AE2244" s="48"/>
      <c r="AF2244" s="48"/>
      <c r="AG2244" s="48"/>
      <c r="AH2244" s="48"/>
      <c r="AI2244" s="48"/>
      <c r="AJ2244" s="48"/>
      <c r="AK2244" s="48"/>
      <c r="AL2244" s="48"/>
      <c r="AM2244" s="48"/>
      <c r="AN2244" s="48"/>
      <c r="AO2244" s="48"/>
      <c r="AP2244" s="48"/>
      <c r="AQ2244" s="48"/>
      <c r="AR2244" s="48"/>
      <c r="AS2244" s="48"/>
      <c r="AT2244" s="48"/>
      <c r="AU2244" s="48"/>
      <c r="AV2244" s="48"/>
      <c r="AW2244" s="48"/>
      <c r="AX2244" s="48"/>
      <c r="AY2244" s="48"/>
      <c r="AZ2244" s="48"/>
      <c r="BA2244" s="48"/>
      <c r="BB2244" s="48"/>
      <c r="BC2244" s="48"/>
      <c r="BD2244" s="48"/>
    </row>
    <row r="2245" spans="1:56">
      <c r="A2245" s="48"/>
      <c r="B2245" s="48"/>
      <c r="C2245" s="49"/>
      <c r="D2245" s="48"/>
      <c r="E2245" s="48"/>
      <c r="F2245" s="48"/>
      <c r="G2245" s="48"/>
      <c r="H2245" s="48"/>
      <c r="I2245" s="48"/>
      <c r="J2245" s="86"/>
      <c r="K2245" s="86"/>
      <c r="L2245" s="86"/>
      <c r="M2245" s="86"/>
      <c r="N2245" s="86"/>
      <c r="O2245" s="86"/>
      <c r="P2245" s="86"/>
      <c r="Q2245" s="86"/>
      <c r="R2245" s="86"/>
      <c r="S2245" s="86"/>
      <c r="T2245" s="86"/>
      <c r="U2245" s="86"/>
      <c r="V2245" s="48"/>
      <c r="W2245" s="48"/>
      <c r="X2245" s="48"/>
      <c r="Y2245" s="48"/>
      <c r="Z2245" s="48"/>
      <c r="AA2245" s="48"/>
      <c r="AB2245" s="48"/>
      <c r="AC2245" s="48"/>
      <c r="AD2245" s="48"/>
      <c r="AE2245" s="48"/>
      <c r="AF2245" s="48"/>
      <c r="AG2245" s="48"/>
      <c r="AH2245" s="48"/>
      <c r="AI2245" s="48"/>
      <c r="AJ2245" s="48"/>
      <c r="AK2245" s="48"/>
      <c r="AL2245" s="48"/>
      <c r="AM2245" s="48"/>
      <c r="AN2245" s="48"/>
      <c r="AO2245" s="48"/>
      <c r="AP2245" s="48"/>
      <c r="AQ2245" s="48"/>
      <c r="AR2245" s="48"/>
      <c r="AS2245" s="48"/>
      <c r="AT2245" s="48"/>
      <c r="AU2245" s="48"/>
      <c r="AV2245" s="48"/>
      <c r="AW2245" s="48"/>
      <c r="AX2245" s="48"/>
      <c r="AY2245" s="48"/>
      <c r="AZ2245" s="48"/>
      <c r="BA2245" s="48"/>
      <c r="BB2245" s="48"/>
      <c r="BC2245" s="48"/>
      <c r="BD2245" s="48"/>
    </row>
    <row r="2246" spans="1:56">
      <c r="A2246" s="48"/>
      <c r="B2246" s="48"/>
      <c r="C2246" s="49"/>
      <c r="D2246" s="48"/>
      <c r="E2246" s="48"/>
      <c r="F2246" s="48"/>
      <c r="G2246" s="48"/>
      <c r="H2246" s="48"/>
      <c r="I2246" s="48"/>
      <c r="J2246" s="86"/>
      <c r="K2246" s="86"/>
      <c r="L2246" s="86"/>
      <c r="M2246" s="86"/>
      <c r="N2246" s="86"/>
      <c r="O2246" s="86"/>
      <c r="P2246" s="86"/>
      <c r="Q2246" s="86"/>
      <c r="R2246" s="86"/>
      <c r="S2246" s="86"/>
      <c r="T2246" s="86"/>
      <c r="U2246" s="86"/>
      <c r="V2246" s="48"/>
      <c r="W2246" s="48"/>
      <c r="X2246" s="48"/>
      <c r="Y2246" s="48"/>
      <c r="Z2246" s="48"/>
      <c r="AA2246" s="48"/>
      <c r="AB2246" s="48"/>
      <c r="AC2246" s="48"/>
      <c r="AD2246" s="48"/>
      <c r="AE2246" s="48"/>
      <c r="AF2246" s="48"/>
      <c r="AG2246" s="48"/>
      <c r="AH2246" s="48"/>
      <c r="AI2246" s="48"/>
      <c r="AJ2246" s="48"/>
      <c r="AK2246" s="48"/>
      <c r="AL2246" s="48"/>
      <c r="AM2246" s="48"/>
      <c r="AN2246" s="48"/>
      <c r="AO2246" s="48"/>
      <c r="AP2246" s="48"/>
      <c r="AQ2246" s="48"/>
      <c r="AR2246" s="48"/>
      <c r="AS2246" s="48"/>
      <c r="AT2246" s="48"/>
      <c r="AU2246" s="48"/>
      <c r="AV2246" s="48"/>
      <c r="AW2246" s="48"/>
      <c r="AX2246" s="48"/>
      <c r="AY2246" s="48"/>
      <c r="AZ2246" s="48"/>
      <c r="BA2246" s="48"/>
      <c r="BB2246" s="48"/>
      <c r="BC2246" s="48"/>
      <c r="BD2246" s="48"/>
    </row>
    <row r="2247" spans="1:56">
      <c r="A2247" s="48"/>
      <c r="B2247" s="48"/>
      <c r="C2247" s="49"/>
      <c r="D2247" s="48"/>
      <c r="E2247" s="48"/>
      <c r="F2247" s="48"/>
      <c r="G2247" s="48"/>
      <c r="H2247" s="48"/>
      <c r="I2247" s="48"/>
      <c r="J2247" s="86"/>
      <c r="K2247" s="86"/>
      <c r="L2247" s="86"/>
      <c r="M2247" s="86"/>
      <c r="N2247" s="86"/>
      <c r="O2247" s="86"/>
      <c r="P2247" s="86"/>
      <c r="Q2247" s="86"/>
      <c r="R2247" s="86"/>
      <c r="S2247" s="86"/>
      <c r="T2247" s="86"/>
      <c r="U2247" s="86"/>
      <c r="V2247" s="48"/>
      <c r="W2247" s="48"/>
      <c r="X2247" s="48"/>
      <c r="Y2247" s="48"/>
      <c r="Z2247" s="48"/>
      <c r="AA2247" s="48"/>
      <c r="AB2247" s="48"/>
      <c r="AC2247" s="48"/>
      <c r="AD2247" s="48"/>
      <c r="AE2247" s="48"/>
      <c r="AF2247" s="48"/>
      <c r="AG2247" s="48"/>
      <c r="AH2247" s="48"/>
      <c r="AI2247" s="48"/>
      <c r="AJ2247" s="48"/>
      <c r="AK2247" s="48"/>
      <c r="AL2247" s="48"/>
      <c r="AM2247" s="48"/>
      <c r="AN2247" s="48"/>
      <c r="AO2247" s="48"/>
      <c r="AP2247" s="48"/>
      <c r="AQ2247" s="48"/>
      <c r="AR2247" s="48"/>
      <c r="AS2247" s="48"/>
      <c r="AT2247" s="48"/>
      <c r="AU2247" s="48"/>
      <c r="AV2247" s="48"/>
      <c r="AW2247" s="48"/>
      <c r="AX2247" s="48"/>
      <c r="AY2247" s="48"/>
      <c r="AZ2247" s="48"/>
      <c r="BA2247" s="48"/>
      <c r="BB2247" s="48"/>
      <c r="BC2247" s="48"/>
      <c r="BD2247" s="48"/>
    </row>
    <row r="2248" spans="1:56">
      <c r="A2248" s="48"/>
      <c r="B2248" s="48"/>
      <c r="C2248" s="49"/>
      <c r="D2248" s="48"/>
      <c r="E2248" s="48"/>
      <c r="F2248" s="48"/>
      <c r="G2248" s="48"/>
      <c r="H2248" s="48"/>
      <c r="I2248" s="48"/>
      <c r="J2248" s="86"/>
      <c r="K2248" s="86"/>
      <c r="L2248" s="86"/>
      <c r="M2248" s="86"/>
      <c r="N2248" s="86"/>
      <c r="O2248" s="86"/>
      <c r="P2248" s="86"/>
      <c r="Q2248" s="86"/>
      <c r="R2248" s="86"/>
      <c r="S2248" s="86"/>
      <c r="T2248" s="86"/>
      <c r="U2248" s="86"/>
      <c r="V2248" s="48"/>
      <c r="W2248" s="48"/>
      <c r="X2248" s="48"/>
      <c r="Y2248" s="48"/>
      <c r="Z2248" s="48"/>
      <c r="AA2248" s="48"/>
      <c r="AB2248" s="48"/>
      <c r="AC2248" s="48"/>
      <c r="AD2248" s="48"/>
      <c r="AE2248" s="48"/>
      <c r="AF2248" s="48"/>
      <c r="AG2248" s="48"/>
      <c r="AH2248" s="48"/>
      <c r="AI2248" s="48"/>
      <c r="AJ2248" s="48"/>
      <c r="AK2248" s="48"/>
      <c r="AL2248" s="48"/>
      <c r="AM2248" s="48"/>
      <c r="AN2248" s="48"/>
      <c r="AO2248" s="48"/>
      <c r="AP2248" s="48"/>
      <c r="AQ2248" s="48"/>
      <c r="AR2248" s="48"/>
      <c r="AS2248" s="48"/>
      <c r="AT2248" s="48"/>
      <c r="AU2248" s="48"/>
      <c r="AV2248" s="48"/>
      <c r="AW2248" s="48"/>
      <c r="AX2248" s="48"/>
      <c r="AY2248" s="48"/>
      <c r="AZ2248" s="48"/>
      <c r="BA2248" s="48"/>
      <c r="BB2248" s="48"/>
      <c r="BC2248" s="48"/>
      <c r="BD2248" s="48"/>
    </row>
    <row r="2249" spans="1:56">
      <c r="A2249" s="48"/>
      <c r="B2249" s="48"/>
      <c r="C2249" s="49"/>
      <c r="D2249" s="48"/>
      <c r="E2249" s="48"/>
      <c r="F2249" s="48"/>
      <c r="G2249" s="48"/>
      <c r="H2249" s="48"/>
      <c r="I2249" s="48"/>
      <c r="J2249" s="86"/>
      <c r="K2249" s="86"/>
      <c r="L2249" s="86"/>
      <c r="M2249" s="86"/>
      <c r="N2249" s="86"/>
      <c r="O2249" s="86"/>
      <c r="P2249" s="86"/>
      <c r="Q2249" s="86"/>
      <c r="R2249" s="86"/>
      <c r="S2249" s="86"/>
      <c r="T2249" s="86"/>
      <c r="U2249" s="86"/>
      <c r="V2249" s="48"/>
      <c r="W2249" s="48"/>
      <c r="X2249" s="48"/>
      <c r="Y2249" s="48"/>
      <c r="Z2249" s="48"/>
      <c r="AA2249" s="48"/>
      <c r="AB2249" s="48"/>
      <c r="AC2249" s="48"/>
      <c r="AD2249" s="48"/>
      <c r="AE2249" s="48"/>
      <c r="AF2249" s="48"/>
      <c r="AG2249" s="48"/>
      <c r="AH2249" s="48"/>
      <c r="AI2249" s="48"/>
      <c r="AJ2249" s="48"/>
      <c r="AK2249" s="48"/>
      <c r="AL2249" s="48"/>
      <c r="AM2249" s="48"/>
      <c r="AN2249" s="48"/>
      <c r="AO2249" s="48"/>
      <c r="AP2249" s="48"/>
      <c r="AQ2249" s="48"/>
      <c r="AR2249" s="48"/>
      <c r="AS2249" s="48"/>
      <c r="AT2249" s="48"/>
      <c r="AU2249" s="48"/>
      <c r="AV2249" s="48"/>
      <c r="AW2249" s="48"/>
      <c r="AX2249" s="48"/>
      <c r="AY2249" s="48"/>
      <c r="AZ2249" s="48"/>
      <c r="BA2249" s="48"/>
      <c r="BB2249" s="48"/>
      <c r="BC2249" s="48"/>
      <c r="BD2249" s="48"/>
    </row>
    <row r="2250" spans="1:56">
      <c r="A2250" s="48"/>
      <c r="B2250" s="48"/>
      <c r="C2250" s="49"/>
      <c r="D2250" s="48"/>
      <c r="E2250" s="48"/>
      <c r="F2250" s="48"/>
      <c r="G2250" s="48"/>
      <c r="H2250" s="48"/>
      <c r="I2250" s="48"/>
      <c r="J2250" s="86"/>
      <c r="K2250" s="86"/>
      <c r="L2250" s="86"/>
      <c r="M2250" s="86"/>
      <c r="N2250" s="86"/>
      <c r="O2250" s="86"/>
      <c r="P2250" s="86"/>
      <c r="Q2250" s="86"/>
      <c r="R2250" s="86"/>
      <c r="S2250" s="86"/>
      <c r="T2250" s="86"/>
      <c r="U2250" s="86"/>
      <c r="V2250" s="48"/>
      <c r="W2250" s="48"/>
      <c r="X2250" s="48"/>
      <c r="Y2250" s="48"/>
      <c r="Z2250" s="48"/>
      <c r="AA2250" s="48"/>
      <c r="AB2250" s="48"/>
      <c r="AC2250" s="48"/>
      <c r="AD2250" s="48"/>
      <c r="AE2250" s="48"/>
      <c r="AF2250" s="48"/>
      <c r="AG2250" s="48"/>
      <c r="AH2250" s="48"/>
      <c r="AI2250" s="48"/>
      <c r="AJ2250" s="48"/>
      <c r="AK2250" s="48"/>
      <c r="AL2250" s="48"/>
      <c r="AM2250" s="48"/>
      <c r="AN2250" s="48"/>
      <c r="AO2250" s="48"/>
      <c r="AP2250" s="48"/>
      <c r="AQ2250" s="48"/>
      <c r="AR2250" s="48"/>
      <c r="AS2250" s="48"/>
      <c r="AT2250" s="48"/>
      <c r="AU2250" s="48"/>
      <c r="AV2250" s="48"/>
      <c r="AW2250" s="48"/>
      <c r="AX2250" s="48"/>
      <c r="AY2250" s="48"/>
      <c r="AZ2250" s="48"/>
      <c r="BA2250" s="48"/>
      <c r="BB2250" s="48"/>
      <c r="BC2250" s="48"/>
      <c r="BD2250" s="48"/>
    </row>
    <row r="2251" spans="1:56">
      <c r="A2251" s="48"/>
      <c r="B2251" s="48"/>
      <c r="C2251" s="49"/>
      <c r="D2251" s="48"/>
      <c r="E2251" s="48"/>
      <c r="F2251" s="48"/>
      <c r="G2251" s="48"/>
      <c r="H2251" s="48"/>
      <c r="I2251" s="48"/>
      <c r="J2251" s="86"/>
      <c r="K2251" s="86"/>
      <c r="L2251" s="86"/>
      <c r="M2251" s="86"/>
      <c r="N2251" s="86"/>
      <c r="O2251" s="86"/>
      <c r="P2251" s="86"/>
      <c r="Q2251" s="86"/>
      <c r="R2251" s="86"/>
      <c r="S2251" s="86"/>
      <c r="T2251" s="86"/>
      <c r="U2251" s="86"/>
      <c r="V2251" s="48"/>
      <c r="W2251" s="48"/>
      <c r="X2251" s="48"/>
      <c r="Y2251" s="48"/>
      <c r="Z2251" s="48"/>
      <c r="AA2251" s="48"/>
      <c r="AB2251" s="48"/>
      <c r="AC2251" s="48"/>
      <c r="AD2251" s="48"/>
      <c r="AE2251" s="48"/>
      <c r="AF2251" s="48"/>
      <c r="AG2251" s="48"/>
      <c r="AH2251" s="48"/>
      <c r="AI2251" s="48"/>
      <c r="AJ2251" s="48"/>
      <c r="AK2251" s="48"/>
      <c r="AL2251" s="48"/>
      <c r="AM2251" s="48"/>
      <c r="AN2251" s="48"/>
      <c r="AO2251" s="48"/>
      <c r="AP2251" s="48"/>
      <c r="AQ2251" s="48"/>
      <c r="AR2251" s="48"/>
      <c r="AS2251" s="48"/>
      <c r="AT2251" s="48"/>
      <c r="AU2251" s="48"/>
      <c r="AV2251" s="48"/>
      <c r="AW2251" s="48"/>
      <c r="AX2251" s="48"/>
      <c r="AY2251" s="48"/>
      <c r="AZ2251" s="48"/>
      <c r="BA2251" s="48"/>
      <c r="BB2251" s="48"/>
      <c r="BC2251" s="48"/>
      <c r="BD2251" s="48"/>
    </row>
    <row r="2252" spans="1:56">
      <c r="A2252" s="48"/>
      <c r="B2252" s="48"/>
      <c r="C2252" s="49"/>
      <c r="D2252" s="48"/>
      <c r="E2252" s="48"/>
      <c r="F2252" s="48"/>
      <c r="G2252" s="48"/>
      <c r="H2252" s="48"/>
      <c r="I2252" s="48"/>
      <c r="J2252" s="86"/>
      <c r="K2252" s="86"/>
      <c r="L2252" s="86"/>
      <c r="M2252" s="86"/>
      <c r="N2252" s="86"/>
      <c r="O2252" s="86"/>
      <c r="P2252" s="86"/>
      <c r="Q2252" s="86"/>
      <c r="R2252" s="86"/>
      <c r="S2252" s="86"/>
      <c r="T2252" s="86"/>
      <c r="U2252" s="86"/>
      <c r="V2252" s="48"/>
      <c r="W2252" s="48"/>
      <c r="X2252" s="48"/>
      <c r="Y2252" s="48"/>
      <c r="Z2252" s="48"/>
      <c r="AA2252" s="48"/>
      <c r="AB2252" s="48"/>
      <c r="AC2252" s="48"/>
      <c r="AD2252" s="48"/>
      <c r="AE2252" s="48"/>
      <c r="AF2252" s="48"/>
      <c r="AG2252" s="48"/>
      <c r="AH2252" s="48"/>
      <c r="AI2252" s="48"/>
      <c r="AJ2252" s="48"/>
      <c r="AK2252" s="48"/>
      <c r="AL2252" s="48"/>
      <c r="AM2252" s="48"/>
      <c r="AN2252" s="48"/>
      <c r="AO2252" s="48"/>
      <c r="AP2252" s="48"/>
      <c r="AQ2252" s="48"/>
      <c r="AR2252" s="48"/>
      <c r="AS2252" s="48"/>
      <c r="AT2252" s="48"/>
      <c r="AU2252" s="48"/>
      <c r="AV2252" s="48"/>
      <c r="AW2252" s="48"/>
      <c r="AX2252" s="48"/>
      <c r="AY2252" s="48"/>
      <c r="AZ2252" s="48"/>
      <c r="BA2252" s="48"/>
      <c r="BB2252" s="48"/>
      <c r="BC2252" s="48"/>
      <c r="BD2252" s="48"/>
    </row>
    <row r="2253" spans="1:56">
      <c r="A2253" s="48"/>
      <c r="B2253" s="48"/>
      <c r="C2253" s="49"/>
      <c r="D2253" s="48"/>
      <c r="E2253" s="48"/>
      <c r="F2253" s="48"/>
      <c r="G2253" s="48"/>
      <c r="H2253" s="48"/>
      <c r="I2253" s="48"/>
      <c r="J2253" s="86"/>
      <c r="K2253" s="86"/>
      <c r="L2253" s="86"/>
      <c r="M2253" s="86"/>
      <c r="N2253" s="86"/>
      <c r="O2253" s="86"/>
      <c r="P2253" s="86"/>
      <c r="Q2253" s="86"/>
      <c r="R2253" s="86"/>
      <c r="S2253" s="86"/>
      <c r="T2253" s="86"/>
      <c r="U2253" s="86"/>
      <c r="V2253" s="48"/>
      <c r="W2253" s="48"/>
      <c r="X2253" s="48"/>
      <c r="Y2253" s="48"/>
      <c r="Z2253" s="48"/>
      <c r="AA2253" s="48"/>
      <c r="AB2253" s="48"/>
      <c r="AC2253" s="48"/>
      <c r="AD2253" s="48"/>
      <c r="AE2253" s="48"/>
      <c r="AF2253" s="48"/>
      <c r="AG2253" s="48"/>
      <c r="AH2253" s="48"/>
      <c r="AI2253" s="48"/>
      <c r="AJ2253" s="48"/>
      <c r="AK2253" s="48"/>
      <c r="AL2253" s="48"/>
      <c r="AM2253" s="48"/>
      <c r="AN2253" s="48"/>
      <c r="AO2253" s="48"/>
      <c r="AP2253" s="48"/>
      <c r="AQ2253" s="48"/>
      <c r="AR2253" s="48"/>
      <c r="AS2253" s="48"/>
      <c r="AT2253" s="48"/>
      <c r="AU2253" s="48"/>
      <c r="AV2253" s="48"/>
      <c r="AW2253" s="48"/>
      <c r="AX2253" s="48"/>
      <c r="AY2253" s="48"/>
      <c r="AZ2253" s="48"/>
      <c r="BA2253" s="48"/>
      <c r="BB2253" s="48"/>
      <c r="BC2253" s="48"/>
      <c r="BD2253" s="48"/>
    </row>
    <row r="2254" spans="1:56">
      <c r="A2254" s="48"/>
      <c r="B2254" s="48"/>
      <c r="C2254" s="49"/>
      <c r="D2254" s="48"/>
      <c r="E2254" s="48"/>
      <c r="F2254" s="48"/>
      <c r="G2254" s="48"/>
      <c r="H2254" s="48"/>
      <c r="I2254" s="48"/>
      <c r="J2254" s="86"/>
      <c r="K2254" s="86"/>
      <c r="L2254" s="86"/>
      <c r="M2254" s="86"/>
      <c r="N2254" s="86"/>
      <c r="O2254" s="86"/>
      <c r="P2254" s="86"/>
      <c r="Q2254" s="86"/>
      <c r="R2254" s="86"/>
      <c r="S2254" s="86"/>
      <c r="T2254" s="86"/>
      <c r="U2254" s="86"/>
      <c r="V2254" s="48"/>
      <c r="W2254" s="48"/>
      <c r="X2254" s="48"/>
      <c r="Y2254" s="48"/>
      <c r="Z2254" s="48"/>
      <c r="AA2254" s="48"/>
      <c r="AB2254" s="48"/>
      <c r="AC2254" s="48"/>
      <c r="AD2254" s="48"/>
      <c r="AE2254" s="48"/>
      <c r="AF2254" s="48"/>
      <c r="AG2254" s="48"/>
      <c r="AH2254" s="48"/>
      <c r="AI2254" s="48"/>
      <c r="AJ2254" s="48"/>
      <c r="AK2254" s="48"/>
      <c r="AL2254" s="48"/>
      <c r="AM2254" s="48"/>
      <c r="AN2254" s="48"/>
      <c r="AO2254" s="48"/>
      <c r="AP2254" s="48"/>
      <c r="AQ2254" s="48"/>
      <c r="AR2254" s="48"/>
      <c r="AS2254" s="48"/>
      <c r="AT2254" s="48"/>
      <c r="AU2254" s="48"/>
      <c r="AV2254" s="48"/>
      <c r="AW2254" s="48"/>
      <c r="AX2254" s="48"/>
      <c r="AY2254" s="48"/>
      <c r="AZ2254" s="48"/>
      <c r="BA2254" s="48"/>
      <c r="BB2254" s="48"/>
      <c r="BC2254" s="48"/>
      <c r="BD2254" s="48"/>
    </row>
    <row r="2255" spans="1:56">
      <c r="A2255" s="48"/>
      <c r="B2255" s="48"/>
      <c r="C2255" s="49"/>
      <c r="D2255" s="48"/>
      <c r="E2255" s="48"/>
      <c r="F2255" s="48"/>
      <c r="G2255" s="48"/>
      <c r="H2255" s="48"/>
      <c r="I2255" s="48"/>
      <c r="J2255" s="86"/>
      <c r="K2255" s="86"/>
      <c r="L2255" s="86"/>
      <c r="M2255" s="86"/>
      <c r="N2255" s="86"/>
      <c r="O2255" s="86"/>
      <c r="P2255" s="86"/>
      <c r="Q2255" s="86"/>
      <c r="R2255" s="86"/>
      <c r="S2255" s="86"/>
      <c r="T2255" s="86"/>
      <c r="U2255" s="86"/>
      <c r="V2255" s="48"/>
      <c r="W2255" s="48"/>
      <c r="X2255" s="48"/>
      <c r="Y2255" s="48"/>
      <c r="Z2255" s="48"/>
      <c r="AA2255" s="48"/>
      <c r="AB2255" s="48"/>
      <c r="AC2255" s="48"/>
      <c r="AD2255" s="48"/>
      <c r="AE2255" s="48"/>
      <c r="AF2255" s="48"/>
      <c r="AG2255" s="48"/>
      <c r="AH2255" s="48"/>
      <c r="AI2255" s="48"/>
      <c r="AJ2255" s="48"/>
      <c r="AK2255" s="48"/>
      <c r="AL2255" s="48"/>
      <c r="AM2255" s="48"/>
      <c r="AN2255" s="48"/>
      <c r="AO2255" s="48"/>
      <c r="AP2255" s="48"/>
      <c r="AQ2255" s="48"/>
      <c r="AR2255" s="48"/>
      <c r="AS2255" s="48"/>
      <c r="AT2255" s="48"/>
      <c r="AU2255" s="48"/>
      <c r="AV2255" s="48"/>
      <c r="AW2255" s="48"/>
      <c r="AX2255" s="48"/>
      <c r="AY2255" s="48"/>
      <c r="AZ2255" s="48"/>
      <c r="BA2255" s="48"/>
      <c r="BB2255" s="48"/>
      <c r="BC2255" s="48"/>
      <c r="BD2255" s="48"/>
    </row>
    <row r="2256" spans="1:56">
      <c r="A2256" s="48"/>
      <c r="B2256" s="48"/>
      <c r="C2256" s="49"/>
      <c r="D2256" s="48"/>
      <c r="E2256" s="48"/>
      <c r="F2256" s="48"/>
      <c r="G2256" s="48"/>
      <c r="H2256" s="48"/>
      <c r="I2256" s="48"/>
      <c r="J2256" s="86"/>
      <c r="K2256" s="86"/>
      <c r="L2256" s="86"/>
      <c r="M2256" s="86"/>
      <c r="N2256" s="86"/>
      <c r="O2256" s="86"/>
      <c r="P2256" s="86"/>
      <c r="Q2256" s="86"/>
      <c r="R2256" s="86"/>
      <c r="S2256" s="86"/>
      <c r="T2256" s="86"/>
      <c r="U2256" s="86"/>
      <c r="V2256" s="48"/>
      <c r="W2256" s="48"/>
      <c r="X2256" s="48"/>
      <c r="Y2256" s="48"/>
      <c r="Z2256" s="48"/>
      <c r="AA2256" s="48"/>
      <c r="AB2256" s="48"/>
      <c r="AC2256" s="48"/>
      <c r="AD2256" s="48"/>
      <c r="AE2256" s="48"/>
      <c r="AF2256" s="48"/>
      <c r="AG2256" s="48"/>
      <c r="AH2256" s="48"/>
      <c r="AI2256" s="48"/>
      <c r="AJ2256" s="48"/>
      <c r="AK2256" s="48"/>
      <c r="AL2256" s="48"/>
      <c r="AM2256" s="48"/>
      <c r="AN2256" s="48"/>
      <c r="AO2256" s="48"/>
      <c r="AP2256" s="48"/>
      <c r="AQ2256" s="48"/>
      <c r="AR2256" s="48"/>
      <c r="AS2256" s="48"/>
      <c r="AT2256" s="48"/>
      <c r="AU2256" s="48"/>
      <c r="AV2256" s="48"/>
      <c r="AW2256" s="48"/>
      <c r="AX2256" s="48"/>
      <c r="AY2256" s="48"/>
      <c r="AZ2256" s="48"/>
      <c r="BA2256" s="48"/>
      <c r="BB2256" s="48"/>
      <c r="BC2256" s="48"/>
      <c r="BD2256" s="48"/>
    </row>
    <row r="2257" spans="1:56">
      <c r="A2257" s="48"/>
      <c r="B2257" s="48"/>
      <c r="C2257" s="49"/>
      <c r="D2257" s="48"/>
      <c r="E2257" s="48"/>
      <c r="F2257" s="48"/>
      <c r="G2257" s="48"/>
      <c r="H2257" s="48"/>
      <c r="I2257" s="48"/>
      <c r="J2257" s="86"/>
      <c r="K2257" s="86"/>
      <c r="L2257" s="86"/>
      <c r="M2257" s="86"/>
      <c r="N2257" s="86"/>
      <c r="O2257" s="86"/>
      <c r="P2257" s="86"/>
      <c r="Q2257" s="86"/>
      <c r="R2257" s="86"/>
      <c r="S2257" s="86"/>
      <c r="T2257" s="86"/>
      <c r="U2257" s="86"/>
      <c r="V2257" s="48"/>
      <c r="W2257" s="48"/>
      <c r="X2257" s="48"/>
      <c r="Y2257" s="48"/>
      <c r="Z2257" s="48"/>
      <c r="AA2257" s="48"/>
      <c r="AB2257" s="48"/>
      <c r="AC2257" s="48"/>
      <c r="AD2257" s="48"/>
      <c r="AE2257" s="48"/>
      <c r="AF2257" s="48"/>
      <c r="AG2257" s="48"/>
      <c r="AH2257" s="48"/>
      <c r="AI2257" s="48"/>
      <c r="AJ2257" s="48"/>
      <c r="AK2257" s="48"/>
      <c r="AL2257" s="48"/>
      <c r="AM2257" s="48"/>
      <c r="AN2257" s="48"/>
      <c r="AO2257" s="48"/>
      <c r="AP2257" s="48"/>
      <c r="AQ2257" s="48"/>
      <c r="AR2257" s="48"/>
      <c r="AS2257" s="48"/>
      <c r="AT2257" s="48"/>
      <c r="AU2257" s="48"/>
      <c r="AV2257" s="48"/>
      <c r="AW2257" s="48"/>
      <c r="AX2257" s="48"/>
      <c r="AY2257" s="48"/>
      <c r="AZ2257" s="48"/>
      <c r="BA2257" s="48"/>
      <c r="BB2257" s="48"/>
      <c r="BC2257" s="48"/>
      <c r="BD2257" s="48"/>
    </row>
    <row r="2258" spans="1:56">
      <c r="A2258" s="48"/>
      <c r="B2258" s="48"/>
      <c r="C2258" s="49"/>
      <c r="D2258" s="48"/>
      <c r="E2258" s="48"/>
      <c r="F2258" s="48"/>
      <c r="G2258" s="48"/>
      <c r="H2258" s="48"/>
      <c r="I2258" s="48"/>
      <c r="J2258" s="86"/>
      <c r="K2258" s="86"/>
      <c r="L2258" s="86"/>
      <c r="M2258" s="86"/>
      <c r="N2258" s="86"/>
      <c r="O2258" s="86"/>
      <c r="P2258" s="86"/>
      <c r="Q2258" s="86"/>
      <c r="R2258" s="86"/>
      <c r="S2258" s="86"/>
      <c r="T2258" s="86"/>
      <c r="U2258" s="86"/>
      <c r="V2258" s="48"/>
      <c r="W2258" s="48"/>
      <c r="X2258" s="48"/>
      <c r="Y2258" s="48"/>
      <c r="Z2258" s="48"/>
      <c r="AA2258" s="48"/>
      <c r="AB2258" s="48"/>
      <c r="AC2258" s="48"/>
      <c r="AD2258" s="48"/>
      <c r="AE2258" s="48"/>
      <c r="AF2258" s="48"/>
      <c r="AG2258" s="48"/>
      <c r="AH2258" s="48"/>
      <c r="AI2258" s="48"/>
      <c r="AJ2258" s="48"/>
      <c r="AK2258" s="48"/>
      <c r="AL2258" s="48"/>
      <c r="AM2258" s="48"/>
      <c r="AN2258" s="48"/>
      <c r="AO2258" s="48"/>
      <c r="AP2258" s="48"/>
      <c r="AQ2258" s="48"/>
      <c r="AR2258" s="48"/>
      <c r="AS2258" s="48"/>
      <c r="AT2258" s="48"/>
      <c r="AU2258" s="48"/>
      <c r="AV2258" s="48"/>
      <c r="AW2258" s="48"/>
      <c r="AX2258" s="48"/>
      <c r="AY2258" s="48"/>
      <c r="AZ2258" s="48"/>
      <c r="BA2258" s="48"/>
      <c r="BB2258" s="48"/>
      <c r="BC2258" s="48"/>
      <c r="BD2258" s="48"/>
    </row>
    <row r="2259" spans="1:56">
      <c r="A2259" s="48"/>
      <c r="B2259" s="48"/>
      <c r="C2259" s="49"/>
      <c r="D2259" s="48"/>
      <c r="E2259" s="48"/>
      <c r="F2259" s="48"/>
      <c r="G2259" s="48"/>
      <c r="H2259" s="48"/>
      <c r="I2259" s="48"/>
      <c r="J2259" s="86"/>
      <c r="K2259" s="86"/>
      <c r="L2259" s="86"/>
      <c r="M2259" s="86"/>
      <c r="N2259" s="86"/>
      <c r="O2259" s="86"/>
      <c r="P2259" s="86"/>
      <c r="Q2259" s="86"/>
      <c r="R2259" s="86"/>
      <c r="S2259" s="86"/>
      <c r="T2259" s="86"/>
      <c r="U2259" s="86"/>
      <c r="V2259" s="48"/>
      <c r="W2259" s="48"/>
      <c r="X2259" s="48"/>
      <c r="Y2259" s="48"/>
      <c r="Z2259" s="48"/>
      <c r="AA2259" s="48"/>
      <c r="AB2259" s="48"/>
      <c r="AC2259" s="48"/>
      <c r="AD2259" s="48"/>
      <c r="AE2259" s="48"/>
      <c r="AF2259" s="48"/>
      <c r="AG2259" s="48"/>
      <c r="AH2259" s="48"/>
      <c r="AI2259" s="48"/>
      <c r="AJ2259" s="48"/>
      <c r="AK2259" s="48"/>
      <c r="AL2259" s="48"/>
      <c r="AM2259" s="48"/>
      <c r="AN2259" s="48"/>
      <c r="AO2259" s="48"/>
      <c r="AP2259" s="48"/>
      <c r="AQ2259" s="48"/>
      <c r="AR2259" s="48"/>
      <c r="AS2259" s="48"/>
      <c r="AT2259" s="48"/>
      <c r="AU2259" s="48"/>
      <c r="AV2259" s="48"/>
      <c r="AW2259" s="48"/>
      <c r="AX2259" s="48"/>
      <c r="AY2259" s="48"/>
      <c r="AZ2259" s="48"/>
      <c r="BA2259" s="48"/>
      <c r="BB2259" s="48"/>
      <c r="BC2259" s="48"/>
      <c r="BD2259" s="48"/>
    </row>
    <row r="2260" spans="1:56">
      <c r="A2260" s="48"/>
      <c r="B2260" s="48"/>
      <c r="C2260" s="49"/>
      <c r="D2260" s="48"/>
      <c r="E2260" s="48"/>
      <c r="F2260" s="48"/>
      <c r="G2260" s="48"/>
      <c r="H2260" s="48"/>
      <c r="I2260" s="48"/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48"/>
      <c r="W2260" s="48"/>
      <c r="X2260" s="48"/>
      <c r="Y2260" s="48"/>
      <c r="Z2260" s="48"/>
      <c r="AA2260" s="48"/>
      <c r="AB2260" s="48"/>
      <c r="AC2260" s="48"/>
      <c r="AD2260" s="48"/>
      <c r="AE2260" s="48"/>
      <c r="AF2260" s="48"/>
      <c r="AG2260" s="48"/>
      <c r="AH2260" s="48"/>
      <c r="AI2260" s="48"/>
      <c r="AJ2260" s="48"/>
      <c r="AK2260" s="48"/>
      <c r="AL2260" s="48"/>
      <c r="AM2260" s="48"/>
      <c r="AN2260" s="48"/>
      <c r="AO2260" s="48"/>
      <c r="AP2260" s="48"/>
      <c r="AQ2260" s="48"/>
      <c r="AR2260" s="48"/>
      <c r="AS2260" s="48"/>
      <c r="AT2260" s="48"/>
      <c r="AU2260" s="48"/>
      <c r="AV2260" s="48"/>
      <c r="AW2260" s="48"/>
      <c r="AX2260" s="48"/>
      <c r="AY2260" s="48"/>
      <c r="AZ2260" s="48"/>
      <c r="BA2260" s="48"/>
      <c r="BB2260" s="48"/>
      <c r="BC2260" s="48"/>
      <c r="BD2260" s="48"/>
    </row>
    <row r="2261" spans="1:56">
      <c r="A2261" s="48"/>
      <c r="B2261" s="48"/>
      <c r="C2261" s="49"/>
      <c r="D2261" s="48"/>
      <c r="E2261" s="48"/>
      <c r="F2261" s="48"/>
      <c r="G2261" s="48"/>
      <c r="H2261" s="48"/>
      <c r="I2261" s="48"/>
      <c r="J2261" s="86"/>
      <c r="K2261" s="86"/>
      <c r="L2261" s="86"/>
      <c r="M2261" s="86"/>
      <c r="N2261" s="86"/>
      <c r="O2261" s="86"/>
      <c r="P2261" s="86"/>
      <c r="Q2261" s="86"/>
      <c r="R2261" s="86"/>
      <c r="S2261" s="86"/>
      <c r="T2261" s="86"/>
      <c r="U2261" s="86"/>
      <c r="V2261" s="48"/>
      <c r="W2261" s="48"/>
      <c r="X2261" s="48"/>
      <c r="Y2261" s="48"/>
      <c r="Z2261" s="48"/>
      <c r="AA2261" s="48"/>
      <c r="AB2261" s="48"/>
      <c r="AC2261" s="48"/>
      <c r="AD2261" s="48"/>
      <c r="AE2261" s="48"/>
      <c r="AF2261" s="48"/>
      <c r="AG2261" s="48"/>
      <c r="AH2261" s="48"/>
      <c r="AI2261" s="48"/>
      <c r="AJ2261" s="48"/>
      <c r="AK2261" s="48"/>
      <c r="AL2261" s="48"/>
      <c r="AM2261" s="48"/>
      <c r="AN2261" s="48"/>
      <c r="AO2261" s="48"/>
      <c r="AP2261" s="48"/>
      <c r="AQ2261" s="48"/>
      <c r="AR2261" s="48"/>
      <c r="AS2261" s="48"/>
      <c r="AT2261" s="48"/>
      <c r="AU2261" s="48"/>
      <c r="AV2261" s="48"/>
      <c r="AW2261" s="48"/>
      <c r="AX2261" s="48"/>
      <c r="AY2261" s="48"/>
      <c r="AZ2261" s="48"/>
      <c r="BA2261" s="48"/>
      <c r="BB2261" s="48"/>
      <c r="BC2261" s="48"/>
      <c r="BD2261" s="48"/>
    </row>
    <row r="2262" spans="1:56">
      <c r="A2262" s="48"/>
      <c r="B2262" s="48"/>
      <c r="C2262" s="49"/>
      <c r="D2262" s="48"/>
      <c r="E2262" s="48"/>
      <c r="F2262" s="48"/>
      <c r="G2262" s="48"/>
      <c r="H2262" s="48"/>
      <c r="I2262" s="48"/>
      <c r="J2262" s="86"/>
      <c r="K2262" s="86"/>
      <c r="L2262" s="86"/>
      <c r="M2262" s="86"/>
      <c r="N2262" s="86"/>
      <c r="O2262" s="86"/>
      <c r="P2262" s="86"/>
      <c r="Q2262" s="86"/>
      <c r="R2262" s="86"/>
      <c r="S2262" s="86"/>
      <c r="T2262" s="86"/>
      <c r="U2262" s="86"/>
      <c r="V2262" s="48"/>
      <c r="W2262" s="48"/>
      <c r="X2262" s="48"/>
      <c r="Y2262" s="48"/>
      <c r="Z2262" s="48"/>
      <c r="AA2262" s="48"/>
      <c r="AB2262" s="48"/>
      <c r="AC2262" s="48"/>
      <c r="AD2262" s="48"/>
      <c r="AE2262" s="48"/>
      <c r="AF2262" s="48"/>
      <c r="AG2262" s="48"/>
      <c r="AH2262" s="48"/>
      <c r="AI2262" s="48"/>
      <c r="AJ2262" s="48"/>
      <c r="AK2262" s="48"/>
      <c r="AL2262" s="48"/>
      <c r="AM2262" s="48"/>
      <c r="AN2262" s="48"/>
      <c r="AO2262" s="48"/>
      <c r="AP2262" s="48"/>
      <c r="AQ2262" s="48"/>
      <c r="AR2262" s="48"/>
      <c r="AS2262" s="48"/>
      <c r="AT2262" s="48"/>
      <c r="AU2262" s="48"/>
      <c r="AV2262" s="48"/>
      <c r="AW2262" s="48"/>
      <c r="AX2262" s="48"/>
      <c r="AY2262" s="48"/>
      <c r="AZ2262" s="48"/>
      <c r="BA2262" s="48"/>
      <c r="BB2262" s="48"/>
      <c r="BC2262" s="48"/>
      <c r="BD2262" s="48"/>
    </row>
    <row r="2263" spans="1:56">
      <c r="A2263" s="48"/>
      <c r="B2263" s="48"/>
      <c r="C2263" s="49"/>
      <c r="D2263" s="48"/>
      <c r="E2263" s="48"/>
      <c r="F2263" s="48"/>
      <c r="G2263" s="48"/>
      <c r="H2263" s="48"/>
      <c r="I2263" s="48"/>
      <c r="J2263" s="86"/>
      <c r="K2263" s="86"/>
      <c r="L2263" s="86"/>
      <c r="M2263" s="86"/>
      <c r="N2263" s="86"/>
      <c r="O2263" s="86"/>
      <c r="P2263" s="86"/>
      <c r="Q2263" s="86"/>
      <c r="R2263" s="86"/>
      <c r="S2263" s="86"/>
      <c r="T2263" s="86"/>
      <c r="U2263" s="86"/>
      <c r="V2263" s="48"/>
      <c r="W2263" s="48"/>
      <c r="X2263" s="48"/>
      <c r="Y2263" s="48"/>
      <c r="Z2263" s="48"/>
      <c r="AA2263" s="48"/>
      <c r="AB2263" s="48"/>
      <c r="AC2263" s="48"/>
      <c r="AD2263" s="48"/>
      <c r="AE2263" s="48"/>
      <c r="AF2263" s="48"/>
      <c r="AG2263" s="48"/>
      <c r="AH2263" s="48"/>
      <c r="AI2263" s="48"/>
      <c r="AJ2263" s="48"/>
      <c r="AK2263" s="48"/>
      <c r="AL2263" s="48"/>
      <c r="AM2263" s="48"/>
      <c r="AN2263" s="48"/>
      <c r="AO2263" s="48"/>
      <c r="AP2263" s="48"/>
      <c r="AQ2263" s="48"/>
      <c r="AR2263" s="48"/>
      <c r="AS2263" s="48"/>
      <c r="AT2263" s="48"/>
      <c r="AU2263" s="48"/>
      <c r="AV2263" s="48"/>
      <c r="AW2263" s="48"/>
      <c r="AX2263" s="48"/>
      <c r="AY2263" s="48"/>
      <c r="AZ2263" s="48"/>
      <c r="BA2263" s="48"/>
      <c r="BB2263" s="48"/>
      <c r="BC2263" s="48"/>
      <c r="BD2263" s="48"/>
    </row>
    <row r="2264" spans="1:56">
      <c r="A2264" s="48"/>
      <c r="B2264" s="48"/>
      <c r="C2264" s="49"/>
      <c r="D2264" s="48"/>
      <c r="E2264" s="48"/>
      <c r="F2264" s="48"/>
      <c r="G2264" s="48"/>
      <c r="H2264" s="48"/>
      <c r="I2264" s="48"/>
      <c r="J2264" s="86"/>
      <c r="K2264" s="86"/>
      <c r="L2264" s="86"/>
      <c r="M2264" s="86"/>
      <c r="N2264" s="86"/>
      <c r="O2264" s="86"/>
      <c r="P2264" s="86"/>
      <c r="Q2264" s="86"/>
      <c r="R2264" s="86"/>
      <c r="S2264" s="86"/>
      <c r="T2264" s="86"/>
      <c r="U2264" s="86"/>
      <c r="V2264" s="48"/>
      <c r="W2264" s="48"/>
      <c r="X2264" s="48"/>
      <c r="Y2264" s="48"/>
      <c r="Z2264" s="48"/>
      <c r="AA2264" s="48"/>
      <c r="AB2264" s="48"/>
      <c r="AC2264" s="48"/>
      <c r="AD2264" s="48"/>
      <c r="AE2264" s="48"/>
      <c r="AF2264" s="48"/>
      <c r="AG2264" s="48"/>
      <c r="AH2264" s="48"/>
      <c r="AI2264" s="48"/>
      <c r="AJ2264" s="48"/>
      <c r="AK2264" s="48"/>
      <c r="AL2264" s="48"/>
      <c r="AM2264" s="48"/>
      <c r="AN2264" s="48"/>
      <c r="AO2264" s="48"/>
      <c r="AP2264" s="48"/>
      <c r="AQ2264" s="48"/>
      <c r="AR2264" s="48"/>
      <c r="AS2264" s="48"/>
      <c r="AT2264" s="48"/>
      <c r="AU2264" s="48"/>
      <c r="AV2264" s="48"/>
      <c r="AW2264" s="48"/>
      <c r="AX2264" s="48"/>
      <c r="AY2264" s="48"/>
      <c r="AZ2264" s="48"/>
      <c r="BA2264" s="48"/>
      <c r="BB2264" s="48"/>
      <c r="BC2264" s="48"/>
      <c r="BD2264" s="48"/>
    </row>
    <row r="2265" spans="1:56">
      <c r="A2265" s="48"/>
      <c r="B2265" s="48"/>
      <c r="C2265" s="49"/>
      <c r="D2265" s="48"/>
      <c r="E2265" s="48"/>
      <c r="F2265" s="48"/>
      <c r="G2265" s="48"/>
      <c r="H2265" s="48"/>
      <c r="I2265" s="48"/>
      <c r="J2265" s="86"/>
      <c r="K2265" s="86"/>
      <c r="L2265" s="86"/>
      <c r="M2265" s="86"/>
      <c r="N2265" s="86"/>
      <c r="O2265" s="86"/>
      <c r="P2265" s="86"/>
      <c r="Q2265" s="86"/>
      <c r="R2265" s="86"/>
      <c r="S2265" s="86"/>
      <c r="T2265" s="86"/>
      <c r="U2265" s="86"/>
      <c r="V2265" s="48"/>
      <c r="W2265" s="48"/>
      <c r="X2265" s="48"/>
      <c r="Y2265" s="48"/>
      <c r="Z2265" s="48"/>
      <c r="AA2265" s="48"/>
      <c r="AB2265" s="48"/>
      <c r="AC2265" s="48"/>
      <c r="AD2265" s="48"/>
      <c r="AE2265" s="48"/>
      <c r="AF2265" s="48"/>
      <c r="AG2265" s="48"/>
      <c r="AH2265" s="48"/>
      <c r="AI2265" s="48"/>
      <c r="AJ2265" s="48"/>
      <c r="AK2265" s="48"/>
      <c r="AL2265" s="48"/>
      <c r="AM2265" s="48"/>
      <c r="AN2265" s="48"/>
      <c r="AO2265" s="48"/>
      <c r="AP2265" s="48"/>
      <c r="AQ2265" s="48"/>
      <c r="AR2265" s="48"/>
      <c r="AS2265" s="48"/>
      <c r="AT2265" s="48"/>
      <c r="AU2265" s="48"/>
      <c r="AV2265" s="48"/>
      <c r="AW2265" s="48"/>
      <c r="AX2265" s="48"/>
      <c r="AY2265" s="48"/>
      <c r="AZ2265" s="48"/>
      <c r="BA2265" s="48"/>
      <c r="BB2265" s="48"/>
      <c r="BC2265" s="48"/>
      <c r="BD2265" s="48"/>
    </row>
    <row r="2266" spans="1:56">
      <c r="A2266" s="48"/>
      <c r="B2266" s="48"/>
      <c r="C2266" s="49"/>
      <c r="D2266" s="48"/>
      <c r="E2266" s="48"/>
      <c r="F2266" s="48"/>
      <c r="G2266" s="48"/>
      <c r="H2266" s="48"/>
      <c r="I2266" s="48"/>
      <c r="J2266" s="86"/>
      <c r="K2266" s="86"/>
      <c r="L2266" s="86"/>
      <c r="M2266" s="86"/>
      <c r="N2266" s="86"/>
      <c r="O2266" s="86"/>
      <c r="P2266" s="86"/>
      <c r="Q2266" s="86"/>
      <c r="R2266" s="86"/>
      <c r="S2266" s="86"/>
      <c r="T2266" s="86"/>
      <c r="U2266" s="86"/>
      <c r="V2266" s="48"/>
      <c r="W2266" s="48"/>
      <c r="X2266" s="48"/>
      <c r="Y2266" s="48"/>
      <c r="Z2266" s="48"/>
      <c r="AA2266" s="48"/>
      <c r="AB2266" s="48"/>
      <c r="AC2266" s="48"/>
      <c r="AD2266" s="48"/>
      <c r="AE2266" s="48"/>
      <c r="AF2266" s="48"/>
      <c r="AG2266" s="48"/>
      <c r="AH2266" s="48"/>
      <c r="AI2266" s="48"/>
      <c r="AJ2266" s="48"/>
      <c r="AK2266" s="48"/>
      <c r="AL2266" s="48"/>
      <c r="AM2266" s="48"/>
      <c r="AN2266" s="48"/>
      <c r="AO2266" s="48"/>
      <c r="AP2266" s="48"/>
      <c r="AQ2266" s="48"/>
      <c r="AR2266" s="48"/>
      <c r="AS2266" s="48"/>
      <c r="AT2266" s="48"/>
      <c r="AU2266" s="48"/>
      <c r="AV2266" s="48"/>
      <c r="AW2266" s="48"/>
      <c r="AX2266" s="48"/>
      <c r="AY2266" s="48"/>
      <c r="AZ2266" s="48"/>
      <c r="BA2266" s="48"/>
      <c r="BB2266" s="48"/>
      <c r="BC2266" s="48"/>
      <c r="BD2266" s="48"/>
    </row>
    <row r="2267" spans="1:56">
      <c r="A2267" s="48"/>
      <c r="B2267" s="48"/>
      <c r="C2267" s="49"/>
      <c r="D2267" s="48"/>
      <c r="E2267" s="48"/>
      <c r="F2267" s="48"/>
      <c r="G2267" s="48"/>
      <c r="H2267" s="48"/>
      <c r="I2267" s="48"/>
      <c r="J2267" s="86"/>
      <c r="K2267" s="86"/>
      <c r="L2267" s="86"/>
      <c r="M2267" s="86"/>
      <c r="N2267" s="86"/>
      <c r="O2267" s="86"/>
      <c r="P2267" s="86"/>
      <c r="Q2267" s="86"/>
      <c r="R2267" s="86"/>
      <c r="S2267" s="86"/>
      <c r="T2267" s="86"/>
      <c r="U2267" s="86"/>
      <c r="V2267" s="48"/>
      <c r="W2267" s="48"/>
      <c r="X2267" s="48"/>
      <c r="Y2267" s="48"/>
      <c r="Z2267" s="48"/>
      <c r="AA2267" s="48"/>
      <c r="AB2267" s="48"/>
      <c r="AC2267" s="48"/>
      <c r="AD2267" s="48"/>
      <c r="AE2267" s="48"/>
      <c r="AF2267" s="48"/>
      <c r="AG2267" s="48"/>
      <c r="AH2267" s="48"/>
      <c r="AI2267" s="48"/>
      <c r="AJ2267" s="48"/>
      <c r="AK2267" s="48"/>
      <c r="AL2267" s="48"/>
      <c r="AM2267" s="48"/>
      <c r="AN2267" s="48"/>
      <c r="AO2267" s="48"/>
      <c r="AP2267" s="48"/>
      <c r="AQ2267" s="48"/>
      <c r="AR2267" s="48"/>
      <c r="AS2267" s="48"/>
      <c r="AT2267" s="48"/>
      <c r="AU2267" s="48"/>
      <c r="AV2267" s="48"/>
      <c r="AW2267" s="48"/>
      <c r="AX2267" s="48"/>
      <c r="AY2267" s="48"/>
      <c r="AZ2267" s="48"/>
      <c r="BA2267" s="48"/>
      <c r="BB2267" s="48"/>
      <c r="BC2267" s="48"/>
      <c r="BD2267" s="48"/>
    </row>
    <row r="2268" spans="1:56">
      <c r="A2268" s="48"/>
      <c r="B2268" s="48"/>
      <c r="C2268" s="49"/>
      <c r="D2268" s="48"/>
      <c r="E2268" s="48"/>
      <c r="F2268" s="48"/>
      <c r="G2268" s="48"/>
      <c r="H2268" s="48"/>
      <c r="I2268" s="48"/>
      <c r="J2268" s="86"/>
      <c r="K2268" s="86"/>
      <c r="L2268" s="86"/>
      <c r="M2268" s="86"/>
      <c r="N2268" s="86"/>
      <c r="O2268" s="86"/>
      <c r="P2268" s="86"/>
      <c r="Q2268" s="86"/>
      <c r="R2268" s="86"/>
      <c r="S2268" s="86"/>
      <c r="T2268" s="86"/>
      <c r="U2268" s="86"/>
      <c r="V2268" s="48"/>
      <c r="W2268" s="48"/>
      <c r="X2268" s="48"/>
      <c r="Y2268" s="48"/>
      <c r="Z2268" s="48"/>
      <c r="AA2268" s="48"/>
      <c r="AB2268" s="48"/>
      <c r="AC2268" s="48"/>
      <c r="AD2268" s="48"/>
      <c r="AE2268" s="48"/>
      <c r="AF2268" s="48"/>
      <c r="AG2268" s="48"/>
      <c r="AH2268" s="48"/>
      <c r="AI2268" s="48"/>
      <c r="AJ2268" s="48"/>
      <c r="AK2268" s="48"/>
      <c r="AL2268" s="48"/>
      <c r="AM2268" s="48"/>
      <c r="AN2268" s="48"/>
      <c r="AO2268" s="48"/>
      <c r="AP2268" s="48"/>
      <c r="AQ2268" s="48"/>
      <c r="AR2268" s="48"/>
      <c r="AS2268" s="48"/>
      <c r="AT2268" s="48"/>
      <c r="AU2268" s="48"/>
      <c r="AV2268" s="48"/>
      <c r="AW2268" s="48"/>
      <c r="AX2268" s="48"/>
      <c r="AY2268" s="48"/>
      <c r="AZ2268" s="48"/>
      <c r="BA2268" s="48"/>
      <c r="BB2268" s="48"/>
      <c r="BC2268" s="48"/>
      <c r="BD2268" s="48"/>
    </row>
    <row r="2269" spans="1:56">
      <c r="A2269" s="48"/>
      <c r="B2269" s="48"/>
      <c r="C2269" s="49"/>
      <c r="D2269" s="48"/>
      <c r="E2269" s="48"/>
      <c r="F2269" s="48"/>
      <c r="G2269" s="48"/>
      <c r="H2269" s="48"/>
      <c r="I2269" s="48"/>
      <c r="J2269" s="86"/>
      <c r="K2269" s="86"/>
      <c r="L2269" s="86"/>
      <c r="M2269" s="86"/>
      <c r="N2269" s="86"/>
      <c r="O2269" s="86"/>
      <c r="P2269" s="86"/>
      <c r="Q2269" s="86"/>
      <c r="R2269" s="86"/>
      <c r="S2269" s="86"/>
      <c r="T2269" s="86"/>
      <c r="U2269" s="86"/>
      <c r="V2269" s="48"/>
      <c r="W2269" s="48"/>
      <c r="X2269" s="48"/>
      <c r="Y2269" s="48"/>
      <c r="Z2269" s="48"/>
      <c r="AA2269" s="48"/>
      <c r="AB2269" s="48"/>
      <c r="AC2269" s="48"/>
      <c r="AD2269" s="48"/>
      <c r="AE2269" s="48"/>
      <c r="AF2269" s="48"/>
      <c r="AG2269" s="48"/>
      <c r="AH2269" s="48"/>
      <c r="AI2269" s="48"/>
      <c r="AJ2269" s="48"/>
      <c r="AK2269" s="48"/>
      <c r="AL2269" s="48"/>
      <c r="AM2269" s="48"/>
      <c r="AN2269" s="48"/>
      <c r="AO2269" s="48"/>
      <c r="AP2269" s="48"/>
      <c r="AQ2269" s="48"/>
      <c r="AR2269" s="48"/>
      <c r="AS2269" s="48"/>
      <c r="AT2269" s="48"/>
      <c r="AU2269" s="48"/>
      <c r="AV2269" s="48"/>
      <c r="AW2269" s="48"/>
      <c r="AX2269" s="48"/>
      <c r="AY2269" s="48"/>
      <c r="AZ2269" s="48"/>
      <c r="BA2269" s="48"/>
      <c r="BB2269" s="48"/>
      <c r="BC2269" s="48"/>
      <c r="BD2269" s="48"/>
    </row>
    <row r="2270" spans="1:56">
      <c r="A2270" s="48"/>
      <c r="B2270" s="48"/>
      <c r="C2270" s="49"/>
      <c r="D2270" s="48"/>
      <c r="E2270" s="48"/>
      <c r="F2270" s="48"/>
      <c r="G2270" s="48"/>
      <c r="H2270" s="48"/>
      <c r="I2270" s="48"/>
      <c r="J2270" s="86"/>
      <c r="K2270" s="86"/>
      <c r="L2270" s="86"/>
      <c r="M2270" s="86"/>
      <c r="N2270" s="86"/>
      <c r="O2270" s="86"/>
      <c r="P2270" s="86"/>
      <c r="Q2270" s="86"/>
      <c r="R2270" s="86"/>
      <c r="S2270" s="86"/>
      <c r="T2270" s="86"/>
      <c r="U2270" s="86"/>
      <c r="V2270" s="48"/>
      <c r="W2270" s="48"/>
      <c r="X2270" s="48"/>
      <c r="Y2270" s="48"/>
      <c r="Z2270" s="48"/>
      <c r="AA2270" s="48"/>
      <c r="AB2270" s="48"/>
      <c r="AC2270" s="48"/>
      <c r="AD2270" s="48"/>
      <c r="AE2270" s="48"/>
      <c r="AF2270" s="48"/>
      <c r="AG2270" s="48"/>
      <c r="AH2270" s="48"/>
      <c r="AI2270" s="48"/>
      <c r="AJ2270" s="48"/>
      <c r="AK2270" s="48"/>
      <c r="AL2270" s="48"/>
      <c r="AM2270" s="48"/>
      <c r="AN2270" s="48"/>
      <c r="AO2270" s="48"/>
      <c r="AP2270" s="48"/>
      <c r="AQ2270" s="48"/>
      <c r="AR2270" s="48"/>
      <c r="AS2270" s="48"/>
      <c r="AT2270" s="48"/>
      <c r="AU2270" s="48"/>
      <c r="AV2270" s="48"/>
      <c r="AW2270" s="48"/>
      <c r="AX2270" s="48"/>
      <c r="AY2270" s="48"/>
      <c r="AZ2270" s="48"/>
      <c r="BA2270" s="48"/>
      <c r="BB2270" s="48"/>
      <c r="BC2270" s="48"/>
      <c r="BD2270" s="48"/>
    </row>
    <row r="2271" spans="1:56">
      <c r="A2271" s="48"/>
      <c r="B2271" s="48"/>
      <c r="C2271" s="49"/>
      <c r="D2271" s="48"/>
      <c r="E2271" s="48"/>
      <c r="F2271" s="48"/>
      <c r="G2271" s="48"/>
      <c r="H2271" s="48"/>
      <c r="I2271" s="48"/>
      <c r="J2271" s="86"/>
      <c r="K2271" s="86"/>
      <c r="L2271" s="86"/>
      <c r="M2271" s="86"/>
      <c r="N2271" s="86"/>
      <c r="O2271" s="86"/>
      <c r="P2271" s="86"/>
      <c r="Q2271" s="86"/>
      <c r="R2271" s="86"/>
      <c r="S2271" s="86"/>
      <c r="T2271" s="86"/>
      <c r="U2271" s="86"/>
      <c r="V2271" s="48"/>
      <c r="W2271" s="48"/>
      <c r="X2271" s="48"/>
      <c r="Y2271" s="48"/>
      <c r="Z2271" s="48"/>
      <c r="AA2271" s="48"/>
      <c r="AB2271" s="48"/>
      <c r="AC2271" s="48"/>
      <c r="AD2271" s="48"/>
      <c r="AE2271" s="48"/>
      <c r="AF2271" s="48"/>
      <c r="AG2271" s="48"/>
      <c r="AH2271" s="48"/>
      <c r="AI2271" s="48"/>
      <c r="AJ2271" s="48"/>
      <c r="AK2271" s="48"/>
      <c r="AL2271" s="48"/>
      <c r="AM2271" s="48"/>
      <c r="AN2271" s="48"/>
      <c r="AO2271" s="48"/>
      <c r="AP2271" s="48"/>
      <c r="AQ2271" s="48"/>
      <c r="AR2271" s="48"/>
      <c r="AS2271" s="48"/>
      <c r="AT2271" s="48"/>
      <c r="AU2271" s="48"/>
      <c r="AV2271" s="48"/>
      <c r="AW2271" s="48"/>
      <c r="AX2271" s="48"/>
      <c r="AY2271" s="48"/>
      <c r="AZ2271" s="48"/>
      <c r="BA2271" s="48"/>
      <c r="BB2271" s="48"/>
      <c r="BC2271" s="48"/>
      <c r="BD2271" s="48"/>
    </row>
    <row r="2272" spans="1:56">
      <c r="A2272" s="48"/>
      <c r="B2272" s="48"/>
      <c r="C2272" s="49"/>
      <c r="D2272" s="48"/>
      <c r="E2272" s="48"/>
      <c r="F2272" s="48"/>
      <c r="G2272" s="48"/>
      <c r="H2272" s="48"/>
      <c r="I2272" s="48"/>
      <c r="J2272" s="86"/>
      <c r="K2272" s="86"/>
      <c r="L2272" s="86"/>
      <c r="M2272" s="86"/>
      <c r="N2272" s="86"/>
      <c r="O2272" s="86"/>
      <c r="P2272" s="86"/>
      <c r="Q2272" s="86"/>
      <c r="R2272" s="86"/>
      <c r="S2272" s="86"/>
      <c r="T2272" s="86"/>
      <c r="U2272" s="86"/>
      <c r="V2272" s="48"/>
      <c r="W2272" s="48"/>
      <c r="X2272" s="48"/>
      <c r="Y2272" s="48"/>
      <c r="Z2272" s="48"/>
      <c r="AA2272" s="48"/>
      <c r="AB2272" s="48"/>
      <c r="AC2272" s="48"/>
      <c r="AD2272" s="48"/>
      <c r="AE2272" s="48"/>
      <c r="AF2272" s="48"/>
      <c r="AG2272" s="48"/>
      <c r="AH2272" s="48"/>
      <c r="AI2272" s="48"/>
      <c r="AJ2272" s="48"/>
      <c r="AK2272" s="48"/>
      <c r="AL2272" s="48"/>
      <c r="AM2272" s="48"/>
      <c r="AN2272" s="48"/>
      <c r="AO2272" s="48"/>
      <c r="AP2272" s="48"/>
      <c r="AQ2272" s="48"/>
      <c r="AR2272" s="48"/>
      <c r="AS2272" s="48"/>
      <c r="AT2272" s="48"/>
      <c r="AU2272" s="48"/>
      <c r="AV2272" s="48"/>
      <c r="AW2272" s="48"/>
      <c r="AX2272" s="48"/>
      <c r="AY2272" s="48"/>
      <c r="AZ2272" s="48"/>
      <c r="BA2272" s="48"/>
      <c r="BB2272" s="48"/>
      <c r="BC2272" s="48"/>
      <c r="BD2272" s="48"/>
    </row>
    <row r="2273" spans="1:56">
      <c r="A2273" s="48"/>
      <c r="B2273" s="48"/>
      <c r="C2273" s="49"/>
      <c r="D2273" s="48"/>
      <c r="E2273" s="48"/>
      <c r="F2273" s="48"/>
      <c r="G2273" s="48"/>
      <c r="H2273" s="48"/>
      <c r="I2273" s="48"/>
      <c r="J2273" s="86"/>
      <c r="K2273" s="86"/>
      <c r="L2273" s="86"/>
      <c r="M2273" s="86"/>
      <c r="N2273" s="86"/>
      <c r="O2273" s="86"/>
      <c r="P2273" s="86"/>
      <c r="Q2273" s="86"/>
      <c r="R2273" s="86"/>
      <c r="S2273" s="86"/>
      <c r="T2273" s="86"/>
      <c r="U2273" s="86"/>
      <c r="V2273" s="48"/>
      <c r="W2273" s="48"/>
      <c r="X2273" s="48"/>
      <c r="Y2273" s="48"/>
      <c r="Z2273" s="48"/>
      <c r="AA2273" s="48"/>
      <c r="AB2273" s="48"/>
      <c r="AC2273" s="48"/>
      <c r="AD2273" s="48"/>
      <c r="AE2273" s="48"/>
      <c r="AF2273" s="48"/>
      <c r="AG2273" s="48"/>
      <c r="AH2273" s="48"/>
      <c r="AI2273" s="48"/>
      <c r="AJ2273" s="48"/>
      <c r="AK2273" s="48"/>
      <c r="AL2273" s="48"/>
      <c r="AM2273" s="48"/>
      <c r="AN2273" s="48"/>
      <c r="AO2273" s="48"/>
      <c r="AP2273" s="48"/>
      <c r="AQ2273" s="48"/>
      <c r="AR2273" s="48"/>
      <c r="AS2273" s="48"/>
      <c r="AT2273" s="48"/>
      <c r="AU2273" s="48"/>
      <c r="AV2273" s="48"/>
      <c r="AW2273" s="48"/>
      <c r="AX2273" s="48"/>
      <c r="AY2273" s="48"/>
      <c r="AZ2273" s="48"/>
      <c r="BA2273" s="48"/>
      <c r="BB2273" s="48"/>
      <c r="BC2273" s="48"/>
      <c r="BD2273" s="48"/>
    </row>
    <row r="2274" spans="1:56">
      <c r="A2274" s="48"/>
      <c r="B2274" s="48"/>
      <c r="C2274" s="49"/>
      <c r="D2274" s="48"/>
      <c r="E2274" s="48"/>
      <c r="F2274" s="48"/>
      <c r="G2274" s="48"/>
      <c r="H2274" s="48"/>
      <c r="I2274" s="48"/>
      <c r="J2274" s="86"/>
      <c r="K2274" s="86"/>
      <c r="L2274" s="86"/>
      <c r="M2274" s="86"/>
      <c r="N2274" s="86"/>
      <c r="O2274" s="86"/>
      <c r="P2274" s="86"/>
      <c r="Q2274" s="86"/>
      <c r="R2274" s="86"/>
      <c r="S2274" s="86"/>
      <c r="T2274" s="86"/>
      <c r="U2274" s="86"/>
      <c r="V2274" s="48"/>
      <c r="W2274" s="48"/>
      <c r="X2274" s="48"/>
      <c r="Y2274" s="48"/>
      <c r="Z2274" s="48"/>
      <c r="AA2274" s="48"/>
      <c r="AB2274" s="48"/>
      <c r="AC2274" s="48"/>
      <c r="AD2274" s="48"/>
      <c r="AE2274" s="48"/>
      <c r="AF2274" s="48"/>
      <c r="AG2274" s="48"/>
      <c r="AH2274" s="48"/>
      <c r="AI2274" s="48"/>
      <c r="AJ2274" s="48"/>
      <c r="AK2274" s="48"/>
      <c r="AL2274" s="48"/>
      <c r="AM2274" s="48"/>
      <c r="AN2274" s="48"/>
      <c r="AO2274" s="48"/>
      <c r="AP2274" s="48"/>
      <c r="AQ2274" s="48"/>
      <c r="AR2274" s="48"/>
      <c r="AS2274" s="48"/>
      <c r="AT2274" s="48"/>
      <c r="AU2274" s="48"/>
      <c r="AV2274" s="48"/>
      <c r="AW2274" s="48"/>
      <c r="AX2274" s="48"/>
      <c r="AY2274" s="48"/>
      <c r="AZ2274" s="48"/>
      <c r="BA2274" s="48"/>
      <c r="BB2274" s="48"/>
      <c r="BC2274" s="48"/>
      <c r="BD2274" s="48"/>
    </row>
    <row r="2275" spans="1:56">
      <c r="A2275" s="48"/>
      <c r="B2275" s="48"/>
      <c r="C2275" s="49"/>
      <c r="D2275" s="48"/>
      <c r="E2275" s="48"/>
      <c r="F2275" s="48"/>
      <c r="G2275" s="48"/>
      <c r="H2275" s="48"/>
      <c r="I2275" s="48"/>
      <c r="J2275" s="86"/>
      <c r="K2275" s="86"/>
      <c r="L2275" s="86"/>
      <c r="M2275" s="86"/>
      <c r="N2275" s="86"/>
      <c r="O2275" s="86"/>
      <c r="P2275" s="86"/>
      <c r="Q2275" s="86"/>
      <c r="R2275" s="86"/>
      <c r="S2275" s="86"/>
      <c r="T2275" s="86"/>
      <c r="U2275" s="86"/>
      <c r="V2275" s="48"/>
      <c r="W2275" s="48"/>
      <c r="X2275" s="48"/>
      <c r="Y2275" s="48"/>
      <c r="Z2275" s="48"/>
      <c r="AA2275" s="48"/>
      <c r="AB2275" s="48"/>
      <c r="AC2275" s="48"/>
      <c r="AD2275" s="48"/>
      <c r="AE2275" s="48"/>
      <c r="AF2275" s="48"/>
      <c r="AG2275" s="48"/>
      <c r="AH2275" s="48"/>
      <c r="AI2275" s="48"/>
      <c r="AJ2275" s="48"/>
      <c r="AK2275" s="48"/>
      <c r="AL2275" s="48"/>
      <c r="AM2275" s="48"/>
      <c r="AN2275" s="48"/>
      <c r="AO2275" s="48"/>
      <c r="AP2275" s="48"/>
      <c r="AQ2275" s="48"/>
      <c r="AR2275" s="48"/>
      <c r="AS2275" s="48"/>
      <c r="AT2275" s="48"/>
      <c r="AU2275" s="48"/>
      <c r="AV2275" s="48"/>
      <c r="AW2275" s="48"/>
      <c r="AX2275" s="48"/>
      <c r="AY2275" s="48"/>
      <c r="AZ2275" s="48"/>
      <c r="BA2275" s="48"/>
      <c r="BB2275" s="48"/>
      <c r="BC2275" s="48"/>
      <c r="BD2275" s="48"/>
    </row>
    <row r="2276" spans="1:56">
      <c r="A2276" s="48"/>
      <c r="B2276" s="48"/>
      <c r="C2276" s="49"/>
      <c r="D2276" s="48"/>
      <c r="E2276" s="48"/>
      <c r="F2276" s="48"/>
      <c r="G2276" s="48"/>
      <c r="H2276" s="48"/>
      <c r="I2276" s="48"/>
      <c r="J2276" s="86"/>
      <c r="K2276" s="86"/>
      <c r="L2276" s="86"/>
      <c r="M2276" s="86"/>
      <c r="N2276" s="86"/>
      <c r="O2276" s="86"/>
      <c r="P2276" s="86"/>
      <c r="Q2276" s="86"/>
      <c r="R2276" s="86"/>
      <c r="S2276" s="86"/>
      <c r="T2276" s="86"/>
      <c r="U2276" s="86"/>
      <c r="V2276" s="48"/>
      <c r="W2276" s="48"/>
      <c r="X2276" s="48"/>
      <c r="Y2276" s="48"/>
      <c r="Z2276" s="48"/>
      <c r="AA2276" s="48"/>
      <c r="AB2276" s="48"/>
      <c r="AC2276" s="48"/>
      <c r="AD2276" s="48"/>
      <c r="AE2276" s="48"/>
      <c r="AF2276" s="48"/>
      <c r="AG2276" s="48"/>
      <c r="AH2276" s="48"/>
      <c r="AI2276" s="48"/>
      <c r="AJ2276" s="48"/>
      <c r="AK2276" s="48"/>
      <c r="AL2276" s="48"/>
      <c r="AM2276" s="48"/>
      <c r="AN2276" s="48"/>
      <c r="AO2276" s="48"/>
      <c r="AP2276" s="48"/>
      <c r="AQ2276" s="48"/>
      <c r="AR2276" s="48"/>
      <c r="AS2276" s="48"/>
      <c r="AT2276" s="48"/>
      <c r="AU2276" s="48"/>
      <c r="AV2276" s="48"/>
      <c r="AW2276" s="48"/>
      <c r="AX2276" s="48"/>
      <c r="AY2276" s="48"/>
      <c r="AZ2276" s="48"/>
      <c r="BA2276" s="48"/>
      <c r="BB2276" s="48"/>
      <c r="BC2276" s="48"/>
      <c r="BD2276" s="48"/>
    </row>
    <row r="2277" spans="1:56">
      <c r="A2277" s="48"/>
      <c r="B2277" s="48"/>
      <c r="C2277" s="49"/>
      <c r="D2277" s="48"/>
      <c r="E2277" s="48"/>
      <c r="F2277" s="48"/>
      <c r="G2277" s="48"/>
      <c r="H2277" s="48"/>
      <c r="I2277" s="48"/>
      <c r="J2277" s="86"/>
      <c r="K2277" s="86"/>
      <c r="L2277" s="86"/>
      <c r="M2277" s="86"/>
      <c r="N2277" s="86"/>
      <c r="O2277" s="86"/>
      <c r="P2277" s="86"/>
      <c r="Q2277" s="86"/>
      <c r="R2277" s="86"/>
      <c r="S2277" s="86"/>
      <c r="T2277" s="86"/>
      <c r="U2277" s="86"/>
      <c r="V2277" s="48"/>
      <c r="W2277" s="48"/>
      <c r="X2277" s="48"/>
      <c r="Y2277" s="48"/>
      <c r="Z2277" s="48"/>
      <c r="AA2277" s="48"/>
      <c r="AB2277" s="48"/>
      <c r="AC2277" s="48"/>
      <c r="AD2277" s="48"/>
      <c r="AE2277" s="48"/>
      <c r="AF2277" s="48"/>
      <c r="AG2277" s="48"/>
      <c r="AH2277" s="48"/>
      <c r="AI2277" s="48"/>
      <c r="AJ2277" s="48"/>
      <c r="AK2277" s="48"/>
      <c r="AL2277" s="48"/>
      <c r="AM2277" s="48"/>
      <c r="AN2277" s="48"/>
      <c r="AO2277" s="48"/>
      <c r="AP2277" s="48"/>
      <c r="AQ2277" s="48"/>
      <c r="AR2277" s="48"/>
      <c r="AS2277" s="48"/>
      <c r="AT2277" s="48"/>
      <c r="AU2277" s="48"/>
      <c r="AV2277" s="48"/>
      <c r="AW2277" s="48"/>
      <c r="AX2277" s="48"/>
      <c r="AY2277" s="48"/>
      <c r="AZ2277" s="48"/>
      <c r="BA2277" s="48"/>
      <c r="BB2277" s="48"/>
      <c r="BC2277" s="48"/>
      <c r="BD2277" s="48"/>
    </row>
    <row r="2278" spans="1:56">
      <c r="A2278" s="48"/>
      <c r="B2278" s="48"/>
      <c r="C2278" s="49"/>
      <c r="D2278" s="48"/>
      <c r="E2278" s="48"/>
      <c r="F2278" s="48"/>
      <c r="G2278" s="48"/>
      <c r="H2278" s="48"/>
      <c r="I2278" s="48"/>
      <c r="J2278" s="86"/>
      <c r="K2278" s="86"/>
      <c r="L2278" s="86"/>
      <c r="M2278" s="86"/>
      <c r="N2278" s="86"/>
      <c r="O2278" s="86"/>
      <c r="P2278" s="86"/>
      <c r="Q2278" s="86"/>
      <c r="R2278" s="86"/>
      <c r="S2278" s="86"/>
      <c r="T2278" s="86"/>
      <c r="U2278" s="86"/>
      <c r="V2278" s="48"/>
      <c r="W2278" s="48"/>
      <c r="X2278" s="48"/>
      <c r="Y2278" s="48"/>
      <c r="Z2278" s="48"/>
      <c r="AA2278" s="48"/>
      <c r="AB2278" s="48"/>
      <c r="AC2278" s="48"/>
      <c r="AD2278" s="48"/>
      <c r="AE2278" s="48"/>
      <c r="AF2278" s="48"/>
      <c r="AG2278" s="48"/>
      <c r="AH2278" s="48"/>
      <c r="AI2278" s="48"/>
      <c r="AJ2278" s="48"/>
      <c r="AK2278" s="48"/>
      <c r="AL2278" s="48"/>
      <c r="AM2278" s="48"/>
      <c r="AN2278" s="48"/>
      <c r="AO2278" s="48"/>
      <c r="AP2278" s="48"/>
      <c r="AQ2278" s="48"/>
      <c r="AR2278" s="48"/>
      <c r="AS2278" s="48"/>
      <c r="AT2278" s="48"/>
      <c r="AU2278" s="48"/>
      <c r="AV2278" s="48"/>
      <c r="AW2278" s="48"/>
      <c r="AX2278" s="48"/>
      <c r="AY2278" s="48"/>
      <c r="AZ2278" s="48"/>
      <c r="BA2278" s="48"/>
      <c r="BB2278" s="48"/>
      <c r="BC2278" s="48"/>
      <c r="BD2278" s="48"/>
    </row>
    <row r="2279" spans="1:56">
      <c r="A2279" s="48"/>
      <c r="B2279" s="48"/>
      <c r="C2279" s="49"/>
      <c r="D2279" s="48"/>
      <c r="E2279" s="48"/>
      <c r="F2279" s="48"/>
      <c r="G2279" s="48"/>
      <c r="H2279" s="48"/>
      <c r="I2279" s="48"/>
      <c r="J2279" s="86"/>
      <c r="K2279" s="86"/>
      <c r="L2279" s="86"/>
      <c r="M2279" s="86"/>
      <c r="N2279" s="86"/>
      <c r="O2279" s="86"/>
      <c r="P2279" s="86"/>
      <c r="Q2279" s="86"/>
      <c r="R2279" s="86"/>
      <c r="S2279" s="86"/>
      <c r="T2279" s="86"/>
      <c r="U2279" s="86"/>
      <c r="V2279" s="48"/>
      <c r="W2279" s="48"/>
      <c r="X2279" s="48"/>
      <c r="Y2279" s="48"/>
      <c r="Z2279" s="48"/>
      <c r="AA2279" s="48"/>
      <c r="AB2279" s="48"/>
      <c r="AC2279" s="48"/>
      <c r="AD2279" s="48"/>
      <c r="AE2279" s="48"/>
      <c r="AF2279" s="48"/>
      <c r="AG2279" s="48"/>
      <c r="AH2279" s="48"/>
      <c r="AI2279" s="48"/>
      <c r="AJ2279" s="48"/>
      <c r="AK2279" s="48"/>
      <c r="AL2279" s="48"/>
      <c r="AM2279" s="48"/>
      <c r="AN2279" s="48"/>
      <c r="AO2279" s="48"/>
      <c r="AP2279" s="48"/>
      <c r="AQ2279" s="48"/>
      <c r="AR2279" s="48"/>
      <c r="AS2279" s="48"/>
      <c r="AT2279" s="48"/>
      <c r="AU2279" s="48"/>
      <c r="AV2279" s="48"/>
      <c r="AW2279" s="48"/>
      <c r="AX2279" s="48"/>
      <c r="AY2279" s="48"/>
      <c r="AZ2279" s="48"/>
      <c r="BA2279" s="48"/>
      <c r="BB2279" s="48"/>
      <c r="BC2279" s="48"/>
      <c r="BD2279" s="48"/>
    </row>
    <row r="2280" spans="1:56">
      <c r="A2280" s="48"/>
      <c r="B2280" s="48"/>
      <c r="C2280" s="49"/>
      <c r="D2280" s="48"/>
      <c r="E2280" s="48"/>
      <c r="F2280" s="48"/>
      <c r="G2280" s="48"/>
      <c r="H2280" s="48"/>
      <c r="I2280" s="48"/>
      <c r="J2280" s="86"/>
      <c r="K2280" s="86"/>
      <c r="L2280" s="86"/>
      <c r="M2280" s="86"/>
      <c r="N2280" s="86"/>
      <c r="O2280" s="86"/>
      <c r="P2280" s="86"/>
      <c r="Q2280" s="86"/>
      <c r="R2280" s="86"/>
      <c r="S2280" s="86"/>
      <c r="T2280" s="86"/>
      <c r="U2280" s="86"/>
      <c r="V2280" s="48"/>
      <c r="W2280" s="48"/>
      <c r="X2280" s="48"/>
      <c r="Y2280" s="48"/>
      <c r="Z2280" s="48"/>
      <c r="AA2280" s="48"/>
      <c r="AB2280" s="48"/>
      <c r="AC2280" s="48"/>
      <c r="AD2280" s="48"/>
      <c r="AE2280" s="48"/>
      <c r="AF2280" s="48"/>
      <c r="AG2280" s="48"/>
      <c r="AH2280" s="48"/>
      <c r="AI2280" s="48"/>
      <c r="AJ2280" s="48"/>
      <c r="AK2280" s="48"/>
      <c r="AL2280" s="48"/>
      <c r="AM2280" s="48"/>
      <c r="AN2280" s="48"/>
      <c r="AO2280" s="48"/>
      <c r="AP2280" s="48"/>
      <c r="AQ2280" s="48"/>
      <c r="AR2280" s="48"/>
      <c r="AS2280" s="48"/>
      <c r="AT2280" s="48"/>
      <c r="AU2280" s="48"/>
      <c r="AV2280" s="48"/>
      <c r="AW2280" s="48"/>
      <c r="AX2280" s="48"/>
      <c r="AY2280" s="48"/>
      <c r="AZ2280" s="48"/>
      <c r="BA2280" s="48"/>
      <c r="BB2280" s="48"/>
      <c r="BC2280" s="48"/>
      <c r="BD2280" s="48"/>
    </row>
    <row r="2281" spans="1:56">
      <c r="A2281" s="48"/>
      <c r="B2281" s="48"/>
      <c r="C2281" s="49"/>
      <c r="D2281" s="48"/>
      <c r="E2281" s="48"/>
      <c r="F2281" s="48"/>
      <c r="G2281" s="48"/>
      <c r="H2281" s="48"/>
      <c r="I2281" s="48"/>
      <c r="J2281" s="86"/>
      <c r="K2281" s="86"/>
      <c r="L2281" s="86"/>
      <c r="M2281" s="86"/>
      <c r="N2281" s="86"/>
      <c r="O2281" s="86"/>
      <c r="P2281" s="86"/>
      <c r="Q2281" s="86"/>
      <c r="R2281" s="86"/>
      <c r="S2281" s="86"/>
      <c r="T2281" s="86"/>
      <c r="U2281" s="86"/>
      <c r="V2281" s="48"/>
      <c r="W2281" s="48"/>
      <c r="X2281" s="48"/>
      <c r="Y2281" s="48"/>
      <c r="Z2281" s="48"/>
      <c r="AA2281" s="48"/>
      <c r="AB2281" s="48"/>
      <c r="AC2281" s="48"/>
      <c r="AD2281" s="48"/>
      <c r="AE2281" s="48"/>
      <c r="AF2281" s="48"/>
      <c r="AG2281" s="48"/>
      <c r="AH2281" s="48"/>
      <c r="AI2281" s="48"/>
      <c r="AJ2281" s="48"/>
      <c r="AK2281" s="48"/>
      <c r="AL2281" s="48"/>
      <c r="AM2281" s="48"/>
      <c r="AN2281" s="48"/>
      <c r="AO2281" s="48"/>
      <c r="AP2281" s="48"/>
      <c r="AQ2281" s="48"/>
      <c r="AR2281" s="48"/>
      <c r="AS2281" s="48"/>
      <c r="AT2281" s="48"/>
      <c r="AU2281" s="48"/>
      <c r="AV2281" s="48"/>
      <c r="AW2281" s="48"/>
      <c r="AX2281" s="48"/>
      <c r="AY2281" s="48"/>
      <c r="AZ2281" s="48"/>
      <c r="BA2281" s="48"/>
      <c r="BB2281" s="48"/>
      <c r="BC2281" s="48"/>
      <c r="BD2281" s="48"/>
    </row>
    <row r="2282" spans="1:56">
      <c r="A2282" s="48"/>
      <c r="B2282" s="48"/>
      <c r="C2282" s="49"/>
      <c r="D2282" s="48"/>
      <c r="E2282" s="48"/>
      <c r="F2282" s="48"/>
      <c r="G2282" s="48"/>
      <c r="H2282" s="48"/>
      <c r="I2282" s="48"/>
      <c r="J2282" s="86"/>
      <c r="K2282" s="86"/>
      <c r="L2282" s="86"/>
      <c r="M2282" s="86"/>
      <c r="N2282" s="86"/>
      <c r="O2282" s="86"/>
      <c r="P2282" s="86"/>
      <c r="Q2282" s="86"/>
      <c r="R2282" s="86"/>
      <c r="S2282" s="86"/>
      <c r="T2282" s="86"/>
      <c r="U2282" s="86"/>
      <c r="V2282" s="48"/>
      <c r="W2282" s="48"/>
      <c r="X2282" s="48"/>
      <c r="Y2282" s="48"/>
      <c r="Z2282" s="48"/>
      <c r="AA2282" s="48"/>
      <c r="AB2282" s="48"/>
      <c r="AC2282" s="48"/>
      <c r="AD2282" s="48"/>
      <c r="AE2282" s="48"/>
      <c r="AF2282" s="48"/>
      <c r="AG2282" s="48"/>
      <c r="AH2282" s="48"/>
      <c r="AI2282" s="48"/>
      <c r="AJ2282" s="48"/>
      <c r="AK2282" s="48"/>
      <c r="AL2282" s="48"/>
      <c r="AM2282" s="48"/>
      <c r="AN2282" s="48"/>
      <c r="AO2282" s="48"/>
      <c r="AP2282" s="48"/>
      <c r="AQ2282" s="48"/>
      <c r="AR2282" s="48"/>
      <c r="AS2282" s="48"/>
      <c r="AT2282" s="48"/>
      <c r="AU2282" s="48"/>
      <c r="AV2282" s="48"/>
      <c r="AW2282" s="48"/>
      <c r="AX2282" s="48"/>
      <c r="AY2282" s="48"/>
      <c r="AZ2282" s="48"/>
      <c r="BA2282" s="48"/>
      <c r="BB2282" s="48"/>
      <c r="BC2282" s="48"/>
      <c r="BD2282" s="48"/>
    </row>
    <row r="2283" spans="1:56">
      <c r="A2283" s="48"/>
      <c r="B2283" s="48"/>
      <c r="C2283" s="49"/>
      <c r="D2283" s="48"/>
      <c r="E2283" s="48"/>
      <c r="F2283" s="48"/>
      <c r="G2283" s="48"/>
      <c r="H2283" s="48"/>
      <c r="I2283" s="48"/>
      <c r="J2283" s="86"/>
      <c r="K2283" s="86"/>
      <c r="L2283" s="86"/>
      <c r="M2283" s="86"/>
      <c r="N2283" s="86"/>
      <c r="O2283" s="86"/>
      <c r="P2283" s="86"/>
      <c r="Q2283" s="86"/>
      <c r="R2283" s="86"/>
      <c r="S2283" s="86"/>
      <c r="T2283" s="86"/>
      <c r="U2283" s="86"/>
      <c r="V2283" s="48"/>
      <c r="W2283" s="48"/>
      <c r="X2283" s="48"/>
      <c r="Y2283" s="48"/>
      <c r="Z2283" s="48"/>
      <c r="AA2283" s="48"/>
      <c r="AB2283" s="48"/>
      <c r="AC2283" s="48"/>
      <c r="AD2283" s="48"/>
      <c r="AE2283" s="48"/>
      <c r="AF2283" s="48"/>
      <c r="AG2283" s="48"/>
      <c r="AH2283" s="48"/>
      <c r="AI2283" s="48"/>
      <c r="AJ2283" s="48"/>
      <c r="AK2283" s="48"/>
      <c r="AL2283" s="48"/>
      <c r="AM2283" s="48"/>
      <c r="AN2283" s="48"/>
      <c r="AO2283" s="48"/>
      <c r="AP2283" s="48"/>
      <c r="AQ2283" s="48"/>
      <c r="AR2283" s="48"/>
      <c r="AS2283" s="48"/>
      <c r="AT2283" s="48"/>
      <c r="AU2283" s="48"/>
      <c r="AV2283" s="48"/>
      <c r="AW2283" s="48"/>
      <c r="AX2283" s="48"/>
      <c r="AY2283" s="48"/>
      <c r="AZ2283" s="48"/>
      <c r="BA2283" s="48"/>
      <c r="BB2283" s="48"/>
      <c r="BC2283" s="48"/>
      <c r="BD2283" s="48"/>
    </row>
    <row r="2284" spans="1:56">
      <c r="A2284" s="48"/>
      <c r="B2284" s="48"/>
      <c r="C2284" s="49"/>
      <c r="D2284" s="48"/>
      <c r="E2284" s="48"/>
      <c r="F2284" s="48"/>
      <c r="G2284" s="48"/>
      <c r="H2284" s="48"/>
      <c r="I2284" s="48"/>
      <c r="J2284" s="86"/>
      <c r="K2284" s="86"/>
      <c r="L2284" s="86"/>
      <c r="M2284" s="86"/>
      <c r="N2284" s="86"/>
      <c r="O2284" s="86"/>
      <c r="P2284" s="86"/>
      <c r="Q2284" s="86"/>
      <c r="R2284" s="86"/>
      <c r="S2284" s="86"/>
      <c r="T2284" s="86"/>
      <c r="U2284" s="86"/>
      <c r="V2284" s="48"/>
      <c r="W2284" s="48"/>
      <c r="X2284" s="48"/>
      <c r="Y2284" s="48"/>
      <c r="Z2284" s="48"/>
      <c r="AA2284" s="48"/>
      <c r="AB2284" s="48"/>
      <c r="AC2284" s="48"/>
      <c r="AD2284" s="48"/>
      <c r="AE2284" s="48"/>
      <c r="AF2284" s="48"/>
      <c r="AG2284" s="48"/>
      <c r="AH2284" s="48"/>
      <c r="AI2284" s="48"/>
      <c r="AJ2284" s="48"/>
      <c r="AK2284" s="48"/>
      <c r="AL2284" s="48"/>
      <c r="AM2284" s="48"/>
      <c r="AN2284" s="48"/>
      <c r="AO2284" s="48"/>
      <c r="AP2284" s="48"/>
      <c r="AQ2284" s="48"/>
      <c r="AR2284" s="48"/>
      <c r="AS2284" s="48"/>
      <c r="AT2284" s="48"/>
      <c r="AU2284" s="48"/>
      <c r="AV2284" s="48"/>
      <c r="AW2284" s="48"/>
      <c r="AX2284" s="48"/>
      <c r="AY2284" s="48"/>
      <c r="AZ2284" s="48"/>
      <c r="BA2284" s="48"/>
      <c r="BB2284" s="48"/>
      <c r="BC2284" s="48"/>
      <c r="BD2284" s="48"/>
    </row>
    <row r="2285" spans="1:56">
      <c r="A2285" s="48"/>
      <c r="B2285" s="48"/>
      <c r="C2285" s="49"/>
      <c r="D2285" s="48"/>
      <c r="E2285" s="48"/>
      <c r="F2285" s="48"/>
      <c r="G2285" s="48"/>
      <c r="H2285" s="48"/>
      <c r="I2285" s="48"/>
      <c r="J2285" s="86"/>
      <c r="K2285" s="86"/>
      <c r="L2285" s="86"/>
      <c r="M2285" s="86"/>
      <c r="N2285" s="86"/>
      <c r="O2285" s="86"/>
      <c r="P2285" s="86"/>
      <c r="Q2285" s="86"/>
      <c r="R2285" s="86"/>
      <c r="S2285" s="86"/>
      <c r="T2285" s="86"/>
      <c r="U2285" s="86"/>
      <c r="V2285" s="48"/>
      <c r="W2285" s="48"/>
      <c r="X2285" s="48"/>
      <c r="Y2285" s="48"/>
      <c r="Z2285" s="48"/>
      <c r="AA2285" s="48"/>
      <c r="AB2285" s="48"/>
      <c r="AC2285" s="48"/>
      <c r="AD2285" s="48"/>
      <c r="AE2285" s="48"/>
      <c r="AF2285" s="48"/>
      <c r="AG2285" s="48"/>
      <c r="AH2285" s="48"/>
      <c r="AI2285" s="48"/>
      <c r="AJ2285" s="48"/>
      <c r="AK2285" s="48"/>
      <c r="AL2285" s="48"/>
      <c r="AM2285" s="48"/>
      <c r="AN2285" s="48"/>
      <c r="AO2285" s="48"/>
      <c r="AP2285" s="48"/>
      <c r="AQ2285" s="48"/>
      <c r="AR2285" s="48"/>
      <c r="AS2285" s="48"/>
      <c r="AT2285" s="48"/>
      <c r="AU2285" s="48"/>
      <c r="AV2285" s="48"/>
      <c r="AW2285" s="48"/>
      <c r="AX2285" s="48"/>
      <c r="AY2285" s="48"/>
      <c r="AZ2285" s="48"/>
      <c r="BA2285" s="48"/>
      <c r="BB2285" s="48"/>
      <c r="BC2285" s="48"/>
      <c r="BD2285" s="48"/>
    </row>
    <row r="2286" spans="1:56">
      <c r="A2286" s="48"/>
      <c r="B2286" s="48"/>
      <c r="C2286" s="49"/>
      <c r="D2286" s="48"/>
      <c r="E2286" s="48"/>
      <c r="F2286" s="48"/>
      <c r="G2286" s="48"/>
      <c r="H2286" s="48"/>
      <c r="I2286" s="48"/>
      <c r="J2286" s="86"/>
      <c r="K2286" s="86"/>
      <c r="L2286" s="86"/>
      <c r="M2286" s="86"/>
      <c r="N2286" s="86"/>
      <c r="O2286" s="86"/>
      <c r="P2286" s="86"/>
      <c r="Q2286" s="86"/>
      <c r="R2286" s="86"/>
      <c r="S2286" s="86"/>
      <c r="T2286" s="86"/>
      <c r="U2286" s="86"/>
      <c r="V2286" s="48"/>
      <c r="W2286" s="48"/>
      <c r="X2286" s="48"/>
      <c r="Y2286" s="48"/>
      <c r="Z2286" s="48"/>
      <c r="AA2286" s="48"/>
      <c r="AB2286" s="48"/>
      <c r="AC2286" s="48"/>
      <c r="AD2286" s="48"/>
      <c r="AE2286" s="48"/>
      <c r="AF2286" s="48"/>
      <c r="AG2286" s="48"/>
      <c r="AH2286" s="48"/>
      <c r="AI2286" s="48"/>
      <c r="AJ2286" s="48"/>
      <c r="AK2286" s="48"/>
      <c r="AL2286" s="48"/>
      <c r="AM2286" s="48"/>
      <c r="AN2286" s="48"/>
      <c r="AO2286" s="48"/>
      <c r="AP2286" s="48"/>
      <c r="AQ2286" s="48"/>
      <c r="AR2286" s="48"/>
      <c r="AS2286" s="48"/>
      <c r="AT2286" s="48"/>
      <c r="AU2286" s="48"/>
      <c r="AV2286" s="48"/>
      <c r="AW2286" s="48"/>
      <c r="AX2286" s="48"/>
      <c r="AY2286" s="48"/>
      <c r="AZ2286" s="48"/>
      <c r="BA2286" s="48"/>
      <c r="BB2286" s="48"/>
      <c r="BC2286" s="48"/>
      <c r="BD2286" s="48"/>
    </row>
    <row r="2287" spans="1:56">
      <c r="A2287" s="48"/>
      <c r="B2287" s="48"/>
      <c r="C2287" s="49"/>
      <c r="D2287" s="48"/>
      <c r="E2287" s="48"/>
      <c r="F2287" s="48"/>
      <c r="G2287" s="48"/>
      <c r="H2287" s="48"/>
      <c r="I2287" s="48"/>
      <c r="J2287" s="86"/>
      <c r="K2287" s="86"/>
      <c r="L2287" s="86"/>
      <c r="M2287" s="86"/>
      <c r="N2287" s="86"/>
      <c r="O2287" s="86"/>
      <c r="P2287" s="86"/>
      <c r="Q2287" s="86"/>
      <c r="R2287" s="86"/>
      <c r="S2287" s="86"/>
      <c r="T2287" s="86"/>
      <c r="U2287" s="86"/>
      <c r="V2287" s="48"/>
      <c r="W2287" s="48"/>
      <c r="X2287" s="48"/>
      <c r="Y2287" s="48"/>
      <c r="Z2287" s="48"/>
      <c r="AA2287" s="48"/>
      <c r="AB2287" s="48"/>
      <c r="AC2287" s="48"/>
      <c r="AD2287" s="48"/>
      <c r="AE2287" s="48"/>
      <c r="AF2287" s="48"/>
      <c r="AG2287" s="48"/>
      <c r="AH2287" s="48"/>
      <c r="AI2287" s="48"/>
      <c r="AJ2287" s="48"/>
      <c r="AK2287" s="48"/>
      <c r="AL2287" s="48"/>
      <c r="AM2287" s="48"/>
      <c r="AN2287" s="48"/>
      <c r="AO2287" s="48"/>
      <c r="AP2287" s="48"/>
      <c r="AQ2287" s="48"/>
      <c r="AR2287" s="48"/>
      <c r="AS2287" s="48"/>
      <c r="AT2287" s="48"/>
      <c r="AU2287" s="48"/>
      <c r="AV2287" s="48"/>
      <c r="AW2287" s="48"/>
      <c r="AX2287" s="48"/>
      <c r="AY2287" s="48"/>
      <c r="AZ2287" s="48"/>
      <c r="BA2287" s="48"/>
      <c r="BB2287" s="48"/>
      <c r="BC2287" s="48"/>
      <c r="BD2287" s="48"/>
    </row>
    <row r="2288" spans="1:56">
      <c r="A2288" s="48"/>
      <c r="B2288" s="48"/>
      <c r="C2288" s="49"/>
      <c r="D2288" s="48"/>
      <c r="E2288" s="48"/>
      <c r="F2288" s="48"/>
      <c r="G2288" s="48"/>
      <c r="H2288" s="48"/>
      <c r="I2288" s="48"/>
      <c r="J2288" s="86"/>
      <c r="K2288" s="86"/>
      <c r="L2288" s="86"/>
      <c r="M2288" s="86"/>
      <c r="N2288" s="86"/>
      <c r="O2288" s="86"/>
      <c r="P2288" s="86"/>
      <c r="Q2288" s="86"/>
      <c r="R2288" s="86"/>
      <c r="S2288" s="86"/>
      <c r="T2288" s="86"/>
      <c r="U2288" s="86"/>
      <c r="V2288" s="48"/>
      <c r="W2288" s="48"/>
      <c r="X2288" s="48"/>
      <c r="Y2288" s="48"/>
      <c r="Z2288" s="48"/>
      <c r="AA2288" s="48"/>
      <c r="AB2288" s="48"/>
      <c r="AC2288" s="48"/>
      <c r="AD2288" s="48"/>
      <c r="AE2288" s="48"/>
      <c r="AF2288" s="48"/>
      <c r="AG2288" s="48"/>
      <c r="AH2288" s="48"/>
      <c r="AI2288" s="48"/>
      <c r="AJ2288" s="48"/>
      <c r="AK2288" s="48"/>
      <c r="AL2288" s="48"/>
      <c r="AM2288" s="48"/>
      <c r="AN2288" s="48"/>
      <c r="AO2288" s="48"/>
      <c r="AP2288" s="48"/>
      <c r="AQ2288" s="48"/>
      <c r="AR2288" s="48"/>
      <c r="AS2288" s="48"/>
      <c r="AT2288" s="48"/>
      <c r="AU2288" s="48"/>
      <c r="AV2288" s="48"/>
      <c r="AW2288" s="48"/>
      <c r="AX2288" s="48"/>
      <c r="AY2288" s="48"/>
      <c r="AZ2288" s="48"/>
      <c r="BA2288" s="48"/>
      <c r="BB2288" s="48"/>
      <c r="BC2288" s="48"/>
      <c r="BD2288" s="48"/>
    </row>
    <row r="2289" spans="1:56">
      <c r="A2289" s="48"/>
      <c r="B2289" s="48"/>
      <c r="C2289" s="49"/>
      <c r="D2289" s="48"/>
      <c r="E2289" s="48"/>
      <c r="F2289" s="48"/>
      <c r="G2289" s="48"/>
      <c r="H2289" s="48"/>
      <c r="I2289" s="48"/>
      <c r="J2289" s="86"/>
      <c r="K2289" s="86"/>
      <c r="L2289" s="86"/>
      <c r="M2289" s="86"/>
      <c r="N2289" s="86"/>
      <c r="O2289" s="86"/>
      <c r="P2289" s="86"/>
      <c r="Q2289" s="86"/>
      <c r="R2289" s="86"/>
      <c r="S2289" s="86"/>
      <c r="T2289" s="86"/>
      <c r="U2289" s="86"/>
      <c r="V2289" s="48"/>
      <c r="W2289" s="48"/>
      <c r="X2289" s="48"/>
      <c r="Y2289" s="48"/>
      <c r="Z2289" s="48"/>
      <c r="AA2289" s="48"/>
      <c r="AB2289" s="48"/>
      <c r="AC2289" s="48"/>
      <c r="AD2289" s="48"/>
      <c r="AE2289" s="48"/>
      <c r="AF2289" s="48"/>
      <c r="AG2289" s="48"/>
      <c r="AH2289" s="48"/>
      <c r="AI2289" s="48"/>
      <c r="AJ2289" s="48"/>
      <c r="AK2289" s="48"/>
      <c r="AL2289" s="48"/>
      <c r="AM2289" s="48"/>
      <c r="AN2289" s="48"/>
      <c r="AO2289" s="48"/>
      <c r="AP2289" s="48"/>
      <c r="AQ2289" s="48"/>
      <c r="AR2289" s="48"/>
      <c r="AS2289" s="48"/>
      <c r="AT2289" s="48"/>
      <c r="AU2289" s="48"/>
      <c r="AV2289" s="48"/>
      <c r="AW2289" s="48"/>
      <c r="AX2289" s="48"/>
      <c r="AY2289" s="48"/>
      <c r="AZ2289" s="48"/>
      <c r="BA2289" s="48"/>
      <c r="BB2289" s="48"/>
      <c r="BC2289" s="48"/>
      <c r="BD2289" s="48"/>
    </row>
    <row r="2290" spans="1:56">
      <c r="A2290" s="48"/>
      <c r="B2290" s="48"/>
      <c r="C2290" s="49"/>
      <c r="D2290" s="48"/>
      <c r="E2290" s="48"/>
      <c r="F2290" s="48"/>
      <c r="G2290" s="48"/>
      <c r="H2290" s="48"/>
      <c r="I2290" s="48"/>
      <c r="J2290" s="86"/>
      <c r="K2290" s="86"/>
      <c r="L2290" s="86"/>
      <c r="M2290" s="86"/>
      <c r="N2290" s="86"/>
      <c r="O2290" s="86"/>
      <c r="P2290" s="86"/>
      <c r="Q2290" s="86"/>
      <c r="R2290" s="86"/>
      <c r="S2290" s="86"/>
      <c r="T2290" s="86"/>
      <c r="U2290" s="86"/>
      <c r="V2290" s="48"/>
      <c r="W2290" s="48"/>
      <c r="X2290" s="48"/>
      <c r="Y2290" s="48"/>
      <c r="Z2290" s="48"/>
      <c r="AA2290" s="48"/>
      <c r="AB2290" s="48"/>
      <c r="AC2290" s="48"/>
      <c r="AD2290" s="48"/>
      <c r="AE2290" s="48"/>
      <c r="AF2290" s="48"/>
      <c r="AG2290" s="48"/>
      <c r="AH2290" s="48"/>
      <c r="AI2290" s="48"/>
      <c r="AJ2290" s="48"/>
      <c r="AK2290" s="48"/>
      <c r="AL2290" s="48"/>
      <c r="AM2290" s="48"/>
      <c r="AN2290" s="48"/>
      <c r="AO2290" s="48"/>
      <c r="AP2290" s="48"/>
      <c r="AQ2290" s="48"/>
      <c r="AR2290" s="48"/>
      <c r="AS2290" s="48"/>
      <c r="AT2290" s="48"/>
      <c r="AU2290" s="48"/>
      <c r="AV2290" s="48"/>
      <c r="AW2290" s="48"/>
      <c r="AX2290" s="48"/>
      <c r="AY2290" s="48"/>
      <c r="AZ2290" s="48"/>
      <c r="BA2290" s="48"/>
      <c r="BB2290" s="48"/>
      <c r="BC2290" s="48"/>
      <c r="BD2290" s="48"/>
    </row>
    <row r="2291" spans="1:56">
      <c r="A2291" s="48"/>
      <c r="B2291" s="48"/>
      <c r="C2291" s="49"/>
      <c r="D2291" s="48"/>
      <c r="E2291" s="48"/>
      <c r="F2291" s="48"/>
      <c r="G2291" s="48"/>
      <c r="H2291" s="48"/>
      <c r="I2291" s="48"/>
      <c r="J2291" s="86"/>
      <c r="K2291" s="86"/>
      <c r="L2291" s="86"/>
      <c r="M2291" s="86"/>
      <c r="N2291" s="86"/>
      <c r="O2291" s="86"/>
      <c r="P2291" s="86"/>
      <c r="Q2291" s="86"/>
      <c r="R2291" s="86"/>
      <c r="S2291" s="86"/>
      <c r="T2291" s="86"/>
      <c r="U2291" s="86"/>
      <c r="V2291" s="48"/>
      <c r="W2291" s="48"/>
      <c r="X2291" s="48"/>
      <c r="Y2291" s="48"/>
      <c r="Z2291" s="48"/>
      <c r="AA2291" s="48"/>
      <c r="AB2291" s="48"/>
      <c r="AC2291" s="48"/>
      <c r="AD2291" s="48"/>
      <c r="AE2291" s="48"/>
      <c r="AF2291" s="48"/>
      <c r="AG2291" s="48"/>
      <c r="AH2291" s="48"/>
      <c r="AI2291" s="48"/>
      <c r="AJ2291" s="48"/>
      <c r="AK2291" s="48"/>
      <c r="AL2291" s="48"/>
      <c r="AM2291" s="48"/>
      <c r="AN2291" s="48"/>
      <c r="AO2291" s="48"/>
      <c r="AP2291" s="48"/>
      <c r="AQ2291" s="48"/>
      <c r="AR2291" s="48"/>
      <c r="AS2291" s="48"/>
      <c r="AT2291" s="48"/>
      <c r="AU2291" s="48"/>
      <c r="AV2291" s="48"/>
      <c r="AW2291" s="48"/>
      <c r="AX2291" s="48"/>
      <c r="AY2291" s="48"/>
      <c r="AZ2291" s="48"/>
      <c r="BA2291" s="48"/>
      <c r="BB2291" s="48"/>
      <c r="BC2291" s="48"/>
      <c r="BD2291" s="48"/>
    </row>
    <row r="2292" spans="1:56">
      <c r="A2292" s="48"/>
      <c r="B2292" s="48"/>
      <c r="C2292" s="49"/>
      <c r="D2292" s="48"/>
      <c r="E2292" s="48"/>
      <c r="F2292" s="48"/>
      <c r="G2292" s="48"/>
      <c r="H2292" s="48"/>
      <c r="I2292" s="48"/>
      <c r="J2292" s="86"/>
      <c r="K2292" s="86"/>
      <c r="L2292" s="86"/>
      <c r="M2292" s="86"/>
      <c r="N2292" s="86"/>
      <c r="O2292" s="86"/>
      <c r="P2292" s="86"/>
      <c r="Q2292" s="86"/>
      <c r="R2292" s="86"/>
      <c r="S2292" s="86"/>
      <c r="T2292" s="86"/>
      <c r="U2292" s="86"/>
      <c r="V2292" s="48"/>
      <c r="W2292" s="48"/>
      <c r="X2292" s="48"/>
      <c r="Y2292" s="48"/>
      <c r="Z2292" s="48"/>
      <c r="AA2292" s="48"/>
      <c r="AB2292" s="48"/>
      <c r="AC2292" s="48"/>
      <c r="AD2292" s="48"/>
      <c r="AE2292" s="48"/>
      <c r="AF2292" s="48"/>
      <c r="AG2292" s="48"/>
      <c r="AH2292" s="48"/>
      <c r="AI2292" s="48"/>
      <c r="AJ2292" s="48"/>
      <c r="AK2292" s="48"/>
      <c r="AL2292" s="48"/>
      <c r="AM2292" s="48"/>
      <c r="AN2292" s="48"/>
      <c r="AO2292" s="48"/>
      <c r="AP2292" s="48"/>
      <c r="AQ2292" s="48"/>
      <c r="AR2292" s="48"/>
      <c r="AS2292" s="48"/>
      <c r="AT2292" s="48"/>
      <c r="AU2292" s="48"/>
      <c r="AV2292" s="48"/>
      <c r="AW2292" s="48"/>
      <c r="AX2292" s="48"/>
      <c r="AY2292" s="48"/>
      <c r="AZ2292" s="48"/>
      <c r="BA2292" s="48"/>
      <c r="BB2292" s="48"/>
      <c r="BC2292" s="48"/>
      <c r="BD2292" s="48"/>
    </row>
    <row r="2293" spans="1:56">
      <c r="A2293" s="48"/>
      <c r="B2293" s="48"/>
      <c r="C2293" s="49"/>
      <c r="D2293" s="48"/>
      <c r="E2293" s="48"/>
      <c r="F2293" s="48"/>
      <c r="G2293" s="48"/>
      <c r="H2293" s="48"/>
      <c r="I2293" s="48"/>
      <c r="J2293" s="86"/>
      <c r="K2293" s="86"/>
      <c r="L2293" s="86"/>
      <c r="M2293" s="86"/>
      <c r="N2293" s="86"/>
      <c r="O2293" s="86"/>
      <c r="P2293" s="86"/>
      <c r="Q2293" s="86"/>
      <c r="R2293" s="86"/>
      <c r="S2293" s="86"/>
      <c r="T2293" s="86"/>
      <c r="U2293" s="86"/>
      <c r="V2293" s="48"/>
      <c r="W2293" s="48"/>
      <c r="X2293" s="48"/>
      <c r="Y2293" s="48"/>
      <c r="Z2293" s="48"/>
      <c r="AA2293" s="48"/>
      <c r="AB2293" s="48"/>
      <c r="AC2293" s="48"/>
      <c r="AD2293" s="48"/>
      <c r="AE2293" s="48"/>
      <c r="AF2293" s="48"/>
      <c r="AG2293" s="48"/>
      <c r="AH2293" s="48"/>
      <c r="AI2293" s="48"/>
      <c r="AJ2293" s="48"/>
      <c r="AK2293" s="48"/>
      <c r="AL2293" s="48"/>
      <c r="AM2293" s="48"/>
      <c r="AN2293" s="48"/>
      <c r="AO2293" s="48"/>
      <c r="AP2293" s="48"/>
      <c r="AQ2293" s="48"/>
      <c r="AR2293" s="48"/>
      <c r="AS2293" s="48"/>
      <c r="AT2293" s="48"/>
      <c r="AU2293" s="48"/>
      <c r="AV2293" s="48"/>
      <c r="AW2293" s="48"/>
      <c r="AX2293" s="48"/>
      <c r="AY2293" s="48"/>
      <c r="AZ2293" s="48"/>
      <c r="BA2293" s="48"/>
      <c r="BB2293" s="48"/>
      <c r="BC2293" s="48"/>
      <c r="BD2293" s="48"/>
    </row>
    <row r="2294" spans="1:56">
      <c r="A2294" s="48"/>
      <c r="B2294" s="48"/>
      <c r="C2294" s="49"/>
      <c r="D2294" s="48"/>
      <c r="E2294" s="48"/>
      <c r="F2294" s="48"/>
      <c r="G2294" s="48"/>
      <c r="H2294" s="48"/>
      <c r="I2294" s="48"/>
      <c r="J2294" s="86"/>
      <c r="K2294" s="86"/>
      <c r="L2294" s="86"/>
      <c r="M2294" s="86"/>
      <c r="N2294" s="86"/>
      <c r="O2294" s="86"/>
      <c r="P2294" s="86"/>
      <c r="Q2294" s="86"/>
      <c r="R2294" s="86"/>
      <c r="S2294" s="86"/>
      <c r="T2294" s="86"/>
      <c r="U2294" s="86"/>
      <c r="V2294" s="48"/>
      <c r="W2294" s="48"/>
      <c r="X2294" s="48"/>
      <c r="Y2294" s="48"/>
      <c r="Z2294" s="48"/>
      <c r="AA2294" s="48"/>
      <c r="AB2294" s="48"/>
      <c r="AC2294" s="48"/>
      <c r="AD2294" s="48"/>
      <c r="AE2294" s="48"/>
      <c r="AF2294" s="48"/>
      <c r="AG2294" s="48"/>
      <c r="AH2294" s="48"/>
      <c r="AI2294" s="48"/>
      <c r="AJ2294" s="48"/>
      <c r="AK2294" s="48"/>
      <c r="AL2294" s="48"/>
      <c r="AM2294" s="48"/>
      <c r="AN2294" s="48"/>
      <c r="AO2294" s="48"/>
      <c r="AP2294" s="48"/>
      <c r="AQ2294" s="48"/>
      <c r="AR2294" s="48"/>
      <c r="AS2294" s="48"/>
      <c r="AT2294" s="48"/>
      <c r="AU2294" s="48"/>
      <c r="AV2294" s="48"/>
      <c r="AW2294" s="48"/>
      <c r="AX2294" s="48"/>
      <c r="AY2294" s="48"/>
      <c r="AZ2294" s="48"/>
      <c r="BA2294" s="48"/>
      <c r="BB2294" s="48"/>
      <c r="BC2294" s="48"/>
      <c r="BD2294" s="48"/>
    </row>
    <row r="2295" spans="1:56">
      <c r="A2295" s="48"/>
      <c r="B2295" s="48"/>
      <c r="C2295" s="49"/>
      <c r="D2295" s="48"/>
      <c r="E2295" s="48"/>
      <c r="F2295" s="48"/>
      <c r="G2295" s="48"/>
      <c r="H2295" s="48"/>
      <c r="I2295" s="48"/>
      <c r="J2295" s="86"/>
      <c r="K2295" s="86"/>
      <c r="L2295" s="86"/>
      <c r="M2295" s="86"/>
      <c r="N2295" s="86"/>
      <c r="O2295" s="86"/>
      <c r="P2295" s="86"/>
      <c r="Q2295" s="86"/>
      <c r="R2295" s="86"/>
      <c r="S2295" s="86"/>
      <c r="T2295" s="86"/>
      <c r="U2295" s="86"/>
      <c r="V2295" s="48"/>
      <c r="W2295" s="48"/>
      <c r="X2295" s="48"/>
      <c r="Y2295" s="48"/>
      <c r="Z2295" s="48"/>
      <c r="AA2295" s="48"/>
      <c r="AB2295" s="48"/>
      <c r="AC2295" s="48"/>
      <c r="AD2295" s="48"/>
      <c r="AE2295" s="48"/>
      <c r="AF2295" s="48"/>
      <c r="AG2295" s="48"/>
      <c r="AH2295" s="48"/>
      <c r="AI2295" s="48"/>
      <c r="AJ2295" s="48"/>
      <c r="AK2295" s="48"/>
      <c r="AL2295" s="48"/>
      <c r="AM2295" s="48"/>
      <c r="AN2295" s="48"/>
      <c r="AO2295" s="48"/>
      <c r="AP2295" s="48"/>
      <c r="AQ2295" s="48"/>
      <c r="AR2295" s="48"/>
      <c r="AS2295" s="48"/>
      <c r="AT2295" s="48"/>
      <c r="AU2295" s="48"/>
      <c r="AV2295" s="48"/>
      <c r="AW2295" s="48"/>
      <c r="AX2295" s="48"/>
      <c r="AY2295" s="48"/>
      <c r="AZ2295" s="48"/>
      <c r="BA2295" s="48"/>
      <c r="BB2295" s="48"/>
      <c r="BC2295" s="48"/>
      <c r="BD2295" s="48"/>
    </row>
    <row r="2296" spans="1:56">
      <c r="A2296" s="48"/>
      <c r="B2296" s="48"/>
      <c r="C2296" s="49"/>
      <c r="D2296" s="48"/>
      <c r="E2296" s="48"/>
      <c r="F2296" s="48"/>
      <c r="G2296" s="48"/>
      <c r="H2296" s="48"/>
      <c r="I2296" s="48"/>
      <c r="J2296" s="86"/>
      <c r="K2296" s="86"/>
      <c r="L2296" s="86"/>
      <c r="M2296" s="86"/>
      <c r="N2296" s="86"/>
      <c r="O2296" s="86"/>
      <c r="P2296" s="86"/>
      <c r="Q2296" s="86"/>
      <c r="R2296" s="86"/>
      <c r="S2296" s="86"/>
      <c r="T2296" s="86"/>
      <c r="U2296" s="86"/>
      <c r="V2296" s="48"/>
      <c r="W2296" s="48"/>
      <c r="X2296" s="48"/>
      <c r="Y2296" s="48"/>
      <c r="Z2296" s="48"/>
      <c r="AA2296" s="48"/>
      <c r="AB2296" s="48"/>
      <c r="AC2296" s="48"/>
      <c r="AD2296" s="48"/>
      <c r="AE2296" s="48"/>
      <c r="AF2296" s="48"/>
      <c r="AG2296" s="48"/>
      <c r="AH2296" s="48"/>
      <c r="AI2296" s="48"/>
      <c r="AJ2296" s="48"/>
      <c r="AK2296" s="48"/>
      <c r="AL2296" s="48"/>
      <c r="AM2296" s="48"/>
      <c r="AN2296" s="48"/>
      <c r="AO2296" s="48"/>
      <c r="AP2296" s="48"/>
      <c r="AQ2296" s="48"/>
      <c r="AR2296" s="48"/>
      <c r="AS2296" s="48"/>
      <c r="AT2296" s="48"/>
      <c r="AU2296" s="48"/>
      <c r="AV2296" s="48"/>
      <c r="AW2296" s="48"/>
      <c r="AX2296" s="48"/>
      <c r="AY2296" s="48"/>
      <c r="AZ2296" s="48"/>
      <c r="BA2296" s="48"/>
      <c r="BB2296" s="48"/>
      <c r="BC2296" s="48"/>
      <c r="BD2296" s="48"/>
    </row>
    <row r="2297" spans="1:56">
      <c r="A2297" s="48"/>
      <c r="B2297" s="48"/>
      <c r="C2297" s="49"/>
      <c r="D2297" s="48"/>
      <c r="E2297" s="48"/>
      <c r="F2297" s="48"/>
      <c r="G2297" s="48"/>
      <c r="H2297" s="48"/>
      <c r="I2297" s="48"/>
      <c r="J2297" s="86"/>
      <c r="K2297" s="86"/>
      <c r="L2297" s="86"/>
      <c r="M2297" s="86"/>
      <c r="N2297" s="86"/>
      <c r="O2297" s="86"/>
      <c r="P2297" s="86"/>
      <c r="Q2297" s="86"/>
      <c r="R2297" s="86"/>
      <c r="S2297" s="86"/>
      <c r="T2297" s="86"/>
      <c r="U2297" s="86"/>
      <c r="V2297" s="48"/>
      <c r="W2297" s="48"/>
      <c r="X2297" s="48"/>
      <c r="Y2297" s="48"/>
      <c r="Z2297" s="48"/>
      <c r="AA2297" s="48"/>
      <c r="AB2297" s="48"/>
      <c r="AC2297" s="48"/>
      <c r="AD2297" s="48"/>
      <c r="AE2297" s="48"/>
      <c r="AF2297" s="48"/>
      <c r="AG2297" s="48"/>
      <c r="AH2297" s="48"/>
      <c r="AI2297" s="48"/>
      <c r="AJ2297" s="48"/>
      <c r="AK2297" s="48"/>
      <c r="AL2297" s="48"/>
      <c r="AM2297" s="48"/>
      <c r="AN2297" s="48"/>
      <c r="AO2297" s="48"/>
      <c r="AP2297" s="48"/>
      <c r="AQ2297" s="48"/>
      <c r="AR2297" s="48"/>
      <c r="AS2297" s="48"/>
      <c r="AT2297" s="48"/>
      <c r="AU2297" s="48"/>
      <c r="AV2297" s="48"/>
      <c r="AW2297" s="48"/>
      <c r="AX2297" s="48"/>
      <c r="AY2297" s="48"/>
      <c r="AZ2297" s="48"/>
      <c r="BA2297" s="48"/>
      <c r="BB2297" s="48"/>
      <c r="BC2297" s="48"/>
      <c r="BD2297" s="48"/>
    </row>
    <row r="2298" spans="1:56">
      <c r="A2298" s="48"/>
      <c r="B2298" s="48"/>
      <c r="C2298" s="49"/>
      <c r="D2298" s="48"/>
      <c r="E2298" s="48"/>
      <c r="F2298" s="48"/>
      <c r="G2298" s="48"/>
      <c r="H2298" s="48"/>
      <c r="I2298" s="48"/>
      <c r="J2298" s="86"/>
      <c r="K2298" s="86"/>
      <c r="L2298" s="86"/>
      <c r="M2298" s="86"/>
      <c r="N2298" s="86"/>
      <c r="O2298" s="86"/>
      <c r="P2298" s="86"/>
      <c r="Q2298" s="86"/>
      <c r="R2298" s="86"/>
      <c r="S2298" s="86"/>
      <c r="T2298" s="86"/>
      <c r="U2298" s="86"/>
      <c r="V2298" s="48"/>
      <c r="W2298" s="48"/>
      <c r="X2298" s="48"/>
      <c r="Y2298" s="48"/>
      <c r="Z2298" s="48"/>
      <c r="AA2298" s="48"/>
      <c r="AB2298" s="48"/>
      <c r="AC2298" s="48"/>
      <c r="AD2298" s="48"/>
      <c r="AE2298" s="48"/>
      <c r="AF2298" s="48"/>
      <c r="AG2298" s="48"/>
      <c r="AH2298" s="48"/>
      <c r="AI2298" s="48"/>
      <c r="AJ2298" s="48"/>
      <c r="AK2298" s="48"/>
      <c r="AL2298" s="48"/>
      <c r="AM2298" s="48"/>
      <c r="AN2298" s="48"/>
      <c r="AO2298" s="48"/>
      <c r="AP2298" s="48"/>
      <c r="AQ2298" s="48"/>
      <c r="AR2298" s="48"/>
      <c r="AS2298" s="48"/>
      <c r="AT2298" s="48"/>
      <c r="AU2298" s="48"/>
      <c r="AV2298" s="48"/>
      <c r="AW2298" s="48"/>
      <c r="AX2298" s="48"/>
      <c r="AY2298" s="48"/>
      <c r="AZ2298" s="48"/>
      <c r="BA2298" s="48"/>
      <c r="BB2298" s="48"/>
      <c r="BC2298" s="48"/>
      <c r="BD2298" s="48"/>
    </row>
    <row r="2299" spans="1:56">
      <c r="A2299" s="48"/>
      <c r="B2299" s="48"/>
      <c r="C2299" s="49"/>
      <c r="D2299" s="48"/>
      <c r="E2299" s="48"/>
      <c r="F2299" s="48"/>
      <c r="G2299" s="48"/>
      <c r="H2299" s="48"/>
      <c r="I2299" s="48"/>
      <c r="J2299" s="86"/>
      <c r="K2299" s="86"/>
      <c r="L2299" s="86"/>
      <c r="M2299" s="86"/>
      <c r="N2299" s="86"/>
      <c r="O2299" s="86"/>
      <c r="P2299" s="86"/>
      <c r="Q2299" s="86"/>
      <c r="R2299" s="86"/>
      <c r="S2299" s="86"/>
      <c r="T2299" s="86"/>
      <c r="U2299" s="86"/>
      <c r="V2299" s="48"/>
      <c r="W2299" s="48"/>
      <c r="X2299" s="48"/>
      <c r="Y2299" s="48"/>
      <c r="Z2299" s="48"/>
      <c r="AA2299" s="48"/>
      <c r="AB2299" s="48"/>
      <c r="AC2299" s="48"/>
      <c r="AD2299" s="48"/>
      <c r="AE2299" s="48"/>
      <c r="AF2299" s="48"/>
      <c r="AG2299" s="48"/>
      <c r="AH2299" s="48"/>
      <c r="AI2299" s="48"/>
      <c r="AJ2299" s="48"/>
      <c r="AK2299" s="48"/>
      <c r="AL2299" s="48"/>
      <c r="AM2299" s="48"/>
      <c r="AN2299" s="48"/>
      <c r="AO2299" s="48"/>
      <c r="AP2299" s="48"/>
      <c r="AQ2299" s="48"/>
      <c r="AR2299" s="48"/>
      <c r="AS2299" s="48"/>
      <c r="AT2299" s="48"/>
      <c r="AU2299" s="48"/>
      <c r="AV2299" s="48"/>
      <c r="AW2299" s="48"/>
      <c r="AX2299" s="48"/>
      <c r="AY2299" s="48"/>
      <c r="AZ2299" s="48"/>
      <c r="BA2299" s="48"/>
      <c r="BB2299" s="48"/>
      <c r="BC2299" s="48"/>
      <c r="BD2299" s="48"/>
    </row>
    <row r="2300" spans="1:56">
      <c r="A2300" s="48"/>
      <c r="B2300" s="48"/>
      <c r="C2300" s="49"/>
      <c r="D2300" s="48"/>
      <c r="E2300" s="48"/>
      <c r="F2300" s="48"/>
      <c r="G2300" s="48"/>
      <c r="H2300" s="48"/>
      <c r="I2300" s="48"/>
      <c r="J2300" s="86"/>
      <c r="K2300" s="86"/>
      <c r="L2300" s="86"/>
      <c r="M2300" s="86"/>
      <c r="N2300" s="86"/>
      <c r="O2300" s="86"/>
      <c r="P2300" s="86"/>
      <c r="Q2300" s="86"/>
      <c r="R2300" s="86"/>
      <c r="S2300" s="86"/>
      <c r="T2300" s="86"/>
      <c r="U2300" s="86"/>
      <c r="V2300" s="48"/>
      <c r="W2300" s="48"/>
      <c r="X2300" s="48"/>
      <c r="Y2300" s="48"/>
      <c r="Z2300" s="48"/>
      <c r="AA2300" s="48"/>
      <c r="AB2300" s="48"/>
      <c r="AC2300" s="48"/>
      <c r="AD2300" s="48"/>
      <c r="AE2300" s="48"/>
      <c r="AF2300" s="48"/>
      <c r="AG2300" s="48"/>
      <c r="AH2300" s="48"/>
      <c r="AI2300" s="48"/>
      <c r="AJ2300" s="48"/>
      <c r="AK2300" s="48"/>
      <c r="AL2300" s="48"/>
      <c r="AM2300" s="48"/>
      <c r="AN2300" s="48"/>
      <c r="AO2300" s="48"/>
      <c r="AP2300" s="48"/>
      <c r="AQ2300" s="48"/>
      <c r="AR2300" s="48"/>
      <c r="AS2300" s="48"/>
      <c r="AT2300" s="48"/>
      <c r="AU2300" s="48"/>
      <c r="AV2300" s="48"/>
      <c r="AW2300" s="48"/>
      <c r="AX2300" s="48"/>
      <c r="AY2300" s="48"/>
      <c r="AZ2300" s="48"/>
      <c r="BA2300" s="48"/>
      <c r="BB2300" s="48"/>
      <c r="BC2300" s="48"/>
      <c r="BD2300" s="48"/>
    </row>
    <row r="2301" spans="1:56">
      <c r="A2301" s="48"/>
      <c r="B2301" s="48"/>
      <c r="C2301" s="49"/>
      <c r="D2301" s="48"/>
      <c r="E2301" s="48"/>
      <c r="F2301" s="48"/>
      <c r="G2301" s="48"/>
      <c r="H2301" s="48"/>
      <c r="I2301" s="48"/>
      <c r="J2301" s="86"/>
      <c r="K2301" s="86"/>
      <c r="L2301" s="86"/>
      <c r="M2301" s="86"/>
      <c r="N2301" s="86"/>
      <c r="O2301" s="86"/>
      <c r="P2301" s="86"/>
      <c r="Q2301" s="86"/>
      <c r="R2301" s="86"/>
      <c r="S2301" s="86"/>
      <c r="T2301" s="86"/>
      <c r="U2301" s="86"/>
      <c r="V2301" s="48"/>
      <c r="W2301" s="48"/>
      <c r="X2301" s="48"/>
      <c r="Y2301" s="48"/>
      <c r="Z2301" s="48"/>
      <c r="AA2301" s="48"/>
      <c r="AB2301" s="48"/>
      <c r="AC2301" s="48"/>
      <c r="AD2301" s="48"/>
      <c r="AE2301" s="48"/>
      <c r="AF2301" s="48"/>
      <c r="AG2301" s="48"/>
      <c r="AH2301" s="48"/>
      <c r="AI2301" s="48"/>
      <c r="AJ2301" s="48"/>
      <c r="AK2301" s="48"/>
      <c r="AL2301" s="48"/>
      <c r="AM2301" s="48"/>
      <c r="AN2301" s="48"/>
      <c r="AO2301" s="48"/>
      <c r="AP2301" s="48"/>
      <c r="AQ2301" s="48"/>
      <c r="AR2301" s="48"/>
      <c r="AS2301" s="48"/>
      <c r="AT2301" s="48"/>
      <c r="AU2301" s="48"/>
      <c r="AV2301" s="48"/>
      <c r="AW2301" s="48"/>
      <c r="AX2301" s="48"/>
      <c r="AY2301" s="48"/>
      <c r="AZ2301" s="48"/>
      <c r="BA2301" s="48"/>
      <c r="BB2301" s="48"/>
      <c r="BC2301" s="48"/>
      <c r="BD2301" s="48"/>
    </row>
    <row r="2302" spans="1:56">
      <c r="A2302" s="48"/>
      <c r="B2302" s="48"/>
      <c r="C2302" s="49"/>
      <c r="D2302" s="48"/>
      <c r="E2302" s="48"/>
      <c r="F2302" s="48"/>
      <c r="G2302" s="48"/>
      <c r="H2302" s="48"/>
      <c r="I2302" s="48"/>
      <c r="J2302" s="86"/>
      <c r="K2302" s="86"/>
      <c r="L2302" s="86"/>
      <c r="M2302" s="86"/>
      <c r="N2302" s="86"/>
      <c r="O2302" s="86"/>
      <c r="P2302" s="86"/>
      <c r="Q2302" s="86"/>
      <c r="R2302" s="86"/>
      <c r="S2302" s="86"/>
      <c r="T2302" s="86"/>
      <c r="U2302" s="86"/>
      <c r="V2302" s="48"/>
      <c r="W2302" s="48"/>
      <c r="X2302" s="48"/>
      <c r="Y2302" s="48"/>
      <c r="Z2302" s="48"/>
      <c r="AA2302" s="48"/>
      <c r="AB2302" s="48"/>
      <c r="AC2302" s="48"/>
      <c r="AD2302" s="48"/>
      <c r="AE2302" s="48"/>
      <c r="AF2302" s="48"/>
      <c r="AG2302" s="48"/>
      <c r="AH2302" s="48"/>
      <c r="AI2302" s="48"/>
      <c r="AJ2302" s="48"/>
      <c r="AK2302" s="48"/>
      <c r="AL2302" s="48"/>
      <c r="AM2302" s="48"/>
      <c r="AN2302" s="48"/>
      <c r="AO2302" s="48"/>
      <c r="AP2302" s="48"/>
      <c r="AQ2302" s="48"/>
      <c r="AR2302" s="48"/>
      <c r="AS2302" s="48"/>
      <c r="AT2302" s="48"/>
      <c r="AU2302" s="48"/>
      <c r="AV2302" s="48"/>
      <c r="AW2302" s="48"/>
      <c r="AX2302" s="48"/>
      <c r="AY2302" s="48"/>
      <c r="AZ2302" s="48"/>
      <c r="BA2302" s="48"/>
      <c r="BB2302" s="48"/>
      <c r="BC2302" s="48"/>
      <c r="BD2302" s="48"/>
    </row>
    <row r="2303" spans="1:56">
      <c r="A2303" s="48"/>
      <c r="B2303" s="48"/>
      <c r="C2303" s="49"/>
      <c r="D2303" s="48"/>
      <c r="E2303" s="48"/>
      <c r="F2303" s="48"/>
      <c r="G2303" s="48"/>
      <c r="H2303" s="48"/>
      <c r="I2303" s="48"/>
      <c r="J2303" s="86"/>
      <c r="K2303" s="86"/>
      <c r="L2303" s="86"/>
      <c r="M2303" s="86"/>
      <c r="N2303" s="86"/>
      <c r="O2303" s="86"/>
      <c r="P2303" s="86"/>
      <c r="Q2303" s="86"/>
      <c r="R2303" s="86"/>
      <c r="S2303" s="86"/>
      <c r="T2303" s="86"/>
      <c r="U2303" s="86"/>
      <c r="V2303" s="48"/>
      <c r="W2303" s="48"/>
      <c r="X2303" s="48"/>
      <c r="Y2303" s="48"/>
      <c r="Z2303" s="48"/>
      <c r="AA2303" s="48"/>
      <c r="AB2303" s="48"/>
      <c r="AC2303" s="48"/>
      <c r="AD2303" s="48"/>
      <c r="AE2303" s="48"/>
      <c r="AF2303" s="48"/>
      <c r="AG2303" s="48"/>
      <c r="AH2303" s="48"/>
      <c r="AI2303" s="48"/>
      <c r="AJ2303" s="48"/>
      <c r="AK2303" s="48"/>
      <c r="AL2303" s="48"/>
      <c r="AM2303" s="48"/>
      <c r="AN2303" s="48"/>
      <c r="AO2303" s="48"/>
      <c r="AP2303" s="48"/>
      <c r="AQ2303" s="48"/>
      <c r="AR2303" s="48"/>
      <c r="AS2303" s="48"/>
      <c r="AT2303" s="48"/>
      <c r="AU2303" s="48"/>
      <c r="AV2303" s="48"/>
      <c r="AW2303" s="48"/>
      <c r="AX2303" s="48"/>
      <c r="AY2303" s="48"/>
      <c r="AZ2303" s="48"/>
      <c r="BA2303" s="48"/>
      <c r="BB2303" s="48"/>
      <c r="BC2303" s="48"/>
      <c r="BD2303" s="48"/>
    </row>
    <row r="2304" spans="1:56">
      <c r="A2304" s="48"/>
      <c r="B2304" s="48"/>
      <c r="C2304" s="49"/>
      <c r="D2304" s="48"/>
      <c r="E2304" s="48"/>
      <c r="F2304" s="48"/>
      <c r="G2304" s="48"/>
      <c r="H2304" s="48"/>
      <c r="I2304" s="48"/>
      <c r="J2304" s="86"/>
      <c r="K2304" s="86"/>
      <c r="L2304" s="86"/>
      <c r="M2304" s="86"/>
      <c r="N2304" s="86"/>
      <c r="O2304" s="86"/>
      <c r="P2304" s="86"/>
      <c r="Q2304" s="86"/>
      <c r="R2304" s="86"/>
      <c r="S2304" s="86"/>
      <c r="T2304" s="86"/>
      <c r="U2304" s="86"/>
      <c r="V2304" s="48"/>
      <c r="W2304" s="48"/>
      <c r="X2304" s="48"/>
      <c r="Y2304" s="48"/>
      <c r="Z2304" s="48"/>
      <c r="AA2304" s="48"/>
      <c r="AB2304" s="48"/>
      <c r="AC2304" s="48"/>
      <c r="AD2304" s="48"/>
      <c r="AE2304" s="48"/>
      <c r="AF2304" s="48"/>
      <c r="AG2304" s="48"/>
      <c r="AH2304" s="48"/>
      <c r="AI2304" s="48"/>
      <c r="AJ2304" s="48"/>
      <c r="AK2304" s="48"/>
      <c r="AL2304" s="48"/>
      <c r="AM2304" s="48"/>
      <c r="AN2304" s="48"/>
      <c r="AO2304" s="48"/>
      <c r="AP2304" s="48"/>
      <c r="AQ2304" s="48"/>
      <c r="AR2304" s="48"/>
      <c r="AS2304" s="48"/>
      <c r="AT2304" s="48"/>
      <c r="AU2304" s="48"/>
      <c r="AV2304" s="48"/>
      <c r="AW2304" s="48"/>
      <c r="AX2304" s="48"/>
      <c r="AY2304" s="48"/>
      <c r="AZ2304" s="48"/>
      <c r="BA2304" s="48"/>
      <c r="BB2304" s="48"/>
      <c r="BC2304" s="48"/>
      <c r="BD2304" s="48"/>
    </row>
    <row r="2305" spans="1:56">
      <c r="A2305" s="48"/>
      <c r="B2305" s="48"/>
      <c r="C2305" s="49"/>
      <c r="D2305" s="48"/>
      <c r="E2305" s="48"/>
      <c r="F2305" s="48"/>
      <c r="G2305" s="48"/>
      <c r="H2305" s="48"/>
      <c r="I2305" s="48"/>
      <c r="J2305" s="86"/>
      <c r="K2305" s="86"/>
      <c r="L2305" s="86"/>
      <c r="M2305" s="86"/>
      <c r="N2305" s="86"/>
      <c r="O2305" s="86"/>
      <c r="P2305" s="86"/>
      <c r="Q2305" s="86"/>
      <c r="R2305" s="86"/>
      <c r="S2305" s="86"/>
      <c r="T2305" s="86"/>
      <c r="U2305" s="86"/>
      <c r="V2305" s="48"/>
      <c r="W2305" s="48"/>
      <c r="X2305" s="48"/>
      <c r="Y2305" s="48"/>
      <c r="Z2305" s="48"/>
      <c r="AA2305" s="48"/>
      <c r="AB2305" s="48"/>
      <c r="AC2305" s="48"/>
      <c r="AD2305" s="48"/>
      <c r="AE2305" s="48"/>
      <c r="AF2305" s="48"/>
      <c r="AG2305" s="48"/>
      <c r="AH2305" s="48"/>
      <c r="AI2305" s="48"/>
      <c r="AJ2305" s="48"/>
      <c r="AK2305" s="48"/>
      <c r="AL2305" s="48"/>
      <c r="AM2305" s="48"/>
      <c r="AN2305" s="48"/>
      <c r="AO2305" s="48"/>
      <c r="AP2305" s="48"/>
      <c r="AQ2305" s="48"/>
      <c r="AR2305" s="48"/>
      <c r="AS2305" s="48"/>
      <c r="AT2305" s="48"/>
      <c r="AU2305" s="48"/>
      <c r="AV2305" s="48"/>
      <c r="AW2305" s="48"/>
      <c r="AX2305" s="48"/>
      <c r="AY2305" s="48"/>
      <c r="AZ2305" s="48"/>
      <c r="BA2305" s="48"/>
      <c r="BB2305" s="48"/>
      <c r="BC2305" s="48"/>
      <c r="BD2305" s="48"/>
    </row>
    <row r="2306" spans="1:56">
      <c r="A2306" s="48"/>
      <c r="B2306" s="48"/>
      <c r="C2306" s="49"/>
      <c r="D2306" s="48"/>
      <c r="E2306" s="48"/>
      <c r="F2306" s="48"/>
      <c r="G2306" s="48"/>
      <c r="H2306" s="48"/>
      <c r="I2306" s="48"/>
      <c r="J2306" s="86"/>
      <c r="K2306" s="86"/>
      <c r="L2306" s="86"/>
      <c r="M2306" s="86"/>
      <c r="N2306" s="86"/>
      <c r="O2306" s="86"/>
      <c r="P2306" s="86"/>
      <c r="Q2306" s="86"/>
      <c r="R2306" s="86"/>
      <c r="S2306" s="86"/>
      <c r="T2306" s="86"/>
      <c r="U2306" s="86"/>
      <c r="V2306" s="48"/>
      <c r="W2306" s="48"/>
      <c r="X2306" s="48"/>
      <c r="Y2306" s="48"/>
      <c r="Z2306" s="48"/>
      <c r="AA2306" s="48"/>
      <c r="AB2306" s="48"/>
      <c r="AC2306" s="48"/>
      <c r="AD2306" s="48"/>
      <c r="AE2306" s="48"/>
      <c r="AF2306" s="48"/>
      <c r="AG2306" s="48"/>
      <c r="AH2306" s="48"/>
      <c r="AI2306" s="48"/>
      <c r="AJ2306" s="48"/>
      <c r="AK2306" s="48"/>
      <c r="AL2306" s="48"/>
      <c r="AM2306" s="48"/>
      <c r="AN2306" s="48"/>
      <c r="AO2306" s="48"/>
      <c r="AP2306" s="48"/>
      <c r="AQ2306" s="48"/>
      <c r="AR2306" s="48"/>
      <c r="AS2306" s="48"/>
      <c r="AT2306" s="48"/>
      <c r="AU2306" s="48"/>
      <c r="AV2306" s="48"/>
      <c r="AW2306" s="48"/>
      <c r="AX2306" s="48"/>
      <c r="AY2306" s="48"/>
      <c r="AZ2306" s="48"/>
      <c r="BA2306" s="48"/>
      <c r="BB2306" s="48"/>
      <c r="BC2306" s="48"/>
      <c r="BD2306" s="48"/>
    </row>
    <row r="2307" spans="1:56">
      <c r="A2307" s="48"/>
      <c r="B2307" s="48"/>
      <c r="C2307" s="49"/>
      <c r="D2307" s="48"/>
      <c r="E2307" s="48"/>
      <c r="F2307" s="48"/>
      <c r="G2307" s="48"/>
      <c r="H2307" s="48"/>
      <c r="I2307" s="48"/>
      <c r="J2307" s="86"/>
      <c r="K2307" s="86"/>
      <c r="L2307" s="86"/>
      <c r="M2307" s="86"/>
      <c r="N2307" s="86"/>
      <c r="O2307" s="86"/>
      <c r="P2307" s="86"/>
      <c r="Q2307" s="86"/>
      <c r="R2307" s="86"/>
      <c r="S2307" s="86"/>
      <c r="T2307" s="86"/>
      <c r="U2307" s="86"/>
      <c r="V2307" s="48"/>
      <c r="W2307" s="48"/>
      <c r="X2307" s="48"/>
      <c r="Y2307" s="48"/>
      <c r="Z2307" s="48"/>
      <c r="AA2307" s="48"/>
      <c r="AB2307" s="48"/>
      <c r="AC2307" s="48"/>
      <c r="AD2307" s="48"/>
      <c r="AE2307" s="48"/>
      <c r="AF2307" s="48"/>
      <c r="AG2307" s="48"/>
      <c r="AH2307" s="48"/>
      <c r="AI2307" s="48"/>
      <c r="AJ2307" s="48"/>
      <c r="AK2307" s="48"/>
      <c r="AL2307" s="48"/>
      <c r="AM2307" s="48"/>
      <c r="AN2307" s="48"/>
      <c r="AO2307" s="48"/>
      <c r="AP2307" s="48"/>
      <c r="AQ2307" s="48"/>
      <c r="AR2307" s="48"/>
      <c r="AS2307" s="48"/>
      <c r="AT2307" s="48"/>
      <c r="AU2307" s="48"/>
      <c r="AV2307" s="48"/>
      <c r="AW2307" s="48"/>
      <c r="AX2307" s="48"/>
      <c r="AY2307" s="48"/>
      <c r="AZ2307" s="48"/>
      <c r="BA2307" s="48"/>
      <c r="BB2307" s="48"/>
      <c r="BC2307" s="48"/>
      <c r="BD2307" s="48"/>
    </row>
    <row r="2308" spans="1:56">
      <c r="A2308" s="48"/>
      <c r="B2308" s="48"/>
      <c r="C2308" s="49"/>
      <c r="D2308" s="48"/>
      <c r="E2308" s="48"/>
      <c r="F2308" s="48"/>
      <c r="G2308" s="48"/>
      <c r="H2308" s="48"/>
      <c r="I2308" s="48"/>
      <c r="J2308" s="86"/>
      <c r="K2308" s="86"/>
      <c r="L2308" s="86"/>
      <c r="M2308" s="86"/>
      <c r="N2308" s="86"/>
      <c r="O2308" s="86"/>
      <c r="P2308" s="86"/>
      <c r="Q2308" s="86"/>
      <c r="R2308" s="86"/>
      <c r="S2308" s="86"/>
      <c r="T2308" s="86"/>
      <c r="U2308" s="86"/>
      <c r="V2308" s="48"/>
      <c r="W2308" s="48"/>
      <c r="X2308" s="48"/>
      <c r="Y2308" s="48"/>
      <c r="Z2308" s="48"/>
      <c r="AA2308" s="48"/>
      <c r="AB2308" s="48"/>
      <c r="AC2308" s="48"/>
      <c r="AD2308" s="48"/>
      <c r="AE2308" s="48"/>
      <c r="AF2308" s="48"/>
      <c r="AG2308" s="48"/>
      <c r="AH2308" s="48"/>
      <c r="AI2308" s="48"/>
      <c r="AJ2308" s="48"/>
      <c r="AK2308" s="48"/>
      <c r="AL2308" s="48"/>
      <c r="AM2308" s="48"/>
      <c r="AN2308" s="48"/>
      <c r="AO2308" s="48"/>
      <c r="AP2308" s="48"/>
      <c r="AQ2308" s="48"/>
      <c r="AR2308" s="48"/>
      <c r="AS2308" s="48"/>
      <c r="AT2308" s="48"/>
      <c r="AU2308" s="48"/>
      <c r="AV2308" s="48"/>
      <c r="AW2308" s="48"/>
      <c r="AX2308" s="48"/>
      <c r="AY2308" s="48"/>
      <c r="AZ2308" s="48"/>
      <c r="BA2308" s="48"/>
      <c r="BB2308" s="48"/>
      <c r="BC2308" s="48"/>
      <c r="BD2308" s="48"/>
    </row>
    <row r="2309" spans="1:56">
      <c r="A2309" s="48"/>
      <c r="B2309" s="48"/>
      <c r="C2309" s="49"/>
      <c r="D2309" s="48"/>
      <c r="E2309" s="48"/>
      <c r="F2309" s="48"/>
      <c r="G2309" s="48"/>
      <c r="H2309" s="48"/>
      <c r="I2309" s="48"/>
      <c r="J2309" s="86"/>
      <c r="K2309" s="86"/>
      <c r="L2309" s="86"/>
      <c r="M2309" s="86"/>
      <c r="N2309" s="86"/>
      <c r="O2309" s="86"/>
      <c r="P2309" s="86"/>
      <c r="Q2309" s="86"/>
      <c r="R2309" s="86"/>
      <c r="S2309" s="86"/>
      <c r="T2309" s="86"/>
      <c r="U2309" s="86"/>
      <c r="V2309" s="48"/>
      <c r="W2309" s="48"/>
      <c r="X2309" s="48"/>
      <c r="Y2309" s="48"/>
      <c r="Z2309" s="48"/>
      <c r="AA2309" s="48"/>
      <c r="AB2309" s="48"/>
      <c r="AC2309" s="48"/>
      <c r="AD2309" s="48"/>
      <c r="AE2309" s="48"/>
      <c r="AF2309" s="48"/>
      <c r="AG2309" s="48"/>
      <c r="AH2309" s="48"/>
      <c r="AI2309" s="48"/>
      <c r="AJ2309" s="48"/>
      <c r="AK2309" s="48"/>
      <c r="AL2309" s="48"/>
      <c r="AM2309" s="48"/>
      <c r="AN2309" s="48"/>
      <c r="AO2309" s="48"/>
      <c r="AP2309" s="48"/>
      <c r="AQ2309" s="48"/>
      <c r="AR2309" s="48"/>
      <c r="AS2309" s="48"/>
      <c r="AT2309" s="48"/>
      <c r="AU2309" s="48"/>
      <c r="AV2309" s="48"/>
      <c r="AW2309" s="48"/>
      <c r="AX2309" s="48"/>
      <c r="AY2309" s="48"/>
      <c r="AZ2309" s="48"/>
      <c r="BA2309" s="48"/>
      <c r="BB2309" s="48"/>
      <c r="BC2309" s="48"/>
      <c r="BD2309" s="48"/>
    </row>
    <row r="2310" spans="1:56">
      <c r="A2310" s="48"/>
      <c r="B2310" s="48"/>
      <c r="C2310" s="49"/>
      <c r="D2310" s="48"/>
      <c r="E2310" s="48"/>
      <c r="F2310" s="48"/>
      <c r="G2310" s="48"/>
      <c r="H2310" s="48"/>
      <c r="I2310" s="48"/>
      <c r="J2310" s="86"/>
      <c r="K2310" s="86"/>
      <c r="L2310" s="86"/>
      <c r="M2310" s="86"/>
      <c r="N2310" s="86"/>
      <c r="O2310" s="86"/>
      <c r="P2310" s="86"/>
      <c r="Q2310" s="86"/>
      <c r="R2310" s="86"/>
      <c r="S2310" s="86"/>
      <c r="T2310" s="86"/>
      <c r="U2310" s="86"/>
      <c r="V2310" s="48"/>
      <c r="W2310" s="48"/>
      <c r="X2310" s="48"/>
      <c r="Y2310" s="48"/>
      <c r="Z2310" s="48"/>
      <c r="AA2310" s="48"/>
      <c r="AB2310" s="48"/>
      <c r="AC2310" s="48"/>
      <c r="AD2310" s="48"/>
      <c r="AE2310" s="48"/>
      <c r="AF2310" s="48"/>
      <c r="AG2310" s="48"/>
      <c r="AH2310" s="48"/>
      <c r="AI2310" s="48"/>
      <c r="AJ2310" s="48"/>
      <c r="AK2310" s="48"/>
      <c r="AL2310" s="48"/>
      <c r="AM2310" s="48"/>
      <c r="AN2310" s="48"/>
      <c r="AO2310" s="48"/>
      <c r="AP2310" s="48"/>
      <c r="AQ2310" s="48"/>
      <c r="AR2310" s="48"/>
      <c r="AS2310" s="48"/>
      <c r="AT2310" s="48"/>
      <c r="AU2310" s="48"/>
      <c r="AV2310" s="48"/>
      <c r="AW2310" s="48"/>
      <c r="AX2310" s="48"/>
      <c r="AY2310" s="48"/>
      <c r="AZ2310" s="48"/>
      <c r="BA2310" s="48"/>
      <c r="BB2310" s="48"/>
      <c r="BC2310" s="48"/>
      <c r="BD2310" s="48"/>
    </row>
    <row r="2311" spans="1:56">
      <c r="A2311" s="48"/>
      <c r="B2311" s="48"/>
      <c r="C2311" s="49"/>
      <c r="D2311" s="48"/>
      <c r="E2311" s="48"/>
      <c r="F2311" s="48"/>
      <c r="G2311" s="48"/>
      <c r="H2311" s="48"/>
      <c r="I2311" s="48"/>
      <c r="J2311" s="86"/>
      <c r="K2311" s="86"/>
      <c r="L2311" s="86"/>
      <c r="M2311" s="86"/>
      <c r="N2311" s="86"/>
      <c r="O2311" s="86"/>
      <c r="P2311" s="86"/>
      <c r="Q2311" s="86"/>
      <c r="R2311" s="86"/>
      <c r="S2311" s="86"/>
      <c r="T2311" s="86"/>
      <c r="U2311" s="86"/>
      <c r="V2311" s="48"/>
      <c r="W2311" s="48"/>
      <c r="X2311" s="48"/>
      <c r="Y2311" s="48"/>
      <c r="Z2311" s="48"/>
      <c r="AA2311" s="48"/>
      <c r="AB2311" s="48"/>
      <c r="AC2311" s="48"/>
      <c r="AD2311" s="48"/>
      <c r="AE2311" s="48"/>
      <c r="AF2311" s="48"/>
      <c r="AG2311" s="48"/>
      <c r="AH2311" s="48"/>
      <c r="AI2311" s="48"/>
      <c r="AJ2311" s="48"/>
      <c r="AK2311" s="48"/>
      <c r="AL2311" s="48"/>
      <c r="AM2311" s="48"/>
      <c r="AN2311" s="48"/>
      <c r="AO2311" s="48"/>
      <c r="AP2311" s="48"/>
      <c r="AQ2311" s="48"/>
      <c r="AR2311" s="48"/>
      <c r="AS2311" s="48"/>
      <c r="AT2311" s="48"/>
      <c r="AU2311" s="48"/>
      <c r="AV2311" s="48"/>
      <c r="AW2311" s="48"/>
      <c r="AX2311" s="48"/>
      <c r="AY2311" s="48"/>
      <c r="AZ2311" s="48"/>
      <c r="BA2311" s="48"/>
      <c r="BB2311" s="48"/>
      <c r="BC2311" s="48"/>
      <c r="BD2311" s="48"/>
    </row>
    <row r="2312" spans="1:56">
      <c r="A2312" s="48"/>
      <c r="B2312" s="48"/>
      <c r="C2312" s="49"/>
      <c r="D2312" s="48"/>
      <c r="E2312" s="48"/>
      <c r="F2312" s="48"/>
      <c r="G2312" s="48"/>
      <c r="H2312" s="48"/>
      <c r="I2312" s="48"/>
      <c r="J2312" s="86"/>
      <c r="K2312" s="86"/>
      <c r="L2312" s="86"/>
      <c r="M2312" s="86"/>
      <c r="N2312" s="86"/>
      <c r="O2312" s="86"/>
      <c r="P2312" s="86"/>
      <c r="Q2312" s="86"/>
      <c r="R2312" s="86"/>
      <c r="S2312" s="86"/>
      <c r="T2312" s="86"/>
      <c r="U2312" s="86"/>
      <c r="V2312" s="48"/>
      <c r="W2312" s="48"/>
      <c r="X2312" s="48"/>
      <c r="Y2312" s="48"/>
      <c r="Z2312" s="48"/>
      <c r="AA2312" s="48"/>
      <c r="AB2312" s="48"/>
      <c r="AC2312" s="48"/>
      <c r="AD2312" s="48"/>
      <c r="AE2312" s="48"/>
      <c r="AF2312" s="48"/>
      <c r="AG2312" s="48"/>
      <c r="AH2312" s="48"/>
      <c r="AI2312" s="48"/>
      <c r="AJ2312" s="48"/>
      <c r="AK2312" s="48"/>
      <c r="AL2312" s="48"/>
      <c r="AM2312" s="48"/>
      <c r="AN2312" s="48"/>
      <c r="AO2312" s="48"/>
      <c r="AP2312" s="48"/>
      <c r="AQ2312" s="48"/>
      <c r="AR2312" s="48"/>
      <c r="AS2312" s="48"/>
      <c r="AT2312" s="48"/>
      <c r="AU2312" s="48"/>
      <c r="AV2312" s="48"/>
      <c r="AW2312" s="48"/>
      <c r="AX2312" s="48"/>
      <c r="AY2312" s="48"/>
      <c r="AZ2312" s="48"/>
      <c r="BA2312" s="48"/>
      <c r="BB2312" s="48"/>
      <c r="BC2312" s="48"/>
      <c r="BD2312" s="48"/>
    </row>
    <row r="2313" spans="1:56">
      <c r="A2313" s="48"/>
      <c r="B2313" s="48"/>
      <c r="C2313" s="49"/>
      <c r="D2313" s="48"/>
      <c r="E2313" s="48"/>
      <c r="F2313" s="48"/>
      <c r="G2313" s="48"/>
      <c r="H2313" s="48"/>
      <c r="I2313" s="48"/>
      <c r="J2313" s="86"/>
      <c r="K2313" s="86"/>
      <c r="L2313" s="86"/>
      <c r="M2313" s="86"/>
      <c r="N2313" s="86"/>
      <c r="O2313" s="86"/>
      <c r="P2313" s="86"/>
      <c r="Q2313" s="86"/>
      <c r="R2313" s="86"/>
      <c r="S2313" s="86"/>
      <c r="T2313" s="86"/>
      <c r="U2313" s="86"/>
      <c r="V2313" s="48"/>
      <c r="W2313" s="48"/>
      <c r="X2313" s="48"/>
      <c r="Y2313" s="48"/>
      <c r="Z2313" s="48"/>
      <c r="AA2313" s="48"/>
      <c r="AB2313" s="48"/>
      <c r="AC2313" s="48"/>
      <c r="AD2313" s="48"/>
      <c r="AE2313" s="48"/>
      <c r="AF2313" s="48"/>
      <c r="AG2313" s="48"/>
      <c r="AH2313" s="48"/>
      <c r="AI2313" s="48"/>
      <c r="AJ2313" s="48"/>
      <c r="AK2313" s="48"/>
      <c r="AL2313" s="48"/>
      <c r="AM2313" s="48"/>
      <c r="AN2313" s="48"/>
      <c r="AO2313" s="48"/>
      <c r="AP2313" s="48"/>
      <c r="AQ2313" s="48"/>
      <c r="AR2313" s="48"/>
      <c r="AS2313" s="48"/>
      <c r="AT2313" s="48"/>
      <c r="AU2313" s="48"/>
      <c r="AV2313" s="48"/>
      <c r="AW2313" s="48"/>
      <c r="AX2313" s="48"/>
      <c r="AY2313" s="48"/>
      <c r="AZ2313" s="48"/>
      <c r="BA2313" s="48"/>
      <c r="BB2313" s="48"/>
      <c r="BC2313" s="48"/>
      <c r="BD2313" s="48"/>
    </row>
    <row r="2314" spans="1:56">
      <c r="A2314" s="48"/>
      <c r="B2314" s="48"/>
      <c r="C2314" s="49"/>
      <c r="D2314" s="48"/>
      <c r="E2314" s="48"/>
      <c r="F2314" s="48"/>
      <c r="G2314" s="48"/>
      <c r="H2314" s="48"/>
      <c r="I2314" s="48"/>
      <c r="J2314" s="86"/>
      <c r="K2314" s="86"/>
      <c r="L2314" s="86"/>
      <c r="M2314" s="86"/>
      <c r="N2314" s="86"/>
      <c r="O2314" s="86"/>
      <c r="P2314" s="86"/>
      <c r="Q2314" s="86"/>
      <c r="R2314" s="86"/>
      <c r="S2314" s="86"/>
      <c r="T2314" s="86"/>
      <c r="U2314" s="86"/>
      <c r="V2314" s="48"/>
      <c r="W2314" s="48"/>
      <c r="X2314" s="48"/>
      <c r="Y2314" s="48"/>
      <c r="Z2314" s="48"/>
      <c r="AA2314" s="48"/>
      <c r="AB2314" s="48"/>
      <c r="AC2314" s="48"/>
      <c r="AD2314" s="48"/>
      <c r="AE2314" s="48"/>
      <c r="AF2314" s="48"/>
      <c r="AG2314" s="48"/>
      <c r="AH2314" s="48"/>
      <c r="AI2314" s="48"/>
      <c r="AJ2314" s="48"/>
      <c r="AK2314" s="48"/>
      <c r="AL2314" s="48"/>
      <c r="AM2314" s="48"/>
      <c r="AN2314" s="48"/>
      <c r="AO2314" s="48"/>
      <c r="AP2314" s="48"/>
      <c r="AQ2314" s="48"/>
      <c r="AR2314" s="48"/>
      <c r="AS2314" s="48"/>
      <c r="AT2314" s="48"/>
      <c r="AU2314" s="48"/>
      <c r="AV2314" s="48"/>
      <c r="AW2314" s="48"/>
      <c r="AX2314" s="48"/>
      <c r="AY2314" s="48"/>
      <c r="AZ2314" s="48"/>
      <c r="BA2314" s="48"/>
      <c r="BB2314" s="48"/>
      <c r="BC2314" s="48"/>
      <c r="BD2314" s="48"/>
    </row>
    <row r="2315" spans="1:56">
      <c r="A2315" s="48"/>
      <c r="B2315" s="48"/>
      <c r="C2315" s="49"/>
      <c r="D2315" s="48"/>
      <c r="E2315" s="48"/>
      <c r="F2315" s="48"/>
      <c r="G2315" s="48"/>
      <c r="H2315" s="48"/>
      <c r="I2315" s="48"/>
      <c r="J2315" s="86"/>
      <c r="K2315" s="86"/>
      <c r="L2315" s="86"/>
      <c r="M2315" s="86"/>
      <c r="N2315" s="86"/>
      <c r="O2315" s="86"/>
      <c r="P2315" s="86"/>
      <c r="Q2315" s="86"/>
      <c r="R2315" s="86"/>
      <c r="S2315" s="86"/>
      <c r="T2315" s="86"/>
      <c r="U2315" s="86"/>
      <c r="V2315" s="48"/>
      <c r="W2315" s="48"/>
      <c r="X2315" s="48"/>
      <c r="Y2315" s="48"/>
      <c r="Z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AL2315" s="48"/>
      <c r="AM2315" s="48"/>
      <c r="AN2315" s="48"/>
      <c r="AO2315" s="48"/>
      <c r="AP2315" s="48"/>
      <c r="AQ2315" s="48"/>
      <c r="AR2315" s="48"/>
      <c r="AS2315" s="48"/>
      <c r="AT2315" s="48"/>
      <c r="AU2315" s="48"/>
      <c r="AV2315" s="48"/>
      <c r="AW2315" s="48"/>
      <c r="AX2315" s="48"/>
      <c r="AY2315" s="48"/>
      <c r="AZ2315" s="48"/>
      <c r="BA2315" s="48"/>
      <c r="BB2315" s="48"/>
      <c r="BC2315" s="48"/>
      <c r="BD2315" s="48"/>
    </row>
    <row r="2316" spans="1:56">
      <c r="A2316" s="48"/>
      <c r="B2316" s="48"/>
      <c r="C2316" s="49"/>
      <c r="D2316" s="48"/>
      <c r="E2316" s="48"/>
      <c r="F2316" s="48"/>
      <c r="G2316" s="48"/>
      <c r="H2316" s="48"/>
      <c r="I2316" s="48"/>
      <c r="J2316" s="86"/>
      <c r="K2316" s="86"/>
      <c r="L2316" s="86"/>
      <c r="M2316" s="86"/>
      <c r="N2316" s="86"/>
      <c r="O2316" s="86"/>
      <c r="P2316" s="86"/>
      <c r="Q2316" s="86"/>
      <c r="R2316" s="86"/>
      <c r="S2316" s="86"/>
      <c r="T2316" s="86"/>
      <c r="U2316" s="86"/>
      <c r="V2316" s="48"/>
      <c r="W2316" s="48"/>
      <c r="X2316" s="48"/>
      <c r="Y2316" s="48"/>
      <c r="Z2316" s="48"/>
      <c r="AA2316" s="48"/>
      <c r="AB2316" s="48"/>
      <c r="AC2316" s="48"/>
      <c r="AD2316" s="48"/>
      <c r="AE2316" s="48"/>
      <c r="AF2316" s="48"/>
      <c r="AG2316" s="48"/>
      <c r="AH2316" s="48"/>
      <c r="AI2316" s="48"/>
      <c r="AJ2316" s="48"/>
      <c r="AK2316" s="48"/>
      <c r="AL2316" s="48"/>
      <c r="AM2316" s="48"/>
      <c r="AN2316" s="48"/>
      <c r="AO2316" s="48"/>
      <c r="AP2316" s="48"/>
      <c r="AQ2316" s="48"/>
      <c r="AR2316" s="48"/>
      <c r="AS2316" s="48"/>
      <c r="AT2316" s="48"/>
      <c r="AU2316" s="48"/>
      <c r="AV2316" s="48"/>
      <c r="AW2316" s="48"/>
      <c r="AX2316" s="48"/>
      <c r="AY2316" s="48"/>
      <c r="AZ2316" s="48"/>
      <c r="BA2316" s="48"/>
      <c r="BB2316" s="48"/>
      <c r="BC2316" s="48"/>
      <c r="BD2316" s="48"/>
    </row>
    <row r="2317" spans="1:56">
      <c r="A2317" s="48"/>
      <c r="B2317" s="48"/>
      <c r="C2317" s="49"/>
      <c r="D2317" s="48"/>
      <c r="E2317" s="48"/>
      <c r="F2317" s="48"/>
      <c r="G2317" s="48"/>
      <c r="H2317" s="48"/>
      <c r="I2317" s="48"/>
      <c r="J2317" s="86"/>
      <c r="K2317" s="86"/>
      <c r="L2317" s="86"/>
      <c r="M2317" s="86"/>
      <c r="N2317" s="86"/>
      <c r="O2317" s="86"/>
      <c r="P2317" s="86"/>
      <c r="Q2317" s="86"/>
      <c r="R2317" s="86"/>
      <c r="S2317" s="86"/>
      <c r="T2317" s="86"/>
      <c r="U2317" s="86"/>
      <c r="V2317" s="48"/>
      <c r="W2317" s="48"/>
      <c r="X2317" s="48"/>
      <c r="Y2317" s="48"/>
      <c r="Z2317" s="48"/>
      <c r="AA2317" s="48"/>
      <c r="AB2317" s="48"/>
      <c r="AC2317" s="48"/>
      <c r="AD2317" s="48"/>
      <c r="AE2317" s="48"/>
      <c r="AF2317" s="48"/>
      <c r="AG2317" s="48"/>
      <c r="AH2317" s="48"/>
      <c r="AI2317" s="48"/>
      <c r="AJ2317" s="48"/>
      <c r="AK2317" s="48"/>
      <c r="AL2317" s="48"/>
      <c r="AM2317" s="48"/>
      <c r="AN2317" s="48"/>
      <c r="AO2317" s="48"/>
      <c r="AP2317" s="48"/>
      <c r="AQ2317" s="48"/>
      <c r="AR2317" s="48"/>
      <c r="AS2317" s="48"/>
      <c r="AT2317" s="48"/>
      <c r="AU2317" s="48"/>
      <c r="AV2317" s="48"/>
      <c r="AW2317" s="48"/>
      <c r="AX2317" s="48"/>
      <c r="AY2317" s="48"/>
      <c r="AZ2317" s="48"/>
      <c r="BA2317" s="48"/>
      <c r="BB2317" s="48"/>
      <c r="BC2317" s="48"/>
      <c r="BD2317" s="48"/>
    </row>
    <row r="2318" spans="1:56">
      <c r="A2318" s="48"/>
      <c r="B2318" s="48"/>
      <c r="C2318" s="49"/>
      <c r="D2318" s="48"/>
      <c r="E2318" s="48"/>
      <c r="F2318" s="48"/>
      <c r="G2318" s="48"/>
      <c r="H2318" s="48"/>
      <c r="I2318" s="48"/>
      <c r="J2318" s="86"/>
      <c r="K2318" s="86"/>
      <c r="L2318" s="86"/>
      <c r="M2318" s="86"/>
      <c r="N2318" s="86"/>
      <c r="O2318" s="86"/>
      <c r="P2318" s="86"/>
      <c r="Q2318" s="86"/>
      <c r="R2318" s="86"/>
      <c r="S2318" s="86"/>
      <c r="T2318" s="86"/>
      <c r="U2318" s="86"/>
      <c r="V2318" s="48"/>
      <c r="W2318" s="48"/>
      <c r="X2318" s="48"/>
      <c r="Y2318" s="48"/>
      <c r="Z2318" s="48"/>
      <c r="AA2318" s="48"/>
      <c r="AB2318" s="48"/>
      <c r="AC2318" s="48"/>
      <c r="AD2318" s="48"/>
      <c r="AE2318" s="48"/>
      <c r="AF2318" s="48"/>
      <c r="AG2318" s="48"/>
      <c r="AH2318" s="48"/>
      <c r="AI2318" s="48"/>
      <c r="AJ2318" s="48"/>
      <c r="AK2318" s="48"/>
      <c r="AL2318" s="48"/>
      <c r="AM2318" s="48"/>
      <c r="AN2318" s="48"/>
      <c r="AO2318" s="48"/>
      <c r="AP2318" s="48"/>
      <c r="AQ2318" s="48"/>
      <c r="AR2318" s="48"/>
      <c r="AS2318" s="48"/>
      <c r="AT2318" s="48"/>
      <c r="AU2318" s="48"/>
      <c r="AV2318" s="48"/>
      <c r="AW2318" s="48"/>
      <c r="AX2318" s="48"/>
      <c r="AY2318" s="48"/>
      <c r="AZ2318" s="48"/>
      <c r="BA2318" s="48"/>
      <c r="BB2318" s="48"/>
      <c r="BC2318" s="48"/>
      <c r="BD2318" s="48"/>
    </row>
    <row r="2319" spans="1:56">
      <c r="A2319" s="48"/>
      <c r="B2319" s="48"/>
      <c r="C2319" s="49"/>
      <c r="D2319" s="48"/>
      <c r="E2319" s="48"/>
      <c r="F2319" s="48"/>
      <c r="G2319" s="48"/>
      <c r="H2319" s="48"/>
      <c r="I2319" s="48"/>
      <c r="J2319" s="86"/>
      <c r="K2319" s="86"/>
      <c r="L2319" s="86"/>
      <c r="M2319" s="86"/>
      <c r="N2319" s="86"/>
      <c r="O2319" s="86"/>
      <c r="P2319" s="86"/>
      <c r="Q2319" s="86"/>
      <c r="R2319" s="86"/>
      <c r="S2319" s="86"/>
      <c r="T2319" s="86"/>
      <c r="U2319" s="86"/>
      <c r="V2319" s="48"/>
      <c r="W2319" s="48"/>
      <c r="X2319" s="48"/>
      <c r="Y2319" s="48"/>
      <c r="Z2319" s="48"/>
      <c r="AA2319" s="48"/>
      <c r="AB2319" s="48"/>
      <c r="AC2319" s="48"/>
      <c r="AD2319" s="48"/>
      <c r="AE2319" s="48"/>
      <c r="AF2319" s="48"/>
      <c r="AG2319" s="48"/>
      <c r="AH2319" s="48"/>
      <c r="AI2319" s="48"/>
      <c r="AJ2319" s="48"/>
      <c r="AK2319" s="48"/>
      <c r="AL2319" s="48"/>
      <c r="AM2319" s="48"/>
      <c r="AN2319" s="48"/>
      <c r="AO2319" s="48"/>
      <c r="AP2319" s="48"/>
      <c r="AQ2319" s="48"/>
      <c r="AR2319" s="48"/>
      <c r="AS2319" s="48"/>
      <c r="AT2319" s="48"/>
      <c r="AU2319" s="48"/>
      <c r="AV2319" s="48"/>
      <c r="AW2319" s="48"/>
      <c r="AX2319" s="48"/>
      <c r="AY2319" s="48"/>
      <c r="AZ2319" s="48"/>
      <c r="BA2319" s="48"/>
      <c r="BB2319" s="48"/>
      <c r="BC2319" s="48"/>
      <c r="BD2319" s="48"/>
    </row>
    <row r="2320" spans="1:56">
      <c r="A2320" s="48"/>
      <c r="B2320" s="48"/>
      <c r="C2320" s="49"/>
      <c r="D2320" s="48"/>
      <c r="E2320" s="48"/>
      <c r="F2320" s="48"/>
      <c r="G2320" s="48"/>
      <c r="H2320" s="48"/>
      <c r="I2320" s="48"/>
      <c r="J2320" s="86"/>
      <c r="K2320" s="86"/>
      <c r="L2320" s="86"/>
      <c r="M2320" s="86"/>
      <c r="N2320" s="86"/>
      <c r="O2320" s="86"/>
      <c r="P2320" s="86"/>
      <c r="Q2320" s="86"/>
      <c r="R2320" s="86"/>
      <c r="S2320" s="86"/>
      <c r="T2320" s="86"/>
      <c r="U2320" s="86"/>
      <c r="V2320" s="48"/>
      <c r="W2320" s="48"/>
      <c r="X2320" s="48"/>
      <c r="Y2320" s="48"/>
      <c r="Z2320" s="48"/>
      <c r="AA2320" s="48"/>
      <c r="AB2320" s="48"/>
      <c r="AC2320" s="48"/>
      <c r="AD2320" s="48"/>
      <c r="AE2320" s="48"/>
      <c r="AF2320" s="48"/>
      <c r="AG2320" s="48"/>
      <c r="AH2320" s="48"/>
      <c r="AI2320" s="48"/>
      <c r="AJ2320" s="48"/>
      <c r="AK2320" s="48"/>
      <c r="AL2320" s="48"/>
      <c r="AM2320" s="48"/>
      <c r="AN2320" s="48"/>
      <c r="AO2320" s="48"/>
      <c r="AP2320" s="48"/>
      <c r="AQ2320" s="48"/>
      <c r="AR2320" s="48"/>
      <c r="AS2320" s="48"/>
      <c r="AT2320" s="48"/>
      <c r="AU2320" s="48"/>
      <c r="AV2320" s="48"/>
      <c r="AW2320" s="48"/>
      <c r="AX2320" s="48"/>
      <c r="AY2320" s="48"/>
      <c r="AZ2320" s="48"/>
      <c r="BA2320" s="48"/>
      <c r="BB2320" s="48"/>
      <c r="BC2320" s="48"/>
      <c r="BD2320" s="48"/>
    </row>
    <row r="2321" spans="1:56">
      <c r="A2321" s="48"/>
      <c r="B2321" s="48"/>
      <c r="C2321" s="49"/>
      <c r="D2321" s="48"/>
      <c r="E2321" s="48"/>
      <c r="F2321" s="48"/>
      <c r="G2321" s="48"/>
      <c r="H2321" s="48"/>
      <c r="I2321" s="48"/>
      <c r="J2321" s="86"/>
      <c r="K2321" s="86"/>
      <c r="L2321" s="86"/>
      <c r="M2321" s="86"/>
      <c r="N2321" s="86"/>
      <c r="O2321" s="86"/>
      <c r="P2321" s="86"/>
      <c r="Q2321" s="86"/>
      <c r="R2321" s="86"/>
      <c r="S2321" s="86"/>
      <c r="T2321" s="86"/>
      <c r="U2321" s="86"/>
      <c r="V2321" s="48"/>
      <c r="W2321" s="48"/>
      <c r="X2321" s="48"/>
      <c r="Y2321" s="48"/>
      <c r="Z2321" s="48"/>
      <c r="AA2321" s="48"/>
      <c r="AB2321" s="48"/>
      <c r="AC2321" s="48"/>
      <c r="AD2321" s="48"/>
      <c r="AE2321" s="48"/>
      <c r="AF2321" s="48"/>
      <c r="AG2321" s="48"/>
      <c r="AH2321" s="48"/>
      <c r="AI2321" s="48"/>
      <c r="AJ2321" s="48"/>
      <c r="AK2321" s="48"/>
      <c r="AL2321" s="48"/>
      <c r="AM2321" s="48"/>
      <c r="AN2321" s="48"/>
      <c r="AO2321" s="48"/>
      <c r="AP2321" s="48"/>
      <c r="AQ2321" s="48"/>
      <c r="AR2321" s="48"/>
      <c r="AS2321" s="48"/>
      <c r="AT2321" s="48"/>
      <c r="AU2321" s="48"/>
      <c r="AV2321" s="48"/>
      <c r="AW2321" s="48"/>
      <c r="AX2321" s="48"/>
      <c r="AY2321" s="48"/>
      <c r="AZ2321" s="48"/>
      <c r="BA2321" s="48"/>
      <c r="BB2321" s="48"/>
      <c r="BC2321" s="48"/>
      <c r="BD2321" s="48"/>
    </row>
    <row r="2322" spans="1:56">
      <c r="A2322" s="48"/>
      <c r="B2322" s="48"/>
      <c r="C2322" s="49"/>
      <c r="D2322" s="48"/>
      <c r="E2322" s="48"/>
      <c r="F2322" s="48"/>
      <c r="G2322" s="48"/>
      <c r="H2322" s="48"/>
      <c r="I2322" s="48"/>
      <c r="J2322" s="86"/>
      <c r="K2322" s="86"/>
      <c r="L2322" s="86"/>
      <c r="M2322" s="86"/>
      <c r="N2322" s="86"/>
      <c r="O2322" s="86"/>
      <c r="P2322" s="86"/>
      <c r="Q2322" s="86"/>
      <c r="R2322" s="86"/>
      <c r="S2322" s="86"/>
      <c r="T2322" s="86"/>
      <c r="U2322" s="86"/>
      <c r="V2322" s="48"/>
      <c r="W2322" s="48"/>
      <c r="X2322" s="48"/>
      <c r="Y2322" s="48"/>
      <c r="Z2322" s="48"/>
      <c r="AA2322" s="48"/>
      <c r="AB2322" s="48"/>
      <c r="AC2322" s="48"/>
      <c r="AD2322" s="48"/>
      <c r="AE2322" s="48"/>
      <c r="AF2322" s="48"/>
      <c r="AG2322" s="48"/>
      <c r="AH2322" s="48"/>
      <c r="AI2322" s="48"/>
      <c r="AJ2322" s="48"/>
      <c r="AK2322" s="48"/>
      <c r="AL2322" s="48"/>
      <c r="AM2322" s="48"/>
      <c r="AN2322" s="48"/>
      <c r="AO2322" s="48"/>
      <c r="AP2322" s="48"/>
      <c r="AQ2322" s="48"/>
      <c r="AR2322" s="48"/>
      <c r="AS2322" s="48"/>
      <c r="AT2322" s="48"/>
      <c r="AU2322" s="48"/>
      <c r="AV2322" s="48"/>
      <c r="AW2322" s="48"/>
      <c r="AX2322" s="48"/>
      <c r="AY2322" s="48"/>
      <c r="AZ2322" s="48"/>
      <c r="BA2322" s="48"/>
      <c r="BB2322" s="48"/>
      <c r="BC2322" s="48"/>
      <c r="BD2322" s="48"/>
    </row>
    <row r="2323" spans="1:56">
      <c r="A2323" s="48"/>
      <c r="B2323" s="48"/>
      <c r="C2323" s="49"/>
      <c r="D2323" s="48"/>
      <c r="E2323" s="48"/>
      <c r="F2323" s="48"/>
      <c r="G2323" s="48"/>
      <c r="H2323" s="48"/>
      <c r="I2323" s="48"/>
      <c r="J2323" s="86"/>
      <c r="K2323" s="86"/>
      <c r="L2323" s="86"/>
      <c r="M2323" s="86"/>
      <c r="N2323" s="86"/>
      <c r="O2323" s="86"/>
      <c r="P2323" s="86"/>
      <c r="Q2323" s="86"/>
      <c r="R2323" s="86"/>
      <c r="S2323" s="86"/>
      <c r="T2323" s="86"/>
      <c r="U2323" s="86"/>
      <c r="V2323" s="48"/>
      <c r="W2323" s="48"/>
      <c r="X2323" s="48"/>
      <c r="Y2323" s="48"/>
      <c r="Z2323" s="48"/>
      <c r="AA2323" s="48"/>
      <c r="AB2323" s="48"/>
      <c r="AC2323" s="48"/>
      <c r="AD2323" s="48"/>
      <c r="AE2323" s="48"/>
      <c r="AF2323" s="48"/>
      <c r="AG2323" s="48"/>
      <c r="AH2323" s="48"/>
      <c r="AI2323" s="48"/>
      <c r="AJ2323" s="48"/>
      <c r="AK2323" s="48"/>
      <c r="AL2323" s="48"/>
      <c r="AM2323" s="48"/>
      <c r="AN2323" s="48"/>
      <c r="AO2323" s="48"/>
      <c r="AP2323" s="48"/>
      <c r="AQ2323" s="48"/>
      <c r="AR2323" s="48"/>
      <c r="AS2323" s="48"/>
      <c r="AT2323" s="48"/>
      <c r="AU2323" s="48"/>
      <c r="AV2323" s="48"/>
      <c r="AW2323" s="48"/>
      <c r="AX2323" s="48"/>
      <c r="AY2323" s="48"/>
      <c r="AZ2323" s="48"/>
      <c r="BA2323" s="48"/>
      <c r="BB2323" s="48"/>
      <c r="BC2323" s="48"/>
      <c r="BD2323" s="48"/>
    </row>
    <row r="2324" spans="1:56">
      <c r="A2324" s="48"/>
      <c r="B2324" s="48"/>
      <c r="C2324" s="49"/>
      <c r="D2324" s="48"/>
      <c r="E2324" s="48"/>
      <c r="F2324" s="48"/>
      <c r="G2324" s="48"/>
      <c r="H2324" s="48"/>
      <c r="I2324" s="48"/>
      <c r="J2324" s="86"/>
      <c r="K2324" s="86"/>
      <c r="L2324" s="86"/>
      <c r="M2324" s="86"/>
      <c r="N2324" s="86"/>
      <c r="O2324" s="86"/>
      <c r="P2324" s="86"/>
      <c r="Q2324" s="86"/>
      <c r="R2324" s="86"/>
      <c r="S2324" s="86"/>
      <c r="T2324" s="86"/>
      <c r="U2324" s="86"/>
      <c r="V2324" s="48"/>
      <c r="W2324" s="48"/>
      <c r="X2324" s="48"/>
      <c r="Y2324" s="48"/>
      <c r="Z2324" s="48"/>
      <c r="AA2324" s="48"/>
      <c r="AB2324" s="48"/>
      <c r="AC2324" s="48"/>
      <c r="AD2324" s="48"/>
      <c r="AE2324" s="48"/>
      <c r="AF2324" s="48"/>
      <c r="AG2324" s="48"/>
      <c r="AH2324" s="48"/>
      <c r="AI2324" s="48"/>
      <c r="AJ2324" s="48"/>
      <c r="AK2324" s="48"/>
      <c r="AL2324" s="48"/>
      <c r="AM2324" s="48"/>
      <c r="AN2324" s="48"/>
      <c r="AO2324" s="48"/>
      <c r="AP2324" s="48"/>
      <c r="AQ2324" s="48"/>
      <c r="AR2324" s="48"/>
      <c r="AS2324" s="48"/>
      <c r="AT2324" s="48"/>
      <c r="AU2324" s="48"/>
      <c r="AV2324" s="48"/>
      <c r="AW2324" s="48"/>
      <c r="AX2324" s="48"/>
      <c r="AY2324" s="48"/>
      <c r="AZ2324" s="48"/>
      <c r="BA2324" s="48"/>
      <c r="BB2324" s="48"/>
      <c r="BC2324" s="48"/>
      <c r="BD2324" s="48"/>
    </row>
    <row r="2325" spans="1:56">
      <c r="A2325" s="48"/>
      <c r="B2325" s="48"/>
      <c r="C2325" s="49"/>
      <c r="D2325" s="48"/>
      <c r="E2325" s="48"/>
      <c r="F2325" s="48"/>
      <c r="G2325" s="48"/>
      <c r="H2325" s="48"/>
      <c r="I2325" s="48"/>
      <c r="J2325" s="86"/>
      <c r="K2325" s="86"/>
      <c r="L2325" s="86"/>
      <c r="M2325" s="86"/>
      <c r="N2325" s="86"/>
      <c r="O2325" s="86"/>
      <c r="P2325" s="86"/>
      <c r="Q2325" s="86"/>
      <c r="R2325" s="86"/>
      <c r="S2325" s="86"/>
      <c r="T2325" s="86"/>
      <c r="U2325" s="86"/>
      <c r="V2325" s="48"/>
      <c r="W2325" s="48"/>
      <c r="X2325" s="48"/>
      <c r="Y2325" s="48"/>
      <c r="Z2325" s="48"/>
      <c r="AA2325" s="48"/>
      <c r="AB2325" s="48"/>
      <c r="AC2325" s="48"/>
      <c r="AD2325" s="48"/>
      <c r="AE2325" s="48"/>
      <c r="AF2325" s="48"/>
      <c r="AG2325" s="48"/>
      <c r="AH2325" s="48"/>
      <c r="AI2325" s="48"/>
      <c r="AJ2325" s="48"/>
      <c r="AK2325" s="48"/>
      <c r="AL2325" s="48"/>
      <c r="AM2325" s="48"/>
      <c r="AN2325" s="48"/>
      <c r="AO2325" s="48"/>
      <c r="AP2325" s="48"/>
      <c r="AQ2325" s="48"/>
      <c r="AR2325" s="48"/>
      <c r="AS2325" s="48"/>
      <c r="AT2325" s="48"/>
      <c r="AU2325" s="48"/>
      <c r="AV2325" s="48"/>
      <c r="AW2325" s="48"/>
      <c r="AX2325" s="48"/>
      <c r="AY2325" s="48"/>
      <c r="AZ2325" s="48"/>
      <c r="BA2325" s="48"/>
      <c r="BB2325" s="48"/>
      <c r="BC2325" s="48"/>
      <c r="BD2325" s="48"/>
    </row>
    <row r="2326" spans="1:56">
      <c r="A2326" s="48"/>
      <c r="B2326" s="48"/>
      <c r="C2326" s="49"/>
      <c r="D2326" s="48"/>
      <c r="E2326" s="48"/>
      <c r="F2326" s="48"/>
      <c r="G2326" s="48"/>
      <c r="H2326" s="48"/>
      <c r="I2326" s="48"/>
      <c r="J2326" s="86"/>
      <c r="K2326" s="86"/>
      <c r="L2326" s="86"/>
      <c r="M2326" s="86"/>
      <c r="N2326" s="86"/>
      <c r="O2326" s="86"/>
      <c r="P2326" s="86"/>
      <c r="Q2326" s="86"/>
      <c r="R2326" s="86"/>
      <c r="S2326" s="86"/>
      <c r="T2326" s="86"/>
      <c r="U2326" s="86"/>
      <c r="V2326" s="48"/>
      <c r="W2326" s="48"/>
      <c r="X2326" s="48"/>
      <c r="Y2326" s="48"/>
      <c r="Z2326" s="48"/>
      <c r="AA2326" s="48"/>
      <c r="AB2326" s="48"/>
      <c r="AC2326" s="48"/>
      <c r="AD2326" s="48"/>
      <c r="AE2326" s="48"/>
      <c r="AF2326" s="48"/>
      <c r="AG2326" s="48"/>
      <c r="AH2326" s="48"/>
      <c r="AI2326" s="48"/>
      <c r="AJ2326" s="48"/>
      <c r="AK2326" s="48"/>
      <c r="AL2326" s="48"/>
      <c r="AM2326" s="48"/>
      <c r="AN2326" s="48"/>
      <c r="AO2326" s="48"/>
      <c r="AP2326" s="48"/>
      <c r="AQ2326" s="48"/>
      <c r="AR2326" s="48"/>
      <c r="AS2326" s="48"/>
      <c r="AT2326" s="48"/>
      <c r="AU2326" s="48"/>
      <c r="AV2326" s="48"/>
      <c r="AW2326" s="48"/>
      <c r="AX2326" s="48"/>
      <c r="AY2326" s="48"/>
      <c r="AZ2326" s="48"/>
      <c r="BA2326" s="48"/>
      <c r="BB2326" s="48"/>
      <c r="BC2326" s="48"/>
      <c r="BD2326" s="48"/>
    </row>
    <row r="2327" spans="1:56">
      <c r="A2327" s="48"/>
      <c r="B2327" s="48"/>
      <c r="C2327" s="49"/>
      <c r="D2327" s="48"/>
      <c r="E2327" s="48"/>
      <c r="F2327" s="48"/>
      <c r="G2327" s="48"/>
      <c r="H2327" s="48"/>
      <c r="I2327" s="48"/>
      <c r="J2327" s="86"/>
      <c r="K2327" s="86"/>
      <c r="L2327" s="86"/>
      <c r="M2327" s="86"/>
      <c r="N2327" s="86"/>
      <c r="O2327" s="86"/>
      <c r="P2327" s="86"/>
      <c r="Q2327" s="86"/>
      <c r="R2327" s="86"/>
      <c r="S2327" s="86"/>
      <c r="T2327" s="86"/>
      <c r="U2327" s="86"/>
      <c r="V2327" s="48"/>
      <c r="W2327" s="48"/>
      <c r="X2327" s="48"/>
      <c r="Y2327" s="48"/>
      <c r="Z2327" s="48"/>
      <c r="AA2327" s="48"/>
      <c r="AB2327" s="48"/>
      <c r="AC2327" s="48"/>
      <c r="AD2327" s="48"/>
      <c r="AE2327" s="48"/>
      <c r="AF2327" s="48"/>
      <c r="AG2327" s="48"/>
      <c r="AH2327" s="48"/>
      <c r="AI2327" s="48"/>
      <c r="AJ2327" s="48"/>
      <c r="AK2327" s="48"/>
      <c r="AL2327" s="48"/>
      <c r="AM2327" s="48"/>
      <c r="AN2327" s="48"/>
      <c r="AO2327" s="48"/>
      <c r="AP2327" s="48"/>
      <c r="AQ2327" s="48"/>
      <c r="AR2327" s="48"/>
      <c r="AS2327" s="48"/>
      <c r="AT2327" s="48"/>
      <c r="AU2327" s="48"/>
      <c r="AV2327" s="48"/>
      <c r="AW2327" s="48"/>
      <c r="AX2327" s="48"/>
      <c r="AY2327" s="48"/>
      <c r="AZ2327" s="48"/>
      <c r="BA2327" s="48"/>
      <c r="BB2327" s="48"/>
      <c r="BC2327" s="48"/>
      <c r="BD2327" s="48"/>
    </row>
    <row r="2328" spans="1:56">
      <c r="A2328" s="48"/>
      <c r="B2328" s="48"/>
      <c r="C2328" s="49"/>
      <c r="D2328" s="48"/>
      <c r="E2328" s="48"/>
      <c r="F2328" s="48"/>
      <c r="G2328" s="48"/>
      <c r="H2328" s="48"/>
      <c r="I2328" s="48"/>
      <c r="J2328" s="86"/>
      <c r="K2328" s="86"/>
      <c r="L2328" s="86"/>
      <c r="M2328" s="86"/>
      <c r="N2328" s="86"/>
      <c r="O2328" s="86"/>
      <c r="P2328" s="86"/>
      <c r="Q2328" s="86"/>
      <c r="R2328" s="86"/>
      <c r="S2328" s="86"/>
      <c r="T2328" s="86"/>
      <c r="U2328" s="86"/>
      <c r="V2328" s="48"/>
      <c r="W2328" s="48"/>
      <c r="X2328" s="48"/>
      <c r="Y2328" s="48"/>
      <c r="Z2328" s="48"/>
      <c r="AA2328" s="48"/>
      <c r="AB2328" s="48"/>
      <c r="AC2328" s="48"/>
      <c r="AD2328" s="48"/>
      <c r="AE2328" s="48"/>
      <c r="AF2328" s="48"/>
      <c r="AG2328" s="48"/>
      <c r="AH2328" s="48"/>
      <c r="AI2328" s="48"/>
      <c r="AJ2328" s="48"/>
      <c r="AK2328" s="48"/>
      <c r="AL2328" s="48"/>
      <c r="AM2328" s="48"/>
      <c r="AN2328" s="48"/>
      <c r="AO2328" s="48"/>
      <c r="AP2328" s="48"/>
      <c r="AQ2328" s="48"/>
      <c r="AR2328" s="48"/>
      <c r="AS2328" s="48"/>
      <c r="AT2328" s="48"/>
      <c r="AU2328" s="48"/>
      <c r="AV2328" s="48"/>
      <c r="AW2328" s="48"/>
      <c r="AX2328" s="48"/>
      <c r="AY2328" s="48"/>
      <c r="AZ2328" s="48"/>
      <c r="BA2328" s="48"/>
      <c r="BB2328" s="48"/>
      <c r="BC2328" s="48"/>
      <c r="BD2328" s="48"/>
    </row>
    <row r="2329" spans="1:56">
      <c r="A2329" s="48"/>
      <c r="B2329" s="48"/>
      <c r="C2329" s="49"/>
      <c r="D2329" s="48"/>
      <c r="E2329" s="48"/>
      <c r="F2329" s="48"/>
      <c r="G2329" s="48"/>
      <c r="H2329" s="48"/>
      <c r="I2329" s="48"/>
      <c r="J2329" s="86"/>
      <c r="K2329" s="86"/>
      <c r="L2329" s="86"/>
      <c r="M2329" s="86"/>
      <c r="N2329" s="86"/>
      <c r="O2329" s="86"/>
      <c r="P2329" s="86"/>
      <c r="Q2329" s="86"/>
      <c r="R2329" s="86"/>
      <c r="S2329" s="86"/>
      <c r="T2329" s="86"/>
      <c r="U2329" s="86"/>
      <c r="V2329" s="48"/>
      <c r="W2329" s="48"/>
      <c r="X2329" s="48"/>
      <c r="Y2329" s="48"/>
      <c r="Z2329" s="48"/>
      <c r="AA2329" s="48"/>
      <c r="AB2329" s="48"/>
      <c r="AC2329" s="48"/>
      <c r="AD2329" s="48"/>
      <c r="AE2329" s="48"/>
      <c r="AF2329" s="48"/>
      <c r="AG2329" s="48"/>
      <c r="AH2329" s="48"/>
      <c r="AI2329" s="48"/>
      <c r="AJ2329" s="48"/>
      <c r="AK2329" s="48"/>
      <c r="AL2329" s="48"/>
      <c r="AM2329" s="48"/>
      <c r="AN2329" s="48"/>
      <c r="AO2329" s="48"/>
      <c r="AP2329" s="48"/>
      <c r="AQ2329" s="48"/>
      <c r="AR2329" s="48"/>
      <c r="AS2329" s="48"/>
      <c r="AT2329" s="48"/>
      <c r="AU2329" s="48"/>
      <c r="AV2329" s="48"/>
      <c r="AW2329" s="48"/>
      <c r="AX2329" s="48"/>
      <c r="AY2329" s="48"/>
      <c r="AZ2329" s="48"/>
      <c r="BA2329" s="48"/>
      <c r="BB2329" s="48"/>
      <c r="BC2329" s="48"/>
      <c r="BD2329" s="48"/>
    </row>
    <row r="2330" spans="1:56">
      <c r="A2330" s="48"/>
      <c r="B2330" s="48"/>
      <c r="C2330" s="49"/>
      <c r="D2330" s="48"/>
      <c r="E2330" s="48"/>
      <c r="F2330" s="48"/>
      <c r="G2330" s="48"/>
      <c r="H2330" s="48"/>
      <c r="I2330" s="48"/>
      <c r="J2330" s="86"/>
      <c r="K2330" s="86"/>
      <c r="L2330" s="86"/>
      <c r="M2330" s="86"/>
      <c r="N2330" s="86"/>
      <c r="O2330" s="86"/>
      <c r="P2330" s="86"/>
      <c r="Q2330" s="86"/>
      <c r="R2330" s="86"/>
      <c r="S2330" s="86"/>
      <c r="T2330" s="86"/>
      <c r="U2330" s="86"/>
      <c r="V2330" s="48"/>
      <c r="W2330" s="48"/>
      <c r="X2330" s="48"/>
      <c r="Y2330" s="48"/>
      <c r="Z2330" s="48"/>
      <c r="AA2330" s="48"/>
      <c r="AB2330" s="48"/>
      <c r="AC2330" s="48"/>
      <c r="AD2330" s="48"/>
      <c r="AE2330" s="48"/>
      <c r="AF2330" s="48"/>
      <c r="AG2330" s="48"/>
      <c r="AH2330" s="48"/>
      <c r="AI2330" s="48"/>
      <c r="AJ2330" s="48"/>
      <c r="AK2330" s="48"/>
      <c r="AL2330" s="48"/>
      <c r="AM2330" s="48"/>
      <c r="AN2330" s="48"/>
      <c r="AO2330" s="48"/>
      <c r="AP2330" s="48"/>
      <c r="AQ2330" s="48"/>
      <c r="AR2330" s="48"/>
      <c r="AS2330" s="48"/>
      <c r="AT2330" s="48"/>
      <c r="AU2330" s="48"/>
      <c r="AV2330" s="48"/>
      <c r="AW2330" s="48"/>
      <c r="AX2330" s="48"/>
      <c r="AY2330" s="48"/>
      <c r="AZ2330" s="48"/>
      <c r="BA2330" s="48"/>
      <c r="BB2330" s="48"/>
      <c r="BC2330" s="48"/>
      <c r="BD2330" s="48"/>
    </row>
    <row r="2331" spans="1:56">
      <c r="A2331" s="48"/>
      <c r="B2331" s="48"/>
      <c r="C2331" s="49"/>
      <c r="D2331" s="48"/>
      <c r="E2331" s="48"/>
      <c r="F2331" s="48"/>
      <c r="G2331" s="48"/>
      <c r="H2331" s="48"/>
      <c r="I2331" s="48"/>
      <c r="J2331" s="86"/>
      <c r="K2331" s="86"/>
      <c r="L2331" s="86"/>
      <c r="M2331" s="86"/>
      <c r="N2331" s="86"/>
      <c r="O2331" s="86"/>
      <c r="P2331" s="86"/>
      <c r="Q2331" s="86"/>
      <c r="R2331" s="86"/>
      <c r="S2331" s="86"/>
      <c r="T2331" s="86"/>
      <c r="U2331" s="86"/>
      <c r="V2331" s="48"/>
      <c r="W2331" s="48"/>
      <c r="X2331" s="48"/>
      <c r="Y2331" s="48"/>
      <c r="Z2331" s="48"/>
      <c r="AA2331" s="48"/>
      <c r="AB2331" s="48"/>
      <c r="AC2331" s="48"/>
      <c r="AD2331" s="48"/>
      <c r="AE2331" s="48"/>
      <c r="AF2331" s="48"/>
      <c r="AG2331" s="48"/>
      <c r="AH2331" s="48"/>
      <c r="AI2331" s="48"/>
      <c r="AJ2331" s="48"/>
      <c r="AK2331" s="48"/>
      <c r="AL2331" s="48"/>
      <c r="AM2331" s="48"/>
      <c r="AN2331" s="48"/>
      <c r="AO2331" s="48"/>
      <c r="AP2331" s="48"/>
      <c r="AQ2331" s="48"/>
      <c r="AR2331" s="48"/>
      <c r="AS2331" s="48"/>
      <c r="AT2331" s="48"/>
      <c r="AU2331" s="48"/>
      <c r="AV2331" s="48"/>
      <c r="AW2331" s="48"/>
      <c r="AX2331" s="48"/>
      <c r="AY2331" s="48"/>
      <c r="AZ2331" s="48"/>
      <c r="BA2331" s="48"/>
      <c r="BB2331" s="48"/>
      <c r="BC2331" s="48"/>
      <c r="BD2331" s="48"/>
    </row>
    <row r="2332" spans="1:56">
      <c r="A2332" s="48"/>
      <c r="B2332" s="48"/>
      <c r="C2332" s="49"/>
      <c r="D2332" s="48"/>
      <c r="E2332" s="48"/>
      <c r="F2332" s="48"/>
      <c r="G2332" s="48"/>
      <c r="H2332" s="48"/>
      <c r="I2332" s="48"/>
      <c r="J2332" s="86"/>
      <c r="K2332" s="86"/>
      <c r="L2332" s="86"/>
      <c r="M2332" s="86"/>
      <c r="N2332" s="86"/>
      <c r="O2332" s="86"/>
      <c r="P2332" s="86"/>
      <c r="Q2332" s="86"/>
      <c r="R2332" s="86"/>
      <c r="S2332" s="86"/>
      <c r="T2332" s="86"/>
      <c r="U2332" s="86"/>
      <c r="V2332" s="48"/>
      <c r="W2332" s="48"/>
      <c r="X2332" s="48"/>
      <c r="Y2332" s="48"/>
      <c r="Z2332" s="48"/>
      <c r="AA2332" s="48"/>
      <c r="AB2332" s="48"/>
      <c r="AC2332" s="48"/>
      <c r="AD2332" s="48"/>
      <c r="AE2332" s="48"/>
      <c r="AF2332" s="48"/>
      <c r="AG2332" s="48"/>
      <c r="AH2332" s="48"/>
      <c r="AI2332" s="48"/>
      <c r="AJ2332" s="48"/>
      <c r="AK2332" s="48"/>
      <c r="AL2332" s="48"/>
      <c r="AM2332" s="48"/>
      <c r="AN2332" s="48"/>
      <c r="AO2332" s="48"/>
      <c r="AP2332" s="48"/>
      <c r="AQ2332" s="48"/>
      <c r="AR2332" s="48"/>
      <c r="AS2332" s="48"/>
      <c r="AT2332" s="48"/>
      <c r="AU2332" s="48"/>
      <c r="AV2332" s="48"/>
      <c r="AW2332" s="48"/>
      <c r="AX2332" s="48"/>
      <c r="AY2332" s="48"/>
      <c r="AZ2332" s="48"/>
      <c r="BA2332" s="48"/>
      <c r="BB2332" s="48"/>
      <c r="BC2332" s="48"/>
      <c r="BD2332" s="48"/>
    </row>
    <row r="2333" spans="1:56">
      <c r="A2333" s="48"/>
      <c r="B2333" s="48"/>
      <c r="C2333" s="49"/>
      <c r="D2333" s="48"/>
      <c r="E2333" s="48"/>
      <c r="F2333" s="48"/>
      <c r="G2333" s="48"/>
      <c r="H2333" s="48"/>
      <c r="I2333" s="48"/>
      <c r="J2333" s="86"/>
      <c r="K2333" s="86"/>
      <c r="L2333" s="86"/>
      <c r="M2333" s="86"/>
      <c r="N2333" s="86"/>
      <c r="O2333" s="86"/>
      <c r="P2333" s="86"/>
      <c r="Q2333" s="86"/>
      <c r="R2333" s="86"/>
      <c r="S2333" s="86"/>
      <c r="T2333" s="86"/>
      <c r="U2333" s="86"/>
      <c r="V2333" s="48"/>
      <c r="W2333" s="48"/>
      <c r="X2333" s="48"/>
      <c r="Y2333" s="48"/>
      <c r="Z2333" s="48"/>
      <c r="AA2333" s="48"/>
      <c r="AB2333" s="48"/>
      <c r="AC2333" s="48"/>
      <c r="AD2333" s="48"/>
      <c r="AE2333" s="48"/>
      <c r="AF2333" s="48"/>
      <c r="AG2333" s="48"/>
      <c r="AH2333" s="48"/>
      <c r="AI2333" s="48"/>
      <c r="AJ2333" s="48"/>
      <c r="AK2333" s="48"/>
      <c r="AL2333" s="48"/>
      <c r="AM2333" s="48"/>
      <c r="AN2333" s="48"/>
      <c r="AO2333" s="48"/>
      <c r="AP2333" s="48"/>
      <c r="AQ2333" s="48"/>
      <c r="AR2333" s="48"/>
      <c r="AS2333" s="48"/>
      <c r="AT2333" s="48"/>
      <c r="AU2333" s="48"/>
      <c r="AV2333" s="48"/>
      <c r="AW2333" s="48"/>
      <c r="AX2333" s="48"/>
      <c r="AY2333" s="48"/>
      <c r="AZ2333" s="48"/>
      <c r="BA2333" s="48"/>
      <c r="BB2333" s="48"/>
      <c r="BC2333" s="48"/>
      <c r="BD2333" s="48"/>
    </row>
    <row r="2334" spans="1:56">
      <c r="A2334" s="48"/>
      <c r="B2334" s="48"/>
      <c r="C2334" s="49"/>
      <c r="D2334" s="48"/>
      <c r="E2334" s="48"/>
      <c r="F2334" s="48"/>
      <c r="G2334" s="48"/>
      <c r="H2334" s="48"/>
      <c r="I2334" s="48"/>
      <c r="J2334" s="86"/>
      <c r="K2334" s="86"/>
      <c r="L2334" s="86"/>
      <c r="M2334" s="86"/>
      <c r="N2334" s="86"/>
      <c r="O2334" s="86"/>
      <c r="P2334" s="86"/>
      <c r="Q2334" s="86"/>
      <c r="R2334" s="86"/>
      <c r="S2334" s="86"/>
      <c r="T2334" s="86"/>
      <c r="U2334" s="86"/>
      <c r="V2334" s="48"/>
      <c r="W2334" s="48"/>
      <c r="X2334" s="48"/>
      <c r="Y2334" s="48"/>
      <c r="Z2334" s="48"/>
      <c r="AA2334" s="48"/>
      <c r="AB2334" s="48"/>
      <c r="AC2334" s="48"/>
      <c r="AD2334" s="48"/>
      <c r="AE2334" s="48"/>
      <c r="AF2334" s="48"/>
      <c r="AG2334" s="48"/>
      <c r="AH2334" s="48"/>
      <c r="AI2334" s="48"/>
      <c r="AJ2334" s="48"/>
      <c r="AK2334" s="48"/>
      <c r="AL2334" s="48"/>
      <c r="AM2334" s="48"/>
      <c r="AN2334" s="48"/>
      <c r="AO2334" s="48"/>
      <c r="AP2334" s="48"/>
      <c r="AQ2334" s="48"/>
      <c r="AR2334" s="48"/>
      <c r="AS2334" s="48"/>
      <c r="AT2334" s="48"/>
      <c r="AU2334" s="48"/>
      <c r="AV2334" s="48"/>
      <c r="AW2334" s="48"/>
      <c r="AX2334" s="48"/>
      <c r="AY2334" s="48"/>
      <c r="AZ2334" s="48"/>
      <c r="BA2334" s="48"/>
      <c r="BB2334" s="48"/>
      <c r="BC2334" s="48"/>
      <c r="BD2334" s="48"/>
    </row>
    <row r="2335" spans="1:56">
      <c r="A2335" s="48"/>
      <c r="B2335" s="48"/>
      <c r="C2335" s="49"/>
      <c r="D2335" s="48"/>
      <c r="E2335" s="48"/>
      <c r="F2335" s="48"/>
      <c r="G2335" s="48"/>
      <c r="H2335" s="48"/>
      <c r="I2335" s="48"/>
      <c r="J2335" s="86"/>
      <c r="K2335" s="86"/>
      <c r="L2335" s="86"/>
      <c r="M2335" s="86"/>
      <c r="N2335" s="86"/>
      <c r="O2335" s="86"/>
      <c r="P2335" s="86"/>
      <c r="Q2335" s="86"/>
      <c r="R2335" s="86"/>
      <c r="S2335" s="86"/>
      <c r="T2335" s="86"/>
      <c r="U2335" s="86"/>
      <c r="V2335" s="48"/>
      <c r="W2335" s="48"/>
      <c r="X2335" s="48"/>
      <c r="Y2335" s="48"/>
      <c r="Z2335" s="48"/>
      <c r="AA2335" s="48"/>
      <c r="AB2335" s="48"/>
      <c r="AC2335" s="48"/>
      <c r="AD2335" s="48"/>
      <c r="AE2335" s="48"/>
      <c r="AF2335" s="48"/>
      <c r="AG2335" s="48"/>
      <c r="AH2335" s="48"/>
      <c r="AI2335" s="48"/>
      <c r="AJ2335" s="48"/>
      <c r="AK2335" s="48"/>
      <c r="AL2335" s="48"/>
      <c r="AM2335" s="48"/>
      <c r="AN2335" s="48"/>
      <c r="AO2335" s="48"/>
      <c r="AP2335" s="48"/>
      <c r="AQ2335" s="48"/>
      <c r="AR2335" s="48"/>
      <c r="AS2335" s="48"/>
      <c r="AT2335" s="48"/>
      <c r="AU2335" s="48"/>
      <c r="AV2335" s="48"/>
      <c r="AW2335" s="48"/>
      <c r="AX2335" s="48"/>
      <c r="AY2335" s="48"/>
      <c r="AZ2335" s="48"/>
      <c r="BA2335" s="48"/>
      <c r="BB2335" s="48"/>
      <c r="BC2335" s="48"/>
      <c r="BD2335" s="48"/>
    </row>
    <row r="2336" spans="1:56">
      <c r="A2336" s="48"/>
      <c r="B2336" s="48"/>
      <c r="C2336" s="49"/>
      <c r="D2336" s="48"/>
      <c r="E2336" s="48"/>
      <c r="F2336" s="48"/>
      <c r="G2336" s="48"/>
      <c r="H2336" s="48"/>
      <c r="I2336" s="48"/>
      <c r="J2336" s="86"/>
      <c r="K2336" s="86"/>
      <c r="L2336" s="86"/>
      <c r="M2336" s="86"/>
      <c r="N2336" s="86"/>
      <c r="O2336" s="86"/>
      <c r="P2336" s="86"/>
      <c r="Q2336" s="86"/>
      <c r="R2336" s="86"/>
      <c r="S2336" s="86"/>
      <c r="T2336" s="86"/>
      <c r="U2336" s="86"/>
      <c r="V2336" s="48"/>
      <c r="W2336" s="48"/>
      <c r="X2336" s="48"/>
      <c r="Y2336" s="48"/>
      <c r="Z2336" s="48"/>
      <c r="AA2336" s="48"/>
      <c r="AB2336" s="48"/>
      <c r="AC2336" s="48"/>
      <c r="AD2336" s="48"/>
      <c r="AE2336" s="48"/>
      <c r="AF2336" s="48"/>
      <c r="AG2336" s="48"/>
      <c r="AH2336" s="48"/>
      <c r="AI2336" s="48"/>
      <c r="AJ2336" s="48"/>
      <c r="AK2336" s="48"/>
      <c r="AL2336" s="48"/>
      <c r="AM2336" s="48"/>
      <c r="AN2336" s="48"/>
      <c r="AO2336" s="48"/>
      <c r="AP2336" s="48"/>
      <c r="AQ2336" s="48"/>
      <c r="AR2336" s="48"/>
      <c r="AS2336" s="48"/>
      <c r="AT2336" s="48"/>
      <c r="AU2336" s="48"/>
      <c r="AV2336" s="48"/>
      <c r="AW2336" s="48"/>
      <c r="AX2336" s="48"/>
      <c r="AY2336" s="48"/>
      <c r="AZ2336" s="48"/>
      <c r="BA2336" s="48"/>
      <c r="BB2336" s="48"/>
      <c r="BC2336" s="48"/>
      <c r="BD2336" s="48"/>
    </row>
    <row r="2337" spans="1:56">
      <c r="A2337" s="48"/>
      <c r="B2337" s="48"/>
      <c r="C2337" s="49"/>
      <c r="D2337" s="48"/>
      <c r="E2337" s="48"/>
      <c r="F2337" s="48"/>
      <c r="G2337" s="48"/>
      <c r="H2337" s="48"/>
      <c r="I2337" s="48"/>
      <c r="J2337" s="86"/>
      <c r="K2337" s="86"/>
      <c r="L2337" s="86"/>
      <c r="M2337" s="86"/>
      <c r="N2337" s="86"/>
      <c r="O2337" s="86"/>
      <c r="P2337" s="86"/>
      <c r="Q2337" s="86"/>
      <c r="R2337" s="86"/>
      <c r="S2337" s="86"/>
      <c r="T2337" s="86"/>
      <c r="U2337" s="86"/>
      <c r="V2337" s="48"/>
      <c r="W2337" s="48"/>
      <c r="X2337" s="48"/>
      <c r="Y2337" s="48"/>
      <c r="Z2337" s="48"/>
      <c r="AA2337" s="48"/>
      <c r="AB2337" s="48"/>
      <c r="AC2337" s="48"/>
      <c r="AD2337" s="48"/>
      <c r="AE2337" s="48"/>
      <c r="AF2337" s="48"/>
      <c r="AG2337" s="48"/>
      <c r="AH2337" s="48"/>
      <c r="AI2337" s="48"/>
      <c r="AJ2337" s="48"/>
      <c r="AK2337" s="48"/>
      <c r="AL2337" s="48"/>
      <c r="AM2337" s="48"/>
      <c r="AN2337" s="48"/>
      <c r="AO2337" s="48"/>
      <c r="AP2337" s="48"/>
      <c r="AQ2337" s="48"/>
      <c r="AR2337" s="48"/>
      <c r="AS2337" s="48"/>
      <c r="AT2337" s="48"/>
      <c r="AU2337" s="48"/>
      <c r="AV2337" s="48"/>
      <c r="AW2337" s="48"/>
      <c r="AX2337" s="48"/>
      <c r="AY2337" s="48"/>
      <c r="AZ2337" s="48"/>
      <c r="BA2337" s="48"/>
      <c r="BB2337" s="48"/>
      <c r="BC2337" s="48"/>
      <c r="BD2337" s="48"/>
    </row>
    <row r="2338" spans="1:56">
      <c r="A2338" s="48"/>
      <c r="B2338" s="48"/>
      <c r="C2338" s="49"/>
      <c r="D2338" s="48"/>
      <c r="E2338" s="48"/>
      <c r="F2338" s="48"/>
      <c r="G2338" s="48"/>
      <c r="H2338" s="48"/>
      <c r="I2338" s="48"/>
      <c r="J2338" s="86"/>
      <c r="K2338" s="86"/>
      <c r="L2338" s="86"/>
      <c r="M2338" s="86"/>
      <c r="N2338" s="86"/>
      <c r="O2338" s="86"/>
      <c r="P2338" s="86"/>
      <c r="Q2338" s="86"/>
      <c r="R2338" s="86"/>
      <c r="S2338" s="86"/>
      <c r="T2338" s="86"/>
      <c r="U2338" s="86"/>
      <c r="V2338" s="48"/>
      <c r="W2338" s="48"/>
      <c r="X2338" s="48"/>
      <c r="Y2338" s="48"/>
      <c r="Z2338" s="48"/>
      <c r="AA2338" s="48"/>
      <c r="AB2338" s="48"/>
      <c r="AC2338" s="48"/>
      <c r="AD2338" s="48"/>
      <c r="AE2338" s="48"/>
      <c r="AF2338" s="48"/>
      <c r="AG2338" s="48"/>
      <c r="AH2338" s="48"/>
      <c r="AI2338" s="48"/>
      <c r="AJ2338" s="48"/>
      <c r="AK2338" s="48"/>
      <c r="AL2338" s="48"/>
      <c r="AM2338" s="48"/>
      <c r="AN2338" s="48"/>
      <c r="AO2338" s="48"/>
      <c r="AP2338" s="48"/>
      <c r="AQ2338" s="48"/>
      <c r="AR2338" s="48"/>
      <c r="AS2338" s="48"/>
      <c r="AT2338" s="48"/>
      <c r="AU2338" s="48"/>
      <c r="AV2338" s="48"/>
      <c r="AW2338" s="48"/>
      <c r="AX2338" s="48"/>
      <c r="AY2338" s="48"/>
      <c r="AZ2338" s="48"/>
      <c r="BA2338" s="48"/>
      <c r="BB2338" s="48"/>
      <c r="BC2338" s="48"/>
      <c r="BD2338" s="48"/>
    </row>
    <row r="2339" spans="1:56">
      <c r="A2339" s="48"/>
      <c r="B2339" s="48"/>
      <c r="C2339" s="49"/>
      <c r="D2339" s="48"/>
      <c r="E2339" s="48"/>
      <c r="F2339" s="48"/>
      <c r="G2339" s="48"/>
      <c r="H2339" s="48"/>
      <c r="I2339" s="48"/>
      <c r="J2339" s="86"/>
      <c r="K2339" s="86"/>
      <c r="L2339" s="86"/>
      <c r="M2339" s="86"/>
      <c r="N2339" s="86"/>
      <c r="O2339" s="86"/>
      <c r="P2339" s="86"/>
      <c r="Q2339" s="86"/>
      <c r="R2339" s="86"/>
      <c r="S2339" s="86"/>
      <c r="T2339" s="86"/>
      <c r="U2339" s="86"/>
      <c r="V2339" s="48"/>
      <c r="W2339" s="48"/>
      <c r="X2339" s="48"/>
      <c r="Y2339" s="48"/>
      <c r="Z2339" s="48"/>
      <c r="AA2339" s="48"/>
      <c r="AB2339" s="48"/>
      <c r="AC2339" s="48"/>
      <c r="AD2339" s="48"/>
      <c r="AE2339" s="48"/>
      <c r="AF2339" s="48"/>
      <c r="AG2339" s="48"/>
      <c r="AH2339" s="48"/>
      <c r="AI2339" s="48"/>
      <c r="AJ2339" s="48"/>
      <c r="AK2339" s="48"/>
      <c r="AL2339" s="48"/>
      <c r="AM2339" s="48"/>
      <c r="AN2339" s="48"/>
      <c r="AO2339" s="48"/>
      <c r="AP2339" s="48"/>
      <c r="AQ2339" s="48"/>
      <c r="AR2339" s="48"/>
      <c r="AS2339" s="48"/>
      <c r="AT2339" s="48"/>
      <c r="AU2339" s="48"/>
      <c r="AV2339" s="48"/>
      <c r="AW2339" s="48"/>
      <c r="AX2339" s="48"/>
      <c r="AY2339" s="48"/>
      <c r="AZ2339" s="48"/>
      <c r="BA2339" s="48"/>
      <c r="BB2339" s="48"/>
      <c r="BC2339" s="48"/>
      <c r="BD2339" s="48"/>
    </row>
    <row r="2340" spans="1:56">
      <c r="A2340" s="48"/>
      <c r="B2340" s="48"/>
      <c r="C2340" s="49"/>
      <c r="D2340" s="48"/>
      <c r="E2340" s="48"/>
      <c r="F2340" s="48"/>
      <c r="G2340" s="48"/>
      <c r="H2340" s="48"/>
      <c r="I2340" s="48"/>
      <c r="J2340" s="86"/>
      <c r="K2340" s="86"/>
      <c r="L2340" s="86"/>
      <c r="M2340" s="86"/>
      <c r="N2340" s="86"/>
      <c r="O2340" s="86"/>
      <c r="P2340" s="86"/>
      <c r="Q2340" s="86"/>
      <c r="R2340" s="86"/>
      <c r="S2340" s="86"/>
      <c r="T2340" s="86"/>
      <c r="U2340" s="86"/>
      <c r="V2340" s="48"/>
      <c r="W2340" s="48"/>
      <c r="X2340" s="48"/>
      <c r="Y2340" s="48"/>
      <c r="Z2340" s="48"/>
      <c r="AA2340" s="48"/>
      <c r="AB2340" s="48"/>
      <c r="AC2340" s="48"/>
      <c r="AD2340" s="48"/>
      <c r="AE2340" s="48"/>
      <c r="AF2340" s="48"/>
      <c r="AG2340" s="48"/>
      <c r="AH2340" s="48"/>
      <c r="AI2340" s="48"/>
      <c r="AJ2340" s="48"/>
      <c r="AK2340" s="48"/>
      <c r="AL2340" s="48"/>
      <c r="AM2340" s="48"/>
      <c r="AN2340" s="48"/>
      <c r="AO2340" s="48"/>
      <c r="AP2340" s="48"/>
      <c r="AQ2340" s="48"/>
      <c r="AR2340" s="48"/>
      <c r="AS2340" s="48"/>
      <c r="AT2340" s="48"/>
      <c r="AU2340" s="48"/>
      <c r="AV2340" s="48"/>
      <c r="AW2340" s="48"/>
      <c r="AX2340" s="48"/>
      <c r="AY2340" s="48"/>
      <c r="AZ2340" s="48"/>
      <c r="BA2340" s="48"/>
      <c r="BB2340" s="48"/>
      <c r="BC2340" s="48"/>
      <c r="BD2340" s="48"/>
    </row>
    <row r="2341" spans="1:56">
      <c r="A2341" s="48"/>
      <c r="B2341" s="48"/>
      <c r="C2341" s="49"/>
      <c r="D2341" s="48"/>
      <c r="E2341" s="48"/>
      <c r="F2341" s="48"/>
      <c r="G2341" s="48"/>
      <c r="H2341" s="48"/>
      <c r="I2341" s="48"/>
      <c r="J2341" s="86"/>
      <c r="K2341" s="86"/>
      <c r="L2341" s="86"/>
      <c r="M2341" s="86"/>
      <c r="N2341" s="86"/>
      <c r="O2341" s="86"/>
      <c r="P2341" s="86"/>
      <c r="Q2341" s="86"/>
      <c r="R2341" s="86"/>
      <c r="S2341" s="86"/>
      <c r="T2341" s="86"/>
      <c r="U2341" s="86"/>
      <c r="V2341" s="48"/>
      <c r="W2341" s="48"/>
      <c r="X2341" s="48"/>
      <c r="Y2341" s="48"/>
      <c r="Z2341" s="48"/>
      <c r="AA2341" s="48"/>
      <c r="AB2341" s="48"/>
      <c r="AC2341" s="48"/>
      <c r="AD2341" s="48"/>
      <c r="AE2341" s="48"/>
      <c r="AF2341" s="48"/>
      <c r="AG2341" s="48"/>
      <c r="AH2341" s="48"/>
      <c r="AI2341" s="48"/>
      <c r="AJ2341" s="48"/>
      <c r="AK2341" s="48"/>
      <c r="AL2341" s="48"/>
      <c r="AM2341" s="48"/>
      <c r="AN2341" s="48"/>
      <c r="AO2341" s="48"/>
      <c r="AP2341" s="48"/>
      <c r="AQ2341" s="48"/>
      <c r="AR2341" s="48"/>
      <c r="AS2341" s="48"/>
      <c r="AT2341" s="48"/>
      <c r="AU2341" s="48"/>
      <c r="AV2341" s="48"/>
      <c r="AW2341" s="48"/>
      <c r="AX2341" s="48"/>
      <c r="AY2341" s="48"/>
      <c r="AZ2341" s="48"/>
      <c r="BA2341" s="48"/>
      <c r="BB2341" s="48"/>
      <c r="BC2341" s="48"/>
      <c r="BD2341" s="48"/>
    </row>
    <row r="2342" spans="1:56">
      <c r="A2342" s="48"/>
      <c r="B2342" s="48"/>
      <c r="C2342" s="49"/>
      <c r="D2342" s="48"/>
      <c r="E2342" s="48"/>
      <c r="F2342" s="48"/>
      <c r="G2342" s="48"/>
      <c r="H2342" s="48"/>
      <c r="I2342" s="48"/>
      <c r="J2342" s="86"/>
      <c r="K2342" s="86"/>
      <c r="L2342" s="86"/>
      <c r="M2342" s="86"/>
      <c r="N2342" s="86"/>
      <c r="O2342" s="86"/>
      <c r="P2342" s="86"/>
      <c r="Q2342" s="86"/>
      <c r="R2342" s="86"/>
      <c r="S2342" s="86"/>
      <c r="T2342" s="86"/>
      <c r="U2342" s="86"/>
      <c r="V2342" s="48"/>
      <c r="W2342" s="48"/>
      <c r="X2342" s="48"/>
      <c r="Y2342" s="48"/>
      <c r="Z2342" s="48"/>
      <c r="AA2342" s="48"/>
      <c r="AB2342" s="48"/>
      <c r="AC2342" s="48"/>
      <c r="AD2342" s="48"/>
      <c r="AE2342" s="48"/>
      <c r="AF2342" s="48"/>
      <c r="AG2342" s="48"/>
      <c r="AH2342" s="48"/>
      <c r="AI2342" s="48"/>
      <c r="AJ2342" s="48"/>
      <c r="AK2342" s="48"/>
      <c r="AL2342" s="48"/>
      <c r="AM2342" s="48"/>
      <c r="AN2342" s="48"/>
      <c r="AO2342" s="48"/>
      <c r="AP2342" s="48"/>
      <c r="AQ2342" s="48"/>
      <c r="AR2342" s="48"/>
      <c r="AS2342" s="48"/>
      <c r="AT2342" s="48"/>
      <c r="AU2342" s="48"/>
      <c r="AV2342" s="48"/>
      <c r="AW2342" s="48"/>
      <c r="AX2342" s="48"/>
      <c r="AY2342" s="48"/>
      <c r="AZ2342" s="48"/>
      <c r="BA2342" s="48"/>
      <c r="BB2342" s="48"/>
      <c r="BC2342" s="48"/>
      <c r="BD2342" s="48"/>
    </row>
    <row r="2343" spans="1:56">
      <c r="A2343" s="48"/>
      <c r="B2343" s="48"/>
      <c r="C2343" s="49"/>
      <c r="D2343" s="48"/>
      <c r="E2343" s="48"/>
      <c r="F2343" s="48"/>
      <c r="G2343" s="48"/>
      <c r="H2343" s="48"/>
      <c r="I2343" s="48"/>
      <c r="J2343" s="86"/>
      <c r="K2343" s="86"/>
      <c r="L2343" s="86"/>
      <c r="M2343" s="86"/>
      <c r="N2343" s="86"/>
      <c r="O2343" s="86"/>
      <c r="P2343" s="86"/>
      <c r="Q2343" s="86"/>
      <c r="R2343" s="86"/>
      <c r="S2343" s="86"/>
      <c r="T2343" s="86"/>
      <c r="U2343" s="86"/>
      <c r="V2343" s="48"/>
      <c r="W2343" s="48"/>
      <c r="X2343" s="48"/>
      <c r="Y2343" s="48"/>
      <c r="Z2343" s="48"/>
      <c r="AA2343" s="48"/>
      <c r="AB2343" s="48"/>
      <c r="AC2343" s="48"/>
      <c r="AD2343" s="48"/>
      <c r="AE2343" s="48"/>
      <c r="AF2343" s="48"/>
      <c r="AG2343" s="48"/>
      <c r="AH2343" s="48"/>
      <c r="AI2343" s="48"/>
      <c r="AJ2343" s="48"/>
      <c r="AK2343" s="48"/>
      <c r="AL2343" s="48"/>
      <c r="AM2343" s="48"/>
      <c r="AN2343" s="48"/>
      <c r="AO2343" s="48"/>
      <c r="AP2343" s="48"/>
      <c r="AQ2343" s="48"/>
      <c r="AR2343" s="48"/>
      <c r="AS2343" s="48"/>
      <c r="AT2343" s="48"/>
      <c r="AU2343" s="48"/>
      <c r="AV2343" s="48"/>
      <c r="AW2343" s="48"/>
      <c r="AX2343" s="48"/>
      <c r="AY2343" s="48"/>
      <c r="AZ2343" s="48"/>
      <c r="BA2343" s="48"/>
      <c r="BB2343" s="48"/>
      <c r="BC2343" s="48"/>
      <c r="BD2343" s="48"/>
    </row>
    <row r="2344" spans="1:56">
      <c r="A2344" s="48"/>
      <c r="B2344" s="48"/>
      <c r="C2344" s="49"/>
      <c r="D2344" s="48"/>
      <c r="E2344" s="48"/>
      <c r="F2344" s="48"/>
      <c r="G2344" s="48"/>
      <c r="H2344" s="48"/>
      <c r="I2344" s="48"/>
      <c r="J2344" s="86"/>
      <c r="K2344" s="86"/>
      <c r="L2344" s="86"/>
      <c r="M2344" s="86"/>
      <c r="N2344" s="86"/>
      <c r="O2344" s="86"/>
      <c r="P2344" s="86"/>
      <c r="Q2344" s="86"/>
      <c r="R2344" s="86"/>
      <c r="S2344" s="86"/>
      <c r="T2344" s="86"/>
      <c r="U2344" s="86"/>
      <c r="V2344" s="48"/>
      <c r="W2344" s="48"/>
      <c r="X2344" s="48"/>
      <c r="Y2344" s="48"/>
      <c r="Z2344" s="48"/>
      <c r="AA2344" s="48"/>
      <c r="AB2344" s="48"/>
      <c r="AC2344" s="48"/>
      <c r="AD2344" s="48"/>
      <c r="AE2344" s="48"/>
      <c r="AF2344" s="48"/>
      <c r="AG2344" s="48"/>
      <c r="AH2344" s="48"/>
      <c r="AI2344" s="48"/>
      <c r="AJ2344" s="48"/>
      <c r="AK2344" s="48"/>
      <c r="AL2344" s="48"/>
      <c r="AM2344" s="48"/>
      <c r="AN2344" s="48"/>
      <c r="AO2344" s="48"/>
      <c r="AP2344" s="48"/>
      <c r="AQ2344" s="48"/>
      <c r="AR2344" s="48"/>
      <c r="AS2344" s="48"/>
      <c r="AT2344" s="48"/>
      <c r="AU2344" s="48"/>
      <c r="AV2344" s="48"/>
      <c r="AW2344" s="48"/>
      <c r="AX2344" s="48"/>
      <c r="AY2344" s="48"/>
      <c r="AZ2344" s="48"/>
      <c r="BA2344" s="48"/>
      <c r="BB2344" s="48"/>
      <c r="BC2344" s="48"/>
      <c r="BD2344" s="48"/>
    </row>
    <row r="2345" spans="1:56">
      <c r="A2345" s="48"/>
      <c r="B2345" s="48"/>
      <c r="C2345" s="49"/>
      <c r="D2345" s="48"/>
      <c r="E2345" s="48"/>
      <c r="F2345" s="48"/>
      <c r="G2345" s="48"/>
      <c r="H2345" s="48"/>
      <c r="I2345" s="48"/>
      <c r="J2345" s="86"/>
      <c r="K2345" s="86"/>
      <c r="L2345" s="86"/>
      <c r="M2345" s="86"/>
      <c r="N2345" s="86"/>
      <c r="O2345" s="86"/>
      <c r="P2345" s="86"/>
      <c r="Q2345" s="86"/>
      <c r="R2345" s="86"/>
      <c r="S2345" s="86"/>
      <c r="T2345" s="86"/>
      <c r="U2345" s="86"/>
      <c r="V2345" s="48"/>
      <c r="W2345" s="48"/>
      <c r="X2345" s="48"/>
      <c r="Y2345" s="48"/>
      <c r="Z2345" s="48"/>
      <c r="AA2345" s="48"/>
      <c r="AB2345" s="48"/>
      <c r="AC2345" s="48"/>
      <c r="AD2345" s="48"/>
      <c r="AE2345" s="48"/>
      <c r="AF2345" s="48"/>
      <c r="AG2345" s="48"/>
      <c r="AH2345" s="48"/>
      <c r="AI2345" s="48"/>
      <c r="AJ2345" s="48"/>
      <c r="AK2345" s="48"/>
      <c r="AL2345" s="48"/>
      <c r="AM2345" s="48"/>
      <c r="AN2345" s="48"/>
      <c r="AO2345" s="48"/>
      <c r="AP2345" s="48"/>
      <c r="AQ2345" s="48"/>
      <c r="AR2345" s="48"/>
      <c r="AS2345" s="48"/>
      <c r="AT2345" s="48"/>
      <c r="AU2345" s="48"/>
      <c r="AV2345" s="48"/>
      <c r="AW2345" s="48"/>
      <c r="AX2345" s="48"/>
      <c r="AY2345" s="48"/>
      <c r="AZ2345" s="48"/>
      <c r="BA2345" s="48"/>
      <c r="BB2345" s="48"/>
      <c r="BC2345" s="48"/>
      <c r="BD2345" s="48"/>
    </row>
    <row r="2346" spans="1:56">
      <c r="A2346" s="48"/>
      <c r="B2346" s="48"/>
      <c r="C2346" s="49"/>
      <c r="D2346" s="48"/>
      <c r="E2346" s="48"/>
      <c r="F2346" s="48"/>
      <c r="G2346" s="48"/>
      <c r="H2346" s="48"/>
      <c r="I2346" s="48"/>
      <c r="J2346" s="86"/>
      <c r="K2346" s="86"/>
      <c r="L2346" s="86"/>
      <c r="M2346" s="86"/>
      <c r="N2346" s="86"/>
      <c r="O2346" s="86"/>
      <c r="P2346" s="86"/>
      <c r="Q2346" s="86"/>
      <c r="R2346" s="86"/>
      <c r="S2346" s="86"/>
      <c r="T2346" s="86"/>
      <c r="U2346" s="86"/>
      <c r="V2346" s="48"/>
      <c r="W2346" s="48"/>
      <c r="X2346" s="48"/>
      <c r="Y2346" s="48"/>
      <c r="Z2346" s="48"/>
      <c r="AA2346" s="48"/>
      <c r="AB2346" s="48"/>
      <c r="AC2346" s="48"/>
      <c r="AD2346" s="48"/>
      <c r="AE2346" s="48"/>
      <c r="AF2346" s="48"/>
      <c r="AG2346" s="48"/>
      <c r="AH2346" s="48"/>
      <c r="AI2346" s="48"/>
      <c r="AJ2346" s="48"/>
      <c r="AK2346" s="48"/>
      <c r="AL2346" s="48"/>
      <c r="AM2346" s="48"/>
      <c r="AN2346" s="48"/>
      <c r="AO2346" s="48"/>
      <c r="AP2346" s="48"/>
      <c r="AQ2346" s="48"/>
      <c r="AR2346" s="48"/>
      <c r="AS2346" s="48"/>
      <c r="AT2346" s="48"/>
      <c r="AU2346" s="48"/>
      <c r="AV2346" s="48"/>
      <c r="AW2346" s="48"/>
      <c r="AX2346" s="48"/>
      <c r="AY2346" s="48"/>
      <c r="AZ2346" s="48"/>
      <c r="BA2346" s="48"/>
      <c r="BB2346" s="48"/>
      <c r="BC2346" s="48"/>
      <c r="BD2346" s="48"/>
    </row>
    <row r="2347" spans="1:56">
      <c r="A2347" s="48"/>
      <c r="B2347" s="48"/>
      <c r="C2347" s="49"/>
      <c r="D2347" s="48"/>
      <c r="E2347" s="48"/>
      <c r="F2347" s="48"/>
      <c r="G2347" s="48"/>
      <c r="H2347" s="48"/>
      <c r="I2347" s="48"/>
      <c r="J2347" s="86"/>
      <c r="K2347" s="86"/>
      <c r="L2347" s="86"/>
      <c r="M2347" s="86"/>
      <c r="N2347" s="86"/>
      <c r="O2347" s="86"/>
      <c r="P2347" s="86"/>
      <c r="Q2347" s="86"/>
      <c r="R2347" s="86"/>
      <c r="S2347" s="86"/>
      <c r="T2347" s="86"/>
      <c r="U2347" s="86"/>
      <c r="V2347" s="48"/>
      <c r="W2347" s="48"/>
      <c r="X2347" s="48"/>
      <c r="Y2347" s="48"/>
      <c r="Z2347" s="48"/>
      <c r="AA2347" s="48"/>
      <c r="AB2347" s="48"/>
      <c r="AC2347" s="48"/>
      <c r="AD2347" s="48"/>
      <c r="AE2347" s="48"/>
      <c r="AF2347" s="48"/>
      <c r="AG2347" s="48"/>
      <c r="AH2347" s="48"/>
      <c r="AI2347" s="48"/>
      <c r="AJ2347" s="48"/>
      <c r="AK2347" s="48"/>
      <c r="AL2347" s="48"/>
      <c r="AM2347" s="48"/>
      <c r="AN2347" s="48"/>
      <c r="AO2347" s="48"/>
      <c r="AP2347" s="48"/>
      <c r="AQ2347" s="48"/>
      <c r="AR2347" s="48"/>
      <c r="AS2347" s="48"/>
      <c r="AT2347" s="48"/>
      <c r="AU2347" s="48"/>
      <c r="AV2347" s="48"/>
      <c r="AW2347" s="48"/>
      <c r="AX2347" s="48"/>
      <c r="AY2347" s="48"/>
      <c r="AZ2347" s="48"/>
      <c r="BA2347" s="48"/>
      <c r="BB2347" s="48"/>
      <c r="BC2347" s="48"/>
      <c r="BD2347" s="48"/>
    </row>
    <row r="2348" spans="1:56">
      <c r="A2348" s="48"/>
      <c r="B2348" s="48"/>
      <c r="C2348" s="49"/>
      <c r="D2348" s="48"/>
      <c r="E2348" s="48"/>
      <c r="F2348" s="48"/>
      <c r="G2348" s="48"/>
      <c r="H2348" s="48"/>
      <c r="I2348" s="48"/>
      <c r="J2348" s="86"/>
      <c r="K2348" s="86"/>
      <c r="L2348" s="86"/>
      <c r="M2348" s="86"/>
      <c r="N2348" s="86"/>
      <c r="O2348" s="86"/>
      <c r="P2348" s="86"/>
      <c r="Q2348" s="86"/>
      <c r="R2348" s="86"/>
      <c r="S2348" s="86"/>
      <c r="T2348" s="86"/>
      <c r="U2348" s="86"/>
      <c r="V2348" s="48"/>
      <c r="W2348" s="48"/>
      <c r="X2348" s="48"/>
      <c r="Y2348" s="48"/>
      <c r="Z2348" s="48"/>
      <c r="AA2348" s="48"/>
      <c r="AB2348" s="48"/>
      <c r="AC2348" s="48"/>
      <c r="AD2348" s="48"/>
      <c r="AE2348" s="48"/>
      <c r="AF2348" s="48"/>
      <c r="AG2348" s="48"/>
      <c r="AH2348" s="48"/>
      <c r="AI2348" s="48"/>
      <c r="AJ2348" s="48"/>
      <c r="AK2348" s="48"/>
      <c r="AL2348" s="48"/>
      <c r="AM2348" s="48"/>
      <c r="AN2348" s="48"/>
      <c r="AO2348" s="48"/>
      <c r="AP2348" s="48"/>
      <c r="AQ2348" s="48"/>
      <c r="AR2348" s="48"/>
      <c r="AS2348" s="48"/>
      <c r="AT2348" s="48"/>
      <c r="AU2348" s="48"/>
      <c r="AV2348" s="48"/>
      <c r="AW2348" s="48"/>
      <c r="AX2348" s="48"/>
      <c r="AY2348" s="48"/>
      <c r="AZ2348" s="48"/>
      <c r="BA2348" s="48"/>
      <c r="BB2348" s="48"/>
      <c r="BC2348" s="48"/>
      <c r="BD2348" s="48"/>
    </row>
    <row r="2349" spans="1:56">
      <c r="A2349" s="48"/>
      <c r="B2349" s="48"/>
      <c r="C2349" s="49"/>
      <c r="D2349" s="48"/>
      <c r="E2349" s="48"/>
      <c r="F2349" s="48"/>
      <c r="G2349" s="48"/>
      <c r="H2349" s="48"/>
      <c r="I2349" s="48"/>
      <c r="J2349" s="86"/>
      <c r="K2349" s="86"/>
      <c r="L2349" s="86"/>
      <c r="M2349" s="86"/>
      <c r="N2349" s="86"/>
      <c r="O2349" s="86"/>
      <c r="P2349" s="86"/>
      <c r="Q2349" s="86"/>
      <c r="R2349" s="86"/>
      <c r="S2349" s="86"/>
      <c r="T2349" s="86"/>
      <c r="U2349" s="86"/>
      <c r="V2349" s="48"/>
      <c r="W2349" s="48"/>
      <c r="X2349" s="48"/>
      <c r="Y2349" s="48"/>
      <c r="Z2349" s="48"/>
      <c r="AA2349" s="48"/>
      <c r="AB2349" s="48"/>
      <c r="AC2349" s="48"/>
      <c r="AD2349" s="48"/>
      <c r="AE2349" s="48"/>
      <c r="AF2349" s="48"/>
      <c r="AG2349" s="48"/>
      <c r="AH2349" s="48"/>
      <c r="AI2349" s="48"/>
      <c r="AJ2349" s="48"/>
      <c r="AK2349" s="48"/>
      <c r="AL2349" s="48"/>
      <c r="AM2349" s="48"/>
      <c r="AN2349" s="48"/>
      <c r="AO2349" s="48"/>
      <c r="AP2349" s="48"/>
      <c r="AQ2349" s="48"/>
      <c r="AR2349" s="48"/>
      <c r="AS2349" s="48"/>
      <c r="AT2349" s="48"/>
      <c r="AU2349" s="48"/>
      <c r="AV2349" s="48"/>
      <c r="AW2349" s="48"/>
      <c r="AX2349" s="48"/>
      <c r="AY2349" s="48"/>
      <c r="AZ2349" s="48"/>
      <c r="BA2349" s="48"/>
      <c r="BB2349" s="48"/>
      <c r="BC2349" s="48"/>
      <c r="BD2349" s="48"/>
    </row>
    <row r="2350" spans="1:56">
      <c r="A2350" s="48"/>
      <c r="B2350" s="48"/>
      <c r="C2350" s="49"/>
      <c r="D2350" s="48"/>
      <c r="E2350" s="48"/>
      <c r="F2350" s="48"/>
      <c r="G2350" s="48"/>
      <c r="H2350" s="48"/>
      <c r="I2350" s="48"/>
      <c r="J2350" s="86"/>
      <c r="K2350" s="86"/>
      <c r="L2350" s="86"/>
      <c r="M2350" s="86"/>
      <c r="N2350" s="86"/>
      <c r="O2350" s="86"/>
      <c r="P2350" s="86"/>
      <c r="Q2350" s="86"/>
      <c r="R2350" s="86"/>
      <c r="S2350" s="86"/>
      <c r="T2350" s="86"/>
      <c r="U2350" s="86"/>
      <c r="V2350" s="48"/>
      <c r="W2350" s="48"/>
      <c r="X2350" s="48"/>
      <c r="Y2350" s="48"/>
      <c r="Z2350" s="48"/>
      <c r="AA2350" s="48"/>
      <c r="AB2350" s="48"/>
      <c r="AC2350" s="48"/>
      <c r="AD2350" s="48"/>
      <c r="AE2350" s="48"/>
      <c r="AF2350" s="48"/>
      <c r="AG2350" s="48"/>
      <c r="AH2350" s="48"/>
      <c r="AI2350" s="48"/>
      <c r="AJ2350" s="48"/>
      <c r="AK2350" s="48"/>
      <c r="AL2350" s="48"/>
      <c r="AM2350" s="48"/>
      <c r="AN2350" s="48"/>
      <c r="AO2350" s="48"/>
      <c r="AP2350" s="48"/>
      <c r="AQ2350" s="48"/>
      <c r="AR2350" s="48"/>
      <c r="AS2350" s="48"/>
      <c r="AT2350" s="48"/>
      <c r="AU2350" s="48"/>
      <c r="AV2350" s="48"/>
      <c r="AW2350" s="48"/>
      <c r="AX2350" s="48"/>
      <c r="AY2350" s="48"/>
      <c r="AZ2350" s="48"/>
      <c r="BA2350" s="48"/>
      <c r="BB2350" s="48"/>
      <c r="BC2350" s="48"/>
      <c r="BD2350" s="48"/>
    </row>
    <row r="2351" spans="1:56">
      <c r="A2351" s="48"/>
      <c r="B2351" s="48"/>
      <c r="C2351" s="49"/>
      <c r="D2351" s="48"/>
      <c r="E2351" s="48"/>
      <c r="F2351" s="48"/>
      <c r="G2351" s="48"/>
      <c r="H2351" s="48"/>
      <c r="I2351" s="48"/>
      <c r="J2351" s="86"/>
      <c r="K2351" s="86"/>
      <c r="L2351" s="86"/>
      <c r="M2351" s="86"/>
      <c r="N2351" s="86"/>
      <c r="O2351" s="86"/>
      <c r="P2351" s="86"/>
      <c r="Q2351" s="86"/>
      <c r="R2351" s="86"/>
      <c r="S2351" s="86"/>
      <c r="T2351" s="86"/>
      <c r="U2351" s="86"/>
      <c r="V2351" s="48"/>
      <c r="W2351" s="48"/>
      <c r="X2351" s="48"/>
      <c r="Y2351" s="48"/>
      <c r="Z2351" s="48"/>
      <c r="AA2351" s="48"/>
      <c r="AB2351" s="48"/>
      <c r="AC2351" s="48"/>
      <c r="AD2351" s="48"/>
      <c r="AE2351" s="48"/>
      <c r="AF2351" s="48"/>
      <c r="AG2351" s="48"/>
      <c r="AH2351" s="48"/>
      <c r="AI2351" s="48"/>
      <c r="AJ2351" s="48"/>
      <c r="AK2351" s="48"/>
      <c r="AL2351" s="48"/>
      <c r="AM2351" s="48"/>
      <c r="AN2351" s="48"/>
      <c r="AO2351" s="48"/>
      <c r="AP2351" s="48"/>
      <c r="AQ2351" s="48"/>
      <c r="AR2351" s="48"/>
      <c r="AS2351" s="48"/>
      <c r="AT2351" s="48"/>
      <c r="AU2351" s="48"/>
      <c r="AV2351" s="48"/>
      <c r="AW2351" s="48"/>
      <c r="AX2351" s="48"/>
      <c r="AY2351" s="48"/>
      <c r="AZ2351" s="48"/>
      <c r="BA2351" s="48"/>
      <c r="BB2351" s="48"/>
      <c r="BC2351" s="48"/>
      <c r="BD2351" s="48"/>
    </row>
    <row r="2352" spans="1:56">
      <c r="A2352" s="48"/>
      <c r="B2352" s="48"/>
      <c r="C2352" s="49"/>
      <c r="D2352" s="48"/>
      <c r="E2352" s="48"/>
      <c r="F2352" s="48"/>
      <c r="G2352" s="48"/>
      <c r="H2352" s="48"/>
      <c r="I2352" s="48"/>
      <c r="J2352" s="86"/>
      <c r="K2352" s="86"/>
      <c r="L2352" s="86"/>
      <c r="M2352" s="86"/>
      <c r="N2352" s="86"/>
      <c r="O2352" s="86"/>
      <c r="P2352" s="86"/>
      <c r="Q2352" s="86"/>
      <c r="R2352" s="86"/>
      <c r="S2352" s="86"/>
      <c r="T2352" s="86"/>
      <c r="U2352" s="86"/>
      <c r="V2352" s="48"/>
      <c r="W2352" s="48"/>
      <c r="X2352" s="48"/>
      <c r="Y2352" s="48"/>
      <c r="Z2352" s="48"/>
      <c r="AA2352" s="48"/>
      <c r="AB2352" s="48"/>
      <c r="AC2352" s="48"/>
      <c r="AD2352" s="48"/>
      <c r="AE2352" s="48"/>
      <c r="AF2352" s="48"/>
      <c r="AG2352" s="48"/>
      <c r="AH2352" s="48"/>
      <c r="AI2352" s="48"/>
      <c r="AJ2352" s="48"/>
      <c r="AK2352" s="48"/>
      <c r="AL2352" s="48"/>
      <c r="AM2352" s="48"/>
      <c r="AN2352" s="48"/>
      <c r="AO2352" s="48"/>
      <c r="AP2352" s="48"/>
      <c r="AQ2352" s="48"/>
      <c r="AR2352" s="48"/>
      <c r="AS2352" s="48"/>
      <c r="AT2352" s="48"/>
      <c r="AU2352" s="48"/>
      <c r="AV2352" s="48"/>
      <c r="AW2352" s="48"/>
      <c r="AX2352" s="48"/>
      <c r="AY2352" s="48"/>
      <c r="AZ2352" s="48"/>
      <c r="BA2352" s="48"/>
      <c r="BB2352" s="48"/>
      <c r="BC2352" s="48"/>
      <c r="BD2352" s="48"/>
    </row>
    <row r="2353" spans="1:56">
      <c r="A2353" s="48"/>
      <c r="B2353" s="48"/>
      <c r="C2353" s="49"/>
      <c r="D2353" s="48"/>
      <c r="E2353" s="48"/>
      <c r="F2353" s="48"/>
      <c r="G2353" s="48"/>
      <c r="H2353" s="48"/>
      <c r="I2353" s="48"/>
      <c r="J2353" s="86"/>
      <c r="K2353" s="86"/>
      <c r="L2353" s="86"/>
      <c r="M2353" s="86"/>
      <c r="N2353" s="86"/>
      <c r="O2353" s="86"/>
      <c r="P2353" s="86"/>
      <c r="Q2353" s="86"/>
      <c r="R2353" s="86"/>
      <c r="S2353" s="86"/>
      <c r="T2353" s="86"/>
      <c r="U2353" s="86"/>
      <c r="V2353" s="48"/>
      <c r="W2353" s="48"/>
      <c r="X2353" s="48"/>
      <c r="Y2353" s="48"/>
      <c r="Z2353" s="48"/>
      <c r="AA2353" s="48"/>
      <c r="AB2353" s="48"/>
      <c r="AC2353" s="48"/>
      <c r="AD2353" s="48"/>
      <c r="AE2353" s="48"/>
      <c r="AF2353" s="48"/>
      <c r="AG2353" s="48"/>
      <c r="AH2353" s="48"/>
      <c r="AI2353" s="48"/>
      <c r="AJ2353" s="48"/>
      <c r="AK2353" s="48"/>
      <c r="AL2353" s="48"/>
      <c r="AM2353" s="48"/>
      <c r="AN2353" s="48"/>
      <c r="AO2353" s="48"/>
      <c r="AP2353" s="48"/>
      <c r="AQ2353" s="48"/>
      <c r="AR2353" s="48"/>
      <c r="AS2353" s="48"/>
      <c r="AT2353" s="48"/>
      <c r="AU2353" s="48"/>
      <c r="AV2353" s="48"/>
      <c r="AW2353" s="48"/>
      <c r="AX2353" s="48"/>
      <c r="AY2353" s="48"/>
      <c r="AZ2353" s="48"/>
      <c r="BA2353" s="48"/>
      <c r="BB2353" s="48"/>
      <c r="BC2353" s="48"/>
      <c r="BD2353" s="48"/>
    </row>
    <row r="2354" spans="1:56">
      <c r="A2354" s="48"/>
      <c r="B2354" s="48"/>
      <c r="C2354" s="49"/>
      <c r="D2354" s="48"/>
      <c r="E2354" s="48"/>
      <c r="F2354" s="48"/>
      <c r="G2354" s="48"/>
      <c r="H2354" s="48"/>
      <c r="I2354" s="48"/>
      <c r="J2354" s="86"/>
      <c r="K2354" s="86"/>
      <c r="L2354" s="86"/>
      <c r="M2354" s="86"/>
      <c r="N2354" s="86"/>
      <c r="O2354" s="86"/>
      <c r="P2354" s="86"/>
      <c r="Q2354" s="86"/>
      <c r="R2354" s="86"/>
      <c r="S2354" s="86"/>
      <c r="T2354" s="86"/>
      <c r="U2354" s="86"/>
      <c r="V2354" s="48"/>
      <c r="W2354" s="48"/>
      <c r="X2354" s="48"/>
      <c r="Y2354" s="48"/>
      <c r="Z2354" s="48"/>
      <c r="AA2354" s="48"/>
      <c r="AB2354" s="48"/>
      <c r="AC2354" s="48"/>
      <c r="AD2354" s="48"/>
      <c r="AE2354" s="48"/>
      <c r="AF2354" s="48"/>
      <c r="AG2354" s="48"/>
      <c r="AH2354" s="48"/>
      <c r="AI2354" s="48"/>
      <c r="AJ2354" s="48"/>
      <c r="AK2354" s="48"/>
      <c r="AL2354" s="48"/>
      <c r="AM2354" s="48"/>
      <c r="AN2354" s="48"/>
      <c r="AO2354" s="48"/>
      <c r="AP2354" s="48"/>
      <c r="AQ2354" s="48"/>
      <c r="AR2354" s="48"/>
      <c r="AS2354" s="48"/>
      <c r="AT2354" s="48"/>
      <c r="AU2354" s="48"/>
      <c r="AV2354" s="48"/>
      <c r="AW2354" s="48"/>
      <c r="AX2354" s="48"/>
      <c r="AY2354" s="48"/>
      <c r="AZ2354" s="48"/>
      <c r="BA2354" s="48"/>
      <c r="BB2354" s="48"/>
      <c r="BC2354" s="48"/>
      <c r="BD2354" s="48"/>
    </row>
    <row r="2355" spans="1:56">
      <c r="A2355" s="48"/>
      <c r="B2355" s="48"/>
      <c r="C2355" s="49"/>
      <c r="D2355" s="48"/>
      <c r="E2355" s="48"/>
      <c r="F2355" s="48"/>
      <c r="G2355" s="48"/>
      <c r="H2355" s="48"/>
      <c r="I2355" s="48"/>
      <c r="J2355" s="86"/>
      <c r="K2355" s="86"/>
      <c r="L2355" s="86"/>
      <c r="M2355" s="86"/>
      <c r="N2355" s="86"/>
      <c r="O2355" s="86"/>
      <c r="P2355" s="86"/>
      <c r="Q2355" s="86"/>
      <c r="R2355" s="86"/>
      <c r="S2355" s="86"/>
      <c r="T2355" s="86"/>
      <c r="U2355" s="86"/>
      <c r="V2355" s="48"/>
      <c r="W2355" s="48"/>
      <c r="X2355" s="48"/>
      <c r="Y2355" s="48"/>
      <c r="Z2355" s="48"/>
      <c r="AA2355" s="48"/>
      <c r="AB2355" s="48"/>
      <c r="AC2355" s="48"/>
      <c r="AD2355" s="48"/>
      <c r="AE2355" s="48"/>
      <c r="AF2355" s="48"/>
      <c r="AG2355" s="48"/>
      <c r="AH2355" s="48"/>
      <c r="AI2355" s="48"/>
      <c r="AJ2355" s="48"/>
      <c r="AK2355" s="48"/>
      <c r="AL2355" s="48"/>
      <c r="AM2355" s="48"/>
      <c r="AN2355" s="48"/>
      <c r="AO2355" s="48"/>
      <c r="AP2355" s="48"/>
      <c r="AQ2355" s="48"/>
      <c r="AR2355" s="48"/>
      <c r="AS2355" s="48"/>
      <c r="AT2355" s="48"/>
      <c r="AU2355" s="48"/>
      <c r="AV2355" s="48"/>
      <c r="AW2355" s="48"/>
      <c r="AX2355" s="48"/>
      <c r="AY2355" s="48"/>
      <c r="AZ2355" s="48"/>
      <c r="BA2355" s="48"/>
      <c r="BB2355" s="48"/>
      <c r="BC2355" s="48"/>
      <c r="BD2355" s="48"/>
    </row>
    <row r="2356" spans="1:56">
      <c r="A2356" s="48"/>
      <c r="B2356" s="48"/>
      <c r="C2356" s="49"/>
      <c r="D2356" s="48"/>
      <c r="E2356" s="48"/>
      <c r="F2356" s="48"/>
      <c r="G2356" s="48"/>
      <c r="H2356" s="48"/>
      <c r="I2356" s="48"/>
      <c r="J2356" s="86"/>
      <c r="K2356" s="86"/>
      <c r="L2356" s="86"/>
      <c r="M2356" s="86"/>
      <c r="N2356" s="86"/>
      <c r="O2356" s="86"/>
      <c r="P2356" s="86"/>
      <c r="Q2356" s="86"/>
      <c r="R2356" s="86"/>
      <c r="S2356" s="86"/>
      <c r="T2356" s="86"/>
      <c r="U2356" s="86"/>
      <c r="V2356" s="48"/>
      <c r="W2356" s="48"/>
      <c r="X2356" s="48"/>
      <c r="Y2356" s="48"/>
      <c r="Z2356" s="48"/>
      <c r="AA2356" s="48"/>
      <c r="AB2356" s="48"/>
      <c r="AC2356" s="48"/>
      <c r="AD2356" s="48"/>
      <c r="AE2356" s="48"/>
      <c r="AF2356" s="48"/>
      <c r="AG2356" s="48"/>
      <c r="AH2356" s="48"/>
      <c r="AI2356" s="48"/>
      <c r="AJ2356" s="48"/>
      <c r="AK2356" s="48"/>
      <c r="AL2356" s="48"/>
      <c r="AM2356" s="48"/>
      <c r="AN2356" s="48"/>
      <c r="AO2356" s="48"/>
      <c r="AP2356" s="48"/>
      <c r="AQ2356" s="48"/>
      <c r="AR2356" s="48"/>
      <c r="AS2356" s="48"/>
      <c r="AT2356" s="48"/>
      <c r="AU2356" s="48"/>
      <c r="AV2356" s="48"/>
      <c r="AW2356" s="48"/>
      <c r="AX2356" s="48"/>
      <c r="AY2356" s="48"/>
      <c r="AZ2356" s="48"/>
      <c r="BA2356" s="48"/>
      <c r="BB2356" s="48"/>
      <c r="BC2356" s="48"/>
      <c r="BD2356" s="48"/>
    </row>
    <row r="2357" spans="1:56">
      <c r="A2357" s="48"/>
      <c r="B2357" s="48"/>
      <c r="C2357" s="49"/>
      <c r="D2357" s="48"/>
      <c r="E2357" s="48"/>
      <c r="F2357" s="48"/>
      <c r="G2357" s="48"/>
      <c r="H2357" s="48"/>
      <c r="I2357" s="48"/>
      <c r="J2357" s="86"/>
      <c r="K2357" s="86"/>
      <c r="L2357" s="86"/>
      <c r="M2357" s="86"/>
      <c r="N2357" s="86"/>
      <c r="O2357" s="86"/>
      <c r="P2357" s="86"/>
      <c r="Q2357" s="86"/>
      <c r="R2357" s="86"/>
      <c r="S2357" s="86"/>
      <c r="T2357" s="86"/>
      <c r="U2357" s="86"/>
      <c r="V2357" s="48"/>
      <c r="W2357" s="48"/>
      <c r="X2357" s="48"/>
      <c r="Y2357" s="48"/>
      <c r="Z2357" s="48"/>
      <c r="AA2357" s="48"/>
      <c r="AB2357" s="48"/>
      <c r="AC2357" s="48"/>
      <c r="AD2357" s="48"/>
      <c r="AE2357" s="48"/>
      <c r="AF2357" s="48"/>
      <c r="AG2357" s="48"/>
      <c r="AH2357" s="48"/>
      <c r="AI2357" s="48"/>
      <c r="AJ2357" s="48"/>
      <c r="AK2357" s="48"/>
      <c r="AL2357" s="48"/>
      <c r="AM2357" s="48"/>
      <c r="AN2357" s="48"/>
      <c r="AO2357" s="48"/>
      <c r="AP2357" s="48"/>
      <c r="AQ2357" s="48"/>
      <c r="AR2357" s="48"/>
      <c r="AS2357" s="48"/>
      <c r="AT2357" s="48"/>
      <c r="AU2357" s="48"/>
      <c r="AV2357" s="48"/>
      <c r="AW2357" s="48"/>
      <c r="AX2357" s="48"/>
      <c r="AY2357" s="48"/>
      <c r="AZ2357" s="48"/>
      <c r="BA2357" s="48"/>
      <c r="BB2357" s="48"/>
      <c r="BC2357" s="48"/>
      <c r="BD2357" s="48"/>
    </row>
    <row r="2358" spans="1:56">
      <c r="A2358" s="48"/>
      <c r="B2358" s="48"/>
      <c r="C2358" s="49"/>
      <c r="D2358" s="48"/>
      <c r="E2358" s="48"/>
      <c r="F2358" s="48"/>
      <c r="G2358" s="48"/>
      <c r="H2358" s="48"/>
      <c r="I2358" s="48"/>
      <c r="J2358" s="86"/>
      <c r="K2358" s="86"/>
      <c r="L2358" s="86"/>
      <c r="M2358" s="86"/>
      <c r="N2358" s="86"/>
      <c r="O2358" s="86"/>
      <c r="P2358" s="86"/>
      <c r="Q2358" s="86"/>
      <c r="R2358" s="86"/>
      <c r="S2358" s="86"/>
      <c r="T2358" s="86"/>
      <c r="U2358" s="86"/>
      <c r="V2358" s="48"/>
      <c r="W2358" s="48"/>
      <c r="X2358" s="48"/>
      <c r="Y2358" s="48"/>
      <c r="Z2358" s="48"/>
      <c r="AA2358" s="48"/>
      <c r="AB2358" s="48"/>
      <c r="AC2358" s="48"/>
      <c r="AD2358" s="48"/>
      <c r="AE2358" s="48"/>
      <c r="AF2358" s="48"/>
      <c r="AG2358" s="48"/>
      <c r="AH2358" s="48"/>
      <c r="AI2358" s="48"/>
      <c r="AJ2358" s="48"/>
      <c r="AK2358" s="48"/>
      <c r="AL2358" s="48"/>
      <c r="AM2358" s="48"/>
      <c r="AN2358" s="48"/>
      <c r="AO2358" s="48"/>
      <c r="AP2358" s="48"/>
      <c r="AQ2358" s="48"/>
      <c r="AR2358" s="48"/>
      <c r="AS2358" s="48"/>
      <c r="AT2358" s="48"/>
      <c r="AU2358" s="48"/>
      <c r="AV2358" s="48"/>
      <c r="AW2358" s="48"/>
      <c r="AX2358" s="48"/>
      <c r="AY2358" s="48"/>
      <c r="AZ2358" s="48"/>
      <c r="BA2358" s="48"/>
      <c r="BB2358" s="48"/>
      <c r="BC2358" s="48"/>
      <c r="BD2358" s="48"/>
    </row>
    <row r="2359" spans="1:56">
      <c r="A2359" s="48"/>
      <c r="B2359" s="48"/>
      <c r="C2359" s="49"/>
      <c r="D2359" s="48"/>
      <c r="E2359" s="48"/>
      <c r="F2359" s="48"/>
      <c r="G2359" s="48"/>
      <c r="H2359" s="48"/>
      <c r="I2359" s="48"/>
      <c r="J2359" s="86"/>
      <c r="K2359" s="86"/>
      <c r="L2359" s="86"/>
      <c r="M2359" s="86"/>
      <c r="N2359" s="86"/>
      <c r="O2359" s="86"/>
      <c r="P2359" s="86"/>
      <c r="Q2359" s="86"/>
      <c r="R2359" s="86"/>
      <c r="S2359" s="86"/>
      <c r="T2359" s="86"/>
      <c r="U2359" s="86"/>
      <c r="V2359" s="48"/>
      <c r="W2359" s="48"/>
      <c r="X2359" s="48"/>
      <c r="Y2359" s="48"/>
      <c r="Z2359" s="48"/>
      <c r="AA2359" s="48"/>
      <c r="AB2359" s="48"/>
      <c r="AC2359" s="48"/>
      <c r="AD2359" s="48"/>
      <c r="AE2359" s="48"/>
      <c r="AF2359" s="48"/>
      <c r="AG2359" s="48"/>
      <c r="AH2359" s="48"/>
      <c r="AI2359" s="48"/>
      <c r="AJ2359" s="48"/>
      <c r="AK2359" s="48"/>
      <c r="AL2359" s="48"/>
      <c r="AM2359" s="48"/>
      <c r="AN2359" s="48"/>
      <c r="AO2359" s="48"/>
      <c r="AP2359" s="48"/>
      <c r="AQ2359" s="48"/>
      <c r="AR2359" s="48"/>
      <c r="AS2359" s="48"/>
      <c r="AT2359" s="48"/>
      <c r="AU2359" s="48"/>
      <c r="AV2359" s="48"/>
      <c r="AW2359" s="48"/>
      <c r="AX2359" s="48"/>
      <c r="AY2359" s="48"/>
      <c r="AZ2359" s="48"/>
      <c r="BA2359" s="48"/>
      <c r="BB2359" s="48"/>
      <c r="BC2359" s="48"/>
      <c r="BD2359" s="48"/>
    </row>
    <row r="2360" spans="1:56">
      <c r="A2360" s="48"/>
      <c r="B2360" s="48"/>
      <c r="C2360" s="49"/>
      <c r="D2360" s="48"/>
      <c r="E2360" s="48"/>
      <c r="F2360" s="48"/>
      <c r="G2360" s="48"/>
      <c r="H2360" s="48"/>
      <c r="I2360" s="48"/>
      <c r="J2360" s="86"/>
      <c r="K2360" s="86"/>
      <c r="L2360" s="86"/>
      <c r="M2360" s="86"/>
      <c r="N2360" s="86"/>
      <c r="O2360" s="86"/>
      <c r="P2360" s="86"/>
      <c r="Q2360" s="86"/>
      <c r="R2360" s="86"/>
      <c r="S2360" s="86"/>
      <c r="T2360" s="86"/>
      <c r="U2360" s="86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48"/>
      <c r="BB2360" s="48"/>
      <c r="BC2360" s="48"/>
      <c r="BD2360" s="48"/>
    </row>
    <row r="2361" spans="1:56">
      <c r="A2361" s="48"/>
      <c r="B2361" s="48"/>
      <c r="C2361" s="49"/>
      <c r="D2361" s="48"/>
      <c r="E2361" s="48"/>
      <c r="F2361" s="48"/>
      <c r="G2361" s="48"/>
      <c r="H2361" s="48"/>
      <c r="I2361" s="48"/>
      <c r="J2361" s="86"/>
      <c r="K2361" s="86"/>
      <c r="L2361" s="86"/>
      <c r="M2361" s="86"/>
      <c r="N2361" s="86"/>
      <c r="O2361" s="86"/>
      <c r="P2361" s="86"/>
      <c r="Q2361" s="86"/>
      <c r="R2361" s="86"/>
      <c r="S2361" s="86"/>
      <c r="T2361" s="86"/>
      <c r="U2361" s="86"/>
      <c r="V2361" s="48"/>
      <c r="W2361" s="48"/>
      <c r="X2361" s="48"/>
      <c r="Y2361" s="48"/>
      <c r="Z2361" s="48"/>
      <c r="AA2361" s="48"/>
      <c r="AB2361" s="48"/>
      <c r="AC2361" s="48"/>
      <c r="AD2361" s="48"/>
      <c r="AE2361" s="48"/>
      <c r="AF2361" s="48"/>
      <c r="AG2361" s="48"/>
      <c r="AH2361" s="48"/>
      <c r="AI2361" s="48"/>
      <c r="AJ2361" s="48"/>
      <c r="AK2361" s="48"/>
      <c r="AL2361" s="48"/>
      <c r="AM2361" s="48"/>
      <c r="AN2361" s="48"/>
      <c r="AO2361" s="48"/>
      <c r="AP2361" s="48"/>
      <c r="AQ2361" s="48"/>
      <c r="AR2361" s="48"/>
      <c r="AS2361" s="48"/>
      <c r="AT2361" s="48"/>
      <c r="AU2361" s="48"/>
      <c r="AV2361" s="48"/>
      <c r="AW2361" s="48"/>
      <c r="AX2361" s="48"/>
      <c r="AY2361" s="48"/>
      <c r="AZ2361" s="48"/>
      <c r="BA2361" s="48"/>
      <c r="BB2361" s="48"/>
      <c r="BC2361" s="48"/>
      <c r="BD2361" s="48"/>
    </row>
    <row r="2362" spans="1:56">
      <c r="A2362" s="48"/>
      <c r="B2362" s="48"/>
      <c r="C2362" s="49"/>
      <c r="D2362" s="48"/>
      <c r="E2362" s="48"/>
      <c r="F2362" s="48"/>
      <c r="G2362" s="48"/>
      <c r="H2362" s="48"/>
      <c r="I2362" s="48"/>
      <c r="J2362" s="86"/>
      <c r="K2362" s="86"/>
      <c r="L2362" s="86"/>
      <c r="M2362" s="86"/>
      <c r="N2362" s="86"/>
      <c r="O2362" s="86"/>
      <c r="P2362" s="86"/>
      <c r="Q2362" s="86"/>
      <c r="R2362" s="86"/>
      <c r="S2362" s="86"/>
      <c r="T2362" s="86"/>
      <c r="U2362" s="86"/>
      <c r="V2362" s="48"/>
      <c r="W2362" s="48"/>
      <c r="X2362" s="48"/>
      <c r="Y2362" s="48"/>
      <c r="Z2362" s="48"/>
      <c r="AA2362" s="48"/>
      <c r="AB2362" s="48"/>
      <c r="AC2362" s="48"/>
      <c r="AD2362" s="48"/>
      <c r="AE2362" s="48"/>
      <c r="AF2362" s="48"/>
      <c r="AG2362" s="48"/>
      <c r="AH2362" s="48"/>
      <c r="AI2362" s="48"/>
      <c r="AJ2362" s="48"/>
      <c r="AK2362" s="48"/>
      <c r="AL2362" s="48"/>
      <c r="AM2362" s="48"/>
      <c r="AN2362" s="48"/>
      <c r="AO2362" s="48"/>
      <c r="AP2362" s="48"/>
      <c r="AQ2362" s="48"/>
      <c r="AR2362" s="48"/>
      <c r="AS2362" s="48"/>
      <c r="AT2362" s="48"/>
      <c r="AU2362" s="48"/>
      <c r="AV2362" s="48"/>
      <c r="AW2362" s="48"/>
      <c r="AX2362" s="48"/>
      <c r="AY2362" s="48"/>
      <c r="AZ2362" s="48"/>
      <c r="BA2362" s="48"/>
      <c r="BB2362" s="48"/>
      <c r="BC2362" s="48"/>
      <c r="BD2362" s="48"/>
    </row>
    <row r="2363" spans="1:56">
      <c r="A2363" s="48"/>
      <c r="B2363" s="48"/>
      <c r="C2363" s="49"/>
      <c r="D2363" s="48"/>
      <c r="E2363" s="48"/>
      <c r="F2363" s="48"/>
      <c r="G2363" s="48"/>
      <c r="H2363" s="48"/>
      <c r="I2363" s="48"/>
      <c r="J2363" s="86"/>
      <c r="K2363" s="86"/>
      <c r="L2363" s="86"/>
      <c r="M2363" s="86"/>
      <c r="N2363" s="86"/>
      <c r="O2363" s="86"/>
      <c r="P2363" s="86"/>
      <c r="Q2363" s="86"/>
      <c r="R2363" s="86"/>
      <c r="S2363" s="86"/>
      <c r="T2363" s="86"/>
      <c r="U2363" s="86"/>
      <c r="V2363" s="48"/>
      <c r="W2363" s="48"/>
      <c r="X2363" s="48"/>
      <c r="Y2363" s="48"/>
      <c r="Z2363" s="48"/>
      <c r="AA2363" s="48"/>
      <c r="AB2363" s="48"/>
      <c r="AC2363" s="48"/>
      <c r="AD2363" s="48"/>
      <c r="AE2363" s="48"/>
      <c r="AF2363" s="48"/>
      <c r="AG2363" s="48"/>
      <c r="AH2363" s="48"/>
      <c r="AI2363" s="48"/>
      <c r="AJ2363" s="48"/>
      <c r="AK2363" s="48"/>
      <c r="AL2363" s="48"/>
      <c r="AM2363" s="48"/>
      <c r="AN2363" s="48"/>
      <c r="AO2363" s="48"/>
      <c r="AP2363" s="48"/>
      <c r="AQ2363" s="48"/>
      <c r="AR2363" s="48"/>
      <c r="AS2363" s="48"/>
      <c r="AT2363" s="48"/>
      <c r="AU2363" s="48"/>
      <c r="AV2363" s="48"/>
      <c r="AW2363" s="48"/>
      <c r="AX2363" s="48"/>
      <c r="AY2363" s="48"/>
      <c r="AZ2363" s="48"/>
      <c r="BA2363" s="48"/>
      <c r="BB2363" s="48"/>
      <c r="BC2363" s="48"/>
      <c r="BD2363" s="48"/>
    </row>
    <row r="2364" spans="1:56">
      <c r="A2364" s="48"/>
      <c r="B2364" s="48"/>
      <c r="C2364" s="49"/>
      <c r="D2364" s="48"/>
      <c r="E2364" s="48"/>
      <c r="F2364" s="48"/>
      <c r="G2364" s="48"/>
      <c r="H2364" s="48"/>
      <c r="I2364" s="48"/>
      <c r="J2364" s="86"/>
      <c r="K2364" s="86"/>
      <c r="L2364" s="86"/>
      <c r="M2364" s="86"/>
      <c r="N2364" s="86"/>
      <c r="O2364" s="86"/>
      <c r="P2364" s="86"/>
      <c r="Q2364" s="86"/>
      <c r="R2364" s="86"/>
      <c r="S2364" s="86"/>
      <c r="T2364" s="86"/>
      <c r="U2364" s="86"/>
      <c r="V2364" s="48"/>
      <c r="W2364" s="48"/>
      <c r="X2364" s="48"/>
      <c r="Y2364" s="48"/>
      <c r="Z2364" s="48"/>
      <c r="AA2364" s="48"/>
      <c r="AB2364" s="48"/>
      <c r="AC2364" s="48"/>
      <c r="AD2364" s="48"/>
      <c r="AE2364" s="48"/>
      <c r="AF2364" s="48"/>
      <c r="AG2364" s="48"/>
      <c r="AH2364" s="48"/>
      <c r="AI2364" s="48"/>
      <c r="AJ2364" s="48"/>
      <c r="AK2364" s="48"/>
      <c r="AL2364" s="48"/>
      <c r="AM2364" s="48"/>
      <c r="AN2364" s="48"/>
      <c r="AO2364" s="48"/>
      <c r="AP2364" s="48"/>
      <c r="AQ2364" s="48"/>
      <c r="AR2364" s="48"/>
      <c r="AS2364" s="48"/>
      <c r="AT2364" s="48"/>
      <c r="AU2364" s="48"/>
      <c r="AV2364" s="48"/>
      <c r="AW2364" s="48"/>
      <c r="AX2364" s="48"/>
      <c r="AY2364" s="48"/>
      <c r="AZ2364" s="48"/>
      <c r="BA2364" s="48"/>
      <c r="BB2364" s="48"/>
      <c r="BC2364" s="48"/>
      <c r="BD2364" s="48"/>
    </row>
    <row r="2365" spans="1:56">
      <c r="A2365" s="48"/>
      <c r="B2365" s="48"/>
      <c r="C2365" s="49"/>
      <c r="D2365" s="48"/>
      <c r="E2365" s="48"/>
      <c r="F2365" s="48"/>
      <c r="G2365" s="48"/>
      <c r="H2365" s="48"/>
      <c r="I2365" s="48"/>
      <c r="J2365" s="86"/>
      <c r="K2365" s="86"/>
      <c r="L2365" s="86"/>
      <c r="M2365" s="86"/>
      <c r="N2365" s="86"/>
      <c r="O2365" s="86"/>
      <c r="P2365" s="86"/>
      <c r="Q2365" s="86"/>
      <c r="R2365" s="86"/>
      <c r="S2365" s="86"/>
      <c r="T2365" s="86"/>
      <c r="U2365" s="86"/>
      <c r="V2365" s="48"/>
      <c r="W2365" s="48"/>
      <c r="X2365" s="48"/>
      <c r="Y2365" s="48"/>
      <c r="Z2365" s="48"/>
      <c r="AA2365" s="48"/>
      <c r="AB2365" s="48"/>
      <c r="AC2365" s="48"/>
      <c r="AD2365" s="48"/>
      <c r="AE2365" s="48"/>
      <c r="AF2365" s="48"/>
      <c r="AG2365" s="48"/>
      <c r="AH2365" s="48"/>
      <c r="AI2365" s="48"/>
      <c r="AJ2365" s="48"/>
      <c r="AK2365" s="48"/>
      <c r="AL2365" s="48"/>
      <c r="AM2365" s="48"/>
      <c r="AN2365" s="48"/>
      <c r="AO2365" s="48"/>
      <c r="AP2365" s="48"/>
      <c r="AQ2365" s="48"/>
      <c r="AR2365" s="48"/>
      <c r="AS2365" s="48"/>
      <c r="AT2365" s="48"/>
      <c r="AU2365" s="48"/>
      <c r="AV2365" s="48"/>
      <c r="AW2365" s="48"/>
      <c r="AX2365" s="48"/>
      <c r="AY2365" s="48"/>
      <c r="AZ2365" s="48"/>
      <c r="BA2365" s="48"/>
      <c r="BB2365" s="48"/>
      <c r="BC2365" s="48"/>
      <c r="BD2365" s="48"/>
    </row>
    <row r="2366" spans="1:56">
      <c r="A2366" s="48"/>
      <c r="B2366" s="48"/>
      <c r="C2366" s="49"/>
      <c r="D2366" s="48"/>
      <c r="E2366" s="48"/>
      <c r="F2366" s="48"/>
      <c r="G2366" s="48"/>
      <c r="H2366" s="48"/>
      <c r="I2366" s="48"/>
      <c r="J2366" s="86"/>
      <c r="K2366" s="86"/>
      <c r="L2366" s="86"/>
      <c r="M2366" s="86"/>
      <c r="N2366" s="86"/>
      <c r="O2366" s="86"/>
      <c r="P2366" s="86"/>
      <c r="Q2366" s="86"/>
      <c r="R2366" s="86"/>
      <c r="S2366" s="86"/>
      <c r="T2366" s="86"/>
      <c r="U2366" s="86"/>
      <c r="V2366" s="48"/>
      <c r="W2366" s="48"/>
      <c r="X2366" s="48"/>
      <c r="Y2366" s="48"/>
      <c r="Z2366" s="48"/>
      <c r="AA2366" s="48"/>
      <c r="AB2366" s="48"/>
      <c r="AC2366" s="48"/>
      <c r="AD2366" s="48"/>
      <c r="AE2366" s="48"/>
      <c r="AF2366" s="48"/>
      <c r="AG2366" s="48"/>
      <c r="AH2366" s="48"/>
      <c r="AI2366" s="48"/>
      <c r="AJ2366" s="48"/>
      <c r="AK2366" s="48"/>
      <c r="AL2366" s="48"/>
      <c r="AM2366" s="48"/>
      <c r="AN2366" s="48"/>
      <c r="AO2366" s="48"/>
      <c r="AP2366" s="48"/>
      <c r="AQ2366" s="48"/>
      <c r="AR2366" s="48"/>
      <c r="AS2366" s="48"/>
      <c r="AT2366" s="48"/>
      <c r="AU2366" s="48"/>
      <c r="AV2366" s="48"/>
      <c r="AW2366" s="48"/>
      <c r="AX2366" s="48"/>
      <c r="AY2366" s="48"/>
      <c r="AZ2366" s="48"/>
      <c r="BA2366" s="48"/>
      <c r="BB2366" s="48"/>
      <c r="BC2366" s="48"/>
      <c r="BD2366" s="48"/>
    </row>
    <row r="2367" spans="1:56">
      <c r="A2367" s="48"/>
      <c r="B2367" s="48"/>
      <c r="C2367" s="49"/>
      <c r="D2367" s="48"/>
      <c r="E2367" s="48"/>
      <c r="F2367" s="48"/>
      <c r="G2367" s="48"/>
      <c r="H2367" s="48"/>
      <c r="I2367" s="48"/>
      <c r="J2367" s="86"/>
      <c r="K2367" s="86"/>
      <c r="L2367" s="86"/>
      <c r="M2367" s="86"/>
      <c r="N2367" s="86"/>
      <c r="O2367" s="86"/>
      <c r="P2367" s="86"/>
      <c r="Q2367" s="86"/>
      <c r="R2367" s="86"/>
      <c r="S2367" s="86"/>
      <c r="T2367" s="86"/>
      <c r="U2367" s="86"/>
      <c r="V2367" s="48"/>
      <c r="W2367" s="48"/>
      <c r="X2367" s="48"/>
      <c r="Y2367" s="48"/>
      <c r="Z2367" s="48"/>
      <c r="AA2367" s="48"/>
      <c r="AB2367" s="48"/>
      <c r="AC2367" s="48"/>
      <c r="AD2367" s="48"/>
      <c r="AE2367" s="48"/>
      <c r="AF2367" s="48"/>
      <c r="AG2367" s="48"/>
      <c r="AH2367" s="48"/>
      <c r="AI2367" s="48"/>
      <c r="AJ2367" s="48"/>
      <c r="AK2367" s="48"/>
      <c r="AL2367" s="48"/>
      <c r="AM2367" s="48"/>
      <c r="AN2367" s="48"/>
      <c r="AO2367" s="48"/>
      <c r="AP2367" s="48"/>
      <c r="AQ2367" s="48"/>
      <c r="AR2367" s="48"/>
      <c r="AS2367" s="48"/>
      <c r="AT2367" s="48"/>
      <c r="AU2367" s="48"/>
      <c r="AV2367" s="48"/>
      <c r="AW2367" s="48"/>
      <c r="AX2367" s="48"/>
      <c r="AY2367" s="48"/>
      <c r="AZ2367" s="48"/>
      <c r="BA2367" s="48"/>
      <c r="BB2367" s="48"/>
      <c r="BC2367" s="48"/>
      <c r="BD2367" s="48"/>
    </row>
    <row r="2368" spans="1:56">
      <c r="A2368" s="48"/>
      <c r="B2368" s="48"/>
      <c r="C2368" s="49"/>
      <c r="D2368" s="48"/>
      <c r="E2368" s="48"/>
      <c r="F2368" s="48"/>
      <c r="G2368" s="48"/>
      <c r="H2368" s="48"/>
      <c r="I2368" s="48"/>
      <c r="J2368" s="86"/>
      <c r="K2368" s="86"/>
      <c r="L2368" s="86"/>
      <c r="M2368" s="86"/>
      <c r="N2368" s="86"/>
      <c r="O2368" s="86"/>
      <c r="P2368" s="86"/>
      <c r="Q2368" s="86"/>
      <c r="R2368" s="86"/>
      <c r="S2368" s="86"/>
      <c r="T2368" s="86"/>
      <c r="U2368" s="86"/>
      <c r="V2368" s="48"/>
      <c r="W2368" s="48"/>
      <c r="X2368" s="48"/>
      <c r="Y2368" s="48"/>
      <c r="Z2368" s="48"/>
      <c r="AA2368" s="48"/>
      <c r="AB2368" s="48"/>
      <c r="AC2368" s="48"/>
      <c r="AD2368" s="48"/>
      <c r="AE2368" s="48"/>
      <c r="AF2368" s="48"/>
      <c r="AG2368" s="48"/>
      <c r="AH2368" s="48"/>
      <c r="AI2368" s="48"/>
      <c r="AJ2368" s="48"/>
      <c r="AK2368" s="48"/>
      <c r="AL2368" s="48"/>
      <c r="AM2368" s="48"/>
      <c r="AN2368" s="48"/>
      <c r="AO2368" s="48"/>
      <c r="AP2368" s="48"/>
      <c r="AQ2368" s="48"/>
      <c r="AR2368" s="48"/>
      <c r="AS2368" s="48"/>
      <c r="AT2368" s="48"/>
      <c r="AU2368" s="48"/>
      <c r="AV2368" s="48"/>
      <c r="AW2368" s="48"/>
      <c r="AX2368" s="48"/>
      <c r="AY2368" s="48"/>
      <c r="AZ2368" s="48"/>
      <c r="BA2368" s="48"/>
      <c r="BB2368" s="48"/>
      <c r="BC2368" s="48"/>
      <c r="BD2368" s="48"/>
    </row>
    <row r="2369" spans="1:56">
      <c r="A2369" s="48"/>
      <c r="B2369" s="48"/>
      <c r="C2369" s="49"/>
      <c r="D2369" s="48"/>
      <c r="E2369" s="48"/>
      <c r="F2369" s="48"/>
      <c r="G2369" s="48"/>
      <c r="H2369" s="48"/>
      <c r="I2369" s="48"/>
      <c r="J2369" s="86"/>
      <c r="K2369" s="86"/>
      <c r="L2369" s="86"/>
      <c r="M2369" s="86"/>
      <c r="N2369" s="86"/>
      <c r="O2369" s="86"/>
      <c r="P2369" s="86"/>
      <c r="Q2369" s="86"/>
      <c r="R2369" s="86"/>
      <c r="S2369" s="86"/>
      <c r="T2369" s="86"/>
      <c r="U2369" s="86"/>
      <c r="V2369" s="48"/>
      <c r="W2369" s="48"/>
      <c r="X2369" s="48"/>
      <c r="Y2369" s="48"/>
      <c r="Z2369" s="48"/>
      <c r="AA2369" s="48"/>
      <c r="AB2369" s="48"/>
      <c r="AC2369" s="48"/>
      <c r="AD2369" s="48"/>
      <c r="AE2369" s="48"/>
      <c r="AF2369" s="48"/>
      <c r="AG2369" s="48"/>
      <c r="AH2369" s="48"/>
      <c r="AI2369" s="48"/>
      <c r="AJ2369" s="48"/>
      <c r="AK2369" s="48"/>
      <c r="AL2369" s="48"/>
      <c r="AM2369" s="48"/>
      <c r="AN2369" s="48"/>
      <c r="AO2369" s="48"/>
      <c r="AP2369" s="48"/>
      <c r="AQ2369" s="48"/>
      <c r="AR2369" s="48"/>
      <c r="AS2369" s="48"/>
      <c r="AT2369" s="48"/>
      <c r="AU2369" s="48"/>
      <c r="AV2369" s="48"/>
      <c r="AW2369" s="48"/>
      <c r="AX2369" s="48"/>
      <c r="AY2369" s="48"/>
      <c r="AZ2369" s="48"/>
      <c r="BA2369" s="48"/>
      <c r="BB2369" s="48"/>
      <c r="BC2369" s="48"/>
      <c r="BD2369" s="48"/>
    </row>
    <row r="2370" spans="1:56">
      <c r="A2370" s="48"/>
      <c r="B2370" s="48"/>
      <c r="C2370" s="49"/>
      <c r="D2370" s="48"/>
      <c r="E2370" s="48"/>
      <c r="F2370" s="48"/>
      <c r="G2370" s="48"/>
      <c r="H2370" s="48"/>
      <c r="I2370" s="48"/>
      <c r="J2370" s="86"/>
      <c r="K2370" s="86"/>
      <c r="L2370" s="86"/>
      <c r="M2370" s="86"/>
      <c r="N2370" s="86"/>
      <c r="O2370" s="86"/>
      <c r="P2370" s="86"/>
      <c r="Q2370" s="86"/>
      <c r="R2370" s="86"/>
      <c r="S2370" s="86"/>
      <c r="T2370" s="86"/>
      <c r="U2370" s="86"/>
      <c r="V2370" s="48"/>
      <c r="W2370" s="48"/>
      <c r="X2370" s="48"/>
      <c r="Y2370" s="48"/>
      <c r="Z2370" s="48"/>
      <c r="AA2370" s="48"/>
      <c r="AB2370" s="48"/>
      <c r="AC2370" s="48"/>
      <c r="AD2370" s="48"/>
      <c r="AE2370" s="48"/>
      <c r="AF2370" s="48"/>
      <c r="AG2370" s="48"/>
      <c r="AH2370" s="48"/>
      <c r="AI2370" s="48"/>
      <c r="AJ2370" s="48"/>
      <c r="AK2370" s="48"/>
      <c r="AL2370" s="48"/>
      <c r="AM2370" s="48"/>
      <c r="AN2370" s="48"/>
      <c r="AO2370" s="48"/>
      <c r="AP2370" s="48"/>
      <c r="AQ2370" s="48"/>
      <c r="AR2370" s="48"/>
      <c r="AS2370" s="48"/>
      <c r="AT2370" s="48"/>
      <c r="AU2370" s="48"/>
      <c r="AV2370" s="48"/>
      <c r="AW2370" s="48"/>
      <c r="AX2370" s="48"/>
      <c r="AY2370" s="48"/>
      <c r="AZ2370" s="48"/>
      <c r="BA2370" s="48"/>
      <c r="BB2370" s="48"/>
      <c r="BC2370" s="48"/>
      <c r="BD2370" s="48"/>
    </row>
    <row r="2371" spans="1:56">
      <c r="A2371" s="48"/>
      <c r="B2371" s="48"/>
      <c r="C2371" s="49"/>
      <c r="D2371" s="48"/>
      <c r="E2371" s="48"/>
      <c r="F2371" s="48"/>
      <c r="G2371" s="48"/>
      <c r="H2371" s="48"/>
      <c r="I2371" s="48"/>
      <c r="J2371" s="86"/>
      <c r="K2371" s="86"/>
      <c r="L2371" s="86"/>
      <c r="M2371" s="86"/>
      <c r="N2371" s="86"/>
      <c r="O2371" s="86"/>
      <c r="P2371" s="86"/>
      <c r="Q2371" s="86"/>
      <c r="R2371" s="86"/>
      <c r="S2371" s="86"/>
      <c r="T2371" s="86"/>
      <c r="U2371" s="86"/>
      <c r="V2371" s="48"/>
      <c r="W2371" s="48"/>
      <c r="X2371" s="48"/>
      <c r="Y2371" s="48"/>
      <c r="Z2371" s="48"/>
      <c r="AA2371" s="48"/>
      <c r="AB2371" s="48"/>
      <c r="AC2371" s="48"/>
      <c r="AD2371" s="48"/>
      <c r="AE2371" s="48"/>
      <c r="AF2371" s="48"/>
      <c r="AG2371" s="48"/>
      <c r="AH2371" s="48"/>
      <c r="AI2371" s="48"/>
      <c r="AJ2371" s="48"/>
      <c r="AK2371" s="48"/>
      <c r="AL2371" s="48"/>
      <c r="AM2371" s="48"/>
      <c r="AN2371" s="48"/>
      <c r="AO2371" s="48"/>
      <c r="AP2371" s="48"/>
      <c r="AQ2371" s="48"/>
      <c r="AR2371" s="48"/>
      <c r="AS2371" s="48"/>
      <c r="AT2371" s="48"/>
      <c r="AU2371" s="48"/>
      <c r="AV2371" s="48"/>
      <c r="AW2371" s="48"/>
      <c r="AX2371" s="48"/>
      <c r="AY2371" s="48"/>
      <c r="AZ2371" s="48"/>
      <c r="BA2371" s="48"/>
      <c r="BB2371" s="48"/>
      <c r="BC2371" s="48"/>
      <c r="BD2371" s="48"/>
    </row>
    <row r="2372" spans="1:56">
      <c r="A2372" s="48"/>
      <c r="B2372" s="48"/>
      <c r="C2372" s="49"/>
      <c r="D2372" s="48"/>
      <c r="E2372" s="48"/>
      <c r="F2372" s="48"/>
      <c r="G2372" s="48"/>
      <c r="H2372" s="48"/>
      <c r="I2372" s="48"/>
      <c r="J2372" s="86"/>
      <c r="K2372" s="86"/>
      <c r="L2372" s="86"/>
      <c r="M2372" s="86"/>
      <c r="N2372" s="86"/>
      <c r="O2372" s="86"/>
      <c r="P2372" s="86"/>
      <c r="Q2372" s="86"/>
      <c r="R2372" s="86"/>
      <c r="S2372" s="86"/>
      <c r="T2372" s="86"/>
      <c r="U2372" s="86"/>
      <c r="V2372" s="48"/>
      <c r="W2372" s="48"/>
      <c r="X2372" s="48"/>
      <c r="Y2372" s="48"/>
      <c r="Z2372" s="48"/>
      <c r="AA2372" s="48"/>
      <c r="AB2372" s="48"/>
      <c r="AC2372" s="48"/>
      <c r="AD2372" s="48"/>
      <c r="AE2372" s="48"/>
      <c r="AF2372" s="48"/>
      <c r="AG2372" s="48"/>
      <c r="AH2372" s="48"/>
      <c r="AI2372" s="48"/>
      <c r="AJ2372" s="48"/>
      <c r="AK2372" s="48"/>
      <c r="AL2372" s="48"/>
      <c r="AM2372" s="48"/>
      <c r="AN2372" s="48"/>
      <c r="AO2372" s="48"/>
      <c r="AP2372" s="48"/>
      <c r="AQ2372" s="48"/>
      <c r="AR2372" s="48"/>
      <c r="AS2372" s="48"/>
      <c r="AT2372" s="48"/>
      <c r="AU2372" s="48"/>
      <c r="AV2372" s="48"/>
      <c r="AW2372" s="48"/>
      <c r="AX2372" s="48"/>
      <c r="AY2372" s="48"/>
      <c r="AZ2372" s="48"/>
      <c r="BA2372" s="48"/>
      <c r="BB2372" s="48"/>
      <c r="BC2372" s="48"/>
      <c r="BD2372" s="48"/>
    </row>
    <row r="2373" spans="1:56">
      <c r="A2373" s="48"/>
      <c r="B2373" s="48"/>
      <c r="C2373" s="49"/>
      <c r="D2373" s="48"/>
      <c r="E2373" s="48"/>
      <c r="F2373" s="48"/>
      <c r="G2373" s="48"/>
      <c r="H2373" s="48"/>
      <c r="I2373" s="48"/>
      <c r="J2373" s="86"/>
      <c r="K2373" s="86"/>
      <c r="L2373" s="86"/>
      <c r="M2373" s="86"/>
      <c r="N2373" s="86"/>
      <c r="O2373" s="86"/>
      <c r="P2373" s="86"/>
      <c r="Q2373" s="86"/>
      <c r="R2373" s="86"/>
      <c r="S2373" s="86"/>
      <c r="T2373" s="86"/>
      <c r="U2373" s="86"/>
      <c r="V2373" s="48"/>
      <c r="W2373" s="48"/>
      <c r="X2373" s="48"/>
      <c r="Y2373" s="48"/>
      <c r="Z2373" s="48"/>
      <c r="AA2373" s="48"/>
      <c r="AB2373" s="48"/>
      <c r="AC2373" s="48"/>
      <c r="AD2373" s="48"/>
      <c r="AE2373" s="48"/>
      <c r="AF2373" s="48"/>
      <c r="AG2373" s="48"/>
      <c r="AH2373" s="48"/>
      <c r="AI2373" s="48"/>
      <c r="AJ2373" s="48"/>
      <c r="AK2373" s="48"/>
      <c r="AL2373" s="48"/>
      <c r="AM2373" s="48"/>
      <c r="AN2373" s="48"/>
      <c r="AO2373" s="48"/>
      <c r="AP2373" s="48"/>
      <c r="AQ2373" s="48"/>
      <c r="AR2373" s="48"/>
      <c r="AS2373" s="48"/>
      <c r="AT2373" s="48"/>
      <c r="AU2373" s="48"/>
      <c r="AV2373" s="48"/>
      <c r="AW2373" s="48"/>
      <c r="AX2373" s="48"/>
      <c r="AY2373" s="48"/>
      <c r="AZ2373" s="48"/>
      <c r="BA2373" s="48"/>
      <c r="BB2373" s="48"/>
      <c r="BC2373" s="48"/>
      <c r="BD2373" s="48"/>
    </row>
    <row r="2374" spans="1:56">
      <c r="A2374" s="48"/>
      <c r="B2374" s="48"/>
      <c r="C2374" s="49"/>
      <c r="D2374" s="48"/>
      <c r="E2374" s="48"/>
      <c r="F2374" s="48"/>
      <c r="G2374" s="48"/>
      <c r="H2374" s="48"/>
      <c r="I2374" s="48"/>
      <c r="J2374" s="86"/>
      <c r="K2374" s="86"/>
      <c r="L2374" s="86"/>
      <c r="M2374" s="86"/>
      <c r="N2374" s="86"/>
      <c r="O2374" s="86"/>
      <c r="P2374" s="86"/>
      <c r="Q2374" s="86"/>
      <c r="R2374" s="86"/>
      <c r="S2374" s="86"/>
      <c r="T2374" s="86"/>
      <c r="U2374" s="86"/>
      <c r="V2374" s="48"/>
      <c r="W2374" s="48"/>
      <c r="X2374" s="48"/>
      <c r="Y2374" s="48"/>
      <c r="Z2374" s="48"/>
      <c r="AA2374" s="48"/>
      <c r="AB2374" s="48"/>
      <c r="AC2374" s="48"/>
      <c r="AD2374" s="48"/>
      <c r="AE2374" s="48"/>
      <c r="AF2374" s="48"/>
      <c r="AG2374" s="48"/>
      <c r="AH2374" s="48"/>
      <c r="AI2374" s="48"/>
      <c r="AJ2374" s="48"/>
      <c r="AK2374" s="48"/>
      <c r="AL2374" s="48"/>
      <c r="AM2374" s="48"/>
      <c r="AN2374" s="48"/>
      <c r="AO2374" s="48"/>
      <c r="AP2374" s="48"/>
      <c r="AQ2374" s="48"/>
      <c r="AR2374" s="48"/>
      <c r="AS2374" s="48"/>
      <c r="AT2374" s="48"/>
      <c r="AU2374" s="48"/>
      <c r="AV2374" s="48"/>
      <c r="AW2374" s="48"/>
      <c r="AX2374" s="48"/>
      <c r="AY2374" s="48"/>
      <c r="AZ2374" s="48"/>
      <c r="BA2374" s="48"/>
      <c r="BB2374" s="48"/>
      <c r="BC2374" s="48"/>
      <c r="BD2374" s="48"/>
    </row>
    <row r="2375" spans="1:56">
      <c r="A2375" s="48"/>
      <c r="B2375" s="48"/>
      <c r="C2375" s="49"/>
      <c r="D2375" s="48"/>
      <c r="E2375" s="48"/>
      <c r="F2375" s="48"/>
      <c r="G2375" s="48"/>
      <c r="H2375" s="48"/>
      <c r="I2375" s="48"/>
      <c r="J2375" s="86"/>
      <c r="K2375" s="86"/>
      <c r="L2375" s="86"/>
      <c r="M2375" s="86"/>
      <c r="N2375" s="86"/>
      <c r="O2375" s="86"/>
      <c r="P2375" s="86"/>
      <c r="Q2375" s="86"/>
      <c r="R2375" s="86"/>
      <c r="S2375" s="86"/>
      <c r="T2375" s="86"/>
      <c r="U2375" s="86"/>
      <c r="V2375" s="48"/>
      <c r="W2375" s="48"/>
      <c r="X2375" s="48"/>
      <c r="Y2375" s="48"/>
      <c r="Z2375" s="48"/>
      <c r="AA2375" s="48"/>
      <c r="AB2375" s="48"/>
      <c r="AC2375" s="48"/>
      <c r="AD2375" s="48"/>
      <c r="AE2375" s="48"/>
      <c r="AF2375" s="48"/>
      <c r="AG2375" s="48"/>
      <c r="AH2375" s="48"/>
      <c r="AI2375" s="48"/>
      <c r="AJ2375" s="48"/>
      <c r="AK2375" s="48"/>
      <c r="AL2375" s="48"/>
      <c r="AM2375" s="48"/>
      <c r="AN2375" s="48"/>
      <c r="AO2375" s="48"/>
      <c r="AP2375" s="48"/>
      <c r="AQ2375" s="48"/>
      <c r="AR2375" s="48"/>
      <c r="AS2375" s="48"/>
      <c r="AT2375" s="48"/>
      <c r="AU2375" s="48"/>
      <c r="AV2375" s="48"/>
      <c r="AW2375" s="48"/>
      <c r="AX2375" s="48"/>
      <c r="AY2375" s="48"/>
      <c r="AZ2375" s="48"/>
      <c r="BA2375" s="48"/>
      <c r="BB2375" s="48"/>
      <c r="BC2375" s="48"/>
      <c r="BD2375" s="48"/>
    </row>
    <row r="2376" spans="1:56">
      <c r="A2376" s="48"/>
      <c r="B2376" s="48"/>
      <c r="C2376" s="49"/>
      <c r="D2376" s="48"/>
      <c r="E2376" s="48"/>
      <c r="F2376" s="48"/>
      <c r="G2376" s="48"/>
      <c r="H2376" s="48"/>
      <c r="I2376" s="48"/>
      <c r="J2376" s="86"/>
      <c r="K2376" s="86"/>
      <c r="L2376" s="86"/>
      <c r="M2376" s="86"/>
      <c r="N2376" s="86"/>
      <c r="O2376" s="86"/>
      <c r="P2376" s="86"/>
      <c r="Q2376" s="86"/>
      <c r="R2376" s="86"/>
      <c r="S2376" s="86"/>
      <c r="T2376" s="86"/>
      <c r="U2376" s="86"/>
      <c r="V2376" s="48"/>
      <c r="W2376" s="48"/>
      <c r="X2376" s="48"/>
      <c r="Y2376" s="48"/>
      <c r="Z2376" s="48"/>
      <c r="AA2376" s="48"/>
      <c r="AB2376" s="48"/>
      <c r="AC2376" s="48"/>
      <c r="AD2376" s="48"/>
      <c r="AE2376" s="48"/>
      <c r="AF2376" s="48"/>
      <c r="AG2376" s="48"/>
      <c r="AH2376" s="48"/>
      <c r="AI2376" s="48"/>
      <c r="AJ2376" s="48"/>
      <c r="AK2376" s="48"/>
      <c r="AL2376" s="48"/>
      <c r="AM2376" s="48"/>
      <c r="AN2376" s="48"/>
      <c r="AO2376" s="48"/>
      <c r="AP2376" s="48"/>
      <c r="AQ2376" s="48"/>
      <c r="AR2376" s="48"/>
      <c r="AS2376" s="48"/>
      <c r="AT2376" s="48"/>
      <c r="AU2376" s="48"/>
      <c r="AV2376" s="48"/>
      <c r="AW2376" s="48"/>
      <c r="AX2376" s="48"/>
      <c r="AY2376" s="48"/>
      <c r="AZ2376" s="48"/>
      <c r="BA2376" s="48"/>
      <c r="BB2376" s="48"/>
      <c r="BC2376" s="48"/>
      <c r="BD2376" s="48"/>
    </row>
    <row r="2377" spans="1:56">
      <c r="A2377" s="48"/>
      <c r="B2377" s="48"/>
      <c r="C2377" s="49"/>
      <c r="D2377" s="48"/>
      <c r="E2377" s="48"/>
      <c r="F2377" s="48"/>
      <c r="G2377" s="48"/>
      <c r="H2377" s="48"/>
      <c r="I2377" s="48"/>
      <c r="J2377" s="86"/>
      <c r="K2377" s="86"/>
      <c r="L2377" s="86"/>
      <c r="M2377" s="86"/>
      <c r="N2377" s="86"/>
      <c r="O2377" s="86"/>
      <c r="P2377" s="86"/>
      <c r="Q2377" s="86"/>
      <c r="R2377" s="86"/>
      <c r="S2377" s="86"/>
      <c r="T2377" s="86"/>
      <c r="U2377" s="86"/>
      <c r="V2377" s="48"/>
      <c r="W2377" s="48"/>
      <c r="X2377" s="48"/>
      <c r="Y2377" s="48"/>
      <c r="Z2377" s="48"/>
      <c r="AA2377" s="48"/>
      <c r="AB2377" s="48"/>
      <c r="AC2377" s="48"/>
      <c r="AD2377" s="48"/>
      <c r="AE2377" s="48"/>
      <c r="AF2377" s="48"/>
      <c r="AG2377" s="48"/>
      <c r="AH2377" s="48"/>
      <c r="AI2377" s="48"/>
      <c r="AJ2377" s="48"/>
      <c r="AK2377" s="48"/>
      <c r="AL2377" s="48"/>
      <c r="AM2377" s="48"/>
      <c r="AN2377" s="48"/>
      <c r="AO2377" s="48"/>
      <c r="AP2377" s="48"/>
      <c r="AQ2377" s="48"/>
      <c r="AR2377" s="48"/>
      <c r="AS2377" s="48"/>
      <c r="AT2377" s="48"/>
      <c r="AU2377" s="48"/>
      <c r="AV2377" s="48"/>
      <c r="AW2377" s="48"/>
      <c r="AX2377" s="48"/>
      <c r="AY2377" s="48"/>
      <c r="AZ2377" s="48"/>
      <c r="BA2377" s="48"/>
      <c r="BB2377" s="48"/>
      <c r="BC2377" s="48"/>
      <c r="BD2377" s="48"/>
    </row>
    <row r="2378" spans="1:56">
      <c r="A2378" s="48"/>
      <c r="B2378" s="48"/>
      <c r="C2378" s="49"/>
      <c r="D2378" s="48"/>
      <c r="E2378" s="48"/>
      <c r="F2378" s="48"/>
      <c r="G2378" s="48"/>
      <c r="H2378" s="48"/>
      <c r="I2378" s="48"/>
      <c r="J2378" s="86"/>
      <c r="K2378" s="86"/>
      <c r="L2378" s="86"/>
      <c r="M2378" s="86"/>
      <c r="N2378" s="86"/>
      <c r="O2378" s="86"/>
      <c r="P2378" s="86"/>
      <c r="Q2378" s="86"/>
      <c r="R2378" s="86"/>
      <c r="S2378" s="86"/>
      <c r="T2378" s="86"/>
      <c r="U2378" s="86"/>
      <c r="V2378" s="48"/>
      <c r="W2378" s="48"/>
      <c r="X2378" s="48"/>
      <c r="Y2378" s="48"/>
      <c r="Z2378" s="48"/>
      <c r="AA2378" s="48"/>
      <c r="AB2378" s="48"/>
      <c r="AC2378" s="48"/>
      <c r="AD2378" s="48"/>
      <c r="AE2378" s="48"/>
      <c r="AF2378" s="48"/>
      <c r="AG2378" s="48"/>
      <c r="AH2378" s="48"/>
      <c r="AI2378" s="48"/>
      <c r="AJ2378" s="48"/>
      <c r="AK2378" s="48"/>
      <c r="AL2378" s="48"/>
      <c r="AM2378" s="48"/>
      <c r="AN2378" s="48"/>
      <c r="AO2378" s="48"/>
      <c r="AP2378" s="48"/>
      <c r="AQ2378" s="48"/>
      <c r="AR2378" s="48"/>
      <c r="AS2378" s="48"/>
      <c r="AT2378" s="48"/>
      <c r="AU2378" s="48"/>
      <c r="AV2378" s="48"/>
      <c r="AW2378" s="48"/>
      <c r="AX2378" s="48"/>
      <c r="AY2378" s="48"/>
      <c r="AZ2378" s="48"/>
      <c r="BA2378" s="48"/>
      <c r="BB2378" s="48"/>
      <c r="BC2378" s="48"/>
      <c r="BD2378" s="48"/>
    </row>
    <row r="2379" spans="1:56">
      <c r="A2379" s="48"/>
      <c r="B2379" s="48"/>
      <c r="C2379" s="49"/>
      <c r="D2379" s="48"/>
      <c r="E2379" s="48"/>
      <c r="F2379" s="48"/>
      <c r="G2379" s="48"/>
      <c r="H2379" s="48"/>
      <c r="I2379" s="48"/>
      <c r="J2379" s="86"/>
      <c r="K2379" s="86"/>
      <c r="L2379" s="86"/>
      <c r="M2379" s="86"/>
      <c r="N2379" s="86"/>
      <c r="O2379" s="86"/>
      <c r="P2379" s="86"/>
      <c r="Q2379" s="86"/>
      <c r="R2379" s="86"/>
      <c r="S2379" s="86"/>
      <c r="T2379" s="86"/>
      <c r="U2379" s="86"/>
      <c r="V2379" s="48"/>
      <c r="W2379" s="48"/>
      <c r="X2379" s="48"/>
      <c r="Y2379" s="48"/>
      <c r="Z2379" s="48"/>
      <c r="AA2379" s="48"/>
      <c r="AB2379" s="48"/>
      <c r="AC2379" s="48"/>
      <c r="AD2379" s="48"/>
      <c r="AE2379" s="48"/>
      <c r="AF2379" s="48"/>
      <c r="AG2379" s="48"/>
      <c r="AH2379" s="48"/>
      <c r="AI2379" s="48"/>
      <c r="AJ2379" s="48"/>
      <c r="AK2379" s="48"/>
      <c r="AL2379" s="48"/>
      <c r="AM2379" s="48"/>
      <c r="AN2379" s="48"/>
      <c r="AO2379" s="48"/>
      <c r="AP2379" s="48"/>
      <c r="AQ2379" s="48"/>
      <c r="AR2379" s="48"/>
      <c r="AS2379" s="48"/>
      <c r="AT2379" s="48"/>
      <c r="AU2379" s="48"/>
      <c r="AV2379" s="48"/>
      <c r="AW2379" s="48"/>
      <c r="AX2379" s="48"/>
      <c r="AY2379" s="48"/>
      <c r="AZ2379" s="48"/>
      <c r="BA2379" s="48"/>
      <c r="BB2379" s="48"/>
      <c r="BC2379" s="48"/>
      <c r="BD2379" s="48"/>
    </row>
    <row r="2380" spans="1:56">
      <c r="A2380" s="48"/>
      <c r="B2380" s="48"/>
      <c r="C2380" s="49"/>
      <c r="D2380" s="48"/>
      <c r="E2380" s="48"/>
      <c r="F2380" s="48"/>
      <c r="G2380" s="48"/>
      <c r="H2380" s="48"/>
      <c r="I2380" s="48"/>
      <c r="J2380" s="86"/>
      <c r="K2380" s="86"/>
      <c r="L2380" s="86"/>
      <c r="M2380" s="86"/>
      <c r="N2380" s="86"/>
      <c r="O2380" s="86"/>
      <c r="P2380" s="86"/>
      <c r="Q2380" s="86"/>
      <c r="R2380" s="86"/>
      <c r="S2380" s="86"/>
      <c r="T2380" s="86"/>
      <c r="U2380" s="86"/>
      <c r="V2380" s="48"/>
      <c r="W2380" s="48"/>
      <c r="X2380" s="48"/>
      <c r="Y2380" s="48"/>
      <c r="Z2380" s="48"/>
      <c r="AA2380" s="48"/>
      <c r="AB2380" s="48"/>
      <c r="AC2380" s="48"/>
      <c r="AD2380" s="48"/>
      <c r="AE2380" s="48"/>
      <c r="AF2380" s="48"/>
      <c r="AG2380" s="48"/>
      <c r="AH2380" s="48"/>
      <c r="AI2380" s="48"/>
      <c r="AJ2380" s="48"/>
      <c r="AK2380" s="48"/>
      <c r="AL2380" s="48"/>
      <c r="AM2380" s="48"/>
      <c r="AN2380" s="48"/>
      <c r="AO2380" s="48"/>
      <c r="AP2380" s="48"/>
      <c r="AQ2380" s="48"/>
      <c r="AR2380" s="48"/>
      <c r="AS2380" s="48"/>
      <c r="AT2380" s="48"/>
      <c r="AU2380" s="48"/>
      <c r="AV2380" s="48"/>
      <c r="AW2380" s="48"/>
      <c r="AX2380" s="48"/>
      <c r="AY2380" s="48"/>
      <c r="AZ2380" s="48"/>
      <c r="BA2380" s="48"/>
      <c r="BB2380" s="48"/>
      <c r="BC2380" s="48"/>
      <c r="BD2380" s="48"/>
    </row>
    <row r="2381" spans="1:56">
      <c r="A2381" s="48"/>
      <c r="B2381" s="48"/>
      <c r="C2381" s="49"/>
      <c r="D2381" s="48"/>
      <c r="E2381" s="48"/>
      <c r="F2381" s="48"/>
      <c r="G2381" s="48"/>
      <c r="H2381" s="48"/>
      <c r="I2381" s="48"/>
      <c r="J2381" s="86"/>
      <c r="K2381" s="86"/>
      <c r="L2381" s="86"/>
      <c r="M2381" s="86"/>
      <c r="N2381" s="86"/>
      <c r="O2381" s="86"/>
      <c r="P2381" s="86"/>
      <c r="Q2381" s="86"/>
      <c r="R2381" s="86"/>
      <c r="S2381" s="86"/>
      <c r="T2381" s="86"/>
      <c r="U2381" s="86"/>
      <c r="V2381" s="48"/>
      <c r="W2381" s="48"/>
      <c r="X2381" s="48"/>
      <c r="Y2381" s="48"/>
      <c r="Z2381" s="48"/>
      <c r="AA2381" s="48"/>
      <c r="AB2381" s="48"/>
      <c r="AC2381" s="48"/>
      <c r="AD2381" s="48"/>
      <c r="AE2381" s="48"/>
      <c r="AF2381" s="48"/>
      <c r="AG2381" s="48"/>
      <c r="AH2381" s="48"/>
      <c r="AI2381" s="48"/>
      <c r="AJ2381" s="48"/>
      <c r="AK2381" s="48"/>
      <c r="AL2381" s="48"/>
      <c r="AM2381" s="48"/>
      <c r="AN2381" s="48"/>
      <c r="AO2381" s="48"/>
      <c r="AP2381" s="48"/>
      <c r="AQ2381" s="48"/>
      <c r="AR2381" s="48"/>
      <c r="AS2381" s="48"/>
      <c r="AT2381" s="48"/>
      <c r="AU2381" s="48"/>
      <c r="AV2381" s="48"/>
      <c r="AW2381" s="48"/>
      <c r="AX2381" s="48"/>
      <c r="AY2381" s="48"/>
      <c r="AZ2381" s="48"/>
      <c r="BA2381" s="48"/>
      <c r="BB2381" s="48"/>
      <c r="BC2381" s="48"/>
      <c r="BD2381" s="48"/>
    </row>
    <row r="2382" spans="1:56">
      <c r="A2382" s="48"/>
      <c r="B2382" s="48"/>
      <c r="C2382" s="49"/>
      <c r="D2382" s="48"/>
      <c r="E2382" s="48"/>
      <c r="F2382" s="48"/>
      <c r="G2382" s="48"/>
      <c r="H2382" s="48"/>
      <c r="I2382" s="48"/>
      <c r="J2382" s="86"/>
      <c r="K2382" s="86"/>
      <c r="L2382" s="86"/>
      <c r="M2382" s="86"/>
      <c r="N2382" s="86"/>
      <c r="O2382" s="86"/>
      <c r="P2382" s="86"/>
      <c r="Q2382" s="86"/>
      <c r="R2382" s="86"/>
      <c r="S2382" s="86"/>
      <c r="T2382" s="86"/>
      <c r="U2382" s="86"/>
      <c r="V2382" s="48"/>
      <c r="W2382" s="48"/>
      <c r="X2382" s="48"/>
      <c r="Y2382" s="48"/>
      <c r="Z2382" s="48"/>
      <c r="AA2382" s="48"/>
      <c r="AB2382" s="48"/>
      <c r="AC2382" s="48"/>
      <c r="AD2382" s="48"/>
      <c r="AE2382" s="48"/>
      <c r="AF2382" s="48"/>
      <c r="AG2382" s="48"/>
      <c r="AH2382" s="48"/>
      <c r="AI2382" s="48"/>
      <c r="AJ2382" s="48"/>
      <c r="AK2382" s="48"/>
      <c r="AL2382" s="48"/>
      <c r="AM2382" s="48"/>
      <c r="AN2382" s="48"/>
      <c r="AO2382" s="48"/>
      <c r="AP2382" s="48"/>
      <c r="AQ2382" s="48"/>
      <c r="AR2382" s="48"/>
      <c r="AS2382" s="48"/>
      <c r="AT2382" s="48"/>
      <c r="AU2382" s="48"/>
      <c r="AV2382" s="48"/>
      <c r="AW2382" s="48"/>
      <c r="AX2382" s="48"/>
      <c r="AY2382" s="48"/>
      <c r="AZ2382" s="48"/>
      <c r="BA2382" s="48"/>
      <c r="BB2382" s="48"/>
      <c r="BC2382" s="48"/>
      <c r="BD2382" s="48"/>
    </row>
    <row r="2383" spans="1:56">
      <c r="A2383" s="48"/>
      <c r="B2383" s="48"/>
      <c r="C2383" s="49"/>
      <c r="D2383" s="48"/>
      <c r="E2383" s="48"/>
      <c r="F2383" s="48"/>
      <c r="G2383" s="48"/>
      <c r="H2383" s="48"/>
      <c r="I2383" s="48"/>
      <c r="J2383" s="86"/>
      <c r="K2383" s="86"/>
      <c r="L2383" s="86"/>
      <c r="M2383" s="86"/>
      <c r="N2383" s="86"/>
      <c r="O2383" s="86"/>
      <c r="P2383" s="86"/>
      <c r="Q2383" s="86"/>
      <c r="R2383" s="86"/>
      <c r="S2383" s="86"/>
      <c r="T2383" s="86"/>
      <c r="U2383" s="86"/>
      <c r="V2383" s="48"/>
      <c r="W2383" s="48"/>
      <c r="X2383" s="48"/>
      <c r="Y2383" s="48"/>
      <c r="Z2383" s="48"/>
      <c r="AA2383" s="48"/>
      <c r="AB2383" s="48"/>
      <c r="AC2383" s="48"/>
      <c r="AD2383" s="48"/>
      <c r="AE2383" s="48"/>
      <c r="AF2383" s="48"/>
      <c r="AG2383" s="48"/>
      <c r="AH2383" s="48"/>
      <c r="AI2383" s="48"/>
      <c r="AJ2383" s="48"/>
      <c r="AK2383" s="48"/>
      <c r="AL2383" s="48"/>
      <c r="AM2383" s="48"/>
      <c r="AN2383" s="48"/>
      <c r="AO2383" s="48"/>
      <c r="AP2383" s="48"/>
      <c r="AQ2383" s="48"/>
      <c r="AR2383" s="48"/>
      <c r="AS2383" s="48"/>
      <c r="AT2383" s="48"/>
      <c r="AU2383" s="48"/>
      <c r="AV2383" s="48"/>
      <c r="AW2383" s="48"/>
      <c r="AX2383" s="48"/>
      <c r="AY2383" s="48"/>
      <c r="AZ2383" s="48"/>
      <c r="BA2383" s="48"/>
      <c r="BB2383" s="48"/>
      <c r="BC2383" s="48"/>
      <c r="BD2383" s="48"/>
    </row>
    <row r="2384" spans="1:56">
      <c r="A2384" s="48"/>
      <c r="B2384" s="48"/>
      <c r="C2384" s="49"/>
      <c r="D2384" s="48"/>
      <c r="E2384" s="48"/>
      <c r="F2384" s="48"/>
      <c r="G2384" s="48"/>
      <c r="H2384" s="48"/>
      <c r="I2384" s="48"/>
      <c r="J2384" s="86"/>
      <c r="K2384" s="86"/>
      <c r="L2384" s="86"/>
      <c r="M2384" s="86"/>
      <c r="N2384" s="86"/>
      <c r="O2384" s="86"/>
      <c r="P2384" s="86"/>
      <c r="Q2384" s="86"/>
      <c r="R2384" s="86"/>
      <c r="S2384" s="86"/>
      <c r="T2384" s="86"/>
      <c r="U2384" s="86"/>
      <c r="V2384" s="48"/>
      <c r="W2384" s="48"/>
      <c r="X2384" s="48"/>
      <c r="Y2384" s="48"/>
      <c r="Z2384" s="48"/>
      <c r="AA2384" s="48"/>
      <c r="AB2384" s="48"/>
      <c r="AC2384" s="48"/>
      <c r="AD2384" s="48"/>
      <c r="AE2384" s="48"/>
      <c r="AF2384" s="48"/>
      <c r="AG2384" s="48"/>
      <c r="AH2384" s="48"/>
      <c r="AI2384" s="48"/>
      <c r="AJ2384" s="48"/>
      <c r="AK2384" s="48"/>
      <c r="AL2384" s="48"/>
      <c r="AM2384" s="48"/>
      <c r="AN2384" s="48"/>
      <c r="AO2384" s="48"/>
      <c r="AP2384" s="48"/>
      <c r="AQ2384" s="48"/>
      <c r="AR2384" s="48"/>
      <c r="AS2384" s="48"/>
      <c r="AT2384" s="48"/>
      <c r="AU2384" s="48"/>
      <c r="AV2384" s="48"/>
      <c r="AW2384" s="48"/>
      <c r="AX2384" s="48"/>
      <c r="AY2384" s="48"/>
      <c r="AZ2384" s="48"/>
      <c r="BA2384" s="48"/>
      <c r="BB2384" s="48"/>
      <c r="BC2384" s="48"/>
      <c r="BD2384" s="48"/>
    </row>
    <row r="2385" spans="1:56">
      <c r="A2385" s="48"/>
      <c r="B2385" s="48"/>
      <c r="C2385" s="49"/>
      <c r="D2385" s="48"/>
      <c r="E2385" s="48"/>
      <c r="F2385" s="48"/>
      <c r="G2385" s="48"/>
      <c r="H2385" s="48"/>
      <c r="I2385" s="48"/>
      <c r="J2385" s="86"/>
      <c r="K2385" s="86"/>
      <c r="L2385" s="86"/>
      <c r="M2385" s="86"/>
      <c r="N2385" s="86"/>
      <c r="O2385" s="86"/>
      <c r="P2385" s="86"/>
      <c r="Q2385" s="86"/>
      <c r="R2385" s="86"/>
      <c r="S2385" s="86"/>
      <c r="T2385" s="86"/>
      <c r="U2385" s="86"/>
      <c r="V2385" s="48"/>
      <c r="W2385" s="48"/>
      <c r="X2385" s="48"/>
      <c r="Y2385" s="48"/>
      <c r="Z2385" s="48"/>
      <c r="AA2385" s="48"/>
      <c r="AB2385" s="48"/>
      <c r="AC2385" s="48"/>
      <c r="AD2385" s="48"/>
      <c r="AE2385" s="48"/>
      <c r="AF2385" s="48"/>
      <c r="AG2385" s="48"/>
      <c r="AH2385" s="48"/>
      <c r="AI2385" s="48"/>
      <c r="AJ2385" s="48"/>
      <c r="AK2385" s="48"/>
      <c r="AL2385" s="48"/>
      <c r="AM2385" s="48"/>
      <c r="AN2385" s="48"/>
      <c r="AO2385" s="48"/>
      <c r="AP2385" s="48"/>
      <c r="AQ2385" s="48"/>
      <c r="AR2385" s="48"/>
      <c r="AS2385" s="48"/>
      <c r="AT2385" s="48"/>
      <c r="AU2385" s="48"/>
      <c r="AV2385" s="48"/>
      <c r="AW2385" s="48"/>
      <c r="AX2385" s="48"/>
      <c r="AY2385" s="48"/>
      <c r="AZ2385" s="48"/>
      <c r="BA2385" s="48"/>
      <c r="BB2385" s="48"/>
      <c r="BC2385" s="48"/>
      <c r="BD2385" s="48"/>
    </row>
    <row r="2386" spans="1:56">
      <c r="A2386" s="48"/>
      <c r="B2386" s="48"/>
      <c r="C2386" s="49"/>
      <c r="D2386" s="48"/>
      <c r="E2386" s="48"/>
      <c r="F2386" s="48"/>
      <c r="G2386" s="48"/>
      <c r="H2386" s="48"/>
      <c r="I2386" s="48"/>
      <c r="J2386" s="86"/>
      <c r="K2386" s="86"/>
      <c r="L2386" s="86"/>
      <c r="M2386" s="86"/>
      <c r="N2386" s="86"/>
      <c r="O2386" s="86"/>
      <c r="P2386" s="86"/>
      <c r="Q2386" s="86"/>
      <c r="R2386" s="86"/>
      <c r="S2386" s="86"/>
      <c r="T2386" s="86"/>
      <c r="U2386" s="86"/>
      <c r="V2386" s="48"/>
      <c r="W2386" s="48"/>
      <c r="X2386" s="48"/>
      <c r="Y2386" s="48"/>
      <c r="Z2386" s="48"/>
      <c r="AA2386" s="48"/>
      <c r="AB2386" s="48"/>
      <c r="AC2386" s="48"/>
      <c r="AD2386" s="48"/>
      <c r="AE2386" s="48"/>
      <c r="AF2386" s="48"/>
      <c r="AG2386" s="48"/>
      <c r="AH2386" s="48"/>
      <c r="AI2386" s="48"/>
      <c r="AJ2386" s="48"/>
      <c r="AK2386" s="48"/>
      <c r="AL2386" s="48"/>
      <c r="AM2386" s="48"/>
      <c r="AN2386" s="48"/>
      <c r="AO2386" s="48"/>
      <c r="AP2386" s="48"/>
      <c r="AQ2386" s="48"/>
      <c r="AR2386" s="48"/>
      <c r="AS2386" s="48"/>
      <c r="AT2386" s="48"/>
      <c r="AU2386" s="48"/>
      <c r="AV2386" s="48"/>
      <c r="AW2386" s="48"/>
      <c r="AX2386" s="48"/>
      <c r="AY2386" s="48"/>
      <c r="AZ2386" s="48"/>
      <c r="BA2386" s="48"/>
      <c r="BB2386" s="48"/>
      <c r="BC2386" s="48"/>
      <c r="BD2386" s="48"/>
    </row>
    <row r="2387" spans="1:56">
      <c r="A2387" s="48"/>
      <c r="B2387" s="48"/>
      <c r="C2387" s="49"/>
      <c r="D2387" s="48"/>
      <c r="E2387" s="48"/>
      <c r="F2387" s="48"/>
      <c r="G2387" s="48"/>
      <c r="H2387" s="48"/>
      <c r="I2387" s="48"/>
      <c r="J2387" s="86"/>
      <c r="K2387" s="86"/>
      <c r="L2387" s="86"/>
      <c r="M2387" s="86"/>
      <c r="N2387" s="86"/>
      <c r="O2387" s="86"/>
      <c r="P2387" s="86"/>
      <c r="Q2387" s="86"/>
      <c r="R2387" s="86"/>
      <c r="S2387" s="86"/>
      <c r="T2387" s="86"/>
      <c r="U2387" s="86"/>
      <c r="V2387" s="48"/>
      <c r="W2387" s="48"/>
      <c r="X2387" s="48"/>
      <c r="Y2387" s="48"/>
      <c r="Z2387" s="48"/>
      <c r="AA2387" s="48"/>
      <c r="AB2387" s="48"/>
      <c r="AC2387" s="48"/>
      <c r="AD2387" s="48"/>
      <c r="AE2387" s="48"/>
      <c r="AF2387" s="48"/>
      <c r="AG2387" s="48"/>
      <c r="AH2387" s="48"/>
      <c r="AI2387" s="48"/>
      <c r="AJ2387" s="48"/>
      <c r="AK2387" s="48"/>
      <c r="AL2387" s="48"/>
      <c r="AM2387" s="48"/>
      <c r="AN2387" s="48"/>
      <c r="AO2387" s="48"/>
      <c r="AP2387" s="48"/>
      <c r="AQ2387" s="48"/>
      <c r="AR2387" s="48"/>
      <c r="AS2387" s="48"/>
      <c r="AT2387" s="48"/>
      <c r="AU2387" s="48"/>
      <c r="AV2387" s="48"/>
      <c r="AW2387" s="48"/>
      <c r="AX2387" s="48"/>
      <c r="AY2387" s="48"/>
      <c r="AZ2387" s="48"/>
      <c r="BA2387" s="48"/>
      <c r="BB2387" s="48"/>
      <c r="BC2387" s="48"/>
      <c r="BD2387" s="48"/>
    </row>
    <row r="2388" spans="1:56">
      <c r="A2388" s="48"/>
      <c r="B2388" s="48"/>
      <c r="C2388" s="49"/>
      <c r="D2388" s="48"/>
      <c r="E2388" s="48"/>
      <c r="F2388" s="48"/>
      <c r="G2388" s="48"/>
      <c r="H2388" s="48"/>
      <c r="I2388" s="48"/>
      <c r="J2388" s="86"/>
      <c r="K2388" s="86"/>
      <c r="L2388" s="86"/>
      <c r="M2388" s="86"/>
      <c r="N2388" s="86"/>
      <c r="O2388" s="86"/>
      <c r="P2388" s="86"/>
      <c r="Q2388" s="86"/>
      <c r="R2388" s="86"/>
      <c r="S2388" s="86"/>
      <c r="T2388" s="86"/>
      <c r="U2388" s="86"/>
      <c r="V2388" s="48"/>
      <c r="W2388" s="48"/>
      <c r="X2388" s="48"/>
      <c r="Y2388" s="48"/>
      <c r="Z2388" s="48"/>
      <c r="AA2388" s="48"/>
      <c r="AB2388" s="48"/>
      <c r="AC2388" s="48"/>
      <c r="AD2388" s="48"/>
      <c r="AE2388" s="48"/>
      <c r="AF2388" s="48"/>
      <c r="AG2388" s="48"/>
      <c r="AH2388" s="48"/>
      <c r="AI2388" s="48"/>
      <c r="AJ2388" s="48"/>
      <c r="AK2388" s="48"/>
      <c r="AL2388" s="48"/>
      <c r="AM2388" s="48"/>
      <c r="AN2388" s="48"/>
      <c r="AO2388" s="48"/>
      <c r="AP2388" s="48"/>
      <c r="AQ2388" s="48"/>
      <c r="AR2388" s="48"/>
      <c r="AS2388" s="48"/>
      <c r="AT2388" s="48"/>
      <c r="AU2388" s="48"/>
      <c r="AV2388" s="48"/>
      <c r="AW2388" s="48"/>
      <c r="AX2388" s="48"/>
      <c r="AY2388" s="48"/>
      <c r="AZ2388" s="48"/>
      <c r="BA2388" s="48"/>
      <c r="BB2388" s="48"/>
      <c r="BC2388" s="48"/>
      <c r="BD2388" s="48"/>
    </row>
    <row r="2389" spans="1:56">
      <c r="A2389" s="48"/>
      <c r="B2389" s="48"/>
      <c r="C2389" s="49"/>
      <c r="D2389" s="48"/>
      <c r="E2389" s="48"/>
      <c r="F2389" s="48"/>
      <c r="G2389" s="48"/>
      <c r="H2389" s="48"/>
      <c r="I2389" s="48"/>
      <c r="J2389" s="86"/>
      <c r="K2389" s="86"/>
      <c r="L2389" s="86"/>
      <c r="M2389" s="86"/>
      <c r="N2389" s="86"/>
      <c r="O2389" s="86"/>
      <c r="P2389" s="86"/>
      <c r="Q2389" s="86"/>
      <c r="R2389" s="86"/>
      <c r="S2389" s="86"/>
      <c r="T2389" s="86"/>
      <c r="U2389" s="86"/>
      <c r="V2389" s="48"/>
      <c r="W2389" s="48"/>
      <c r="X2389" s="48"/>
      <c r="Y2389" s="48"/>
      <c r="Z2389" s="48"/>
      <c r="AA2389" s="48"/>
      <c r="AB2389" s="48"/>
      <c r="AC2389" s="48"/>
      <c r="AD2389" s="48"/>
      <c r="AE2389" s="48"/>
      <c r="AF2389" s="48"/>
      <c r="AG2389" s="48"/>
      <c r="AH2389" s="48"/>
      <c r="AI2389" s="48"/>
      <c r="AJ2389" s="48"/>
      <c r="AK2389" s="48"/>
      <c r="AL2389" s="48"/>
      <c r="AM2389" s="48"/>
      <c r="AN2389" s="48"/>
      <c r="AO2389" s="48"/>
      <c r="AP2389" s="48"/>
      <c r="AQ2389" s="48"/>
      <c r="AR2389" s="48"/>
      <c r="AS2389" s="48"/>
      <c r="AT2389" s="48"/>
      <c r="AU2389" s="48"/>
      <c r="AV2389" s="48"/>
      <c r="AW2389" s="48"/>
      <c r="AX2389" s="48"/>
      <c r="AY2389" s="48"/>
      <c r="AZ2389" s="48"/>
      <c r="BA2389" s="48"/>
      <c r="BB2389" s="48"/>
      <c r="BC2389" s="48"/>
      <c r="BD2389" s="48"/>
    </row>
    <row r="2390" spans="1:56">
      <c r="A2390" s="48"/>
      <c r="B2390" s="48"/>
      <c r="C2390" s="49"/>
      <c r="D2390" s="48"/>
      <c r="E2390" s="48"/>
      <c r="F2390" s="48"/>
      <c r="G2390" s="48"/>
      <c r="H2390" s="48"/>
      <c r="I2390" s="48"/>
      <c r="J2390" s="86"/>
      <c r="K2390" s="86"/>
      <c r="L2390" s="86"/>
      <c r="M2390" s="86"/>
      <c r="N2390" s="86"/>
      <c r="O2390" s="86"/>
      <c r="P2390" s="86"/>
      <c r="Q2390" s="86"/>
      <c r="R2390" s="86"/>
      <c r="S2390" s="86"/>
      <c r="T2390" s="86"/>
      <c r="U2390" s="86"/>
      <c r="V2390" s="48"/>
      <c r="W2390" s="48"/>
      <c r="X2390" s="48"/>
      <c r="Y2390" s="48"/>
      <c r="Z2390" s="48"/>
      <c r="AA2390" s="48"/>
      <c r="AB2390" s="48"/>
      <c r="AC2390" s="48"/>
      <c r="AD2390" s="48"/>
      <c r="AE2390" s="48"/>
      <c r="AF2390" s="48"/>
      <c r="AG2390" s="48"/>
      <c r="AH2390" s="48"/>
      <c r="AI2390" s="48"/>
      <c r="AJ2390" s="48"/>
      <c r="AK2390" s="48"/>
      <c r="AL2390" s="48"/>
      <c r="AM2390" s="48"/>
      <c r="AN2390" s="48"/>
      <c r="AO2390" s="48"/>
      <c r="AP2390" s="48"/>
      <c r="AQ2390" s="48"/>
      <c r="AR2390" s="48"/>
      <c r="AS2390" s="48"/>
      <c r="AT2390" s="48"/>
      <c r="AU2390" s="48"/>
      <c r="AV2390" s="48"/>
      <c r="AW2390" s="48"/>
      <c r="AX2390" s="48"/>
      <c r="AY2390" s="48"/>
      <c r="AZ2390" s="48"/>
      <c r="BA2390" s="48"/>
      <c r="BB2390" s="48"/>
      <c r="BC2390" s="48"/>
      <c r="BD2390" s="48"/>
    </row>
    <row r="2391" spans="1:56">
      <c r="A2391" s="48"/>
      <c r="B2391" s="48"/>
      <c r="C2391" s="49"/>
      <c r="D2391" s="48"/>
      <c r="E2391" s="48"/>
      <c r="F2391" s="48"/>
      <c r="G2391" s="48"/>
      <c r="H2391" s="48"/>
      <c r="I2391" s="48"/>
      <c r="J2391" s="86"/>
      <c r="K2391" s="86"/>
      <c r="L2391" s="86"/>
      <c r="M2391" s="86"/>
      <c r="N2391" s="86"/>
      <c r="O2391" s="86"/>
      <c r="P2391" s="86"/>
      <c r="Q2391" s="86"/>
      <c r="R2391" s="86"/>
      <c r="S2391" s="86"/>
      <c r="T2391" s="86"/>
      <c r="U2391" s="86"/>
      <c r="V2391" s="48"/>
      <c r="W2391" s="48"/>
      <c r="X2391" s="48"/>
      <c r="Y2391" s="48"/>
      <c r="Z2391" s="48"/>
      <c r="AA2391" s="48"/>
      <c r="AB2391" s="48"/>
      <c r="AC2391" s="48"/>
      <c r="AD2391" s="48"/>
      <c r="AE2391" s="48"/>
      <c r="AF2391" s="48"/>
      <c r="AG2391" s="48"/>
      <c r="AH2391" s="48"/>
      <c r="AI2391" s="48"/>
      <c r="AJ2391" s="48"/>
      <c r="AK2391" s="48"/>
      <c r="AL2391" s="48"/>
      <c r="AM2391" s="48"/>
      <c r="AN2391" s="48"/>
      <c r="AO2391" s="48"/>
      <c r="AP2391" s="48"/>
      <c r="AQ2391" s="48"/>
      <c r="AR2391" s="48"/>
      <c r="AS2391" s="48"/>
      <c r="AT2391" s="48"/>
      <c r="AU2391" s="48"/>
      <c r="AV2391" s="48"/>
      <c r="AW2391" s="48"/>
      <c r="AX2391" s="48"/>
      <c r="AY2391" s="48"/>
      <c r="AZ2391" s="48"/>
      <c r="BA2391" s="48"/>
      <c r="BB2391" s="48"/>
      <c r="BC2391" s="48"/>
      <c r="BD2391" s="48"/>
    </row>
    <row r="2392" spans="1:56">
      <c r="A2392" s="48"/>
      <c r="B2392" s="48"/>
      <c r="C2392" s="49"/>
      <c r="D2392" s="48"/>
      <c r="E2392" s="48"/>
      <c r="F2392" s="48"/>
      <c r="G2392" s="48"/>
      <c r="H2392" s="48"/>
      <c r="I2392" s="48"/>
      <c r="J2392" s="86"/>
      <c r="K2392" s="86"/>
      <c r="L2392" s="86"/>
      <c r="M2392" s="86"/>
      <c r="N2392" s="86"/>
      <c r="O2392" s="86"/>
      <c r="P2392" s="86"/>
      <c r="Q2392" s="86"/>
      <c r="R2392" s="86"/>
      <c r="S2392" s="86"/>
      <c r="T2392" s="86"/>
      <c r="U2392" s="86"/>
      <c r="V2392" s="48"/>
      <c r="W2392" s="48"/>
      <c r="X2392" s="48"/>
      <c r="Y2392" s="48"/>
      <c r="Z2392" s="48"/>
      <c r="AA2392" s="48"/>
      <c r="AB2392" s="48"/>
      <c r="AC2392" s="48"/>
      <c r="AD2392" s="48"/>
      <c r="AE2392" s="48"/>
      <c r="AF2392" s="48"/>
      <c r="AG2392" s="48"/>
      <c r="AH2392" s="48"/>
      <c r="AI2392" s="48"/>
      <c r="AJ2392" s="48"/>
      <c r="AK2392" s="48"/>
      <c r="AL2392" s="48"/>
      <c r="AM2392" s="48"/>
      <c r="AN2392" s="48"/>
      <c r="AO2392" s="48"/>
      <c r="AP2392" s="48"/>
      <c r="AQ2392" s="48"/>
      <c r="AR2392" s="48"/>
      <c r="AS2392" s="48"/>
      <c r="AT2392" s="48"/>
      <c r="AU2392" s="48"/>
      <c r="AV2392" s="48"/>
      <c r="AW2392" s="48"/>
      <c r="AX2392" s="48"/>
      <c r="AY2392" s="48"/>
      <c r="AZ2392" s="48"/>
      <c r="BA2392" s="48"/>
      <c r="BB2392" s="48"/>
      <c r="BC2392" s="48"/>
      <c r="BD2392" s="48"/>
    </row>
    <row r="2393" spans="1:56">
      <c r="A2393" s="48"/>
      <c r="B2393" s="48"/>
      <c r="C2393" s="49"/>
      <c r="D2393" s="48"/>
      <c r="E2393" s="48"/>
      <c r="F2393" s="48"/>
      <c r="G2393" s="48"/>
      <c r="H2393" s="48"/>
      <c r="I2393" s="48"/>
      <c r="J2393" s="86"/>
      <c r="K2393" s="86"/>
      <c r="L2393" s="86"/>
      <c r="M2393" s="86"/>
      <c r="N2393" s="86"/>
      <c r="O2393" s="86"/>
      <c r="P2393" s="86"/>
      <c r="Q2393" s="86"/>
      <c r="R2393" s="86"/>
      <c r="S2393" s="86"/>
      <c r="T2393" s="86"/>
      <c r="U2393" s="86"/>
      <c r="V2393" s="48"/>
      <c r="W2393" s="48"/>
      <c r="X2393" s="48"/>
      <c r="Y2393" s="48"/>
      <c r="Z2393" s="48"/>
      <c r="AA2393" s="48"/>
      <c r="AB2393" s="48"/>
      <c r="AC2393" s="48"/>
      <c r="AD2393" s="48"/>
      <c r="AE2393" s="48"/>
      <c r="AF2393" s="48"/>
      <c r="AG2393" s="48"/>
      <c r="AH2393" s="48"/>
      <c r="AI2393" s="48"/>
      <c r="AJ2393" s="48"/>
      <c r="AK2393" s="48"/>
      <c r="AL2393" s="48"/>
      <c r="AM2393" s="48"/>
      <c r="AN2393" s="48"/>
      <c r="AO2393" s="48"/>
      <c r="AP2393" s="48"/>
      <c r="AQ2393" s="48"/>
      <c r="AR2393" s="48"/>
      <c r="AS2393" s="48"/>
      <c r="AT2393" s="48"/>
      <c r="AU2393" s="48"/>
      <c r="AV2393" s="48"/>
      <c r="AW2393" s="48"/>
      <c r="AX2393" s="48"/>
      <c r="AY2393" s="48"/>
      <c r="AZ2393" s="48"/>
      <c r="BA2393" s="48"/>
      <c r="BB2393" s="48"/>
      <c r="BC2393" s="48"/>
      <c r="BD2393" s="48"/>
    </row>
    <row r="2394" spans="1:56">
      <c r="A2394" s="48"/>
      <c r="B2394" s="48"/>
      <c r="C2394" s="49"/>
      <c r="D2394" s="48"/>
      <c r="E2394" s="48"/>
      <c r="F2394" s="48"/>
      <c r="G2394" s="48"/>
      <c r="H2394" s="48"/>
      <c r="I2394" s="48"/>
      <c r="J2394" s="86"/>
      <c r="K2394" s="86"/>
      <c r="L2394" s="86"/>
      <c r="M2394" s="86"/>
      <c r="N2394" s="86"/>
      <c r="O2394" s="86"/>
      <c r="P2394" s="86"/>
      <c r="Q2394" s="86"/>
      <c r="R2394" s="86"/>
      <c r="S2394" s="86"/>
      <c r="T2394" s="86"/>
      <c r="U2394" s="86"/>
      <c r="V2394" s="48"/>
      <c r="W2394" s="48"/>
      <c r="X2394" s="48"/>
      <c r="Y2394" s="48"/>
      <c r="Z2394" s="48"/>
      <c r="AA2394" s="48"/>
      <c r="AB2394" s="48"/>
      <c r="AC2394" s="48"/>
      <c r="AD2394" s="48"/>
      <c r="AE2394" s="48"/>
      <c r="AF2394" s="48"/>
      <c r="AG2394" s="48"/>
      <c r="AH2394" s="48"/>
      <c r="AI2394" s="48"/>
      <c r="AJ2394" s="48"/>
      <c r="AK2394" s="48"/>
      <c r="AL2394" s="48"/>
      <c r="AM2394" s="48"/>
      <c r="AN2394" s="48"/>
      <c r="AO2394" s="48"/>
      <c r="AP2394" s="48"/>
      <c r="AQ2394" s="48"/>
      <c r="AR2394" s="48"/>
      <c r="AS2394" s="48"/>
      <c r="AT2394" s="48"/>
      <c r="AU2394" s="48"/>
      <c r="AV2394" s="48"/>
      <c r="AW2394" s="48"/>
      <c r="AX2394" s="48"/>
      <c r="AY2394" s="48"/>
      <c r="AZ2394" s="48"/>
      <c r="BA2394" s="48"/>
      <c r="BB2394" s="48"/>
      <c r="BC2394" s="48"/>
      <c r="BD2394" s="48"/>
    </row>
    <row r="2395" spans="1:56">
      <c r="A2395" s="48"/>
      <c r="B2395" s="48"/>
      <c r="C2395" s="49"/>
      <c r="D2395" s="48"/>
      <c r="E2395" s="48"/>
      <c r="F2395" s="48"/>
      <c r="G2395" s="48"/>
      <c r="H2395" s="48"/>
      <c r="I2395" s="48"/>
      <c r="J2395" s="86"/>
      <c r="K2395" s="86"/>
      <c r="L2395" s="86"/>
      <c r="M2395" s="86"/>
      <c r="N2395" s="86"/>
      <c r="O2395" s="86"/>
      <c r="P2395" s="86"/>
      <c r="Q2395" s="86"/>
      <c r="R2395" s="86"/>
      <c r="S2395" s="86"/>
      <c r="T2395" s="86"/>
      <c r="U2395" s="86"/>
      <c r="V2395" s="48"/>
      <c r="W2395" s="48"/>
      <c r="X2395" s="48"/>
      <c r="Y2395" s="48"/>
      <c r="Z2395" s="48"/>
      <c r="AA2395" s="48"/>
      <c r="AB2395" s="48"/>
      <c r="AC2395" s="48"/>
      <c r="AD2395" s="48"/>
      <c r="AE2395" s="48"/>
      <c r="AF2395" s="48"/>
      <c r="AG2395" s="48"/>
      <c r="AH2395" s="48"/>
      <c r="AI2395" s="48"/>
      <c r="AJ2395" s="48"/>
      <c r="AK2395" s="48"/>
      <c r="AL2395" s="48"/>
      <c r="AM2395" s="48"/>
      <c r="AN2395" s="48"/>
      <c r="AO2395" s="48"/>
      <c r="AP2395" s="48"/>
      <c r="AQ2395" s="48"/>
      <c r="AR2395" s="48"/>
      <c r="AS2395" s="48"/>
      <c r="AT2395" s="48"/>
      <c r="AU2395" s="48"/>
      <c r="AV2395" s="48"/>
      <c r="AW2395" s="48"/>
      <c r="AX2395" s="48"/>
      <c r="AY2395" s="48"/>
      <c r="AZ2395" s="48"/>
      <c r="BA2395" s="48"/>
      <c r="BB2395" s="48"/>
      <c r="BC2395" s="48"/>
      <c r="BD2395" s="48"/>
    </row>
    <row r="2396" spans="1:56">
      <c r="A2396" s="48"/>
      <c r="B2396" s="48"/>
      <c r="C2396" s="49"/>
      <c r="D2396" s="48"/>
      <c r="E2396" s="48"/>
      <c r="F2396" s="48"/>
      <c r="G2396" s="48"/>
      <c r="H2396" s="48"/>
      <c r="I2396" s="48"/>
      <c r="J2396" s="86"/>
      <c r="K2396" s="86"/>
      <c r="L2396" s="86"/>
      <c r="M2396" s="86"/>
      <c r="N2396" s="86"/>
      <c r="O2396" s="86"/>
      <c r="P2396" s="86"/>
      <c r="Q2396" s="86"/>
      <c r="R2396" s="86"/>
      <c r="S2396" s="86"/>
      <c r="T2396" s="86"/>
      <c r="U2396" s="86"/>
      <c r="V2396" s="48"/>
      <c r="W2396" s="48"/>
      <c r="X2396" s="48"/>
      <c r="Y2396" s="48"/>
      <c r="Z2396" s="48"/>
      <c r="AA2396" s="48"/>
      <c r="AB2396" s="48"/>
      <c r="AC2396" s="48"/>
      <c r="AD2396" s="48"/>
      <c r="AE2396" s="48"/>
      <c r="AF2396" s="48"/>
      <c r="AG2396" s="48"/>
      <c r="AH2396" s="48"/>
      <c r="AI2396" s="48"/>
      <c r="AJ2396" s="48"/>
      <c r="AK2396" s="48"/>
      <c r="AL2396" s="48"/>
      <c r="AM2396" s="48"/>
      <c r="AN2396" s="48"/>
      <c r="AO2396" s="48"/>
      <c r="AP2396" s="48"/>
      <c r="AQ2396" s="48"/>
      <c r="AR2396" s="48"/>
      <c r="AS2396" s="48"/>
      <c r="AT2396" s="48"/>
      <c r="AU2396" s="48"/>
      <c r="AV2396" s="48"/>
      <c r="AW2396" s="48"/>
      <c r="AX2396" s="48"/>
      <c r="AY2396" s="48"/>
      <c r="AZ2396" s="48"/>
      <c r="BA2396" s="48"/>
      <c r="BB2396" s="48"/>
      <c r="BC2396" s="48"/>
      <c r="BD2396" s="48"/>
    </row>
    <row r="2397" spans="1:56">
      <c r="A2397" s="48"/>
      <c r="B2397" s="48"/>
      <c r="C2397" s="49"/>
      <c r="D2397" s="48"/>
      <c r="E2397" s="48"/>
      <c r="F2397" s="48"/>
      <c r="G2397" s="48"/>
      <c r="H2397" s="48"/>
      <c r="I2397" s="48"/>
      <c r="J2397" s="86"/>
      <c r="K2397" s="86"/>
      <c r="L2397" s="86"/>
      <c r="M2397" s="86"/>
      <c r="N2397" s="86"/>
      <c r="O2397" s="86"/>
      <c r="P2397" s="86"/>
      <c r="Q2397" s="86"/>
      <c r="R2397" s="86"/>
      <c r="S2397" s="86"/>
      <c r="T2397" s="86"/>
      <c r="U2397" s="86"/>
      <c r="V2397" s="48"/>
      <c r="W2397" s="48"/>
      <c r="X2397" s="48"/>
      <c r="Y2397" s="48"/>
      <c r="Z2397" s="48"/>
      <c r="AA2397" s="48"/>
      <c r="AB2397" s="48"/>
      <c r="AC2397" s="48"/>
      <c r="AD2397" s="48"/>
      <c r="AE2397" s="48"/>
      <c r="AF2397" s="48"/>
      <c r="AG2397" s="48"/>
      <c r="AH2397" s="48"/>
      <c r="AI2397" s="48"/>
      <c r="AJ2397" s="48"/>
      <c r="AK2397" s="48"/>
      <c r="AL2397" s="48"/>
      <c r="AM2397" s="48"/>
      <c r="AN2397" s="48"/>
      <c r="AO2397" s="48"/>
      <c r="AP2397" s="48"/>
      <c r="AQ2397" s="48"/>
      <c r="AR2397" s="48"/>
      <c r="AS2397" s="48"/>
      <c r="AT2397" s="48"/>
      <c r="AU2397" s="48"/>
      <c r="AV2397" s="48"/>
      <c r="AW2397" s="48"/>
      <c r="AX2397" s="48"/>
      <c r="AY2397" s="48"/>
      <c r="AZ2397" s="48"/>
      <c r="BA2397" s="48"/>
      <c r="BB2397" s="48"/>
      <c r="BC2397" s="48"/>
      <c r="BD2397" s="48"/>
    </row>
    <row r="2398" spans="1:56">
      <c r="A2398" s="48"/>
      <c r="B2398" s="48"/>
      <c r="C2398" s="49"/>
      <c r="D2398" s="48"/>
      <c r="E2398" s="48"/>
      <c r="F2398" s="48"/>
      <c r="G2398" s="48"/>
      <c r="H2398" s="48"/>
      <c r="I2398" s="48"/>
      <c r="J2398" s="86"/>
      <c r="K2398" s="86"/>
      <c r="L2398" s="86"/>
      <c r="M2398" s="86"/>
      <c r="N2398" s="86"/>
      <c r="O2398" s="86"/>
      <c r="P2398" s="86"/>
      <c r="Q2398" s="86"/>
      <c r="R2398" s="86"/>
      <c r="S2398" s="86"/>
      <c r="T2398" s="86"/>
      <c r="U2398" s="86"/>
      <c r="V2398" s="48"/>
      <c r="W2398" s="48"/>
      <c r="X2398" s="48"/>
      <c r="Y2398" s="48"/>
      <c r="Z2398" s="48"/>
      <c r="AA2398" s="48"/>
      <c r="AB2398" s="48"/>
      <c r="AC2398" s="48"/>
      <c r="AD2398" s="48"/>
      <c r="AE2398" s="48"/>
      <c r="AF2398" s="48"/>
      <c r="AG2398" s="48"/>
      <c r="AH2398" s="48"/>
      <c r="AI2398" s="48"/>
      <c r="AJ2398" s="48"/>
      <c r="AK2398" s="48"/>
      <c r="AL2398" s="48"/>
      <c r="AM2398" s="48"/>
      <c r="AN2398" s="48"/>
      <c r="AO2398" s="48"/>
      <c r="AP2398" s="48"/>
      <c r="AQ2398" s="48"/>
      <c r="AR2398" s="48"/>
      <c r="AS2398" s="48"/>
      <c r="AT2398" s="48"/>
      <c r="AU2398" s="48"/>
      <c r="AV2398" s="48"/>
      <c r="AW2398" s="48"/>
      <c r="AX2398" s="48"/>
      <c r="AY2398" s="48"/>
      <c r="AZ2398" s="48"/>
      <c r="BA2398" s="48"/>
      <c r="BB2398" s="48"/>
      <c r="BC2398" s="48"/>
      <c r="BD2398" s="48"/>
    </row>
    <row r="2399" spans="1:56">
      <c r="A2399" s="48"/>
      <c r="B2399" s="48"/>
      <c r="C2399" s="49"/>
      <c r="D2399" s="48"/>
      <c r="E2399" s="48"/>
      <c r="F2399" s="48"/>
      <c r="G2399" s="48"/>
      <c r="H2399" s="48"/>
      <c r="I2399" s="48"/>
      <c r="J2399" s="86"/>
      <c r="K2399" s="86"/>
      <c r="L2399" s="86"/>
      <c r="M2399" s="86"/>
      <c r="N2399" s="86"/>
      <c r="O2399" s="86"/>
      <c r="P2399" s="86"/>
      <c r="Q2399" s="86"/>
      <c r="R2399" s="86"/>
      <c r="S2399" s="86"/>
      <c r="T2399" s="86"/>
      <c r="U2399" s="86"/>
      <c r="V2399" s="48"/>
      <c r="W2399" s="48"/>
      <c r="X2399" s="48"/>
      <c r="Y2399" s="48"/>
      <c r="Z2399" s="48"/>
      <c r="AA2399" s="48"/>
      <c r="AB2399" s="48"/>
      <c r="AC2399" s="48"/>
      <c r="AD2399" s="48"/>
      <c r="AE2399" s="48"/>
      <c r="AF2399" s="48"/>
      <c r="AG2399" s="48"/>
      <c r="AH2399" s="48"/>
      <c r="AI2399" s="48"/>
      <c r="AJ2399" s="48"/>
      <c r="AK2399" s="48"/>
      <c r="AL2399" s="48"/>
      <c r="AM2399" s="48"/>
      <c r="AN2399" s="48"/>
      <c r="AO2399" s="48"/>
      <c r="AP2399" s="48"/>
      <c r="AQ2399" s="48"/>
      <c r="AR2399" s="48"/>
      <c r="AS2399" s="48"/>
      <c r="AT2399" s="48"/>
      <c r="AU2399" s="48"/>
      <c r="AV2399" s="48"/>
      <c r="AW2399" s="48"/>
      <c r="AX2399" s="48"/>
      <c r="AY2399" s="48"/>
      <c r="AZ2399" s="48"/>
      <c r="BA2399" s="48"/>
      <c r="BB2399" s="48"/>
      <c r="BC2399" s="48"/>
      <c r="BD2399" s="48"/>
    </row>
    <row r="2400" spans="1:56">
      <c r="A2400" s="48"/>
      <c r="B2400" s="48"/>
      <c r="C2400" s="49"/>
      <c r="D2400" s="48"/>
      <c r="E2400" s="48"/>
      <c r="F2400" s="48"/>
      <c r="G2400" s="48"/>
      <c r="H2400" s="48"/>
      <c r="I2400" s="48"/>
      <c r="J2400" s="86"/>
      <c r="K2400" s="86"/>
      <c r="L2400" s="86"/>
      <c r="M2400" s="86"/>
      <c r="N2400" s="86"/>
      <c r="O2400" s="86"/>
      <c r="P2400" s="86"/>
      <c r="Q2400" s="86"/>
      <c r="R2400" s="86"/>
      <c r="S2400" s="86"/>
      <c r="T2400" s="86"/>
      <c r="U2400" s="86"/>
      <c r="V2400" s="48"/>
      <c r="W2400" s="48"/>
      <c r="X2400" s="48"/>
      <c r="Y2400" s="48"/>
      <c r="Z2400" s="48"/>
      <c r="AA2400" s="48"/>
      <c r="AB2400" s="48"/>
      <c r="AC2400" s="48"/>
      <c r="AD2400" s="48"/>
      <c r="AE2400" s="48"/>
      <c r="AF2400" s="48"/>
      <c r="AG2400" s="48"/>
      <c r="AH2400" s="48"/>
      <c r="AI2400" s="48"/>
      <c r="AJ2400" s="48"/>
      <c r="AK2400" s="48"/>
      <c r="AL2400" s="48"/>
      <c r="AM2400" s="48"/>
      <c r="AN2400" s="48"/>
      <c r="AO2400" s="48"/>
      <c r="AP2400" s="48"/>
      <c r="AQ2400" s="48"/>
      <c r="AR2400" s="48"/>
      <c r="AS2400" s="48"/>
      <c r="AT2400" s="48"/>
      <c r="AU2400" s="48"/>
      <c r="AV2400" s="48"/>
      <c r="AW2400" s="48"/>
      <c r="AX2400" s="48"/>
      <c r="AY2400" s="48"/>
      <c r="AZ2400" s="48"/>
      <c r="BA2400" s="48"/>
      <c r="BB2400" s="48"/>
      <c r="BC2400" s="48"/>
      <c r="BD2400" s="48"/>
    </row>
    <row r="2401" spans="1:56">
      <c r="A2401" s="48"/>
      <c r="B2401" s="48"/>
      <c r="C2401" s="49"/>
      <c r="D2401" s="48"/>
      <c r="E2401" s="48"/>
      <c r="F2401" s="48"/>
      <c r="G2401" s="48"/>
      <c r="H2401" s="48"/>
      <c r="I2401" s="48"/>
      <c r="J2401" s="86"/>
      <c r="K2401" s="86"/>
      <c r="L2401" s="86"/>
      <c r="M2401" s="86"/>
      <c r="N2401" s="86"/>
      <c r="O2401" s="86"/>
      <c r="P2401" s="86"/>
      <c r="Q2401" s="86"/>
      <c r="R2401" s="86"/>
      <c r="S2401" s="86"/>
      <c r="T2401" s="86"/>
      <c r="U2401" s="86"/>
      <c r="V2401" s="48"/>
      <c r="W2401" s="48"/>
      <c r="X2401" s="48"/>
      <c r="Y2401" s="48"/>
      <c r="Z2401" s="48"/>
      <c r="AA2401" s="48"/>
      <c r="AB2401" s="48"/>
      <c r="AC2401" s="48"/>
      <c r="AD2401" s="48"/>
      <c r="AE2401" s="48"/>
      <c r="AF2401" s="48"/>
      <c r="AG2401" s="48"/>
      <c r="AH2401" s="48"/>
      <c r="AI2401" s="48"/>
      <c r="AJ2401" s="48"/>
      <c r="AK2401" s="48"/>
      <c r="AL2401" s="48"/>
      <c r="AM2401" s="48"/>
      <c r="AN2401" s="48"/>
      <c r="AO2401" s="48"/>
      <c r="AP2401" s="48"/>
      <c r="AQ2401" s="48"/>
      <c r="AR2401" s="48"/>
      <c r="AS2401" s="48"/>
      <c r="AT2401" s="48"/>
      <c r="AU2401" s="48"/>
      <c r="AV2401" s="48"/>
      <c r="AW2401" s="48"/>
      <c r="AX2401" s="48"/>
      <c r="AY2401" s="48"/>
      <c r="AZ2401" s="48"/>
      <c r="BA2401" s="48"/>
      <c r="BB2401" s="48"/>
      <c r="BC2401" s="48"/>
      <c r="BD2401" s="48"/>
    </row>
    <row r="2402" spans="1:56">
      <c r="A2402" s="48"/>
      <c r="B2402" s="48"/>
      <c r="C2402" s="49"/>
      <c r="D2402" s="48"/>
      <c r="E2402" s="48"/>
      <c r="F2402" s="48"/>
      <c r="G2402" s="48"/>
      <c r="H2402" s="48"/>
      <c r="I2402" s="48"/>
      <c r="J2402" s="86"/>
      <c r="K2402" s="86"/>
      <c r="L2402" s="86"/>
      <c r="M2402" s="86"/>
      <c r="N2402" s="86"/>
      <c r="O2402" s="86"/>
      <c r="P2402" s="86"/>
      <c r="Q2402" s="86"/>
      <c r="R2402" s="86"/>
      <c r="S2402" s="86"/>
      <c r="T2402" s="86"/>
      <c r="U2402" s="86"/>
      <c r="V2402" s="48"/>
      <c r="W2402" s="48"/>
      <c r="X2402" s="48"/>
      <c r="Y2402" s="48"/>
      <c r="Z2402" s="48"/>
      <c r="AA2402" s="48"/>
      <c r="AB2402" s="48"/>
      <c r="AC2402" s="48"/>
      <c r="AD2402" s="48"/>
      <c r="AE2402" s="48"/>
      <c r="AF2402" s="48"/>
      <c r="AG2402" s="48"/>
      <c r="AH2402" s="48"/>
      <c r="AI2402" s="48"/>
      <c r="AJ2402" s="48"/>
      <c r="AK2402" s="48"/>
      <c r="AL2402" s="48"/>
      <c r="AM2402" s="48"/>
      <c r="AN2402" s="48"/>
      <c r="AO2402" s="48"/>
      <c r="AP2402" s="48"/>
      <c r="AQ2402" s="48"/>
      <c r="AR2402" s="48"/>
      <c r="AS2402" s="48"/>
      <c r="AT2402" s="48"/>
      <c r="AU2402" s="48"/>
      <c r="AV2402" s="48"/>
      <c r="AW2402" s="48"/>
      <c r="AX2402" s="48"/>
      <c r="AY2402" s="48"/>
      <c r="AZ2402" s="48"/>
      <c r="BA2402" s="48"/>
      <c r="BB2402" s="48"/>
      <c r="BC2402" s="48"/>
      <c r="BD2402" s="48"/>
    </row>
    <row r="2403" spans="1:56">
      <c r="A2403" s="48"/>
      <c r="B2403" s="48"/>
      <c r="C2403" s="49"/>
      <c r="D2403" s="48"/>
      <c r="E2403" s="48"/>
      <c r="F2403" s="48"/>
      <c r="G2403" s="48"/>
      <c r="H2403" s="48"/>
      <c r="I2403" s="48"/>
      <c r="J2403" s="86"/>
      <c r="K2403" s="86"/>
      <c r="L2403" s="86"/>
      <c r="M2403" s="86"/>
      <c r="N2403" s="86"/>
      <c r="O2403" s="86"/>
      <c r="P2403" s="86"/>
      <c r="Q2403" s="86"/>
      <c r="R2403" s="86"/>
      <c r="S2403" s="86"/>
      <c r="T2403" s="86"/>
      <c r="U2403" s="86"/>
      <c r="V2403" s="48"/>
      <c r="W2403" s="48"/>
      <c r="X2403" s="48"/>
      <c r="Y2403" s="48"/>
      <c r="Z2403" s="48"/>
      <c r="AA2403" s="48"/>
      <c r="AB2403" s="48"/>
      <c r="AC2403" s="48"/>
      <c r="AD2403" s="48"/>
      <c r="AE2403" s="48"/>
      <c r="AF2403" s="48"/>
      <c r="AG2403" s="48"/>
      <c r="AH2403" s="48"/>
      <c r="AI2403" s="48"/>
      <c r="AJ2403" s="48"/>
      <c r="AK2403" s="48"/>
      <c r="AL2403" s="48"/>
      <c r="AM2403" s="48"/>
      <c r="AN2403" s="48"/>
      <c r="AO2403" s="48"/>
      <c r="AP2403" s="48"/>
      <c r="AQ2403" s="48"/>
      <c r="AR2403" s="48"/>
      <c r="AS2403" s="48"/>
      <c r="AT2403" s="48"/>
      <c r="AU2403" s="48"/>
      <c r="AV2403" s="48"/>
      <c r="AW2403" s="48"/>
      <c r="AX2403" s="48"/>
      <c r="AY2403" s="48"/>
      <c r="AZ2403" s="48"/>
      <c r="BA2403" s="48"/>
      <c r="BB2403" s="48"/>
      <c r="BC2403" s="48"/>
      <c r="BD2403" s="48"/>
    </row>
    <row r="2404" spans="1:56">
      <c r="A2404" s="48"/>
      <c r="B2404" s="48"/>
      <c r="C2404" s="49"/>
      <c r="D2404" s="48"/>
      <c r="E2404" s="48"/>
      <c r="F2404" s="48"/>
      <c r="G2404" s="48"/>
      <c r="H2404" s="48"/>
      <c r="I2404" s="48"/>
      <c r="J2404" s="86"/>
      <c r="K2404" s="86"/>
      <c r="L2404" s="86"/>
      <c r="M2404" s="86"/>
      <c r="N2404" s="86"/>
      <c r="O2404" s="86"/>
      <c r="P2404" s="86"/>
      <c r="Q2404" s="86"/>
      <c r="R2404" s="86"/>
      <c r="S2404" s="86"/>
      <c r="T2404" s="86"/>
      <c r="U2404" s="86"/>
      <c r="V2404" s="48"/>
      <c r="W2404" s="48"/>
      <c r="X2404" s="48"/>
      <c r="Y2404" s="48"/>
      <c r="Z2404" s="48"/>
      <c r="AA2404" s="48"/>
      <c r="AB2404" s="48"/>
      <c r="AC2404" s="48"/>
      <c r="AD2404" s="48"/>
      <c r="AE2404" s="48"/>
      <c r="AF2404" s="48"/>
      <c r="AG2404" s="48"/>
      <c r="AH2404" s="48"/>
      <c r="AI2404" s="48"/>
      <c r="AJ2404" s="48"/>
      <c r="AK2404" s="48"/>
      <c r="AL2404" s="48"/>
      <c r="AM2404" s="48"/>
      <c r="AN2404" s="48"/>
      <c r="AO2404" s="48"/>
      <c r="AP2404" s="48"/>
      <c r="AQ2404" s="48"/>
      <c r="AR2404" s="48"/>
      <c r="AS2404" s="48"/>
      <c r="AT2404" s="48"/>
      <c r="AU2404" s="48"/>
      <c r="AV2404" s="48"/>
      <c r="AW2404" s="48"/>
      <c r="AX2404" s="48"/>
      <c r="AY2404" s="48"/>
      <c r="AZ2404" s="48"/>
      <c r="BA2404" s="48"/>
      <c r="BB2404" s="48"/>
      <c r="BC2404" s="48"/>
      <c r="BD2404" s="48"/>
    </row>
    <row r="2405" spans="1:56">
      <c r="A2405" s="48"/>
      <c r="B2405" s="48"/>
      <c r="C2405" s="49"/>
      <c r="D2405" s="48"/>
      <c r="E2405" s="48"/>
      <c r="F2405" s="48"/>
      <c r="G2405" s="48"/>
      <c r="H2405" s="48"/>
      <c r="I2405" s="48"/>
      <c r="J2405" s="86"/>
      <c r="K2405" s="86"/>
      <c r="L2405" s="86"/>
      <c r="M2405" s="86"/>
      <c r="N2405" s="86"/>
      <c r="O2405" s="86"/>
      <c r="P2405" s="86"/>
      <c r="Q2405" s="86"/>
      <c r="R2405" s="86"/>
      <c r="S2405" s="86"/>
      <c r="T2405" s="86"/>
      <c r="U2405" s="86"/>
      <c r="V2405" s="48"/>
      <c r="W2405" s="48"/>
      <c r="X2405" s="48"/>
      <c r="Y2405" s="48"/>
      <c r="Z2405" s="48"/>
      <c r="AA2405" s="48"/>
      <c r="AB2405" s="48"/>
      <c r="AC2405" s="48"/>
      <c r="AD2405" s="48"/>
      <c r="AE2405" s="48"/>
      <c r="AF2405" s="48"/>
      <c r="AG2405" s="48"/>
      <c r="AH2405" s="48"/>
      <c r="AI2405" s="48"/>
      <c r="AJ2405" s="48"/>
      <c r="AK2405" s="48"/>
      <c r="AL2405" s="48"/>
      <c r="AM2405" s="48"/>
      <c r="AN2405" s="48"/>
      <c r="AO2405" s="48"/>
      <c r="AP2405" s="48"/>
      <c r="AQ2405" s="48"/>
      <c r="AR2405" s="48"/>
      <c r="AS2405" s="48"/>
      <c r="AT2405" s="48"/>
      <c r="AU2405" s="48"/>
      <c r="AV2405" s="48"/>
      <c r="AW2405" s="48"/>
      <c r="AX2405" s="48"/>
      <c r="AY2405" s="48"/>
      <c r="AZ2405" s="48"/>
      <c r="BA2405" s="48"/>
      <c r="BB2405" s="48"/>
      <c r="BC2405" s="48"/>
      <c r="BD2405" s="48"/>
    </row>
    <row r="2406" spans="1:56">
      <c r="A2406" s="48"/>
      <c r="B2406" s="48"/>
      <c r="C2406" s="49"/>
      <c r="D2406" s="48"/>
      <c r="E2406" s="48"/>
      <c r="F2406" s="48"/>
      <c r="G2406" s="48"/>
      <c r="H2406" s="48"/>
      <c r="I2406" s="48"/>
      <c r="J2406" s="86"/>
      <c r="K2406" s="86"/>
      <c r="L2406" s="86"/>
      <c r="M2406" s="86"/>
      <c r="N2406" s="86"/>
      <c r="O2406" s="86"/>
      <c r="P2406" s="86"/>
      <c r="Q2406" s="86"/>
      <c r="R2406" s="86"/>
      <c r="S2406" s="86"/>
      <c r="T2406" s="86"/>
      <c r="U2406" s="86"/>
      <c r="V2406" s="48"/>
      <c r="W2406" s="48"/>
      <c r="X2406" s="48"/>
      <c r="Y2406" s="48"/>
      <c r="Z2406" s="48"/>
      <c r="AA2406" s="48"/>
      <c r="AB2406" s="48"/>
      <c r="AC2406" s="48"/>
      <c r="AD2406" s="48"/>
      <c r="AE2406" s="48"/>
      <c r="AF2406" s="48"/>
      <c r="AG2406" s="48"/>
      <c r="AH2406" s="48"/>
      <c r="AI2406" s="48"/>
      <c r="AJ2406" s="48"/>
      <c r="AK2406" s="48"/>
      <c r="AL2406" s="48"/>
      <c r="AM2406" s="48"/>
      <c r="AN2406" s="48"/>
      <c r="AO2406" s="48"/>
      <c r="AP2406" s="48"/>
      <c r="AQ2406" s="48"/>
      <c r="AR2406" s="48"/>
      <c r="AS2406" s="48"/>
      <c r="AT2406" s="48"/>
      <c r="AU2406" s="48"/>
      <c r="AV2406" s="48"/>
      <c r="AW2406" s="48"/>
      <c r="AX2406" s="48"/>
      <c r="AY2406" s="48"/>
      <c r="AZ2406" s="48"/>
      <c r="BA2406" s="48"/>
      <c r="BB2406" s="48"/>
      <c r="BC2406" s="48"/>
      <c r="BD2406" s="48"/>
    </row>
    <row r="2407" spans="1:56">
      <c r="A2407" s="48"/>
      <c r="B2407" s="48"/>
      <c r="C2407" s="49"/>
      <c r="D2407" s="48"/>
      <c r="E2407" s="48"/>
      <c r="F2407" s="48"/>
      <c r="G2407" s="48"/>
      <c r="H2407" s="48"/>
      <c r="I2407" s="48"/>
      <c r="J2407" s="86"/>
      <c r="K2407" s="86"/>
      <c r="L2407" s="86"/>
      <c r="M2407" s="86"/>
      <c r="N2407" s="86"/>
      <c r="O2407" s="86"/>
      <c r="P2407" s="86"/>
      <c r="Q2407" s="86"/>
      <c r="R2407" s="86"/>
      <c r="S2407" s="86"/>
      <c r="T2407" s="86"/>
      <c r="U2407" s="86"/>
      <c r="V2407" s="48"/>
      <c r="W2407" s="48"/>
      <c r="X2407" s="48"/>
      <c r="Y2407" s="48"/>
      <c r="Z2407" s="48"/>
      <c r="AA2407" s="48"/>
      <c r="AB2407" s="48"/>
      <c r="AC2407" s="48"/>
      <c r="AD2407" s="48"/>
      <c r="AE2407" s="48"/>
      <c r="AF2407" s="48"/>
      <c r="AG2407" s="48"/>
      <c r="AH2407" s="48"/>
      <c r="AI2407" s="48"/>
      <c r="AJ2407" s="48"/>
      <c r="AK2407" s="48"/>
      <c r="AL2407" s="48"/>
      <c r="AM2407" s="48"/>
      <c r="AN2407" s="48"/>
      <c r="AO2407" s="48"/>
      <c r="AP2407" s="48"/>
      <c r="AQ2407" s="48"/>
      <c r="AR2407" s="48"/>
      <c r="AS2407" s="48"/>
      <c r="AT2407" s="48"/>
      <c r="AU2407" s="48"/>
      <c r="AV2407" s="48"/>
      <c r="AW2407" s="48"/>
      <c r="AX2407" s="48"/>
      <c r="AY2407" s="48"/>
      <c r="AZ2407" s="48"/>
      <c r="BA2407" s="48"/>
      <c r="BB2407" s="48"/>
      <c r="BC2407" s="48"/>
      <c r="BD2407" s="48"/>
    </row>
    <row r="2408" spans="1:56">
      <c r="A2408" s="48"/>
      <c r="B2408" s="48"/>
      <c r="C2408" s="49"/>
      <c r="D2408" s="48"/>
      <c r="E2408" s="48"/>
      <c r="F2408" s="48"/>
      <c r="G2408" s="48"/>
      <c r="H2408" s="48"/>
      <c r="I2408" s="48"/>
      <c r="J2408" s="86"/>
      <c r="K2408" s="86"/>
      <c r="L2408" s="86"/>
      <c r="M2408" s="86"/>
      <c r="N2408" s="86"/>
      <c r="O2408" s="86"/>
      <c r="P2408" s="86"/>
      <c r="Q2408" s="86"/>
      <c r="R2408" s="86"/>
      <c r="S2408" s="86"/>
      <c r="T2408" s="86"/>
      <c r="U2408" s="86"/>
      <c r="V2408" s="48"/>
      <c r="W2408" s="48"/>
      <c r="X2408" s="48"/>
      <c r="Y2408" s="48"/>
      <c r="Z2408" s="48"/>
      <c r="AA2408" s="48"/>
      <c r="AB2408" s="48"/>
      <c r="AC2408" s="48"/>
      <c r="AD2408" s="48"/>
      <c r="AE2408" s="48"/>
      <c r="AF2408" s="48"/>
      <c r="AG2408" s="48"/>
      <c r="AH2408" s="48"/>
      <c r="AI2408" s="48"/>
      <c r="AJ2408" s="48"/>
      <c r="AK2408" s="48"/>
      <c r="AL2408" s="48"/>
      <c r="AM2408" s="48"/>
      <c r="AN2408" s="48"/>
      <c r="AO2408" s="48"/>
      <c r="AP2408" s="48"/>
      <c r="AQ2408" s="48"/>
      <c r="AR2408" s="48"/>
      <c r="AS2408" s="48"/>
      <c r="AT2408" s="48"/>
      <c r="AU2408" s="48"/>
      <c r="AV2408" s="48"/>
      <c r="AW2408" s="48"/>
      <c r="AX2408" s="48"/>
      <c r="AY2408" s="48"/>
      <c r="AZ2408" s="48"/>
      <c r="BA2408" s="48"/>
      <c r="BB2408" s="48"/>
      <c r="BC2408" s="48"/>
      <c r="BD2408" s="48"/>
    </row>
    <row r="2409" spans="1:56">
      <c r="A2409" s="48"/>
      <c r="B2409" s="48"/>
      <c r="C2409" s="49"/>
      <c r="D2409" s="48"/>
      <c r="E2409" s="48"/>
      <c r="F2409" s="48"/>
      <c r="G2409" s="48"/>
      <c r="H2409" s="48"/>
      <c r="I2409" s="48"/>
      <c r="J2409" s="86"/>
      <c r="K2409" s="86"/>
      <c r="L2409" s="86"/>
      <c r="M2409" s="86"/>
      <c r="N2409" s="86"/>
      <c r="O2409" s="86"/>
      <c r="P2409" s="86"/>
      <c r="Q2409" s="86"/>
      <c r="R2409" s="86"/>
      <c r="S2409" s="86"/>
      <c r="T2409" s="86"/>
      <c r="U2409" s="86"/>
      <c r="V2409" s="48"/>
      <c r="W2409" s="48"/>
      <c r="X2409" s="48"/>
      <c r="Y2409" s="48"/>
      <c r="Z2409" s="48"/>
      <c r="AA2409" s="48"/>
      <c r="AB2409" s="48"/>
      <c r="AC2409" s="48"/>
      <c r="AD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AX2409" s="48"/>
      <c r="AY2409" s="48"/>
      <c r="AZ2409" s="48"/>
      <c r="BA2409" s="48"/>
      <c r="BB2409" s="48"/>
      <c r="BC2409" s="48"/>
      <c r="BD2409" s="48"/>
    </row>
    <row r="2410" spans="1:56">
      <c r="A2410" s="48"/>
      <c r="B2410" s="48"/>
      <c r="C2410" s="49"/>
      <c r="D2410" s="48"/>
      <c r="E2410" s="48"/>
      <c r="F2410" s="48"/>
      <c r="G2410" s="48"/>
      <c r="H2410" s="48"/>
      <c r="I2410" s="48"/>
      <c r="J2410" s="86"/>
      <c r="K2410" s="86"/>
      <c r="L2410" s="86"/>
      <c r="M2410" s="86"/>
      <c r="N2410" s="86"/>
      <c r="O2410" s="86"/>
      <c r="P2410" s="86"/>
      <c r="Q2410" s="86"/>
      <c r="R2410" s="86"/>
      <c r="S2410" s="86"/>
      <c r="T2410" s="86"/>
      <c r="U2410" s="86"/>
      <c r="V2410" s="48"/>
      <c r="W2410" s="48"/>
      <c r="X2410" s="48"/>
      <c r="Y2410" s="48"/>
      <c r="Z2410" s="48"/>
      <c r="AA2410" s="48"/>
      <c r="AB2410" s="48"/>
      <c r="AC2410" s="48"/>
      <c r="AD2410" s="48"/>
      <c r="AE2410" s="48"/>
      <c r="AF2410" s="48"/>
      <c r="AG2410" s="48"/>
      <c r="AH2410" s="48"/>
      <c r="AI2410" s="48"/>
      <c r="AJ2410" s="48"/>
      <c r="AK2410" s="48"/>
      <c r="AL2410" s="48"/>
      <c r="AM2410" s="48"/>
      <c r="AN2410" s="48"/>
      <c r="AO2410" s="48"/>
      <c r="AP2410" s="48"/>
      <c r="AQ2410" s="48"/>
      <c r="AR2410" s="48"/>
      <c r="AS2410" s="48"/>
      <c r="AT2410" s="48"/>
      <c r="AU2410" s="48"/>
      <c r="AV2410" s="48"/>
      <c r="AW2410" s="48"/>
      <c r="AX2410" s="48"/>
      <c r="AY2410" s="48"/>
      <c r="AZ2410" s="48"/>
      <c r="BA2410" s="48"/>
      <c r="BB2410" s="48"/>
      <c r="BC2410" s="48"/>
      <c r="BD2410" s="48"/>
    </row>
    <row r="2411" spans="1:56">
      <c r="A2411" s="48"/>
      <c r="B2411" s="48"/>
      <c r="C2411" s="49"/>
      <c r="D2411" s="48"/>
      <c r="E2411" s="48"/>
      <c r="F2411" s="48"/>
      <c r="G2411" s="48"/>
      <c r="H2411" s="48"/>
      <c r="I2411" s="48"/>
      <c r="J2411" s="86"/>
      <c r="K2411" s="86"/>
      <c r="L2411" s="86"/>
      <c r="M2411" s="86"/>
      <c r="N2411" s="86"/>
      <c r="O2411" s="86"/>
      <c r="P2411" s="86"/>
      <c r="Q2411" s="86"/>
      <c r="R2411" s="86"/>
      <c r="S2411" s="86"/>
      <c r="T2411" s="86"/>
      <c r="U2411" s="86"/>
      <c r="V2411" s="48"/>
      <c r="W2411" s="48"/>
      <c r="X2411" s="48"/>
      <c r="Y2411" s="48"/>
      <c r="Z2411" s="48"/>
      <c r="AA2411" s="48"/>
      <c r="AB2411" s="48"/>
      <c r="AC2411" s="48"/>
      <c r="AD2411" s="48"/>
      <c r="AE2411" s="48"/>
      <c r="AF2411" s="48"/>
      <c r="AG2411" s="48"/>
      <c r="AH2411" s="48"/>
      <c r="AI2411" s="48"/>
      <c r="AJ2411" s="48"/>
      <c r="AK2411" s="48"/>
      <c r="AL2411" s="48"/>
      <c r="AM2411" s="48"/>
      <c r="AN2411" s="48"/>
      <c r="AO2411" s="48"/>
      <c r="AP2411" s="48"/>
      <c r="AQ2411" s="48"/>
      <c r="AR2411" s="48"/>
      <c r="AS2411" s="48"/>
      <c r="AT2411" s="48"/>
      <c r="AU2411" s="48"/>
      <c r="AV2411" s="48"/>
      <c r="AW2411" s="48"/>
      <c r="AX2411" s="48"/>
      <c r="AY2411" s="48"/>
      <c r="AZ2411" s="48"/>
      <c r="BA2411" s="48"/>
      <c r="BB2411" s="48"/>
      <c r="BC2411" s="48"/>
      <c r="BD2411" s="48"/>
    </row>
    <row r="2412" spans="1:56">
      <c r="A2412" s="48"/>
      <c r="B2412" s="48"/>
      <c r="C2412" s="49"/>
      <c r="D2412" s="48"/>
      <c r="E2412" s="48"/>
      <c r="F2412" s="48"/>
      <c r="G2412" s="48"/>
      <c r="H2412" s="48"/>
      <c r="I2412" s="48"/>
      <c r="J2412" s="86"/>
      <c r="K2412" s="86"/>
      <c r="L2412" s="86"/>
      <c r="M2412" s="86"/>
      <c r="N2412" s="86"/>
      <c r="O2412" s="86"/>
      <c r="P2412" s="86"/>
      <c r="Q2412" s="86"/>
      <c r="R2412" s="86"/>
      <c r="S2412" s="86"/>
      <c r="T2412" s="86"/>
      <c r="U2412" s="86"/>
      <c r="V2412" s="48"/>
      <c r="W2412" s="48"/>
      <c r="X2412" s="48"/>
      <c r="Y2412" s="48"/>
      <c r="Z2412" s="48"/>
      <c r="AA2412" s="48"/>
      <c r="AB2412" s="48"/>
      <c r="AC2412" s="48"/>
      <c r="AD2412" s="48"/>
      <c r="AE2412" s="48"/>
      <c r="AF2412" s="48"/>
      <c r="AG2412" s="48"/>
      <c r="AH2412" s="48"/>
      <c r="AI2412" s="48"/>
      <c r="AJ2412" s="48"/>
      <c r="AK2412" s="48"/>
      <c r="AL2412" s="48"/>
      <c r="AM2412" s="48"/>
      <c r="AN2412" s="48"/>
      <c r="AO2412" s="48"/>
      <c r="AP2412" s="48"/>
      <c r="AQ2412" s="48"/>
      <c r="AR2412" s="48"/>
      <c r="AS2412" s="48"/>
      <c r="AT2412" s="48"/>
      <c r="AU2412" s="48"/>
      <c r="AV2412" s="48"/>
      <c r="AW2412" s="48"/>
      <c r="AX2412" s="48"/>
      <c r="AY2412" s="48"/>
      <c r="AZ2412" s="48"/>
      <c r="BA2412" s="48"/>
      <c r="BB2412" s="48"/>
      <c r="BC2412" s="48"/>
      <c r="BD2412" s="48"/>
    </row>
    <row r="2413" spans="1:56">
      <c r="A2413" s="48"/>
      <c r="B2413" s="48"/>
      <c r="C2413" s="49"/>
      <c r="D2413" s="48"/>
      <c r="E2413" s="48"/>
      <c r="F2413" s="48"/>
      <c r="G2413" s="48"/>
      <c r="H2413" s="48"/>
      <c r="I2413" s="48"/>
      <c r="J2413" s="86"/>
      <c r="K2413" s="86"/>
      <c r="L2413" s="86"/>
      <c r="M2413" s="86"/>
      <c r="N2413" s="86"/>
      <c r="O2413" s="86"/>
      <c r="P2413" s="86"/>
      <c r="Q2413" s="86"/>
      <c r="R2413" s="86"/>
      <c r="S2413" s="86"/>
      <c r="T2413" s="86"/>
      <c r="U2413" s="86"/>
      <c r="V2413" s="48"/>
      <c r="W2413" s="48"/>
      <c r="X2413" s="48"/>
      <c r="Y2413" s="48"/>
      <c r="Z2413" s="48"/>
      <c r="AA2413" s="48"/>
      <c r="AB2413" s="48"/>
      <c r="AC2413" s="48"/>
      <c r="AD2413" s="48"/>
      <c r="AE2413" s="48"/>
      <c r="AF2413" s="48"/>
      <c r="AG2413" s="48"/>
      <c r="AH2413" s="48"/>
      <c r="AI2413" s="48"/>
      <c r="AJ2413" s="48"/>
      <c r="AK2413" s="48"/>
      <c r="AL2413" s="48"/>
      <c r="AM2413" s="48"/>
      <c r="AN2413" s="48"/>
      <c r="AO2413" s="48"/>
      <c r="AP2413" s="48"/>
      <c r="AQ2413" s="48"/>
      <c r="AR2413" s="48"/>
      <c r="AS2413" s="48"/>
      <c r="AT2413" s="48"/>
      <c r="AU2413" s="48"/>
      <c r="AV2413" s="48"/>
      <c r="AW2413" s="48"/>
      <c r="AX2413" s="48"/>
      <c r="AY2413" s="48"/>
      <c r="AZ2413" s="48"/>
      <c r="BA2413" s="48"/>
      <c r="BB2413" s="48"/>
      <c r="BC2413" s="48"/>
      <c r="BD2413" s="48"/>
    </row>
    <row r="2414" spans="1:56">
      <c r="A2414" s="48"/>
      <c r="B2414" s="48"/>
      <c r="C2414" s="49"/>
      <c r="D2414" s="48"/>
      <c r="E2414" s="48"/>
      <c r="F2414" s="48"/>
      <c r="G2414" s="48"/>
      <c r="H2414" s="48"/>
      <c r="I2414" s="48"/>
      <c r="J2414" s="86"/>
      <c r="K2414" s="86"/>
      <c r="L2414" s="86"/>
      <c r="M2414" s="86"/>
      <c r="N2414" s="86"/>
      <c r="O2414" s="86"/>
      <c r="P2414" s="86"/>
      <c r="Q2414" s="86"/>
      <c r="R2414" s="86"/>
      <c r="S2414" s="86"/>
      <c r="T2414" s="86"/>
      <c r="U2414" s="86"/>
      <c r="V2414" s="48"/>
      <c r="W2414" s="48"/>
      <c r="X2414" s="48"/>
      <c r="Y2414" s="48"/>
      <c r="Z2414" s="48"/>
      <c r="AA2414" s="48"/>
      <c r="AB2414" s="48"/>
      <c r="AC2414" s="48"/>
      <c r="AD2414" s="48"/>
      <c r="AE2414" s="48"/>
      <c r="AF2414" s="48"/>
      <c r="AG2414" s="48"/>
      <c r="AH2414" s="48"/>
      <c r="AI2414" s="48"/>
      <c r="AJ2414" s="48"/>
      <c r="AK2414" s="48"/>
      <c r="AL2414" s="48"/>
      <c r="AM2414" s="48"/>
      <c r="AN2414" s="48"/>
      <c r="AO2414" s="48"/>
      <c r="AP2414" s="48"/>
      <c r="AQ2414" s="48"/>
      <c r="AR2414" s="48"/>
      <c r="AS2414" s="48"/>
      <c r="AT2414" s="48"/>
      <c r="AU2414" s="48"/>
      <c r="AV2414" s="48"/>
      <c r="AW2414" s="48"/>
      <c r="AX2414" s="48"/>
      <c r="AY2414" s="48"/>
      <c r="AZ2414" s="48"/>
      <c r="BA2414" s="48"/>
      <c r="BB2414" s="48"/>
      <c r="BC2414" s="48"/>
      <c r="BD2414" s="48"/>
    </row>
    <row r="2415" spans="1:56">
      <c r="A2415" s="48"/>
      <c r="B2415" s="48"/>
      <c r="C2415" s="49"/>
      <c r="D2415" s="48"/>
      <c r="E2415" s="48"/>
      <c r="F2415" s="48"/>
      <c r="G2415" s="48"/>
      <c r="H2415" s="48"/>
      <c r="I2415" s="48"/>
      <c r="J2415" s="86"/>
      <c r="K2415" s="86"/>
      <c r="L2415" s="86"/>
      <c r="M2415" s="86"/>
      <c r="N2415" s="86"/>
      <c r="O2415" s="86"/>
      <c r="P2415" s="86"/>
      <c r="Q2415" s="86"/>
      <c r="R2415" s="86"/>
      <c r="S2415" s="86"/>
      <c r="T2415" s="86"/>
      <c r="U2415" s="86"/>
      <c r="V2415" s="48"/>
      <c r="W2415" s="48"/>
      <c r="X2415" s="48"/>
      <c r="Y2415" s="48"/>
      <c r="Z2415" s="48"/>
      <c r="AA2415" s="48"/>
      <c r="AB2415" s="48"/>
      <c r="AC2415" s="48"/>
      <c r="AD2415" s="48"/>
      <c r="AE2415" s="48"/>
      <c r="AF2415" s="48"/>
      <c r="AG2415" s="48"/>
      <c r="AH2415" s="48"/>
      <c r="AI2415" s="48"/>
      <c r="AJ2415" s="48"/>
      <c r="AK2415" s="48"/>
      <c r="AL2415" s="48"/>
      <c r="AM2415" s="48"/>
      <c r="AN2415" s="48"/>
      <c r="AO2415" s="48"/>
      <c r="AP2415" s="48"/>
      <c r="AQ2415" s="48"/>
      <c r="AR2415" s="48"/>
      <c r="AS2415" s="48"/>
      <c r="AT2415" s="48"/>
      <c r="AU2415" s="48"/>
      <c r="AV2415" s="48"/>
      <c r="AW2415" s="48"/>
      <c r="AX2415" s="48"/>
      <c r="AY2415" s="48"/>
      <c r="AZ2415" s="48"/>
      <c r="BA2415" s="48"/>
      <c r="BB2415" s="48"/>
      <c r="BC2415" s="48"/>
      <c r="BD2415" s="48"/>
    </row>
    <row r="2416" spans="1:56">
      <c r="A2416" s="48"/>
      <c r="B2416" s="48"/>
      <c r="C2416" s="49"/>
      <c r="D2416" s="48"/>
      <c r="E2416" s="48"/>
      <c r="F2416" s="48"/>
      <c r="G2416" s="48"/>
      <c r="H2416" s="48"/>
      <c r="I2416" s="48"/>
      <c r="J2416" s="86"/>
      <c r="K2416" s="86"/>
      <c r="L2416" s="86"/>
      <c r="M2416" s="86"/>
      <c r="N2416" s="86"/>
      <c r="O2416" s="86"/>
      <c r="P2416" s="86"/>
      <c r="Q2416" s="86"/>
      <c r="R2416" s="86"/>
      <c r="S2416" s="86"/>
      <c r="T2416" s="86"/>
      <c r="U2416" s="86"/>
      <c r="V2416" s="48"/>
      <c r="W2416" s="48"/>
      <c r="X2416" s="48"/>
      <c r="Y2416" s="48"/>
      <c r="Z2416" s="48"/>
      <c r="AA2416" s="48"/>
      <c r="AB2416" s="48"/>
      <c r="AC2416" s="48"/>
      <c r="AD2416" s="48"/>
      <c r="AE2416" s="48"/>
      <c r="AF2416" s="48"/>
      <c r="AG2416" s="48"/>
      <c r="AH2416" s="48"/>
      <c r="AI2416" s="48"/>
      <c r="AJ2416" s="48"/>
      <c r="AK2416" s="48"/>
      <c r="AL2416" s="48"/>
      <c r="AM2416" s="48"/>
      <c r="AN2416" s="48"/>
      <c r="AO2416" s="48"/>
      <c r="AP2416" s="48"/>
      <c r="AQ2416" s="48"/>
      <c r="AR2416" s="48"/>
      <c r="AS2416" s="48"/>
      <c r="AT2416" s="48"/>
      <c r="AU2416" s="48"/>
      <c r="AV2416" s="48"/>
      <c r="AW2416" s="48"/>
      <c r="AX2416" s="48"/>
      <c r="AY2416" s="48"/>
      <c r="AZ2416" s="48"/>
      <c r="BA2416" s="48"/>
      <c r="BB2416" s="48"/>
      <c r="BC2416" s="48"/>
      <c r="BD2416" s="48"/>
    </row>
    <row r="2417" spans="1:56">
      <c r="A2417" s="48"/>
      <c r="B2417" s="48"/>
      <c r="C2417" s="49"/>
      <c r="D2417" s="48"/>
      <c r="E2417" s="48"/>
      <c r="F2417" s="48"/>
      <c r="G2417" s="48"/>
      <c r="H2417" s="48"/>
      <c r="I2417" s="48"/>
      <c r="J2417" s="86"/>
      <c r="K2417" s="86"/>
      <c r="L2417" s="86"/>
      <c r="M2417" s="86"/>
      <c r="N2417" s="86"/>
      <c r="O2417" s="86"/>
      <c r="P2417" s="86"/>
      <c r="Q2417" s="86"/>
      <c r="R2417" s="86"/>
      <c r="S2417" s="86"/>
      <c r="T2417" s="86"/>
      <c r="U2417" s="86"/>
      <c r="V2417" s="48"/>
      <c r="W2417" s="48"/>
      <c r="X2417" s="48"/>
      <c r="Y2417" s="48"/>
      <c r="Z2417" s="48"/>
      <c r="AA2417" s="48"/>
      <c r="AB2417" s="48"/>
      <c r="AC2417" s="48"/>
      <c r="AD2417" s="48"/>
      <c r="AE2417" s="48"/>
      <c r="AF2417" s="48"/>
      <c r="AG2417" s="48"/>
      <c r="AH2417" s="48"/>
      <c r="AI2417" s="48"/>
      <c r="AJ2417" s="48"/>
      <c r="AK2417" s="48"/>
      <c r="AL2417" s="48"/>
      <c r="AM2417" s="48"/>
      <c r="AN2417" s="48"/>
      <c r="AO2417" s="48"/>
      <c r="AP2417" s="48"/>
      <c r="AQ2417" s="48"/>
      <c r="AR2417" s="48"/>
      <c r="AS2417" s="48"/>
      <c r="AT2417" s="48"/>
      <c r="AU2417" s="48"/>
      <c r="AV2417" s="48"/>
      <c r="AW2417" s="48"/>
      <c r="AX2417" s="48"/>
      <c r="AY2417" s="48"/>
      <c r="AZ2417" s="48"/>
      <c r="BA2417" s="48"/>
      <c r="BB2417" s="48"/>
      <c r="BC2417" s="48"/>
      <c r="BD2417" s="48"/>
    </row>
    <row r="2418" spans="1:56">
      <c r="A2418" s="48"/>
      <c r="B2418" s="48"/>
      <c r="C2418" s="49"/>
      <c r="D2418" s="48"/>
      <c r="E2418" s="48"/>
      <c r="F2418" s="48"/>
      <c r="G2418" s="48"/>
      <c r="H2418" s="48"/>
      <c r="I2418" s="48"/>
      <c r="J2418" s="86"/>
      <c r="K2418" s="86"/>
      <c r="L2418" s="86"/>
      <c r="M2418" s="86"/>
      <c r="N2418" s="86"/>
      <c r="O2418" s="86"/>
      <c r="P2418" s="86"/>
      <c r="Q2418" s="86"/>
      <c r="R2418" s="86"/>
      <c r="S2418" s="86"/>
      <c r="T2418" s="86"/>
      <c r="U2418" s="86"/>
      <c r="V2418" s="48"/>
      <c r="W2418" s="48"/>
      <c r="X2418" s="48"/>
      <c r="Y2418" s="48"/>
      <c r="Z2418" s="48"/>
      <c r="AA2418" s="48"/>
      <c r="AB2418" s="48"/>
      <c r="AC2418" s="48"/>
      <c r="AD2418" s="48"/>
      <c r="AE2418" s="48"/>
      <c r="AF2418" s="48"/>
      <c r="AG2418" s="48"/>
      <c r="AH2418" s="48"/>
      <c r="AI2418" s="48"/>
      <c r="AJ2418" s="48"/>
      <c r="AK2418" s="48"/>
      <c r="AL2418" s="48"/>
      <c r="AM2418" s="48"/>
      <c r="AN2418" s="48"/>
      <c r="AO2418" s="48"/>
      <c r="AP2418" s="48"/>
      <c r="AQ2418" s="48"/>
      <c r="AR2418" s="48"/>
      <c r="AS2418" s="48"/>
      <c r="AT2418" s="48"/>
      <c r="AU2418" s="48"/>
      <c r="AV2418" s="48"/>
      <c r="AW2418" s="48"/>
      <c r="AX2418" s="48"/>
      <c r="AY2418" s="48"/>
      <c r="AZ2418" s="48"/>
      <c r="BA2418" s="48"/>
      <c r="BB2418" s="48"/>
      <c r="BC2418" s="48"/>
      <c r="BD2418" s="48"/>
    </row>
    <row r="2419" spans="1:56">
      <c r="A2419" s="48"/>
      <c r="B2419" s="48"/>
      <c r="C2419" s="49"/>
      <c r="D2419" s="48"/>
      <c r="E2419" s="48"/>
      <c r="F2419" s="48"/>
      <c r="G2419" s="48"/>
      <c r="H2419" s="48"/>
      <c r="I2419" s="48"/>
      <c r="J2419" s="86"/>
      <c r="K2419" s="86"/>
      <c r="L2419" s="86"/>
      <c r="M2419" s="86"/>
      <c r="N2419" s="86"/>
      <c r="O2419" s="86"/>
      <c r="P2419" s="86"/>
      <c r="Q2419" s="86"/>
      <c r="R2419" s="86"/>
      <c r="S2419" s="86"/>
      <c r="T2419" s="86"/>
      <c r="U2419" s="86"/>
      <c r="V2419" s="48"/>
      <c r="W2419" s="48"/>
      <c r="X2419" s="48"/>
      <c r="Y2419" s="48"/>
      <c r="Z2419" s="48"/>
      <c r="AA2419" s="48"/>
      <c r="AB2419" s="48"/>
      <c r="AC2419" s="48"/>
      <c r="AD2419" s="48"/>
      <c r="AE2419" s="48"/>
      <c r="AF2419" s="48"/>
      <c r="AG2419" s="48"/>
      <c r="AH2419" s="48"/>
      <c r="AI2419" s="48"/>
      <c r="AJ2419" s="48"/>
      <c r="AK2419" s="48"/>
      <c r="AL2419" s="48"/>
      <c r="AM2419" s="48"/>
      <c r="AN2419" s="48"/>
      <c r="AO2419" s="48"/>
      <c r="AP2419" s="48"/>
      <c r="AQ2419" s="48"/>
      <c r="AR2419" s="48"/>
      <c r="AS2419" s="48"/>
      <c r="AT2419" s="48"/>
      <c r="AU2419" s="48"/>
      <c r="AV2419" s="48"/>
      <c r="AW2419" s="48"/>
      <c r="AX2419" s="48"/>
      <c r="AY2419" s="48"/>
      <c r="AZ2419" s="48"/>
      <c r="BA2419" s="48"/>
      <c r="BB2419" s="48"/>
      <c r="BC2419" s="48"/>
      <c r="BD2419" s="48"/>
    </row>
    <row r="2420" spans="1:56">
      <c r="A2420" s="48"/>
      <c r="B2420" s="48"/>
      <c r="C2420" s="49"/>
      <c r="D2420" s="48"/>
      <c r="E2420" s="48"/>
      <c r="F2420" s="48"/>
      <c r="G2420" s="48"/>
      <c r="H2420" s="48"/>
      <c r="I2420" s="48"/>
      <c r="J2420" s="86"/>
      <c r="K2420" s="86"/>
      <c r="L2420" s="86"/>
      <c r="M2420" s="86"/>
      <c r="N2420" s="86"/>
      <c r="O2420" s="86"/>
      <c r="P2420" s="86"/>
      <c r="Q2420" s="86"/>
      <c r="R2420" s="86"/>
      <c r="S2420" s="86"/>
      <c r="T2420" s="86"/>
      <c r="U2420" s="86"/>
      <c r="V2420" s="48"/>
      <c r="W2420" s="48"/>
      <c r="X2420" s="48"/>
      <c r="Y2420" s="48"/>
      <c r="Z2420" s="48"/>
      <c r="AA2420" s="48"/>
      <c r="AB2420" s="48"/>
      <c r="AC2420" s="48"/>
      <c r="AD2420" s="48"/>
      <c r="AE2420" s="48"/>
      <c r="AF2420" s="48"/>
      <c r="AG2420" s="48"/>
      <c r="AH2420" s="48"/>
      <c r="AI2420" s="48"/>
      <c r="AJ2420" s="48"/>
      <c r="AK2420" s="48"/>
      <c r="AL2420" s="48"/>
      <c r="AM2420" s="48"/>
      <c r="AN2420" s="48"/>
      <c r="AO2420" s="48"/>
      <c r="AP2420" s="48"/>
      <c r="AQ2420" s="48"/>
      <c r="AR2420" s="48"/>
      <c r="AS2420" s="48"/>
      <c r="AT2420" s="48"/>
      <c r="AU2420" s="48"/>
      <c r="AV2420" s="48"/>
      <c r="AW2420" s="48"/>
      <c r="AX2420" s="48"/>
      <c r="AY2420" s="48"/>
      <c r="AZ2420" s="48"/>
      <c r="BA2420" s="48"/>
      <c r="BB2420" s="48"/>
      <c r="BC2420" s="48"/>
      <c r="BD2420" s="48"/>
    </row>
    <row r="2421" spans="1:56">
      <c r="A2421" s="48"/>
      <c r="B2421" s="48"/>
      <c r="C2421" s="49"/>
      <c r="D2421" s="48"/>
      <c r="E2421" s="48"/>
      <c r="F2421" s="48"/>
      <c r="G2421" s="48"/>
      <c r="H2421" s="48"/>
      <c r="I2421" s="48"/>
      <c r="J2421" s="86"/>
      <c r="K2421" s="86"/>
      <c r="L2421" s="86"/>
      <c r="M2421" s="86"/>
      <c r="N2421" s="86"/>
      <c r="O2421" s="86"/>
      <c r="P2421" s="86"/>
      <c r="Q2421" s="86"/>
      <c r="R2421" s="86"/>
      <c r="S2421" s="86"/>
      <c r="T2421" s="86"/>
      <c r="U2421" s="86"/>
      <c r="V2421" s="48"/>
      <c r="W2421" s="48"/>
      <c r="X2421" s="48"/>
      <c r="Y2421" s="48"/>
      <c r="Z2421" s="48"/>
      <c r="AA2421" s="48"/>
      <c r="AB2421" s="48"/>
      <c r="AC2421" s="48"/>
      <c r="AD2421" s="48"/>
      <c r="AE2421" s="48"/>
      <c r="AF2421" s="48"/>
      <c r="AG2421" s="48"/>
      <c r="AH2421" s="48"/>
      <c r="AI2421" s="48"/>
      <c r="AJ2421" s="48"/>
      <c r="AK2421" s="48"/>
      <c r="AL2421" s="48"/>
      <c r="AM2421" s="48"/>
      <c r="AN2421" s="48"/>
      <c r="AO2421" s="48"/>
      <c r="AP2421" s="48"/>
      <c r="AQ2421" s="48"/>
      <c r="AR2421" s="48"/>
      <c r="AS2421" s="48"/>
      <c r="AT2421" s="48"/>
      <c r="AU2421" s="48"/>
      <c r="AV2421" s="48"/>
      <c r="AW2421" s="48"/>
      <c r="AX2421" s="48"/>
      <c r="AY2421" s="48"/>
      <c r="AZ2421" s="48"/>
      <c r="BA2421" s="48"/>
      <c r="BB2421" s="48"/>
      <c r="BC2421" s="48"/>
      <c r="BD2421" s="48"/>
    </row>
    <row r="2422" spans="1:56">
      <c r="A2422" s="48"/>
      <c r="B2422" s="48"/>
      <c r="C2422" s="49"/>
      <c r="D2422" s="48"/>
      <c r="E2422" s="48"/>
      <c r="F2422" s="48"/>
      <c r="G2422" s="48"/>
      <c r="H2422" s="48"/>
      <c r="I2422" s="48"/>
      <c r="J2422" s="86"/>
      <c r="K2422" s="86"/>
      <c r="L2422" s="86"/>
      <c r="M2422" s="86"/>
      <c r="N2422" s="86"/>
      <c r="O2422" s="86"/>
      <c r="P2422" s="86"/>
      <c r="Q2422" s="86"/>
      <c r="R2422" s="86"/>
      <c r="S2422" s="86"/>
      <c r="T2422" s="86"/>
      <c r="U2422" s="86"/>
      <c r="V2422" s="48"/>
      <c r="W2422" s="48"/>
      <c r="X2422" s="48"/>
      <c r="Y2422" s="48"/>
      <c r="Z2422" s="48"/>
      <c r="AA2422" s="48"/>
      <c r="AB2422" s="48"/>
      <c r="AC2422" s="48"/>
      <c r="AD2422" s="48"/>
      <c r="AE2422" s="48"/>
      <c r="AF2422" s="48"/>
      <c r="AG2422" s="48"/>
      <c r="AH2422" s="48"/>
      <c r="AI2422" s="48"/>
      <c r="AJ2422" s="48"/>
      <c r="AK2422" s="48"/>
      <c r="AL2422" s="48"/>
      <c r="AM2422" s="48"/>
      <c r="AN2422" s="48"/>
      <c r="AO2422" s="48"/>
      <c r="AP2422" s="48"/>
      <c r="AQ2422" s="48"/>
      <c r="AR2422" s="48"/>
      <c r="AS2422" s="48"/>
      <c r="AT2422" s="48"/>
      <c r="AU2422" s="48"/>
      <c r="AV2422" s="48"/>
      <c r="AW2422" s="48"/>
      <c r="AX2422" s="48"/>
      <c r="AY2422" s="48"/>
      <c r="AZ2422" s="48"/>
      <c r="BA2422" s="48"/>
      <c r="BB2422" s="48"/>
      <c r="BC2422" s="48"/>
      <c r="BD2422" s="48"/>
    </row>
    <row r="2423" spans="1:56">
      <c r="A2423" s="48"/>
      <c r="B2423" s="48"/>
      <c r="C2423" s="49"/>
      <c r="D2423" s="48"/>
      <c r="E2423" s="48"/>
      <c r="F2423" s="48"/>
      <c r="G2423" s="48"/>
      <c r="H2423" s="48"/>
      <c r="I2423" s="48"/>
      <c r="J2423" s="86"/>
      <c r="K2423" s="86"/>
      <c r="L2423" s="86"/>
      <c r="M2423" s="86"/>
      <c r="N2423" s="86"/>
      <c r="O2423" s="86"/>
      <c r="P2423" s="86"/>
      <c r="Q2423" s="86"/>
      <c r="R2423" s="86"/>
      <c r="S2423" s="86"/>
      <c r="T2423" s="86"/>
      <c r="U2423" s="86"/>
      <c r="V2423" s="48"/>
      <c r="W2423" s="48"/>
      <c r="X2423" s="48"/>
      <c r="Y2423" s="48"/>
      <c r="Z2423" s="48"/>
      <c r="AA2423" s="48"/>
      <c r="AB2423" s="48"/>
      <c r="AC2423" s="48"/>
      <c r="AD2423" s="48"/>
      <c r="AE2423" s="48"/>
      <c r="AF2423" s="48"/>
      <c r="AG2423" s="48"/>
      <c r="AH2423" s="48"/>
      <c r="AI2423" s="48"/>
      <c r="AJ2423" s="48"/>
      <c r="AK2423" s="48"/>
      <c r="AL2423" s="48"/>
      <c r="AM2423" s="48"/>
      <c r="AN2423" s="48"/>
      <c r="AO2423" s="48"/>
      <c r="AP2423" s="48"/>
      <c r="AQ2423" s="48"/>
      <c r="AR2423" s="48"/>
      <c r="AS2423" s="48"/>
      <c r="AT2423" s="48"/>
      <c r="AU2423" s="48"/>
      <c r="AV2423" s="48"/>
      <c r="AW2423" s="48"/>
      <c r="AX2423" s="48"/>
      <c r="AY2423" s="48"/>
      <c r="AZ2423" s="48"/>
      <c r="BA2423" s="48"/>
      <c r="BB2423" s="48"/>
      <c r="BC2423" s="48"/>
      <c r="BD2423" s="48"/>
    </row>
    <row r="2424" spans="1:56">
      <c r="A2424" s="48"/>
      <c r="B2424" s="48"/>
      <c r="C2424" s="49"/>
      <c r="D2424" s="48"/>
      <c r="E2424" s="48"/>
      <c r="F2424" s="48"/>
      <c r="G2424" s="48"/>
      <c r="H2424" s="48"/>
      <c r="I2424" s="48"/>
      <c r="J2424" s="86"/>
      <c r="K2424" s="86"/>
      <c r="L2424" s="86"/>
      <c r="M2424" s="86"/>
      <c r="N2424" s="86"/>
      <c r="O2424" s="86"/>
      <c r="P2424" s="86"/>
      <c r="Q2424" s="86"/>
      <c r="R2424" s="86"/>
      <c r="S2424" s="86"/>
      <c r="T2424" s="86"/>
      <c r="U2424" s="86"/>
      <c r="V2424" s="48"/>
      <c r="W2424" s="48"/>
      <c r="X2424" s="48"/>
      <c r="Y2424" s="48"/>
      <c r="Z2424" s="48"/>
      <c r="AA2424" s="48"/>
      <c r="AB2424" s="48"/>
      <c r="AC2424" s="48"/>
      <c r="AD2424" s="48"/>
      <c r="AE2424" s="48"/>
      <c r="AF2424" s="48"/>
      <c r="AG2424" s="48"/>
      <c r="AH2424" s="48"/>
      <c r="AI2424" s="48"/>
      <c r="AJ2424" s="48"/>
      <c r="AK2424" s="48"/>
      <c r="AL2424" s="48"/>
      <c r="AM2424" s="48"/>
      <c r="AN2424" s="48"/>
      <c r="AO2424" s="48"/>
      <c r="AP2424" s="48"/>
      <c r="AQ2424" s="48"/>
      <c r="AR2424" s="48"/>
      <c r="AS2424" s="48"/>
      <c r="AT2424" s="48"/>
      <c r="AU2424" s="48"/>
      <c r="AV2424" s="48"/>
      <c r="AW2424" s="48"/>
      <c r="AX2424" s="48"/>
      <c r="AY2424" s="48"/>
      <c r="AZ2424" s="48"/>
      <c r="BA2424" s="48"/>
      <c r="BB2424" s="48"/>
      <c r="BC2424" s="48"/>
      <c r="BD2424" s="48"/>
    </row>
    <row r="2425" spans="1:56">
      <c r="A2425" s="48"/>
      <c r="B2425" s="48"/>
      <c r="C2425" s="49"/>
      <c r="D2425" s="48"/>
      <c r="E2425" s="48"/>
      <c r="F2425" s="48"/>
      <c r="G2425" s="48"/>
      <c r="H2425" s="48"/>
      <c r="I2425" s="48"/>
      <c r="J2425" s="86"/>
      <c r="K2425" s="86"/>
      <c r="L2425" s="86"/>
      <c r="M2425" s="86"/>
      <c r="N2425" s="86"/>
      <c r="O2425" s="86"/>
      <c r="P2425" s="86"/>
      <c r="Q2425" s="86"/>
      <c r="R2425" s="86"/>
      <c r="S2425" s="86"/>
      <c r="T2425" s="86"/>
      <c r="U2425" s="86"/>
      <c r="V2425" s="48"/>
      <c r="W2425" s="48"/>
      <c r="X2425" s="48"/>
      <c r="Y2425" s="48"/>
      <c r="Z2425" s="48"/>
      <c r="AA2425" s="48"/>
      <c r="AB2425" s="48"/>
      <c r="AC2425" s="48"/>
      <c r="AD2425" s="48"/>
      <c r="AE2425" s="48"/>
      <c r="AF2425" s="48"/>
      <c r="AG2425" s="48"/>
      <c r="AH2425" s="48"/>
      <c r="AI2425" s="48"/>
      <c r="AJ2425" s="48"/>
      <c r="AK2425" s="48"/>
      <c r="AL2425" s="48"/>
      <c r="AM2425" s="48"/>
      <c r="AN2425" s="48"/>
      <c r="AO2425" s="48"/>
      <c r="AP2425" s="48"/>
      <c r="AQ2425" s="48"/>
      <c r="AR2425" s="48"/>
      <c r="AS2425" s="48"/>
      <c r="AT2425" s="48"/>
      <c r="AU2425" s="48"/>
      <c r="AV2425" s="48"/>
      <c r="AW2425" s="48"/>
      <c r="AX2425" s="48"/>
      <c r="AY2425" s="48"/>
      <c r="AZ2425" s="48"/>
      <c r="BA2425" s="48"/>
      <c r="BB2425" s="48"/>
      <c r="BC2425" s="48"/>
      <c r="BD2425" s="48"/>
    </row>
    <row r="2426" spans="1:56">
      <c r="A2426" s="48"/>
      <c r="B2426" s="48"/>
      <c r="C2426" s="49"/>
      <c r="D2426" s="48"/>
      <c r="E2426" s="48"/>
      <c r="F2426" s="48"/>
      <c r="G2426" s="48"/>
      <c r="H2426" s="48"/>
      <c r="I2426" s="48"/>
      <c r="J2426" s="86"/>
      <c r="K2426" s="86"/>
      <c r="L2426" s="86"/>
      <c r="M2426" s="86"/>
      <c r="N2426" s="86"/>
      <c r="O2426" s="86"/>
      <c r="P2426" s="86"/>
      <c r="Q2426" s="86"/>
      <c r="R2426" s="86"/>
      <c r="S2426" s="86"/>
      <c r="T2426" s="86"/>
      <c r="U2426" s="86"/>
      <c r="V2426" s="48"/>
      <c r="W2426" s="48"/>
      <c r="X2426" s="48"/>
      <c r="Y2426" s="48"/>
      <c r="Z2426" s="48"/>
      <c r="AA2426" s="48"/>
      <c r="AB2426" s="48"/>
      <c r="AC2426" s="48"/>
      <c r="AD2426" s="48"/>
      <c r="AE2426" s="48"/>
      <c r="AF2426" s="48"/>
      <c r="AG2426" s="48"/>
      <c r="AH2426" s="48"/>
      <c r="AI2426" s="48"/>
      <c r="AJ2426" s="48"/>
      <c r="AK2426" s="48"/>
      <c r="AL2426" s="48"/>
      <c r="AM2426" s="48"/>
      <c r="AN2426" s="48"/>
      <c r="AO2426" s="48"/>
      <c r="AP2426" s="48"/>
      <c r="AQ2426" s="48"/>
      <c r="AR2426" s="48"/>
      <c r="AS2426" s="48"/>
      <c r="AT2426" s="48"/>
      <c r="AU2426" s="48"/>
      <c r="AV2426" s="48"/>
      <c r="AW2426" s="48"/>
      <c r="AX2426" s="48"/>
      <c r="AY2426" s="48"/>
      <c r="AZ2426" s="48"/>
      <c r="BA2426" s="48"/>
      <c r="BB2426" s="48"/>
      <c r="BC2426" s="48"/>
      <c r="BD2426" s="48"/>
    </row>
    <row r="2427" spans="1:56">
      <c r="A2427" s="48"/>
      <c r="B2427" s="48"/>
      <c r="C2427" s="49"/>
      <c r="D2427" s="48"/>
      <c r="E2427" s="48"/>
      <c r="F2427" s="48"/>
      <c r="G2427" s="48"/>
      <c r="H2427" s="48"/>
      <c r="I2427" s="48"/>
      <c r="J2427" s="86"/>
      <c r="K2427" s="86"/>
      <c r="L2427" s="86"/>
      <c r="M2427" s="86"/>
      <c r="N2427" s="86"/>
      <c r="O2427" s="86"/>
      <c r="P2427" s="86"/>
      <c r="Q2427" s="86"/>
      <c r="R2427" s="86"/>
      <c r="S2427" s="86"/>
      <c r="T2427" s="86"/>
      <c r="U2427" s="86"/>
      <c r="V2427" s="48"/>
      <c r="W2427" s="48"/>
      <c r="X2427" s="48"/>
      <c r="Y2427" s="48"/>
      <c r="Z2427" s="48"/>
      <c r="AA2427" s="48"/>
      <c r="AB2427" s="48"/>
      <c r="AC2427" s="48"/>
      <c r="AD2427" s="48"/>
      <c r="AE2427" s="48"/>
      <c r="AF2427" s="48"/>
      <c r="AG2427" s="48"/>
      <c r="AH2427" s="48"/>
      <c r="AI2427" s="48"/>
      <c r="AJ2427" s="48"/>
      <c r="AK2427" s="48"/>
      <c r="AL2427" s="48"/>
      <c r="AM2427" s="48"/>
      <c r="AN2427" s="48"/>
      <c r="AO2427" s="48"/>
      <c r="AP2427" s="48"/>
      <c r="AQ2427" s="48"/>
      <c r="AR2427" s="48"/>
      <c r="AS2427" s="48"/>
      <c r="AT2427" s="48"/>
      <c r="AU2427" s="48"/>
      <c r="AV2427" s="48"/>
      <c r="AW2427" s="48"/>
      <c r="AX2427" s="48"/>
      <c r="AY2427" s="48"/>
      <c r="AZ2427" s="48"/>
      <c r="BA2427" s="48"/>
      <c r="BB2427" s="48"/>
      <c r="BC2427" s="48"/>
      <c r="BD2427" s="48"/>
    </row>
    <row r="2428" spans="1:56">
      <c r="A2428" s="48"/>
      <c r="B2428" s="48"/>
      <c r="C2428" s="49"/>
      <c r="D2428" s="48"/>
      <c r="E2428" s="48"/>
      <c r="F2428" s="48"/>
      <c r="G2428" s="48"/>
      <c r="H2428" s="48"/>
      <c r="I2428" s="48"/>
      <c r="J2428" s="86"/>
      <c r="K2428" s="86"/>
      <c r="L2428" s="86"/>
      <c r="M2428" s="86"/>
      <c r="N2428" s="86"/>
      <c r="O2428" s="86"/>
      <c r="P2428" s="86"/>
      <c r="Q2428" s="86"/>
      <c r="R2428" s="86"/>
      <c r="S2428" s="86"/>
      <c r="T2428" s="86"/>
      <c r="U2428" s="86"/>
      <c r="V2428" s="48"/>
      <c r="W2428" s="48"/>
      <c r="X2428" s="48"/>
      <c r="Y2428" s="48"/>
      <c r="Z2428" s="48"/>
      <c r="AA2428" s="48"/>
      <c r="AB2428" s="48"/>
      <c r="AC2428" s="48"/>
      <c r="AD2428" s="48"/>
      <c r="AE2428" s="48"/>
      <c r="AF2428" s="48"/>
      <c r="AG2428" s="48"/>
      <c r="AH2428" s="48"/>
      <c r="AI2428" s="48"/>
      <c r="AJ2428" s="48"/>
      <c r="AK2428" s="48"/>
      <c r="AL2428" s="48"/>
      <c r="AM2428" s="48"/>
      <c r="AN2428" s="48"/>
      <c r="AO2428" s="48"/>
      <c r="AP2428" s="48"/>
      <c r="AQ2428" s="48"/>
      <c r="AR2428" s="48"/>
      <c r="AS2428" s="48"/>
      <c r="AT2428" s="48"/>
      <c r="AU2428" s="48"/>
      <c r="AV2428" s="48"/>
      <c r="AW2428" s="48"/>
      <c r="AX2428" s="48"/>
      <c r="AY2428" s="48"/>
      <c r="AZ2428" s="48"/>
      <c r="BA2428" s="48"/>
      <c r="BB2428" s="48"/>
      <c r="BC2428" s="48"/>
      <c r="BD2428" s="48"/>
    </row>
    <row r="2429" spans="1:56">
      <c r="A2429" s="48"/>
      <c r="B2429" s="48"/>
      <c r="C2429" s="49"/>
      <c r="D2429" s="48"/>
      <c r="E2429" s="48"/>
      <c r="F2429" s="48"/>
      <c r="G2429" s="48"/>
      <c r="H2429" s="48"/>
      <c r="I2429" s="48"/>
      <c r="J2429" s="86"/>
      <c r="K2429" s="86"/>
      <c r="L2429" s="86"/>
      <c r="M2429" s="86"/>
      <c r="N2429" s="86"/>
      <c r="O2429" s="86"/>
      <c r="P2429" s="86"/>
      <c r="Q2429" s="86"/>
      <c r="R2429" s="86"/>
      <c r="S2429" s="86"/>
      <c r="T2429" s="86"/>
      <c r="U2429" s="86"/>
      <c r="V2429" s="48"/>
      <c r="W2429" s="48"/>
      <c r="X2429" s="48"/>
      <c r="Y2429" s="48"/>
      <c r="Z2429" s="48"/>
      <c r="AA2429" s="48"/>
      <c r="AB2429" s="48"/>
      <c r="AC2429" s="48"/>
      <c r="AD2429" s="48"/>
      <c r="AE2429" s="48"/>
      <c r="AF2429" s="48"/>
      <c r="AG2429" s="48"/>
      <c r="AH2429" s="48"/>
      <c r="AI2429" s="48"/>
      <c r="AJ2429" s="48"/>
      <c r="AK2429" s="48"/>
      <c r="AL2429" s="48"/>
      <c r="AM2429" s="48"/>
      <c r="AN2429" s="48"/>
      <c r="AO2429" s="48"/>
      <c r="AP2429" s="48"/>
      <c r="AQ2429" s="48"/>
      <c r="AR2429" s="48"/>
      <c r="AS2429" s="48"/>
      <c r="AT2429" s="48"/>
      <c r="AU2429" s="48"/>
      <c r="AV2429" s="48"/>
      <c r="AW2429" s="48"/>
      <c r="AX2429" s="48"/>
      <c r="AY2429" s="48"/>
      <c r="AZ2429" s="48"/>
      <c r="BA2429" s="48"/>
      <c r="BB2429" s="48"/>
      <c r="BC2429" s="48"/>
      <c r="BD2429" s="48"/>
    </row>
    <row r="2430" spans="1:56">
      <c r="A2430" s="48"/>
      <c r="B2430" s="48"/>
      <c r="C2430" s="49"/>
      <c r="D2430" s="48"/>
      <c r="E2430" s="48"/>
      <c r="F2430" s="48"/>
      <c r="G2430" s="48"/>
      <c r="H2430" s="48"/>
      <c r="I2430" s="48"/>
      <c r="J2430" s="86"/>
      <c r="K2430" s="86"/>
      <c r="L2430" s="86"/>
      <c r="M2430" s="86"/>
      <c r="N2430" s="86"/>
      <c r="O2430" s="86"/>
      <c r="P2430" s="86"/>
      <c r="Q2430" s="86"/>
      <c r="R2430" s="86"/>
      <c r="S2430" s="86"/>
      <c r="T2430" s="86"/>
      <c r="U2430" s="86"/>
      <c r="V2430" s="48"/>
      <c r="W2430" s="48"/>
      <c r="X2430" s="48"/>
      <c r="Y2430" s="48"/>
      <c r="Z2430" s="48"/>
      <c r="AA2430" s="48"/>
      <c r="AB2430" s="48"/>
      <c r="AC2430" s="48"/>
      <c r="AD2430" s="48"/>
      <c r="AE2430" s="48"/>
      <c r="AF2430" s="48"/>
      <c r="AG2430" s="48"/>
      <c r="AH2430" s="48"/>
      <c r="AI2430" s="48"/>
      <c r="AJ2430" s="48"/>
      <c r="AK2430" s="48"/>
      <c r="AL2430" s="48"/>
      <c r="AM2430" s="48"/>
      <c r="AN2430" s="48"/>
      <c r="AO2430" s="48"/>
      <c r="AP2430" s="48"/>
      <c r="AQ2430" s="48"/>
      <c r="AR2430" s="48"/>
      <c r="AS2430" s="48"/>
      <c r="AT2430" s="48"/>
      <c r="AU2430" s="48"/>
      <c r="AV2430" s="48"/>
      <c r="AW2430" s="48"/>
      <c r="AX2430" s="48"/>
      <c r="AY2430" s="48"/>
      <c r="AZ2430" s="48"/>
      <c r="BA2430" s="48"/>
      <c r="BB2430" s="48"/>
      <c r="BC2430" s="48"/>
      <c r="BD2430" s="48"/>
    </row>
    <row r="2431" spans="1:56">
      <c r="A2431" s="48"/>
      <c r="B2431" s="48"/>
      <c r="C2431" s="49"/>
      <c r="D2431" s="48"/>
      <c r="E2431" s="48"/>
      <c r="F2431" s="48"/>
      <c r="G2431" s="48"/>
      <c r="H2431" s="48"/>
      <c r="I2431" s="48"/>
      <c r="J2431" s="86"/>
      <c r="K2431" s="86"/>
      <c r="L2431" s="86"/>
      <c r="M2431" s="86"/>
      <c r="N2431" s="86"/>
      <c r="O2431" s="86"/>
      <c r="P2431" s="86"/>
      <c r="Q2431" s="86"/>
      <c r="R2431" s="86"/>
      <c r="S2431" s="86"/>
      <c r="T2431" s="86"/>
      <c r="U2431" s="86"/>
      <c r="V2431" s="48"/>
      <c r="W2431" s="48"/>
      <c r="X2431" s="48"/>
      <c r="Y2431" s="48"/>
      <c r="Z2431" s="48"/>
      <c r="AA2431" s="48"/>
      <c r="AB2431" s="48"/>
      <c r="AC2431" s="48"/>
      <c r="AD2431" s="48"/>
      <c r="AE2431" s="48"/>
      <c r="AF2431" s="48"/>
      <c r="AG2431" s="48"/>
      <c r="AH2431" s="48"/>
      <c r="AI2431" s="48"/>
      <c r="AJ2431" s="48"/>
      <c r="AK2431" s="48"/>
      <c r="AL2431" s="48"/>
      <c r="AM2431" s="48"/>
      <c r="AN2431" s="48"/>
      <c r="AO2431" s="48"/>
      <c r="AP2431" s="48"/>
      <c r="AQ2431" s="48"/>
      <c r="AR2431" s="48"/>
      <c r="AS2431" s="48"/>
      <c r="AT2431" s="48"/>
      <c r="AU2431" s="48"/>
      <c r="AV2431" s="48"/>
      <c r="AW2431" s="48"/>
      <c r="AX2431" s="48"/>
      <c r="AY2431" s="48"/>
      <c r="AZ2431" s="48"/>
      <c r="BA2431" s="48"/>
      <c r="BB2431" s="48"/>
      <c r="BC2431" s="48"/>
      <c r="BD2431" s="48"/>
    </row>
    <row r="2432" spans="1:56">
      <c r="A2432" s="48"/>
      <c r="B2432" s="48"/>
      <c r="C2432" s="49"/>
      <c r="D2432" s="48"/>
      <c r="E2432" s="48"/>
      <c r="F2432" s="48"/>
      <c r="G2432" s="48"/>
      <c r="H2432" s="48"/>
      <c r="I2432" s="48"/>
      <c r="J2432" s="86"/>
      <c r="K2432" s="86"/>
      <c r="L2432" s="86"/>
      <c r="M2432" s="86"/>
      <c r="N2432" s="86"/>
      <c r="O2432" s="86"/>
      <c r="P2432" s="86"/>
      <c r="Q2432" s="86"/>
      <c r="R2432" s="86"/>
      <c r="S2432" s="86"/>
      <c r="T2432" s="86"/>
      <c r="U2432" s="86"/>
      <c r="V2432" s="48"/>
      <c r="W2432" s="48"/>
      <c r="X2432" s="48"/>
      <c r="Y2432" s="48"/>
      <c r="Z2432" s="48"/>
      <c r="AA2432" s="48"/>
      <c r="AB2432" s="48"/>
      <c r="AC2432" s="48"/>
      <c r="AD2432" s="48"/>
      <c r="AE2432" s="48"/>
      <c r="AF2432" s="48"/>
      <c r="AG2432" s="48"/>
      <c r="AH2432" s="48"/>
      <c r="AI2432" s="48"/>
      <c r="AJ2432" s="48"/>
      <c r="AK2432" s="48"/>
      <c r="AL2432" s="48"/>
      <c r="AM2432" s="48"/>
      <c r="AN2432" s="48"/>
      <c r="AO2432" s="48"/>
      <c r="AP2432" s="48"/>
      <c r="AQ2432" s="48"/>
      <c r="AR2432" s="48"/>
      <c r="AS2432" s="48"/>
      <c r="AT2432" s="48"/>
      <c r="AU2432" s="48"/>
      <c r="AV2432" s="48"/>
      <c r="AW2432" s="48"/>
      <c r="AX2432" s="48"/>
      <c r="AY2432" s="48"/>
      <c r="AZ2432" s="48"/>
      <c r="BA2432" s="48"/>
      <c r="BB2432" s="48"/>
      <c r="BC2432" s="48"/>
      <c r="BD2432" s="48"/>
    </row>
    <row r="2433" spans="1:56">
      <c r="A2433" s="48"/>
      <c r="B2433" s="48"/>
      <c r="C2433" s="49"/>
      <c r="D2433" s="48"/>
      <c r="E2433" s="48"/>
      <c r="F2433" s="48"/>
      <c r="G2433" s="48"/>
      <c r="H2433" s="48"/>
      <c r="I2433" s="48"/>
      <c r="J2433" s="86"/>
      <c r="K2433" s="86"/>
      <c r="L2433" s="86"/>
      <c r="M2433" s="86"/>
      <c r="N2433" s="86"/>
      <c r="O2433" s="86"/>
      <c r="P2433" s="86"/>
      <c r="Q2433" s="86"/>
      <c r="R2433" s="86"/>
      <c r="S2433" s="86"/>
      <c r="T2433" s="86"/>
      <c r="U2433" s="86"/>
      <c r="V2433" s="48"/>
      <c r="W2433" s="48"/>
      <c r="X2433" s="48"/>
      <c r="Y2433" s="48"/>
      <c r="Z2433" s="48"/>
      <c r="AA2433" s="48"/>
      <c r="AB2433" s="48"/>
      <c r="AC2433" s="48"/>
      <c r="AD2433" s="48"/>
      <c r="AE2433" s="48"/>
      <c r="AF2433" s="48"/>
      <c r="AG2433" s="48"/>
      <c r="AH2433" s="48"/>
      <c r="AI2433" s="48"/>
      <c r="AJ2433" s="48"/>
      <c r="AK2433" s="48"/>
      <c r="AL2433" s="48"/>
      <c r="AM2433" s="48"/>
      <c r="AN2433" s="48"/>
      <c r="AO2433" s="48"/>
      <c r="AP2433" s="48"/>
      <c r="AQ2433" s="48"/>
      <c r="AR2433" s="48"/>
      <c r="AS2433" s="48"/>
      <c r="AT2433" s="48"/>
      <c r="AU2433" s="48"/>
      <c r="AV2433" s="48"/>
      <c r="AW2433" s="48"/>
      <c r="AX2433" s="48"/>
      <c r="AY2433" s="48"/>
      <c r="AZ2433" s="48"/>
      <c r="BA2433" s="48"/>
      <c r="BB2433" s="48"/>
      <c r="BC2433" s="48"/>
      <c r="BD2433" s="48"/>
    </row>
    <row r="2434" spans="1:56">
      <c r="A2434" s="48"/>
      <c r="B2434" s="48"/>
      <c r="C2434" s="49"/>
      <c r="D2434" s="48"/>
      <c r="E2434" s="48"/>
      <c r="F2434" s="48"/>
      <c r="G2434" s="48"/>
      <c r="H2434" s="48"/>
      <c r="I2434" s="48"/>
      <c r="J2434" s="86"/>
      <c r="K2434" s="86"/>
      <c r="L2434" s="86"/>
      <c r="M2434" s="86"/>
      <c r="N2434" s="86"/>
      <c r="O2434" s="86"/>
      <c r="P2434" s="86"/>
      <c r="Q2434" s="86"/>
      <c r="R2434" s="86"/>
      <c r="S2434" s="86"/>
      <c r="T2434" s="86"/>
      <c r="U2434" s="86"/>
      <c r="V2434" s="48"/>
      <c r="W2434" s="48"/>
      <c r="X2434" s="48"/>
      <c r="Y2434" s="48"/>
      <c r="Z2434" s="48"/>
      <c r="AA2434" s="48"/>
      <c r="AB2434" s="48"/>
      <c r="AC2434" s="48"/>
      <c r="AD2434" s="48"/>
      <c r="AE2434" s="48"/>
      <c r="AF2434" s="48"/>
      <c r="AG2434" s="48"/>
      <c r="AH2434" s="48"/>
      <c r="AI2434" s="48"/>
      <c r="AJ2434" s="48"/>
      <c r="AK2434" s="48"/>
      <c r="AL2434" s="48"/>
      <c r="AM2434" s="48"/>
      <c r="AN2434" s="48"/>
      <c r="AO2434" s="48"/>
      <c r="AP2434" s="48"/>
      <c r="AQ2434" s="48"/>
      <c r="AR2434" s="48"/>
      <c r="AS2434" s="48"/>
      <c r="AT2434" s="48"/>
      <c r="AU2434" s="48"/>
      <c r="AV2434" s="48"/>
      <c r="AW2434" s="48"/>
      <c r="AX2434" s="48"/>
      <c r="AY2434" s="48"/>
      <c r="AZ2434" s="48"/>
      <c r="BA2434" s="48"/>
      <c r="BB2434" s="48"/>
      <c r="BC2434" s="48"/>
      <c r="BD2434" s="48"/>
    </row>
    <row r="2435" spans="1:56">
      <c r="A2435" s="48"/>
      <c r="B2435" s="48"/>
      <c r="C2435" s="49"/>
      <c r="D2435" s="48"/>
      <c r="E2435" s="48"/>
      <c r="F2435" s="48"/>
      <c r="G2435" s="48"/>
      <c r="H2435" s="48"/>
      <c r="I2435" s="48"/>
      <c r="J2435" s="86"/>
      <c r="K2435" s="86"/>
      <c r="L2435" s="86"/>
      <c r="M2435" s="86"/>
      <c r="N2435" s="86"/>
      <c r="O2435" s="86"/>
      <c r="P2435" s="86"/>
      <c r="Q2435" s="86"/>
      <c r="R2435" s="86"/>
      <c r="S2435" s="86"/>
      <c r="T2435" s="86"/>
      <c r="U2435" s="86"/>
      <c r="V2435" s="48"/>
      <c r="W2435" s="48"/>
      <c r="X2435" s="48"/>
      <c r="Y2435" s="48"/>
      <c r="Z2435" s="48"/>
      <c r="AA2435" s="48"/>
      <c r="AB2435" s="48"/>
      <c r="AC2435" s="48"/>
      <c r="AD2435" s="48"/>
      <c r="AE2435" s="48"/>
      <c r="AF2435" s="48"/>
      <c r="AG2435" s="48"/>
      <c r="AH2435" s="48"/>
      <c r="AI2435" s="48"/>
      <c r="AJ2435" s="48"/>
      <c r="AK2435" s="48"/>
      <c r="AL2435" s="48"/>
      <c r="AM2435" s="48"/>
      <c r="AN2435" s="48"/>
      <c r="AO2435" s="48"/>
      <c r="AP2435" s="48"/>
      <c r="AQ2435" s="48"/>
      <c r="AR2435" s="48"/>
      <c r="AS2435" s="48"/>
      <c r="AT2435" s="48"/>
      <c r="AU2435" s="48"/>
      <c r="AV2435" s="48"/>
      <c r="AW2435" s="48"/>
      <c r="AX2435" s="48"/>
      <c r="AY2435" s="48"/>
      <c r="AZ2435" s="48"/>
      <c r="BA2435" s="48"/>
      <c r="BB2435" s="48"/>
      <c r="BC2435" s="48"/>
      <c r="BD2435" s="48"/>
    </row>
    <row r="2436" spans="1:56">
      <c r="A2436" s="48"/>
      <c r="B2436" s="48"/>
      <c r="C2436" s="49"/>
      <c r="D2436" s="48"/>
      <c r="E2436" s="48"/>
      <c r="F2436" s="48"/>
      <c r="G2436" s="48"/>
      <c r="H2436" s="48"/>
      <c r="I2436" s="48"/>
      <c r="J2436" s="86"/>
      <c r="K2436" s="86"/>
      <c r="L2436" s="86"/>
      <c r="M2436" s="86"/>
      <c r="N2436" s="86"/>
      <c r="O2436" s="86"/>
      <c r="P2436" s="86"/>
      <c r="Q2436" s="86"/>
      <c r="R2436" s="86"/>
      <c r="S2436" s="86"/>
      <c r="T2436" s="86"/>
      <c r="U2436" s="86"/>
      <c r="V2436" s="48"/>
      <c r="W2436" s="48"/>
      <c r="X2436" s="48"/>
      <c r="Y2436" s="48"/>
      <c r="Z2436" s="48"/>
      <c r="AA2436" s="48"/>
      <c r="AB2436" s="48"/>
      <c r="AC2436" s="48"/>
      <c r="AD2436" s="48"/>
      <c r="AE2436" s="48"/>
      <c r="AF2436" s="48"/>
      <c r="AG2436" s="48"/>
      <c r="AH2436" s="48"/>
      <c r="AI2436" s="48"/>
      <c r="AJ2436" s="48"/>
      <c r="AK2436" s="48"/>
      <c r="AL2436" s="48"/>
      <c r="AM2436" s="48"/>
      <c r="AN2436" s="48"/>
      <c r="AO2436" s="48"/>
      <c r="AP2436" s="48"/>
      <c r="AQ2436" s="48"/>
      <c r="AR2436" s="48"/>
      <c r="AS2436" s="48"/>
      <c r="AT2436" s="48"/>
      <c r="AU2436" s="48"/>
      <c r="AV2436" s="48"/>
      <c r="AW2436" s="48"/>
      <c r="AX2436" s="48"/>
      <c r="AY2436" s="48"/>
      <c r="AZ2436" s="48"/>
      <c r="BA2436" s="48"/>
      <c r="BB2436" s="48"/>
      <c r="BC2436" s="48"/>
      <c r="BD2436" s="48"/>
    </row>
    <row r="2437" spans="1:56">
      <c r="A2437" s="48"/>
      <c r="B2437" s="48"/>
      <c r="C2437" s="49"/>
      <c r="D2437" s="48"/>
      <c r="E2437" s="48"/>
      <c r="F2437" s="48"/>
      <c r="G2437" s="48"/>
      <c r="H2437" s="48"/>
      <c r="I2437" s="48"/>
      <c r="J2437" s="86"/>
      <c r="K2437" s="86"/>
      <c r="L2437" s="86"/>
      <c r="M2437" s="86"/>
      <c r="N2437" s="86"/>
      <c r="O2437" s="86"/>
      <c r="P2437" s="86"/>
      <c r="Q2437" s="86"/>
      <c r="R2437" s="86"/>
      <c r="S2437" s="86"/>
      <c r="T2437" s="86"/>
      <c r="U2437" s="86"/>
      <c r="V2437" s="48"/>
      <c r="W2437" s="48"/>
      <c r="X2437" s="48"/>
      <c r="Y2437" s="48"/>
      <c r="Z2437" s="48"/>
      <c r="AA2437" s="48"/>
      <c r="AB2437" s="48"/>
      <c r="AC2437" s="48"/>
      <c r="AD2437" s="48"/>
      <c r="AE2437" s="48"/>
      <c r="AF2437" s="48"/>
      <c r="AG2437" s="48"/>
      <c r="AH2437" s="48"/>
      <c r="AI2437" s="48"/>
      <c r="AJ2437" s="48"/>
      <c r="AK2437" s="48"/>
      <c r="AL2437" s="48"/>
      <c r="AM2437" s="48"/>
      <c r="AN2437" s="48"/>
      <c r="AO2437" s="48"/>
      <c r="AP2437" s="48"/>
      <c r="AQ2437" s="48"/>
      <c r="AR2437" s="48"/>
      <c r="AS2437" s="48"/>
      <c r="AT2437" s="48"/>
      <c r="AU2437" s="48"/>
      <c r="AV2437" s="48"/>
      <c r="AW2437" s="48"/>
      <c r="AX2437" s="48"/>
      <c r="AY2437" s="48"/>
      <c r="AZ2437" s="48"/>
      <c r="BA2437" s="48"/>
      <c r="BB2437" s="48"/>
      <c r="BC2437" s="48"/>
      <c r="BD2437" s="48"/>
    </row>
    <row r="2438" spans="1:56">
      <c r="A2438" s="48"/>
      <c r="B2438" s="48"/>
      <c r="C2438" s="49"/>
      <c r="D2438" s="48"/>
      <c r="E2438" s="48"/>
      <c r="F2438" s="48"/>
      <c r="G2438" s="48"/>
      <c r="H2438" s="48"/>
      <c r="I2438" s="48"/>
      <c r="J2438" s="86"/>
      <c r="K2438" s="86"/>
      <c r="L2438" s="86"/>
      <c r="M2438" s="86"/>
      <c r="N2438" s="86"/>
      <c r="O2438" s="86"/>
      <c r="P2438" s="86"/>
      <c r="Q2438" s="86"/>
      <c r="R2438" s="86"/>
      <c r="S2438" s="86"/>
      <c r="T2438" s="86"/>
      <c r="U2438" s="86"/>
      <c r="V2438" s="48"/>
      <c r="W2438" s="48"/>
      <c r="X2438" s="48"/>
      <c r="Y2438" s="48"/>
      <c r="Z2438" s="48"/>
      <c r="AA2438" s="48"/>
      <c r="AB2438" s="48"/>
      <c r="AC2438" s="48"/>
      <c r="AD2438" s="48"/>
      <c r="AE2438" s="48"/>
      <c r="AF2438" s="48"/>
      <c r="AG2438" s="48"/>
      <c r="AH2438" s="48"/>
      <c r="AI2438" s="48"/>
      <c r="AJ2438" s="48"/>
      <c r="AK2438" s="48"/>
      <c r="AL2438" s="48"/>
      <c r="AM2438" s="48"/>
      <c r="AN2438" s="48"/>
      <c r="AO2438" s="48"/>
      <c r="AP2438" s="48"/>
      <c r="AQ2438" s="48"/>
      <c r="AR2438" s="48"/>
      <c r="AS2438" s="48"/>
      <c r="AT2438" s="48"/>
      <c r="AU2438" s="48"/>
      <c r="AV2438" s="48"/>
      <c r="AW2438" s="48"/>
      <c r="AX2438" s="48"/>
      <c r="AY2438" s="48"/>
      <c r="AZ2438" s="48"/>
      <c r="BA2438" s="48"/>
      <c r="BB2438" s="48"/>
      <c r="BC2438" s="48"/>
      <c r="BD2438" s="48"/>
    </row>
    <row r="2439" spans="1:56">
      <c r="A2439" s="48"/>
      <c r="B2439" s="48"/>
      <c r="C2439" s="49"/>
      <c r="D2439" s="48"/>
      <c r="E2439" s="48"/>
      <c r="F2439" s="48"/>
      <c r="G2439" s="48"/>
      <c r="H2439" s="48"/>
      <c r="I2439" s="48"/>
      <c r="J2439" s="86"/>
      <c r="K2439" s="86"/>
      <c r="L2439" s="86"/>
      <c r="M2439" s="86"/>
      <c r="N2439" s="86"/>
      <c r="O2439" s="86"/>
      <c r="P2439" s="86"/>
      <c r="Q2439" s="86"/>
      <c r="R2439" s="86"/>
      <c r="S2439" s="86"/>
      <c r="T2439" s="86"/>
      <c r="U2439" s="86"/>
      <c r="V2439" s="48"/>
      <c r="W2439" s="48"/>
      <c r="X2439" s="48"/>
      <c r="Y2439" s="48"/>
      <c r="Z2439" s="48"/>
      <c r="AA2439" s="48"/>
      <c r="AB2439" s="48"/>
      <c r="AC2439" s="48"/>
      <c r="AD2439" s="48"/>
      <c r="AE2439" s="48"/>
      <c r="AF2439" s="48"/>
      <c r="AG2439" s="48"/>
      <c r="AH2439" s="48"/>
      <c r="AI2439" s="48"/>
      <c r="AJ2439" s="48"/>
      <c r="AK2439" s="48"/>
      <c r="AL2439" s="48"/>
      <c r="AM2439" s="48"/>
      <c r="AN2439" s="48"/>
      <c r="AO2439" s="48"/>
      <c r="AP2439" s="48"/>
      <c r="AQ2439" s="48"/>
      <c r="AR2439" s="48"/>
      <c r="AS2439" s="48"/>
      <c r="AT2439" s="48"/>
      <c r="AU2439" s="48"/>
      <c r="AV2439" s="48"/>
      <c r="AW2439" s="48"/>
      <c r="AX2439" s="48"/>
      <c r="AY2439" s="48"/>
      <c r="AZ2439" s="48"/>
      <c r="BA2439" s="48"/>
      <c r="BB2439" s="48"/>
      <c r="BC2439" s="48"/>
      <c r="BD2439" s="48"/>
    </row>
    <row r="2440" spans="1:56">
      <c r="A2440" s="48"/>
      <c r="B2440" s="48"/>
      <c r="C2440" s="49"/>
      <c r="D2440" s="48"/>
      <c r="E2440" s="48"/>
      <c r="F2440" s="48"/>
      <c r="G2440" s="48"/>
      <c r="H2440" s="48"/>
      <c r="I2440" s="48"/>
      <c r="J2440" s="86"/>
      <c r="K2440" s="86"/>
      <c r="L2440" s="86"/>
      <c r="M2440" s="86"/>
      <c r="N2440" s="86"/>
      <c r="O2440" s="86"/>
      <c r="P2440" s="86"/>
      <c r="Q2440" s="86"/>
      <c r="R2440" s="86"/>
      <c r="S2440" s="86"/>
      <c r="T2440" s="86"/>
      <c r="U2440" s="86"/>
      <c r="V2440" s="48"/>
      <c r="W2440" s="48"/>
      <c r="X2440" s="48"/>
      <c r="Y2440" s="48"/>
      <c r="Z2440" s="48"/>
      <c r="AA2440" s="48"/>
      <c r="AB2440" s="48"/>
      <c r="AC2440" s="48"/>
      <c r="AD2440" s="48"/>
      <c r="AE2440" s="48"/>
      <c r="AF2440" s="48"/>
      <c r="AG2440" s="48"/>
      <c r="AH2440" s="48"/>
      <c r="AI2440" s="48"/>
      <c r="AJ2440" s="48"/>
      <c r="AK2440" s="48"/>
      <c r="AL2440" s="48"/>
      <c r="AM2440" s="48"/>
      <c r="AN2440" s="48"/>
      <c r="AO2440" s="48"/>
      <c r="AP2440" s="48"/>
      <c r="AQ2440" s="48"/>
      <c r="AR2440" s="48"/>
      <c r="AS2440" s="48"/>
      <c r="AT2440" s="48"/>
      <c r="AU2440" s="48"/>
      <c r="AV2440" s="48"/>
      <c r="AW2440" s="48"/>
      <c r="AX2440" s="48"/>
      <c r="AY2440" s="48"/>
      <c r="AZ2440" s="48"/>
      <c r="BA2440" s="48"/>
      <c r="BB2440" s="48"/>
      <c r="BC2440" s="48"/>
      <c r="BD2440" s="48"/>
    </row>
    <row r="2441" spans="1:56">
      <c r="A2441" s="48"/>
      <c r="B2441" s="48"/>
      <c r="C2441" s="49"/>
      <c r="D2441" s="48"/>
      <c r="E2441" s="48"/>
      <c r="F2441" s="48"/>
      <c r="G2441" s="48"/>
      <c r="H2441" s="48"/>
      <c r="I2441" s="48"/>
      <c r="J2441" s="86"/>
      <c r="K2441" s="86"/>
      <c r="L2441" s="86"/>
      <c r="M2441" s="86"/>
      <c r="N2441" s="86"/>
      <c r="O2441" s="86"/>
      <c r="P2441" s="86"/>
      <c r="Q2441" s="86"/>
      <c r="R2441" s="86"/>
      <c r="S2441" s="86"/>
      <c r="T2441" s="86"/>
      <c r="U2441" s="86"/>
      <c r="V2441" s="48"/>
      <c r="W2441" s="48"/>
      <c r="X2441" s="48"/>
      <c r="Y2441" s="48"/>
      <c r="Z2441" s="48"/>
      <c r="AA2441" s="48"/>
      <c r="AB2441" s="48"/>
      <c r="AC2441" s="48"/>
      <c r="AD2441" s="48"/>
      <c r="AE2441" s="48"/>
      <c r="AF2441" s="48"/>
      <c r="AG2441" s="48"/>
      <c r="AH2441" s="48"/>
      <c r="AI2441" s="48"/>
      <c r="AJ2441" s="48"/>
      <c r="AK2441" s="48"/>
      <c r="AL2441" s="48"/>
      <c r="AM2441" s="48"/>
      <c r="AN2441" s="48"/>
      <c r="AO2441" s="48"/>
      <c r="AP2441" s="48"/>
      <c r="AQ2441" s="48"/>
      <c r="AR2441" s="48"/>
      <c r="AS2441" s="48"/>
      <c r="AT2441" s="48"/>
      <c r="AU2441" s="48"/>
      <c r="AV2441" s="48"/>
      <c r="AW2441" s="48"/>
      <c r="AX2441" s="48"/>
      <c r="AY2441" s="48"/>
      <c r="AZ2441" s="48"/>
      <c r="BA2441" s="48"/>
      <c r="BB2441" s="48"/>
      <c r="BC2441" s="48"/>
      <c r="BD2441" s="48"/>
    </row>
    <row r="2442" spans="1:56">
      <c r="A2442" s="48"/>
      <c r="B2442" s="48"/>
      <c r="C2442" s="49"/>
      <c r="D2442" s="48"/>
      <c r="E2442" s="48"/>
      <c r="F2442" s="48"/>
      <c r="G2442" s="48"/>
      <c r="H2442" s="48"/>
      <c r="I2442" s="48"/>
      <c r="J2442" s="86"/>
      <c r="K2442" s="86"/>
      <c r="L2442" s="86"/>
      <c r="M2442" s="86"/>
      <c r="N2442" s="86"/>
      <c r="O2442" s="86"/>
      <c r="P2442" s="86"/>
      <c r="Q2442" s="86"/>
      <c r="R2442" s="86"/>
      <c r="S2442" s="86"/>
      <c r="T2442" s="86"/>
      <c r="U2442" s="86"/>
      <c r="V2442" s="48"/>
      <c r="W2442" s="48"/>
      <c r="X2442" s="48"/>
      <c r="Y2442" s="48"/>
      <c r="Z2442" s="48"/>
      <c r="AA2442" s="48"/>
      <c r="AB2442" s="48"/>
      <c r="AC2442" s="48"/>
      <c r="AD2442" s="48"/>
      <c r="AE2442" s="48"/>
      <c r="AF2442" s="48"/>
      <c r="AG2442" s="48"/>
      <c r="AH2442" s="48"/>
      <c r="AI2442" s="48"/>
      <c r="AJ2442" s="48"/>
      <c r="AK2442" s="48"/>
      <c r="AL2442" s="48"/>
      <c r="AM2442" s="48"/>
      <c r="AN2442" s="48"/>
      <c r="AO2442" s="48"/>
      <c r="AP2442" s="48"/>
      <c r="AQ2442" s="48"/>
      <c r="AR2442" s="48"/>
      <c r="AS2442" s="48"/>
      <c r="AT2442" s="48"/>
      <c r="AU2442" s="48"/>
      <c r="AV2442" s="48"/>
      <c r="AW2442" s="48"/>
      <c r="AX2442" s="48"/>
      <c r="AY2442" s="48"/>
      <c r="AZ2442" s="48"/>
      <c r="BA2442" s="48"/>
      <c r="BB2442" s="48"/>
      <c r="BC2442" s="48"/>
      <c r="BD2442" s="48"/>
    </row>
    <row r="2443" spans="1:56">
      <c r="A2443" s="48"/>
      <c r="B2443" s="48"/>
      <c r="C2443" s="49"/>
      <c r="D2443" s="48"/>
      <c r="E2443" s="48"/>
      <c r="F2443" s="48"/>
      <c r="G2443" s="48"/>
      <c r="H2443" s="48"/>
      <c r="I2443" s="48"/>
      <c r="J2443" s="86"/>
      <c r="K2443" s="86"/>
      <c r="L2443" s="86"/>
      <c r="M2443" s="86"/>
      <c r="N2443" s="86"/>
      <c r="O2443" s="86"/>
      <c r="P2443" s="86"/>
      <c r="Q2443" s="86"/>
      <c r="R2443" s="86"/>
      <c r="S2443" s="86"/>
      <c r="T2443" s="86"/>
      <c r="U2443" s="86"/>
      <c r="V2443" s="48"/>
      <c r="W2443" s="48"/>
      <c r="X2443" s="48"/>
      <c r="Y2443" s="48"/>
      <c r="Z2443" s="48"/>
      <c r="AA2443" s="48"/>
      <c r="AB2443" s="48"/>
      <c r="AC2443" s="48"/>
      <c r="AD2443" s="48"/>
      <c r="AE2443" s="48"/>
      <c r="AF2443" s="48"/>
      <c r="AG2443" s="48"/>
      <c r="AH2443" s="48"/>
      <c r="AI2443" s="48"/>
      <c r="AJ2443" s="48"/>
      <c r="AK2443" s="48"/>
      <c r="AL2443" s="48"/>
      <c r="AM2443" s="48"/>
      <c r="AN2443" s="48"/>
      <c r="AO2443" s="48"/>
      <c r="AP2443" s="48"/>
      <c r="AQ2443" s="48"/>
      <c r="AR2443" s="48"/>
      <c r="AS2443" s="48"/>
      <c r="AT2443" s="48"/>
      <c r="AU2443" s="48"/>
      <c r="AV2443" s="48"/>
      <c r="AW2443" s="48"/>
      <c r="AX2443" s="48"/>
      <c r="AY2443" s="48"/>
      <c r="AZ2443" s="48"/>
      <c r="BA2443" s="48"/>
      <c r="BB2443" s="48"/>
      <c r="BC2443" s="48"/>
      <c r="BD2443" s="48"/>
    </row>
    <row r="2444" spans="1:56">
      <c r="A2444" s="48"/>
      <c r="B2444" s="48"/>
      <c r="C2444" s="49"/>
      <c r="D2444" s="48"/>
      <c r="E2444" s="48"/>
      <c r="F2444" s="48"/>
      <c r="G2444" s="48"/>
      <c r="H2444" s="48"/>
      <c r="I2444" s="48"/>
      <c r="J2444" s="86"/>
      <c r="K2444" s="86"/>
      <c r="L2444" s="86"/>
      <c r="M2444" s="86"/>
      <c r="N2444" s="86"/>
      <c r="O2444" s="86"/>
      <c r="P2444" s="86"/>
      <c r="Q2444" s="86"/>
      <c r="R2444" s="86"/>
      <c r="S2444" s="86"/>
      <c r="T2444" s="86"/>
      <c r="U2444" s="86"/>
      <c r="V2444" s="48"/>
      <c r="W2444" s="48"/>
      <c r="X2444" s="48"/>
      <c r="Y2444" s="48"/>
      <c r="Z2444" s="48"/>
      <c r="AA2444" s="48"/>
      <c r="AB2444" s="48"/>
      <c r="AC2444" s="48"/>
      <c r="AD2444" s="48"/>
      <c r="AE2444" s="48"/>
      <c r="AF2444" s="48"/>
      <c r="AG2444" s="48"/>
      <c r="AH2444" s="48"/>
      <c r="AI2444" s="48"/>
      <c r="AJ2444" s="48"/>
      <c r="AK2444" s="48"/>
      <c r="AL2444" s="48"/>
      <c r="AM2444" s="48"/>
      <c r="AN2444" s="48"/>
      <c r="AO2444" s="48"/>
      <c r="AP2444" s="48"/>
      <c r="AQ2444" s="48"/>
      <c r="AR2444" s="48"/>
      <c r="AS2444" s="48"/>
      <c r="AT2444" s="48"/>
      <c r="AU2444" s="48"/>
      <c r="AV2444" s="48"/>
      <c r="AW2444" s="48"/>
      <c r="AX2444" s="48"/>
      <c r="AY2444" s="48"/>
      <c r="AZ2444" s="48"/>
      <c r="BA2444" s="48"/>
      <c r="BB2444" s="48"/>
      <c r="BC2444" s="48"/>
      <c r="BD2444" s="48"/>
    </row>
    <row r="2445" spans="1:56">
      <c r="A2445" s="48"/>
      <c r="B2445" s="48"/>
      <c r="C2445" s="49"/>
      <c r="D2445" s="48"/>
      <c r="E2445" s="48"/>
      <c r="F2445" s="48"/>
      <c r="G2445" s="48"/>
      <c r="H2445" s="48"/>
      <c r="I2445" s="48"/>
      <c r="J2445" s="86"/>
      <c r="K2445" s="86"/>
      <c r="L2445" s="86"/>
      <c r="M2445" s="86"/>
      <c r="N2445" s="86"/>
      <c r="O2445" s="86"/>
      <c r="P2445" s="86"/>
      <c r="Q2445" s="86"/>
      <c r="R2445" s="86"/>
      <c r="S2445" s="86"/>
      <c r="T2445" s="86"/>
      <c r="U2445" s="86"/>
      <c r="V2445" s="48"/>
      <c r="W2445" s="48"/>
      <c r="X2445" s="48"/>
      <c r="Y2445" s="48"/>
      <c r="Z2445" s="48"/>
      <c r="AA2445" s="48"/>
      <c r="AB2445" s="48"/>
      <c r="AC2445" s="48"/>
      <c r="AD2445" s="48"/>
      <c r="AE2445" s="48"/>
      <c r="AF2445" s="48"/>
      <c r="AG2445" s="48"/>
      <c r="AH2445" s="48"/>
      <c r="AI2445" s="48"/>
      <c r="AJ2445" s="48"/>
      <c r="AK2445" s="48"/>
      <c r="AL2445" s="48"/>
      <c r="AM2445" s="48"/>
      <c r="AN2445" s="48"/>
      <c r="AO2445" s="48"/>
      <c r="AP2445" s="48"/>
      <c r="AQ2445" s="48"/>
      <c r="AR2445" s="48"/>
      <c r="AS2445" s="48"/>
      <c r="AT2445" s="48"/>
      <c r="AU2445" s="48"/>
      <c r="AV2445" s="48"/>
      <c r="AW2445" s="48"/>
      <c r="AX2445" s="48"/>
      <c r="AY2445" s="48"/>
      <c r="AZ2445" s="48"/>
      <c r="BA2445" s="48"/>
      <c r="BB2445" s="48"/>
      <c r="BC2445" s="48"/>
      <c r="BD2445" s="48"/>
    </row>
    <row r="2446" spans="1:56">
      <c r="A2446" s="48"/>
      <c r="B2446" s="48"/>
      <c r="C2446" s="49"/>
      <c r="D2446" s="48"/>
      <c r="E2446" s="48"/>
      <c r="F2446" s="48"/>
      <c r="G2446" s="48"/>
      <c r="H2446" s="48"/>
      <c r="I2446" s="48"/>
      <c r="J2446" s="86"/>
      <c r="K2446" s="86"/>
      <c r="L2446" s="86"/>
      <c r="M2446" s="86"/>
      <c r="N2446" s="86"/>
      <c r="O2446" s="86"/>
      <c r="P2446" s="86"/>
      <c r="Q2446" s="86"/>
      <c r="R2446" s="86"/>
      <c r="S2446" s="86"/>
      <c r="T2446" s="86"/>
      <c r="U2446" s="86"/>
      <c r="V2446" s="48"/>
      <c r="W2446" s="48"/>
      <c r="X2446" s="48"/>
      <c r="Y2446" s="48"/>
      <c r="Z2446" s="48"/>
      <c r="AA2446" s="48"/>
      <c r="AB2446" s="48"/>
      <c r="AC2446" s="48"/>
      <c r="AD2446" s="48"/>
      <c r="AE2446" s="48"/>
      <c r="AF2446" s="48"/>
      <c r="AG2446" s="48"/>
      <c r="AH2446" s="48"/>
      <c r="AI2446" s="48"/>
      <c r="AJ2446" s="48"/>
      <c r="AK2446" s="48"/>
      <c r="AL2446" s="48"/>
      <c r="AM2446" s="48"/>
      <c r="AN2446" s="48"/>
      <c r="AO2446" s="48"/>
      <c r="AP2446" s="48"/>
      <c r="AQ2446" s="48"/>
      <c r="AR2446" s="48"/>
      <c r="AS2446" s="48"/>
      <c r="AT2446" s="48"/>
      <c r="AU2446" s="48"/>
      <c r="AV2446" s="48"/>
      <c r="AW2446" s="48"/>
      <c r="AX2446" s="48"/>
      <c r="AY2446" s="48"/>
      <c r="AZ2446" s="48"/>
      <c r="BA2446" s="48"/>
      <c r="BB2446" s="48"/>
      <c r="BC2446" s="48"/>
      <c r="BD2446" s="48"/>
    </row>
    <row r="2447" spans="1:56">
      <c r="A2447" s="48"/>
      <c r="B2447" s="48"/>
      <c r="C2447" s="49"/>
      <c r="D2447" s="48"/>
      <c r="E2447" s="48"/>
      <c r="F2447" s="48"/>
      <c r="G2447" s="48"/>
      <c r="H2447" s="48"/>
      <c r="I2447" s="48"/>
      <c r="J2447" s="86"/>
      <c r="K2447" s="86"/>
      <c r="L2447" s="86"/>
      <c r="M2447" s="86"/>
      <c r="N2447" s="86"/>
      <c r="O2447" s="86"/>
      <c r="P2447" s="86"/>
      <c r="Q2447" s="86"/>
      <c r="R2447" s="86"/>
      <c r="S2447" s="86"/>
      <c r="T2447" s="86"/>
      <c r="U2447" s="86"/>
      <c r="V2447" s="48"/>
      <c r="W2447" s="48"/>
      <c r="X2447" s="48"/>
      <c r="Y2447" s="48"/>
      <c r="Z2447" s="48"/>
      <c r="AA2447" s="48"/>
      <c r="AB2447" s="48"/>
      <c r="AC2447" s="48"/>
      <c r="AD2447" s="48"/>
      <c r="AE2447" s="48"/>
      <c r="AF2447" s="48"/>
      <c r="AG2447" s="48"/>
      <c r="AH2447" s="48"/>
      <c r="AI2447" s="48"/>
      <c r="AJ2447" s="48"/>
      <c r="AK2447" s="48"/>
      <c r="AL2447" s="48"/>
      <c r="AM2447" s="48"/>
      <c r="AN2447" s="48"/>
      <c r="AO2447" s="48"/>
      <c r="AP2447" s="48"/>
      <c r="AQ2447" s="48"/>
      <c r="AR2447" s="48"/>
      <c r="AS2447" s="48"/>
      <c r="AT2447" s="48"/>
      <c r="AU2447" s="48"/>
      <c r="AV2447" s="48"/>
      <c r="AW2447" s="48"/>
      <c r="AX2447" s="48"/>
      <c r="AY2447" s="48"/>
      <c r="AZ2447" s="48"/>
      <c r="BA2447" s="48"/>
      <c r="BB2447" s="48"/>
      <c r="BC2447" s="48"/>
      <c r="BD2447" s="48"/>
    </row>
    <row r="2448" spans="1:56">
      <c r="A2448" s="48"/>
      <c r="B2448" s="48"/>
      <c r="C2448" s="49"/>
      <c r="D2448" s="48"/>
      <c r="E2448" s="48"/>
      <c r="F2448" s="48"/>
      <c r="G2448" s="48"/>
      <c r="H2448" s="48"/>
      <c r="I2448" s="48"/>
      <c r="J2448" s="86"/>
      <c r="K2448" s="86"/>
      <c r="L2448" s="86"/>
      <c r="M2448" s="86"/>
      <c r="N2448" s="86"/>
      <c r="O2448" s="86"/>
      <c r="P2448" s="86"/>
      <c r="Q2448" s="86"/>
      <c r="R2448" s="86"/>
      <c r="S2448" s="86"/>
      <c r="T2448" s="86"/>
      <c r="U2448" s="86"/>
      <c r="V2448" s="48"/>
      <c r="W2448" s="48"/>
      <c r="X2448" s="48"/>
      <c r="Y2448" s="48"/>
      <c r="Z2448" s="48"/>
      <c r="AA2448" s="48"/>
      <c r="AB2448" s="48"/>
      <c r="AC2448" s="48"/>
      <c r="AD2448" s="48"/>
      <c r="AE2448" s="48"/>
      <c r="AF2448" s="48"/>
      <c r="AG2448" s="48"/>
      <c r="AH2448" s="48"/>
      <c r="AI2448" s="48"/>
      <c r="AJ2448" s="48"/>
      <c r="AK2448" s="48"/>
      <c r="AL2448" s="48"/>
      <c r="AM2448" s="48"/>
      <c r="AN2448" s="48"/>
      <c r="AO2448" s="48"/>
      <c r="AP2448" s="48"/>
      <c r="AQ2448" s="48"/>
      <c r="AR2448" s="48"/>
      <c r="AS2448" s="48"/>
      <c r="AT2448" s="48"/>
      <c r="AU2448" s="48"/>
      <c r="AV2448" s="48"/>
      <c r="AW2448" s="48"/>
      <c r="AX2448" s="48"/>
      <c r="AY2448" s="48"/>
      <c r="AZ2448" s="48"/>
      <c r="BA2448" s="48"/>
      <c r="BB2448" s="48"/>
      <c r="BC2448" s="48"/>
      <c r="BD2448" s="48"/>
    </row>
    <row r="2449" spans="1:56">
      <c r="A2449" s="48"/>
      <c r="B2449" s="48"/>
      <c r="C2449" s="49"/>
      <c r="D2449" s="48"/>
      <c r="E2449" s="48"/>
      <c r="F2449" s="48"/>
      <c r="G2449" s="48"/>
      <c r="H2449" s="48"/>
      <c r="I2449" s="48"/>
      <c r="J2449" s="86"/>
      <c r="K2449" s="86"/>
      <c r="L2449" s="86"/>
      <c r="M2449" s="86"/>
      <c r="N2449" s="86"/>
      <c r="O2449" s="86"/>
      <c r="P2449" s="86"/>
      <c r="Q2449" s="86"/>
      <c r="R2449" s="86"/>
      <c r="S2449" s="86"/>
      <c r="T2449" s="86"/>
      <c r="U2449" s="86"/>
      <c r="V2449" s="48"/>
      <c r="W2449" s="48"/>
      <c r="X2449" s="48"/>
      <c r="Y2449" s="48"/>
      <c r="Z2449" s="48"/>
      <c r="AA2449" s="48"/>
      <c r="AB2449" s="48"/>
      <c r="AC2449" s="48"/>
      <c r="AD2449" s="48"/>
      <c r="AE2449" s="48"/>
      <c r="AF2449" s="48"/>
      <c r="AG2449" s="48"/>
      <c r="AH2449" s="48"/>
      <c r="AI2449" s="48"/>
      <c r="AJ2449" s="48"/>
      <c r="AK2449" s="48"/>
      <c r="AL2449" s="48"/>
      <c r="AM2449" s="48"/>
      <c r="AN2449" s="48"/>
      <c r="AO2449" s="48"/>
      <c r="AP2449" s="48"/>
      <c r="AQ2449" s="48"/>
      <c r="AR2449" s="48"/>
      <c r="AS2449" s="48"/>
      <c r="AT2449" s="48"/>
      <c r="AU2449" s="48"/>
      <c r="AV2449" s="48"/>
      <c r="AW2449" s="48"/>
      <c r="AX2449" s="48"/>
      <c r="AY2449" s="48"/>
      <c r="AZ2449" s="48"/>
      <c r="BA2449" s="48"/>
      <c r="BB2449" s="48"/>
      <c r="BC2449" s="48"/>
      <c r="BD2449" s="48"/>
    </row>
    <row r="2450" spans="1:56">
      <c r="A2450" s="48"/>
      <c r="B2450" s="48"/>
      <c r="C2450" s="49"/>
      <c r="D2450" s="48"/>
      <c r="E2450" s="48"/>
      <c r="F2450" s="48"/>
      <c r="G2450" s="48"/>
      <c r="H2450" s="48"/>
      <c r="I2450" s="48"/>
      <c r="J2450" s="86"/>
      <c r="K2450" s="86"/>
      <c r="L2450" s="86"/>
      <c r="M2450" s="86"/>
      <c r="N2450" s="86"/>
      <c r="O2450" s="86"/>
      <c r="P2450" s="86"/>
      <c r="Q2450" s="86"/>
      <c r="R2450" s="86"/>
      <c r="S2450" s="86"/>
      <c r="T2450" s="86"/>
      <c r="U2450" s="86"/>
      <c r="V2450" s="48"/>
      <c r="W2450" s="48"/>
      <c r="X2450" s="48"/>
      <c r="Y2450" s="48"/>
      <c r="Z2450" s="48"/>
      <c r="AA2450" s="48"/>
      <c r="AB2450" s="48"/>
      <c r="AC2450" s="48"/>
      <c r="AD2450" s="48"/>
      <c r="AE2450" s="48"/>
      <c r="AF2450" s="48"/>
      <c r="AG2450" s="48"/>
      <c r="AH2450" s="48"/>
      <c r="AI2450" s="48"/>
      <c r="AJ2450" s="48"/>
      <c r="AK2450" s="48"/>
      <c r="AL2450" s="48"/>
      <c r="AM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48"/>
      <c r="BB2450" s="48"/>
      <c r="BC2450" s="48"/>
      <c r="BD2450" s="48"/>
    </row>
    <row r="2451" spans="1:56">
      <c r="A2451" s="48"/>
      <c r="B2451" s="48"/>
      <c r="C2451" s="49"/>
      <c r="D2451" s="48"/>
      <c r="E2451" s="48"/>
      <c r="F2451" s="48"/>
      <c r="G2451" s="48"/>
      <c r="H2451" s="48"/>
      <c r="I2451" s="48"/>
      <c r="J2451" s="86"/>
      <c r="K2451" s="86"/>
      <c r="L2451" s="86"/>
      <c r="M2451" s="86"/>
      <c r="N2451" s="86"/>
      <c r="O2451" s="86"/>
      <c r="P2451" s="86"/>
      <c r="Q2451" s="86"/>
      <c r="R2451" s="86"/>
      <c r="S2451" s="86"/>
      <c r="T2451" s="86"/>
      <c r="U2451" s="86"/>
      <c r="V2451" s="48"/>
      <c r="W2451" s="48"/>
      <c r="X2451" s="48"/>
      <c r="Y2451" s="48"/>
      <c r="Z2451" s="48"/>
      <c r="AA2451" s="48"/>
      <c r="AB2451" s="48"/>
      <c r="AC2451" s="48"/>
      <c r="AD2451" s="48"/>
      <c r="AE2451" s="48"/>
      <c r="AF2451" s="48"/>
      <c r="AG2451" s="48"/>
      <c r="AH2451" s="48"/>
      <c r="AI2451" s="48"/>
      <c r="AJ2451" s="48"/>
      <c r="AK2451" s="48"/>
      <c r="AL2451" s="48"/>
      <c r="AM2451" s="48"/>
      <c r="AN2451" s="48"/>
      <c r="AO2451" s="48"/>
      <c r="AP2451" s="48"/>
      <c r="AQ2451" s="48"/>
      <c r="AR2451" s="48"/>
      <c r="AS2451" s="48"/>
      <c r="AT2451" s="48"/>
      <c r="AU2451" s="48"/>
      <c r="AV2451" s="48"/>
      <c r="AW2451" s="48"/>
      <c r="AX2451" s="48"/>
      <c r="AY2451" s="48"/>
      <c r="AZ2451" s="48"/>
      <c r="BA2451" s="48"/>
      <c r="BB2451" s="48"/>
      <c r="BC2451" s="48"/>
      <c r="BD2451" s="48"/>
    </row>
    <row r="2452" spans="1:56">
      <c r="A2452" s="48"/>
      <c r="B2452" s="48"/>
      <c r="C2452" s="49"/>
      <c r="D2452" s="48"/>
      <c r="E2452" s="48"/>
      <c r="F2452" s="48"/>
      <c r="G2452" s="48"/>
      <c r="H2452" s="48"/>
      <c r="I2452" s="48"/>
      <c r="J2452" s="86"/>
      <c r="K2452" s="86"/>
      <c r="L2452" s="86"/>
      <c r="M2452" s="86"/>
      <c r="N2452" s="86"/>
      <c r="O2452" s="86"/>
      <c r="P2452" s="86"/>
      <c r="Q2452" s="86"/>
      <c r="R2452" s="86"/>
      <c r="S2452" s="86"/>
      <c r="T2452" s="86"/>
      <c r="U2452" s="86"/>
      <c r="V2452" s="48"/>
      <c r="W2452" s="48"/>
      <c r="X2452" s="48"/>
      <c r="Y2452" s="48"/>
      <c r="Z2452" s="48"/>
      <c r="AA2452" s="48"/>
      <c r="AB2452" s="48"/>
      <c r="AC2452" s="48"/>
      <c r="AD2452" s="48"/>
      <c r="AE2452" s="48"/>
      <c r="AF2452" s="48"/>
      <c r="AG2452" s="48"/>
      <c r="AH2452" s="48"/>
      <c r="AI2452" s="48"/>
      <c r="AJ2452" s="48"/>
      <c r="AK2452" s="48"/>
      <c r="AL2452" s="48"/>
      <c r="AM2452" s="48"/>
      <c r="AN2452" s="48"/>
      <c r="AO2452" s="48"/>
      <c r="AP2452" s="48"/>
      <c r="AQ2452" s="48"/>
      <c r="AR2452" s="48"/>
      <c r="AS2452" s="48"/>
      <c r="AT2452" s="48"/>
      <c r="AU2452" s="48"/>
      <c r="AV2452" s="48"/>
      <c r="AW2452" s="48"/>
      <c r="AX2452" s="48"/>
      <c r="AY2452" s="48"/>
      <c r="AZ2452" s="48"/>
      <c r="BA2452" s="48"/>
      <c r="BB2452" s="48"/>
      <c r="BC2452" s="48"/>
      <c r="BD2452" s="48"/>
    </row>
    <row r="2453" spans="1:56">
      <c r="A2453" s="48"/>
      <c r="B2453" s="48"/>
      <c r="C2453" s="49"/>
      <c r="D2453" s="48"/>
      <c r="E2453" s="48"/>
      <c r="F2453" s="48"/>
      <c r="G2453" s="48"/>
      <c r="H2453" s="48"/>
      <c r="I2453" s="48"/>
      <c r="J2453" s="86"/>
      <c r="K2453" s="86"/>
      <c r="L2453" s="86"/>
      <c r="M2453" s="86"/>
      <c r="N2453" s="86"/>
      <c r="O2453" s="86"/>
      <c r="P2453" s="86"/>
      <c r="Q2453" s="86"/>
      <c r="R2453" s="86"/>
      <c r="S2453" s="86"/>
      <c r="T2453" s="86"/>
      <c r="U2453" s="86"/>
      <c r="V2453" s="48"/>
      <c r="W2453" s="48"/>
      <c r="X2453" s="48"/>
      <c r="Y2453" s="48"/>
      <c r="Z2453" s="48"/>
      <c r="AA2453" s="48"/>
      <c r="AB2453" s="48"/>
      <c r="AC2453" s="48"/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AV2453" s="48"/>
      <c r="AW2453" s="48"/>
      <c r="AX2453" s="48"/>
      <c r="AY2453" s="48"/>
      <c r="AZ2453" s="48"/>
      <c r="BA2453" s="48"/>
      <c r="BB2453" s="48"/>
      <c r="BC2453" s="48"/>
      <c r="BD2453" s="48"/>
    </row>
    <row r="2454" spans="1:56">
      <c r="A2454" s="48"/>
      <c r="B2454" s="48"/>
      <c r="C2454" s="49"/>
      <c r="D2454" s="48"/>
      <c r="E2454" s="48"/>
      <c r="F2454" s="48"/>
      <c r="G2454" s="48"/>
      <c r="H2454" s="48"/>
      <c r="I2454" s="48"/>
      <c r="J2454" s="86"/>
      <c r="K2454" s="86"/>
      <c r="L2454" s="86"/>
      <c r="M2454" s="86"/>
      <c r="N2454" s="86"/>
      <c r="O2454" s="86"/>
      <c r="P2454" s="86"/>
      <c r="Q2454" s="86"/>
      <c r="R2454" s="86"/>
      <c r="S2454" s="86"/>
      <c r="T2454" s="86"/>
      <c r="U2454" s="86"/>
      <c r="V2454" s="48"/>
      <c r="W2454" s="48"/>
      <c r="X2454" s="48"/>
      <c r="Y2454" s="48"/>
      <c r="Z2454" s="48"/>
      <c r="AA2454" s="48"/>
      <c r="AB2454" s="48"/>
      <c r="AC2454" s="48"/>
      <c r="AD2454" s="48"/>
      <c r="AE2454" s="48"/>
      <c r="AF2454" s="48"/>
      <c r="AG2454" s="48"/>
      <c r="AH2454" s="48"/>
      <c r="AI2454" s="48"/>
      <c r="AJ2454" s="48"/>
      <c r="AK2454" s="48"/>
      <c r="AL2454" s="48"/>
      <c r="AM2454" s="48"/>
      <c r="AN2454" s="48"/>
      <c r="AO2454" s="48"/>
      <c r="AP2454" s="48"/>
      <c r="AQ2454" s="48"/>
      <c r="AR2454" s="48"/>
      <c r="AS2454" s="48"/>
      <c r="AT2454" s="48"/>
      <c r="AU2454" s="48"/>
      <c r="AV2454" s="48"/>
      <c r="AW2454" s="48"/>
      <c r="AX2454" s="48"/>
      <c r="AY2454" s="48"/>
      <c r="AZ2454" s="48"/>
      <c r="BA2454" s="48"/>
      <c r="BB2454" s="48"/>
      <c r="BC2454" s="48"/>
      <c r="BD2454" s="48"/>
    </row>
    <row r="2455" spans="1:56">
      <c r="A2455" s="48"/>
      <c r="B2455" s="48"/>
      <c r="C2455" s="49"/>
      <c r="D2455" s="48"/>
      <c r="E2455" s="48"/>
      <c r="F2455" s="48"/>
      <c r="G2455" s="48"/>
      <c r="H2455" s="48"/>
      <c r="I2455" s="48"/>
      <c r="J2455" s="86"/>
      <c r="K2455" s="86"/>
      <c r="L2455" s="86"/>
      <c r="M2455" s="86"/>
      <c r="N2455" s="86"/>
      <c r="O2455" s="86"/>
      <c r="P2455" s="86"/>
      <c r="Q2455" s="86"/>
      <c r="R2455" s="86"/>
      <c r="S2455" s="86"/>
      <c r="T2455" s="86"/>
      <c r="U2455" s="86"/>
      <c r="V2455" s="48"/>
      <c r="W2455" s="48"/>
      <c r="X2455" s="48"/>
      <c r="Y2455" s="48"/>
      <c r="Z2455" s="48"/>
      <c r="AA2455" s="48"/>
      <c r="AB2455" s="48"/>
      <c r="AC2455" s="48"/>
      <c r="AD2455" s="48"/>
      <c r="AE2455" s="48"/>
      <c r="AF2455" s="48"/>
      <c r="AG2455" s="48"/>
      <c r="AH2455" s="48"/>
      <c r="AI2455" s="48"/>
      <c r="AJ2455" s="48"/>
      <c r="AK2455" s="48"/>
      <c r="AL2455" s="48"/>
      <c r="AM2455" s="48"/>
      <c r="AN2455" s="48"/>
      <c r="AO2455" s="48"/>
      <c r="AP2455" s="48"/>
      <c r="AQ2455" s="48"/>
      <c r="AR2455" s="48"/>
      <c r="AS2455" s="48"/>
      <c r="AT2455" s="48"/>
      <c r="AU2455" s="48"/>
      <c r="AV2455" s="48"/>
      <c r="AW2455" s="48"/>
      <c r="AX2455" s="48"/>
      <c r="AY2455" s="48"/>
      <c r="AZ2455" s="48"/>
      <c r="BA2455" s="48"/>
      <c r="BB2455" s="48"/>
      <c r="BC2455" s="48"/>
      <c r="BD2455" s="48"/>
    </row>
    <row r="2456" spans="1:56">
      <c r="A2456" s="48"/>
      <c r="B2456" s="48"/>
      <c r="C2456" s="49"/>
      <c r="D2456" s="48"/>
      <c r="E2456" s="48"/>
      <c r="F2456" s="48"/>
      <c r="G2456" s="48"/>
      <c r="H2456" s="48"/>
      <c r="I2456" s="48"/>
      <c r="J2456" s="86"/>
      <c r="K2456" s="86"/>
      <c r="L2456" s="86"/>
      <c r="M2456" s="86"/>
      <c r="N2456" s="86"/>
      <c r="O2456" s="86"/>
      <c r="P2456" s="86"/>
      <c r="Q2456" s="86"/>
      <c r="R2456" s="86"/>
      <c r="S2456" s="86"/>
      <c r="T2456" s="86"/>
      <c r="U2456" s="86"/>
      <c r="V2456" s="48"/>
      <c r="W2456" s="48"/>
      <c r="X2456" s="48"/>
      <c r="Y2456" s="48"/>
      <c r="Z2456" s="48"/>
      <c r="AA2456" s="48"/>
      <c r="AB2456" s="48"/>
      <c r="AC2456" s="48"/>
      <c r="AD2456" s="48"/>
      <c r="AE2456" s="48"/>
      <c r="AF2456" s="48"/>
      <c r="AG2456" s="48"/>
      <c r="AH2456" s="48"/>
      <c r="AI2456" s="48"/>
      <c r="AJ2456" s="48"/>
      <c r="AK2456" s="48"/>
      <c r="AL2456" s="48"/>
      <c r="AM2456" s="48"/>
      <c r="AN2456" s="48"/>
      <c r="AO2456" s="48"/>
      <c r="AP2456" s="48"/>
      <c r="AQ2456" s="48"/>
      <c r="AR2456" s="48"/>
      <c r="AS2456" s="48"/>
      <c r="AT2456" s="48"/>
      <c r="AU2456" s="48"/>
      <c r="AV2456" s="48"/>
      <c r="AW2456" s="48"/>
      <c r="AX2456" s="48"/>
      <c r="AY2456" s="48"/>
      <c r="AZ2456" s="48"/>
      <c r="BA2456" s="48"/>
      <c r="BB2456" s="48"/>
      <c r="BC2456" s="48"/>
      <c r="BD2456" s="48"/>
    </row>
    <row r="2457" spans="1:56">
      <c r="A2457" s="48"/>
      <c r="B2457" s="48"/>
      <c r="C2457" s="49"/>
      <c r="D2457" s="48"/>
      <c r="E2457" s="48"/>
      <c r="F2457" s="48"/>
      <c r="G2457" s="48"/>
      <c r="H2457" s="48"/>
      <c r="I2457" s="48"/>
      <c r="J2457" s="86"/>
      <c r="K2457" s="86"/>
      <c r="L2457" s="86"/>
      <c r="M2457" s="86"/>
      <c r="N2457" s="86"/>
      <c r="O2457" s="86"/>
      <c r="P2457" s="86"/>
      <c r="Q2457" s="86"/>
      <c r="R2457" s="86"/>
      <c r="S2457" s="86"/>
      <c r="T2457" s="86"/>
      <c r="U2457" s="86"/>
      <c r="V2457" s="48"/>
      <c r="W2457" s="48"/>
      <c r="X2457" s="48"/>
      <c r="Y2457" s="48"/>
      <c r="Z2457" s="48"/>
      <c r="AA2457" s="48"/>
      <c r="AB2457" s="48"/>
      <c r="AC2457" s="48"/>
      <c r="AD2457" s="48"/>
      <c r="AE2457" s="48"/>
      <c r="AF2457" s="48"/>
      <c r="AG2457" s="48"/>
      <c r="AH2457" s="48"/>
      <c r="AI2457" s="48"/>
      <c r="AJ2457" s="48"/>
      <c r="AK2457" s="48"/>
      <c r="AL2457" s="48"/>
      <c r="AM2457" s="48"/>
      <c r="AN2457" s="48"/>
      <c r="AO2457" s="48"/>
      <c r="AP2457" s="48"/>
      <c r="AQ2457" s="48"/>
      <c r="AR2457" s="48"/>
      <c r="AS2457" s="48"/>
      <c r="AT2457" s="48"/>
      <c r="AU2457" s="48"/>
      <c r="AV2457" s="48"/>
      <c r="AW2457" s="48"/>
      <c r="AX2457" s="48"/>
      <c r="AY2457" s="48"/>
      <c r="AZ2457" s="48"/>
      <c r="BA2457" s="48"/>
      <c r="BB2457" s="48"/>
      <c r="BC2457" s="48"/>
      <c r="BD2457" s="48"/>
    </row>
    <row r="2458" spans="1:56">
      <c r="A2458" s="48"/>
      <c r="B2458" s="48"/>
      <c r="C2458" s="49"/>
      <c r="D2458" s="48"/>
      <c r="E2458" s="48"/>
      <c r="F2458" s="48"/>
      <c r="G2458" s="48"/>
      <c r="H2458" s="48"/>
      <c r="I2458" s="48"/>
      <c r="J2458" s="86"/>
      <c r="K2458" s="86"/>
      <c r="L2458" s="86"/>
      <c r="M2458" s="86"/>
      <c r="N2458" s="86"/>
      <c r="O2458" s="86"/>
      <c r="P2458" s="86"/>
      <c r="Q2458" s="86"/>
      <c r="R2458" s="86"/>
      <c r="S2458" s="86"/>
      <c r="T2458" s="86"/>
      <c r="U2458" s="86"/>
      <c r="V2458" s="48"/>
      <c r="W2458" s="48"/>
      <c r="X2458" s="48"/>
      <c r="Y2458" s="48"/>
      <c r="Z2458" s="48"/>
      <c r="AA2458" s="48"/>
      <c r="AB2458" s="48"/>
      <c r="AC2458" s="48"/>
      <c r="AD2458" s="48"/>
      <c r="AE2458" s="48"/>
      <c r="AF2458" s="48"/>
      <c r="AG2458" s="48"/>
      <c r="AH2458" s="48"/>
      <c r="AI2458" s="48"/>
      <c r="AJ2458" s="48"/>
      <c r="AK2458" s="48"/>
      <c r="AL2458" s="48"/>
      <c r="AM2458" s="48"/>
      <c r="AN2458" s="48"/>
      <c r="AO2458" s="48"/>
      <c r="AP2458" s="48"/>
      <c r="AQ2458" s="48"/>
      <c r="AR2458" s="48"/>
      <c r="AS2458" s="48"/>
      <c r="AT2458" s="48"/>
      <c r="AU2458" s="48"/>
      <c r="AV2458" s="48"/>
      <c r="AW2458" s="48"/>
      <c r="AX2458" s="48"/>
      <c r="AY2458" s="48"/>
      <c r="AZ2458" s="48"/>
      <c r="BA2458" s="48"/>
      <c r="BB2458" s="48"/>
      <c r="BC2458" s="48"/>
      <c r="BD2458" s="48"/>
    </row>
    <row r="2459" spans="1:56">
      <c r="A2459" s="48"/>
      <c r="B2459" s="48"/>
      <c r="C2459" s="49"/>
      <c r="D2459" s="48"/>
      <c r="E2459" s="48"/>
      <c r="F2459" s="48"/>
      <c r="G2459" s="48"/>
      <c r="H2459" s="48"/>
      <c r="I2459" s="48"/>
      <c r="J2459" s="86"/>
      <c r="K2459" s="86"/>
      <c r="L2459" s="86"/>
      <c r="M2459" s="86"/>
      <c r="N2459" s="86"/>
      <c r="O2459" s="86"/>
      <c r="P2459" s="86"/>
      <c r="Q2459" s="86"/>
      <c r="R2459" s="86"/>
      <c r="S2459" s="86"/>
      <c r="T2459" s="86"/>
      <c r="U2459" s="86"/>
      <c r="V2459" s="48"/>
      <c r="W2459" s="48"/>
      <c r="X2459" s="48"/>
      <c r="Y2459" s="48"/>
      <c r="Z2459" s="48"/>
      <c r="AA2459" s="48"/>
      <c r="AB2459" s="48"/>
      <c r="AC2459" s="48"/>
      <c r="AD2459" s="48"/>
      <c r="AE2459" s="48"/>
      <c r="AF2459" s="48"/>
      <c r="AG2459" s="48"/>
      <c r="AH2459" s="48"/>
      <c r="AI2459" s="48"/>
      <c r="AJ2459" s="48"/>
      <c r="AK2459" s="48"/>
      <c r="AL2459" s="48"/>
      <c r="AM2459" s="48"/>
      <c r="AN2459" s="48"/>
      <c r="AO2459" s="48"/>
      <c r="AP2459" s="48"/>
      <c r="AQ2459" s="48"/>
      <c r="AR2459" s="48"/>
      <c r="AS2459" s="48"/>
      <c r="AT2459" s="48"/>
      <c r="AU2459" s="48"/>
      <c r="AV2459" s="48"/>
      <c r="AW2459" s="48"/>
      <c r="AX2459" s="48"/>
      <c r="AY2459" s="48"/>
      <c r="AZ2459" s="48"/>
      <c r="BA2459" s="48"/>
      <c r="BB2459" s="48"/>
      <c r="BC2459" s="48"/>
      <c r="BD2459" s="48"/>
    </row>
    <row r="2460" spans="1:56">
      <c r="A2460" s="48"/>
      <c r="B2460" s="48"/>
      <c r="C2460" s="49"/>
      <c r="D2460" s="48"/>
      <c r="E2460" s="48"/>
      <c r="F2460" s="48"/>
      <c r="G2460" s="48"/>
      <c r="H2460" s="48"/>
      <c r="I2460" s="48"/>
      <c r="J2460" s="86"/>
      <c r="K2460" s="86"/>
      <c r="L2460" s="86"/>
      <c r="M2460" s="86"/>
      <c r="N2460" s="86"/>
      <c r="O2460" s="86"/>
      <c r="P2460" s="86"/>
      <c r="Q2460" s="86"/>
      <c r="R2460" s="86"/>
      <c r="S2460" s="86"/>
      <c r="T2460" s="86"/>
      <c r="U2460" s="86"/>
      <c r="V2460" s="48"/>
      <c r="W2460" s="48"/>
      <c r="X2460" s="48"/>
      <c r="Y2460" s="48"/>
      <c r="Z2460" s="48"/>
      <c r="AA2460" s="48"/>
      <c r="AB2460" s="48"/>
      <c r="AC2460" s="48"/>
      <c r="AD2460" s="48"/>
      <c r="AE2460" s="48"/>
      <c r="AF2460" s="48"/>
      <c r="AG2460" s="48"/>
      <c r="AH2460" s="48"/>
      <c r="AI2460" s="48"/>
      <c r="AJ2460" s="48"/>
      <c r="AK2460" s="48"/>
      <c r="AL2460" s="48"/>
      <c r="AM2460" s="48"/>
      <c r="AN2460" s="48"/>
      <c r="AO2460" s="48"/>
      <c r="AP2460" s="48"/>
      <c r="AQ2460" s="48"/>
      <c r="AR2460" s="48"/>
      <c r="AS2460" s="48"/>
      <c r="AT2460" s="48"/>
      <c r="AU2460" s="48"/>
      <c r="AV2460" s="48"/>
      <c r="AW2460" s="48"/>
      <c r="AX2460" s="48"/>
      <c r="AY2460" s="48"/>
      <c r="AZ2460" s="48"/>
      <c r="BA2460" s="48"/>
      <c r="BB2460" s="48"/>
      <c r="BC2460" s="48"/>
      <c r="BD2460" s="48"/>
    </row>
    <row r="2461" spans="1:56">
      <c r="A2461" s="48"/>
      <c r="B2461" s="48"/>
      <c r="C2461" s="49"/>
      <c r="D2461" s="48"/>
      <c r="E2461" s="48"/>
      <c r="F2461" s="48"/>
      <c r="G2461" s="48"/>
      <c r="H2461" s="48"/>
      <c r="I2461" s="48"/>
      <c r="J2461" s="86"/>
      <c r="K2461" s="86"/>
      <c r="L2461" s="86"/>
      <c r="M2461" s="86"/>
      <c r="N2461" s="86"/>
      <c r="O2461" s="86"/>
      <c r="P2461" s="86"/>
      <c r="Q2461" s="86"/>
      <c r="R2461" s="86"/>
      <c r="S2461" s="86"/>
      <c r="T2461" s="86"/>
      <c r="U2461" s="86"/>
      <c r="V2461" s="48"/>
      <c r="W2461" s="48"/>
      <c r="X2461" s="48"/>
      <c r="Y2461" s="48"/>
      <c r="Z2461" s="48"/>
      <c r="AA2461" s="48"/>
      <c r="AB2461" s="48"/>
      <c r="AC2461" s="48"/>
      <c r="AD2461" s="48"/>
      <c r="AE2461" s="48"/>
      <c r="AF2461" s="48"/>
      <c r="AG2461" s="48"/>
      <c r="AH2461" s="48"/>
      <c r="AI2461" s="48"/>
      <c r="AJ2461" s="48"/>
      <c r="AK2461" s="48"/>
      <c r="AL2461" s="48"/>
      <c r="AM2461" s="48"/>
      <c r="AN2461" s="48"/>
      <c r="AO2461" s="48"/>
      <c r="AP2461" s="48"/>
      <c r="AQ2461" s="48"/>
      <c r="AR2461" s="48"/>
      <c r="AS2461" s="48"/>
      <c r="AT2461" s="48"/>
      <c r="AU2461" s="48"/>
      <c r="AV2461" s="48"/>
      <c r="AW2461" s="48"/>
      <c r="AX2461" s="48"/>
      <c r="AY2461" s="48"/>
      <c r="AZ2461" s="48"/>
      <c r="BA2461" s="48"/>
      <c r="BB2461" s="48"/>
      <c r="BC2461" s="48"/>
      <c r="BD2461" s="48"/>
    </row>
    <row r="2462" spans="1:56">
      <c r="A2462" s="48"/>
      <c r="B2462" s="48"/>
      <c r="C2462" s="49"/>
      <c r="D2462" s="48"/>
      <c r="E2462" s="48"/>
      <c r="F2462" s="48"/>
      <c r="G2462" s="48"/>
      <c r="H2462" s="48"/>
      <c r="I2462" s="48"/>
      <c r="J2462" s="86"/>
      <c r="K2462" s="86"/>
      <c r="L2462" s="86"/>
      <c r="M2462" s="86"/>
      <c r="N2462" s="86"/>
      <c r="O2462" s="86"/>
      <c r="P2462" s="86"/>
      <c r="Q2462" s="86"/>
      <c r="R2462" s="86"/>
      <c r="S2462" s="86"/>
      <c r="T2462" s="86"/>
      <c r="U2462" s="86"/>
      <c r="V2462" s="48"/>
      <c r="W2462" s="48"/>
      <c r="X2462" s="48"/>
      <c r="Y2462" s="48"/>
      <c r="Z2462" s="48"/>
      <c r="AA2462" s="48"/>
      <c r="AB2462" s="48"/>
      <c r="AC2462" s="48"/>
      <c r="AD2462" s="48"/>
      <c r="AE2462" s="48"/>
      <c r="AF2462" s="48"/>
      <c r="AG2462" s="48"/>
      <c r="AH2462" s="48"/>
      <c r="AI2462" s="48"/>
      <c r="AJ2462" s="48"/>
      <c r="AK2462" s="48"/>
      <c r="AL2462" s="48"/>
      <c r="AM2462" s="48"/>
      <c r="AN2462" s="48"/>
      <c r="AO2462" s="48"/>
      <c r="AP2462" s="48"/>
      <c r="AQ2462" s="48"/>
      <c r="AR2462" s="48"/>
      <c r="AS2462" s="48"/>
      <c r="AT2462" s="48"/>
      <c r="AU2462" s="48"/>
      <c r="AV2462" s="48"/>
      <c r="AW2462" s="48"/>
      <c r="AX2462" s="48"/>
      <c r="AY2462" s="48"/>
      <c r="AZ2462" s="48"/>
      <c r="BA2462" s="48"/>
      <c r="BB2462" s="48"/>
      <c r="BC2462" s="48"/>
      <c r="BD2462" s="48"/>
    </row>
    <row r="2463" spans="1:56">
      <c r="A2463" s="48"/>
      <c r="B2463" s="48"/>
      <c r="C2463" s="49"/>
      <c r="D2463" s="48"/>
      <c r="E2463" s="48"/>
      <c r="F2463" s="48"/>
      <c r="G2463" s="48"/>
      <c r="H2463" s="48"/>
      <c r="I2463" s="48"/>
      <c r="J2463" s="86"/>
      <c r="K2463" s="86"/>
      <c r="L2463" s="86"/>
      <c r="M2463" s="86"/>
      <c r="N2463" s="86"/>
      <c r="O2463" s="86"/>
      <c r="P2463" s="86"/>
      <c r="Q2463" s="86"/>
      <c r="R2463" s="86"/>
      <c r="S2463" s="86"/>
      <c r="T2463" s="86"/>
      <c r="U2463" s="86"/>
      <c r="V2463" s="48"/>
      <c r="W2463" s="48"/>
      <c r="X2463" s="48"/>
      <c r="Y2463" s="48"/>
      <c r="Z2463" s="48"/>
      <c r="AA2463" s="48"/>
      <c r="AB2463" s="48"/>
      <c r="AC2463" s="48"/>
      <c r="AD2463" s="48"/>
      <c r="AE2463" s="48"/>
      <c r="AF2463" s="48"/>
      <c r="AG2463" s="48"/>
      <c r="AH2463" s="48"/>
      <c r="AI2463" s="48"/>
      <c r="AJ2463" s="48"/>
      <c r="AK2463" s="48"/>
      <c r="AL2463" s="48"/>
      <c r="AM2463" s="48"/>
      <c r="AN2463" s="48"/>
      <c r="AO2463" s="48"/>
      <c r="AP2463" s="48"/>
      <c r="AQ2463" s="48"/>
      <c r="AR2463" s="48"/>
      <c r="AS2463" s="48"/>
      <c r="AT2463" s="48"/>
      <c r="AU2463" s="48"/>
      <c r="AV2463" s="48"/>
      <c r="AW2463" s="48"/>
      <c r="AX2463" s="48"/>
      <c r="AY2463" s="48"/>
      <c r="AZ2463" s="48"/>
      <c r="BA2463" s="48"/>
      <c r="BB2463" s="48"/>
      <c r="BC2463" s="48"/>
      <c r="BD2463" s="48"/>
    </row>
    <row r="2464" spans="1:56">
      <c r="A2464" s="48"/>
      <c r="B2464" s="48"/>
      <c r="C2464" s="49"/>
      <c r="D2464" s="48"/>
      <c r="E2464" s="48"/>
      <c r="F2464" s="48"/>
      <c r="G2464" s="48"/>
      <c r="H2464" s="48"/>
      <c r="I2464" s="48"/>
      <c r="J2464" s="86"/>
      <c r="K2464" s="86"/>
      <c r="L2464" s="86"/>
      <c r="M2464" s="86"/>
      <c r="N2464" s="86"/>
      <c r="O2464" s="86"/>
      <c r="P2464" s="86"/>
      <c r="Q2464" s="86"/>
      <c r="R2464" s="86"/>
      <c r="S2464" s="86"/>
      <c r="T2464" s="86"/>
      <c r="U2464" s="86"/>
      <c r="V2464" s="48"/>
      <c r="W2464" s="48"/>
      <c r="X2464" s="48"/>
      <c r="Y2464" s="48"/>
      <c r="Z2464" s="48"/>
      <c r="AA2464" s="48"/>
      <c r="AB2464" s="48"/>
      <c r="AC2464" s="48"/>
      <c r="AD2464" s="48"/>
      <c r="AE2464" s="48"/>
      <c r="AF2464" s="48"/>
      <c r="AG2464" s="48"/>
      <c r="AH2464" s="48"/>
      <c r="AI2464" s="48"/>
      <c r="AJ2464" s="48"/>
      <c r="AK2464" s="48"/>
      <c r="AL2464" s="48"/>
      <c r="AM2464" s="48"/>
      <c r="AN2464" s="48"/>
      <c r="AO2464" s="48"/>
      <c r="AP2464" s="48"/>
      <c r="AQ2464" s="48"/>
      <c r="AR2464" s="48"/>
      <c r="AS2464" s="48"/>
      <c r="AT2464" s="48"/>
      <c r="AU2464" s="48"/>
      <c r="AV2464" s="48"/>
      <c r="AW2464" s="48"/>
      <c r="AX2464" s="48"/>
      <c r="AY2464" s="48"/>
      <c r="AZ2464" s="48"/>
      <c r="BA2464" s="48"/>
      <c r="BB2464" s="48"/>
      <c r="BC2464" s="48"/>
      <c r="BD2464" s="48"/>
    </row>
    <row r="2465" spans="1:56">
      <c r="A2465" s="48"/>
      <c r="B2465" s="48"/>
      <c r="C2465" s="49"/>
      <c r="D2465" s="48"/>
      <c r="E2465" s="48"/>
      <c r="F2465" s="48"/>
      <c r="G2465" s="48"/>
      <c r="H2465" s="48"/>
      <c r="I2465" s="48"/>
      <c r="J2465" s="86"/>
      <c r="K2465" s="86"/>
      <c r="L2465" s="86"/>
      <c r="M2465" s="86"/>
      <c r="N2465" s="86"/>
      <c r="O2465" s="86"/>
      <c r="P2465" s="86"/>
      <c r="Q2465" s="86"/>
      <c r="R2465" s="86"/>
      <c r="S2465" s="86"/>
      <c r="T2465" s="86"/>
      <c r="U2465" s="86"/>
      <c r="V2465" s="48"/>
      <c r="W2465" s="48"/>
      <c r="X2465" s="48"/>
      <c r="Y2465" s="48"/>
      <c r="Z2465" s="48"/>
      <c r="AA2465" s="48"/>
      <c r="AB2465" s="48"/>
      <c r="AC2465" s="48"/>
      <c r="AD2465" s="48"/>
      <c r="AE2465" s="48"/>
      <c r="AF2465" s="48"/>
      <c r="AG2465" s="48"/>
      <c r="AH2465" s="48"/>
      <c r="AI2465" s="48"/>
      <c r="AJ2465" s="48"/>
      <c r="AK2465" s="48"/>
      <c r="AL2465" s="48"/>
      <c r="AM2465" s="48"/>
      <c r="AN2465" s="48"/>
      <c r="AO2465" s="48"/>
      <c r="AP2465" s="48"/>
      <c r="AQ2465" s="48"/>
      <c r="AR2465" s="48"/>
      <c r="AS2465" s="48"/>
      <c r="AT2465" s="48"/>
      <c r="AU2465" s="48"/>
      <c r="AV2465" s="48"/>
      <c r="AW2465" s="48"/>
      <c r="AX2465" s="48"/>
      <c r="AY2465" s="48"/>
      <c r="AZ2465" s="48"/>
      <c r="BA2465" s="48"/>
      <c r="BB2465" s="48"/>
      <c r="BC2465" s="48"/>
      <c r="BD2465" s="48"/>
    </row>
    <row r="2466" spans="1:56">
      <c r="A2466" s="48"/>
      <c r="B2466" s="48"/>
      <c r="C2466" s="49"/>
      <c r="D2466" s="48"/>
      <c r="E2466" s="48"/>
      <c r="F2466" s="48"/>
      <c r="G2466" s="48"/>
      <c r="H2466" s="48"/>
      <c r="I2466" s="48"/>
      <c r="J2466" s="86"/>
      <c r="K2466" s="86"/>
      <c r="L2466" s="86"/>
      <c r="M2466" s="86"/>
      <c r="N2466" s="86"/>
      <c r="O2466" s="86"/>
      <c r="P2466" s="86"/>
      <c r="Q2466" s="86"/>
      <c r="R2466" s="86"/>
      <c r="S2466" s="86"/>
      <c r="T2466" s="86"/>
      <c r="U2466" s="86"/>
      <c r="V2466" s="48"/>
      <c r="W2466" s="48"/>
      <c r="X2466" s="48"/>
      <c r="Y2466" s="48"/>
      <c r="Z2466" s="48"/>
      <c r="AA2466" s="48"/>
      <c r="AB2466" s="48"/>
      <c r="AC2466" s="48"/>
      <c r="AD2466" s="48"/>
      <c r="AE2466" s="48"/>
      <c r="AF2466" s="48"/>
      <c r="AG2466" s="48"/>
      <c r="AH2466" s="48"/>
      <c r="AI2466" s="48"/>
      <c r="AJ2466" s="48"/>
      <c r="AK2466" s="48"/>
      <c r="AL2466" s="48"/>
      <c r="AM2466" s="48"/>
      <c r="AN2466" s="48"/>
      <c r="AO2466" s="48"/>
      <c r="AP2466" s="48"/>
      <c r="AQ2466" s="48"/>
      <c r="AR2466" s="48"/>
      <c r="AS2466" s="48"/>
      <c r="AT2466" s="48"/>
      <c r="AU2466" s="48"/>
      <c r="AV2466" s="48"/>
      <c r="AW2466" s="48"/>
      <c r="AX2466" s="48"/>
      <c r="AY2466" s="48"/>
      <c r="AZ2466" s="48"/>
      <c r="BA2466" s="48"/>
      <c r="BB2466" s="48"/>
      <c r="BC2466" s="48"/>
      <c r="BD2466" s="48"/>
    </row>
    <row r="2467" spans="1:56">
      <c r="A2467" s="48"/>
      <c r="B2467" s="48"/>
      <c r="C2467" s="49"/>
      <c r="D2467" s="48"/>
      <c r="E2467" s="48"/>
      <c r="F2467" s="48"/>
      <c r="G2467" s="48"/>
      <c r="H2467" s="48"/>
      <c r="I2467" s="48"/>
      <c r="J2467" s="86"/>
      <c r="K2467" s="86"/>
      <c r="L2467" s="86"/>
      <c r="M2467" s="86"/>
      <c r="N2467" s="86"/>
      <c r="O2467" s="86"/>
      <c r="P2467" s="86"/>
      <c r="Q2467" s="86"/>
      <c r="R2467" s="86"/>
      <c r="S2467" s="86"/>
      <c r="T2467" s="86"/>
      <c r="U2467" s="86"/>
      <c r="V2467" s="48"/>
      <c r="W2467" s="48"/>
      <c r="X2467" s="48"/>
      <c r="Y2467" s="48"/>
      <c r="Z2467" s="48"/>
      <c r="AA2467" s="48"/>
      <c r="AB2467" s="48"/>
      <c r="AC2467" s="48"/>
      <c r="AD2467" s="48"/>
      <c r="AE2467" s="48"/>
      <c r="AF2467" s="48"/>
      <c r="AG2467" s="48"/>
      <c r="AH2467" s="48"/>
      <c r="AI2467" s="48"/>
      <c r="AJ2467" s="48"/>
      <c r="AK2467" s="48"/>
      <c r="AL2467" s="48"/>
      <c r="AM2467" s="48"/>
      <c r="AN2467" s="48"/>
      <c r="AO2467" s="48"/>
      <c r="AP2467" s="48"/>
      <c r="AQ2467" s="48"/>
      <c r="AR2467" s="48"/>
      <c r="AS2467" s="48"/>
      <c r="AT2467" s="48"/>
      <c r="AU2467" s="48"/>
      <c r="AV2467" s="48"/>
      <c r="AW2467" s="48"/>
      <c r="AX2467" s="48"/>
      <c r="AY2467" s="48"/>
      <c r="AZ2467" s="48"/>
      <c r="BA2467" s="48"/>
      <c r="BB2467" s="48"/>
      <c r="BC2467" s="48"/>
      <c r="BD2467" s="48"/>
    </row>
    <row r="2468" spans="1:56">
      <c r="A2468" s="48"/>
      <c r="B2468" s="48"/>
      <c r="C2468" s="49"/>
      <c r="D2468" s="48"/>
      <c r="E2468" s="48"/>
      <c r="F2468" s="48"/>
      <c r="G2468" s="48"/>
      <c r="H2468" s="48"/>
      <c r="I2468" s="48"/>
      <c r="J2468" s="86"/>
      <c r="K2468" s="86"/>
      <c r="L2468" s="86"/>
      <c r="M2468" s="86"/>
      <c r="N2468" s="86"/>
      <c r="O2468" s="86"/>
      <c r="P2468" s="86"/>
      <c r="Q2468" s="86"/>
      <c r="R2468" s="86"/>
      <c r="S2468" s="86"/>
      <c r="T2468" s="86"/>
      <c r="U2468" s="86"/>
      <c r="V2468" s="48"/>
      <c r="W2468" s="48"/>
      <c r="X2468" s="48"/>
      <c r="Y2468" s="48"/>
      <c r="Z2468" s="48"/>
      <c r="AA2468" s="48"/>
      <c r="AB2468" s="48"/>
      <c r="AC2468" s="48"/>
      <c r="AD2468" s="48"/>
      <c r="AE2468" s="48"/>
      <c r="AF2468" s="48"/>
      <c r="AG2468" s="48"/>
      <c r="AH2468" s="48"/>
      <c r="AI2468" s="48"/>
      <c r="AJ2468" s="48"/>
      <c r="AK2468" s="48"/>
      <c r="AL2468" s="48"/>
      <c r="AM2468" s="48"/>
      <c r="AN2468" s="48"/>
      <c r="AO2468" s="48"/>
      <c r="AP2468" s="48"/>
      <c r="AQ2468" s="48"/>
      <c r="AR2468" s="48"/>
      <c r="AS2468" s="48"/>
      <c r="AT2468" s="48"/>
      <c r="AU2468" s="48"/>
      <c r="AV2468" s="48"/>
      <c r="AW2468" s="48"/>
      <c r="AX2468" s="48"/>
      <c r="AY2468" s="48"/>
      <c r="AZ2468" s="48"/>
      <c r="BA2468" s="48"/>
      <c r="BB2468" s="48"/>
      <c r="BC2468" s="48"/>
      <c r="BD2468" s="48"/>
    </row>
    <row r="2469" spans="1:56">
      <c r="A2469" s="48"/>
      <c r="B2469" s="48"/>
      <c r="C2469" s="49"/>
      <c r="D2469" s="48"/>
      <c r="E2469" s="48"/>
      <c r="F2469" s="48"/>
      <c r="G2469" s="48"/>
      <c r="H2469" s="48"/>
      <c r="I2469" s="48"/>
      <c r="J2469" s="86"/>
      <c r="K2469" s="86"/>
      <c r="L2469" s="86"/>
      <c r="M2469" s="86"/>
      <c r="N2469" s="86"/>
      <c r="O2469" s="86"/>
      <c r="P2469" s="86"/>
      <c r="Q2469" s="86"/>
      <c r="R2469" s="86"/>
      <c r="S2469" s="86"/>
      <c r="T2469" s="86"/>
      <c r="U2469" s="86"/>
      <c r="V2469" s="48"/>
      <c r="W2469" s="48"/>
      <c r="X2469" s="48"/>
      <c r="Y2469" s="48"/>
      <c r="Z2469" s="48"/>
      <c r="AA2469" s="48"/>
      <c r="AB2469" s="48"/>
      <c r="AC2469" s="48"/>
      <c r="AD2469" s="48"/>
      <c r="AE2469" s="48"/>
      <c r="AF2469" s="48"/>
      <c r="AG2469" s="48"/>
      <c r="AH2469" s="48"/>
      <c r="AI2469" s="48"/>
      <c r="AJ2469" s="48"/>
      <c r="AK2469" s="48"/>
      <c r="AL2469" s="48"/>
      <c r="AM2469" s="48"/>
      <c r="AN2469" s="48"/>
      <c r="AO2469" s="48"/>
      <c r="AP2469" s="48"/>
      <c r="AQ2469" s="48"/>
      <c r="AR2469" s="48"/>
      <c r="AS2469" s="48"/>
      <c r="AT2469" s="48"/>
      <c r="AU2469" s="48"/>
      <c r="AV2469" s="48"/>
      <c r="AW2469" s="48"/>
      <c r="AX2469" s="48"/>
      <c r="AY2469" s="48"/>
      <c r="AZ2469" s="48"/>
      <c r="BA2469" s="48"/>
      <c r="BB2469" s="48"/>
      <c r="BC2469" s="48"/>
      <c r="BD2469" s="48"/>
    </row>
    <row r="2470" spans="1:56">
      <c r="A2470" s="48"/>
      <c r="B2470" s="48"/>
      <c r="C2470" s="49"/>
      <c r="D2470" s="48"/>
      <c r="E2470" s="48"/>
      <c r="F2470" s="48"/>
      <c r="G2470" s="48"/>
      <c r="H2470" s="48"/>
      <c r="I2470" s="48"/>
      <c r="J2470" s="86"/>
      <c r="K2470" s="86"/>
      <c r="L2470" s="86"/>
      <c r="M2470" s="86"/>
      <c r="N2470" s="86"/>
      <c r="O2470" s="86"/>
      <c r="P2470" s="86"/>
      <c r="Q2470" s="86"/>
      <c r="R2470" s="86"/>
      <c r="S2470" s="86"/>
      <c r="T2470" s="86"/>
      <c r="U2470" s="86"/>
      <c r="V2470" s="48"/>
      <c r="W2470" s="48"/>
      <c r="X2470" s="48"/>
      <c r="Y2470" s="48"/>
      <c r="Z2470" s="48"/>
      <c r="AA2470" s="48"/>
      <c r="AB2470" s="48"/>
      <c r="AC2470" s="48"/>
      <c r="AD2470" s="48"/>
      <c r="AE2470" s="48"/>
      <c r="AF2470" s="48"/>
      <c r="AG2470" s="48"/>
      <c r="AH2470" s="48"/>
      <c r="AI2470" s="48"/>
      <c r="AJ2470" s="48"/>
      <c r="AK2470" s="48"/>
      <c r="AL2470" s="48"/>
      <c r="AM2470" s="48"/>
      <c r="AN2470" s="48"/>
      <c r="AO2470" s="48"/>
      <c r="AP2470" s="48"/>
      <c r="AQ2470" s="48"/>
      <c r="AR2470" s="48"/>
      <c r="AS2470" s="48"/>
      <c r="AT2470" s="48"/>
      <c r="AU2470" s="48"/>
      <c r="AV2470" s="48"/>
      <c r="AW2470" s="48"/>
      <c r="AX2470" s="48"/>
      <c r="AY2470" s="48"/>
      <c r="AZ2470" s="48"/>
      <c r="BA2470" s="48"/>
      <c r="BB2470" s="48"/>
      <c r="BC2470" s="48"/>
      <c r="BD2470" s="48"/>
    </row>
    <row r="2471" spans="1:56">
      <c r="A2471" s="48"/>
      <c r="B2471" s="48"/>
      <c r="C2471" s="49"/>
      <c r="D2471" s="48"/>
      <c r="E2471" s="48"/>
      <c r="F2471" s="48"/>
      <c r="G2471" s="48"/>
      <c r="H2471" s="48"/>
      <c r="I2471" s="48"/>
      <c r="J2471" s="86"/>
      <c r="K2471" s="86"/>
      <c r="L2471" s="86"/>
      <c r="M2471" s="86"/>
      <c r="N2471" s="86"/>
      <c r="O2471" s="86"/>
      <c r="P2471" s="86"/>
      <c r="Q2471" s="86"/>
      <c r="R2471" s="86"/>
      <c r="S2471" s="86"/>
      <c r="T2471" s="86"/>
      <c r="U2471" s="86"/>
      <c r="V2471" s="48"/>
      <c r="W2471" s="48"/>
      <c r="X2471" s="48"/>
      <c r="Y2471" s="48"/>
      <c r="Z2471" s="48"/>
      <c r="AA2471" s="48"/>
      <c r="AB2471" s="48"/>
      <c r="AC2471" s="48"/>
      <c r="AD2471" s="48"/>
      <c r="AE2471" s="48"/>
      <c r="AF2471" s="48"/>
      <c r="AG2471" s="48"/>
      <c r="AH2471" s="48"/>
      <c r="AI2471" s="48"/>
      <c r="AJ2471" s="48"/>
      <c r="AK2471" s="48"/>
      <c r="AL2471" s="48"/>
      <c r="AM2471" s="48"/>
      <c r="AN2471" s="48"/>
      <c r="AO2471" s="48"/>
      <c r="AP2471" s="48"/>
      <c r="AQ2471" s="48"/>
      <c r="AR2471" s="48"/>
      <c r="AS2471" s="48"/>
      <c r="AT2471" s="48"/>
      <c r="AU2471" s="48"/>
      <c r="AV2471" s="48"/>
      <c r="AW2471" s="48"/>
      <c r="AX2471" s="48"/>
      <c r="AY2471" s="48"/>
      <c r="AZ2471" s="48"/>
      <c r="BA2471" s="48"/>
      <c r="BB2471" s="48"/>
      <c r="BC2471" s="48"/>
      <c r="BD2471" s="48"/>
    </row>
    <row r="2472" spans="1:56">
      <c r="A2472" s="48"/>
      <c r="B2472" s="48"/>
      <c r="C2472" s="49"/>
      <c r="D2472" s="48"/>
      <c r="E2472" s="48"/>
      <c r="F2472" s="48"/>
      <c r="G2472" s="48"/>
      <c r="H2472" s="48"/>
      <c r="I2472" s="48"/>
      <c r="J2472" s="86"/>
      <c r="K2472" s="86"/>
      <c r="L2472" s="86"/>
      <c r="M2472" s="86"/>
      <c r="N2472" s="86"/>
      <c r="O2472" s="86"/>
      <c r="P2472" s="86"/>
      <c r="Q2472" s="86"/>
      <c r="R2472" s="86"/>
      <c r="S2472" s="86"/>
      <c r="T2472" s="86"/>
      <c r="U2472" s="86"/>
      <c r="V2472" s="48"/>
      <c r="W2472" s="48"/>
      <c r="X2472" s="48"/>
      <c r="Y2472" s="48"/>
      <c r="Z2472" s="48"/>
      <c r="AA2472" s="48"/>
      <c r="AB2472" s="48"/>
      <c r="AC2472" s="48"/>
      <c r="AD2472" s="48"/>
      <c r="AE2472" s="48"/>
      <c r="AF2472" s="48"/>
      <c r="AG2472" s="48"/>
      <c r="AH2472" s="48"/>
      <c r="AI2472" s="48"/>
      <c r="AJ2472" s="48"/>
      <c r="AK2472" s="48"/>
      <c r="AL2472" s="48"/>
      <c r="AM2472" s="48"/>
      <c r="AN2472" s="48"/>
      <c r="AO2472" s="48"/>
      <c r="AP2472" s="48"/>
      <c r="AQ2472" s="48"/>
      <c r="AR2472" s="48"/>
      <c r="AS2472" s="48"/>
      <c r="AT2472" s="48"/>
      <c r="AU2472" s="48"/>
      <c r="AV2472" s="48"/>
      <c r="AW2472" s="48"/>
      <c r="AX2472" s="48"/>
      <c r="AY2472" s="48"/>
      <c r="AZ2472" s="48"/>
      <c r="BA2472" s="48"/>
      <c r="BB2472" s="48"/>
      <c r="BC2472" s="48"/>
      <c r="BD2472" s="48"/>
    </row>
    <row r="2473" spans="1:56">
      <c r="A2473" s="48"/>
      <c r="B2473" s="48"/>
      <c r="C2473" s="49"/>
      <c r="D2473" s="48"/>
      <c r="E2473" s="48"/>
      <c r="F2473" s="48"/>
      <c r="G2473" s="48"/>
      <c r="H2473" s="48"/>
      <c r="I2473" s="48"/>
      <c r="J2473" s="86"/>
      <c r="K2473" s="86"/>
      <c r="L2473" s="86"/>
      <c r="M2473" s="86"/>
      <c r="N2473" s="86"/>
      <c r="O2473" s="86"/>
      <c r="P2473" s="86"/>
      <c r="Q2473" s="86"/>
      <c r="R2473" s="86"/>
      <c r="S2473" s="86"/>
      <c r="T2473" s="86"/>
      <c r="U2473" s="86"/>
      <c r="V2473" s="48"/>
      <c r="W2473" s="48"/>
      <c r="X2473" s="48"/>
      <c r="Y2473" s="48"/>
      <c r="Z2473" s="48"/>
      <c r="AA2473" s="48"/>
      <c r="AB2473" s="48"/>
      <c r="AC2473" s="48"/>
      <c r="AD2473" s="48"/>
      <c r="AE2473" s="48"/>
      <c r="AF2473" s="48"/>
      <c r="AG2473" s="48"/>
      <c r="AH2473" s="48"/>
      <c r="AI2473" s="48"/>
      <c r="AJ2473" s="48"/>
      <c r="AK2473" s="48"/>
      <c r="AL2473" s="48"/>
      <c r="AM2473" s="48"/>
      <c r="AN2473" s="48"/>
      <c r="AO2473" s="48"/>
      <c r="AP2473" s="48"/>
      <c r="AQ2473" s="48"/>
      <c r="AR2473" s="48"/>
      <c r="AS2473" s="48"/>
      <c r="AT2473" s="48"/>
      <c r="AU2473" s="48"/>
      <c r="AV2473" s="48"/>
      <c r="AW2473" s="48"/>
      <c r="AX2473" s="48"/>
      <c r="AY2473" s="48"/>
      <c r="AZ2473" s="48"/>
      <c r="BA2473" s="48"/>
      <c r="BB2473" s="48"/>
      <c r="BC2473" s="48"/>
      <c r="BD2473" s="48"/>
    </row>
    <row r="2474" spans="1:56">
      <c r="A2474" s="48"/>
      <c r="B2474" s="48"/>
      <c r="C2474" s="49"/>
      <c r="D2474" s="48"/>
      <c r="E2474" s="48"/>
      <c r="F2474" s="48"/>
      <c r="G2474" s="48"/>
      <c r="H2474" s="48"/>
      <c r="I2474" s="48"/>
      <c r="J2474" s="86"/>
      <c r="K2474" s="86"/>
      <c r="L2474" s="86"/>
      <c r="M2474" s="86"/>
      <c r="N2474" s="86"/>
      <c r="O2474" s="86"/>
      <c r="P2474" s="86"/>
      <c r="Q2474" s="86"/>
      <c r="R2474" s="86"/>
      <c r="S2474" s="86"/>
      <c r="T2474" s="86"/>
      <c r="U2474" s="86"/>
      <c r="V2474" s="48"/>
      <c r="W2474" s="48"/>
      <c r="X2474" s="48"/>
      <c r="Y2474" s="48"/>
      <c r="Z2474" s="48"/>
      <c r="AA2474" s="48"/>
      <c r="AB2474" s="48"/>
      <c r="AC2474" s="48"/>
      <c r="AD2474" s="48"/>
      <c r="AE2474" s="48"/>
      <c r="AF2474" s="48"/>
      <c r="AG2474" s="48"/>
      <c r="AH2474" s="48"/>
      <c r="AI2474" s="48"/>
      <c r="AJ2474" s="48"/>
      <c r="AK2474" s="48"/>
      <c r="AL2474" s="48"/>
      <c r="AM2474" s="48"/>
      <c r="AN2474" s="48"/>
      <c r="AO2474" s="48"/>
      <c r="AP2474" s="48"/>
      <c r="AQ2474" s="48"/>
      <c r="AR2474" s="48"/>
      <c r="AS2474" s="48"/>
      <c r="AT2474" s="48"/>
      <c r="AU2474" s="48"/>
      <c r="AV2474" s="48"/>
      <c r="AW2474" s="48"/>
      <c r="AX2474" s="48"/>
      <c r="AY2474" s="48"/>
      <c r="AZ2474" s="48"/>
      <c r="BA2474" s="48"/>
      <c r="BB2474" s="48"/>
      <c r="BC2474" s="48"/>
      <c r="BD2474" s="48"/>
    </row>
    <row r="2475" spans="1:56">
      <c r="A2475" s="48"/>
      <c r="B2475" s="48"/>
      <c r="C2475" s="49"/>
      <c r="D2475" s="48"/>
      <c r="E2475" s="48"/>
      <c r="F2475" s="48"/>
      <c r="G2475" s="48"/>
      <c r="H2475" s="48"/>
      <c r="I2475" s="48"/>
      <c r="J2475" s="86"/>
      <c r="K2475" s="86"/>
      <c r="L2475" s="86"/>
      <c r="M2475" s="86"/>
      <c r="N2475" s="86"/>
      <c r="O2475" s="86"/>
      <c r="P2475" s="86"/>
      <c r="Q2475" s="86"/>
      <c r="R2475" s="86"/>
      <c r="S2475" s="86"/>
      <c r="T2475" s="86"/>
      <c r="U2475" s="86"/>
      <c r="V2475" s="48"/>
      <c r="W2475" s="48"/>
      <c r="X2475" s="48"/>
      <c r="Y2475" s="48"/>
      <c r="Z2475" s="48"/>
      <c r="AA2475" s="48"/>
      <c r="AB2475" s="48"/>
      <c r="AC2475" s="48"/>
      <c r="AD2475" s="48"/>
      <c r="AE2475" s="48"/>
      <c r="AF2475" s="48"/>
      <c r="AG2475" s="48"/>
      <c r="AH2475" s="48"/>
      <c r="AI2475" s="48"/>
      <c r="AJ2475" s="48"/>
      <c r="AK2475" s="48"/>
      <c r="AL2475" s="48"/>
      <c r="AM2475" s="48"/>
      <c r="AN2475" s="48"/>
      <c r="AO2475" s="48"/>
      <c r="AP2475" s="48"/>
      <c r="AQ2475" s="48"/>
      <c r="AR2475" s="48"/>
      <c r="AS2475" s="48"/>
      <c r="AT2475" s="48"/>
      <c r="AU2475" s="48"/>
      <c r="AV2475" s="48"/>
      <c r="AW2475" s="48"/>
      <c r="AX2475" s="48"/>
      <c r="AY2475" s="48"/>
      <c r="AZ2475" s="48"/>
      <c r="BA2475" s="48"/>
      <c r="BB2475" s="48"/>
      <c r="BC2475" s="48"/>
      <c r="BD2475" s="48"/>
    </row>
    <row r="2476" spans="1:56">
      <c r="A2476" s="48"/>
      <c r="B2476" s="48"/>
      <c r="C2476" s="49"/>
      <c r="D2476" s="48"/>
      <c r="E2476" s="48"/>
      <c r="F2476" s="48"/>
      <c r="G2476" s="48"/>
      <c r="H2476" s="48"/>
      <c r="I2476" s="48"/>
      <c r="J2476" s="86"/>
      <c r="K2476" s="86"/>
      <c r="L2476" s="86"/>
      <c r="M2476" s="86"/>
      <c r="N2476" s="86"/>
      <c r="O2476" s="86"/>
      <c r="P2476" s="86"/>
      <c r="Q2476" s="86"/>
      <c r="R2476" s="86"/>
      <c r="S2476" s="86"/>
      <c r="T2476" s="86"/>
      <c r="U2476" s="86"/>
      <c r="V2476" s="48"/>
      <c r="W2476" s="48"/>
      <c r="X2476" s="48"/>
      <c r="Y2476" s="48"/>
      <c r="Z2476" s="48"/>
      <c r="AA2476" s="48"/>
      <c r="AB2476" s="48"/>
      <c r="AC2476" s="48"/>
      <c r="AD2476" s="48"/>
      <c r="AE2476" s="48"/>
      <c r="AF2476" s="48"/>
      <c r="AG2476" s="48"/>
      <c r="AH2476" s="48"/>
      <c r="AI2476" s="48"/>
      <c r="AJ2476" s="48"/>
      <c r="AK2476" s="48"/>
      <c r="AL2476" s="48"/>
      <c r="AM2476" s="48"/>
      <c r="AN2476" s="48"/>
      <c r="AO2476" s="48"/>
      <c r="AP2476" s="48"/>
      <c r="AQ2476" s="48"/>
      <c r="AR2476" s="48"/>
      <c r="AS2476" s="48"/>
      <c r="AT2476" s="48"/>
      <c r="AU2476" s="48"/>
      <c r="AV2476" s="48"/>
      <c r="AW2476" s="48"/>
      <c r="AX2476" s="48"/>
      <c r="AY2476" s="48"/>
      <c r="AZ2476" s="48"/>
      <c r="BA2476" s="48"/>
      <c r="BB2476" s="48"/>
      <c r="BC2476" s="48"/>
      <c r="BD2476" s="48"/>
    </row>
    <row r="2477" spans="1:56">
      <c r="A2477" s="48"/>
      <c r="B2477" s="48"/>
      <c r="C2477" s="49"/>
      <c r="D2477" s="48"/>
      <c r="E2477" s="48"/>
      <c r="F2477" s="48"/>
      <c r="G2477" s="48"/>
      <c r="H2477" s="48"/>
      <c r="I2477" s="48"/>
      <c r="J2477" s="86"/>
      <c r="K2477" s="86"/>
      <c r="L2477" s="86"/>
      <c r="M2477" s="86"/>
      <c r="N2477" s="86"/>
      <c r="O2477" s="86"/>
      <c r="P2477" s="86"/>
      <c r="Q2477" s="86"/>
      <c r="R2477" s="86"/>
      <c r="S2477" s="86"/>
      <c r="T2477" s="86"/>
      <c r="U2477" s="86"/>
      <c r="V2477" s="48"/>
      <c r="W2477" s="48"/>
      <c r="X2477" s="48"/>
      <c r="Y2477" s="48"/>
      <c r="Z2477" s="48"/>
      <c r="AA2477" s="48"/>
      <c r="AB2477" s="48"/>
      <c r="AC2477" s="48"/>
      <c r="AD2477" s="48"/>
      <c r="AE2477" s="48"/>
      <c r="AF2477" s="48"/>
      <c r="AG2477" s="48"/>
      <c r="AH2477" s="48"/>
      <c r="AI2477" s="48"/>
      <c r="AJ2477" s="48"/>
      <c r="AK2477" s="48"/>
      <c r="AL2477" s="48"/>
      <c r="AM2477" s="48"/>
      <c r="AN2477" s="48"/>
      <c r="AO2477" s="48"/>
      <c r="AP2477" s="48"/>
      <c r="AQ2477" s="48"/>
      <c r="AR2477" s="48"/>
      <c r="AS2477" s="48"/>
      <c r="AT2477" s="48"/>
      <c r="AU2477" s="48"/>
      <c r="AV2477" s="48"/>
      <c r="AW2477" s="48"/>
      <c r="AX2477" s="48"/>
      <c r="AY2477" s="48"/>
      <c r="AZ2477" s="48"/>
      <c r="BA2477" s="48"/>
      <c r="BB2477" s="48"/>
      <c r="BC2477" s="48"/>
      <c r="BD2477" s="48"/>
    </row>
    <row r="2478" spans="1:56">
      <c r="A2478" s="48"/>
      <c r="B2478" s="48"/>
      <c r="C2478" s="49"/>
      <c r="D2478" s="48"/>
      <c r="E2478" s="48"/>
      <c r="F2478" s="48"/>
      <c r="G2478" s="48"/>
      <c r="H2478" s="48"/>
      <c r="I2478" s="48"/>
      <c r="J2478" s="86"/>
      <c r="K2478" s="86"/>
      <c r="L2478" s="86"/>
      <c r="M2478" s="86"/>
      <c r="N2478" s="86"/>
      <c r="O2478" s="86"/>
      <c r="P2478" s="86"/>
      <c r="Q2478" s="86"/>
      <c r="R2478" s="86"/>
      <c r="S2478" s="86"/>
      <c r="T2478" s="86"/>
      <c r="U2478" s="86"/>
      <c r="V2478" s="48"/>
      <c r="W2478" s="48"/>
      <c r="X2478" s="48"/>
      <c r="Y2478" s="48"/>
      <c r="Z2478" s="48"/>
      <c r="AA2478" s="48"/>
      <c r="AB2478" s="48"/>
      <c r="AC2478" s="48"/>
      <c r="AD2478" s="48"/>
      <c r="AE2478" s="48"/>
      <c r="AF2478" s="48"/>
      <c r="AG2478" s="48"/>
      <c r="AH2478" s="48"/>
      <c r="AI2478" s="48"/>
      <c r="AJ2478" s="48"/>
      <c r="AK2478" s="48"/>
      <c r="AL2478" s="48"/>
      <c r="AM2478" s="48"/>
      <c r="AN2478" s="48"/>
      <c r="AO2478" s="48"/>
      <c r="AP2478" s="48"/>
      <c r="AQ2478" s="48"/>
      <c r="AR2478" s="48"/>
      <c r="AS2478" s="48"/>
      <c r="AT2478" s="48"/>
      <c r="AU2478" s="48"/>
      <c r="AV2478" s="48"/>
      <c r="AW2478" s="48"/>
      <c r="AX2478" s="48"/>
      <c r="AY2478" s="48"/>
      <c r="AZ2478" s="48"/>
      <c r="BA2478" s="48"/>
      <c r="BB2478" s="48"/>
      <c r="BC2478" s="48"/>
      <c r="BD2478" s="48"/>
    </row>
    <row r="2479" spans="1:56">
      <c r="A2479" s="48"/>
      <c r="B2479" s="48"/>
      <c r="C2479" s="49"/>
      <c r="D2479" s="48"/>
      <c r="E2479" s="48"/>
      <c r="F2479" s="48"/>
      <c r="G2479" s="48"/>
      <c r="H2479" s="48"/>
      <c r="I2479" s="48"/>
      <c r="J2479" s="86"/>
      <c r="K2479" s="86"/>
      <c r="L2479" s="86"/>
      <c r="M2479" s="86"/>
      <c r="N2479" s="86"/>
      <c r="O2479" s="86"/>
      <c r="P2479" s="86"/>
      <c r="Q2479" s="86"/>
      <c r="R2479" s="86"/>
      <c r="S2479" s="86"/>
      <c r="T2479" s="86"/>
      <c r="U2479" s="86"/>
      <c r="V2479" s="48"/>
      <c r="W2479" s="48"/>
      <c r="X2479" s="48"/>
      <c r="Y2479" s="48"/>
      <c r="Z2479" s="48"/>
      <c r="AA2479" s="48"/>
      <c r="AB2479" s="48"/>
      <c r="AC2479" s="48"/>
      <c r="AD2479" s="48"/>
      <c r="AE2479" s="48"/>
      <c r="AF2479" s="48"/>
      <c r="AG2479" s="48"/>
      <c r="AH2479" s="48"/>
      <c r="AI2479" s="48"/>
      <c r="AJ2479" s="48"/>
      <c r="AK2479" s="48"/>
      <c r="AL2479" s="48"/>
      <c r="AM2479" s="48"/>
      <c r="AN2479" s="48"/>
      <c r="AO2479" s="48"/>
      <c r="AP2479" s="48"/>
      <c r="AQ2479" s="48"/>
      <c r="AR2479" s="48"/>
      <c r="AS2479" s="48"/>
      <c r="AT2479" s="48"/>
      <c r="AU2479" s="48"/>
      <c r="AV2479" s="48"/>
      <c r="AW2479" s="48"/>
      <c r="AX2479" s="48"/>
      <c r="AY2479" s="48"/>
      <c r="AZ2479" s="48"/>
      <c r="BA2479" s="48"/>
      <c r="BB2479" s="48"/>
      <c r="BC2479" s="48"/>
      <c r="BD2479" s="48"/>
    </row>
    <row r="2480" spans="1:56">
      <c r="A2480" s="48"/>
      <c r="B2480" s="48"/>
      <c r="C2480" s="49"/>
      <c r="D2480" s="48"/>
      <c r="E2480" s="48"/>
      <c r="F2480" s="48"/>
      <c r="G2480" s="48"/>
      <c r="H2480" s="48"/>
      <c r="I2480" s="48"/>
      <c r="J2480" s="86"/>
      <c r="K2480" s="86"/>
      <c r="L2480" s="86"/>
      <c r="M2480" s="86"/>
      <c r="N2480" s="86"/>
      <c r="O2480" s="86"/>
      <c r="P2480" s="86"/>
      <c r="Q2480" s="86"/>
      <c r="R2480" s="86"/>
      <c r="S2480" s="86"/>
      <c r="T2480" s="86"/>
      <c r="U2480" s="86"/>
      <c r="V2480" s="48"/>
      <c r="W2480" s="48"/>
      <c r="X2480" s="48"/>
      <c r="Y2480" s="48"/>
      <c r="Z2480" s="48"/>
      <c r="AA2480" s="48"/>
      <c r="AB2480" s="48"/>
      <c r="AC2480" s="48"/>
      <c r="AD2480" s="48"/>
      <c r="AE2480" s="48"/>
      <c r="AF2480" s="48"/>
      <c r="AG2480" s="48"/>
      <c r="AH2480" s="48"/>
      <c r="AI2480" s="48"/>
      <c r="AJ2480" s="48"/>
      <c r="AK2480" s="48"/>
      <c r="AL2480" s="48"/>
      <c r="AM2480" s="48"/>
      <c r="AN2480" s="48"/>
      <c r="AO2480" s="48"/>
      <c r="AP2480" s="48"/>
      <c r="AQ2480" s="48"/>
      <c r="AR2480" s="48"/>
      <c r="AS2480" s="48"/>
      <c r="AT2480" s="48"/>
      <c r="AU2480" s="48"/>
      <c r="AV2480" s="48"/>
      <c r="AW2480" s="48"/>
      <c r="AX2480" s="48"/>
      <c r="AY2480" s="48"/>
      <c r="AZ2480" s="48"/>
      <c r="BA2480" s="48"/>
      <c r="BB2480" s="48"/>
      <c r="BC2480" s="48"/>
      <c r="BD2480" s="48"/>
    </row>
    <row r="2481" spans="1:56">
      <c r="A2481" s="48"/>
      <c r="B2481" s="48"/>
      <c r="C2481" s="49"/>
      <c r="D2481" s="48"/>
      <c r="E2481" s="48"/>
      <c r="F2481" s="48"/>
      <c r="G2481" s="48"/>
      <c r="H2481" s="48"/>
      <c r="I2481" s="48"/>
      <c r="J2481" s="86"/>
      <c r="K2481" s="86"/>
      <c r="L2481" s="86"/>
      <c r="M2481" s="86"/>
      <c r="N2481" s="86"/>
      <c r="O2481" s="86"/>
      <c r="P2481" s="86"/>
      <c r="Q2481" s="86"/>
      <c r="R2481" s="86"/>
      <c r="S2481" s="86"/>
      <c r="T2481" s="86"/>
      <c r="U2481" s="86"/>
      <c r="V2481" s="48"/>
      <c r="W2481" s="48"/>
      <c r="X2481" s="48"/>
      <c r="Y2481" s="48"/>
      <c r="Z2481" s="48"/>
      <c r="AA2481" s="48"/>
      <c r="AB2481" s="48"/>
      <c r="AC2481" s="48"/>
      <c r="AD2481" s="48"/>
      <c r="AE2481" s="48"/>
      <c r="AF2481" s="48"/>
      <c r="AG2481" s="48"/>
      <c r="AH2481" s="48"/>
      <c r="AI2481" s="48"/>
      <c r="AJ2481" s="48"/>
      <c r="AK2481" s="48"/>
      <c r="AL2481" s="48"/>
      <c r="AM2481" s="48"/>
      <c r="AN2481" s="48"/>
      <c r="AO2481" s="48"/>
      <c r="AP2481" s="48"/>
      <c r="AQ2481" s="48"/>
      <c r="AR2481" s="48"/>
      <c r="AS2481" s="48"/>
      <c r="AT2481" s="48"/>
      <c r="AU2481" s="48"/>
      <c r="AV2481" s="48"/>
      <c r="AW2481" s="48"/>
      <c r="AX2481" s="48"/>
      <c r="AY2481" s="48"/>
      <c r="AZ2481" s="48"/>
      <c r="BA2481" s="48"/>
      <c r="BB2481" s="48"/>
      <c r="BC2481" s="48"/>
      <c r="BD2481" s="48"/>
    </row>
    <row r="2482" spans="1:56">
      <c r="A2482" s="48"/>
      <c r="B2482" s="48"/>
      <c r="C2482" s="49"/>
      <c r="D2482" s="48"/>
      <c r="E2482" s="48"/>
      <c r="F2482" s="48"/>
      <c r="G2482" s="48"/>
      <c r="H2482" s="48"/>
      <c r="I2482" s="48"/>
      <c r="J2482" s="86"/>
      <c r="K2482" s="86"/>
      <c r="L2482" s="86"/>
      <c r="M2482" s="86"/>
      <c r="N2482" s="86"/>
      <c r="O2482" s="86"/>
      <c r="P2482" s="86"/>
      <c r="Q2482" s="86"/>
      <c r="R2482" s="86"/>
      <c r="S2482" s="86"/>
      <c r="T2482" s="86"/>
      <c r="U2482" s="86"/>
      <c r="V2482" s="48"/>
      <c r="W2482" s="48"/>
      <c r="X2482" s="48"/>
      <c r="Y2482" s="48"/>
      <c r="Z2482" s="48"/>
      <c r="AA2482" s="48"/>
      <c r="AB2482" s="48"/>
      <c r="AC2482" s="48"/>
      <c r="AD2482" s="48"/>
      <c r="AE2482" s="48"/>
      <c r="AF2482" s="48"/>
      <c r="AG2482" s="48"/>
      <c r="AH2482" s="48"/>
      <c r="AI2482" s="48"/>
      <c r="AJ2482" s="48"/>
      <c r="AK2482" s="48"/>
      <c r="AL2482" s="48"/>
      <c r="AM2482" s="48"/>
      <c r="AN2482" s="48"/>
      <c r="AO2482" s="48"/>
      <c r="AP2482" s="48"/>
      <c r="AQ2482" s="48"/>
      <c r="AR2482" s="48"/>
      <c r="AS2482" s="48"/>
      <c r="AT2482" s="48"/>
      <c r="AU2482" s="48"/>
      <c r="AV2482" s="48"/>
      <c r="AW2482" s="48"/>
      <c r="AX2482" s="48"/>
      <c r="AY2482" s="48"/>
      <c r="AZ2482" s="48"/>
      <c r="BA2482" s="48"/>
      <c r="BB2482" s="48"/>
      <c r="BC2482" s="48"/>
      <c r="BD2482" s="48"/>
    </row>
    <row r="2483" spans="1:56">
      <c r="A2483" s="48"/>
      <c r="B2483" s="48"/>
      <c r="C2483" s="49"/>
      <c r="D2483" s="48"/>
      <c r="E2483" s="48"/>
      <c r="F2483" s="48"/>
      <c r="G2483" s="48"/>
      <c r="H2483" s="48"/>
      <c r="I2483" s="48"/>
      <c r="J2483" s="86"/>
      <c r="K2483" s="86"/>
      <c r="L2483" s="86"/>
      <c r="M2483" s="86"/>
      <c r="N2483" s="86"/>
      <c r="O2483" s="86"/>
      <c r="P2483" s="86"/>
      <c r="Q2483" s="86"/>
      <c r="R2483" s="86"/>
      <c r="S2483" s="86"/>
      <c r="T2483" s="86"/>
      <c r="U2483" s="86"/>
      <c r="V2483" s="48"/>
      <c r="W2483" s="48"/>
      <c r="X2483" s="48"/>
      <c r="Y2483" s="48"/>
      <c r="Z2483" s="48"/>
      <c r="AA2483" s="48"/>
      <c r="AB2483" s="48"/>
      <c r="AC2483" s="48"/>
      <c r="AD2483" s="48"/>
      <c r="AE2483" s="48"/>
      <c r="AF2483" s="48"/>
      <c r="AG2483" s="48"/>
      <c r="AH2483" s="48"/>
      <c r="AI2483" s="48"/>
      <c r="AJ2483" s="48"/>
      <c r="AK2483" s="48"/>
      <c r="AL2483" s="48"/>
      <c r="AM2483" s="48"/>
      <c r="AN2483" s="48"/>
      <c r="AO2483" s="48"/>
      <c r="AP2483" s="48"/>
      <c r="AQ2483" s="48"/>
      <c r="AR2483" s="48"/>
      <c r="AS2483" s="48"/>
      <c r="AT2483" s="48"/>
      <c r="AU2483" s="48"/>
      <c r="AV2483" s="48"/>
      <c r="AW2483" s="48"/>
      <c r="AX2483" s="48"/>
      <c r="AY2483" s="48"/>
      <c r="AZ2483" s="48"/>
      <c r="BA2483" s="48"/>
      <c r="BB2483" s="48"/>
      <c r="BC2483" s="48"/>
      <c r="BD2483" s="48"/>
    </row>
    <row r="2484" spans="1:56">
      <c r="A2484" s="48"/>
      <c r="B2484" s="48"/>
      <c r="C2484" s="49"/>
      <c r="D2484" s="48"/>
      <c r="E2484" s="48"/>
      <c r="F2484" s="48"/>
      <c r="G2484" s="48"/>
      <c r="H2484" s="48"/>
      <c r="I2484" s="48"/>
      <c r="J2484" s="86"/>
      <c r="K2484" s="86"/>
      <c r="L2484" s="86"/>
      <c r="M2484" s="86"/>
      <c r="N2484" s="86"/>
      <c r="O2484" s="86"/>
      <c r="P2484" s="86"/>
      <c r="Q2484" s="86"/>
      <c r="R2484" s="86"/>
      <c r="S2484" s="86"/>
      <c r="T2484" s="86"/>
      <c r="U2484" s="86"/>
      <c r="V2484" s="48"/>
      <c r="W2484" s="48"/>
      <c r="X2484" s="48"/>
      <c r="Y2484" s="48"/>
      <c r="Z2484" s="48"/>
      <c r="AA2484" s="48"/>
      <c r="AB2484" s="48"/>
      <c r="AC2484" s="48"/>
      <c r="AD2484" s="48"/>
      <c r="AE2484" s="48"/>
      <c r="AF2484" s="48"/>
      <c r="AG2484" s="48"/>
      <c r="AH2484" s="48"/>
      <c r="AI2484" s="48"/>
      <c r="AJ2484" s="48"/>
      <c r="AK2484" s="48"/>
      <c r="AL2484" s="48"/>
      <c r="AM2484" s="48"/>
      <c r="AN2484" s="48"/>
      <c r="AO2484" s="48"/>
      <c r="AP2484" s="48"/>
      <c r="AQ2484" s="48"/>
      <c r="AR2484" s="48"/>
      <c r="AS2484" s="48"/>
      <c r="AT2484" s="48"/>
      <c r="AU2484" s="48"/>
      <c r="AV2484" s="48"/>
      <c r="AW2484" s="48"/>
      <c r="AX2484" s="48"/>
      <c r="AY2484" s="48"/>
      <c r="AZ2484" s="48"/>
      <c r="BA2484" s="48"/>
      <c r="BB2484" s="48"/>
      <c r="BC2484" s="48"/>
      <c r="BD2484" s="48"/>
    </row>
    <row r="2485" spans="1:56">
      <c r="A2485" s="48"/>
      <c r="B2485" s="48"/>
      <c r="C2485" s="49"/>
      <c r="D2485" s="48"/>
      <c r="E2485" s="48"/>
      <c r="F2485" s="48"/>
      <c r="G2485" s="48"/>
      <c r="H2485" s="48"/>
      <c r="I2485" s="48"/>
      <c r="J2485" s="86"/>
      <c r="K2485" s="86"/>
      <c r="L2485" s="86"/>
      <c r="M2485" s="86"/>
      <c r="N2485" s="86"/>
      <c r="O2485" s="86"/>
      <c r="P2485" s="86"/>
      <c r="Q2485" s="86"/>
      <c r="R2485" s="86"/>
      <c r="S2485" s="86"/>
      <c r="T2485" s="86"/>
      <c r="U2485" s="86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  <c r="AH2485" s="48"/>
      <c r="AI2485" s="48"/>
      <c r="AJ2485" s="48"/>
      <c r="AK2485" s="48"/>
      <c r="AL2485" s="48"/>
      <c r="AM2485" s="48"/>
      <c r="AN2485" s="48"/>
      <c r="AO2485" s="48"/>
      <c r="AP2485" s="48"/>
      <c r="AQ2485" s="48"/>
      <c r="AR2485" s="48"/>
      <c r="AS2485" s="48"/>
      <c r="AT2485" s="48"/>
      <c r="AU2485" s="48"/>
      <c r="AV2485" s="48"/>
      <c r="AW2485" s="48"/>
      <c r="AX2485" s="48"/>
      <c r="AY2485" s="48"/>
      <c r="AZ2485" s="48"/>
      <c r="BA2485" s="48"/>
      <c r="BB2485" s="48"/>
      <c r="BC2485" s="48"/>
      <c r="BD2485" s="48"/>
    </row>
    <row r="2486" spans="1:56">
      <c r="A2486" s="48"/>
      <c r="B2486" s="48"/>
      <c r="C2486" s="49"/>
      <c r="D2486" s="48"/>
      <c r="E2486" s="48"/>
      <c r="F2486" s="48"/>
      <c r="G2486" s="48"/>
      <c r="H2486" s="48"/>
      <c r="I2486" s="48"/>
      <c r="J2486" s="86"/>
      <c r="K2486" s="86"/>
      <c r="L2486" s="86"/>
      <c r="M2486" s="86"/>
      <c r="N2486" s="86"/>
      <c r="O2486" s="86"/>
      <c r="P2486" s="86"/>
      <c r="Q2486" s="86"/>
      <c r="R2486" s="86"/>
      <c r="S2486" s="86"/>
      <c r="T2486" s="86"/>
      <c r="U2486" s="86"/>
      <c r="V2486" s="48"/>
      <c r="W2486" s="48"/>
      <c r="X2486" s="48"/>
      <c r="Y2486" s="48"/>
      <c r="Z2486" s="48"/>
      <c r="AA2486" s="48"/>
      <c r="AB2486" s="48"/>
      <c r="AC2486" s="48"/>
      <c r="AD2486" s="48"/>
      <c r="AE2486" s="48"/>
      <c r="AF2486" s="48"/>
      <c r="AG2486" s="48"/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AW2486" s="48"/>
      <c r="AX2486" s="48"/>
      <c r="AY2486" s="48"/>
      <c r="AZ2486" s="48"/>
      <c r="BA2486" s="48"/>
      <c r="BB2486" s="48"/>
      <c r="BC2486" s="48"/>
      <c r="BD2486" s="48"/>
    </row>
    <row r="2487" spans="1:56">
      <c r="A2487" s="48"/>
      <c r="B2487" s="48"/>
      <c r="C2487" s="49"/>
      <c r="D2487" s="48"/>
      <c r="E2487" s="48"/>
      <c r="F2487" s="48"/>
      <c r="G2487" s="48"/>
      <c r="H2487" s="48"/>
      <c r="I2487" s="48"/>
      <c r="J2487" s="86"/>
      <c r="K2487" s="86"/>
      <c r="L2487" s="86"/>
      <c r="M2487" s="86"/>
      <c r="N2487" s="86"/>
      <c r="O2487" s="86"/>
      <c r="P2487" s="86"/>
      <c r="Q2487" s="86"/>
      <c r="R2487" s="86"/>
      <c r="S2487" s="86"/>
      <c r="T2487" s="86"/>
      <c r="U2487" s="86"/>
      <c r="V2487" s="48"/>
      <c r="W2487" s="48"/>
      <c r="X2487" s="48"/>
      <c r="Y2487" s="48"/>
      <c r="Z2487" s="48"/>
      <c r="AA2487" s="48"/>
      <c r="AB2487" s="48"/>
      <c r="AC2487" s="48"/>
      <c r="AD2487" s="48"/>
      <c r="AE2487" s="48"/>
      <c r="AF2487" s="48"/>
      <c r="AG2487" s="48"/>
      <c r="AH2487" s="48"/>
      <c r="AI2487" s="48"/>
      <c r="AJ2487" s="48"/>
      <c r="AK2487" s="48"/>
      <c r="AL2487" s="48"/>
      <c r="AM2487" s="48"/>
      <c r="AN2487" s="48"/>
      <c r="AO2487" s="48"/>
      <c r="AP2487" s="48"/>
      <c r="AQ2487" s="48"/>
      <c r="AR2487" s="48"/>
      <c r="AS2487" s="48"/>
      <c r="AT2487" s="48"/>
      <c r="AU2487" s="48"/>
      <c r="AV2487" s="48"/>
      <c r="AW2487" s="48"/>
      <c r="AX2487" s="48"/>
      <c r="AY2487" s="48"/>
      <c r="AZ2487" s="48"/>
      <c r="BA2487" s="48"/>
      <c r="BB2487" s="48"/>
      <c r="BC2487" s="48"/>
      <c r="BD2487" s="48"/>
    </row>
    <row r="2488" spans="1:56">
      <c r="A2488" s="48"/>
      <c r="B2488" s="48"/>
      <c r="C2488" s="49"/>
      <c r="D2488" s="48"/>
      <c r="E2488" s="48"/>
      <c r="F2488" s="48"/>
      <c r="G2488" s="48"/>
      <c r="H2488" s="48"/>
      <c r="I2488" s="48"/>
      <c r="J2488" s="86"/>
      <c r="K2488" s="86"/>
      <c r="L2488" s="86"/>
      <c r="M2488" s="86"/>
      <c r="N2488" s="86"/>
      <c r="O2488" s="86"/>
      <c r="P2488" s="86"/>
      <c r="Q2488" s="86"/>
      <c r="R2488" s="86"/>
      <c r="S2488" s="86"/>
      <c r="T2488" s="86"/>
      <c r="U2488" s="86"/>
      <c r="V2488" s="48"/>
      <c r="W2488" s="48"/>
      <c r="X2488" s="48"/>
      <c r="Y2488" s="48"/>
      <c r="Z2488" s="48"/>
      <c r="AA2488" s="48"/>
      <c r="AB2488" s="48"/>
      <c r="AC2488" s="48"/>
      <c r="AD2488" s="48"/>
      <c r="AE2488" s="48"/>
      <c r="AF2488" s="48"/>
      <c r="AG2488" s="48"/>
      <c r="AH2488" s="48"/>
      <c r="AI2488" s="48"/>
      <c r="AJ2488" s="48"/>
      <c r="AK2488" s="48"/>
      <c r="AL2488" s="48"/>
      <c r="AM2488" s="48"/>
      <c r="AN2488" s="48"/>
      <c r="AO2488" s="48"/>
      <c r="AP2488" s="48"/>
      <c r="AQ2488" s="48"/>
      <c r="AR2488" s="48"/>
      <c r="AS2488" s="48"/>
      <c r="AT2488" s="48"/>
      <c r="AU2488" s="48"/>
      <c r="AV2488" s="48"/>
      <c r="AW2488" s="48"/>
      <c r="AX2488" s="48"/>
      <c r="AY2488" s="48"/>
      <c r="AZ2488" s="48"/>
      <c r="BA2488" s="48"/>
      <c r="BB2488" s="48"/>
      <c r="BC2488" s="48"/>
      <c r="BD2488" s="48"/>
    </row>
    <row r="2489" spans="1:56">
      <c r="A2489" s="48"/>
      <c r="B2489" s="48"/>
      <c r="C2489" s="49"/>
      <c r="D2489" s="48"/>
      <c r="E2489" s="48"/>
      <c r="F2489" s="48"/>
      <c r="G2489" s="48"/>
      <c r="H2489" s="48"/>
      <c r="I2489" s="48"/>
      <c r="J2489" s="86"/>
      <c r="K2489" s="86"/>
      <c r="L2489" s="86"/>
      <c r="M2489" s="86"/>
      <c r="N2489" s="86"/>
      <c r="O2489" s="86"/>
      <c r="P2489" s="86"/>
      <c r="Q2489" s="86"/>
      <c r="R2489" s="86"/>
      <c r="S2489" s="86"/>
      <c r="T2489" s="86"/>
      <c r="U2489" s="86"/>
      <c r="V2489" s="48"/>
      <c r="W2489" s="48"/>
      <c r="X2489" s="48"/>
      <c r="Y2489" s="48"/>
      <c r="Z2489" s="48"/>
      <c r="AA2489" s="48"/>
      <c r="AB2489" s="48"/>
      <c r="AC2489" s="48"/>
      <c r="AD2489" s="48"/>
      <c r="AE2489" s="48"/>
      <c r="AF2489" s="48"/>
      <c r="AG2489" s="48"/>
      <c r="AH2489" s="48"/>
      <c r="AI2489" s="48"/>
      <c r="AJ2489" s="48"/>
      <c r="AK2489" s="48"/>
      <c r="AL2489" s="48"/>
      <c r="AM2489" s="48"/>
      <c r="AN2489" s="48"/>
      <c r="AO2489" s="48"/>
      <c r="AP2489" s="48"/>
      <c r="AQ2489" s="48"/>
      <c r="AR2489" s="48"/>
      <c r="AS2489" s="48"/>
      <c r="AT2489" s="48"/>
      <c r="AU2489" s="48"/>
      <c r="AV2489" s="48"/>
      <c r="AW2489" s="48"/>
      <c r="AX2489" s="48"/>
      <c r="AY2489" s="48"/>
      <c r="AZ2489" s="48"/>
      <c r="BA2489" s="48"/>
      <c r="BB2489" s="48"/>
      <c r="BC2489" s="48"/>
      <c r="BD2489" s="48"/>
    </row>
    <row r="2490" spans="1:56">
      <c r="A2490" s="48"/>
      <c r="B2490" s="48"/>
      <c r="C2490" s="49"/>
      <c r="D2490" s="48"/>
      <c r="E2490" s="48"/>
      <c r="F2490" s="48"/>
      <c r="G2490" s="48"/>
      <c r="H2490" s="48"/>
      <c r="I2490" s="48"/>
      <c r="J2490" s="86"/>
      <c r="K2490" s="86"/>
      <c r="L2490" s="86"/>
      <c r="M2490" s="86"/>
      <c r="N2490" s="86"/>
      <c r="O2490" s="86"/>
      <c r="P2490" s="86"/>
      <c r="Q2490" s="86"/>
      <c r="R2490" s="86"/>
      <c r="S2490" s="86"/>
      <c r="T2490" s="86"/>
      <c r="U2490" s="86"/>
      <c r="V2490" s="48"/>
      <c r="W2490" s="48"/>
      <c r="X2490" s="48"/>
      <c r="Y2490" s="48"/>
      <c r="Z2490" s="48"/>
      <c r="AA2490" s="48"/>
      <c r="AB2490" s="48"/>
      <c r="AC2490" s="48"/>
      <c r="AD2490" s="48"/>
      <c r="AE2490" s="48"/>
      <c r="AF2490" s="48"/>
      <c r="AG2490" s="48"/>
      <c r="AH2490" s="48"/>
      <c r="AI2490" s="48"/>
      <c r="AJ2490" s="48"/>
      <c r="AK2490" s="48"/>
      <c r="AL2490" s="48"/>
      <c r="AM2490" s="48"/>
      <c r="AN2490" s="48"/>
      <c r="AO2490" s="48"/>
      <c r="AP2490" s="48"/>
      <c r="AQ2490" s="48"/>
      <c r="AR2490" s="48"/>
      <c r="AS2490" s="48"/>
      <c r="AT2490" s="48"/>
      <c r="AU2490" s="48"/>
      <c r="AV2490" s="48"/>
      <c r="AW2490" s="48"/>
      <c r="AX2490" s="48"/>
      <c r="AY2490" s="48"/>
      <c r="AZ2490" s="48"/>
      <c r="BA2490" s="48"/>
      <c r="BB2490" s="48"/>
      <c r="BC2490" s="48"/>
      <c r="BD2490" s="48"/>
    </row>
    <row r="2491" spans="1:56">
      <c r="A2491" s="48"/>
      <c r="B2491" s="48"/>
      <c r="C2491" s="49"/>
      <c r="D2491" s="48"/>
      <c r="E2491" s="48"/>
      <c r="F2491" s="48"/>
      <c r="G2491" s="48"/>
      <c r="H2491" s="48"/>
      <c r="I2491" s="48"/>
      <c r="J2491" s="86"/>
      <c r="K2491" s="86"/>
      <c r="L2491" s="86"/>
      <c r="M2491" s="86"/>
      <c r="N2491" s="86"/>
      <c r="O2491" s="86"/>
      <c r="P2491" s="86"/>
      <c r="Q2491" s="86"/>
      <c r="R2491" s="86"/>
      <c r="S2491" s="86"/>
      <c r="T2491" s="86"/>
      <c r="U2491" s="86"/>
      <c r="V2491" s="48"/>
      <c r="W2491" s="48"/>
      <c r="X2491" s="48"/>
      <c r="Y2491" s="48"/>
      <c r="Z2491" s="48"/>
      <c r="AA2491" s="48"/>
      <c r="AB2491" s="48"/>
      <c r="AC2491" s="48"/>
      <c r="AD2491" s="48"/>
      <c r="AE2491" s="48"/>
      <c r="AF2491" s="48"/>
      <c r="AG2491" s="48"/>
      <c r="AH2491" s="48"/>
      <c r="AI2491" s="48"/>
      <c r="AJ2491" s="48"/>
      <c r="AK2491" s="48"/>
      <c r="AL2491" s="48"/>
      <c r="AM2491" s="48"/>
      <c r="AN2491" s="48"/>
      <c r="AO2491" s="48"/>
      <c r="AP2491" s="48"/>
      <c r="AQ2491" s="48"/>
      <c r="AR2491" s="48"/>
      <c r="AS2491" s="48"/>
      <c r="AT2491" s="48"/>
      <c r="AU2491" s="48"/>
      <c r="AV2491" s="48"/>
      <c r="AW2491" s="48"/>
      <c r="AX2491" s="48"/>
      <c r="AY2491" s="48"/>
      <c r="AZ2491" s="48"/>
      <c r="BA2491" s="48"/>
      <c r="BB2491" s="48"/>
      <c r="BC2491" s="48"/>
      <c r="BD2491" s="48"/>
    </row>
    <row r="2492" spans="1:56">
      <c r="A2492" s="48"/>
      <c r="B2492" s="48"/>
      <c r="C2492" s="49"/>
      <c r="D2492" s="48"/>
      <c r="E2492" s="48"/>
      <c r="F2492" s="48"/>
      <c r="G2492" s="48"/>
      <c r="H2492" s="48"/>
      <c r="I2492" s="48"/>
      <c r="J2492" s="86"/>
      <c r="K2492" s="86"/>
      <c r="L2492" s="86"/>
      <c r="M2492" s="86"/>
      <c r="N2492" s="86"/>
      <c r="O2492" s="86"/>
      <c r="P2492" s="86"/>
      <c r="Q2492" s="86"/>
      <c r="R2492" s="86"/>
      <c r="S2492" s="86"/>
      <c r="T2492" s="86"/>
      <c r="U2492" s="86"/>
      <c r="V2492" s="48"/>
      <c r="W2492" s="48"/>
      <c r="X2492" s="48"/>
      <c r="Y2492" s="48"/>
      <c r="Z2492" s="48"/>
      <c r="AA2492" s="48"/>
      <c r="AB2492" s="48"/>
      <c r="AC2492" s="48"/>
      <c r="AD2492" s="48"/>
      <c r="AE2492" s="48"/>
      <c r="AF2492" s="48"/>
      <c r="AG2492" s="48"/>
      <c r="AH2492" s="48"/>
      <c r="AI2492" s="48"/>
      <c r="AJ2492" s="48"/>
      <c r="AK2492" s="48"/>
      <c r="AL2492" s="48"/>
      <c r="AM2492" s="48"/>
      <c r="AN2492" s="48"/>
      <c r="AO2492" s="48"/>
      <c r="AP2492" s="48"/>
      <c r="AQ2492" s="48"/>
      <c r="AR2492" s="48"/>
      <c r="AS2492" s="48"/>
      <c r="AT2492" s="48"/>
      <c r="AU2492" s="48"/>
      <c r="AV2492" s="48"/>
      <c r="AW2492" s="48"/>
      <c r="AX2492" s="48"/>
      <c r="AY2492" s="48"/>
      <c r="AZ2492" s="48"/>
      <c r="BA2492" s="48"/>
      <c r="BB2492" s="48"/>
      <c r="BC2492" s="48"/>
      <c r="BD2492" s="48"/>
    </row>
    <row r="2493" spans="1:56">
      <c r="A2493" s="48"/>
      <c r="B2493" s="48"/>
      <c r="C2493" s="49"/>
      <c r="D2493" s="48"/>
      <c r="E2493" s="48"/>
      <c r="F2493" s="48"/>
      <c r="G2493" s="48"/>
      <c r="H2493" s="48"/>
      <c r="I2493" s="48"/>
      <c r="J2493" s="86"/>
      <c r="K2493" s="86"/>
      <c r="L2493" s="86"/>
      <c r="M2493" s="86"/>
      <c r="N2493" s="86"/>
      <c r="O2493" s="86"/>
      <c r="P2493" s="86"/>
      <c r="Q2493" s="86"/>
      <c r="R2493" s="86"/>
      <c r="S2493" s="86"/>
      <c r="T2493" s="86"/>
      <c r="U2493" s="86"/>
      <c r="V2493" s="48"/>
      <c r="W2493" s="48"/>
      <c r="X2493" s="48"/>
      <c r="Y2493" s="48"/>
      <c r="Z2493" s="48"/>
      <c r="AA2493" s="48"/>
      <c r="AB2493" s="48"/>
      <c r="AC2493" s="48"/>
      <c r="AD2493" s="48"/>
      <c r="AE2493" s="48"/>
      <c r="AF2493" s="48"/>
      <c r="AG2493" s="48"/>
      <c r="AH2493" s="48"/>
      <c r="AI2493" s="48"/>
      <c r="AJ2493" s="48"/>
      <c r="AK2493" s="48"/>
      <c r="AL2493" s="48"/>
      <c r="AM2493" s="48"/>
      <c r="AN2493" s="48"/>
      <c r="AO2493" s="48"/>
      <c r="AP2493" s="48"/>
      <c r="AQ2493" s="48"/>
      <c r="AR2493" s="48"/>
      <c r="AS2493" s="48"/>
      <c r="AT2493" s="48"/>
      <c r="AU2493" s="48"/>
      <c r="AV2493" s="48"/>
      <c r="AW2493" s="48"/>
      <c r="AX2493" s="48"/>
      <c r="AY2493" s="48"/>
      <c r="AZ2493" s="48"/>
      <c r="BA2493" s="48"/>
      <c r="BB2493" s="48"/>
      <c r="BC2493" s="48"/>
      <c r="BD2493" s="48"/>
    </row>
    <row r="2494" spans="1:56">
      <c r="A2494" s="48"/>
      <c r="B2494" s="48"/>
      <c r="C2494" s="49"/>
      <c r="D2494" s="48"/>
      <c r="E2494" s="48"/>
      <c r="F2494" s="48"/>
      <c r="G2494" s="48"/>
      <c r="H2494" s="48"/>
      <c r="I2494" s="48"/>
      <c r="J2494" s="86"/>
      <c r="K2494" s="86"/>
      <c r="L2494" s="86"/>
      <c r="M2494" s="86"/>
      <c r="N2494" s="86"/>
      <c r="O2494" s="86"/>
      <c r="P2494" s="86"/>
      <c r="Q2494" s="86"/>
      <c r="R2494" s="86"/>
      <c r="S2494" s="86"/>
      <c r="T2494" s="86"/>
      <c r="U2494" s="86"/>
      <c r="V2494" s="48"/>
      <c r="W2494" s="48"/>
      <c r="X2494" s="48"/>
      <c r="Y2494" s="48"/>
      <c r="Z2494" s="48"/>
      <c r="AA2494" s="48"/>
      <c r="AB2494" s="48"/>
      <c r="AC2494" s="48"/>
      <c r="AD2494" s="48"/>
      <c r="AE2494" s="48"/>
      <c r="AF2494" s="48"/>
      <c r="AG2494" s="48"/>
      <c r="AH2494" s="48"/>
      <c r="AI2494" s="48"/>
      <c r="AJ2494" s="48"/>
      <c r="AK2494" s="48"/>
      <c r="AL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  <c r="AZ2494" s="48"/>
      <c r="BA2494" s="48"/>
      <c r="BB2494" s="48"/>
      <c r="BC2494" s="48"/>
      <c r="BD2494" s="48"/>
    </row>
    <row r="2495" spans="1:56">
      <c r="A2495" s="48"/>
      <c r="B2495" s="48"/>
      <c r="C2495" s="49"/>
      <c r="D2495" s="48"/>
      <c r="E2495" s="48"/>
      <c r="F2495" s="48"/>
      <c r="G2495" s="48"/>
      <c r="H2495" s="48"/>
      <c r="I2495" s="48"/>
      <c r="J2495" s="86"/>
      <c r="K2495" s="86"/>
      <c r="L2495" s="86"/>
      <c r="M2495" s="86"/>
      <c r="N2495" s="86"/>
      <c r="O2495" s="86"/>
      <c r="P2495" s="86"/>
      <c r="Q2495" s="86"/>
      <c r="R2495" s="86"/>
      <c r="S2495" s="86"/>
      <c r="T2495" s="86"/>
      <c r="U2495" s="86"/>
      <c r="V2495" s="48"/>
      <c r="W2495" s="48"/>
      <c r="X2495" s="48"/>
      <c r="Y2495" s="48"/>
      <c r="Z2495" s="48"/>
      <c r="AA2495" s="48"/>
      <c r="AB2495" s="48"/>
      <c r="AC2495" s="48"/>
      <c r="AD2495" s="48"/>
      <c r="AE2495" s="48"/>
      <c r="AF2495" s="48"/>
      <c r="AG2495" s="48"/>
      <c r="AH2495" s="48"/>
      <c r="AI2495" s="48"/>
      <c r="AJ2495" s="48"/>
      <c r="AK2495" s="48"/>
      <c r="AL2495" s="48"/>
      <c r="AM2495" s="48"/>
      <c r="AN2495" s="48"/>
      <c r="AO2495" s="48"/>
      <c r="AP2495" s="48"/>
      <c r="AQ2495" s="48"/>
      <c r="AR2495" s="48"/>
      <c r="AS2495" s="48"/>
      <c r="AT2495" s="48"/>
      <c r="AU2495" s="48"/>
      <c r="AV2495" s="48"/>
      <c r="AW2495" s="48"/>
      <c r="AX2495" s="48"/>
      <c r="AY2495" s="48"/>
      <c r="AZ2495" s="48"/>
      <c r="BA2495" s="48"/>
      <c r="BB2495" s="48"/>
      <c r="BC2495" s="48"/>
      <c r="BD2495" s="48"/>
    </row>
    <row r="2496" spans="1:56">
      <c r="A2496" s="48"/>
      <c r="B2496" s="48"/>
      <c r="C2496" s="49"/>
      <c r="D2496" s="48"/>
      <c r="E2496" s="48"/>
      <c r="F2496" s="48"/>
      <c r="G2496" s="48"/>
      <c r="H2496" s="48"/>
      <c r="I2496" s="48"/>
      <c r="J2496" s="86"/>
      <c r="K2496" s="86"/>
      <c r="L2496" s="86"/>
      <c r="M2496" s="86"/>
      <c r="N2496" s="86"/>
      <c r="O2496" s="86"/>
      <c r="P2496" s="86"/>
      <c r="Q2496" s="86"/>
      <c r="R2496" s="86"/>
      <c r="S2496" s="86"/>
      <c r="T2496" s="86"/>
      <c r="U2496" s="86"/>
      <c r="V2496" s="48"/>
      <c r="W2496" s="48"/>
      <c r="X2496" s="48"/>
      <c r="Y2496" s="48"/>
      <c r="Z2496" s="48"/>
      <c r="AA2496" s="48"/>
      <c r="AB2496" s="48"/>
      <c r="AC2496" s="48"/>
      <c r="AD2496" s="48"/>
      <c r="AE2496" s="48"/>
      <c r="AF2496" s="48"/>
      <c r="AG2496" s="48"/>
      <c r="AH2496" s="48"/>
      <c r="AI2496" s="48"/>
      <c r="AJ2496" s="48"/>
      <c r="AK2496" s="48"/>
      <c r="AL2496" s="48"/>
      <c r="AM2496" s="48"/>
      <c r="AN2496" s="48"/>
      <c r="AO2496" s="48"/>
      <c r="AP2496" s="48"/>
      <c r="AQ2496" s="48"/>
      <c r="AR2496" s="48"/>
      <c r="AS2496" s="48"/>
      <c r="AT2496" s="48"/>
      <c r="AU2496" s="48"/>
      <c r="AV2496" s="48"/>
      <c r="AW2496" s="48"/>
      <c r="AX2496" s="48"/>
      <c r="AY2496" s="48"/>
      <c r="AZ2496" s="48"/>
      <c r="BA2496" s="48"/>
      <c r="BB2496" s="48"/>
      <c r="BC2496" s="48"/>
      <c r="BD2496" s="48"/>
    </row>
    <row r="2497" spans="1:56">
      <c r="A2497" s="48"/>
      <c r="B2497" s="48"/>
      <c r="C2497" s="49"/>
      <c r="D2497" s="48"/>
      <c r="E2497" s="48"/>
      <c r="F2497" s="48"/>
      <c r="G2497" s="48"/>
      <c r="H2497" s="48"/>
      <c r="I2497" s="48"/>
      <c r="J2497" s="86"/>
      <c r="K2497" s="86"/>
      <c r="L2497" s="86"/>
      <c r="M2497" s="86"/>
      <c r="N2497" s="86"/>
      <c r="O2497" s="86"/>
      <c r="P2497" s="86"/>
      <c r="Q2497" s="86"/>
      <c r="R2497" s="86"/>
      <c r="S2497" s="86"/>
      <c r="T2497" s="86"/>
      <c r="U2497" s="86"/>
      <c r="V2497" s="48"/>
      <c r="W2497" s="48"/>
      <c r="X2497" s="48"/>
      <c r="Y2497" s="48"/>
      <c r="Z2497" s="48"/>
      <c r="AA2497" s="48"/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  <c r="AX2497" s="48"/>
      <c r="AY2497" s="48"/>
      <c r="AZ2497" s="48"/>
      <c r="BA2497" s="48"/>
      <c r="BB2497" s="48"/>
      <c r="BC2497" s="48"/>
      <c r="BD2497" s="48"/>
    </row>
    <row r="2498" spans="1:56">
      <c r="A2498" s="48"/>
      <c r="B2498" s="48"/>
      <c r="C2498" s="49"/>
      <c r="D2498" s="48"/>
      <c r="E2498" s="48"/>
      <c r="F2498" s="48"/>
      <c r="G2498" s="48"/>
      <c r="H2498" s="48"/>
      <c r="I2498" s="48"/>
      <c r="J2498" s="86"/>
      <c r="K2498" s="86"/>
      <c r="L2498" s="86"/>
      <c r="M2498" s="86"/>
      <c r="N2498" s="86"/>
      <c r="O2498" s="86"/>
      <c r="P2498" s="86"/>
      <c r="Q2498" s="86"/>
      <c r="R2498" s="86"/>
      <c r="S2498" s="86"/>
      <c r="T2498" s="86"/>
      <c r="U2498" s="86"/>
      <c r="V2498" s="48"/>
      <c r="W2498" s="48"/>
      <c r="X2498" s="48"/>
      <c r="Y2498" s="48"/>
      <c r="Z2498" s="48"/>
      <c r="AA2498" s="48"/>
      <c r="AB2498" s="48"/>
      <c r="AC2498" s="48"/>
      <c r="AD2498" s="48"/>
      <c r="AE2498" s="48"/>
      <c r="AF2498" s="48"/>
      <c r="AG2498" s="48"/>
      <c r="AH2498" s="48"/>
      <c r="AI2498" s="48"/>
      <c r="AJ2498" s="48"/>
      <c r="AK2498" s="48"/>
      <c r="AL2498" s="48"/>
      <c r="AM2498" s="48"/>
      <c r="AN2498" s="48"/>
      <c r="AO2498" s="48"/>
      <c r="AP2498" s="48"/>
      <c r="AQ2498" s="48"/>
      <c r="AR2498" s="48"/>
      <c r="AS2498" s="48"/>
      <c r="AT2498" s="48"/>
      <c r="AU2498" s="48"/>
      <c r="AV2498" s="48"/>
      <c r="AW2498" s="48"/>
      <c r="AX2498" s="48"/>
      <c r="AY2498" s="48"/>
      <c r="AZ2498" s="48"/>
      <c r="BA2498" s="48"/>
      <c r="BB2498" s="48"/>
      <c r="BC2498" s="48"/>
      <c r="BD2498" s="48"/>
    </row>
    <row r="2499" spans="1:56">
      <c r="A2499" s="48"/>
      <c r="B2499" s="48"/>
      <c r="C2499" s="49"/>
      <c r="D2499" s="48"/>
      <c r="E2499" s="48"/>
      <c r="F2499" s="48"/>
      <c r="G2499" s="48"/>
      <c r="H2499" s="48"/>
      <c r="I2499" s="48"/>
      <c r="J2499" s="86"/>
      <c r="K2499" s="86"/>
      <c r="L2499" s="86"/>
      <c r="M2499" s="86"/>
      <c r="N2499" s="86"/>
      <c r="O2499" s="86"/>
      <c r="P2499" s="86"/>
      <c r="Q2499" s="86"/>
      <c r="R2499" s="86"/>
      <c r="S2499" s="86"/>
      <c r="T2499" s="86"/>
      <c r="U2499" s="86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AM2499" s="48"/>
      <c r="AN2499" s="48"/>
      <c r="AO2499" s="48"/>
      <c r="AP2499" s="48"/>
      <c r="AQ2499" s="48"/>
      <c r="AR2499" s="48"/>
      <c r="AS2499" s="48"/>
      <c r="AT2499" s="48"/>
      <c r="AU2499" s="48"/>
      <c r="AV2499" s="48"/>
      <c r="AW2499" s="48"/>
      <c r="AX2499" s="48"/>
      <c r="AY2499" s="48"/>
      <c r="AZ2499" s="48"/>
      <c r="BA2499" s="48"/>
      <c r="BB2499" s="48"/>
      <c r="BC2499" s="48"/>
      <c r="BD2499" s="48"/>
    </row>
    <row r="2500" spans="1:56">
      <c r="A2500" s="48"/>
      <c r="B2500" s="48"/>
      <c r="C2500" s="49"/>
      <c r="D2500" s="48"/>
      <c r="E2500" s="48"/>
      <c r="F2500" s="48"/>
      <c r="G2500" s="48"/>
      <c r="H2500" s="48"/>
      <c r="I2500" s="48"/>
      <c r="J2500" s="86"/>
      <c r="K2500" s="86"/>
      <c r="L2500" s="86"/>
      <c r="M2500" s="86"/>
      <c r="N2500" s="86"/>
      <c r="O2500" s="86"/>
      <c r="P2500" s="86"/>
      <c r="Q2500" s="86"/>
      <c r="R2500" s="86"/>
      <c r="S2500" s="86"/>
      <c r="T2500" s="86"/>
      <c r="U2500" s="86"/>
      <c r="V2500" s="48"/>
      <c r="W2500" s="48"/>
      <c r="X2500" s="48"/>
      <c r="Y2500" s="48"/>
      <c r="Z2500" s="48"/>
      <c r="AA2500" s="48"/>
      <c r="AB2500" s="48"/>
      <c r="AC2500" s="48"/>
      <c r="AD2500" s="48"/>
      <c r="AE2500" s="48"/>
      <c r="AF2500" s="48"/>
      <c r="AG2500" s="48"/>
      <c r="AH2500" s="48"/>
      <c r="AI2500" s="48"/>
      <c r="AJ2500" s="48"/>
      <c r="AK2500" s="48"/>
      <c r="AL2500" s="48"/>
      <c r="AM2500" s="48"/>
      <c r="AN2500" s="48"/>
      <c r="AO2500" s="48"/>
      <c r="AP2500" s="48"/>
      <c r="AQ2500" s="48"/>
      <c r="AR2500" s="48"/>
      <c r="AS2500" s="48"/>
      <c r="AT2500" s="48"/>
      <c r="AU2500" s="48"/>
      <c r="AV2500" s="48"/>
      <c r="AW2500" s="48"/>
      <c r="AX2500" s="48"/>
      <c r="AY2500" s="48"/>
      <c r="AZ2500" s="48"/>
      <c r="BA2500" s="48"/>
      <c r="BB2500" s="48"/>
      <c r="BC2500" s="48"/>
      <c r="BD2500" s="48"/>
    </row>
    <row r="2501" spans="1:56">
      <c r="A2501" s="48"/>
      <c r="B2501" s="48"/>
      <c r="C2501" s="49"/>
      <c r="D2501" s="48"/>
      <c r="E2501" s="48"/>
      <c r="F2501" s="48"/>
      <c r="G2501" s="48"/>
      <c r="H2501" s="48"/>
      <c r="I2501" s="48"/>
      <c r="J2501" s="86"/>
      <c r="K2501" s="86"/>
      <c r="L2501" s="86"/>
      <c r="M2501" s="86"/>
      <c r="N2501" s="86"/>
      <c r="O2501" s="86"/>
      <c r="P2501" s="86"/>
      <c r="Q2501" s="86"/>
      <c r="R2501" s="86"/>
      <c r="S2501" s="86"/>
      <c r="T2501" s="86"/>
      <c r="U2501" s="86"/>
      <c r="V2501" s="48"/>
      <c r="W2501" s="48"/>
      <c r="X2501" s="48"/>
      <c r="Y2501" s="48"/>
      <c r="Z2501" s="48"/>
      <c r="AA2501" s="48"/>
      <c r="AB2501" s="48"/>
      <c r="AC2501" s="48"/>
      <c r="AD2501" s="48"/>
      <c r="AE2501" s="48"/>
      <c r="AF2501" s="48"/>
      <c r="AG2501" s="48"/>
      <c r="AH2501" s="48"/>
      <c r="AI2501" s="48"/>
      <c r="AJ2501" s="48"/>
      <c r="AK2501" s="48"/>
      <c r="AL2501" s="48"/>
      <c r="AM2501" s="48"/>
      <c r="AN2501" s="48"/>
      <c r="AO2501" s="48"/>
      <c r="AP2501" s="48"/>
      <c r="AQ2501" s="48"/>
      <c r="AR2501" s="48"/>
      <c r="AS2501" s="48"/>
      <c r="AT2501" s="48"/>
      <c r="AU2501" s="48"/>
      <c r="AV2501" s="48"/>
      <c r="AW2501" s="48"/>
      <c r="AX2501" s="48"/>
      <c r="AY2501" s="48"/>
      <c r="AZ2501" s="48"/>
      <c r="BA2501" s="48"/>
      <c r="BB2501" s="48"/>
      <c r="BC2501" s="48"/>
      <c r="BD2501" s="48"/>
    </row>
    <row r="2502" spans="1:56">
      <c r="A2502" s="48"/>
      <c r="B2502" s="48"/>
      <c r="C2502" s="49"/>
      <c r="D2502" s="48"/>
      <c r="E2502" s="48"/>
      <c r="F2502" s="48"/>
      <c r="G2502" s="48"/>
      <c r="H2502" s="48"/>
      <c r="I2502" s="48"/>
      <c r="J2502" s="86"/>
      <c r="K2502" s="86"/>
      <c r="L2502" s="86"/>
      <c r="M2502" s="86"/>
      <c r="N2502" s="86"/>
      <c r="O2502" s="86"/>
      <c r="P2502" s="86"/>
      <c r="Q2502" s="86"/>
      <c r="R2502" s="86"/>
      <c r="S2502" s="86"/>
      <c r="T2502" s="86"/>
      <c r="U2502" s="86"/>
      <c r="V2502" s="48"/>
      <c r="W2502" s="48"/>
      <c r="X2502" s="48"/>
      <c r="Y2502" s="48"/>
      <c r="Z2502" s="48"/>
      <c r="AA2502" s="48"/>
      <c r="AB2502" s="48"/>
      <c r="AC2502" s="48"/>
      <c r="AD2502" s="48"/>
      <c r="AE2502" s="48"/>
      <c r="AF2502" s="48"/>
      <c r="AG2502" s="48"/>
      <c r="AH2502" s="48"/>
      <c r="AI2502" s="48"/>
      <c r="AJ2502" s="48"/>
      <c r="AK2502" s="48"/>
      <c r="AL2502" s="48"/>
      <c r="AM2502" s="48"/>
      <c r="AN2502" s="48"/>
      <c r="AO2502" s="48"/>
      <c r="AP2502" s="48"/>
      <c r="AQ2502" s="48"/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48"/>
      <c r="BB2502" s="48"/>
      <c r="BC2502" s="48"/>
      <c r="BD2502" s="48"/>
    </row>
    <row r="2503" spans="1:56">
      <c r="A2503" s="48"/>
      <c r="B2503" s="48"/>
      <c r="C2503" s="49"/>
      <c r="D2503" s="48"/>
      <c r="E2503" s="48"/>
      <c r="F2503" s="48"/>
      <c r="G2503" s="48"/>
      <c r="H2503" s="48"/>
      <c r="I2503" s="48"/>
      <c r="J2503" s="86"/>
      <c r="K2503" s="86"/>
      <c r="L2503" s="86"/>
      <c r="M2503" s="86"/>
      <c r="N2503" s="86"/>
      <c r="O2503" s="86"/>
      <c r="P2503" s="86"/>
      <c r="Q2503" s="86"/>
      <c r="R2503" s="86"/>
      <c r="S2503" s="86"/>
      <c r="T2503" s="86"/>
      <c r="U2503" s="86"/>
      <c r="V2503" s="48"/>
      <c r="W2503" s="48"/>
      <c r="X2503" s="48"/>
      <c r="Y2503" s="48"/>
      <c r="Z2503" s="48"/>
      <c r="AA2503" s="48"/>
      <c r="AB2503" s="48"/>
      <c r="AC2503" s="48"/>
      <c r="AD2503" s="48"/>
      <c r="AE2503" s="48"/>
      <c r="AF2503" s="48"/>
      <c r="AG2503" s="48"/>
      <c r="AH2503" s="48"/>
      <c r="AI2503" s="48"/>
      <c r="AJ2503" s="48"/>
      <c r="AK2503" s="48"/>
      <c r="AL2503" s="48"/>
      <c r="AM2503" s="48"/>
      <c r="AN2503" s="48"/>
      <c r="AO2503" s="48"/>
      <c r="AP2503" s="48"/>
      <c r="AQ2503" s="48"/>
      <c r="AR2503" s="48"/>
      <c r="AS2503" s="48"/>
      <c r="AT2503" s="48"/>
      <c r="AU2503" s="48"/>
      <c r="AV2503" s="48"/>
      <c r="AW2503" s="48"/>
      <c r="AX2503" s="48"/>
      <c r="AY2503" s="48"/>
      <c r="AZ2503" s="48"/>
      <c r="BA2503" s="48"/>
      <c r="BB2503" s="48"/>
      <c r="BC2503" s="48"/>
      <c r="BD2503" s="48"/>
    </row>
    <row r="2504" spans="1:56">
      <c r="A2504" s="48"/>
      <c r="B2504" s="48"/>
      <c r="C2504" s="49"/>
      <c r="D2504" s="48"/>
      <c r="E2504" s="48"/>
      <c r="F2504" s="48"/>
      <c r="G2504" s="48"/>
      <c r="H2504" s="48"/>
      <c r="I2504" s="48"/>
      <c r="J2504" s="86"/>
      <c r="K2504" s="86"/>
      <c r="L2504" s="86"/>
      <c r="M2504" s="86"/>
      <c r="N2504" s="86"/>
      <c r="O2504" s="86"/>
      <c r="P2504" s="86"/>
      <c r="Q2504" s="86"/>
      <c r="R2504" s="86"/>
      <c r="S2504" s="86"/>
      <c r="T2504" s="86"/>
      <c r="U2504" s="86"/>
      <c r="V2504" s="48"/>
      <c r="W2504" s="48"/>
      <c r="X2504" s="48"/>
      <c r="Y2504" s="48"/>
      <c r="Z2504" s="48"/>
      <c r="AA2504" s="48"/>
      <c r="AB2504" s="48"/>
      <c r="AC2504" s="48"/>
      <c r="AD2504" s="48"/>
      <c r="AE2504" s="48"/>
      <c r="AF2504" s="48"/>
      <c r="AG2504" s="48"/>
      <c r="AH2504" s="48"/>
      <c r="AI2504" s="48"/>
      <c r="AJ2504" s="48"/>
      <c r="AK2504" s="48"/>
      <c r="AL2504" s="48"/>
      <c r="AM2504" s="48"/>
      <c r="AN2504" s="48"/>
      <c r="AO2504" s="48"/>
      <c r="AP2504" s="48"/>
      <c r="AQ2504" s="48"/>
      <c r="AR2504" s="48"/>
      <c r="AS2504" s="48"/>
      <c r="AT2504" s="48"/>
      <c r="AU2504" s="48"/>
      <c r="AV2504" s="48"/>
      <c r="AW2504" s="48"/>
      <c r="AX2504" s="48"/>
      <c r="AY2504" s="48"/>
      <c r="AZ2504" s="48"/>
      <c r="BA2504" s="48"/>
      <c r="BB2504" s="48"/>
      <c r="BC2504" s="48"/>
      <c r="BD2504" s="48"/>
    </row>
    <row r="2505" spans="1:56">
      <c r="A2505" s="48"/>
      <c r="B2505" s="48"/>
      <c r="C2505" s="49"/>
      <c r="D2505" s="48"/>
      <c r="E2505" s="48"/>
      <c r="F2505" s="48"/>
      <c r="G2505" s="48"/>
      <c r="H2505" s="48"/>
      <c r="I2505" s="48"/>
      <c r="J2505" s="86"/>
      <c r="K2505" s="86"/>
      <c r="L2505" s="86"/>
      <c r="M2505" s="86"/>
      <c r="N2505" s="86"/>
      <c r="O2505" s="86"/>
      <c r="P2505" s="86"/>
      <c r="Q2505" s="86"/>
      <c r="R2505" s="86"/>
      <c r="S2505" s="86"/>
      <c r="T2505" s="86"/>
      <c r="U2505" s="86"/>
      <c r="V2505" s="48"/>
      <c r="W2505" s="48"/>
      <c r="X2505" s="48"/>
      <c r="Y2505" s="48"/>
      <c r="Z2505" s="48"/>
      <c r="AA2505" s="48"/>
      <c r="AB2505" s="48"/>
      <c r="AC2505" s="48"/>
      <c r="AD2505" s="48"/>
      <c r="AE2505" s="48"/>
      <c r="AF2505" s="48"/>
      <c r="AG2505" s="48"/>
      <c r="AH2505" s="48"/>
      <c r="AI2505" s="48"/>
      <c r="AJ2505" s="48"/>
      <c r="AK2505" s="48"/>
      <c r="AL2505" s="48"/>
      <c r="AM2505" s="48"/>
      <c r="AN2505" s="48"/>
      <c r="AO2505" s="48"/>
      <c r="AP2505" s="48"/>
      <c r="AQ2505" s="48"/>
      <c r="AR2505" s="48"/>
      <c r="AS2505" s="48"/>
      <c r="AT2505" s="48"/>
      <c r="AU2505" s="48"/>
      <c r="AV2505" s="48"/>
      <c r="AW2505" s="48"/>
      <c r="AX2505" s="48"/>
      <c r="AY2505" s="48"/>
      <c r="AZ2505" s="48"/>
      <c r="BA2505" s="48"/>
      <c r="BB2505" s="48"/>
      <c r="BC2505" s="48"/>
      <c r="BD2505" s="48"/>
    </row>
    <row r="2506" spans="1:56">
      <c r="A2506" s="48"/>
      <c r="B2506" s="48"/>
      <c r="C2506" s="49"/>
      <c r="D2506" s="48"/>
      <c r="E2506" s="48"/>
      <c r="F2506" s="48"/>
      <c r="G2506" s="48"/>
      <c r="H2506" s="48"/>
      <c r="I2506" s="48"/>
      <c r="J2506" s="86"/>
      <c r="K2506" s="86"/>
      <c r="L2506" s="86"/>
      <c r="M2506" s="86"/>
      <c r="N2506" s="86"/>
      <c r="O2506" s="86"/>
      <c r="P2506" s="86"/>
      <c r="Q2506" s="86"/>
      <c r="R2506" s="86"/>
      <c r="S2506" s="86"/>
      <c r="T2506" s="86"/>
      <c r="U2506" s="86"/>
      <c r="V2506" s="48"/>
      <c r="W2506" s="48"/>
      <c r="X2506" s="48"/>
      <c r="Y2506" s="48"/>
      <c r="Z2506" s="48"/>
      <c r="AA2506" s="48"/>
      <c r="AB2506" s="48"/>
      <c r="AC2506" s="48"/>
      <c r="AD2506" s="48"/>
      <c r="AE2506" s="48"/>
      <c r="AF2506" s="48"/>
      <c r="AG2506" s="48"/>
      <c r="AH2506" s="48"/>
      <c r="AI2506" s="48"/>
      <c r="AJ2506" s="48"/>
      <c r="AK2506" s="48"/>
      <c r="AL2506" s="48"/>
      <c r="AM2506" s="48"/>
      <c r="AN2506" s="48"/>
      <c r="AO2506" s="48"/>
      <c r="AP2506" s="48"/>
      <c r="AQ2506" s="48"/>
      <c r="AR2506" s="48"/>
      <c r="AS2506" s="48"/>
      <c r="AT2506" s="48"/>
      <c r="AU2506" s="48"/>
      <c r="AV2506" s="48"/>
      <c r="AW2506" s="48"/>
      <c r="AX2506" s="48"/>
      <c r="AY2506" s="48"/>
      <c r="AZ2506" s="48"/>
      <c r="BA2506" s="48"/>
      <c r="BB2506" s="48"/>
      <c r="BC2506" s="48"/>
      <c r="BD2506" s="48"/>
    </row>
    <row r="2507" spans="1:56">
      <c r="A2507" s="48"/>
      <c r="B2507" s="48"/>
      <c r="C2507" s="49"/>
      <c r="D2507" s="48"/>
      <c r="E2507" s="48"/>
      <c r="F2507" s="48"/>
      <c r="G2507" s="48"/>
      <c r="H2507" s="48"/>
      <c r="I2507" s="48"/>
      <c r="J2507" s="86"/>
      <c r="K2507" s="86"/>
      <c r="L2507" s="86"/>
      <c r="M2507" s="86"/>
      <c r="N2507" s="86"/>
      <c r="O2507" s="86"/>
      <c r="P2507" s="86"/>
      <c r="Q2507" s="86"/>
      <c r="R2507" s="86"/>
      <c r="S2507" s="86"/>
      <c r="T2507" s="86"/>
      <c r="U2507" s="86"/>
      <c r="V2507" s="48"/>
      <c r="W2507" s="48"/>
      <c r="X2507" s="48"/>
      <c r="Y2507" s="48"/>
      <c r="Z2507" s="48"/>
      <c r="AA2507" s="48"/>
      <c r="AB2507" s="48"/>
      <c r="AC2507" s="48"/>
      <c r="AD2507" s="48"/>
      <c r="AE2507" s="48"/>
      <c r="AF2507" s="48"/>
      <c r="AG2507" s="48"/>
      <c r="AH2507" s="48"/>
      <c r="AI2507" s="48"/>
      <c r="AJ2507" s="48"/>
      <c r="AK2507" s="48"/>
      <c r="AL2507" s="48"/>
      <c r="AM2507" s="48"/>
      <c r="AN2507" s="48"/>
      <c r="AO2507" s="48"/>
      <c r="AP2507" s="48"/>
      <c r="AQ2507" s="48"/>
      <c r="AR2507" s="48"/>
      <c r="AS2507" s="48"/>
      <c r="AT2507" s="48"/>
      <c r="AU2507" s="48"/>
      <c r="AV2507" s="48"/>
      <c r="AW2507" s="48"/>
      <c r="AX2507" s="48"/>
      <c r="AY2507" s="48"/>
      <c r="AZ2507" s="48"/>
      <c r="BA2507" s="48"/>
      <c r="BB2507" s="48"/>
      <c r="BC2507" s="48"/>
      <c r="BD2507" s="48"/>
    </row>
    <row r="2508" spans="1:56">
      <c r="A2508" s="48"/>
      <c r="B2508" s="48"/>
      <c r="C2508" s="49"/>
      <c r="D2508" s="48"/>
      <c r="E2508" s="48"/>
      <c r="F2508" s="48"/>
      <c r="G2508" s="48"/>
      <c r="H2508" s="48"/>
      <c r="I2508" s="48"/>
      <c r="J2508" s="86"/>
      <c r="K2508" s="86"/>
      <c r="L2508" s="86"/>
      <c r="M2508" s="86"/>
      <c r="N2508" s="86"/>
      <c r="O2508" s="86"/>
      <c r="P2508" s="86"/>
      <c r="Q2508" s="86"/>
      <c r="R2508" s="86"/>
      <c r="S2508" s="86"/>
      <c r="T2508" s="86"/>
      <c r="U2508" s="86"/>
      <c r="V2508" s="48"/>
      <c r="W2508" s="48"/>
      <c r="X2508" s="48"/>
      <c r="Y2508" s="48"/>
      <c r="Z2508" s="48"/>
      <c r="AA2508" s="48"/>
      <c r="AB2508" s="48"/>
      <c r="AC2508" s="48"/>
      <c r="AD2508" s="48"/>
      <c r="AE2508" s="48"/>
      <c r="AF2508" s="48"/>
      <c r="AG2508" s="48"/>
      <c r="AH2508" s="48"/>
      <c r="AI2508" s="48"/>
      <c r="AJ2508" s="48"/>
      <c r="AK2508" s="48"/>
      <c r="AL2508" s="48"/>
      <c r="AM2508" s="48"/>
      <c r="AN2508" s="48"/>
      <c r="AO2508" s="48"/>
      <c r="AP2508" s="48"/>
      <c r="AQ2508" s="48"/>
      <c r="AR2508" s="48"/>
      <c r="AS2508" s="48"/>
      <c r="AT2508" s="48"/>
      <c r="AU2508" s="48"/>
      <c r="AV2508" s="48"/>
      <c r="AW2508" s="48"/>
      <c r="AX2508" s="48"/>
      <c r="AY2508" s="48"/>
      <c r="AZ2508" s="48"/>
      <c r="BA2508" s="48"/>
      <c r="BB2508" s="48"/>
      <c r="BC2508" s="48"/>
      <c r="BD2508" s="48"/>
    </row>
    <row r="2509" spans="1:56">
      <c r="A2509" s="48"/>
      <c r="B2509" s="48"/>
      <c r="C2509" s="49"/>
      <c r="D2509" s="48"/>
      <c r="E2509" s="48"/>
      <c r="F2509" s="48"/>
      <c r="G2509" s="48"/>
      <c r="H2509" s="48"/>
      <c r="I2509" s="48"/>
      <c r="J2509" s="86"/>
      <c r="K2509" s="86"/>
      <c r="L2509" s="86"/>
      <c r="M2509" s="86"/>
      <c r="N2509" s="86"/>
      <c r="O2509" s="86"/>
      <c r="P2509" s="86"/>
      <c r="Q2509" s="86"/>
      <c r="R2509" s="86"/>
      <c r="S2509" s="86"/>
      <c r="T2509" s="86"/>
      <c r="U2509" s="86"/>
      <c r="V2509" s="48"/>
      <c r="W2509" s="48"/>
      <c r="X2509" s="48"/>
      <c r="Y2509" s="48"/>
      <c r="Z2509" s="48"/>
      <c r="AA2509" s="48"/>
      <c r="AB2509" s="48"/>
      <c r="AC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  <c r="AT2509" s="48"/>
      <c r="AU2509" s="48"/>
      <c r="AV2509" s="48"/>
      <c r="AW2509" s="48"/>
      <c r="AX2509" s="48"/>
      <c r="AY2509" s="48"/>
      <c r="AZ2509" s="48"/>
      <c r="BA2509" s="48"/>
      <c r="BB2509" s="48"/>
      <c r="BC2509" s="48"/>
      <c r="BD2509" s="48"/>
    </row>
    <row r="2510" spans="1:56">
      <c r="A2510" s="48"/>
      <c r="B2510" s="48"/>
      <c r="C2510" s="49"/>
      <c r="D2510" s="48"/>
      <c r="E2510" s="48"/>
      <c r="F2510" s="48"/>
      <c r="G2510" s="48"/>
      <c r="H2510" s="48"/>
      <c r="I2510" s="48"/>
      <c r="J2510" s="86"/>
      <c r="K2510" s="86"/>
      <c r="L2510" s="86"/>
      <c r="M2510" s="86"/>
      <c r="N2510" s="86"/>
      <c r="O2510" s="86"/>
      <c r="P2510" s="86"/>
      <c r="Q2510" s="86"/>
      <c r="R2510" s="86"/>
      <c r="S2510" s="86"/>
      <c r="T2510" s="86"/>
      <c r="U2510" s="86"/>
      <c r="V2510" s="48"/>
      <c r="W2510" s="48"/>
      <c r="X2510" s="48"/>
      <c r="Y2510" s="48"/>
      <c r="Z2510" s="48"/>
      <c r="AA2510" s="48"/>
      <c r="AB2510" s="48"/>
      <c r="AC2510" s="48"/>
      <c r="AD2510" s="48"/>
      <c r="AE2510" s="48"/>
      <c r="AF2510" s="48"/>
      <c r="AG2510" s="48"/>
      <c r="AH2510" s="48"/>
      <c r="AI2510" s="48"/>
      <c r="AJ2510" s="48"/>
      <c r="AK2510" s="48"/>
      <c r="AL2510" s="48"/>
      <c r="AM2510" s="48"/>
      <c r="AN2510" s="48"/>
      <c r="AO2510" s="48"/>
      <c r="AP2510" s="48"/>
      <c r="AQ2510" s="48"/>
      <c r="AR2510" s="48"/>
      <c r="AS2510" s="48"/>
      <c r="AT2510" s="48"/>
      <c r="AU2510" s="48"/>
      <c r="AV2510" s="48"/>
      <c r="AW2510" s="48"/>
      <c r="AX2510" s="48"/>
      <c r="AY2510" s="48"/>
      <c r="AZ2510" s="48"/>
      <c r="BA2510" s="48"/>
      <c r="BB2510" s="48"/>
      <c r="BC2510" s="48"/>
      <c r="BD2510" s="48"/>
    </row>
    <row r="2511" spans="1:56">
      <c r="A2511" s="48"/>
      <c r="B2511" s="48"/>
      <c r="C2511" s="49"/>
      <c r="D2511" s="48"/>
      <c r="E2511" s="48"/>
      <c r="F2511" s="48"/>
      <c r="G2511" s="48"/>
      <c r="H2511" s="48"/>
      <c r="I2511" s="48"/>
      <c r="J2511" s="86"/>
      <c r="K2511" s="86"/>
      <c r="L2511" s="86"/>
      <c r="M2511" s="86"/>
      <c r="N2511" s="86"/>
      <c r="O2511" s="86"/>
      <c r="P2511" s="86"/>
      <c r="Q2511" s="86"/>
      <c r="R2511" s="86"/>
      <c r="S2511" s="86"/>
      <c r="T2511" s="86"/>
      <c r="U2511" s="86"/>
      <c r="V2511" s="48"/>
      <c r="W2511" s="48"/>
      <c r="X2511" s="48"/>
      <c r="Y2511" s="48"/>
      <c r="Z2511" s="48"/>
      <c r="AA2511" s="48"/>
      <c r="AB2511" s="48"/>
      <c r="AC2511" s="48"/>
      <c r="AD2511" s="48"/>
      <c r="AE2511" s="48"/>
      <c r="AF2511" s="48"/>
      <c r="AG2511" s="48"/>
      <c r="AH2511" s="48"/>
      <c r="AI2511" s="48"/>
      <c r="AJ2511" s="48"/>
      <c r="AK2511" s="48"/>
      <c r="AL2511" s="48"/>
      <c r="AM2511" s="48"/>
      <c r="AN2511" s="48"/>
      <c r="AO2511" s="48"/>
      <c r="AP2511" s="48"/>
      <c r="AQ2511" s="48"/>
      <c r="AR2511" s="48"/>
      <c r="AS2511" s="48"/>
      <c r="AT2511" s="48"/>
      <c r="AU2511" s="48"/>
      <c r="AV2511" s="48"/>
      <c r="AW2511" s="48"/>
      <c r="AX2511" s="48"/>
      <c r="AY2511" s="48"/>
      <c r="AZ2511" s="48"/>
      <c r="BA2511" s="48"/>
      <c r="BB2511" s="48"/>
      <c r="BC2511" s="48"/>
      <c r="BD2511" s="48"/>
    </row>
    <row r="2512" spans="1:56">
      <c r="A2512" s="48"/>
      <c r="B2512" s="48"/>
      <c r="C2512" s="49"/>
      <c r="D2512" s="48"/>
      <c r="E2512" s="48"/>
      <c r="F2512" s="48"/>
      <c r="G2512" s="48"/>
      <c r="H2512" s="48"/>
      <c r="I2512" s="48"/>
      <c r="J2512" s="86"/>
      <c r="K2512" s="86"/>
      <c r="L2512" s="86"/>
      <c r="M2512" s="86"/>
      <c r="N2512" s="86"/>
      <c r="O2512" s="86"/>
      <c r="P2512" s="86"/>
      <c r="Q2512" s="86"/>
      <c r="R2512" s="86"/>
      <c r="S2512" s="86"/>
      <c r="T2512" s="86"/>
      <c r="U2512" s="86"/>
      <c r="V2512" s="48"/>
      <c r="W2512" s="48"/>
      <c r="X2512" s="48"/>
      <c r="Y2512" s="48"/>
      <c r="Z2512" s="48"/>
      <c r="AA2512" s="48"/>
      <c r="AB2512" s="48"/>
      <c r="AC2512" s="48"/>
      <c r="AD2512" s="48"/>
      <c r="AE2512" s="48"/>
      <c r="AF2512" s="48"/>
      <c r="AG2512" s="48"/>
      <c r="AH2512" s="48"/>
      <c r="AI2512" s="48"/>
      <c r="AJ2512" s="48"/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48"/>
      <c r="BB2512" s="48"/>
      <c r="BC2512" s="48"/>
      <c r="BD2512" s="48"/>
    </row>
    <row r="2513" spans="1:56">
      <c r="A2513" s="48"/>
      <c r="B2513" s="48"/>
      <c r="C2513" s="49"/>
      <c r="D2513" s="48"/>
      <c r="E2513" s="48"/>
      <c r="F2513" s="48"/>
      <c r="G2513" s="48"/>
      <c r="H2513" s="48"/>
      <c r="I2513" s="48"/>
      <c r="J2513" s="86"/>
      <c r="K2513" s="86"/>
      <c r="L2513" s="86"/>
      <c r="M2513" s="86"/>
      <c r="N2513" s="86"/>
      <c r="O2513" s="86"/>
      <c r="P2513" s="86"/>
      <c r="Q2513" s="86"/>
      <c r="R2513" s="86"/>
      <c r="S2513" s="86"/>
      <c r="T2513" s="86"/>
      <c r="U2513" s="86"/>
      <c r="V2513" s="48"/>
      <c r="W2513" s="48"/>
      <c r="X2513" s="48"/>
      <c r="Y2513" s="48"/>
      <c r="Z2513" s="48"/>
      <c r="AA2513" s="48"/>
      <c r="AB2513" s="48"/>
      <c r="AC2513" s="48"/>
      <c r="AD2513" s="48"/>
      <c r="AE2513" s="48"/>
      <c r="AF2513" s="48"/>
      <c r="AG2513" s="48"/>
      <c r="AH2513" s="48"/>
      <c r="AI2513" s="48"/>
      <c r="AJ2513" s="48"/>
      <c r="AK2513" s="48"/>
      <c r="AL2513" s="48"/>
      <c r="AM2513" s="48"/>
      <c r="AN2513" s="48"/>
      <c r="AO2513" s="48"/>
      <c r="AP2513" s="48"/>
      <c r="AQ2513" s="48"/>
      <c r="AR2513" s="48"/>
      <c r="AS2513" s="48"/>
      <c r="AT2513" s="48"/>
      <c r="AU2513" s="48"/>
      <c r="AV2513" s="48"/>
      <c r="AW2513" s="48"/>
      <c r="AX2513" s="48"/>
      <c r="AY2513" s="48"/>
      <c r="AZ2513" s="48"/>
      <c r="BA2513" s="48"/>
      <c r="BB2513" s="48"/>
      <c r="BC2513" s="48"/>
      <c r="BD2513" s="48"/>
    </row>
    <row r="2514" spans="1:56">
      <c r="A2514" s="48"/>
      <c r="B2514" s="48"/>
      <c r="C2514" s="49"/>
      <c r="D2514" s="48"/>
      <c r="E2514" s="48"/>
      <c r="F2514" s="48"/>
      <c r="G2514" s="48"/>
      <c r="H2514" s="48"/>
      <c r="I2514" s="48"/>
      <c r="J2514" s="86"/>
      <c r="K2514" s="86"/>
      <c r="L2514" s="86"/>
      <c r="M2514" s="86"/>
      <c r="N2514" s="86"/>
      <c r="O2514" s="86"/>
      <c r="P2514" s="86"/>
      <c r="Q2514" s="86"/>
      <c r="R2514" s="86"/>
      <c r="S2514" s="86"/>
      <c r="T2514" s="86"/>
      <c r="U2514" s="86"/>
      <c r="V2514" s="48"/>
      <c r="W2514" s="48"/>
      <c r="X2514" s="48"/>
      <c r="Y2514" s="48"/>
      <c r="Z2514" s="48"/>
      <c r="AA2514" s="48"/>
      <c r="AB2514" s="48"/>
      <c r="AC2514" s="48"/>
      <c r="AD2514" s="48"/>
      <c r="AE2514" s="48"/>
      <c r="AF2514" s="48"/>
      <c r="AG2514" s="48"/>
      <c r="AH2514" s="48"/>
      <c r="AI2514" s="48"/>
      <c r="AJ2514" s="48"/>
      <c r="AK2514" s="48"/>
      <c r="AL2514" s="48"/>
      <c r="AM2514" s="48"/>
      <c r="AN2514" s="48"/>
      <c r="AO2514" s="48"/>
      <c r="AP2514" s="48"/>
      <c r="AQ2514" s="48"/>
      <c r="AR2514" s="48"/>
      <c r="AS2514" s="48"/>
      <c r="AT2514" s="48"/>
      <c r="AU2514" s="48"/>
      <c r="AV2514" s="48"/>
      <c r="AW2514" s="48"/>
      <c r="AX2514" s="48"/>
      <c r="AY2514" s="48"/>
      <c r="AZ2514" s="48"/>
      <c r="BA2514" s="48"/>
      <c r="BB2514" s="48"/>
      <c r="BC2514" s="48"/>
      <c r="BD2514" s="48"/>
    </row>
    <row r="2515" spans="1:56">
      <c r="A2515" s="48"/>
      <c r="B2515" s="48"/>
      <c r="C2515" s="49"/>
      <c r="D2515" s="48"/>
      <c r="E2515" s="48"/>
      <c r="F2515" s="48"/>
      <c r="G2515" s="48"/>
      <c r="H2515" s="48"/>
      <c r="I2515" s="48"/>
      <c r="J2515" s="86"/>
      <c r="K2515" s="86"/>
      <c r="L2515" s="86"/>
      <c r="M2515" s="86"/>
      <c r="N2515" s="86"/>
      <c r="O2515" s="86"/>
      <c r="P2515" s="86"/>
      <c r="Q2515" s="86"/>
      <c r="R2515" s="86"/>
      <c r="S2515" s="86"/>
      <c r="T2515" s="86"/>
      <c r="U2515" s="86"/>
      <c r="V2515" s="48"/>
      <c r="W2515" s="48"/>
      <c r="X2515" s="48"/>
      <c r="Y2515" s="48"/>
      <c r="Z2515" s="48"/>
      <c r="AA2515" s="48"/>
      <c r="AB2515" s="48"/>
      <c r="AC2515" s="48"/>
      <c r="AD2515" s="48"/>
      <c r="AE2515" s="48"/>
      <c r="AF2515" s="48"/>
      <c r="AG2515" s="48"/>
      <c r="AH2515" s="48"/>
      <c r="AI2515" s="48"/>
      <c r="AJ2515" s="48"/>
      <c r="AK2515" s="48"/>
      <c r="AL2515" s="48"/>
      <c r="AM2515" s="48"/>
      <c r="AN2515" s="48"/>
      <c r="AO2515" s="48"/>
      <c r="AP2515" s="48"/>
      <c r="AQ2515" s="48"/>
      <c r="AR2515" s="48"/>
      <c r="AS2515" s="48"/>
      <c r="AT2515" s="48"/>
      <c r="AU2515" s="48"/>
      <c r="AV2515" s="48"/>
      <c r="AW2515" s="48"/>
      <c r="AX2515" s="48"/>
      <c r="AY2515" s="48"/>
      <c r="AZ2515" s="48"/>
      <c r="BA2515" s="48"/>
      <c r="BB2515" s="48"/>
      <c r="BC2515" s="48"/>
      <c r="BD2515" s="48"/>
    </row>
    <row r="2516" spans="1:56">
      <c r="A2516" s="48"/>
      <c r="B2516" s="48"/>
      <c r="C2516" s="49"/>
      <c r="D2516" s="48"/>
      <c r="E2516" s="48"/>
      <c r="F2516" s="48"/>
      <c r="G2516" s="48"/>
      <c r="H2516" s="48"/>
      <c r="I2516" s="48"/>
      <c r="J2516" s="86"/>
      <c r="K2516" s="86"/>
      <c r="L2516" s="86"/>
      <c r="M2516" s="86"/>
      <c r="N2516" s="86"/>
      <c r="O2516" s="86"/>
      <c r="P2516" s="86"/>
      <c r="Q2516" s="86"/>
      <c r="R2516" s="86"/>
      <c r="S2516" s="86"/>
      <c r="T2516" s="86"/>
      <c r="U2516" s="86"/>
      <c r="V2516" s="48"/>
      <c r="W2516" s="48"/>
      <c r="X2516" s="48"/>
      <c r="Y2516" s="48"/>
      <c r="Z2516" s="48"/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  <c r="AO2516" s="48"/>
      <c r="AP2516" s="48"/>
      <c r="AQ2516" s="48"/>
      <c r="AR2516" s="48"/>
      <c r="AS2516" s="48"/>
      <c r="AT2516" s="48"/>
      <c r="AU2516" s="48"/>
      <c r="AV2516" s="48"/>
      <c r="AW2516" s="48"/>
      <c r="AX2516" s="48"/>
      <c r="AY2516" s="48"/>
      <c r="AZ2516" s="48"/>
      <c r="BA2516" s="48"/>
      <c r="BB2516" s="48"/>
      <c r="BC2516" s="48"/>
      <c r="BD2516" s="48"/>
    </row>
    <row r="2517" spans="1:56">
      <c r="A2517" s="48"/>
      <c r="B2517" s="48"/>
      <c r="C2517" s="49"/>
      <c r="D2517" s="48"/>
      <c r="E2517" s="48"/>
      <c r="F2517" s="48"/>
      <c r="G2517" s="48"/>
      <c r="H2517" s="48"/>
      <c r="I2517" s="48"/>
      <c r="J2517" s="86"/>
      <c r="K2517" s="86"/>
      <c r="L2517" s="86"/>
      <c r="M2517" s="86"/>
      <c r="N2517" s="86"/>
      <c r="O2517" s="86"/>
      <c r="P2517" s="86"/>
      <c r="Q2517" s="86"/>
      <c r="R2517" s="86"/>
      <c r="S2517" s="86"/>
      <c r="T2517" s="86"/>
      <c r="U2517" s="86"/>
      <c r="V2517" s="48"/>
      <c r="W2517" s="48"/>
      <c r="X2517" s="48"/>
      <c r="Y2517" s="48"/>
      <c r="Z2517" s="48"/>
      <c r="AA2517" s="48"/>
      <c r="AB2517" s="48"/>
      <c r="AC2517" s="48"/>
      <c r="AD2517" s="48"/>
      <c r="AE2517" s="48"/>
      <c r="AF2517" s="48"/>
      <c r="AG2517" s="48"/>
      <c r="AH2517" s="48"/>
      <c r="AI2517" s="48"/>
      <c r="AJ2517" s="48"/>
      <c r="AK2517" s="48"/>
      <c r="AL2517" s="48"/>
      <c r="AM2517" s="48"/>
      <c r="AN2517" s="48"/>
      <c r="AO2517" s="48"/>
      <c r="AP2517" s="48"/>
      <c r="AQ2517" s="48"/>
      <c r="AR2517" s="48"/>
      <c r="AS2517" s="48"/>
      <c r="AT2517" s="48"/>
      <c r="AU2517" s="48"/>
      <c r="AV2517" s="48"/>
      <c r="AW2517" s="48"/>
      <c r="AX2517" s="48"/>
      <c r="AY2517" s="48"/>
      <c r="AZ2517" s="48"/>
      <c r="BA2517" s="48"/>
      <c r="BB2517" s="48"/>
      <c r="BC2517" s="48"/>
      <c r="BD2517" s="48"/>
    </row>
    <row r="2518" spans="1:56">
      <c r="A2518" s="48"/>
      <c r="B2518" s="48"/>
      <c r="C2518" s="49"/>
      <c r="D2518" s="48"/>
      <c r="E2518" s="48"/>
      <c r="F2518" s="48"/>
      <c r="G2518" s="48"/>
      <c r="H2518" s="48"/>
      <c r="I2518" s="48"/>
      <c r="J2518" s="86"/>
      <c r="K2518" s="86"/>
      <c r="L2518" s="86"/>
      <c r="M2518" s="86"/>
      <c r="N2518" s="86"/>
      <c r="O2518" s="86"/>
      <c r="P2518" s="86"/>
      <c r="Q2518" s="86"/>
      <c r="R2518" s="86"/>
      <c r="S2518" s="86"/>
      <c r="T2518" s="86"/>
      <c r="U2518" s="86"/>
      <c r="V2518" s="48"/>
      <c r="W2518" s="48"/>
      <c r="X2518" s="48"/>
      <c r="Y2518" s="48"/>
      <c r="Z2518" s="48"/>
      <c r="AA2518" s="48"/>
      <c r="AB2518" s="48"/>
      <c r="AC2518" s="48"/>
      <c r="AD2518" s="48"/>
      <c r="AE2518" s="48"/>
      <c r="AF2518" s="48"/>
      <c r="AG2518" s="48"/>
      <c r="AH2518" s="48"/>
      <c r="AI2518" s="48"/>
      <c r="AJ2518" s="48"/>
      <c r="AK2518" s="48"/>
      <c r="AL2518" s="48"/>
      <c r="AM2518" s="48"/>
      <c r="AN2518" s="48"/>
      <c r="AO2518" s="48"/>
      <c r="AP2518" s="48"/>
      <c r="AQ2518" s="48"/>
      <c r="AR2518" s="48"/>
      <c r="AS2518" s="48"/>
      <c r="AT2518" s="48"/>
      <c r="AU2518" s="48"/>
      <c r="AV2518" s="48"/>
      <c r="AW2518" s="48"/>
      <c r="AX2518" s="48"/>
      <c r="AY2518" s="48"/>
      <c r="AZ2518" s="48"/>
      <c r="BA2518" s="48"/>
      <c r="BB2518" s="48"/>
      <c r="BC2518" s="48"/>
      <c r="BD2518" s="48"/>
    </row>
    <row r="2519" spans="1:56">
      <c r="A2519" s="48"/>
      <c r="B2519" s="48"/>
      <c r="C2519" s="49"/>
      <c r="D2519" s="48"/>
      <c r="E2519" s="48"/>
      <c r="F2519" s="48"/>
      <c r="G2519" s="48"/>
      <c r="H2519" s="48"/>
      <c r="I2519" s="48"/>
      <c r="J2519" s="86"/>
      <c r="K2519" s="86"/>
      <c r="L2519" s="86"/>
      <c r="M2519" s="86"/>
      <c r="N2519" s="86"/>
      <c r="O2519" s="86"/>
      <c r="P2519" s="86"/>
      <c r="Q2519" s="86"/>
      <c r="R2519" s="86"/>
      <c r="S2519" s="86"/>
      <c r="T2519" s="86"/>
      <c r="U2519" s="86"/>
      <c r="V2519" s="48"/>
      <c r="W2519" s="48"/>
      <c r="X2519" s="48"/>
      <c r="Y2519" s="48"/>
      <c r="Z2519" s="48"/>
      <c r="AA2519" s="48"/>
      <c r="AB2519" s="48"/>
      <c r="AC2519" s="48"/>
      <c r="AD2519" s="48"/>
      <c r="AE2519" s="48"/>
      <c r="AF2519" s="48"/>
      <c r="AG2519" s="48"/>
      <c r="AH2519" s="48"/>
      <c r="AI2519" s="48"/>
      <c r="AJ2519" s="48"/>
      <c r="AK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48"/>
      <c r="BB2519" s="48"/>
      <c r="BC2519" s="48"/>
      <c r="BD2519" s="48"/>
    </row>
    <row r="2520" spans="1:56">
      <c r="A2520" s="48"/>
      <c r="B2520" s="48"/>
      <c r="C2520" s="49"/>
      <c r="D2520" s="48"/>
      <c r="E2520" s="48"/>
      <c r="F2520" s="48"/>
      <c r="G2520" s="48"/>
      <c r="H2520" s="48"/>
      <c r="I2520" s="48"/>
      <c r="J2520" s="86"/>
      <c r="K2520" s="86"/>
      <c r="L2520" s="86"/>
      <c r="M2520" s="86"/>
      <c r="N2520" s="86"/>
      <c r="O2520" s="86"/>
      <c r="P2520" s="86"/>
      <c r="Q2520" s="86"/>
      <c r="R2520" s="86"/>
      <c r="S2520" s="86"/>
      <c r="T2520" s="86"/>
      <c r="U2520" s="86"/>
      <c r="V2520" s="48"/>
      <c r="W2520" s="48"/>
      <c r="X2520" s="48"/>
      <c r="Y2520" s="48"/>
      <c r="Z2520" s="48"/>
      <c r="AA2520" s="48"/>
      <c r="AB2520" s="48"/>
      <c r="AC2520" s="48"/>
      <c r="AD2520" s="48"/>
      <c r="AE2520" s="48"/>
      <c r="AF2520" s="48"/>
      <c r="AG2520" s="48"/>
      <c r="AH2520" s="48"/>
      <c r="AI2520" s="48"/>
      <c r="AJ2520" s="48"/>
      <c r="AK2520" s="48"/>
      <c r="AL2520" s="48"/>
      <c r="AM2520" s="48"/>
      <c r="AN2520" s="48"/>
      <c r="AO2520" s="48"/>
      <c r="AP2520" s="48"/>
      <c r="AQ2520" s="48"/>
      <c r="AR2520" s="48"/>
      <c r="AS2520" s="48"/>
      <c r="AT2520" s="48"/>
      <c r="AU2520" s="48"/>
      <c r="AV2520" s="48"/>
      <c r="AW2520" s="48"/>
      <c r="AX2520" s="48"/>
      <c r="AY2520" s="48"/>
      <c r="AZ2520" s="48"/>
      <c r="BA2520" s="48"/>
      <c r="BB2520" s="48"/>
      <c r="BC2520" s="48"/>
      <c r="BD2520" s="48"/>
    </row>
    <row r="2521" spans="1:56">
      <c r="A2521" s="48"/>
      <c r="B2521" s="48"/>
      <c r="C2521" s="49"/>
      <c r="D2521" s="48"/>
      <c r="E2521" s="48"/>
      <c r="F2521" s="48"/>
      <c r="G2521" s="48"/>
      <c r="H2521" s="48"/>
      <c r="I2521" s="48"/>
      <c r="J2521" s="86"/>
      <c r="K2521" s="86"/>
      <c r="L2521" s="86"/>
      <c r="M2521" s="86"/>
      <c r="N2521" s="86"/>
      <c r="O2521" s="86"/>
      <c r="P2521" s="86"/>
      <c r="Q2521" s="86"/>
      <c r="R2521" s="86"/>
      <c r="S2521" s="86"/>
      <c r="T2521" s="86"/>
      <c r="U2521" s="86"/>
      <c r="V2521" s="48"/>
      <c r="W2521" s="48"/>
      <c r="X2521" s="48"/>
      <c r="Y2521" s="48"/>
      <c r="Z2521" s="48"/>
      <c r="AA2521" s="48"/>
      <c r="AB2521" s="48"/>
      <c r="AC2521" s="48"/>
      <c r="AD2521" s="48"/>
      <c r="AE2521" s="48"/>
      <c r="AF2521" s="48"/>
      <c r="AG2521" s="48"/>
      <c r="AH2521" s="48"/>
      <c r="AI2521" s="48"/>
      <c r="AJ2521" s="48"/>
      <c r="AK2521" s="48"/>
      <c r="AL2521" s="48"/>
      <c r="AM2521" s="48"/>
      <c r="AN2521" s="48"/>
      <c r="AO2521" s="48"/>
      <c r="AP2521" s="48"/>
      <c r="AQ2521" s="48"/>
      <c r="AR2521" s="48"/>
      <c r="AS2521" s="48"/>
      <c r="AT2521" s="48"/>
      <c r="AU2521" s="48"/>
      <c r="AV2521" s="48"/>
      <c r="AW2521" s="48"/>
      <c r="AX2521" s="48"/>
      <c r="AY2521" s="48"/>
      <c r="AZ2521" s="48"/>
      <c r="BA2521" s="48"/>
      <c r="BB2521" s="48"/>
      <c r="BC2521" s="48"/>
      <c r="BD2521" s="48"/>
    </row>
    <row r="2522" spans="1:56">
      <c r="A2522" s="48"/>
      <c r="B2522" s="48"/>
      <c r="C2522" s="49"/>
      <c r="D2522" s="48"/>
      <c r="E2522" s="48"/>
      <c r="F2522" s="48"/>
      <c r="G2522" s="48"/>
      <c r="H2522" s="48"/>
      <c r="I2522" s="48"/>
      <c r="J2522" s="86"/>
      <c r="K2522" s="86"/>
      <c r="L2522" s="86"/>
      <c r="M2522" s="86"/>
      <c r="N2522" s="86"/>
      <c r="O2522" s="86"/>
      <c r="P2522" s="86"/>
      <c r="Q2522" s="86"/>
      <c r="R2522" s="86"/>
      <c r="S2522" s="86"/>
      <c r="T2522" s="86"/>
      <c r="U2522" s="86"/>
      <c r="V2522" s="48"/>
      <c r="W2522" s="48"/>
      <c r="X2522" s="48"/>
      <c r="Y2522" s="48"/>
      <c r="Z2522" s="48"/>
      <c r="AA2522" s="48"/>
      <c r="AB2522" s="48"/>
      <c r="AC2522" s="48"/>
      <c r="AD2522" s="48"/>
      <c r="AE2522" s="48"/>
      <c r="AF2522" s="48"/>
      <c r="AG2522" s="48"/>
      <c r="AH2522" s="48"/>
      <c r="AI2522" s="48"/>
      <c r="AJ2522" s="48"/>
      <c r="AK2522" s="48"/>
      <c r="AL2522" s="48"/>
      <c r="AM2522" s="48"/>
      <c r="AN2522" s="48"/>
      <c r="AO2522" s="48"/>
      <c r="AP2522" s="48"/>
      <c r="AQ2522" s="48"/>
      <c r="AR2522" s="48"/>
      <c r="AS2522" s="48"/>
      <c r="AT2522" s="48"/>
      <c r="AU2522" s="48"/>
      <c r="AV2522" s="48"/>
      <c r="AW2522" s="48"/>
      <c r="AX2522" s="48"/>
      <c r="AY2522" s="48"/>
      <c r="AZ2522" s="48"/>
      <c r="BA2522" s="48"/>
      <c r="BB2522" s="48"/>
      <c r="BC2522" s="48"/>
      <c r="BD2522" s="48"/>
    </row>
    <row r="2523" spans="1:56">
      <c r="A2523" s="48"/>
      <c r="B2523" s="48"/>
      <c r="C2523" s="49"/>
      <c r="D2523" s="48"/>
      <c r="E2523" s="48"/>
      <c r="F2523" s="48"/>
      <c r="G2523" s="48"/>
      <c r="H2523" s="48"/>
      <c r="I2523" s="48"/>
      <c r="J2523" s="86"/>
      <c r="K2523" s="86"/>
      <c r="L2523" s="86"/>
      <c r="M2523" s="86"/>
      <c r="N2523" s="86"/>
      <c r="O2523" s="86"/>
      <c r="P2523" s="86"/>
      <c r="Q2523" s="86"/>
      <c r="R2523" s="86"/>
      <c r="S2523" s="86"/>
      <c r="T2523" s="86"/>
      <c r="U2523" s="86"/>
      <c r="V2523" s="48"/>
      <c r="W2523" s="48"/>
      <c r="X2523" s="48"/>
      <c r="Y2523" s="48"/>
      <c r="Z2523" s="48"/>
      <c r="AA2523" s="48"/>
      <c r="AB2523" s="48"/>
      <c r="AC2523" s="48"/>
      <c r="AD2523" s="48"/>
      <c r="AE2523" s="48"/>
      <c r="AF2523" s="48"/>
      <c r="AG2523" s="48"/>
      <c r="AH2523" s="48"/>
      <c r="AI2523" s="48"/>
      <c r="AJ2523" s="48"/>
      <c r="AK2523" s="48"/>
      <c r="AL2523" s="48"/>
      <c r="AM2523" s="48"/>
      <c r="AN2523" s="48"/>
      <c r="AO2523" s="48"/>
      <c r="AP2523" s="48"/>
      <c r="AQ2523" s="48"/>
      <c r="AR2523" s="48"/>
      <c r="AS2523" s="48"/>
      <c r="AT2523" s="48"/>
      <c r="AU2523" s="48"/>
      <c r="AV2523" s="48"/>
      <c r="AW2523" s="48"/>
      <c r="AX2523" s="48"/>
      <c r="AY2523" s="48"/>
      <c r="AZ2523" s="48"/>
      <c r="BA2523" s="48"/>
      <c r="BB2523" s="48"/>
      <c r="BC2523" s="48"/>
      <c r="BD2523" s="48"/>
    </row>
    <row r="2524" spans="1:56">
      <c r="A2524" s="48"/>
      <c r="B2524" s="48"/>
      <c r="C2524" s="49"/>
      <c r="D2524" s="48"/>
      <c r="E2524" s="48"/>
      <c r="F2524" s="48"/>
      <c r="G2524" s="48"/>
      <c r="H2524" s="48"/>
      <c r="I2524" s="48"/>
      <c r="J2524" s="86"/>
      <c r="K2524" s="86"/>
      <c r="L2524" s="86"/>
      <c r="M2524" s="86"/>
      <c r="N2524" s="86"/>
      <c r="O2524" s="86"/>
      <c r="P2524" s="86"/>
      <c r="Q2524" s="86"/>
      <c r="R2524" s="86"/>
      <c r="S2524" s="86"/>
      <c r="T2524" s="86"/>
      <c r="U2524" s="86"/>
      <c r="V2524" s="48"/>
      <c r="W2524" s="48"/>
      <c r="X2524" s="48"/>
      <c r="Y2524" s="48"/>
      <c r="Z2524" s="48"/>
      <c r="AA2524" s="48"/>
      <c r="AB2524" s="48"/>
      <c r="AC2524" s="48"/>
      <c r="AD2524" s="48"/>
      <c r="AE2524" s="48"/>
      <c r="AF2524" s="48"/>
      <c r="AG2524" s="48"/>
      <c r="AH2524" s="48"/>
      <c r="AI2524" s="48"/>
      <c r="AJ2524" s="48"/>
      <c r="AK2524" s="48"/>
      <c r="AL2524" s="48"/>
      <c r="AM2524" s="48"/>
      <c r="AN2524" s="48"/>
      <c r="AO2524" s="48"/>
      <c r="AP2524" s="48"/>
      <c r="AQ2524" s="48"/>
      <c r="AR2524" s="48"/>
      <c r="AS2524" s="48"/>
      <c r="AT2524" s="48"/>
      <c r="AU2524" s="48"/>
      <c r="AV2524" s="48"/>
      <c r="AW2524" s="48"/>
      <c r="AX2524" s="48"/>
      <c r="AY2524" s="48"/>
      <c r="AZ2524" s="48"/>
      <c r="BA2524" s="48"/>
      <c r="BB2524" s="48"/>
      <c r="BC2524" s="48"/>
      <c r="BD2524" s="48"/>
    </row>
    <row r="2525" spans="1:56">
      <c r="A2525" s="48"/>
      <c r="B2525" s="48"/>
      <c r="C2525" s="49"/>
      <c r="D2525" s="48"/>
      <c r="E2525" s="48"/>
      <c r="F2525" s="48"/>
      <c r="G2525" s="48"/>
      <c r="H2525" s="48"/>
      <c r="I2525" s="48"/>
      <c r="J2525" s="86"/>
      <c r="K2525" s="86"/>
      <c r="L2525" s="86"/>
      <c r="M2525" s="86"/>
      <c r="N2525" s="86"/>
      <c r="O2525" s="86"/>
      <c r="P2525" s="86"/>
      <c r="Q2525" s="86"/>
      <c r="R2525" s="86"/>
      <c r="S2525" s="86"/>
      <c r="T2525" s="86"/>
      <c r="U2525" s="86"/>
      <c r="V2525" s="48"/>
      <c r="W2525" s="48"/>
      <c r="X2525" s="48"/>
      <c r="Y2525" s="48"/>
      <c r="Z2525" s="48"/>
      <c r="AA2525" s="48"/>
      <c r="AB2525" s="48"/>
      <c r="AC2525" s="48"/>
      <c r="AD2525" s="48"/>
      <c r="AE2525" s="48"/>
      <c r="AF2525" s="48"/>
      <c r="AG2525" s="48"/>
      <c r="AH2525" s="48"/>
      <c r="AI2525" s="48"/>
      <c r="AJ2525" s="48"/>
      <c r="AK2525" s="48"/>
      <c r="AL2525" s="48"/>
      <c r="AM2525" s="48"/>
      <c r="AN2525" s="48"/>
      <c r="AO2525" s="48"/>
      <c r="AP2525" s="48"/>
      <c r="AQ2525" s="48"/>
      <c r="AR2525" s="48"/>
      <c r="AS2525" s="48"/>
      <c r="AT2525" s="48"/>
      <c r="AU2525" s="48"/>
      <c r="AV2525" s="48"/>
      <c r="AW2525" s="48"/>
      <c r="AX2525" s="48"/>
      <c r="AY2525" s="48"/>
      <c r="AZ2525" s="48"/>
      <c r="BA2525" s="48"/>
      <c r="BB2525" s="48"/>
      <c r="BC2525" s="48"/>
      <c r="BD2525" s="48"/>
    </row>
    <row r="2526" spans="1:56">
      <c r="A2526" s="48"/>
      <c r="B2526" s="48"/>
      <c r="C2526" s="49"/>
      <c r="D2526" s="48"/>
      <c r="E2526" s="48"/>
      <c r="F2526" s="48"/>
      <c r="G2526" s="48"/>
      <c r="H2526" s="48"/>
      <c r="I2526" s="48"/>
      <c r="J2526" s="86"/>
      <c r="K2526" s="86"/>
      <c r="L2526" s="86"/>
      <c r="M2526" s="86"/>
      <c r="N2526" s="86"/>
      <c r="O2526" s="86"/>
      <c r="P2526" s="86"/>
      <c r="Q2526" s="86"/>
      <c r="R2526" s="86"/>
      <c r="S2526" s="86"/>
      <c r="T2526" s="86"/>
      <c r="U2526" s="86"/>
      <c r="V2526" s="48"/>
      <c r="W2526" s="48"/>
      <c r="X2526" s="48"/>
      <c r="Y2526" s="48"/>
      <c r="Z2526" s="48"/>
      <c r="AA2526" s="48"/>
      <c r="AB2526" s="48"/>
      <c r="AC2526" s="48"/>
      <c r="AD2526" s="48"/>
      <c r="AE2526" s="48"/>
      <c r="AF2526" s="48"/>
      <c r="AG2526" s="48"/>
      <c r="AH2526" s="48"/>
      <c r="AI2526" s="48"/>
      <c r="AJ2526" s="48"/>
      <c r="AK2526" s="48"/>
      <c r="AL2526" s="48"/>
      <c r="AM2526" s="48"/>
      <c r="AN2526" s="48"/>
      <c r="AO2526" s="48"/>
      <c r="AP2526" s="48"/>
      <c r="AQ2526" s="48"/>
      <c r="AR2526" s="48"/>
      <c r="AS2526" s="48"/>
      <c r="AT2526" s="48"/>
      <c r="AU2526" s="48"/>
      <c r="AV2526" s="48"/>
      <c r="AW2526" s="48"/>
      <c r="AX2526" s="48"/>
      <c r="AY2526" s="48"/>
      <c r="AZ2526" s="48"/>
      <c r="BA2526" s="48"/>
      <c r="BB2526" s="48"/>
      <c r="BC2526" s="48"/>
      <c r="BD2526" s="48"/>
    </row>
    <row r="2527" spans="1:56">
      <c r="A2527" s="48"/>
      <c r="B2527" s="48"/>
      <c r="C2527" s="49"/>
      <c r="D2527" s="48"/>
      <c r="E2527" s="48"/>
      <c r="F2527" s="48"/>
      <c r="G2527" s="48"/>
      <c r="H2527" s="48"/>
      <c r="I2527" s="48"/>
      <c r="J2527" s="86"/>
      <c r="K2527" s="86"/>
      <c r="L2527" s="86"/>
      <c r="M2527" s="86"/>
      <c r="N2527" s="86"/>
      <c r="O2527" s="86"/>
      <c r="P2527" s="86"/>
      <c r="Q2527" s="86"/>
      <c r="R2527" s="86"/>
      <c r="S2527" s="86"/>
      <c r="T2527" s="86"/>
      <c r="U2527" s="86"/>
      <c r="V2527" s="48"/>
      <c r="W2527" s="48"/>
      <c r="X2527" s="48"/>
      <c r="Y2527" s="48"/>
      <c r="Z2527" s="48"/>
      <c r="AA2527" s="48"/>
      <c r="AB2527" s="48"/>
      <c r="AC2527" s="48"/>
      <c r="AD2527" s="48"/>
      <c r="AE2527" s="48"/>
      <c r="AF2527" s="48"/>
      <c r="AG2527" s="48"/>
      <c r="AH2527" s="48"/>
      <c r="AI2527" s="48"/>
      <c r="AJ2527" s="48"/>
      <c r="AK2527" s="48"/>
      <c r="AL2527" s="48"/>
      <c r="AM2527" s="48"/>
      <c r="AN2527" s="48"/>
      <c r="AO2527" s="48"/>
      <c r="AP2527" s="48"/>
      <c r="AQ2527" s="48"/>
      <c r="AR2527" s="48"/>
      <c r="AS2527" s="48"/>
      <c r="AT2527" s="48"/>
      <c r="AU2527" s="48"/>
      <c r="AV2527" s="48"/>
      <c r="AW2527" s="48"/>
      <c r="AX2527" s="48"/>
      <c r="AY2527" s="48"/>
      <c r="AZ2527" s="48"/>
      <c r="BA2527" s="48"/>
      <c r="BB2527" s="48"/>
      <c r="BC2527" s="48"/>
      <c r="BD2527" s="48"/>
    </row>
    <row r="2528" spans="1:56">
      <c r="A2528" s="48"/>
      <c r="B2528" s="48"/>
      <c r="C2528" s="49"/>
      <c r="D2528" s="48"/>
      <c r="E2528" s="48"/>
      <c r="F2528" s="48"/>
      <c r="G2528" s="48"/>
      <c r="H2528" s="48"/>
      <c r="I2528" s="48"/>
      <c r="J2528" s="86"/>
      <c r="K2528" s="86"/>
      <c r="L2528" s="86"/>
      <c r="M2528" s="86"/>
      <c r="N2528" s="86"/>
      <c r="O2528" s="86"/>
      <c r="P2528" s="86"/>
      <c r="Q2528" s="86"/>
      <c r="R2528" s="86"/>
      <c r="S2528" s="86"/>
      <c r="T2528" s="86"/>
      <c r="U2528" s="86"/>
      <c r="V2528" s="48"/>
      <c r="W2528" s="48"/>
      <c r="X2528" s="48"/>
      <c r="Y2528" s="48"/>
      <c r="Z2528" s="48"/>
      <c r="AA2528" s="48"/>
      <c r="AB2528" s="48"/>
      <c r="AC2528" s="48"/>
      <c r="AD2528" s="48"/>
      <c r="AE2528" s="48"/>
      <c r="AF2528" s="48"/>
      <c r="AG2528" s="48"/>
      <c r="AH2528" s="48"/>
      <c r="AI2528" s="48"/>
      <c r="AJ2528" s="48"/>
      <c r="AK2528" s="48"/>
      <c r="AL2528" s="48"/>
      <c r="AM2528" s="48"/>
      <c r="AN2528" s="48"/>
      <c r="AO2528" s="48"/>
      <c r="AP2528" s="48"/>
      <c r="AQ2528" s="48"/>
      <c r="AR2528" s="48"/>
      <c r="AS2528" s="48"/>
      <c r="AT2528" s="48"/>
      <c r="AU2528" s="48"/>
      <c r="AV2528" s="48"/>
      <c r="AW2528" s="48"/>
      <c r="AX2528" s="48"/>
      <c r="AY2528" s="48"/>
      <c r="AZ2528" s="48"/>
      <c r="BA2528" s="48"/>
      <c r="BB2528" s="48"/>
      <c r="BC2528" s="48"/>
      <c r="BD2528" s="48"/>
    </row>
    <row r="2529" spans="1:56">
      <c r="A2529" s="48"/>
      <c r="B2529" s="48"/>
      <c r="C2529" s="49"/>
      <c r="D2529" s="48"/>
      <c r="E2529" s="48"/>
      <c r="F2529" s="48"/>
      <c r="G2529" s="48"/>
      <c r="H2529" s="48"/>
      <c r="I2529" s="48"/>
      <c r="J2529" s="86"/>
      <c r="K2529" s="86"/>
      <c r="L2529" s="86"/>
      <c r="M2529" s="86"/>
      <c r="N2529" s="86"/>
      <c r="O2529" s="86"/>
      <c r="P2529" s="86"/>
      <c r="Q2529" s="86"/>
      <c r="R2529" s="86"/>
      <c r="S2529" s="86"/>
      <c r="T2529" s="86"/>
      <c r="U2529" s="86"/>
      <c r="V2529" s="48"/>
      <c r="W2529" s="48"/>
      <c r="X2529" s="48"/>
      <c r="Y2529" s="48"/>
      <c r="Z2529" s="48"/>
      <c r="AA2529" s="48"/>
      <c r="AB2529" s="48"/>
      <c r="AC2529" s="48"/>
      <c r="AD2529" s="48"/>
      <c r="AE2529" s="48"/>
      <c r="AF2529" s="48"/>
      <c r="AG2529" s="48"/>
      <c r="AH2529" s="48"/>
      <c r="AI2529" s="48"/>
      <c r="AJ2529" s="48"/>
      <c r="AK2529" s="48"/>
      <c r="AL2529" s="48"/>
      <c r="AM2529" s="48"/>
      <c r="AN2529" s="48"/>
      <c r="AO2529" s="48"/>
      <c r="AP2529" s="48"/>
      <c r="AQ2529" s="48"/>
      <c r="AR2529" s="48"/>
      <c r="AS2529" s="48"/>
      <c r="AT2529" s="48"/>
      <c r="AU2529" s="48"/>
      <c r="AV2529" s="48"/>
      <c r="AW2529" s="48"/>
      <c r="AX2529" s="48"/>
      <c r="AY2529" s="48"/>
      <c r="AZ2529" s="48"/>
      <c r="BA2529" s="48"/>
      <c r="BB2529" s="48"/>
      <c r="BC2529" s="48"/>
      <c r="BD2529" s="48"/>
    </row>
    <row r="2530" spans="1:56">
      <c r="A2530" s="48"/>
      <c r="B2530" s="48"/>
      <c r="C2530" s="49"/>
      <c r="D2530" s="48"/>
      <c r="E2530" s="48"/>
      <c r="F2530" s="48"/>
      <c r="G2530" s="48"/>
      <c r="H2530" s="48"/>
      <c r="I2530" s="48"/>
      <c r="J2530" s="86"/>
      <c r="K2530" s="86"/>
      <c r="L2530" s="86"/>
      <c r="M2530" s="86"/>
      <c r="N2530" s="86"/>
      <c r="O2530" s="86"/>
      <c r="P2530" s="86"/>
      <c r="Q2530" s="86"/>
      <c r="R2530" s="86"/>
      <c r="S2530" s="86"/>
      <c r="T2530" s="86"/>
      <c r="U2530" s="86"/>
      <c r="V2530" s="48"/>
      <c r="W2530" s="48"/>
      <c r="X2530" s="48"/>
      <c r="Y2530" s="48"/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  <c r="AU2530" s="48"/>
      <c r="AV2530" s="48"/>
      <c r="AW2530" s="48"/>
      <c r="AX2530" s="48"/>
      <c r="AY2530" s="48"/>
      <c r="AZ2530" s="48"/>
      <c r="BA2530" s="48"/>
      <c r="BB2530" s="48"/>
      <c r="BC2530" s="48"/>
      <c r="BD2530" s="48"/>
    </row>
    <row r="2531" spans="1:56">
      <c r="A2531" s="48"/>
      <c r="B2531" s="48"/>
      <c r="C2531" s="49"/>
      <c r="D2531" s="48"/>
      <c r="E2531" s="48"/>
      <c r="F2531" s="48"/>
      <c r="G2531" s="48"/>
      <c r="H2531" s="48"/>
      <c r="I2531" s="48"/>
      <c r="J2531" s="86"/>
      <c r="K2531" s="86"/>
      <c r="L2531" s="86"/>
      <c r="M2531" s="86"/>
      <c r="N2531" s="86"/>
      <c r="O2531" s="86"/>
      <c r="P2531" s="86"/>
      <c r="Q2531" s="86"/>
      <c r="R2531" s="86"/>
      <c r="S2531" s="86"/>
      <c r="T2531" s="86"/>
      <c r="U2531" s="86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AF2531" s="48"/>
      <c r="AG2531" s="48"/>
      <c r="AH2531" s="48"/>
      <c r="AI2531" s="48"/>
      <c r="AJ2531" s="48"/>
      <c r="AK2531" s="48"/>
      <c r="AL2531" s="48"/>
      <c r="AM2531" s="48"/>
      <c r="AN2531" s="48"/>
      <c r="AO2531" s="48"/>
      <c r="AP2531" s="48"/>
      <c r="AQ2531" s="48"/>
      <c r="AR2531" s="48"/>
      <c r="AS2531" s="48"/>
      <c r="AT2531" s="48"/>
      <c r="AU2531" s="48"/>
      <c r="AV2531" s="48"/>
      <c r="AW2531" s="48"/>
      <c r="AX2531" s="48"/>
      <c r="AY2531" s="48"/>
      <c r="AZ2531" s="48"/>
      <c r="BA2531" s="48"/>
      <c r="BB2531" s="48"/>
      <c r="BC2531" s="48"/>
      <c r="BD2531" s="48"/>
    </row>
    <row r="2532" spans="1:56">
      <c r="A2532" s="48"/>
      <c r="B2532" s="48"/>
      <c r="C2532" s="49"/>
      <c r="D2532" s="48"/>
      <c r="E2532" s="48"/>
      <c r="F2532" s="48"/>
      <c r="G2532" s="48"/>
      <c r="H2532" s="48"/>
      <c r="I2532" s="48"/>
      <c r="J2532" s="86"/>
      <c r="K2532" s="86"/>
      <c r="L2532" s="86"/>
      <c r="M2532" s="86"/>
      <c r="N2532" s="86"/>
      <c r="O2532" s="86"/>
      <c r="P2532" s="86"/>
      <c r="Q2532" s="86"/>
      <c r="R2532" s="86"/>
      <c r="S2532" s="86"/>
      <c r="T2532" s="86"/>
      <c r="U2532" s="86"/>
      <c r="V2532" s="48"/>
      <c r="W2532" s="48"/>
      <c r="X2532" s="48"/>
      <c r="Y2532" s="48"/>
      <c r="Z2532" s="48"/>
      <c r="AA2532" s="48"/>
      <c r="AB2532" s="48"/>
      <c r="AC2532" s="48"/>
      <c r="AD2532" s="48"/>
      <c r="AE2532" s="48"/>
      <c r="AF2532" s="48"/>
      <c r="AG2532" s="48"/>
      <c r="AH2532" s="48"/>
      <c r="AI2532" s="48"/>
      <c r="AJ2532" s="48"/>
      <c r="AK2532" s="48"/>
      <c r="AL2532" s="48"/>
      <c r="AM2532" s="48"/>
      <c r="AN2532" s="48"/>
      <c r="AO2532" s="48"/>
      <c r="AP2532" s="48"/>
      <c r="AQ2532" s="48"/>
      <c r="AR2532" s="48"/>
      <c r="AS2532" s="48"/>
      <c r="AT2532" s="48"/>
      <c r="AU2532" s="48"/>
      <c r="AV2532" s="48"/>
      <c r="AW2532" s="48"/>
      <c r="AX2532" s="48"/>
      <c r="AY2532" s="48"/>
      <c r="AZ2532" s="48"/>
      <c r="BA2532" s="48"/>
      <c r="BB2532" s="48"/>
      <c r="BC2532" s="48"/>
      <c r="BD2532" s="48"/>
    </row>
    <row r="2533" spans="1:56">
      <c r="A2533" s="48"/>
      <c r="B2533" s="48"/>
      <c r="C2533" s="49"/>
      <c r="D2533" s="48"/>
      <c r="E2533" s="48"/>
      <c r="F2533" s="48"/>
      <c r="G2533" s="48"/>
      <c r="H2533" s="48"/>
      <c r="I2533" s="48"/>
      <c r="J2533" s="86"/>
      <c r="K2533" s="86"/>
      <c r="L2533" s="86"/>
      <c r="M2533" s="86"/>
      <c r="N2533" s="86"/>
      <c r="O2533" s="86"/>
      <c r="P2533" s="86"/>
      <c r="Q2533" s="86"/>
      <c r="R2533" s="86"/>
      <c r="S2533" s="86"/>
      <c r="T2533" s="86"/>
      <c r="U2533" s="86"/>
      <c r="V2533" s="48"/>
      <c r="W2533" s="48"/>
      <c r="X2533" s="48"/>
      <c r="Y2533" s="48"/>
      <c r="Z2533" s="48"/>
      <c r="AA2533" s="48"/>
      <c r="AB2533" s="48"/>
      <c r="AC2533" s="48"/>
      <c r="AD2533" s="48"/>
      <c r="AE2533" s="48"/>
      <c r="AF2533" s="48"/>
      <c r="AG2533" s="48"/>
      <c r="AH2533" s="48"/>
      <c r="AI2533" s="48"/>
      <c r="AJ2533" s="48"/>
      <c r="AK2533" s="48"/>
      <c r="AL2533" s="48"/>
      <c r="AM2533" s="48"/>
      <c r="AN2533" s="48"/>
      <c r="AO2533" s="48"/>
      <c r="AP2533" s="48"/>
      <c r="AQ2533" s="48"/>
      <c r="AR2533" s="48"/>
      <c r="AS2533" s="48"/>
      <c r="AT2533" s="48"/>
      <c r="AU2533" s="48"/>
      <c r="AV2533" s="48"/>
      <c r="AW2533" s="48"/>
      <c r="AX2533" s="48"/>
      <c r="AY2533" s="48"/>
      <c r="AZ2533" s="48"/>
      <c r="BA2533" s="48"/>
      <c r="BB2533" s="48"/>
      <c r="BC2533" s="48"/>
      <c r="BD2533" s="48"/>
    </row>
    <row r="2534" spans="1:56">
      <c r="A2534" s="48"/>
      <c r="B2534" s="48"/>
      <c r="C2534" s="49"/>
      <c r="D2534" s="48"/>
      <c r="E2534" s="48"/>
      <c r="F2534" s="48"/>
      <c r="G2534" s="48"/>
      <c r="H2534" s="48"/>
      <c r="I2534" s="48"/>
      <c r="J2534" s="86"/>
      <c r="K2534" s="86"/>
      <c r="L2534" s="86"/>
      <c r="M2534" s="86"/>
      <c r="N2534" s="86"/>
      <c r="O2534" s="86"/>
      <c r="P2534" s="86"/>
      <c r="Q2534" s="86"/>
      <c r="R2534" s="86"/>
      <c r="S2534" s="86"/>
      <c r="T2534" s="86"/>
      <c r="U2534" s="86"/>
      <c r="V2534" s="48"/>
      <c r="W2534" s="48"/>
      <c r="X2534" s="48"/>
      <c r="Y2534" s="48"/>
      <c r="Z2534" s="48"/>
      <c r="AA2534" s="48"/>
      <c r="AB2534" s="48"/>
      <c r="AC2534" s="48"/>
      <c r="AD2534" s="48"/>
      <c r="AE2534" s="48"/>
      <c r="AF2534" s="48"/>
      <c r="AG2534" s="48"/>
      <c r="AH2534" s="48"/>
      <c r="AI2534" s="48"/>
      <c r="AJ2534" s="48"/>
      <c r="AK2534" s="48"/>
      <c r="AL2534" s="48"/>
      <c r="AM2534" s="48"/>
      <c r="AN2534" s="48"/>
      <c r="AO2534" s="48"/>
      <c r="AP2534" s="48"/>
      <c r="AQ2534" s="48"/>
      <c r="AR2534" s="48"/>
      <c r="AS2534" s="48"/>
      <c r="AT2534" s="48"/>
      <c r="AU2534" s="48"/>
      <c r="AV2534" s="48"/>
      <c r="AW2534" s="48"/>
      <c r="AX2534" s="48"/>
      <c r="AY2534" s="48"/>
      <c r="AZ2534" s="48"/>
      <c r="BA2534" s="48"/>
      <c r="BB2534" s="48"/>
      <c r="BC2534" s="48"/>
      <c r="BD2534" s="48"/>
    </row>
    <row r="2535" spans="1:56">
      <c r="A2535" s="48"/>
      <c r="B2535" s="48"/>
      <c r="C2535" s="49"/>
      <c r="D2535" s="48"/>
      <c r="E2535" s="48"/>
      <c r="F2535" s="48"/>
      <c r="G2535" s="48"/>
      <c r="H2535" s="48"/>
      <c r="I2535" s="48"/>
      <c r="J2535" s="86"/>
      <c r="K2535" s="86"/>
      <c r="L2535" s="86"/>
      <c r="M2535" s="86"/>
      <c r="N2535" s="86"/>
      <c r="O2535" s="86"/>
      <c r="P2535" s="86"/>
      <c r="Q2535" s="86"/>
      <c r="R2535" s="86"/>
      <c r="S2535" s="86"/>
      <c r="T2535" s="86"/>
      <c r="U2535" s="86"/>
      <c r="V2535" s="48"/>
      <c r="W2535" s="48"/>
      <c r="X2535" s="48"/>
      <c r="Y2535" s="48"/>
      <c r="Z2535" s="48"/>
      <c r="AA2535" s="48"/>
      <c r="AB2535" s="48"/>
      <c r="AC2535" s="48"/>
      <c r="AD2535" s="48"/>
      <c r="AE2535" s="48"/>
      <c r="AF2535" s="48"/>
      <c r="AG2535" s="48"/>
      <c r="AH2535" s="48"/>
      <c r="AI2535" s="48"/>
      <c r="AJ2535" s="48"/>
      <c r="AK2535" s="48"/>
      <c r="AL2535" s="48"/>
      <c r="AM2535" s="48"/>
      <c r="AN2535" s="48"/>
      <c r="AO2535" s="48"/>
      <c r="AP2535" s="48"/>
      <c r="AQ2535" s="48"/>
      <c r="AR2535" s="48"/>
      <c r="AS2535" s="48"/>
      <c r="AT2535" s="48"/>
      <c r="AU2535" s="48"/>
      <c r="AV2535" s="48"/>
      <c r="AW2535" s="48"/>
      <c r="AX2535" s="48"/>
      <c r="AY2535" s="48"/>
      <c r="AZ2535" s="48"/>
      <c r="BA2535" s="48"/>
      <c r="BB2535" s="48"/>
      <c r="BC2535" s="48"/>
      <c r="BD2535" s="48"/>
    </row>
    <row r="2536" spans="1:56">
      <c r="A2536" s="48"/>
      <c r="B2536" s="48"/>
      <c r="C2536" s="49"/>
      <c r="D2536" s="48"/>
      <c r="E2536" s="48"/>
      <c r="F2536" s="48"/>
      <c r="G2536" s="48"/>
      <c r="H2536" s="48"/>
      <c r="I2536" s="48"/>
      <c r="J2536" s="86"/>
      <c r="K2536" s="86"/>
      <c r="L2536" s="86"/>
      <c r="M2536" s="86"/>
      <c r="N2536" s="86"/>
      <c r="O2536" s="86"/>
      <c r="P2536" s="86"/>
      <c r="Q2536" s="86"/>
      <c r="R2536" s="86"/>
      <c r="S2536" s="86"/>
      <c r="T2536" s="86"/>
      <c r="U2536" s="86"/>
      <c r="V2536" s="48"/>
      <c r="W2536" s="48"/>
      <c r="X2536" s="48"/>
      <c r="Y2536" s="48"/>
      <c r="Z2536" s="48"/>
      <c r="AA2536" s="48"/>
      <c r="AB2536" s="48"/>
      <c r="AC2536" s="48"/>
      <c r="AD2536" s="48"/>
      <c r="AE2536" s="48"/>
      <c r="AF2536" s="48"/>
      <c r="AG2536" s="48"/>
      <c r="AH2536" s="48"/>
      <c r="AI2536" s="48"/>
      <c r="AJ2536" s="48"/>
      <c r="AK2536" s="48"/>
      <c r="AL2536" s="48"/>
      <c r="AM2536" s="48"/>
      <c r="AN2536" s="48"/>
      <c r="AO2536" s="48"/>
      <c r="AP2536" s="48"/>
      <c r="AQ2536" s="48"/>
      <c r="AR2536" s="48"/>
      <c r="AS2536" s="48"/>
      <c r="AT2536" s="48"/>
      <c r="AU2536" s="48"/>
      <c r="AV2536" s="48"/>
      <c r="AW2536" s="48"/>
      <c r="AX2536" s="48"/>
      <c r="AY2536" s="48"/>
      <c r="AZ2536" s="48"/>
      <c r="BA2536" s="48"/>
      <c r="BB2536" s="48"/>
      <c r="BC2536" s="48"/>
      <c r="BD2536" s="48"/>
    </row>
    <row r="2537" spans="1:56">
      <c r="A2537" s="48"/>
      <c r="B2537" s="48"/>
      <c r="C2537" s="49"/>
      <c r="D2537" s="48"/>
      <c r="E2537" s="48"/>
      <c r="F2537" s="48"/>
      <c r="G2537" s="48"/>
      <c r="H2537" s="48"/>
      <c r="I2537" s="48"/>
      <c r="J2537" s="86"/>
      <c r="K2537" s="86"/>
      <c r="L2537" s="86"/>
      <c r="M2537" s="86"/>
      <c r="N2537" s="86"/>
      <c r="O2537" s="86"/>
      <c r="P2537" s="86"/>
      <c r="Q2537" s="86"/>
      <c r="R2537" s="86"/>
      <c r="S2537" s="86"/>
      <c r="T2537" s="86"/>
      <c r="U2537" s="86"/>
      <c r="V2537" s="48"/>
      <c r="W2537" s="48"/>
      <c r="X2537" s="48"/>
      <c r="Y2537" s="48"/>
      <c r="Z2537" s="48"/>
      <c r="AA2537" s="48"/>
      <c r="AB2537" s="48"/>
      <c r="AC2537" s="48"/>
      <c r="AD2537" s="48"/>
      <c r="AE2537" s="48"/>
      <c r="AF2537" s="48"/>
      <c r="AG2537" s="48"/>
      <c r="AH2537" s="48"/>
      <c r="AI2537" s="48"/>
      <c r="AJ2537" s="48"/>
      <c r="AK2537" s="48"/>
      <c r="AL2537" s="48"/>
      <c r="AM2537" s="48"/>
      <c r="AN2537" s="48"/>
      <c r="AO2537" s="48"/>
      <c r="AP2537" s="48"/>
      <c r="AQ2537" s="48"/>
      <c r="AR2537" s="48"/>
      <c r="AS2537" s="48"/>
      <c r="AT2537" s="48"/>
      <c r="AU2537" s="48"/>
      <c r="AV2537" s="48"/>
      <c r="AW2537" s="48"/>
      <c r="AX2537" s="48"/>
      <c r="AY2537" s="48"/>
      <c r="AZ2537" s="48"/>
      <c r="BA2537" s="48"/>
      <c r="BB2537" s="48"/>
      <c r="BC2537" s="48"/>
      <c r="BD2537" s="48"/>
    </row>
    <row r="2538" spans="1:56">
      <c r="A2538" s="48"/>
      <c r="B2538" s="48"/>
      <c r="C2538" s="49"/>
      <c r="D2538" s="48"/>
      <c r="E2538" s="48"/>
      <c r="F2538" s="48"/>
      <c r="G2538" s="48"/>
      <c r="H2538" s="48"/>
      <c r="I2538" s="48"/>
      <c r="J2538" s="86"/>
      <c r="K2538" s="86"/>
      <c r="L2538" s="86"/>
      <c r="M2538" s="86"/>
      <c r="N2538" s="86"/>
      <c r="O2538" s="86"/>
      <c r="P2538" s="86"/>
      <c r="Q2538" s="86"/>
      <c r="R2538" s="86"/>
      <c r="S2538" s="86"/>
      <c r="T2538" s="86"/>
      <c r="U2538" s="86"/>
      <c r="V2538" s="48"/>
      <c r="W2538" s="48"/>
      <c r="X2538" s="48"/>
      <c r="Y2538" s="48"/>
      <c r="Z2538" s="48"/>
      <c r="AA2538" s="48"/>
      <c r="AB2538" s="48"/>
      <c r="AC2538" s="48"/>
      <c r="AD2538" s="48"/>
      <c r="AE2538" s="48"/>
      <c r="AF2538" s="48"/>
      <c r="AG2538" s="48"/>
      <c r="AH2538" s="48"/>
      <c r="AI2538" s="48"/>
      <c r="AJ2538" s="48"/>
      <c r="AK2538" s="48"/>
      <c r="AL2538" s="48"/>
      <c r="AM2538" s="48"/>
      <c r="AN2538" s="48"/>
      <c r="AO2538" s="48"/>
      <c r="AP2538" s="48"/>
      <c r="AQ2538" s="48"/>
      <c r="AR2538" s="48"/>
      <c r="AS2538" s="48"/>
      <c r="AT2538" s="48"/>
      <c r="AU2538" s="48"/>
      <c r="AV2538" s="48"/>
      <c r="AW2538" s="48"/>
      <c r="AX2538" s="48"/>
      <c r="AY2538" s="48"/>
      <c r="AZ2538" s="48"/>
      <c r="BA2538" s="48"/>
      <c r="BB2538" s="48"/>
      <c r="BC2538" s="48"/>
      <c r="BD2538" s="48"/>
    </row>
    <row r="2539" spans="1:56">
      <c r="A2539" s="48"/>
      <c r="B2539" s="48"/>
      <c r="C2539" s="49"/>
      <c r="D2539" s="48"/>
      <c r="E2539" s="48"/>
      <c r="F2539" s="48"/>
      <c r="G2539" s="48"/>
      <c r="H2539" s="48"/>
      <c r="I2539" s="48"/>
      <c r="J2539" s="86"/>
      <c r="K2539" s="86"/>
      <c r="L2539" s="86"/>
      <c r="M2539" s="86"/>
      <c r="N2539" s="86"/>
      <c r="O2539" s="86"/>
      <c r="P2539" s="86"/>
      <c r="Q2539" s="86"/>
      <c r="R2539" s="86"/>
      <c r="S2539" s="86"/>
      <c r="T2539" s="86"/>
      <c r="U2539" s="86"/>
      <c r="V2539" s="48"/>
      <c r="W2539" s="48"/>
      <c r="X2539" s="48"/>
      <c r="Y2539" s="48"/>
      <c r="Z2539" s="48"/>
      <c r="AA2539" s="48"/>
      <c r="AB2539" s="48"/>
      <c r="AC2539" s="48"/>
      <c r="AD2539" s="48"/>
      <c r="AE2539" s="48"/>
      <c r="AF2539" s="48"/>
      <c r="AG2539" s="48"/>
      <c r="AH2539" s="48"/>
      <c r="AI2539" s="48"/>
      <c r="AJ2539" s="48"/>
      <c r="AK2539" s="48"/>
      <c r="AL2539" s="48"/>
      <c r="AM2539" s="48"/>
      <c r="AN2539" s="48"/>
      <c r="AO2539" s="48"/>
      <c r="AP2539" s="48"/>
      <c r="AQ2539" s="48"/>
      <c r="AR2539" s="48"/>
      <c r="AS2539" s="48"/>
      <c r="AT2539" s="48"/>
      <c r="AU2539" s="48"/>
      <c r="AV2539" s="48"/>
      <c r="AW2539" s="48"/>
      <c r="AX2539" s="48"/>
      <c r="AY2539" s="48"/>
      <c r="AZ2539" s="48"/>
      <c r="BA2539" s="48"/>
      <c r="BB2539" s="48"/>
      <c r="BC2539" s="48"/>
      <c r="BD2539" s="48"/>
    </row>
    <row r="2540" spans="1:56">
      <c r="A2540" s="48"/>
      <c r="B2540" s="48"/>
      <c r="C2540" s="49"/>
      <c r="D2540" s="48"/>
      <c r="E2540" s="48"/>
      <c r="F2540" s="48"/>
      <c r="G2540" s="48"/>
      <c r="H2540" s="48"/>
      <c r="I2540" s="48"/>
      <c r="J2540" s="86"/>
      <c r="K2540" s="86"/>
      <c r="L2540" s="86"/>
      <c r="M2540" s="86"/>
      <c r="N2540" s="86"/>
      <c r="O2540" s="86"/>
      <c r="P2540" s="86"/>
      <c r="Q2540" s="86"/>
      <c r="R2540" s="86"/>
      <c r="S2540" s="86"/>
      <c r="T2540" s="86"/>
      <c r="U2540" s="86"/>
      <c r="V2540" s="48"/>
      <c r="W2540" s="48"/>
      <c r="X2540" s="48"/>
      <c r="Y2540" s="48"/>
      <c r="Z2540" s="48"/>
      <c r="AA2540" s="48"/>
      <c r="AB2540" s="48"/>
      <c r="AC2540" s="48"/>
      <c r="AD2540" s="48"/>
      <c r="AE2540" s="48"/>
      <c r="AF2540" s="48"/>
      <c r="AG2540" s="48"/>
      <c r="AH2540" s="48"/>
      <c r="AI2540" s="48"/>
      <c r="AJ2540" s="48"/>
      <c r="AK2540" s="48"/>
      <c r="AL2540" s="48"/>
      <c r="AM2540" s="48"/>
      <c r="AN2540" s="48"/>
      <c r="AO2540" s="48"/>
      <c r="AP2540" s="48"/>
      <c r="AQ2540" s="48"/>
      <c r="AR2540" s="48"/>
      <c r="AS2540" s="48"/>
      <c r="AT2540" s="48"/>
      <c r="AU2540" s="48"/>
      <c r="AV2540" s="48"/>
      <c r="AW2540" s="48"/>
      <c r="AX2540" s="48"/>
      <c r="AY2540" s="48"/>
      <c r="AZ2540" s="48"/>
      <c r="BA2540" s="48"/>
      <c r="BB2540" s="48"/>
      <c r="BC2540" s="48"/>
      <c r="BD2540" s="48"/>
    </row>
    <row r="2541" spans="1:56">
      <c r="A2541" s="48"/>
      <c r="B2541" s="48"/>
      <c r="C2541" s="49"/>
      <c r="D2541" s="48"/>
      <c r="E2541" s="48"/>
      <c r="F2541" s="48"/>
      <c r="G2541" s="48"/>
      <c r="H2541" s="48"/>
      <c r="I2541" s="48"/>
      <c r="J2541" s="86"/>
      <c r="K2541" s="86"/>
      <c r="L2541" s="86"/>
      <c r="M2541" s="86"/>
      <c r="N2541" s="86"/>
      <c r="O2541" s="86"/>
      <c r="P2541" s="86"/>
      <c r="Q2541" s="86"/>
      <c r="R2541" s="86"/>
      <c r="S2541" s="86"/>
      <c r="T2541" s="86"/>
      <c r="U2541" s="86"/>
      <c r="V2541" s="48"/>
      <c r="W2541" s="48"/>
      <c r="X2541" s="48"/>
      <c r="Y2541" s="48"/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  <c r="AP2541" s="48"/>
      <c r="AQ2541" s="48"/>
      <c r="AR2541" s="48"/>
      <c r="AS2541" s="48"/>
      <c r="AT2541" s="48"/>
      <c r="AU2541" s="48"/>
      <c r="AV2541" s="48"/>
      <c r="AW2541" s="48"/>
      <c r="AX2541" s="48"/>
      <c r="AY2541" s="48"/>
      <c r="AZ2541" s="48"/>
      <c r="BA2541" s="48"/>
      <c r="BB2541" s="48"/>
      <c r="BC2541" s="48"/>
      <c r="BD2541" s="48"/>
    </row>
    <row r="2542" spans="1:56">
      <c r="A2542" s="48"/>
      <c r="B2542" s="48"/>
      <c r="C2542" s="49"/>
      <c r="D2542" s="48"/>
      <c r="E2542" s="48"/>
      <c r="F2542" s="48"/>
      <c r="G2542" s="48"/>
      <c r="H2542" s="48"/>
      <c r="I2542" s="48"/>
      <c r="J2542" s="86"/>
      <c r="K2542" s="86"/>
      <c r="L2542" s="86"/>
      <c r="M2542" s="86"/>
      <c r="N2542" s="86"/>
      <c r="O2542" s="86"/>
      <c r="P2542" s="86"/>
      <c r="Q2542" s="86"/>
      <c r="R2542" s="86"/>
      <c r="S2542" s="86"/>
      <c r="T2542" s="86"/>
      <c r="U2542" s="86"/>
      <c r="V2542" s="48"/>
      <c r="W2542" s="48"/>
      <c r="X2542" s="48"/>
      <c r="Y2542" s="48"/>
      <c r="Z2542" s="48"/>
      <c r="AA2542" s="48"/>
      <c r="AB2542" s="48"/>
      <c r="AC2542" s="48"/>
      <c r="AD2542" s="48"/>
      <c r="AE2542" s="48"/>
      <c r="AF2542" s="48"/>
      <c r="AG2542" s="48"/>
      <c r="AH2542" s="48"/>
      <c r="AI2542" s="48"/>
      <c r="AJ2542" s="48"/>
      <c r="AK2542" s="48"/>
      <c r="AL2542" s="48"/>
      <c r="AM2542" s="48"/>
      <c r="AN2542" s="48"/>
      <c r="AO2542" s="48"/>
      <c r="AP2542" s="48"/>
      <c r="AQ2542" s="48"/>
      <c r="AR2542" s="48"/>
      <c r="AS2542" s="48"/>
      <c r="AT2542" s="48"/>
      <c r="AU2542" s="48"/>
      <c r="AV2542" s="48"/>
      <c r="AW2542" s="48"/>
      <c r="AX2542" s="48"/>
      <c r="AY2542" s="48"/>
      <c r="AZ2542" s="48"/>
      <c r="BA2542" s="48"/>
      <c r="BB2542" s="48"/>
      <c r="BC2542" s="48"/>
      <c r="BD2542" s="48"/>
    </row>
    <row r="2543" spans="1:56">
      <c r="A2543" s="48"/>
      <c r="B2543" s="48"/>
      <c r="C2543" s="49"/>
      <c r="D2543" s="48"/>
      <c r="E2543" s="48"/>
      <c r="F2543" s="48"/>
      <c r="G2543" s="48"/>
      <c r="H2543" s="48"/>
      <c r="I2543" s="48"/>
      <c r="J2543" s="86"/>
      <c r="K2543" s="86"/>
      <c r="L2543" s="86"/>
      <c r="M2543" s="86"/>
      <c r="N2543" s="86"/>
      <c r="O2543" s="86"/>
      <c r="P2543" s="86"/>
      <c r="Q2543" s="86"/>
      <c r="R2543" s="86"/>
      <c r="S2543" s="86"/>
      <c r="T2543" s="86"/>
      <c r="U2543" s="86"/>
      <c r="V2543" s="48"/>
      <c r="W2543" s="48"/>
      <c r="X2543" s="48"/>
      <c r="Y2543" s="48"/>
      <c r="Z2543" s="48"/>
      <c r="AA2543" s="48"/>
      <c r="AB2543" s="48"/>
      <c r="AC2543" s="48"/>
      <c r="AD2543" s="48"/>
      <c r="AE2543" s="48"/>
      <c r="AF2543" s="48"/>
      <c r="AG2543" s="48"/>
      <c r="AH2543" s="48"/>
      <c r="AI2543" s="48"/>
      <c r="AJ2543" s="48"/>
      <c r="AK2543" s="48"/>
      <c r="AL2543" s="48"/>
      <c r="AM2543" s="48"/>
      <c r="AN2543" s="48"/>
      <c r="AO2543" s="48"/>
      <c r="AP2543" s="48"/>
      <c r="AQ2543" s="48"/>
      <c r="AR2543" s="48"/>
      <c r="AS2543" s="48"/>
      <c r="AT2543" s="48"/>
      <c r="AU2543" s="48"/>
      <c r="AV2543" s="48"/>
      <c r="AW2543" s="48"/>
      <c r="AX2543" s="48"/>
      <c r="AY2543" s="48"/>
      <c r="AZ2543" s="48"/>
      <c r="BA2543" s="48"/>
      <c r="BB2543" s="48"/>
      <c r="BC2543" s="48"/>
      <c r="BD2543" s="48"/>
    </row>
    <row r="2544" spans="1:56">
      <c r="A2544" s="48"/>
      <c r="B2544" s="48"/>
      <c r="C2544" s="49"/>
      <c r="D2544" s="48"/>
      <c r="E2544" s="48"/>
      <c r="F2544" s="48"/>
      <c r="G2544" s="48"/>
      <c r="H2544" s="48"/>
      <c r="I2544" s="48"/>
      <c r="J2544" s="86"/>
      <c r="K2544" s="86"/>
      <c r="L2544" s="86"/>
      <c r="M2544" s="86"/>
      <c r="N2544" s="86"/>
      <c r="O2544" s="86"/>
      <c r="P2544" s="86"/>
      <c r="Q2544" s="86"/>
      <c r="R2544" s="86"/>
      <c r="S2544" s="86"/>
      <c r="T2544" s="86"/>
      <c r="U2544" s="86"/>
      <c r="V2544" s="48"/>
      <c r="W2544" s="48"/>
      <c r="X2544" s="48"/>
      <c r="Y2544" s="48"/>
      <c r="Z2544" s="48"/>
      <c r="AA2544" s="48"/>
      <c r="AB2544" s="48"/>
      <c r="AC2544" s="48"/>
      <c r="AD2544" s="48"/>
      <c r="AE2544" s="48"/>
      <c r="AF2544" s="48"/>
      <c r="AG2544" s="48"/>
      <c r="AH2544" s="48"/>
      <c r="AI2544" s="48"/>
      <c r="AJ2544" s="48"/>
      <c r="AK2544" s="48"/>
      <c r="AL2544" s="48"/>
      <c r="AM2544" s="48"/>
      <c r="AN2544" s="48"/>
      <c r="AO2544" s="48"/>
      <c r="AP2544" s="48"/>
      <c r="AQ2544" s="48"/>
      <c r="AR2544" s="48"/>
      <c r="AS2544" s="48"/>
      <c r="AT2544" s="48"/>
      <c r="AU2544" s="48"/>
      <c r="AV2544" s="48"/>
      <c r="AW2544" s="48"/>
      <c r="AX2544" s="48"/>
      <c r="AY2544" s="48"/>
      <c r="AZ2544" s="48"/>
      <c r="BA2544" s="48"/>
      <c r="BB2544" s="48"/>
      <c r="BC2544" s="48"/>
      <c r="BD2544" s="48"/>
    </row>
    <row r="2545" spans="1:56">
      <c r="A2545" s="48"/>
      <c r="B2545" s="48"/>
      <c r="C2545" s="49"/>
      <c r="D2545" s="48"/>
      <c r="E2545" s="48"/>
      <c r="F2545" s="48"/>
      <c r="G2545" s="48"/>
      <c r="H2545" s="48"/>
      <c r="I2545" s="48"/>
      <c r="J2545" s="86"/>
      <c r="K2545" s="86"/>
      <c r="L2545" s="86"/>
      <c r="M2545" s="86"/>
      <c r="N2545" s="86"/>
      <c r="O2545" s="86"/>
      <c r="P2545" s="86"/>
      <c r="Q2545" s="86"/>
      <c r="R2545" s="86"/>
      <c r="S2545" s="86"/>
      <c r="T2545" s="86"/>
      <c r="U2545" s="86"/>
      <c r="V2545" s="48"/>
      <c r="W2545" s="48"/>
      <c r="X2545" s="48"/>
      <c r="Y2545" s="48"/>
      <c r="Z2545" s="48"/>
      <c r="AA2545" s="48"/>
      <c r="AB2545" s="48"/>
      <c r="AC2545" s="48"/>
      <c r="AD2545" s="48"/>
      <c r="AE2545" s="48"/>
      <c r="AF2545" s="48"/>
      <c r="AG2545" s="48"/>
      <c r="AH2545" s="48"/>
      <c r="AI2545" s="48"/>
      <c r="AJ2545" s="48"/>
      <c r="AK2545" s="48"/>
      <c r="AL2545" s="48"/>
      <c r="AM2545" s="48"/>
      <c r="AN2545" s="48"/>
      <c r="AO2545" s="48"/>
      <c r="AP2545" s="48"/>
      <c r="AQ2545" s="48"/>
      <c r="AR2545" s="48"/>
      <c r="AS2545" s="48"/>
      <c r="AT2545" s="48"/>
      <c r="AU2545" s="48"/>
      <c r="AV2545" s="48"/>
      <c r="AW2545" s="48"/>
      <c r="AX2545" s="48"/>
      <c r="AY2545" s="48"/>
      <c r="AZ2545" s="48"/>
      <c r="BA2545" s="48"/>
      <c r="BB2545" s="48"/>
      <c r="BC2545" s="48"/>
      <c r="BD2545" s="48"/>
    </row>
    <row r="2546" spans="1:56">
      <c r="A2546" s="48"/>
      <c r="B2546" s="48"/>
      <c r="C2546" s="49"/>
      <c r="D2546" s="48"/>
      <c r="E2546" s="48"/>
      <c r="F2546" s="48"/>
      <c r="G2546" s="48"/>
      <c r="H2546" s="48"/>
      <c r="I2546" s="48"/>
      <c r="J2546" s="86"/>
      <c r="K2546" s="86"/>
      <c r="L2546" s="86"/>
      <c r="M2546" s="86"/>
      <c r="N2546" s="86"/>
      <c r="O2546" s="86"/>
      <c r="P2546" s="86"/>
      <c r="Q2546" s="86"/>
      <c r="R2546" s="86"/>
      <c r="S2546" s="86"/>
      <c r="T2546" s="86"/>
      <c r="U2546" s="86"/>
      <c r="V2546" s="48"/>
      <c r="W2546" s="48"/>
      <c r="X2546" s="48"/>
      <c r="Y2546" s="48"/>
      <c r="Z2546" s="48"/>
      <c r="AA2546" s="48"/>
      <c r="AB2546" s="48"/>
      <c r="AC2546" s="48"/>
      <c r="AD2546" s="48"/>
      <c r="AE2546" s="48"/>
      <c r="AF2546" s="48"/>
      <c r="AG2546" s="48"/>
      <c r="AH2546" s="48"/>
      <c r="AI2546" s="48"/>
      <c r="AJ2546" s="48"/>
      <c r="AK2546" s="48"/>
      <c r="AL2546" s="48"/>
      <c r="AM2546" s="48"/>
      <c r="AN2546" s="48"/>
      <c r="AO2546" s="48"/>
      <c r="AP2546" s="48"/>
      <c r="AQ2546" s="48"/>
      <c r="AR2546" s="48"/>
      <c r="AS2546" s="48"/>
      <c r="AT2546" s="48"/>
      <c r="AU2546" s="48"/>
      <c r="AV2546" s="48"/>
      <c r="AW2546" s="48"/>
      <c r="AX2546" s="48"/>
      <c r="AY2546" s="48"/>
      <c r="AZ2546" s="48"/>
      <c r="BA2546" s="48"/>
      <c r="BB2546" s="48"/>
      <c r="BC2546" s="48"/>
      <c r="BD2546" s="48"/>
    </row>
    <row r="2547" spans="1:56">
      <c r="A2547" s="48"/>
      <c r="B2547" s="48"/>
      <c r="C2547" s="49"/>
      <c r="D2547" s="48"/>
      <c r="E2547" s="48"/>
      <c r="F2547" s="48"/>
      <c r="G2547" s="48"/>
      <c r="H2547" s="48"/>
      <c r="I2547" s="48"/>
      <c r="J2547" s="86"/>
      <c r="K2547" s="86"/>
      <c r="L2547" s="86"/>
      <c r="M2547" s="86"/>
      <c r="N2547" s="86"/>
      <c r="O2547" s="86"/>
      <c r="P2547" s="86"/>
      <c r="Q2547" s="86"/>
      <c r="R2547" s="86"/>
      <c r="S2547" s="86"/>
      <c r="T2547" s="86"/>
      <c r="U2547" s="86"/>
      <c r="V2547" s="48"/>
      <c r="W2547" s="48"/>
      <c r="X2547" s="48"/>
      <c r="Y2547" s="48"/>
      <c r="Z2547" s="48"/>
      <c r="AA2547" s="48"/>
      <c r="AB2547" s="48"/>
      <c r="AC2547" s="48"/>
      <c r="AD2547" s="48"/>
      <c r="AE2547" s="48"/>
      <c r="AF2547" s="48"/>
      <c r="AG2547" s="48"/>
      <c r="AH2547" s="48"/>
      <c r="AI2547" s="48"/>
      <c r="AJ2547" s="48"/>
      <c r="AK2547" s="48"/>
      <c r="AL2547" s="48"/>
      <c r="AM2547" s="48"/>
      <c r="AN2547" s="48"/>
      <c r="AO2547" s="48"/>
      <c r="AP2547" s="48"/>
      <c r="AQ2547" s="48"/>
      <c r="AR2547" s="48"/>
      <c r="AS2547" s="48"/>
      <c r="AT2547" s="48"/>
      <c r="AU2547" s="48"/>
      <c r="AV2547" s="48"/>
      <c r="AW2547" s="48"/>
      <c r="AX2547" s="48"/>
      <c r="AY2547" s="48"/>
      <c r="AZ2547" s="48"/>
      <c r="BA2547" s="48"/>
      <c r="BB2547" s="48"/>
      <c r="BC2547" s="48"/>
      <c r="BD2547" s="48"/>
    </row>
    <row r="2548" spans="1:56">
      <c r="A2548" s="48"/>
      <c r="B2548" s="48"/>
      <c r="C2548" s="49"/>
      <c r="D2548" s="48"/>
      <c r="E2548" s="48"/>
      <c r="F2548" s="48"/>
      <c r="G2548" s="48"/>
      <c r="H2548" s="48"/>
      <c r="I2548" s="48"/>
      <c r="J2548" s="86"/>
      <c r="K2548" s="86"/>
      <c r="L2548" s="86"/>
      <c r="M2548" s="86"/>
      <c r="N2548" s="86"/>
      <c r="O2548" s="86"/>
      <c r="P2548" s="86"/>
      <c r="Q2548" s="86"/>
      <c r="R2548" s="86"/>
      <c r="S2548" s="86"/>
      <c r="T2548" s="86"/>
      <c r="U2548" s="86"/>
      <c r="V2548" s="48"/>
      <c r="W2548" s="48"/>
      <c r="X2548" s="48"/>
      <c r="Y2548" s="48"/>
      <c r="Z2548" s="48"/>
      <c r="AA2548" s="48"/>
      <c r="AB2548" s="48"/>
      <c r="AC2548" s="48"/>
      <c r="AD2548" s="48"/>
      <c r="AE2548" s="48"/>
      <c r="AF2548" s="48"/>
      <c r="AG2548" s="48"/>
      <c r="AH2548" s="48"/>
      <c r="AI2548" s="48"/>
      <c r="AJ2548" s="48"/>
      <c r="AK2548" s="48"/>
      <c r="AL2548" s="48"/>
      <c r="AM2548" s="48"/>
      <c r="AN2548" s="48"/>
      <c r="AO2548" s="48"/>
      <c r="AP2548" s="48"/>
      <c r="AQ2548" s="48"/>
      <c r="AR2548" s="48"/>
      <c r="AS2548" s="48"/>
      <c r="AT2548" s="48"/>
      <c r="AU2548" s="48"/>
      <c r="AV2548" s="48"/>
      <c r="AW2548" s="48"/>
      <c r="AX2548" s="48"/>
      <c r="AY2548" s="48"/>
      <c r="AZ2548" s="48"/>
      <c r="BA2548" s="48"/>
      <c r="BB2548" s="48"/>
      <c r="BC2548" s="48"/>
      <c r="BD2548" s="48"/>
    </row>
    <row r="2549" spans="1:56">
      <c r="A2549" s="48"/>
      <c r="B2549" s="48"/>
      <c r="C2549" s="49"/>
      <c r="D2549" s="48"/>
      <c r="E2549" s="48"/>
      <c r="F2549" s="48"/>
      <c r="G2549" s="48"/>
      <c r="H2549" s="48"/>
      <c r="I2549" s="48"/>
      <c r="J2549" s="86"/>
      <c r="K2549" s="86"/>
      <c r="L2549" s="86"/>
      <c r="M2549" s="86"/>
      <c r="N2549" s="86"/>
      <c r="O2549" s="86"/>
      <c r="P2549" s="86"/>
      <c r="Q2549" s="86"/>
      <c r="R2549" s="86"/>
      <c r="S2549" s="86"/>
      <c r="T2549" s="86"/>
      <c r="U2549" s="86"/>
      <c r="V2549" s="48"/>
      <c r="W2549" s="48"/>
      <c r="X2549" s="48"/>
      <c r="Y2549" s="48"/>
      <c r="Z2549" s="48"/>
      <c r="AA2549" s="48"/>
      <c r="AB2549" s="48"/>
      <c r="AC2549" s="48"/>
      <c r="AD2549" s="48"/>
      <c r="AE2549" s="48"/>
      <c r="AF2549" s="48"/>
      <c r="AG2549" s="48"/>
      <c r="AH2549" s="48"/>
      <c r="AI2549" s="48"/>
      <c r="AJ2549" s="48"/>
      <c r="AK2549" s="48"/>
      <c r="AL2549" s="48"/>
      <c r="AM2549" s="48"/>
      <c r="AN2549" s="48"/>
      <c r="AO2549" s="48"/>
      <c r="AP2549" s="48"/>
      <c r="AQ2549" s="48"/>
      <c r="AR2549" s="48"/>
      <c r="AS2549" s="48"/>
      <c r="AT2549" s="48"/>
      <c r="AU2549" s="48"/>
      <c r="AV2549" s="48"/>
      <c r="AW2549" s="48"/>
      <c r="AX2549" s="48"/>
      <c r="AY2549" s="48"/>
      <c r="AZ2549" s="48"/>
      <c r="BA2549" s="48"/>
      <c r="BB2549" s="48"/>
      <c r="BC2549" s="48"/>
      <c r="BD2549" s="48"/>
    </row>
    <row r="2550" spans="1:56">
      <c r="A2550" s="48"/>
      <c r="B2550" s="48"/>
      <c r="C2550" s="49"/>
      <c r="D2550" s="48"/>
      <c r="E2550" s="48"/>
      <c r="F2550" s="48"/>
      <c r="G2550" s="48"/>
      <c r="H2550" s="48"/>
      <c r="I2550" s="48"/>
      <c r="J2550" s="86"/>
      <c r="K2550" s="86"/>
      <c r="L2550" s="86"/>
      <c r="M2550" s="86"/>
      <c r="N2550" s="86"/>
      <c r="O2550" s="86"/>
      <c r="P2550" s="86"/>
      <c r="Q2550" s="86"/>
      <c r="R2550" s="86"/>
      <c r="S2550" s="86"/>
      <c r="T2550" s="86"/>
      <c r="U2550" s="86"/>
      <c r="V2550" s="48"/>
      <c r="W2550" s="48"/>
      <c r="X2550" s="48"/>
      <c r="Y2550" s="48"/>
      <c r="Z2550" s="48"/>
      <c r="AA2550" s="48"/>
      <c r="AB2550" s="48"/>
      <c r="AC2550" s="48"/>
      <c r="AD2550" s="48"/>
      <c r="AE2550" s="48"/>
      <c r="AF2550" s="48"/>
      <c r="AG2550" s="48"/>
      <c r="AH2550" s="48"/>
      <c r="AI2550" s="48"/>
      <c r="AJ2550" s="48"/>
      <c r="AK2550" s="48"/>
      <c r="AL2550" s="48"/>
      <c r="AM2550" s="48"/>
      <c r="AN2550" s="48"/>
      <c r="AO2550" s="48"/>
      <c r="AP2550" s="48"/>
      <c r="AQ2550" s="48"/>
      <c r="AR2550" s="48"/>
      <c r="AS2550" s="48"/>
      <c r="AT2550" s="48"/>
      <c r="AU2550" s="48"/>
      <c r="AV2550" s="48"/>
      <c r="AW2550" s="48"/>
      <c r="AX2550" s="48"/>
      <c r="AY2550" s="48"/>
      <c r="AZ2550" s="48"/>
      <c r="BA2550" s="48"/>
      <c r="BB2550" s="48"/>
      <c r="BC2550" s="48"/>
      <c r="BD2550" s="48"/>
    </row>
    <row r="2551" spans="1:56">
      <c r="A2551" s="48"/>
      <c r="B2551" s="48"/>
      <c r="C2551" s="49"/>
      <c r="D2551" s="48"/>
      <c r="E2551" s="48"/>
      <c r="F2551" s="48"/>
      <c r="G2551" s="48"/>
      <c r="H2551" s="48"/>
      <c r="I2551" s="48"/>
      <c r="J2551" s="86"/>
      <c r="K2551" s="86"/>
      <c r="L2551" s="86"/>
      <c r="M2551" s="86"/>
      <c r="N2551" s="86"/>
      <c r="O2551" s="86"/>
      <c r="P2551" s="86"/>
      <c r="Q2551" s="86"/>
      <c r="R2551" s="86"/>
      <c r="S2551" s="86"/>
      <c r="T2551" s="86"/>
      <c r="U2551" s="86"/>
      <c r="V2551" s="48"/>
      <c r="W2551" s="48"/>
      <c r="X2551" s="48"/>
      <c r="Y2551" s="48"/>
      <c r="Z2551" s="48"/>
      <c r="AA2551" s="48"/>
      <c r="AB2551" s="48"/>
      <c r="AC2551" s="48"/>
      <c r="AD2551" s="48"/>
      <c r="AE2551" s="48"/>
      <c r="AF2551" s="48"/>
      <c r="AG2551" s="48"/>
      <c r="AH2551" s="48"/>
      <c r="AI2551" s="48"/>
      <c r="AJ2551" s="48"/>
      <c r="AK2551" s="48"/>
      <c r="AL2551" s="48"/>
      <c r="AM2551" s="48"/>
      <c r="AN2551" s="48"/>
      <c r="AO2551" s="48"/>
      <c r="AP2551" s="48"/>
      <c r="AQ2551" s="48"/>
      <c r="AR2551" s="48"/>
      <c r="AS2551" s="48"/>
      <c r="AT2551" s="48"/>
      <c r="AU2551" s="48"/>
      <c r="AV2551" s="48"/>
      <c r="AW2551" s="48"/>
      <c r="AX2551" s="48"/>
      <c r="AY2551" s="48"/>
      <c r="AZ2551" s="48"/>
      <c r="BA2551" s="48"/>
      <c r="BB2551" s="48"/>
      <c r="BC2551" s="48"/>
      <c r="BD2551" s="48"/>
    </row>
    <row r="2552" spans="1:56">
      <c r="A2552" s="48"/>
      <c r="B2552" s="48"/>
      <c r="C2552" s="49"/>
      <c r="D2552" s="48"/>
      <c r="E2552" s="48"/>
      <c r="F2552" s="48"/>
      <c r="G2552" s="48"/>
      <c r="H2552" s="48"/>
      <c r="I2552" s="48"/>
      <c r="J2552" s="86"/>
      <c r="K2552" s="86"/>
      <c r="L2552" s="86"/>
      <c r="M2552" s="86"/>
      <c r="N2552" s="86"/>
      <c r="O2552" s="86"/>
      <c r="P2552" s="86"/>
      <c r="Q2552" s="86"/>
      <c r="R2552" s="86"/>
      <c r="S2552" s="86"/>
      <c r="T2552" s="86"/>
      <c r="U2552" s="86"/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AL2552" s="48"/>
      <c r="AM2552" s="48"/>
      <c r="AN2552" s="48"/>
      <c r="AO2552" s="48"/>
      <c r="AP2552" s="48"/>
      <c r="AQ2552" s="48"/>
      <c r="AR2552" s="48"/>
      <c r="AS2552" s="48"/>
      <c r="AT2552" s="48"/>
      <c r="AU2552" s="48"/>
      <c r="AV2552" s="48"/>
      <c r="AW2552" s="48"/>
      <c r="AX2552" s="48"/>
      <c r="AY2552" s="48"/>
      <c r="AZ2552" s="48"/>
      <c r="BA2552" s="48"/>
      <c r="BB2552" s="48"/>
      <c r="BC2552" s="48"/>
      <c r="BD2552" s="48"/>
    </row>
    <row r="2553" spans="1:56">
      <c r="A2553" s="48"/>
      <c r="B2553" s="48"/>
      <c r="C2553" s="49"/>
      <c r="D2553" s="48"/>
      <c r="E2553" s="48"/>
      <c r="F2553" s="48"/>
      <c r="G2553" s="48"/>
      <c r="H2553" s="48"/>
      <c r="I2553" s="48"/>
      <c r="J2553" s="86"/>
      <c r="K2553" s="86"/>
      <c r="L2553" s="86"/>
      <c r="M2553" s="86"/>
      <c r="N2553" s="86"/>
      <c r="O2553" s="86"/>
      <c r="P2553" s="86"/>
      <c r="Q2553" s="86"/>
      <c r="R2553" s="86"/>
      <c r="S2553" s="86"/>
      <c r="T2553" s="86"/>
      <c r="U2553" s="86"/>
      <c r="V2553" s="48"/>
      <c r="W2553" s="48"/>
      <c r="X2553" s="48"/>
      <c r="Y2553" s="48"/>
      <c r="Z2553" s="48"/>
      <c r="AA2553" s="48"/>
      <c r="AB2553" s="48"/>
      <c r="AC2553" s="48"/>
      <c r="AD2553" s="48"/>
      <c r="AE2553" s="48"/>
      <c r="AF2553" s="48"/>
      <c r="AG2553" s="48"/>
      <c r="AH2553" s="48"/>
      <c r="AI2553" s="48"/>
      <c r="AJ2553" s="48"/>
      <c r="AK2553" s="48"/>
      <c r="AL2553" s="48"/>
      <c r="AM2553" s="48"/>
      <c r="AN2553" s="48"/>
      <c r="AO2553" s="48"/>
      <c r="AP2553" s="48"/>
      <c r="AQ2553" s="48"/>
      <c r="AR2553" s="48"/>
      <c r="AS2553" s="48"/>
      <c r="AT2553" s="48"/>
      <c r="AU2553" s="48"/>
      <c r="AV2553" s="48"/>
      <c r="AW2553" s="48"/>
      <c r="AX2553" s="48"/>
      <c r="AY2553" s="48"/>
      <c r="AZ2553" s="48"/>
      <c r="BA2553" s="48"/>
      <c r="BB2553" s="48"/>
      <c r="BC2553" s="48"/>
      <c r="BD2553" s="48"/>
    </row>
    <row r="2554" spans="1:56">
      <c r="A2554" s="48"/>
      <c r="B2554" s="48"/>
      <c r="C2554" s="49"/>
      <c r="D2554" s="48"/>
      <c r="E2554" s="48"/>
      <c r="F2554" s="48"/>
      <c r="G2554" s="48"/>
      <c r="H2554" s="48"/>
      <c r="I2554" s="48"/>
      <c r="J2554" s="86"/>
      <c r="K2554" s="86"/>
      <c r="L2554" s="86"/>
      <c r="M2554" s="86"/>
      <c r="N2554" s="86"/>
      <c r="O2554" s="86"/>
      <c r="P2554" s="86"/>
      <c r="Q2554" s="86"/>
      <c r="R2554" s="86"/>
      <c r="S2554" s="86"/>
      <c r="T2554" s="86"/>
      <c r="U2554" s="86"/>
      <c r="V2554" s="48"/>
      <c r="W2554" s="48"/>
      <c r="X2554" s="48"/>
      <c r="Y2554" s="48"/>
      <c r="Z2554" s="48"/>
      <c r="AA2554" s="48"/>
      <c r="AB2554" s="48"/>
      <c r="AC2554" s="48"/>
      <c r="AD2554" s="48"/>
      <c r="AE2554" s="48"/>
      <c r="AF2554" s="48"/>
      <c r="AG2554" s="48"/>
      <c r="AH2554" s="48"/>
      <c r="AI2554" s="48"/>
      <c r="AJ2554" s="48"/>
      <c r="AK2554" s="48"/>
      <c r="AL2554" s="48"/>
      <c r="AM2554" s="48"/>
      <c r="AN2554" s="48"/>
      <c r="AO2554" s="48"/>
      <c r="AP2554" s="48"/>
      <c r="AQ2554" s="48"/>
      <c r="AR2554" s="48"/>
      <c r="AS2554" s="48"/>
      <c r="AT2554" s="48"/>
      <c r="AU2554" s="48"/>
      <c r="AV2554" s="48"/>
      <c r="AW2554" s="48"/>
      <c r="AX2554" s="48"/>
      <c r="AY2554" s="48"/>
      <c r="AZ2554" s="48"/>
      <c r="BA2554" s="48"/>
      <c r="BB2554" s="48"/>
      <c r="BC2554" s="48"/>
      <c r="BD2554" s="48"/>
    </row>
    <row r="2555" spans="1:56">
      <c r="A2555" s="48"/>
      <c r="B2555" s="48"/>
      <c r="C2555" s="49"/>
      <c r="D2555" s="48"/>
      <c r="E2555" s="48"/>
      <c r="F2555" s="48"/>
      <c r="G2555" s="48"/>
      <c r="H2555" s="48"/>
      <c r="I2555" s="48"/>
      <c r="J2555" s="86"/>
      <c r="K2555" s="86"/>
      <c r="L2555" s="86"/>
      <c r="M2555" s="86"/>
      <c r="N2555" s="86"/>
      <c r="O2555" s="86"/>
      <c r="P2555" s="86"/>
      <c r="Q2555" s="86"/>
      <c r="R2555" s="86"/>
      <c r="S2555" s="86"/>
      <c r="T2555" s="86"/>
      <c r="U2555" s="86"/>
      <c r="V2555" s="48"/>
      <c r="W2555" s="48"/>
      <c r="X2555" s="48"/>
      <c r="Y2555" s="48"/>
      <c r="Z2555" s="48"/>
      <c r="AA2555" s="48"/>
      <c r="AB2555" s="48"/>
      <c r="AC2555" s="48"/>
      <c r="AD2555" s="48"/>
      <c r="AE2555" s="48"/>
      <c r="AF2555" s="48"/>
      <c r="AG2555" s="48"/>
      <c r="AH2555" s="48"/>
      <c r="AI2555" s="48"/>
      <c r="AJ2555" s="48"/>
      <c r="AK2555" s="48"/>
      <c r="AL2555" s="48"/>
      <c r="AM2555" s="48"/>
      <c r="AN2555" s="48"/>
      <c r="AO2555" s="48"/>
      <c r="AP2555" s="48"/>
      <c r="AQ2555" s="48"/>
      <c r="AR2555" s="48"/>
      <c r="AS2555" s="48"/>
      <c r="AT2555" s="48"/>
      <c r="AU2555" s="48"/>
      <c r="AV2555" s="48"/>
      <c r="AW2555" s="48"/>
      <c r="AX2555" s="48"/>
      <c r="AY2555" s="48"/>
      <c r="AZ2555" s="48"/>
      <c r="BA2555" s="48"/>
      <c r="BB2555" s="48"/>
      <c r="BC2555" s="48"/>
      <c r="BD2555" s="48"/>
    </row>
    <row r="2556" spans="1:56">
      <c r="A2556" s="48"/>
      <c r="B2556" s="48"/>
      <c r="C2556" s="49"/>
      <c r="D2556" s="48"/>
      <c r="E2556" s="48"/>
      <c r="F2556" s="48"/>
      <c r="G2556" s="48"/>
      <c r="H2556" s="48"/>
      <c r="I2556" s="48"/>
      <c r="J2556" s="86"/>
      <c r="K2556" s="86"/>
      <c r="L2556" s="86"/>
      <c r="M2556" s="86"/>
      <c r="N2556" s="86"/>
      <c r="O2556" s="86"/>
      <c r="P2556" s="86"/>
      <c r="Q2556" s="86"/>
      <c r="R2556" s="86"/>
      <c r="S2556" s="86"/>
      <c r="T2556" s="86"/>
      <c r="U2556" s="86"/>
      <c r="V2556" s="48"/>
      <c r="W2556" s="48"/>
      <c r="X2556" s="48"/>
      <c r="Y2556" s="48"/>
      <c r="Z2556" s="48"/>
      <c r="AA2556" s="48"/>
      <c r="AB2556" s="48"/>
      <c r="AC2556" s="48"/>
      <c r="AD2556" s="48"/>
      <c r="AE2556" s="48"/>
      <c r="AF2556" s="48"/>
      <c r="AG2556" s="48"/>
      <c r="AH2556" s="48"/>
      <c r="AI2556" s="48"/>
      <c r="AJ2556" s="48"/>
      <c r="AK2556" s="48"/>
      <c r="AL2556" s="48"/>
      <c r="AM2556" s="48"/>
      <c r="AN2556" s="48"/>
      <c r="AO2556" s="48"/>
      <c r="AP2556" s="48"/>
      <c r="AQ2556" s="48"/>
      <c r="AR2556" s="48"/>
      <c r="AS2556" s="48"/>
      <c r="AT2556" s="48"/>
      <c r="AU2556" s="48"/>
      <c r="AV2556" s="48"/>
      <c r="AW2556" s="48"/>
      <c r="AX2556" s="48"/>
      <c r="AY2556" s="48"/>
      <c r="AZ2556" s="48"/>
      <c r="BA2556" s="48"/>
      <c r="BB2556" s="48"/>
      <c r="BC2556" s="48"/>
      <c r="BD2556" s="48"/>
    </row>
    <row r="2557" spans="1:56">
      <c r="A2557" s="48"/>
      <c r="B2557" s="48"/>
      <c r="C2557" s="49"/>
      <c r="D2557" s="48"/>
      <c r="E2557" s="48"/>
      <c r="F2557" s="48"/>
      <c r="G2557" s="48"/>
      <c r="H2557" s="48"/>
      <c r="I2557" s="48"/>
      <c r="J2557" s="86"/>
      <c r="K2557" s="86"/>
      <c r="L2557" s="86"/>
      <c r="M2557" s="86"/>
      <c r="N2557" s="86"/>
      <c r="O2557" s="86"/>
      <c r="P2557" s="86"/>
      <c r="Q2557" s="86"/>
      <c r="R2557" s="86"/>
      <c r="S2557" s="86"/>
      <c r="T2557" s="86"/>
      <c r="U2557" s="86"/>
      <c r="V2557" s="48"/>
      <c r="W2557" s="48"/>
      <c r="X2557" s="48"/>
      <c r="Y2557" s="48"/>
      <c r="Z2557" s="48"/>
      <c r="AA2557" s="48"/>
      <c r="AB2557" s="48"/>
      <c r="AC2557" s="48"/>
      <c r="AD2557" s="48"/>
      <c r="AE2557" s="48"/>
      <c r="AF2557" s="48"/>
      <c r="AG2557" s="48"/>
      <c r="AH2557" s="48"/>
      <c r="AI2557" s="48"/>
      <c r="AJ2557" s="48"/>
      <c r="AK2557" s="48"/>
      <c r="AL2557" s="48"/>
      <c r="AM2557" s="48"/>
      <c r="AN2557" s="48"/>
      <c r="AO2557" s="48"/>
      <c r="AP2557" s="48"/>
      <c r="AQ2557" s="48"/>
      <c r="AR2557" s="48"/>
      <c r="AS2557" s="48"/>
      <c r="AT2557" s="48"/>
      <c r="AU2557" s="48"/>
      <c r="AV2557" s="48"/>
      <c r="AW2557" s="48"/>
      <c r="AX2557" s="48"/>
      <c r="AY2557" s="48"/>
      <c r="AZ2557" s="48"/>
      <c r="BA2557" s="48"/>
      <c r="BB2557" s="48"/>
      <c r="BC2557" s="48"/>
      <c r="BD2557" s="48"/>
    </row>
    <row r="2558" spans="1:56">
      <c r="A2558" s="48"/>
      <c r="B2558" s="48"/>
      <c r="C2558" s="49"/>
      <c r="D2558" s="48"/>
      <c r="E2558" s="48"/>
      <c r="F2558" s="48"/>
      <c r="G2558" s="48"/>
      <c r="H2558" s="48"/>
      <c r="I2558" s="48"/>
      <c r="J2558" s="86"/>
      <c r="K2558" s="86"/>
      <c r="L2558" s="86"/>
      <c r="M2558" s="86"/>
      <c r="N2558" s="86"/>
      <c r="O2558" s="86"/>
      <c r="P2558" s="86"/>
      <c r="Q2558" s="86"/>
      <c r="R2558" s="86"/>
      <c r="S2558" s="86"/>
      <c r="T2558" s="86"/>
      <c r="U2558" s="86"/>
      <c r="V2558" s="48"/>
      <c r="W2558" s="48"/>
      <c r="X2558" s="48"/>
      <c r="Y2558" s="48"/>
      <c r="Z2558" s="48"/>
      <c r="AA2558" s="48"/>
      <c r="AB2558" s="48"/>
      <c r="AC2558" s="48"/>
      <c r="AD2558" s="48"/>
      <c r="AE2558" s="48"/>
      <c r="AF2558" s="48"/>
      <c r="AG2558" s="48"/>
      <c r="AH2558" s="48"/>
      <c r="AI2558" s="48"/>
      <c r="AJ2558" s="48"/>
      <c r="AK2558" s="48"/>
      <c r="AL2558" s="48"/>
      <c r="AM2558" s="48"/>
      <c r="AN2558" s="48"/>
      <c r="AO2558" s="48"/>
      <c r="AP2558" s="48"/>
      <c r="AQ2558" s="48"/>
      <c r="AR2558" s="48"/>
      <c r="AS2558" s="48"/>
      <c r="AT2558" s="48"/>
      <c r="AU2558" s="48"/>
      <c r="AV2558" s="48"/>
      <c r="AW2558" s="48"/>
      <c r="AX2558" s="48"/>
      <c r="AY2558" s="48"/>
      <c r="AZ2558" s="48"/>
      <c r="BA2558" s="48"/>
      <c r="BB2558" s="48"/>
      <c r="BC2558" s="48"/>
      <c r="BD2558" s="48"/>
    </row>
    <row r="2559" spans="1:56">
      <c r="A2559" s="48"/>
      <c r="B2559" s="48"/>
      <c r="C2559" s="49"/>
      <c r="D2559" s="48"/>
      <c r="E2559" s="48"/>
      <c r="F2559" s="48"/>
      <c r="G2559" s="48"/>
      <c r="H2559" s="48"/>
      <c r="I2559" s="48"/>
      <c r="J2559" s="86"/>
      <c r="K2559" s="86"/>
      <c r="L2559" s="86"/>
      <c r="M2559" s="86"/>
      <c r="N2559" s="86"/>
      <c r="O2559" s="86"/>
      <c r="P2559" s="86"/>
      <c r="Q2559" s="86"/>
      <c r="R2559" s="86"/>
      <c r="S2559" s="86"/>
      <c r="T2559" s="86"/>
      <c r="U2559" s="86"/>
      <c r="V2559" s="48"/>
      <c r="W2559" s="48"/>
      <c r="X2559" s="48"/>
      <c r="Y2559" s="48"/>
      <c r="Z2559" s="48"/>
      <c r="AA2559" s="48"/>
      <c r="AB2559" s="48"/>
      <c r="AC2559" s="48"/>
      <c r="AD2559" s="48"/>
      <c r="AE2559" s="48"/>
      <c r="AF2559" s="48"/>
      <c r="AG2559" s="48"/>
      <c r="AH2559" s="48"/>
      <c r="AI2559" s="48"/>
      <c r="AJ2559" s="48"/>
      <c r="AK2559" s="48"/>
      <c r="AL2559" s="48"/>
      <c r="AM2559" s="48"/>
      <c r="AN2559" s="48"/>
      <c r="AO2559" s="48"/>
      <c r="AP2559" s="48"/>
      <c r="AQ2559" s="48"/>
      <c r="AR2559" s="48"/>
      <c r="AS2559" s="48"/>
      <c r="AT2559" s="48"/>
      <c r="AU2559" s="48"/>
      <c r="AV2559" s="48"/>
      <c r="AW2559" s="48"/>
      <c r="AX2559" s="48"/>
      <c r="AY2559" s="48"/>
      <c r="AZ2559" s="48"/>
      <c r="BA2559" s="48"/>
      <c r="BB2559" s="48"/>
      <c r="BC2559" s="48"/>
      <c r="BD2559" s="48"/>
    </row>
    <row r="2560" spans="1:56">
      <c r="A2560" s="48"/>
      <c r="B2560" s="48"/>
      <c r="C2560" s="49"/>
      <c r="D2560" s="48"/>
      <c r="E2560" s="48"/>
      <c r="F2560" s="48"/>
      <c r="G2560" s="48"/>
      <c r="H2560" s="48"/>
      <c r="I2560" s="48"/>
      <c r="J2560" s="86"/>
      <c r="K2560" s="86"/>
      <c r="L2560" s="86"/>
      <c r="M2560" s="86"/>
      <c r="N2560" s="86"/>
      <c r="O2560" s="86"/>
      <c r="P2560" s="86"/>
      <c r="Q2560" s="86"/>
      <c r="R2560" s="86"/>
      <c r="S2560" s="86"/>
      <c r="T2560" s="86"/>
      <c r="U2560" s="86"/>
      <c r="V2560" s="48"/>
      <c r="W2560" s="48"/>
      <c r="X2560" s="48"/>
      <c r="Y2560" s="48"/>
      <c r="Z2560" s="48"/>
      <c r="AA2560" s="48"/>
      <c r="AB2560" s="48"/>
      <c r="AC2560" s="48"/>
      <c r="AD2560" s="48"/>
      <c r="AE2560" s="48"/>
      <c r="AF2560" s="48"/>
      <c r="AG2560" s="48"/>
      <c r="AH2560" s="48"/>
      <c r="AI2560" s="48"/>
      <c r="AJ2560" s="48"/>
      <c r="AK2560" s="48"/>
      <c r="AL2560" s="48"/>
      <c r="AM2560" s="48"/>
      <c r="AN2560" s="48"/>
      <c r="AO2560" s="48"/>
      <c r="AP2560" s="48"/>
      <c r="AQ2560" s="48"/>
      <c r="AR2560" s="48"/>
      <c r="AS2560" s="48"/>
      <c r="AT2560" s="48"/>
      <c r="AU2560" s="48"/>
      <c r="AV2560" s="48"/>
      <c r="AW2560" s="48"/>
      <c r="AX2560" s="48"/>
      <c r="AY2560" s="48"/>
      <c r="AZ2560" s="48"/>
      <c r="BA2560" s="48"/>
      <c r="BB2560" s="48"/>
      <c r="BC2560" s="48"/>
      <c r="BD2560" s="48"/>
    </row>
    <row r="2561" spans="1:56">
      <c r="A2561" s="48"/>
      <c r="B2561" s="48"/>
      <c r="C2561" s="49"/>
      <c r="D2561" s="48"/>
      <c r="E2561" s="48"/>
      <c r="F2561" s="48"/>
      <c r="G2561" s="48"/>
      <c r="H2561" s="48"/>
      <c r="I2561" s="48"/>
      <c r="J2561" s="86"/>
      <c r="K2561" s="86"/>
      <c r="L2561" s="86"/>
      <c r="M2561" s="86"/>
      <c r="N2561" s="86"/>
      <c r="O2561" s="86"/>
      <c r="P2561" s="86"/>
      <c r="Q2561" s="86"/>
      <c r="R2561" s="86"/>
      <c r="S2561" s="86"/>
      <c r="T2561" s="86"/>
      <c r="U2561" s="86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I2561" s="48"/>
      <c r="AJ2561" s="48"/>
      <c r="AK2561" s="48"/>
      <c r="AL2561" s="48"/>
      <c r="AM2561" s="48"/>
      <c r="AN2561" s="48"/>
      <c r="AO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  <c r="AZ2561" s="48"/>
      <c r="BA2561" s="48"/>
      <c r="BB2561" s="48"/>
      <c r="BC2561" s="48"/>
      <c r="BD2561" s="48"/>
    </row>
    <row r="2562" spans="1:56">
      <c r="A2562" s="48"/>
      <c r="B2562" s="48"/>
      <c r="C2562" s="49"/>
      <c r="D2562" s="48"/>
      <c r="E2562" s="48"/>
      <c r="F2562" s="48"/>
      <c r="G2562" s="48"/>
      <c r="H2562" s="48"/>
      <c r="I2562" s="48"/>
      <c r="J2562" s="86"/>
      <c r="K2562" s="86"/>
      <c r="L2562" s="86"/>
      <c r="M2562" s="86"/>
      <c r="N2562" s="86"/>
      <c r="O2562" s="86"/>
      <c r="P2562" s="86"/>
      <c r="Q2562" s="86"/>
      <c r="R2562" s="86"/>
      <c r="S2562" s="86"/>
      <c r="T2562" s="86"/>
      <c r="U2562" s="86"/>
      <c r="V2562" s="48"/>
      <c r="W2562" s="48"/>
      <c r="X2562" s="48"/>
      <c r="Y2562" s="48"/>
      <c r="Z2562" s="48"/>
      <c r="AA2562" s="48"/>
      <c r="AB2562" s="48"/>
      <c r="AC2562" s="48"/>
      <c r="AD2562" s="48"/>
      <c r="AE2562" s="48"/>
      <c r="AF2562" s="48"/>
      <c r="AG2562" s="48"/>
      <c r="AH2562" s="48"/>
      <c r="AI2562" s="48"/>
      <c r="AJ2562" s="48"/>
      <c r="AK2562" s="48"/>
      <c r="AL2562" s="48"/>
      <c r="AM2562" s="48"/>
      <c r="AN2562" s="48"/>
      <c r="AO2562" s="48"/>
      <c r="AP2562" s="48"/>
      <c r="AQ2562" s="48"/>
      <c r="AR2562" s="48"/>
      <c r="AS2562" s="48"/>
      <c r="AT2562" s="48"/>
      <c r="AU2562" s="48"/>
      <c r="AV2562" s="48"/>
      <c r="AW2562" s="48"/>
      <c r="AX2562" s="48"/>
      <c r="AY2562" s="48"/>
      <c r="AZ2562" s="48"/>
      <c r="BA2562" s="48"/>
      <c r="BB2562" s="48"/>
      <c r="BC2562" s="48"/>
      <c r="BD2562" s="48"/>
    </row>
    <row r="2563" spans="1:56">
      <c r="A2563" s="48"/>
      <c r="B2563" s="48"/>
      <c r="C2563" s="49"/>
      <c r="D2563" s="48"/>
      <c r="E2563" s="48"/>
      <c r="F2563" s="48"/>
      <c r="G2563" s="48"/>
      <c r="H2563" s="48"/>
      <c r="I2563" s="48"/>
      <c r="J2563" s="86"/>
      <c r="K2563" s="86"/>
      <c r="L2563" s="86"/>
      <c r="M2563" s="86"/>
      <c r="N2563" s="86"/>
      <c r="O2563" s="86"/>
      <c r="P2563" s="86"/>
      <c r="Q2563" s="86"/>
      <c r="R2563" s="86"/>
      <c r="S2563" s="86"/>
      <c r="T2563" s="86"/>
      <c r="U2563" s="86"/>
      <c r="V2563" s="48"/>
      <c r="W2563" s="48"/>
      <c r="X2563" s="48"/>
      <c r="Y2563" s="48"/>
      <c r="Z2563" s="48"/>
      <c r="AA2563" s="48"/>
      <c r="AB2563" s="48"/>
      <c r="AC2563" s="48"/>
      <c r="AD2563" s="48"/>
      <c r="AE2563" s="48"/>
      <c r="AF2563" s="48"/>
      <c r="AG2563" s="48"/>
      <c r="AH2563" s="48"/>
      <c r="AI2563" s="48"/>
      <c r="AJ2563" s="48"/>
      <c r="AK2563" s="48"/>
      <c r="AL2563" s="48"/>
      <c r="AM2563" s="48"/>
      <c r="AN2563" s="48"/>
      <c r="AO2563" s="48"/>
      <c r="AP2563" s="48"/>
      <c r="AQ2563" s="48"/>
      <c r="AR2563" s="48"/>
      <c r="AS2563" s="48"/>
      <c r="AT2563" s="48"/>
      <c r="AU2563" s="48"/>
      <c r="AV2563" s="48"/>
      <c r="AW2563" s="48"/>
      <c r="AX2563" s="48"/>
      <c r="AY2563" s="48"/>
      <c r="AZ2563" s="48"/>
      <c r="BA2563" s="48"/>
      <c r="BB2563" s="48"/>
      <c r="BC2563" s="48"/>
      <c r="BD2563" s="48"/>
    </row>
    <row r="2564" spans="1:56">
      <c r="A2564" s="48"/>
      <c r="B2564" s="48"/>
      <c r="C2564" s="49"/>
      <c r="D2564" s="48"/>
      <c r="E2564" s="48"/>
      <c r="F2564" s="48"/>
      <c r="G2564" s="48"/>
      <c r="H2564" s="48"/>
      <c r="I2564" s="48"/>
      <c r="J2564" s="86"/>
      <c r="K2564" s="86"/>
      <c r="L2564" s="86"/>
      <c r="M2564" s="86"/>
      <c r="N2564" s="86"/>
      <c r="O2564" s="86"/>
      <c r="P2564" s="86"/>
      <c r="Q2564" s="86"/>
      <c r="R2564" s="86"/>
      <c r="S2564" s="86"/>
      <c r="T2564" s="86"/>
      <c r="U2564" s="86"/>
      <c r="V2564" s="48"/>
      <c r="W2564" s="48"/>
      <c r="X2564" s="48"/>
      <c r="Y2564" s="48"/>
      <c r="Z2564" s="48"/>
      <c r="AA2564" s="48"/>
      <c r="AB2564" s="48"/>
      <c r="AC2564" s="48"/>
      <c r="AD2564" s="48"/>
      <c r="AE2564" s="48"/>
      <c r="AF2564" s="48"/>
      <c r="AG2564" s="48"/>
      <c r="AH2564" s="48"/>
      <c r="AI2564" s="48"/>
      <c r="AJ2564" s="48"/>
      <c r="AK2564" s="48"/>
      <c r="AL2564" s="48"/>
      <c r="AM2564" s="48"/>
      <c r="AN2564" s="48"/>
      <c r="AO2564" s="48"/>
      <c r="AP2564" s="48"/>
      <c r="AQ2564" s="48"/>
      <c r="AR2564" s="48"/>
      <c r="AS2564" s="48"/>
      <c r="AT2564" s="48"/>
      <c r="AU2564" s="48"/>
      <c r="AV2564" s="48"/>
      <c r="AW2564" s="48"/>
      <c r="AX2564" s="48"/>
      <c r="AY2564" s="48"/>
      <c r="AZ2564" s="48"/>
      <c r="BA2564" s="48"/>
      <c r="BB2564" s="48"/>
      <c r="BC2564" s="48"/>
      <c r="BD2564" s="48"/>
    </row>
    <row r="2565" spans="1:56">
      <c r="A2565" s="48"/>
      <c r="B2565" s="48"/>
      <c r="C2565" s="49"/>
      <c r="D2565" s="48"/>
      <c r="E2565" s="48"/>
      <c r="F2565" s="48"/>
      <c r="G2565" s="48"/>
      <c r="H2565" s="48"/>
      <c r="I2565" s="48"/>
      <c r="J2565" s="86"/>
      <c r="K2565" s="86"/>
      <c r="L2565" s="86"/>
      <c r="M2565" s="86"/>
      <c r="N2565" s="86"/>
      <c r="O2565" s="86"/>
      <c r="P2565" s="86"/>
      <c r="Q2565" s="86"/>
      <c r="R2565" s="86"/>
      <c r="S2565" s="86"/>
      <c r="T2565" s="86"/>
      <c r="U2565" s="86"/>
      <c r="V2565" s="48"/>
      <c r="W2565" s="48"/>
      <c r="X2565" s="48"/>
      <c r="Y2565" s="48"/>
      <c r="Z2565" s="48"/>
      <c r="AA2565" s="48"/>
      <c r="AB2565" s="48"/>
      <c r="AC2565" s="48"/>
      <c r="AD2565" s="48"/>
      <c r="AE2565" s="48"/>
      <c r="AF2565" s="48"/>
      <c r="AG2565" s="48"/>
      <c r="AH2565" s="48"/>
      <c r="AI2565" s="48"/>
      <c r="AJ2565" s="48"/>
      <c r="AK2565" s="48"/>
      <c r="AL2565" s="48"/>
      <c r="AM2565" s="48"/>
      <c r="AN2565" s="48"/>
      <c r="AO2565" s="48"/>
      <c r="AP2565" s="48"/>
      <c r="AQ2565" s="48"/>
      <c r="AR2565" s="48"/>
      <c r="AS2565" s="48"/>
      <c r="AT2565" s="48"/>
      <c r="AU2565" s="48"/>
      <c r="AV2565" s="48"/>
      <c r="AW2565" s="48"/>
      <c r="AX2565" s="48"/>
      <c r="AY2565" s="48"/>
      <c r="AZ2565" s="48"/>
      <c r="BA2565" s="48"/>
      <c r="BB2565" s="48"/>
      <c r="BC2565" s="48"/>
      <c r="BD2565" s="48"/>
    </row>
    <row r="2566" spans="1:56">
      <c r="A2566" s="48"/>
      <c r="B2566" s="48"/>
      <c r="C2566" s="49"/>
      <c r="D2566" s="48"/>
      <c r="E2566" s="48"/>
      <c r="F2566" s="48"/>
      <c r="G2566" s="48"/>
      <c r="H2566" s="48"/>
      <c r="I2566" s="48"/>
      <c r="J2566" s="86"/>
      <c r="K2566" s="86"/>
      <c r="L2566" s="86"/>
      <c r="M2566" s="86"/>
      <c r="N2566" s="86"/>
      <c r="O2566" s="86"/>
      <c r="P2566" s="86"/>
      <c r="Q2566" s="86"/>
      <c r="R2566" s="86"/>
      <c r="S2566" s="86"/>
      <c r="T2566" s="86"/>
      <c r="U2566" s="86"/>
      <c r="V2566" s="48"/>
      <c r="W2566" s="48"/>
      <c r="X2566" s="48"/>
      <c r="Y2566" s="48"/>
      <c r="Z2566" s="48"/>
      <c r="AA2566" s="48"/>
      <c r="AB2566" s="48"/>
      <c r="AC2566" s="48"/>
      <c r="AD2566" s="48"/>
      <c r="AE2566" s="48"/>
      <c r="AF2566" s="48"/>
      <c r="AG2566" s="48"/>
      <c r="AH2566" s="48"/>
      <c r="AI2566" s="48"/>
      <c r="AJ2566" s="48"/>
      <c r="AK2566" s="48"/>
      <c r="AL2566" s="48"/>
      <c r="AM2566" s="48"/>
      <c r="AN2566" s="48"/>
      <c r="AO2566" s="48"/>
      <c r="AP2566" s="48"/>
      <c r="AQ2566" s="48"/>
      <c r="AR2566" s="48"/>
      <c r="AS2566" s="48"/>
      <c r="AT2566" s="48"/>
      <c r="AU2566" s="48"/>
      <c r="AV2566" s="48"/>
      <c r="AW2566" s="48"/>
      <c r="AX2566" s="48"/>
      <c r="AY2566" s="48"/>
      <c r="AZ2566" s="48"/>
      <c r="BA2566" s="48"/>
      <c r="BB2566" s="48"/>
      <c r="BC2566" s="48"/>
      <c r="BD2566" s="48"/>
    </row>
    <row r="2567" spans="1:56">
      <c r="A2567" s="48"/>
      <c r="B2567" s="48"/>
      <c r="C2567" s="49"/>
      <c r="D2567" s="48"/>
      <c r="E2567" s="48"/>
      <c r="F2567" s="48"/>
      <c r="G2567" s="48"/>
      <c r="H2567" s="48"/>
      <c r="I2567" s="48"/>
      <c r="J2567" s="86"/>
      <c r="K2567" s="86"/>
      <c r="L2567" s="86"/>
      <c r="M2567" s="86"/>
      <c r="N2567" s="86"/>
      <c r="O2567" s="86"/>
      <c r="P2567" s="86"/>
      <c r="Q2567" s="86"/>
      <c r="R2567" s="86"/>
      <c r="S2567" s="86"/>
      <c r="T2567" s="86"/>
      <c r="U2567" s="86"/>
      <c r="V2567" s="48"/>
      <c r="W2567" s="48"/>
      <c r="X2567" s="48"/>
      <c r="Y2567" s="48"/>
      <c r="Z2567" s="48"/>
      <c r="AA2567" s="48"/>
      <c r="AB2567" s="48"/>
      <c r="AC2567" s="48"/>
      <c r="AD2567" s="48"/>
      <c r="AE2567" s="48"/>
      <c r="AF2567" s="48"/>
      <c r="AG2567" s="48"/>
      <c r="AH2567" s="48"/>
      <c r="AI2567" s="48"/>
      <c r="AJ2567" s="48"/>
      <c r="AK2567" s="48"/>
      <c r="AL2567" s="48"/>
      <c r="AM2567" s="48"/>
      <c r="AN2567" s="48"/>
      <c r="AO2567" s="48"/>
      <c r="AP2567" s="48"/>
      <c r="AQ2567" s="48"/>
      <c r="AR2567" s="48"/>
      <c r="AS2567" s="48"/>
      <c r="AT2567" s="48"/>
      <c r="AU2567" s="48"/>
      <c r="AV2567" s="48"/>
      <c r="AW2567" s="48"/>
      <c r="AX2567" s="48"/>
      <c r="AY2567" s="48"/>
      <c r="AZ2567" s="48"/>
      <c r="BA2567" s="48"/>
      <c r="BB2567" s="48"/>
      <c r="BC2567" s="48"/>
      <c r="BD2567" s="48"/>
    </row>
    <row r="2568" spans="1:56">
      <c r="A2568" s="48"/>
      <c r="B2568" s="48"/>
      <c r="C2568" s="49"/>
      <c r="D2568" s="48"/>
      <c r="E2568" s="48"/>
      <c r="F2568" s="48"/>
      <c r="G2568" s="48"/>
      <c r="H2568" s="48"/>
      <c r="I2568" s="48"/>
      <c r="J2568" s="86"/>
      <c r="K2568" s="86"/>
      <c r="L2568" s="86"/>
      <c r="M2568" s="86"/>
      <c r="N2568" s="86"/>
      <c r="O2568" s="86"/>
      <c r="P2568" s="86"/>
      <c r="Q2568" s="86"/>
      <c r="R2568" s="86"/>
      <c r="S2568" s="86"/>
      <c r="T2568" s="86"/>
      <c r="U2568" s="86"/>
      <c r="V2568" s="48"/>
      <c r="W2568" s="48"/>
      <c r="X2568" s="48"/>
      <c r="Y2568" s="48"/>
      <c r="Z2568" s="48"/>
      <c r="AA2568" s="48"/>
      <c r="AB2568" s="48"/>
      <c r="AC2568" s="48"/>
      <c r="AD2568" s="48"/>
      <c r="AE2568" s="48"/>
      <c r="AF2568" s="48"/>
      <c r="AG2568" s="48"/>
      <c r="AH2568" s="48"/>
      <c r="AI2568" s="48"/>
      <c r="AJ2568" s="48"/>
      <c r="AK2568" s="48"/>
      <c r="AL2568" s="48"/>
      <c r="AM2568" s="48"/>
      <c r="AN2568" s="48"/>
      <c r="AO2568" s="48"/>
      <c r="AP2568" s="48"/>
      <c r="AQ2568" s="48"/>
      <c r="AR2568" s="48"/>
      <c r="AS2568" s="48"/>
      <c r="AT2568" s="48"/>
      <c r="AU2568" s="48"/>
      <c r="AV2568" s="48"/>
      <c r="AW2568" s="48"/>
      <c r="AX2568" s="48"/>
      <c r="AY2568" s="48"/>
      <c r="AZ2568" s="48"/>
      <c r="BA2568" s="48"/>
      <c r="BB2568" s="48"/>
      <c r="BC2568" s="48"/>
      <c r="BD2568" s="48"/>
    </row>
    <row r="2569" spans="1:56">
      <c r="A2569" s="48"/>
      <c r="B2569" s="48"/>
      <c r="C2569" s="49"/>
      <c r="D2569" s="48"/>
      <c r="E2569" s="48"/>
      <c r="F2569" s="48"/>
      <c r="G2569" s="48"/>
      <c r="H2569" s="48"/>
      <c r="I2569" s="48"/>
      <c r="J2569" s="86"/>
      <c r="K2569" s="86"/>
      <c r="L2569" s="86"/>
      <c r="M2569" s="86"/>
      <c r="N2569" s="86"/>
      <c r="O2569" s="86"/>
      <c r="P2569" s="86"/>
      <c r="Q2569" s="86"/>
      <c r="R2569" s="86"/>
      <c r="S2569" s="86"/>
      <c r="T2569" s="86"/>
      <c r="U2569" s="86"/>
      <c r="V2569" s="48"/>
      <c r="W2569" s="48"/>
      <c r="X2569" s="48"/>
      <c r="Y2569" s="48"/>
      <c r="Z2569" s="48"/>
      <c r="AA2569" s="48"/>
      <c r="AB2569" s="48"/>
      <c r="AC2569" s="48"/>
      <c r="AD2569" s="48"/>
      <c r="AE2569" s="48"/>
      <c r="AF2569" s="48"/>
      <c r="AG2569" s="48"/>
      <c r="AH2569" s="48"/>
      <c r="AI2569" s="48"/>
      <c r="AJ2569" s="48"/>
      <c r="AK2569" s="48"/>
      <c r="AL2569" s="48"/>
      <c r="AM2569" s="48"/>
      <c r="AN2569" s="48"/>
      <c r="AO2569" s="48"/>
      <c r="AP2569" s="48"/>
      <c r="AQ2569" s="48"/>
      <c r="AR2569" s="48"/>
      <c r="AS2569" s="48"/>
      <c r="AT2569" s="48"/>
      <c r="AU2569" s="48"/>
      <c r="AV2569" s="48"/>
      <c r="AW2569" s="48"/>
      <c r="AX2569" s="48"/>
      <c r="AY2569" s="48"/>
      <c r="AZ2569" s="48"/>
      <c r="BA2569" s="48"/>
      <c r="BB2569" s="48"/>
      <c r="BC2569" s="48"/>
      <c r="BD2569" s="48"/>
    </row>
    <row r="2570" spans="1:56">
      <c r="A2570" s="48"/>
      <c r="B2570" s="48"/>
      <c r="C2570" s="49"/>
      <c r="D2570" s="48"/>
      <c r="E2570" s="48"/>
      <c r="F2570" s="48"/>
      <c r="G2570" s="48"/>
      <c r="H2570" s="48"/>
      <c r="I2570" s="48"/>
      <c r="J2570" s="86"/>
      <c r="K2570" s="86"/>
      <c r="L2570" s="86"/>
      <c r="M2570" s="86"/>
      <c r="N2570" s="86"/>
      <c r="O2570" s="86"/>
      <c r="P2570" s="86"/>
      <c r="Q2570" s="86"/>
      <c r="R2570" s="86"/>
      <c r="S2570" s="86"/>
      <c r="T2570" s="86"/>
      <c r="U2570" s="86"/>
      <c r="V2570" s="48"/>
      <c r="W2570" s="48"/>
      <c r="X2570" s="48"/>
      <c r="Y2570" s="48"/>
      <c r="Z2570" s="48"/>
      <c r="AA2570" s="48"/>
      <c r="AB2570" s="48"/>
      <c r="AC2570" s="48"/>
      <c r="AD2570" s="48"/>
      <c r="AE2570" s="48"/>
      <c r="AF2570" s="48"/>
      <c r="AG2570" s="48"/>
      <c r="AH2570" s="48"/>
      <c r="AI2570" s="48"/>
      <c r="AJ2570" s="48"/>
      <c r="AK2570" s="48"/>
      <c r="AL2570" s="48"/>
      <c r="AM2570" s="48"/>
      <c r="AN2570" s="48"/>
      <c r="AO2570" s="48"/>
      <c r="AP2570" s="48"/>
      <c r="AQ2570" s="48"/>
      <c r="AR2570" s="48"/>
      <c r="AS2570" s="48"/>
      <c r="AT2570" s="48"/>
      <c r="AU2570" s="48"/>
      <c r="AV2570" s="48"/>
      <c r="AW2570" s="48"/>
      <c r="AX2570" s="48"/>
      <c r="AY2570" s="48"/>
      <c r="AZ2570" s="48"/>
      <c r="BA2570" s="48"/>
      <c r="BB2570" s="48"/>
      <c r="BC2570" s="48"/>
      <c r="BD2570" s="48"/>
    </row>
    <row r="2571" spans="1:56">
      <c r="A2571" s="48"/>
      <c r="B2571" s="48"/>
      <c r="C2571" s="49"/>
      <c r="D2571" s="48"/>
      <c r="E2571" s="48"/>
      <c r="F2571" s="48"/>
      <c r="G2571" s="48"/>
      <c r="H2571" s="48"/>
      <c r="I2571" s="48"/>
      <c r="J2571" s="86"/>
      <c r="K2571" s="86"/>
      <c r="L2571" s="86"/>
      <c r="M2571" s="86"/>
      <c r="N2571" s="86"/>
      <c r="O2571" s="86"/>
      <c r="P2571" s="86"/>
      <c r="Q2571" s="86"/>
      <c r="R2571" s="86"/>
      <c r="S2571" s="86"/>
      <c r="T2571" s="86"/>
      <c r="U2571" s="86"/>
      <c r="V2571" s="48"/>
      <c r="W2571" s="48"/>
      <c r="X2571" s="48"/>
      <c r="Y2571" s="48"/>
      <c r="Z2571" s="48"/>
      <c r="AA2571" s="48"/>
      <c r="AB2571" s="48"/>
      <c r="AC2571" s="48"/>
      <c r="AD2571" s="48"/>
      <c r="AE2571" s="48"/>
      <c r="AF2571" s="48"/>
      <c r="AG2571" s="48"/>
      <c r="AH2571" s="48"/>
      <c r="AI2571" s="48"/>
      <c r="AJ2571" s="48"/>
      <c r="AK2571" s="48"/>
      <c r="AL2571" s="48"/>
      <c r="AM2571" s="48"/>
      <c r="AN2571" s="48"/>
      <c r="AO2571" s="48"/>
      <c r="AP2571" s="48"/>
      <c r="AQ2571" s="48"/>
      <c r="AR2571" s="48"/>
      <c r="AS2571" s="48"/>
      <c r="AT2571" s="48"/>
      <c r="AU2571" s="48"/>
      <c r="AV2571" s="48"/>
      <c r="AW2571" s="48"/>
      <c r="AX2571" s="48"/>
      <c r="AY2571" s="48"/>
      <c r="AZ2571" s="48"/>
      <c r="BA2571" s="48"/>
      <c r="BB2571" s="48"/>
      <c r="BC2571" s="48"/>
      <c r="BD2571" s="48"/>
    </row>
    <row r="2572" spans="1:56">
      <c r="A2572" s="48"/>
      <c r="B2572" s="48"/>
      <c r="C2572" s="49"/>
      <c r="D2572" s="48"/>
      <c r="E2572" s="48"/>
      <c r="F2572" s="48"/>
      <c r="G2572" s="48"/>
      <c r="H2572" s="48"/>
      <c r="I2572" s="48"/>
      <c r="J2572" s="86"/>
      <c r="K2572" s="86"/>
      <c r="L2572" s="86"/>
      <c r="M2572" s="86"/>
      <c r="N2572" s="86"/>
      <c r="O2572" s="86"/>
      <c r="P2572" s="86"/>
      <c r="Q2572" s="86"/>
      <c r="R2572" s="86"/>
      <c r="S2572" s="86"/>
      <c r="T2572" s="86"/>
      <c r="U2572" s="86"/>
      <c r="V2572" s="48"/>
      <c r="W2572" s="48"/>
      <c r="X2572" s="48"/>
      <c r="Y2572" s="48"/>
      <c r="Z2572" s="48"/>
      <c r="AA2572" s="48"/>
      <c r="AB2572" s="48"/>
      <c r="AC2572" s="48"/>
      <c r="AD2572" s="48"/>
      <c r="AE2572" s="48"/>
      <c r="AF2572" s="48"/>
      <c r="AG2572" s="48"/>
      <c r="AH2572" s="48"/>
      <c r="AI2572" s="48"/>
      <c r="AJ2572" s="48"/>
      <c r="AK2572" s="48"/>
      <c r="AL2572" s="48"/>
      <c r="AM2572" s="48"/>
      <c r="AN2572" s="48"/>
      <c r="AO2572" s="48"/>
      <c r="AP2572" s="48"/>
      <c r="AQ2572" s="48"/>
      <c r="AR2572" s="48"/>
      <c r="AS2572" s="48"/>
      <c r="AT2572" s="48"/>
      <c r="AU2572" s="48"/>
      <c r="AV2572" s="48"/>
      <c r="AW2572" s="48"/>
      <c r="AX2572" s="48"/>
      <c r="AY2572" s="48"/>
      <c r="AZ2572" s="48"/>
      <c r="BA2572" s="48"/>
      <c r="BB2572" s="48"/>
      <c r="BC2572" s="48"/>
      <c r="BD2572" s="48"/>
    </row>
    <row r="2573" spans="1:56">
      <c r="A2573" s="48"/>
      <c r="B2573" s="48"/>
      <c r="C2573" s="49"/>
      <c r="D2573" s="48"/>
      <c r="E2573" s="48"/>
      <c r="F2573" s="48"/>
      <c r="G2573" s="48"/>
      <c r="H2573" s="48"/>
      <c r="I2573" s="48"/>
      <c r="J2573" s="86"/>
      <c r="K2573" s="86"/>
      <c r="L2573" s="86"/>
      <c r="M2573" s="86"/>
      <c r="N2573" s="86"/>
      <c r="O2573" s="86"/>
      <c r="P2573" s="86"/>
      <c r="Q2573" s="86"/>
      <c r="R2573" s="86"/>
      <c r="S2573" s="86"/>
      <c r="T2573" s="86"/>
      <c r="U2573" s="86"/>
      <c r="V2573" s="48"/>
      <c r="W2573" s="48"/>
      <c r="X2573" s="48"/>
      <c r="Y2573" s="48"/>
      <c r="Z2573" s="48"/>
      <c r="AA2573" s="48"/>
      <c r="AB2573" s="48"/>
      <c r="AC2573" s="48"/>
      <c r="AD2573" s="48"/>
      <c r="AE2573" s="48"/>
      <c r="AF2573" s="48"/>
      <c r="AG2573" s="48"/>
      <c r="AH2573" s="48"/>
      <c r="AI2573" s="48"/>
      <c r="AJ2573" s="48"/>
      <c r="AK2573" s="48"/>
      <c r="AL2573" s="48"/>
      <c r="AM2573" s="48"/>
      <c r="AN2573" s="48"/>
      <c r="AO2573" s="48"/>
      <c r="AP2573" s="48"/>
      <c r="AQ2573" s="48"/>
      <c r="AR2573" s="48"/>
      <c r="AS2573" s="48"/>
      <c r="AT2573" s="48"/>
      <c r="AU2573" s="48"/>
      <c r="AV2573" s="48"/>
      <c r="AW2573" s="48"/>
      <c r="AX2573" s="48"/>
      <c r="AY2573" s="48"/>
      <c r="AZ2573" s="48"/>
      <c r="BA2573" s="48"/>
      <c r="BB2573" s="48"/>
      <c r="BC2573" s="48"/>
      <c r="BD2573" s="48"/>
    </row>
    <row r="2574" spans="1:56">
      <c r="A2574" s="48"/>
      <c r="B2574" s="48"/>
      <c r="C2574" s="49"/>
      <c r="D2574" s="48"/>
      <c r="E2574" s="48"/>
      <c r="F2574" s="48"/>
      <c r="G2574" s="48"/>
      <c r="H2574" s="48"/>
      <c r="I2574" s="48"/>
      <c r="J2574" s="86"/>
      <c r="K2574" s="86"/>
      <c r="L2574" s="86"/>
      <c r="M2574" s="86"/>
      <c r="N2574" s="86"/>
      <c r="O2574" s="86"/>
      <c r="P2574" s="86"/>
      <c r="Q2574" s="86"/>
      <c r="R2574" s="86"/>
      <c r="S2574" s="86"/>
      <c r="T2574" s="86"/>
      <c r="U2574" s="86"/>
      <c r="V2574" s="48"/>
      <c r="W2574" s="48"/>
      <c r="X2574" s="48"/>
      <c r="Y2574" s="48"/>
      <c r="Z2574" s="48"/>
      <c r="AA2574" s="48"/>
      <c r="AB2574" s="48"/>
      <c r="AC2574" s="48"/>
      <c r="AD2574" s="48"/>
      <c r="AE2574" s="48"/>
      <c r="AF2574" s="48"/>
      <c r="AG2574" s="48"/>
      <c r="AH2574" s="48"/>
      <c r="AI2574" s="48"/>
      <c r="AJ2574" s="48"/>
      <c r="AK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48"/>
      <c r="BB2574" s="48"/>
      <c r="BC2574" s="48"/>
      <c r="BD2574" s="48"/>
    </row>
    <row r="2575" spans="1:56">
      <c r="A2575" s="48"/>
      <c r="B2575" s="48"/>
      <c r="C2575" s="49"/>
      <c r="D2575" s="48"/>
      <c r="E2575" s="48"/>
      <c r="F2575" s="48"/>
      <c r="G2575" s="48"/>
      <c r="H2575" s="48"/>
      <c r="I2575" s="48"/>
      <c r="J2575" s="86"/>
      <c r="K2575" s="86"/>
      <c r="L2575" s="86"/>
      <c r="M2575" s="86"/>
      <c r="N2575" s="86"/>
      <c r="O2575" s="86"/>
      <c r="P2575" s="86"/>
      <c r="Q2575" s="86"/>
      <c r="R2575" s="86"/>
      <c r="S2575" s="86"/>
      <c r="T2575" s="86"/>
      <c r="U2575" s="86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  <c r="AV2575" s="48"/>
      <c r="AW2575" s="48"/>
      <c r="AX2575" s="48"/>
      <c r="AY2575" s="48"/>
      <c r="AZ2575" s="48"/>
      <c r="BA2575" s="48"/>
      <c r="BB2575" s="48"/>
      <c r="BC2575" s="48"/>
      <c r="BD2575" s="48"/>
    </row>
    <row r="2576" spans="1:56">
      <c r="A2576" s="48"/>
      <c r="B2576" s="48"/>
      <c r="C2576" s="49"/>
      <c r="D2576" s="48"/>
      <c r="E2576" s="48"/>
      <c r="F2576" s="48"/>
      <c r="G2576" s="48"/>
      <c r="H2576" s="48"/>
      <c r="I2576" s="48"/>
      <c r="J2576" s="86"/>
      <c r="K2576" s="86"/>
      <c r="L2576" s="86"/>
      <c r="M2576" s="86"/>
      <c r="N2576" s="86"/>
      <c r="O2576" s="86"/>
      <c r="P2576" s="86"/>
      <c r="Q2576" s="86"/>
      <c r="R2576" s="86"/>
      <c r="S2576" s="86"/>
      <c r="T2576" s="86"/>
      <c r="U2576" s="86"/>
      <c r="V2576" s="48"/>
      <c r="W2576" s="48"/>
      <c r="X2576" s="48"/>
      <c r="Y2576" s="48"/>
      <c r="Z2576" s="48"/>
      <c r="AA2576" s="48"/>
      <c r="AB2576" s="48"/>
      <c r="AC2576" s="48"/>
      <c r="AD2576" s="48"/>
      <c r="AE2576" s="48"/>
      <c r="AF2576" s="48"/>
      <c r="AG2576" s="48"/>
      <c r="AH2576" s="48"/>
      <c r="AI2576" s="48"/>
      <c r="AJ2576" s="48"/>
      <c r="AK2576" s="48"/>
      <c r="AL2576" s="48"/>
      <c r="AM2576" s="48"/>
      <c r="AN2576" s="48"/>
      <c r="AO2576" s="48"/>
      <c r="AP2576" s="48"/>
      <c r="AQ2576" s="48"/>
      <c r="AR2576" s="48"/>
      <c r="AS2576" s="48"/>
      <c r="AT2576" s="48"/>
      <c r="AU2576" s="48"/>
      <c r="AV2576" s="48"/>
      <c r="AW2576" s="48"/>
      <c r="AX2576" s="48"/>
      <c r="AY2576" s="48"/>
      <c r="AZ2576" s="48"/>
      <c r="BA2576" s="48"/>
      <c r="BB2576" s="48"/>
      <c r="BC2576" s="48"/>
      <c r="BD2576" s="48"/>
    </row>
    <row r="2577" spans="1:56">
      <c r="A2577" s="48"/>
      <c r="B2577" s="48"/>
      <c r="C2577" s="49"/>
      <c r="D2577" s="48"/>
      <c r="E2577" s="48"/>
      <c r="F2577" s="48"/>
      <c r="G2577" s="48"/>
      <c r="H2577" s="48"/>
      <c r="I2577" s="48"/>
      <c r="J2577" s="86"/>
      <c r="K2577" s="86"/>
      <c r="L2577" s="86"/>
      <c r="M2577" s="86"/>
      <c r="N2577" s="86"/>
      <c r="O2577" s="86"/>
      <c r="P2577" s="86"/>
      <c r="Q2577" s="86"/>
      <c r="R2577" s="86"/>
      <c r="S2577" s="86"/>
      <c r="T2577" s="86"/>
      <c r="U2577" s="86"/>
      <c r="V2577" s="48"/>
      <c r="W2577" s="48"/>
      <c r="X2577" s="48"/>
      <c r="Y2577" s="48"/>
      <c r="Z2577" s="48"/>
      <c r="AA2577" s="48"/>
      <c r="AB2577" s="48"/>
      <c r="AC2577" s="48"/>
      <c r="AD2577" s="48"/>
      <c r="AE2577" s="48"/>
      <c r="AF2577" s="48"/>
      <c r="AG2577" s="48"/>
      <c r="AH2577" s="48"/>
      <c r="AI2577" s="48"/>
      <c r="AJ2577" s="48"/>
      <c r="AK2577" s="48"/>
      <c r="AL2577" s="48"/>
      <c r="AM2577" s="48"/>
      <c r="AN2577" s="48"/>
      <c r="AO2577" s="48"/>
      <c r="AP2577" s="48"/>
      <c r="AQ2577" s="48"/>
      <c r="AR2577" s="48"/>
      <c r="AS2577" s="48"/>
      <c r="AT2577" s="48"/>
      <c r="AU2577" s="48"/>
      <c r="AV2577" s="48"/>
      <c r="AW2577" s="48"/>
      <c r="AX2577" s="48"/>
      <c r="AY2577" s="48"/>
      <c r="AZ2577" s="48"/>
      <c r="BA2577" s="48"/>
      <c r="BB2577" s="48"/>
      <c r="BC2577" s="48"/>
      <c r="BD2577" s="48"/>
    </row>
    <row r="2578" spans="1:56">
      <c r="A2578" s="48"/>
      <c r="B2578" s="48"/>
      <c r="C2578" s="49"/>
      <c r="D2578" s="48"/>
      <c r="E2578" s="48"/>
      <c r="F2578" s="48"/>
      <c r="G2578" s="48"/>
      <c r="H2578" s="48"/>
      <c r="I2578" s="48"/>
      <c r="J2578" s="86"/>
      <c r="K2578" s="86"/>
      <c r="L2578" s="86"/>
      <c r="M2578" s="86"/>
      <c r="N2578" s="86"/>
      <c r="O2578" s="86"/>
      <c r="P2578" s="86"/>
      <c r="Q2578" s="86"/>
      <c r="R2578" s="86"/>
      <c r="S2578" s="86"/>
      <c r="T2578" s="86"/>
      <c r="U2578" s="86"/>
      <c r="V2578" s="48"/>
      <c r="W2578" s="48"/>
      <c r="X2578" s="48"/>
      <c r="Y2578" s="48"/>
      <c r="Z2578" s="48"/>
      <c r="AA2578" s="48"/>
      <c r="AB2578" s="48"/>
      <c r="AC2578" s="48"/>
      <c r="AD2578" s="48"/>
      <c r="AE2578" s="48"/>
      <c r="AF2578" s="48"/>
      <c r="AG2578" s="48"/>
      <c r="AH2578" s="48"/>
      <c r="AI2578" s="48"/>
      <c r="AJ2578" s="48"/>
      <c r="AK2578" s="48"/>
      <c r="AL2578" s="48"/>
      <c r="AM2578" s="48"/>
      <c r="AN2578" s="48"/>
      <c r="AO2578" s="48"/>
      <c r="AP2578" s="48"/>
      <c r="AQ2578" s="48"/>
      <c r="AR2578" s="48"/>
      <c r="AS2578" s="48"/>
      <c r="AT2578" s="48"/>
      <c r="AU2578" s="48"/>
      <c r="AV2578" s="48"/>
      <c r="AW2578" s="48"/>
      <c r="AX2578" s="48"/>
      <c r="AY2578" s="48"/>
      <c r="AZ2578" s="48"/>
      <c r="BA2578" s="48"/>
      <c r="BB2578" s="48"/>
      <c r="BC2578" s="48"/>
      <c r="BD2578" s="48"/>
    </row>
    <row r="2579" spans="1:56">
      <c r="A2579" s="48"/>
      <c r="B2579" s="48"/>
      <c r="C2579" s="49"/>
      <c r="D2579" s="48"/>
      <c r="E2579" s="48"/>
      <c r="F2579" s="48"/>
      <c r="G2579" s="48"/>
      <c r="H2579" s="48"/>
      <c r="I2579" s="48"/>
      <c r="J2579" s="86"/>
      <c r="K2579" s="86"/>
      <c r="L2579" s="86"/>
      <c r="M2579" s="86"/>
      <c r="N2579" s="86"/>
      <c r="O2579" s="86"/>
      <c r="P2579" s="86"/>
      <c r="Q2579" s="86"/>
      <c r="R2579" s="86"/>
      <c r="S2579" s="86"/>
      <c r="T2579" s="86"/>
      <c r="U2579" s="86"/>
      <c r="V2579" s="48"/>
      <c r="W2579" s="48"/>
      <c r="X2579" s="48"/>
      <c r="Y2579" s="48"/>
      <c r="Z2579" s="48"/>
      <c r="AA2579" s="48"/>
      <c r="AB2579" s="48"/>
      <c r="AC2579" s="48"/>
      <c r="AD2579" s="48"/>
      <c r="AE2579" s="48"/>
      <c r="AF2579" s="48"/>
      <c r="AG2579" s="48"/>
      <c r="AH2579" s="48"/>
      <c r="AI2579" s="48"/>
      <c r="AJ2579" s="48"/>
      <c r="AK2579" s="48"/>
      <c r="AL2579" s="48"/>
      <c r="AM2579" s="48"/>
      <c r="AN2579" s="48"/>
      <c r="AO2579" s="48"/>
      <c r="AP2579" s="48"/>
      <c r="AQ2579" s="48"/>
      <c r="AR2579" s="48"/>
      <c r="AS2579" s="48"/>
      <c r="AT2579" s="48"/>
      <c r="AU2579" s="48"/>
      <c r="AV2579" s="48"/>
      <c r="AW2579" s="48"/>
      <c r="AX2579" s="48"/>
      <c r="AY2579" s="48"/>
      <c r="AZ2579" s="48"/>
      <c r="BA2579" s="48"/>
      <c r="BB2579" s="48"/>
      <c r="BC2579" s="48"/>
      <c r="BD2579" s="48"/>
    </row>
    <row r="2580" spans="1:56">
      <c r="A2580" s="48"/>
      <c r="B2580" s="48"/>
      <c r="C2580" s="49"/>
      <c r="D2580" s="48"/>
      <c r="E2580" s="48"/>
      <c r="F2580" s="48"/>
      <c r="G2580" s="48"/>
      <c r="H2580" s="48"/>
      <c r="I2580" s="48"/>
      <c r="J2580" s="86"/>
      <c r="K2580" s="86"/>
      <c r="L2580" s="86"/>
      <c r="M2580" s="86"/>
      <c r="N2580" s="86"/>
      <c r="O2580" s="86"/>
      <c r="P2580" s="86"/>
      <c r="Q2580" s="86"/>
      <c r="R2580" s="86"/>
      <c r="S2580" s="86"/>
      <c r="T2580" s="86"/>
      <c r="U2580" s="86"/>
      <c r="V2580" s="48"/>
      <c r="W2580" s="48"/>
      <c r="X2580" s="48"/>
      <c r="Y2580" s="48"/>
      <c r="Z2580" s="48"/>
      <c r="AA2580" s="48"/>
      <c r="AB2580" s="48"/>
      <c r="AC2580" s="48"/>
      <c r="AD2580" s="48"/>
      <c r="AE2580" s="48"/>
      <c r="AF2580" s="48"/>
      <c r="AG2580" s="48"/>
      <c r="AH2580" s="48"/>
      <c r="AI2580" s="48"/>
      <c r="AJ2580" s="48"/>
      <c r="AK2580" s="48"/>
      <c r="AL2580" s="48"/>
      <c r="AM2580" s="48"/>
      <c r="AN2580" s="48"/>
      <c r="AO2580" s="48"/>
      <c r="AP2580" s="48"/>
      <c r="AQ2580" s="48"/>
      <c r="AR2580" s="48"/>
      <c r="AS2580" s="48"/>
      <c r="AT2580" s="48"/>
      <c r="AU2580" s="48"/>
      <c r="AV2580" s="48"/>
      <c r="AW2580" s="48"/>
      <c r="AX2580" s="48"/>
      <c r="AY2580" s="48"/>
      <c r="AZ2580" s="48"/>
      <c r="BA2580" s="48"/>
      <c r="BB2580" s="48"/>
      <c r="BC2580" s="48"/>
      <c r="BD2580" s="48"/>
    </row>
    <row r="2581" spans="1:56">
      <c r="A2581" s="48"/>
      <c r="B2581" s="48"/>
      <c r="C2581" s="49"/>
      <c r="D2581" s="48"/>
      <c r="E2581" s="48"/>
      <c r="F2581" s="48"/>
      <c r="G2581" s="48"/>
      <c r="H2581" s="48"/>
      <c r="I2581" s="48"/>
      <c r="J2581" s="86"/>
      <c r="K2581" s="86"/>
      <c r="L2581" s="86"/>
      <c r="M2581" s="86"/>
      <c r="N2581" s="86"/>
      <c r="O2581" s="86"/>
      <c r="P2581" s="86"/>
      <c r="Q2581" s="86"/>
      <c r="R2581" s="86"/>
      <c r="S2581" s="86"/>
      <c r="T2581" s="86"/>
      <c r="U2581" s="86"/>
      <c r="V2581" s="48"/>
      <c r="W2581" s="48"/>
      <c r="X2581" s="48"/>
      <c r="Y2581" s="48"/>
      <c r="Z2581" s="48"/>
      <c r="AA2581" s="48"/>
      <c r="AB2581" s="48"/>
      <c r="AC2581" s="48"/>
      <c r="AD2581" s="48"/>
      <c r="AE2581" s="48"/>
      <c r="AF2581" s="48"/>
      <c r="AG2581" s="48"/>
      <c r="AH2581" s="48"/>
      <c r="AI2581" s="48"/>
      <c r="AJ2581" s="48"/>
      <c r="AK2581" s="48"/>
      <c r="AL2581" s="48"/>
      <c r="AM2581" s="48"/>
      <c r="AN2581" s="48"/>
      <c r="AO2581" s="48"/>
      <c r="AP2581" s="48"/>
      <c r="AQ2581" s="48"/>
      <c r="AR2581" s="48"/>
      <c r="AS2581" s="48"/>
      <c r="AT2581" s="48"/>
      <c r="AU2581" s="48"/>
      <c r="AV2581" s="48"/>
      <c r="AW2581" s="48"/>
      <c r="AX2581" s="48"/>
      <c r="AY2581" s="48"/>
      <c r="AZ2581" s="48"/>
      <c r="BA2581" s="48"/>
      <c r="BB2581" s="48"/>
      <c r="BC2581" s="48"/>
      <c r="BD2581" s="48"/>
    </row>
    <row r="2582" spans="1:56">
      <c r="A2582" s="48"/>
      <c r="B2582" s="48"/>
      <c r="C2582" s="49"/>
      <c r="D2582" s="48"/>
      <c r="E2582" s="48"/>
      <c r="F2582" s="48"/>
      <c r="G2582" s="48"/>
      <c r="H2582" s="48"/>
      <c r="I2582" s="48"/>
      <c r="J2582" s="86"/>
      <c r="K2582" s="86"/>
      <c r="L2582" s="86"/>
      <c r="M2582" s="86"/>
      <c r="N2582" s="86"/>
      <c r="O2582" s="86"/>
      <c r="P2582" s="86"/>
      <c r="Q2582" s="86"/>
      <c r="R2582" s="86"/>
      <c r="S2582" s="86"/>
      <c r="T2582" s="86"/>
      <c r="U2582" s="86"/>
      <c r="V2582" s="48"/>
      <c r="W2582" s="48"/>
      <c r="X2582" s="48"/>
      <c r="Y2582" s="48"/>
      <c r="Z2582" s="48"/>
      <c r="AA2582" s="48"/>
      <c r="AB2582" s="48"/>
      <c r="AC2582" s="48"/>
      <c r="AD2582" s="48"/>
      <c r="AE2582" s="48"/>
      <c r="AF2582" s="48"/>
      <c r="AG2582" s="48"/>
      <c r="AH2582" s="48"/>
      <c r="AI2582" s="48"/>
      <c r="AJ2582" s="48"/>
      <c r="AK2582" s="48"/>
      <c r="AL2582" s="48"/>
      <c r="AM2582" s="48"/>
      <c r="AN2582" s="48"/>
      <c r="AO2582" s="48"/>
      <c r="AP2582" s="48"/>
      <c r="AQ2582" s="48"/>
      <c r="AR2582" s="48"/>
      <c r="AS2582" s="48"/>
      <c r="AT2582" s="48"/>
      <c r="AU2582" s="48"/>
      <c r="AV2582" s="48"/>
      <c r="AW2582" s="48"/>
      <c r="AX2582" s="48"/>
      <c r="AY2582" s="48"/>
      <c r="AZ2582" s="48"/>
      <c r="BA2582" s="48"/>
      <c r="BB2582" s="48"/>
      <c r="BC2582" s="48"/>
      <c r="BD2582" s="48"/>
    </row>
    <row r="2583" spans="1:56">
      <c r="A2583" s="48"/>
      <c r="B2583" s="48"/>
      <c r="C2583" s="49"/>
      <c r="D2583" s="48"/>
      <c r="E2583" s="48"/>
      <c r="F2583" s="48"/>
      <c r="G2583" s="48"/>
      <c r="H2583" s="48"/>
      <c r="I2583" s="48"/>
      <c r="J2583" s="86"/>
      <c r="K2583" s="86"/>
      <c r="L2583" s="86"/>
      <c r="M2583" s="86"/>
      <c r="N2583" s="86"/>
      <c r="O2583" s="86"/>
      <c r="P2583" s="86"/>
      <c r="Q2583" s="86"/>
      <c r="R2583" s="86"/>
      <c r="S2583" s="86"/>
      <c r="T2583" s="86"/>
      <c r="U2583" s="86"/>
      <c r="V2583" s="48"/>
      <c r="W2583" s="48"/>
      <c r="X2583" s="48"/>
      <c r="Y2583" s="48"/>
      <c r="Z2583" s="48"/>
      <c r="AA2583" s="48"/>
      <c r="AB2583" s="48"/>
      <c r="AC2583" s="48"/>
      <c r="AD2583" s="48"/>
      <c r="AE2583" s="48"/>
      <c r="AF2583" s="48"/>
      <c r="AG2583" s="48"/>
      <c r="AH2583" s="48"/>
      <c r="AI2583" s="48"/>
      <c r="AJ2583" s="48"/>
      <c r="AK2583" s="48"/>
      <c r="AL2583" s="48"/>
      <c r="AM2583" s="48"/>
      <c r="AN2583" s="48"/>
      <c r="AO2583" s="48"/>
      <c r="AP2583" s="48"/>
      <c r="AQ2583" s="48"/>
      <c r="AR2583" s="48"/>
      <c r="AS2583" s="48"/>
      <c r="AT2583" s="48"/>
      <c r="AU2583" s="48"/>
      <c r="AV2583" s="48"/>
      <c r="AW2583" s="48"/>
      <c r="AX2583" s="48"/>
      <c r="AY2583" s="48"/>
      <c r="AZ2583" s="48"/>
      <c r="BA2583" s="48"/>
      <c r="BB2583" s="48"/>
      <c r="BC2583" s="48"/>
      <c r="BD2583" s="48"/>
    </row>
    <row r="2584" spans="1:56">
      <c r="A2584" s="48"/>
      <c r="B2584" s="48"/>
      <c r="C2584" s="49"/>
      <c r="D2584" s="48"/>
      <c r="E2584" s="48"/>
      <c r="F2584" s="48"/>
      <c r="G2584" s="48"/>
      <c r="H2584" s="48"/>
      <c r="I2584" s="48"/>
      <c r="J2584" s="86"/>
      <c r="K2584" s="86"/>
      <c r="L2584" s="86"/>
      <c r="M2584" s="86"/>
      <c r="N2584" s="86"/>
      <c r="O2584" s="86"/>
      <c r="P2584" s="86"/>
      <c r="Q2584" s="86"/>
      <c r="R2584" s="86"/>
      <c r="S2584" s="86"/>
      <c r="T2584" s="86"/>
      <c r="U2584" s="86"/>
      <c r="V2584" s="48"/>
      <c r="W2584" s="48"/>
      <c r="X2584" s="48"/>
      <c r="Y2584" s="48"/>
      <c r="Z2584" s="48"/>
      <c r="AA2584" s="48"/>
      <c r="AB2584" s="48"/>
      <c r="AC2584" s="48"/>
      <c r="AD2584" s="48"/>
      <c r="AE2584" s="48"/>
      <c r="AF2584" s="48"/>
      <c r="AG2584" s="48"/>
      <c r="AH2584" s="48"/>
      <c r="AI2584" s="48"/>
      <c r="AJ2584" s="48"/>
      <c r="AK2584" s="48"/>
      <c r="AL2584" s="48"/>
      <c r="AM2584" s="48"/>
      <c r="AN2584" s="48"/>
      <c r="AO2584" s="48"/>
      <c r="AP2584" s="48"/>
      <c r="AQ2584" s="48"/>
      <c r="AR2584" s="48"/>
      <c r="AS2584" s="48"/>
      <c r="AT2584" s="48"/>
      <c r="AU2584" s="48"/>
      <c r="AV2584" s="48"/>
      <c r="AW2584" s="48"/>
      <c r="AX2584" s="48"/>
      <c r="AY2584" s="48"/>
      <c r="AZ2584" s="48"/>
      <c r="BA2584" s="48"/>
      <c r="BB2584" s="48"/>
      <c r="BC2584" s="48"/>
      <c r="BD2584" s="48"/>
    </row>
    <row r="2585" spans="1:56">
      <c r="A2585" s="48"/>
      <c r="B2585" s="48"/>
      <c r="C2585" s="49"/>
      <c r="D2585" s="48"/>
      <c r="E2585" s="48"/>
      <c r="F2585" s="48"/>
      <c r="G2585" s="48"/>
      <c r="H2585" s="48"/>
      <c r="I2585" s="48"/>
      <c r="J2585" s="86"/>
      <c r="K2585" s="86"/>
      <c r="L2585" s="86"/>
      <c r="M2585" s="86"/>
      <c r="N2585" s="86"/>
      <c r="O2585" s="86"/>
      <c r="P2585" s="86"/>
      <c r="Q2585" s="86"/>
      <c r="R2585" s="86"/>
      <c r="S2585" s="86"/>
      <c r="T2585" s="86"/>
      <c r="U2585" s="86"/>
      <c r="V2585" s="48"/>
      <c r="W2585" s="48"/>
      <c r="X2585" s="48"/>
      <c r="Y2585" s="48"/>
      <c r="Z2585" s="48"/>
      <c r="AA2585" s="48"/>
      <c r="AB2585" s="48"/>
      <c r="AC2585" s="48"/>
      <c r="AD2585" s="48"/>
      <c r="AE2585" s="48"/>
      <c r="AF2585" s="48"/>
      <c r="AG2585" s="48"/>
      <c r="AH2585" s="48"/>
      <c r="AI2585" s="48"/>
      <c r="AJ2585" s="48"/>
      <c r="AK2585" s="48"/>
      <c r="AL2585" s="48"/>
      <c r="AM2585" s="48"/>
      <c r="AN2585" s="48"/>
      <c r="AO2585" s="48"/>
      <c r="AP2585" s="48"/>
      <c r="AQ2585" s="48"/>
      <c r="AR2585" s="48"/>
      <c r="AS2585" s="48"/>
      <c r="AT2585" s="48"/>
      <c r="AU2585" s="48"/>
      <c r="AV2585" s="48"/>
      <c r="AW2585" s="48"/>
      <c r="AX2585" s="48"/>
      <c r="AY2585" s="48"/>
      <c r="AZ2585" s="48"/>
      <c r="BA2585" s="48"/>
      <c r="BB2585" s="48"/>
      <c r="BC2585" s="48"/>
      <c r="BD2585" s="48"/>
    </row>
    <row r="2586" spans="1:56">
      <c r="A2586" s="48"/>
      <c r="B2586" s="48"/>
      <c r="C2586" s="49"/>
      <c r="D2586" s="48"/>
      <c r="E2586" s="48"/>
      <c r="F2586" s="48"/>
      <c r="G2586" s="48"/>
      <c r="H2586" s="48"/>
      <c r="I2586" s="48"/>
      <c r="J2586" s="86"/>
      <c r="K2586" s="86"/>
      <c r="L2586" s="86"/>
      <c r="M2586" s="86"/>
      <c r="N2586" s="86"/>
      <c r="O2586" s="86"/>
      <c r="P2586" s="86"/>
      <c r="Q2586" s="86"/>
      <c r="R2586" s="86"/>
      <c r="S2586" s="86"/>
      <c r="T2586" s="86"/>
      <c r="U2586" s="86"/>
      <c r="V2586" s="48"/>
      <c r="W2586" s="48"/>
      <c r="X2586" s="48"/>
      <c r="Y2586" s="48"/>
      <c r="Z2586" s="48"/>
      <c r="AA2586" s="48"/>
      <c r="AB2586" s="48"/>
      <c r="AC2586" s="48"/>
      <c r="AD2586" s="48"/>
      <c r="AE2586" s="48"/>
      <c r="AF2586" s="48"/>
      <c r="AG2586" s="48"/>
      <c r="AH2586" s="48"/>
      <c r="AI2586" s="48"/>
      <c r="AJ2586" s="48"/>
      <c r="AK2586" s="48"/>
      <c r="AL2586" s="48"/>
      <c r="AM2586" s="48"/>
      <c r="AN2586" s="48"/>
      <c r="AO2586" s="48"/>
      <c r="AP2586" s="48"/>
      <c r="AQ2586" s="48"/>
      <c r="AR2586" s="48"/>
      <c r="AS2586" s="48"/>
      <c r="AT2586" s="48"/>
      <c r="AU2586" s="48"/>
      <c r="AV2586" s="48"/>
      <c r="AW2586" s="48"/>
      <c r="AX2586" s="48"/>
      <c r="AY2586" s="48"/>
      <c r="AZ2586" s="48"/>
      <c r="BA2586" s="48"/>
      <c r="BB2586" s="48"/>
      <c r="BC2586" s="48"/>
      <c r="BD2586" s="48"/>
    </row>
    <row r="2587" spans="1:56">
      <c r="A2587" s="48"/>
      <c r="B2587" s="48"/>
      <c r="C2587" s="49"/>
      <c r="D2587" s="48"/>
      <c r="E2587" s="48"/>
      <c r="F2587" s="48"/>
      <c r="G2587" s="48"/>
      <c r="H2587" s="48"/>
      <c r="I2587" s="48"/>
      <c r="J2587" s="86"/>
      <c r="K2587" s="86"/>
      <c r="L2587" s="86"/>
      <c r="M2587" s="86"/>
      <c r="N2587" s="86"/>
      <c r="O2587" s="86"/>
      <c r="P2587" s="86"/>
      <c r="Q2587" s="86"/>
      <c r="R2587" s="86"/>
      <c r="S2587" s="86"/>
      <c r="T2587" s="86"/>
      <c r="U2587" s="86"/>
      <c r="V2587" s="48"/>
      <c r="W2587" s="48"/>
      <c r="X2587" s="48"/>
      <c r="Y2587" s="48"/>
      <c r="Z2587" s="48"/>
      <c r="AA2587" s="48"/>
      <c r="AB2587" s="48"/>
      <c r="AC2587" s="48"/>
      <c r="AD2587" s="48"/>
      <c r="AE2587" s="48"/>
      <c r="AF2587" s="48"/>
      <c r="AG2587" s="48"/>
      <c r="AH2587" s="48"/>
      <c r="AI2587" s="48"/>
      <c r="AJ2587" s="48"/>
      <c r="AK2587" s="48"/>
      <c r="AL2587" s="48"/>
      <c r="AM2587" s="48"/>
      <c r="AN2587" s="48"/>
      <c r="AO2587" s="48"/>
      <c r="AP2587" s="48"/>
      <c r="AQ2587" s="48"/>
      <c r="AR2587" s="48"/>
      <c r="AS2587" s="48"/>
      <c r="AT2587" s="48"/>
      <c r="AU2587" s="48"/>
      <c r="AV2587" s="48"/>
      <c r="AW2587" s="48"/>
      <c r="AX2587" s="48"/>
      <c r="AY2587" s="48"/>
      <c r="AZ2587" s="48"/>
      <c r="BA2587" s="48"/>
      <c r="BB2587" s="48"/>
      <c r="BC2587" s="48"/>
      <c r="BD2587" s="48"/>
    </row>
    <row r="2588" spans="1:56">
      <c r="A2588" s="48"/>
      <c r="B2588" s="48"/>
      <c r="C2588" s="49"/>
      <c r="D2588" s="48"/>
      <c r="E2588" s="48"/>
      <c r="F2588" s="48"/>
      <c r="G2588" s="48"/>
      <c r="H2588" s="48"/>
      <c r="I2588" s="48"/>
      <c r="J2588" s="86"/>
      <c r="K2588" s="86"/>
      <c r="L2588" s="86"/>
      <c r="M2588" s="86"/>
      <c r="N2588" s="86"/>
      <c r="O2588" s="86"/>
      <c r="P2588" s="86"/>
      <c r="Q2588" s="86"/>
      <c r="R2588" s="86"/>
      <c r="S2588" s="86"/>
      <c r="T2588" s="86"/>
      <c r="U2588" s="86"/>
      <c r="V2588" s="48"/>
      <c r="W2588" s="48"/>
      <c r="X2588" s="48"/>
      <c r="Y2588" s="48"/>
      <c r="Z2588" s="48"/>
      <c r="AA2588" s="48"/>
      <c r="AB2588" s="48"/>
      <c r="AC2588" s="48"/>
      <c r="AD2588" s="48"/>
      <c r="AE2588" s="48"/>
      <c r="AF2588" s="48"/>
      <c r="AG2588" s="48"/>
      <c r="AH2588" s="48"/>
      <c r="AI2588" s="48"/>
      <c r="AJ2588" s="48"/>
      <c r="AK2588" s="48"/>
      <c r="AL2588" s="48"/>
      <c r="AM2588" s="48"/>
      <c r="AN2588" s="48"/>
      <c r="AO2588" s="48"/>
      <c r="AP2588" s="48"/>
      <c r="AQ2588" s="48"/>
      <c r="AR2588" s="48"/>
      <c r="AS2588" s="48"/>
      <c r="AT2588" s="48"/>
      <c r="AU2588" s="48"/>
      <c r="AV2588" s="48"/>
      <c r="AW2588" s="48"/>
      <c r="AX2588" s="48"/>
      <c r="AY2588" s="48"/>
      <c r="AZ2588" s="48"/>
      <c r="BA2588" s="48"/>
      <c r="BB2588" s="48"/>
      <c r="BC2588" s="48"/>
      <c r="BD2588" s="48"/>
    </row>
    <row r="2589" spans="1:56">
      <c r="A2589" s="48"/>
      <c r="B2589" s="48"/>
      <c r="C2589" s="49"/>
      <c r="D2589" s="48"/>
      <c r="E2589" s="48"/>
      <c r="F2589" s="48"/>
      <c r="G2589" s="48"/>
      <c r="H2589" s="48"/>
      <c r="I2589" s="48"/>
      <c r="J2589" s="86"/>
      <c r="K2589" s="86"/>
      <c r="L2589" s="86"/>
      <c r="M2589" s="86"/>
      <c r="N2589" s="86"/>
      <c r="O2589" s="86"/>
      <c r="P2589" s="86"/>
      <c r="Q2589" s="86"/>
      <c r="R2589" s="86"/>
      <c r="S2589" s="86"/>
      <c r="T2589" s="86"/>
      <c r="U2589" s="86"/>
      <c r="V2589" s="48"/>
      <c r="W2589" s="48"/>
      <c r="X2589" s="48"/>
      <c r="Y2589" s="48"/>
      <c r="Z2589" s="48"/>
      <c r="AA2589" s="48"/>
      <c r="AB2589" s="48"/>
      <c r="AC2589" s="48"/>
      <c r="AD2589" s="48"/>
      <c r="AE2589" s="48"/>
      <c r="AF2589" s="48"/>
      <c r="AG2589" s="48"/>
      <c r="AH2589" s="48"/>
      <c r="AI2589" s="48"/>
      <c r="AJ2589" s="48"/>
      <c r="AK2589" s="48"/>
      <c r="AL2589" s="48"/>
      <c r="AM2589" s="48"/>
      <c r="AN2589" s="48"/>
      <c r="AO2589" s="48"/>
      <c r="AP2589" s="48"/>
      <c r="AQ2589" s="48"/>
      <c r="AR2589" s="48"/>
      <c r="AS2589" s="48"/>
      <c r="AT2589" s="48"/>
      <c r="AU2589" s="48"/>
      <c r="AV2589" s="48"/>
      <c r="AW2589" s="48"/>
      <c r="AX2589" s="48"/>
      <c r="AY2589" s="48"/>
      <c r="AZ2589" s="48"/>
      <c r="BA2589" s="48"/>
      <c r="BB2589" s="48"/>
      <c r="BC2589" s="48"/>
      <c r="BD2589" s="48"/>
    </row>
    <row r="2590" spans="1:56">
      <c r="A2590" s="48"/>
      <c r="B2590" s="48"/>
      <c r="C2590" s="49"/>
      <c r="D2590" s="48"/>
      <c r="E2590" s="48"/>
      <c r="F2590" s="48"/>
      <c r="G2590" s="48"/>
      <c r="H2590" s="48"/>
      <c r="I2590" s="48"/>
      <c r="J2590" s="86"/>
      <c r="K2590" s="86"/>
      <c r="L2590" s="86"/>
      <c r="M2590" s="86"/>
      <c r="N2590" s="86"/>
      <c r="O2590" s="86"/>
      <c r="P2590" s="86"/>
      <c r="Q2590" s="86"/>
      <c r="R2590" s="86"/>
      <c r="S2590" s="86"/>
      <c r="T2590" s="86"/>
      <c r="U2590" s="86"/>
      <c r="V2590" s="48"/>
      <c r="W2590" s="48"/>
      <c r="X2590" s="48"/>
      <c r="Y2590" s="48"/>
      <c r="Z2590" s="48"/>
      <c r="AA2590" s="48"/>
      <c r="AB2590" s="48"/>
      <c r="AC2590" s="48"/>
      <c r="AD2590" s="48"/>
      <c r="AE2590" s="48"/>
      <c r="AF2590" s="48"/>
      <c r="AG2590" s="48"/>
      <c r="AH2590" s="48"/>
      <c r="AI2590" s="48"/>
      <c r="AJ2590" s="48"/>
      <c r="AK2590" s="48"/>
      <c r="AL2590" s="48"/>
      <c r="AM2590" s="48"/>
      <c r="AN2590" s="48"/>
      <c r="AO2590" s="48"/>
      <c r="AP2590" s="48"/>
      <c r="AQ2590" s="48"/>
      <c r="AR2590" s="48"/>
      <c r="AS2590" s="48"/>
      <c r="AT2590" s="48"/>
      <c r="AU2590" s="48"/>
      <c r="AV2590" s="48"/>
      <c r="AW2590" s="48"/>
      <c r="AX2590" s="48"/>
      <c r="AY2590" s="48"/>
      <c r="AZ2590" s="48"/>
      <c r="BA2590" s="48"/>
      <c r="BB2590" s="48"/>
      <c r="BC2590" s="48"/>
      <c r="BD2590" s="48"/>
    </row>
    <row r="2591" spans="1:56">
      <c r="A2591" s="48"/>
      <c r="B2591" s="48"/>
      <c r="C2591" s="49"/>
      <c r="D2591" s="48"/>
      <c r="E2591" s="48"/>
      <c r="F2591" s="48"/>
      <c r="G2591" s="48"/>
      <c r="H2591" s="48"/>
      <c r="I2591" s="48"/>
      <c r="J2591" s="86"/>
      <c r="K2591" s="86"/>
      <c r="L2591" s="86"/>
      <c r="M2591" s="86"/>
      <c r="N2591" s="86"/>
      <c r="O2591" s="86"/>
      <c r="P2591" s="86"/>
      <c r="Q2591" s="86"/>
      <c r="R2591" s="86"/>
      <c r="S2591" s="86"/>
      <c r="T2591" s="86"/>
      <c r="U2591" s="86"/>
      <c r="V2591" s="48"/>
      <c r="W2591" s="48"/>
      <c r="X2591" s="48"/>
      <c r="Y2591" s="48"/>
      <c r="Z2591" s="48"/>
      <c r="AA2591" s="48"/>
      <c r="AB2591" s="48"/>
      <c r="AC2591" s="48"/>
      <c r="AD2591" s="48"/>
      <c r="AE2591" s="48"/>
      <c r="AF2591" s="48"/>
      <c r="AG2591" s="48"/>
      <c r="AH2591" s="48"/>
      <c r="AI2591" s="48"/>
      <c r="AJ2591" s="48"/>
      <c r="AK2591" s="48"/>
      <c r="AL2591" s="48"/>
      <c r="AM2591" s="48"/>
      <c r="AN2591" s="48"/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48"/>
      <c r="BB2591" s="48"/>
      <c r="BC2591" s="48"/>
      <c r="BD2591" s="48"/>
    </row>
    <row r="2592" spans="1:56">
      <c r="A2592" s="48"/>
      <c r="B2592" s="48"/>
      <c r="C2592" s="49"/>
      <c r="D2592" s="48"/>
      <c r="E2592" s="48"/>
      <c r="F2592" s="48"/>
      <c r="G2592" s="48"/>
      <c r="H2592" s="48"/>
      <c r="I2592" s="48"/>
      <c r="J2592" s="86"/>
      <c r="K2592" s="86"/>
      <c r="L2592" s="86"/>
      <c r="M2592" s="86"/>
      <c r="N2592" s="86"/>
      <c r="O2592" s="86"/>
      <c r="P2592" s="86"/>
      <c r="Q2592" s="86"/>
      <c r="R2592" s="86"/>
      <c r="S2592" s="86"/>
      <c r="T2592" s="86"/>
      <c r="U2592" s="86"/>
      <c r="V2592" s="48"/>
      <c r="W2592" s="48"/>
      <c r="X2592" s="48"/>
      <c r="Y2592" s="48"/>
      <c r="Z2592" s="48"/>
      <c r="AA2592" s="48"/>
      <c r="AB2592" s="48"/>
      <c r="AC2592" s="48"/>
      <c r="AD2592" s="48"/>
      <c r="AE2592" s="48"/>
      <c r="AF2592" s="48"/>
      <c r="AG2592" s="48"/>
      <c r="AH2592" s="48"/>
      <c r="AI2592" s="48"/>
      <c r="AJ2592" s="48"/>
      <c r="AK2592" s="48"/>
      <c r="AL2592" s="48"/>
      <c r="AM2592" s="48"/>
      <c r="AN2592" s="48"/>
      <c r="AO2592" s="48"/>
      <c r="AP2592" s="48"/>
      <c r="AQ2592" s="48"/>
      <c r="AR2592" s="48"/>
      <c r="AS2592" s="48"/>
      <c r="AT2592" s="48"/>
      <c r="AU2592" s="48"/>
      <c r="AV2592" s="48"/>
      <c r="AW2592" s="48"/>
      <c r="AX2592" s="48"/>
      <c r="AY2592" s="48"/>
      <c r="AZ2592" s="48"/>
      <c r="BA2592" s="48"/>
      <c r="BB2592" s="48"/>
      <c r="BC2592" s="48"/>
      <c r="BD2592" s="48"/>
    </row>
    <row r="2593" spans="1:56">
      <c r="A2593" s="48"/>
      <c r="B2593" s="48"/>
      <c r="C2593" s="49"/>
      <c r="D2593" s="48"/>
      <c r="E2593" s="48"/>
      <c r="F2593" s="48"/>
      <c r="G2593" s="48"/>
      <c r="H2593" s="48"/>
      <c r="I2593" s="48"/>
      <c r="J2593" s="86"/>
      <c r="K2593" s="86"/>
      <c r="L2593" s="86"/>
      <c r="M2593" s="86"/>
      <c r="N2593" s="86"/>
      <c r="O2593" s="86"/>
      <c r="P2593" s="86"/>
      <c r="Q2593" s="86"/>
      <c r="R2593" s="86"/>
      <c r="S2593" s="86"/>
      <c r="T2593" s="86"/>
      <c r="U2593" s="86"/>
      <c r="V2593" s="48"/>
      <c r="W2593" s="48"/>
      <c r="X2593" s="48"/>
      <c r="Y2593" s="48"/>
      <c r="Z2593" s="48"/>
      <c r="AA2593" s="48"/>
      <c r="AB2593" s="48"/>
      <c r="AC2593" s="48"/>
      <c r="AD2593" s="48"/>
      <c r="AE2593" s="48"/>
      <c r="AF2593" s="48"/>
      <c r="AG2593" s="48"/>
      <c r="AH2593" s="48"/>
      <c r="AI2593" s="48"/>
      <c r="AJ2593" s="48"/>
      <c r="AK2593" s="48"/>
      <c r="AL2593" s="48"/>
      <c r="AM2593" s="48"/>
      <c r="AN2593" s="48"/>
      <c r="AO2593" s="48"/>
      <c r="AP2593" s="48"/>
      <c r="AQ2593" s="48"/>
      <c r="AR2593" s="48"/>
      <c r="AS2593" s="48"/>
      <c r="AT2593" s="48"/>
      <c r="AU2593" s="48"/>
      <c r="AV2593" s="48"/>
      <c r="AW2593" s="48"/>
      <c r="AX2593" s="48"/>
      <c r="AY2593" s="48"/>
      <c r="AZ2593" s="48"/>
      <c r="BA2593" s="48"/>
      <c r="BB2593" s="48"/>
      <c r="BC2593" s="48"/>
      <c r="BD2593" s="48"/>
    </row>
    <row r="2594" spans="1:56">
      <c r="A2594" s="48"/>
      <c r="B2594" s="48"/>
      <c r="C2594" s="49"/>
      <c r="D2594" s="48"/>
      <c r="E2594" s="48"/>
      <c r="F2594" s="48"/>
      <c r="G2594" s="48"/>
      <c r="H2594" s="48"/>
      <c r="I2594" s="48"/>
      <c r="J2594" s="86"/>
      <c r="K2594" s="86"/>
      <c r="L2594" s="86"/>
      <c r="M2594" s="86"/>
      <c r="N2594" s="86"/>
      <c r="O2594" s="86"/>
      <c r="P2594" s="86"/>
      <c r="Q2594" s="86"/>
      <c r="R2594" s="86"/>
      <c r="S2594" s="86"/>
      <c r="T2594" s="86"/>
      <c r="U2594" s="86"/>
      <c r="V2594" s="48"/>
      <c r="W2594" s="48"/>
      <c r="X2594" s="48"/>
      <c r="Y2594" s="48"/>
      <c r="Z2594" s="48"/>
      <c r="AA2594" s="48"/>
      <c r="AB2594" s="48"/>
      <c r="AC2594" s="48"/>
      <c r="AD2594" s="48"/>
      <c r="AE2594" s="48"/>
      <c r="AF2594" s="48"/>
      <c r="AG2594" s="48"/>
      <c r="AH2594" s="48"/>
      <c r="AI2594" s="48"/>
      <c r="AJ2594" s="48"/>
      <c r="AK2594" s="48"/>
      <c r="AL2594" s="48"/>
      <c r="AM2594" s="48"/>
      <c r="AN2594" s="48"/>
      <c r="AO2594" s="48"/>
      <c r="AP2594" s="48"/>
      <c r="AQ2594" s="48"/>
      <c r="AR2594" s="48"/>
      <c r="AS2594" s="48"/>
      <c r="AT2594" s="48"/>
      <c r="AU2594" s="48"/>
      <c r="AV2594" s="48"/>
      <c r="AW2594" s="48"/>
      <c r="AX2594" s="48"/>
      <c r="AY2594" s="48"/>
      <c r="AZ2594" s="48"/>
      <c r="BA2594" s="48"/>
      <c r="BB2594" s="48"/>
      <c r="BC2594" s="48"/>
      <c r="BD2594" s="48"/>
    </row>
    <row r="2595" spans="1:56">
      <c r="A2595" s="48"/>
      <c r="B2595" s="48"/>
      <c r="C2595" s="49"/>
      <c r="D2595" s="48"/>
      <c r="E2595" s="48"/>
      <c r="F2595" s="48"/>
      <c r="G2595" s="48"/>
      <c r="H2595" s="48"/>
      <c r="I2595" s="48"/>
      <c r="J2595" s="86"/>
      <c r="K2595" s="86"/>
      <c r="L2595" s="86"/>
      <c r="M2595" s="86"/>
      <c r="N2595" s="86"/>
      <c r="O2595" s="86"/>
      <c r="P2595" s="86"/>
      <c r="Q2595" s="86"/>
      <c r="R2595" s="86"/>
      <c r="S2595" s="86"/>
      <c r="T2595" s="86"/>
      <c r="U2595" s="86"/>
      <c r="V2595" s="48"/>
      <c r="W2595" s="48"/>
      <c r="X2595" s="48"/>
      <c r="Y2595" s="48"/>
      <c r="Z2595" s="48"/>
      <c r="AA2595" s="48"/>
      <c r="AB2595" s="48"/>
      <c r="AC2595" s="48"/>
      <c r="AD2595" s="48"/>
      <c r="AE2595" s="48"/>
      <c r="AF2595" s="48"/>
      <c r="AG2595" s="48"/>
      <c r="AH2595" s="48"/>
      <c r="AI2595" s="48"/>
      <c r="AJ2595" s="48"/>
      <c r="AK2595" s="48"/>
      <c r="AL2595" s="48"/>
      <c r="AM2595" s="48"/>
      <c r="AN2595" s="48"/>
      <c r="AO2595" s="48"/>
      <c r="AP2595" s="48"/>
      <c r="AQ2595" s="48"/>
      <c r="AR2595" s="48"/>
      <c r="AS2595" s="48"/>
      <c r="AT2595" s="48"/>
      <c r="AU2595" s="48"/>
      <c r="AV2595" s="48"/>
      <c r="AW2595" s="48"/>
      <c r="AX2595" s="48"/>
      <c r="AY2595" s="48"/>
      <c r="AZ2595" s="48"/>
      <c r="BA2595" s="48"/>
      <c r="BB2595" s="48"/>
      <c r="BC2595" s="48"/>
      <c r="BD2595" s="48"/>
    </row>
    <row r="2596" spans="1:56">
      <c r="A2596" s="48"/>
      <c r="B2596" s="48"/>
      <c r="C2596" s="49"/>
      <c r="D2596" s="48"/>
      <c r="E2596" s="48"/>
      <c r="F2596" s="48"/>
      <c r="G2596" s="48"/>
      <c r="H2596" s="48"/>
      <c r="I2596" s="48"/>
      <c r="J2596" s="86"/>
      <c r="K2596" s="86"/>
      <c r="L2596" s="86"/>
      <c r="M2596" s="86"/>
      <c r="N2596" s="86"/>
      <c r="O2596" s="86"/>
      <c r="P2596" s="86"/>
      <c r="Q2596" s="86"/>
      <c r="R2596" s="86"/>
      <c r="S2596" s="86"/>
      <c r="T2596" s="86"/>
      <c r="U2596" s="86"/>
      <c r="V2596" s="48"/>
      <c r="W2596" s="48"/>
      <c r="X2596" s="48"/>
      <c r="Y2596" s="48"/>
      <c r="Z2596" s="48"/>
      <c r="AA2596" s="48"/>
      <c r="AB2596" s="48"/>
      <c r="AC2596" s="48"/>
      <c r="AD2596" s="48"/>
      <c r="AE2596" s="48"/>
      <c r="AF2596" s="48"/>
      <c r="AG2596" s="48"/>
      <c r="AH2596" s="48"/>
      <c r="AI2596" s="48"/>
      <c r="AJ2596" s="48"/>
      <c r="AK2596" s="48"/>
      <c r="AL2596" s="48"/>
      <c r="AM2596" s="48"/>
      <c r="AN2596" s="48"/>
      <c r="AO2596" s="48"/>
      <c r="AP2596" s="48"/>
      <c r="AQ2596" s="48"/>
      <c r="AR2596" s="48"/>
      <c r="AS2596" s="48"/>
      <c r="AT2596" s="48"/>
      <c r="AU2596" s="48"/>
      <c r="AV2596" s="48"/>
      <c r="AW2596" s="48"/>
      <c r="AX2596" s="48"/>
      <c r="AY2596" s="48"/>
      <c r="AZ2596" s="48"/>
      <c r="BA2596" s="48"/>
      <c r="BB2596" s="48"/>
      <c r="BC2596" s="48"/>
      <c r="BD2596" s="48"/>
    </row>
    <row r="2597" spans="1:56">
      <c r="A2597" s="48"/>
      <c r="B2597" s="48"/>
      <c r="C2597" s="49"/>
      <c r="D2597" s="48"/>
      <c r="E2597" s="48"/>
      <c r="F2597" s="48"/>
      <c r="G2597" s="48"/>
      <c r="H2597" s="48"/>
      <c r="I2597" s="48"/>
      <c r="J2597" s="86"/>
      <c r="K2597" s="86"/>
      <c r="L2597" s="86"/>
      <c r="M2597" s="86"/>
      <c r="N2597" s="86"/>
      <c r="O2597" s="86"/>
      <c r="P2597" s="86"/>
      <c r="Q2597" s="86"/>
      <c r="R2597" s="86"/>
      <c r="S2597" s="86"/>
      <c r="T2597" s="86"/>
      <c r="U2597" s="86"/>
      <c r="V2597" s="48"/>
      <c r="W2597" s="48"/>
      <c r="X2597" s="48"/>
      <c r="Y2597" s="48"/>
      <c r="Z2597" s="48"/>
      <c r="AA2597" s="48"/>
      <c r="AB2597" s="48"/>
      <c r="AC2597" s="48"/>
      <c r="AD2597" s="48"/>
      <c r="AE2597" s="48"/>
      <c r="AF2597" s="48"/>
      <c r="AG2597" s="48"/>
      <c r="AH2597" s="48"/>
      <c r="AI2597" s="48"/>
      <c r="AJ2597" s="48"/>
      <c r="AK2597" s="48"/>
      <c r="AL2597" s="48"/>
      <c r="AM2597" s="48"/>
      <c r="AN2597" s="48"/>
      <c r="AO2597" s="48"/>
      <c r="AP2597" s="48"/>
      <c r="AQ2597" s="48"/>
      <c r="AR2597" s="48"/>
      <c r="AS2597" s="48"/>
      <c r="AT2597" s="48"/>
      <c r="AU2597" s="48"/>
      <c r="AV2597" s="48"/>
      <c r="AW2597" s="48"/>
      <c r="AX2597" s="48"/>
      <c r="AY2597" s="48"/>
      <c r="AZ2597" s="48"/>
      <c r="BA2597" s="48"/>
      <c r="BB2597" s="48"/>
      <c r="BC2597" s="48"/>
      <c r="BD2597" s="48"/>
    </row>
    <row r="2598" spans="1:56">
      <c r="A2598" s="48"/>
      <c r="B2598" s="48"/>
      <c r="C2598" s="49"/>
      <c r="D2598" s="48"/>
      <c r="E2598" s="48"/>
      <c r="F2598" s="48"/>
      <c r="G2598" s="48"/>
      <c r="H2598" s="48"/>
      <c r="I2598" s="48"/>
      <c r="J2598" s="86"/>
      <c r="K2598" s="86"/>
      <c r="L2598" s="86"/>
      <c r="M2598" s="86"/>
      <c r="N2598" s="86"/>
      <c r="O2598" s="86"/>
      <c r="P2598" s="86"/>
      <c r="Q2598" s="86"/>
      <c r="R2598" s="86"/>
      <c r="S2598" s="86"/>
      <c r="T2598" s="86"/>
      <c r="U2598" s="86"/>
      <c r="V2598" s="48"/>
      <c r="W2598" s="48"/>
      <c r="X2598" s="48"/>
      <c r="Y2598" s="48"/>
      <c r="Z2598" s="48"/>
      <c r="AA2598" s="48"/>
      <c r="AB2598" s="48"/>
      <c r="AC2598" s="48"/>
      <c r="AD2598" s="48"/>
      <c r="AE2598" s="48"/>
      <c r="AF2598" s="48"/>
      <c r="AG2598" s="48"/>
      <c r="AH2598" s="48"/>
      <c r="AI2598" s="48"/>
      <c r="AJ2598" s="48"/>
      <c r="AK2598" s="48"/>
      <c r="AL2598" s="48"/>
      <c r="AM2598" s="48"/>
      <c r="AN2598" s="48"/>
      <c r="AO2598" s="48"/>
      <c r="AP2598" s="48"/>
      <c r="AQ2598" s="48"/>
      <c r="AR2598" s="48"/>
      <c r="AS2598" s="48"/>
      <c r="AT2598" s="48"/>
      <c r="AU2598" s="48"/>
      <c r="AV2598" s="48"/>
      <c r="AW2598" s="48"/>
      <c r="AX2598" s="48"/>
      <c r="AY2598" s="48"/>
      <c r="AZ2598" s="48"/>
      <c r="BA2598" s="48"/>
      <c r="BB2598" s="48"/>
      <c r="BC2598" s="48"/>
      <c r="BD2598" s="48"/>
    </row>
    <row r="2599" spans="1:56">
      <c r="A2599" s="48"/>
      <c r="B2599" s="48"/>
      <c r="C2599" s="49"/>
      <c r="D2599" s="48"/>
      <c r="E2599" s="48"/>
      <c r="F2599" s="48"/>
      <c r="G2599" s="48"/>
      <c r="H2599" s="48"/>
      <c r="I2599" s="48"/>
      <c r="J2599" s="86"/>
      <c r="K2599" s="86"/>
      <c r="L2599" s="86"/>
      <c r="M2599" s="86"/>
      <c r="N2599" s="86"/>
      <c r="O2599" s="86"/>
      <c r="P2599" s="86"/>
      <c r="Q2599" s="86"/>
      <c r="R2599" s="86"/>
      <c r="S2599" s="86"/>
      <c r="T2599" s="86"/>
      <c r="U2599" s="86"/>
      <c r="V2599" s="48"/>
      <c r="W2599" s="48"/>
      <c r="X2599" s="48"/>
      <c r="Y2599" s="48"/>
      <c r="Z2599" s="48"/>
      <c r="AA2599" s="48"/>
      <c r="AB2599" s="48"/>
      <c r="AC2599" s="48"/>
      <c r="AD2599" s="48"/>
      <c r="AE2599" s="48"/>
      <c r="AF2599" s="48"/>
      <c r="AG2599" s="48"/>
      <c r="AH2599" s="48"/>
      <c r="AI2599" s="48"/>
      <c r="AJ2599" s="48"/>
      <c r="AK2599" s="48"/>
      <c r="AL2599" s="48"/>
      <c r="AM2599" s="48"/>
      <c r="AN2599" s="48"/>
      <c r="AO2599" s="48"/>
      <c r="AP2599" s="48"/>
      <c r="AQ2599" s="48"/>
      <c r="AR2599" s="48"/>
      <c r="AS2599" s="48"/>
      <c r="AT2599" s="48"/>
      <c r="AU2599" s="48"/>
      <c r="AV2599" s="48"/>
      <c r="AW2599" s="48"/>
      <c r="AX2599" s="48"/>
      <c r="AY2599" s="48"/>
      <c r="AZ2599" s="48"/>
      <c r="BA2599" s="48"/>
      <c r="BB2599" s="48"/>
      <c r="BC2599" s="48"/>
      <c r="BD2599" s="48"/>
    </row>
    <row r="2600" spans="1:56">
      <c r="A2600" s="48"/>
      <c r="B2600" s="48"/>
      <c r="C2600" s="49"/>
      <c r="D2600" s="48"/>
      <c r="E2600" s="48"/>
      <c r="F2600" s="48"/>
      <c r="G2600" s="48"/>
      <c r="H2600" s="48"/>
      <c r="I2600" s="48"/>
      <c r="J2600" s="86"/>
      <c r="K2600" s="86"/>
      <c r="L2600" s="86"/>
      <c r="M2600" s="86"/>
      <c r="N2600" s="86"/>
      <c r="O2600" s="86"/>
      <c r="P2600" s="86"/>
      <c r="Q2600" s="86"/>
      <c r="R2600" s="86"/>
      <c r="S2600" s="86"/>
      <c r="T2600" s="86"/>
      <c r="U2600" s="86"/>
      <c r="V2600" s="48"/>
      <c r="W2600" s="48"/>
      <c r="X2600" s="48"/>
      <c r="Y2600" s="48"/>
      <c r="Z2600" s="48"/>
      <c r="AA2600" s="48"/>
      <c r="AB2600" s="48"/>
      <c r="AC2600" s="48"/>
      <c r="AD2600" s="48"/>
      <c r="AE2600" s="48"/>
      <c r="AF2600" s="48"/>
      <c r="AG2600" s="48"/>
      <c r="AH2600" s="48"/>
      <c r="AI2600" s="48"/>
      <c r="AJ2600" s="48"/>
      <c r="AK2600" s="48"/>
      <c r="AL2600" s="48"/>
      <c r="AM2600" s="48"/>
      <c r="AN2600" s="48"/>
      <c r="AO2600" s="48"/>
      <c r="AP2600" s="48"/>
      <c r="AQ2600" s="48"/>
      <c r="AR2600" s="48"/>
      <c r="AS2600" s="48"/>
      <c r="AT2600" s="48"/>
      <c r="AU2600" s="48"/>
      <c r="AV2600" s="48"/>
      <c r="AW2600" s="48"/>
      <c r="AX2600" s="48"/>
      <c r="AY2600" s="48"/>
      <c r="AZ2600" s="48"/>
      <c r="BA2600" s="48"/>
      <c r="BB2600" s="48"/>
      <c r="BC2600" s="48"/>
      <c r="BD2600" s="48"/>
    </row>
    <row r="2601" spans="1:56">
      <c r="A2601" s="48"/>
      <c r="B2601" s="48"/>
      <c r="C2601" s="49"/>
      <c r="D2601" s="48"/>
      <c r="E2601" s="48"/>
      <c r="F2601" s="48"/>
      <c r="G2601" s="48"/>
      <c r="H2601" s="48"/>
      <c r="I2601" s="48"/>
      <c r="J2601" s="86"/>
      <c r="K2601" s="86"/>
      <c r="L2601" s="86"/>
      <c r="M2601" s="86"/>
      <c r="N2601" s="86"/>
      <c r="O2601" s="86"/>
      <c r="P2601" s="86"/>
      <c r="Q2601" s="86"/>
      <c r="R2601" s="86"/>
      <c r="S2601" s="86"/>
      <c r="T2601" s="86"/>
      <c r="U2601" s="86"/>
      <c r="V2601" s="48"/>
      <c r="W2601" s="48"/>
      <c r="X2601" s="48"/>
      <c r="Y2601" s="48"/>
      <c r="Z2601" s="48"/>
      <c r="AA2601" s="48"/>
      <c r="AB2601" s="48"/>
      <c r="AC2601" s="48"/>
      <c r="AD2601" s="48"/>
      <c r="AE2601" s="48"/>
      <c r="AF2601" s="48"/>
      <c r="AG2601" s="48"/>
      <c r="AH2601" s="48"/>
      <c r="AI2601" s="48"/>
      <c r="AJ2601" s="48"/>
      <c r="AK2601" s="48"/>
      <c r="AL2601" s="48"/>
      <c r="AM2601" s="48"/>
      <c r="AN2601" s="48"/>
      <c r="AO2601" s="48"/>
      <c r="AP2601" s="48"/>
      <c r="AQ2601" s="48"/>
      <c r="AR2601" s="48"/>
      <c r="AS2601" s="48"/>
      <c r="AT2601" s="48"/>
      <c r="AU2601" s="48"/>
      <c r="AV2601" s="48"/>
      <c r="AW2601" s="48"/>
      <c r="AX2601" s="48"/>
      <c r="AY2601" s="48"/>
      <c r="AZ2601" s="48"/>
      <c r="BA2601" s="48"/>
      <c r="BB2601" s="48"/>
      <c r="BC2601" s="48"/>
      <c r="BD2601" s="48"/>
    </row>
    <row r="2602" spans="1:56">
      <c r="A2602" s="48"/>
      <c r="B2602" s="48"/>
      <c r="C2602" s="49"/>
      <c r="D2602" s="48"/>
      <c r="E2602" s="48"/>
      <c r="F2602" s="48"/>
      <c r="G2602" s="48"/>
      <c r="H2602" s="48"/>
      <c r="I2602" s="48"/>
      <c r="J2602" s="86"/>
      <c r="K2602" s="86"/>
      <c r="L2602" s="86"/>
      <c r="M2602" s="86"/>
      <c r="N2602" s="86"/>
      <c r="O2602" s="86"/>
      <c r="P2602" s="86"/>
      <c r="Q2602" s="86"/>
      <c r="R2602" s="86"/>
      <c r="S2602" s="86"/>
      <c r="T2602" s="86"/>
      <c r="U2602" s="86"/>
      <c r="V2602" s="48"/>
      <c r="W2602" s="48"/>
      <c r="X2602" s="48"/>
      <c r="Y2602" s="48"/>
      <c r="Z2602" s="48"/>
      <c r="AA2602" s="48"/>
      <c r="AB2602" s="48"/>
      <c r="AC2602" s="48"/>
      <c r="AD2602" s="48"/>
      <c r="AE2602" s="48"/>
      <c r="AF2602" s="48"/>
      <c r="AG2602" s="48"/>
      <c r="AH2602" s="48"/>
      <c r="AI2602" s="48"/>
      <c r="AJ2602" s="48"/>
      <c r="AK2602" s="48"/>
      <c r="AL2602" s="48"/>
      <c r="AM2602" s="48"/>
      <c r="AN2602" s="48"/>
      <c r="AO2602" s="48"/>
      <c r="AP2602" s="48"/>
      <c r="AQ2602" s="48"/>
      <c r="AR2602" s="48"/>
      <c r="AS2602" s="48"/>
      <c r="AT2602" s="48"/>
      <c r="AU2602" s="48"/>
      <c r="AV2602" s="48"/>
      <c r="AW2602" s="48"/>
      <c r="AX2602" s="48"/>
      <c r="AY2602" s="48"/>
      <c r="AZ2602" s="48"/>
      <c r="BA2602" s="48"/>
      <c r="BB2602" s="48"/>
      <c r="BC2602" s="48"/>
      <c r="BD2602" s="48"/>
    </row>
    <row r="2603" spans="1:56">
      <c r="A2603" s="48"/>
      <c r="B2603" s="48"/>
      <c r="C2603" s="49"/>
      <c r="D2603" s="48"/>
      <c r="E2603" s="48"/>
      <c r="F2603" s="48"/>
      <c r="G2603" s="48"/>
      <c r="H2603" s="48"/>
      <c r="I2603" s="48"/>
      <c r="J2603" s="86"/>
      <c r="K2603" s="86"/>
      <c r="L2603" s="86"/>
      <c r="M2603" s="86"/>
      <c r="N2603" s="86"/>
      <c r="O2603" s="86"/>
      <c r="P2603" s="86"/>
      <c r="Q2603" s="86"/>
      <c r="R2603" s="86"/>
      <c r="S2603" s="86"/>
      <c r="T2603" s="86"/>
      <c r="U2603" s="86"/>
      <c r="V2603" s="48"/>
      <c r="W2603" s="48"/>
      <c r="X2603" s="48"/>
      <c r="Y2603" s="48"/>
      <c r="Z2603" s="48"/>
      <c r="AA2603" s="48"/>
      <c r="AB2603" s="48"/>
      <c r="AC2603" s="48"/>
      <c r="AD2603" s="48"/>
      <c r="AE2603" s="48"/>
      <c r="AF2603" s="48"/>
      <c r="AG2603" s="48"/>
      <c r="AH2603" s="48"/>
      <c r="AI2603" s="48"/>
      <c r="AJ2603" s="48"/>
      <c r="AK2603" s="48"/>
      <c r="AL2603" s="48"/>
      <c r="AM2603" s="48"/>
      <c r="AN2603" s="48"/>
      <c r="AO2603" s="48"/>
      <c r="AP2603" s="48"/>
      <c r="AQ2603" s="48"/>
      <c r="AR2603" s="48"/>
      <c r="AS2603" s="48"/>
      <c r="AT2603" s="48"/>
      <c r="AU2603" s="48"/>
      <c r="AV2603" s="48"/>
      <c r="AW2603" s="48"/>
      <c r="AX2603" s="48"/>
      <c r="AY2603" s="48"/>
      <c r="AZ2603" s="48"/>
      <c r="BA2603" s="48"/>
      <c r="BB2603" s="48"/>
      <c r="BC2603" s="48"/>
      <c r="BD2603" s="48"/>
    </row>
    <row r="2604" spans="1:56">
      <c r="A2604" s="48"/>
      <c r="B2604" s="48"/>
      <c r="C2604" s="49"/>
      <c r="D2604" s="48"/>
      <c r="E2604" s="48"/>
      <c r="F2604" s="48"/>
      <c r="G2604" s="48"/>
      <c r="H2604" s="48"/>
      <c r="I2604" s="48"/>
      <c r="J2604" s="86"/>
      <c r="K2604" s="86"/>
      <c r="L2604" s="86"/>
      <c r="M2604" s="86"/>
      <c r="N2604" s="86"/>
      <c r="O2604" s="86"/>
      <c r="P2604" s="86"/>
      <c r="Q2604" s="86"/>
      <c r="R2604" s="86"/>
      <c r="S2604" s="86"/>
      <c r="T2604" s="86"/>
      <c r="U2604" s="86"/>
      <c r="V2604" s="48"/>
      <c r="W2604" s="48"/>
      <c r="X2604" s="48"/>
      <c r="Y2604" s="48"/>
      <c r="Z2604" s="48"/>
      <c r="AA2604" s="48"/>
      <c r="AB2604" s="48"/>
      <c r="AC2604" s="48"/>
      <c r="AD2604" s="48"/>
      <c r="AE2604" s="48"/>
      <c r="AF2604" s="48"/>
      <c r="AG2604" s="48"/>
      <c r="AH2604" s="48"/>
      <c r="AI2604" s="48"/>
      <c r="AJ2604" s="48"/>
      <c r="AK2604" s="48"/>
      <c r="AL2604" s="48"/>
      <c r="AM2604" s="48"/>
      <c r="AN2604" s="48"/>
      <c r="AO2604" s="48"/>
      <c r="AP2604" s="48"/>
      <c r="AQ2604" s="48"/>
      <c r="AR2604" s="48"/>
      <c r="AS2604" s="48"/>
      <c r="AT2604" s="48"/>
      <c r="AU2604" s="48"/>
      <c r="AV2604" s="48"/>
      <c r="AW2604" s="48"/>
      <c r="AX2604" s="48"/>
      <c r="AY2604" s="48"/>
      <c r="AZ2604" s="48"/>
      <c r="BA2604" s="48"/>
      <c r="BB2604" s="48"/>
      <c r="BC2604" s="48"/>
      <c r="BD2604" s="48"/>
    </row>
    <row r="2605" spans="1:56">
      <c r="A2605" s="48"/>
      <c r="B2605" s="48"/>
      <c r="C2605" s="49"/>
      <c r="D2605" s="48"/>
      <c r="E2605" s="48"/>
      <c r="F2605" s="48"/>
      <c r="G2605" s="48"/>
      <c r="H2605" s="48"/>
      <c r="I2605" s="48"/>
      <c r="J2605" s="86"/>
      <c r="K2605" s="86"/>
      <c r="L2605" s="86"/>
      <c r="M2605" s="86"/>
      <c r="N2605" s="86"/>
      <c r="O2605" s="86"/>
      <c r="P2605" s="86"/>
      <c r="Q2605" s="86"/>
      <c r="R2605" s="86"/>
      <c r="S2605" s="86"/>
      <c r="T2605" s="86"/>
      <c r="U2605" s="86"/>
      <c r="V2605" s="48"/>
      <c r="W2605" s="48"/>
      <c r="X2605" s="48"/>
      <c r="Y2605" s="48"/>
      <c r="Z2605" s="48"/>
      <c r="AA2605" s="48"/>
      <c r="AB2605" s="48"/>
      <c r="AC2605" s="48"/>
      <c r="AD2605" s="48"/>
      <c r="AE2605" s="48"/>
      <c r="AF2605" s="48"/>
      <c r="AG2605" s="48"/>
      <c r="AH2605" s="48"/>
      <c r="AI2605" s="48"/>
      <c r="AJ2605" s="48"/>
      <c r="AK2605" s="48"/>
      <c r="AL2605" s="48"/>
      <c r="AM2605" s="48"/>
      <c r="AN2605" s="48"/>
      <c r="AO2605" s="48"/>
      <c r="AP2605" s="48"/>
      <c r="AQ2605" s="48"/>
      <c r="AR2605" s="48"/>
      <c r="AS2605" s="48"/>
      <c r="AT2605" s="48"/>
      <c r="AU2605" s="48"/>
      <c r="AV2605" s="48"/>
      <c r="AW2605" s="48"/>
      <c r="AX2605" s="48"/>
      <c r="AY2605" s="48"/>
      <c r="AZ2605" s="48"/>
      <c r="BA2605" s="48"/>
      <c r="BB2605" s="48"/>
      <c r="BC2605" s="48"/>
      <c r="BD2605" s="48"/>
    </row>
    <row r="2606" spans="1:56">
      <c r="A2606" s="48"/>
      <c r="B2606" s="48"/>
      <c r="C2606" s="49"/>
      <c r="D2606" s="48"/>
      <c r="E2606" s="48"/>
      <c r="F2606" s="48"/>
      <c r="G2606" s="48"/>
      <c r="H2606" s="48"/>
      <c r="I2606" s="48"/>
      <c r="J2606" s="86"/>
      <c r="K2606" s="86"/>
      <c r="L2606" s="86"/>
      <c r="M2606" s="86"/>
      <c r="N2606" s="86"/>
      <c r="O2606" s="86"/>
      <c r="P2606" s="86"/>
      <c r="Q2606" s="86"/>
      <c r="R2606" s="86"/>
      <c r="S2606" s="86"/>
      <c r="T2606" s="86"/>
      <c r="U2606" s="86"/>
      <c r="V2606" s="48"/>
      <c r="W2606" s="48"/>
      <c r="X2606" s="48"/>
      <c r="Y2606" s="48"/>
      <c r="Z2606" s="48"/>
      <c r="AA2606" s="48"/>
      <c r="AB2606" s="48"/>
      <c r="AC2606" s="48"/>
      <c r="AD2606" s="48"/>
      <c r="AE2606" s="48"/>
      <c r="AF2606" s="48"/>
      <c r="AG2606" s="48"/>
      <c r="AH2606" s="48"/>
      <c r="AI2606" s="48"/>
      <c r="AJ2606" s="48"/>
      <c r="AK2606" s="48"/>
      <c r="AL2606" s="48"/>
      <c r="AM2606" s="48"/>
      <c r="AN2606" s="48"/>
      <c r="AO2606" s="48"/>
      <c r="AP2606" s="48"/>
      <c r="AQ2606" s="48"/>
      <c r="AR2606" s="48"/>
      <c r="AS2606" s="48"/>
      <c r="AT2606" s="48"/>
      <c r="AU2606" s="48"/>
      <c r="AV2606" s="48"/>
      <c r="AW2606" s="48"/>
      <c r="AX2606" s="48"/>
      <c r="AY2606" s="48"/>
      <c r="AZ2606" s="48"/>
      <c r="BA2606" s="48"/>
      <c r="BB2606" s="48"/>
      <c r="BC2606" s="48"/>
      <c r="BD2606" s="48"/>
    </row>
    <row r="2607" spans="1:56">
      <c r="A2607" s="48"/>
      <c r="B2607" s="48"/>
      <c r="C2607" s="49"/>
      <c r="D2607" s="48"/>
      <c r="E2607" s="48"/>
      <c r="F2607" s="48"/>
      <c r="G2607" s="48"/>
      <c r="H2607" s="48"/>
      <c r="I2607" s="48"/>
      <c r="J2607" s="86"/>
      <c r="K2607" s="86"/>
      <c r="L2607" s="86"/>
      <c r="M2607" s="86"/>
      <c r="N2607" s="86"/>
      <c r="O2607" s="86"/>
      <c r="P2607" s="86"/>
      <c r="Q2607" s="86"/>
      <c r="R2607" s="86"/>
      <c r="S2607" s="86"/>
      <c r="T2607" s="86"/>
      <c r="U2607" s="86"/>
      <c r="V2607" s="48"/>
      <c r="W2607" s="48"/>
      <c r="X2607" s="48"/>
      <c r="Y2607" s="48"/>
      <c r="Z2607" s="48"/>
      <c r="AA2607" s="48"/>
      <c r="AB2607" s="48"/>
      <c r="AC2607" s="48"/>
      <c r="AD2607" s="48"/>
      <c r="AE2607" s="48"/>
      <c r="AF2607" s="48"/>
      <c r="AG2607" s="48"/>
      <c r="AH2607" s="48"/>
      <c r="AI2607" s="48"/>
      <c r="AJ2607" s="48"/>
      <c r="AK2607" s="48"/>
      <c r="AL2607" s="48"/>
      <c r="AM2607" s="48"/>
      <c r="AN2607" s="48"/>
      <c r="AO2607" s="48"/>
      <c r="AP2607" s="48"/>
      <c r="AQ2607" s="48"/>
      <c r="AR2607" s="48"/>
      <c r="AS2607" s="48"/>
      <c r="AT2607" s="48"/>
      <c r="AU2607" s="48"/>
      <c r="AV2607" s="48"/>
      <c r="AW2607" s="48"/>
      <c r="AX2607" s="48"/>
      <c r="AY2607" s="48"/>
      <c r="AZ2607" s="48"/>
      <c r="BA2607" s="48"/>
      <c r="BB2607" s="48"/>
      <c r="BC2607" s="48"/>
      <c r="BD2607" s="48"/>
    </row>
    <row r="2608" spans="1:56">
      <c r="A2608" s="48"/>
      <c r="B2608" s="48"/>
      <c r="C2608" s="49"/>
      <c r="D2608" s="48"/>
      <c r="E2608" s="48"/>
      <c r="F2608" s="48"/>
      <c r="G2608" s="48"/>
      <c r="H2608" s="48"/>
      <c r="I2608" s="48"/>
      <c r="J2608" s="86"/>
      <c r="K2608" s="86"/>
      <c r="L2608" s="86"/>
      <c r="M2608" s="86"/>
      <c r="N2608" s="86"/>
      <c r="O2608" s="86"/>
      <c r="P2608" s="86"/>
      <c r="Q2608" s="86"/>
      <c r="R2608" s="86"/>
      <c r="S2608" s="86"/>
      <c r="T2608" s="86"/>
      <c r="U2608" s="86"/>
      <c r="V2608" s="48"/>
      <c r="W2608" s="48"/>
      <c r="X2608" s="48"/>
      <c r="Y2608" s="48"/>
      <c r="Z2608" s="48"/>
      <c r="AA2608" s="48"/>
      <c r="AB2608" s="48"/>
      <c r="AC2608" s="48"/>
      <c r="AD2608" s="48"/>
      <c r="AE2608" s="48"/>
      <c r="AF2608" s="48"/>
      <c r="AG2608" s="48"/>
      <c r="AH2608" s="48"/>
      <c r="AI2608" s="48"/>
      <c r="AJ2608" s="48"/>
      <c r="AK2608" s="48"/>
      <c r="AL2608" s="48"/>
      <c r="AM2608" s="48"/>
      <c r="AN2608" s="48"/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48"/>
      <c r="BA2608" s="48"/>
      <c r="BB2608" s="48"/>
      <c r="BC2608" s="48"/>
      <c r="BD2608" s="48"/>
    </row>
    <row r="2609" spans="1:56">
      <c r="A2609" s="48"/>
      <c r="B2609" s="48"/>
      <c r="C2609" s="49"/>
      <c r="D2609" s="48"/>
      <c r="E2609" s="48"/>
      <c r="F2609" s="48"/>
      <c r="G2609" s="48"/>
      <c r="H2609" s="48"/>
      <c r="I2609" s="48"/>
      <c r="J2609" s="86"/>
      <c r="K2609" s="86"/>
      <c r="L2609" s="86"/>
      <c r="M2609" s="86"/>
      <c r="N2609" s="86"/>
      <c r="O2609" s="86"/>
      <c r="P2609" s="86"/>
      <c r="Q2609" s="86"/>
      <c r="R2609" s="86"/>
      <c r="S2609" s="86"/>
      <c r="T2609" s="86"/>
      <c r="U2609" s="86"/>
      <c r="V2609" s="48"/>
      <c r="W2609" s="48"/>
      <c r="X2609" s="48"/>
      <c r="Y2609" s="48"/>
      <c r="Z2609" s="48"/>
      <c r="AA2609" s="48"/>
      <c r="AB2609" s="48"/>
      <c r="AC2609" s="48"/>
      <c r="AD2609" s="48"/>
      <c r="AE2609" s="48"/>
      <c r="AF2609" s="48"/>
      <c r="AG2609" s="48"/>
      <c r="AH2609" s="48"/>
      <c r="AI2609" s="48"/>
      <c r="AJ2609" s="48"/>
      <c r="AK2609" s="48"/>
      <c r="AL2609" s="48"/>
      <c r="AM2609" s="48"/>
      <c r="AN2609" s="48"/>
      <c r="AO2609" s="48"/>
      <c r="AP2609" s="48"/>
      <c r="AQ2609" s="48"/>
      <c r="AR2609" s="48"/>
      <c r="AS2609" s="48"/>
      <c r="AT2609" s="48"/>
      <c r="AU2609" s="48"/>
      <c r="AV2609" s="48"/>
      <c r="AW2609" s="48"/>
      <c r="AX2609" s="48"/>
      <c r="AY2609" s="48"/>
      <c r="AZ2609" s="48"/>
      <c r="BA2609" s="48"/>
      <c r="BB2609" s="48"/>
      <c r="BC2609" s="48"/>
      <c r="BD2609" s="48"/>
    </row>
    <row r="2610" spans="1:56">
      <c r="A2610" s="48"/>
      <c r="B2610" s="48"/>
      <c r="C2610" s="49"/>
      <c r="D2610" s="48"/>
      <c r="E2610" s="48"/>
      <c r="F2610" s="48"/>
      <c r="G2610" s="48"/>
      <c r="H2610" s="48"/>
      <c r="I2610" s="48"/>
      <c r="J2610" s="86"/>
      <c r="K2610" s="86"/>
      <c r="L2610" s="86"/>
      <c r="M2610" s="86"/>
      <c r="N2610" s="86"/>
      <c r="O2610" s="86"/>
      <c r="P2610" s="86"/>
      <c r="Q2610" s="86"/>
      <c r="R2610" s="86"/>
      <c r="S2610" s="86"/>
      <c r="T2610" s="86"/>
      <c r="U2610" s="86"/>
      <c r="V2610" s="48"/>
      <c r="W2610" s="48"/>
      <c r="X2610" s="48"/>
      <c r="Y2610" s="48"/>
      <c r="Z2610" s="48"/>
      <c r="AA2610" s="48"/>
      <c r="AB2610" s="48"/>
      <c r="AC2610" s="48"/>
      <c r="AD2610" s="48"/>
      <c r="AE2610" s="48"/>
      <c r="AF2610" s="48"/>
      <c r="AG2610" s="48"/>
      <c r="AH2610" s="48"/>
      <c r="AI2610" s="48"/>
      <c r="AJ2610" s="48"/>
      <c r="AK2610" s="48"/>
      <c r="AL2610" s="48"/>
      <c r="AM2610" s="48"/>
      <c r="AN2610" s="48"/>
      <c r="AO2610" s="48"/>
      <c r="AP2610" s="48"/>
      <c r="AQ2610" s="48"/>
      <c r="AR2610" s="48"/>
      <c r="AS2610" s="48"/>
      <c r="AT2610" s="48"/>
      <c r="AU2610" s="48"/>
      <c r="AV2610" s="48"/>
      <c r="AW2610" s="48"/>
      <c r="AX2610" s="48"/>
      <c r="AY2610" s="48"/>
      <c r="AZ2610" s="48"/>
      <c r="BA2610" s="48"/>
      <c r="BB2610" s="48"/>
      <c r="BC2610" s="48"/>
      <c r="BD2610" s="48"/>
    </row>
    <row r="2611" spans="1:56">
      <c r="A2611" s="48"/>
      <c r="B2611" s="48"/>
      <c r="C2611" s="49"/>
      <c r="D2611" s="48"/>
      <c r="E2611" s="48"/>
      <c r="F2611" s="48"/>
      <c r="G2611" s="48"/>
      <c r="H2611" s="48"/>
      <c r="I2611" s="48"/>
      <c r="J2611" s="86"/>
      <c r="K2611" s="86"/>
      <c r="L2611" s="86"/>
      <c r="M2611" s="86"/>
      <c r="N2611" s="86"/>
      <c r="O2611" s="86"/>
      <c r="P2611" s="86"/>
      <c r="Q2611" s="86"/>
      <c r="R2611" s="86"/>
      <c r="S2611" s="86"/>
      <c r="T2611" s="86"/>
      <c r="U2611" s="86"/>
      <c r="V2611" s="48"/>
      <c r="W2611" s="48"/>
      <c r="X2611" s="48"/>
      <c r="Y2611" s="48"/>
      <c r="Z2611" s="48"/>
      <c r="AA2611" s="48"/>
      <c r="AB2611" s="48"/>
      <c r="AC2611" s="48"/>
      <c r="AD2611" s="48"/>
      <c r="AE2611" s="48"/>
      <c r="AF2611" s="48"/>
      <c r="AG2611" s="48"/>
      <c r="AH2611" s="48"/>
      <c r="AI2611" s="48"/>
      <c r="AJ2611" s="48"/>
      <c r="AK2611" s="48"/>
      <c r="AL2611" s="48"/>
      <c r="AM2611" s="48"/>
      <c r="AN2611" s="48"/>
      <c r="AO2611" s="48"/>
      <c r="AP2611" s="48"/>
      <c r="AQ2611" s="48"/>
      <c r="AR2611" s="48"/>
      <c r="AS2611" s="48"/>
      <c r="AT2611" s="48"/>
      <c r="AU2611" s="48"/>
      <c r="AV2611" s="48"/>
      <c r="AW2611" s="48"/>
      <c r="AX2611" s="48"/>
      <c r="AY2611" s="48"/>
      <c r="AZ2611" s="48"/>
      <c r="BA2611" s="48"/>
      <c r="BB2611" s="48"/>
      <c r="BC2611" s="48"/>
      <c r="BD2611" s="48"/>
    </row>
    <row r="2612" spans="1:56">
      <c r="A2612" s="48"/>
      <c r="B2612" s="48"/>
      <c r="C2612" s="49"/>
      <c r="D2612" s="48"/>
      <c r="E2612" s="48"/>
      <c r="F2612" s="48"/>
      <c r="G2612" s="48"/>
      <c r="H2612" s="48"/>
      <c r="I2612" s="48"/>
      <c r="J2612" s="86"/>
      <c r="K2612" s="86"/>
      <c r="L2612" s="86"/>
      <c r="M2612" s="86"/>
      <c r="N2612" s="86"/>
      <c r="O2612" s="86"/>
      <c r="P2612" s="86"/>
      <c r="Q2612" s="86"/>
      <c r="R2612" s="86"/>
      <c r="S2612" s="86"/>
      <c r="T2612" s="86"/>
      <c r="U2612" s="86"/>
      <c r="V2612" s="48"/>
      <c r="W2612" s="48"/>
      <c r="X2612" s="48"/>
      <c r="Y2612" s="48"/>
      <c r="Z2612" s="48"/>
      <c r="AA2612" s="48"/>
      <c r="AB2612" s="48"/>
      <c r="AC2612" s="48"/>
      <c r="AD2612" s="48"/>
      <c r="AE2612" s="48"/>
      <c r="AF2612" s="48"/>
      <c r="AG2612" s="48"/>
      <c r="AH2612" s="48"/>
      <c r="AI2612" s="48"/>
      <c r="AJ2612" s="48"/>
      <c r="AK2612" s="48"/>
      <c r="AL2612" s="48"/>
      <c r="AM2612" s="48"/>
      <c r="AN2612" s="48"/>
      <c r="AO2612" s="48"/>
      <c r="AP2612" s="48"/>
      <c r="AQ2612" s="48"/>
      <c r="AR2612" s="48"/>
      <c r="AS2612" s="48"/>
      <c r="AT2612" s="48"/>
      <c r="AU2612" s="48"/>
      <c r="AV2612" s="48"/>
      <c r="AW2612" s="48"/>
      <c r="AX2612" s="48"/>
      <c r="AY2612" s="48"/>
      <c r="AZ2612" s="48"/>
      <c r="BA2612" s="48"/>
      <c r="BB2612" s="48"/>
      <c r="BC2612" s="48"/>
      <c r="BD2612" s="48"/>
    </row>
    <row r="2613" spans="1:56">
      <c r="A2613" s="48"/>
      <c r="B2613" s="48"/>
      <c r="C2613" s="49"/>
      <c r="D2613" s="48"/>
      <c r="E2613" s="48"/>
      <c r="F2613" s="48"/>
      <c r="G2613" s="48"/>
      <c r="H2613" s="48"/>
      <c r="I2613" s="48"/>
      <c r="J2613" s="86"/>
      <c r="K2613" s="86"/>
      <c r="L2613" s="86"/>
      <c r="M2613" s="86"/>
      <c r="N2613" s="86"/>
      <c r="O2613" s="86"/>
      <c r="P2613" s="86"/>
      <c r="Q2613" s="86"/>
      <c r="R2613" s="86"/>
      <c r="S2613" s="86"/>
      <c r="T2613" s="86"/>
      <c r="U2613" s="86"/>
      <c r="V2613" s="48"/>
      <c r="W2613" s="48"/>
      <c r="X2613" s="48"/>
      <c r="Y2613" s="48"/>
      <c r="Z2613" s="48"/>
      <c r="AA2613" s="48"/>
      <c r="AB2613" s="48"/>
      <c r="AC2613" s="48"/>
      <c r="AD2613" s="48"/>
      <c r="AE2613" s="48"/>
      <c r="AF2613" s="48"/>
      <c r="AG2613" s="48"/>
      <c r="AH2613" s="48"/>
      <c r="AI2613" s="48"/>
      <c r="AJ2613" s="48"/>
      <c r="AK2613" s="48"/>
      <c r="AL2613" s="48"/>
      <c r="AM2613" s="48"/>
      <c r="AN2613" s="48"/>
      <c r="AO2613" s="48"/>
      <c r="AP2613" s="48"/>
      <c r="AQ2613" s="48"/>
      <c r="AR2613" s="48"/>
      <c r="AS2613" s="48"/>
      <c r="AT2613" s="48"/>
      <c r="AU2613" s="48"/>
      <c r="AV2613" s="48"/>
      <c r="AW2613" s="48"/>
      <c r="AX2613" s="48"/>
      <c r="AY2613" s="48"/>
      <c r="AZ2613" s="48"/>
      <c r="BA2613" s="48"/>
      <c r="BB2613" s="48"/>
      <c r="BC2613" s="48"/>
      <c r="BD2613" s="48"/>
    </row>
    <row r="2614" spans="1:56">
      <c r="A2614" s="48"/>
      <c r="B2614" s="48"/>
      <c r="C2614" s="49"/>
      <c r="D2614" s="48"/>
      <c r="E2614" s="48"/>
      <c r="F2614" s="48"/>
      <c r="G2614" s="48"/>
      <c r="H2614" s="48"/>
      <c r="I2614" s="48"/>
      <c r="J2614" s="86"/>
      <c r="K2614" s="86"/>
      <c r="L2614" s="86"/>
      <c r="M2614" s="86"/>
      <c r="N2614" s="86"/>
      <c r="O2614" s="86"/>
      <c r="P2614" s="86"/>
      <c r="Q2614" s="86"/>
      <c r="R2614" s="86"/>
      <c r="S2614" s="86"/>
      <c r="T2614" s="86"/>
      <c r="U2614" s="86"/>
      <c r="V2614" s="48"/>
      <c r="W2614" s="48"/>
      <c r="X2614" s="48"/>
      <c r="Y2614" s="48"/>
      <c r="Z2614" s="48"/>
      <c r="AA2614" s="48"/>
      <c r="AB2614" s="48"/>
      <c r="AC2614" s="48"/>
      <c r="AD2614" s="48"/>
      <c r="AE2614" s="48"/>
      <c r="AF2614" s="48"/>
      <c r="AG2614" s="48"/>
      <c r="AH2614" s="48"/>
      <c r="AI2614" s="48"/>
      <c r="AJ2614" s="48"/>
      <c r="AK2614" s="48"/>
      <c r="AL2614" s="48"/>
      <c r="AM2614" s="48"/>
      <c r="AN2614" s="48"/>
      <c r="AO2614" s="48"/>
      <c r="AP2614" s="48"/>
      <c r="AQ2614" s="48"/>
      <c r="AR2614" s="48"/>
      <c r="AS2614" s="48"/>
      <c r="AT2614" s="48"/>
      <c r="AU2614" s="48"/>
      <c r="AV2614" s="48"/>
      <c r="AW2614" s="48"/>
      <c r="AX2614" s="48"/>
      <c r="AY2614" s="48"/>
      <c r="AZ2614" s="48"/>
      <c r="BA2614" s="48"/>
      <c r="BB2614" s="48"/>
      <c r="BC2614" s="48"/>
      <c r="BD2614" s="48"/>
    </row>
    <row r="2615" spans="1:56">
      <c r="A2615" s="48"/>
      <c r="B2615" s="48"/>
      <c r="C2615" s="49"/>
      <c r="D2615" s="48"/>
      <c r="E2615" s="48"/>
      <c r="F2615" s="48"/>
      <c r="G2615" s="48"/>
      <c r="H2615" s="48"/>
      <c r="I2615" s="48"/>
      <c r="J2615" s="86"/>
      <c r="K2615" s="86"/>
      <c r="L2615" s="86"/>
      <c r="M2615" s="86"/>
      <c r="N2615" s="86"/>
      <c r="O2615" s="86"/>
      <c r="P2615" s="86"/>
      <c r="Q2615" s="86"/>
      <c r="R2615" s="86"/>
      <c r="S2615" s="86"/>
      <c r="T2615" s="86"/>
      <c r="U2615" s="86"/>
      <c r="V2615" s="48"/>
      <c r="W2615" s="48"/>
      <c r="X2615" s="48"/>
      <c r="Y2615" s="48"/>
      <c r="Z2615" s="48"/>
      <c r="AA2615" s="48"/>
      <c r="AB2615" s="48"/>
      <c r="AC2615" s="48"/>
      <c r="AD2615" s="48"/>
      <c r="AE2615" s="48"/>
      <c r="AF2615" s="48"/>
      <c r="AG2615" s="48"/>
      <c r="AH2615" s="48"/>
      <c r="AI2615" s="48"/>
      <c r="AJ2615" s="48"/>
      <c r="AK2615" s="48"/>
      <c r="AL2615" s="48"/>
      <c r="AM2615" s="48"/>
      <c r="AN2615" s="48"/>
      <c r="AO2615" s="48"/>
      <c r="AP2615" s="48"/>
      <c r="AQ2615" s="48"/>
      <c r="AR2615" s="48"/>
      <c r="AS2615" s="48"/>
      <c r="AT2615" s="48"/>
      <c r="AU2615" s="48"/>
      <c r="AV2615" s="48"/>
      <c r="AW2615" s="48"/>
      <c r="AX2615" s="48"/>
      <c r="AY2615" s="48"/>
      <c r="AZ2615" s="48"/>
      <c r="BA2615" s="48"/>
      <c r="BB2615" s="48"/>
      <c r="BC2615" s="48"/>
      <c r="BD2615" s="48"/>
    </row>
    <row r="2616" spans="1:56">
      <c r="A2616" s="48"/>
      <c r="B2616" s="48"/>
      <c r="C2616" s="49"/>
      <c r="D2616" s="48"/>
      <c r="E2616" s="48"/>
      <c r="F2616" s="48"/>
      <c r="G2616" s="48"/>
      <c r="H2616" s="48"/>
      <c r="I2616" s="48"/>
      <c r="J2616" s="86"/>
      <c r="K2616" s="86"/>
      <c r="L2616" s="86"/>
      <c r="M2616" s="86"/>
      <c r="N2616" s="86"/>
      <c r="O2616" s="86"/>
      <c r="P2616" s="86"/>
      <c r="Q2616" s="86"/>
      <c r="R2616" s="86"/>
      <c r="S2616" s="86"/>
      <c r="T2616" s="86"/>
      <c r="U2616" s="86"/>
      <c r="V2616" s="48"/>
      <c r="W2616" s="48"/>
      <c r="X2616" s="48"/>
      <c r="Y2616" s="48"/>
      <c r="Z2616" s="48"/>
      <c r="AA2616" s="48"/>
      <c r="AB2616" s="48"/>
      <c r="AC2616" s="48"/>
      <c r="AD2616" s="48"/>
      <c r="AE2616" s="48"/>
      <c r="AF2616" s="48"/>
      <c r="AG2616" s="48"/>
      <c r="AH2616" s="48"/>
      <c r="AI2616" s="48"/>
      <c r="AJ2616" s="48"/>
      <c r="AK2616" s="48"/>
      <c r="AL2616" s="48"/>
      <c r="AM2616" s="48"/>
      <c r="AN2616" s="48"/>
      <c r="AO2616" s="48"/>
      <c r="AP2616" s="48"/>
      <c r="AQ2616" s="48"/>
      <c r="AR2616" s="48"/>
      <c r="AS2616" s="48"/>
      <c r="AT2616" s="48"/>
      <c r="AU2616" s="48"/>
      <c r="AV2616" s="48"/>
      <c r="AW2616" s="48"/>
      <c r="AX2616" s="48"/>
      <c r="AY2616" s="48"/>
      <c r="AZ2616" s="48"/>
      <c r="BA2616" s="48"/>
      <c r="BB2616" s="48"/>
      <c r="BC2616" s="48"/>
      <c r="BD2616" s="48"/>
    </row>
    <row r="2617" spans="1:56">
      <c r="A2617" s="48"/>
      <c r="B2617" s="48"/>
      <c r="C2617" s="49"/>
      <c r="D2617" s="48"/>
      <c r="E2617" s="48"/>
      <c r="F2617" s="48"/>
      <c r="G2617" s="48"/>
      <c r="H2617" s="48"/>
      <c r="I2617" s="48"/>
      <c r="J2617" s="86"/>
      <c r="K2617" s="86"/>
      <c r="L2617" s="86"/>
      <c r="M2617" s="86"/>
      <c r="N2617" s="86"/>
      <c r="O2617" s="86"/>
      <c r="P2617" s="86"/>
      <c r="Q2617" s="86"/>
      <c r="R2617" s="86"/>
      <c r="S2617" s="86"/>
      <c r="T2617" s="86"/>
      <c r="U2617" s="86"/>
      <c r="V2617" s="48"/>
      <c r="W2617" s="48"/>
      <c r="X2617" s="48"/>
      <c r="Y2617" s="48"/>
      <c r="Z2617" s="48"/>
      <c r="AA2617" s="48"/>
      <c r="AB2617" s="48"/>
      <c r="AC2617" s="48"/>
      <c r="AD2617" s="48"/>
      <c r="AE2617" s="48"/>
      <c r="AF2617" s="48"/>
      <c r="AG2617" s="48"/>
      <c r="AH2617" s="48"/>
      <c r="AI2617" s="48"/>
      <c r="AJ2617" s="48"/>
      <c r="AK2617" s="48"/>
      <c r="AL2617" s="48"/>
      <c r="AM2617" s="48"/>
      <c r="AN2617" s="48"/>
      <c r="AO2617" s="48"/>
      <c r="AP2617" s="48"/>
      <c r="AQ2617" s="48"/>
      <c r="AR2617" s="48"/>
      <c r="AS2617" s="48"/>
      <c r="AT2617" s="48"/>
      <c r="AU2617" s="48"/>
      <c r="AV2617" s="48"/>
      <c r="AW2617" s="48"/>
      <c r="AX2617" s="48"/>
      <c r="AY2617" s="48"/>
      <c r="AZ2617" s="48"/>
      <c r="BA2617" s="48"/>
      <c r="BB2617" s="48"/>
      <c r="BC2617" s="48"/>
      <c r="BD2617" s="48"/>
    </row>
    <row r="2618" spans="1:56">
      <c r="A2618" s="48"/>
      <c r="B2618" s="48"/>
      <c r="C2618" s="49"/>
      <c r="D2618" s="48"/>
      <c r="E2618" s="48"/>
      <c r="F2618" s="48"/>
      <c r="G2618" s="48"/>
      <c r="H2618" s="48"/>
      <c r="I2618" s="48"/>
      <c r="J2618" s="86"/>
      <c r="K2618" s="86"/>
      <c r="L2618" s="86"/>
      <c r="M2618" s="86"/>
      <c r="N2618" s="86"/>
      <c r="O2618" s="86"/>
      <c r="P2618" s="86"/>
      <c r="Q2618" s="86"/>
      <c r="R2618" s="86"/>
      <c r="S2618" s="86"/>
      <c r="T2618" s="86"/>
      <c r="U2618" s="86"/>
      <c r="V2618" s="48"/>
      <c r="W2618" s="48"/>
      <c r="X2618" s="48"/>
      <c r="Y2618" s="48"/>
      <c r="Z2618" s="48"/>
      <c r="AA2618" s="48"/>
      <c r="AB2618" s="48"/>
      <c r="AC2618" s="48"/>
      <c r="AD2618" s="48"/>
      <c r="AE2618" s="48"/>
      <c r="AF2618" s="48"/>
      <c r="AG2618" s="48"/>
      <c r="AH2618" s="48"/>
      <c r="AI2618" s="48"/>
      <c r="AJ2618" s="48"/>
      <c r="AK2618" s="48"/>
      <c r="AL2618" s="48"/>
      <c r="AM2618" s="48"/>
      <c r="AN2618" s="48"/>
      <c r="AO2618" s="48"/>
      <c r="AP2618" s="48"/>
      <c r="AQ2618" s="48"/>
      <c r="AR2618" s="48"/>
      <c r="AS2618" s="48"/>
      <c r="AT2618" s="48"/>
      <c r="AU2618" s="48"/>
      <c r="AV2618" s="48"/>
      <c r="AW2618" s="48"/>
      <c r="AX2618" s="48"/>
      <c r="AY2618" s="48"/>
      <c r="AZ2618" s="48"/>
      <c r="BA2618" s="48"/>
      <c r="BB2618" s="48"/>
      <c r="BC2618" s="48"/>
      <c r="BD2618" s="48"/>
    </row>
    <row r="2619" spans="1:56">
      <c r="A2619" s="48"/>
      <c r="B2619" s="48"/>
      <c r="C2619" s="49"/>
      <c r="D2619" s="48"/>
      <c r="E2619" s="48"/>
      <c r="F2619" s="48"/>
      <c r="G2619" s="48"/>
      <c r="H2619" s="48"/>
      <c r="I2619" s="48"/>
      <c r="J2619" s="86"/>
      <c r="K2619" s="86"/>
      <c r="L2619" s="86"/>
      <c r="M2619" s="86"/>
      <c r="N2619" s="86"/>
      <c r="O2619" s="86"/>
      <c r="P2619" s="86"/>
      <c r="Q2619" s="86"/>
      <c r="R2619" s="86"/>
      <c r="S2619" s="86"/>
      <c r="T2619" s="86"/>
      <c r="U2619" s="86"/>
      <c r="V2619" s="48"/>
      <c r="W2619" s="48"/>
      <c r="X2619" s="48"/>
      <c r="Y2619" s="48"/>
      <c r="Z2619" s="48"/>
      <c r="AA2619" s="48"/>
      <c r="AB2619" s="48"/>
      <c r="AC2619" s="48"/>
      <c r="AD2619" s="48"/>
      <c r="AE2619" s="48"/>
      <c r="AF2619" s="48"/>
      <c r="AG2619" s="48"/>
      <c r="AH2619" s="48"/>
      <c r="AI2619" s="48"/>
      <c r="AJ2619" s="48"/>
      <c r="AK2619" s="48"/>
      <c r="AL2619" s="48"/>
      <c r="AM2619" s="48"/>
      <c r="AN2619" s="48"/>
      <c r="AO2619" s="48"/>
      <c r="AP2619" s="48"/>
      <c r="AQ2619" s="48"/>
      <c r="AR2619" s="48"/>
      <c r="AS2619" s="48"/>
      <c r="AT2619" s="48"/>
      <c r="AU2619" s="48"/>
      <c r="AV2619" s="48"/>
      <c r="AW2619" s="48"/>
      <c r="AX2619" s="48"/>
      <c r="AY2619" s="48"/>
      <c r="AZ2619" s="48"/>
      <c r="BA2619" s="48"/>
      <c r="BB2619" s="48"/>
      <c r="BC2619" s="48"/>
      <c r="BD2619" s="48"/>
    </row>
    <row r="2620" spans="1:56">
      <c r="A2620" s="48"/>
      <c r="B2620" s="48"/>
      <c r="C2620" s="49"/>
      <c r="D2620" s="48"/>
      <c r="E2620" s="48"/>
      <c r="F2620" s="48"/>
      <c r="G2620" s="48"/>
      <c r="H2620" s="48"/>
      <c r="I2620" s="48"/>
      <c r="J2620" s="86"/>
      <c r="K2620" s="86"/>
      <c r="L2620" s="86"/>
      <c r="M2620" s="86"/>
      <c r="N2620" s="86"/>
      <c r="O2620" s="86"/>
      <c r="P2620" s="86"/>
      <c r="Q2620" s="86"/>
      <c r="R2620" s="86"/>
      <c r="S2620" s="86"/>
      <c r="T2620" s="86"/>
      <c r="U2620" s="86"/>
      <c r="V2620" s="48"/>
      <c r="W2620" s="48"/>
      <c r="X2620" s="48"/>
      <c r="Y2620" s="48"/>
      <c r="Z2620" s="48"/>
      <c r="AA2620" s="48"/>
      <c r="AB2620" s="48"/>
      <c r="AC2620" s="48"/>
      <c r="AD2620" s="48"/>
      <c r="AE2620" s="48"/>
      <c r="AF2620" s="48"/>
      <c r="AG2620" s="48"/>
      <c r="AH2620" s="48"/>
      <c r="AI2620" s="48"/>
      <c r="AJ2620" s="48"/>
      <c r="AK2620" s="48"/>
      <c r="AL2620" s="48"/>
      <c r="AM2620" s="48"/>
      <c r="AN2620" s="48"/>
      <c r="AO2620" s="48"/>
      <c r="AP2620" s="48"/>
      <c r="AQ2620" s="48"/>
      <c r="AR2620" s="48"/>
      <c r="AS2620" s="48"/>
      <c r="AT2620" s="48"/>
      <c r="AU2620" s="48"/>
      <c r="AV2620" s="48"/>
      <c r="AW2620" s="48"/>
      <c r="AX2620" s="48"/>
      <c r="AY2620" s="48"/>
      <c r="AZ2620" s="48"/>
      <c r="BA2620" s="48"/>
      <c r="BB2620" s="48"/>
      <c r="BC2620" s="48"/>
      <c r="BD2620" s="48"/>
    </row>
    <row r="2621" spans="1:56">
      <c r="A2621" s="48"/>
      <c r="B2621" s="48"/>
      <c r="C2621" s="49"/>
      <c r="D2621" s="48"/>
      <c r="E2621" s="48"/>
      <c r="F2621" s="48"/>
      <c r="G2621" s="48"/>
      <c r="H2621" s="48"/>
      <c r="I2621" s="48"/>
      <c r="J2621" s="86"/>
      <c r="K2621" s="86"/>
      <c r="L2621" s="86"/>
      <c r="M2621" s="86"/>
      <c r="N2621" s="86"/>
      <c r="O2621" s="86"/>
      <c r="P2621" s="86"/>
      <c r="Q2621" s="86"/>
      <c r="R2621" s="86"/>
      <c r="S2621" s="86"/>
      <c r="T2621" s="86"/>
      <c r="U2621" s="86"/>
      <c r="V2621" s="48"/>
      <c r="W2621" s="48"/>
      <c r="X2621" s="48"/>
      <c r="Y2621" s="48"/>
      <c r="Z2621" s="48"/>
      <c r="AA2621" s="48"/>
      <c r="AB2621" s="48"/>
      <c r="AC2621" s="48"/>
      <c r="AD2621" s="48"/>
      <c r="AE2621" s="48"/>
      <c r="AF2621" s="48"/>
      <c r="AG2621" s="48"/>
      <c r="AH2621" s="48"/>
      <c r="AI2621" s="48"/>
      <c r="AJ2621" s="48"/>
      <c r="AK2621" s="48"/>
      <c r="AL2621" s="48"/>
      <c r="AM2621" s="48"/>
      <c r="AN2621" s="48"/>
      <c r="AO2621" s="48"/>
      <c r="AP2621" s="48"/>
      <c r="AQ2621" s="48"/>
      <c r="AR2621" s="48"/>
      <c r="AS2621" s="48"/>
      <c r="AT2621" s="48"/>
      <c r="AU2621" s="48"/>
      <c r="AV2621" s="48"/>
      <c r="AW2621" s="48"/>
      <c r="AX2621" s="48"/>
      <c r="AY2621" s="48"/>
      <c r="AZ2621" s="48"/>
      <c r="BA2621" s="48"/>
      <c r="BB2621" s="48"/>
      <c r="BC2621" s="48"/>
      <c r="BD2621" s="48"/>
    </row>
    <row r="2622" spans="1:56">
      <c r="A2622" s="48"/>
      <c r="B2622" s="48"/>
      <c r="C2622" s="49"/>
      <c r="D2622" s="48"/>
      <c r="E2622" s="48"/>
      <c r="F2622" s="48"/>
      <c r="G2622" s="48"/>
      <c r="H2622" s="48"/>
      <c r="I2622" s="48"/>
      <c r="J2622" s="86"/>
      <c r="K2622" s="86"/>
      <c r="L2622" s="86"/>
      <c r="M2622" s="86"/>
      <c r="N2622" s="86"/>
      <c r="O2622" s="86"/>
      <c r="P2622" s="86"/>
      <c r="Q2622" s="86"/>
      <c r="R2622" s="86"/>
      <c r="S2622" s="86"/>
      <c r="T2622" s="86"/>
      <c r="U2622" s="86"/>
      <c r="V2622" s="48"/>
      <c r="W2622" s="48"/>
      <c r="X2622" s="48"/>
      <c r="Y2622" s="48"/>
      <c r="Z2622" s="48"/>
      <c r="AA2622" s="48"/>
      <c r="AB2622" s="48"/>
      <c r="AC2622" s="48"/>
      <c r="AD2622" s="48"/>
      <c r="AE2622" s="48"/>
      <c r="AF2622" s="48"/>
      <c r="AG2622" s="48"/>
      <c r="AH2622" s="48"/>
      <c r="AI2622" s="48"/>
      <c r="AJ2622" s="48"/>
      <c r="AK2622" s="48"/>
      <c r="AL2622" s="48"/>
      <c r="AM2622" s="48"/>
      <c r="AN2622" s="48"/>
      <c r="AO2622" s="48"/>
      <c r="AP2622" s="48"/>
      <c r="AQ2622" s="48"/>
      <c r="AR2622" s="48"/>
      <c r="AS2622" s="48"/>
      <c r="AT2622" s="48"/>
      <c r="AU2622" s="48"/>
      <c r="AV2622" s="48"/>
      <c r="AW2622" s="48"/>
      <c r="AX2622" s="48"/>
      <c r="AY2622" s="48"/>
      <c r="AZ2622" s="48"/>
      <c r="BA2622" s="48"/>
      <c r="BB2622" s="48"/>
      <c r="BC2622" s="48"/>
      <c r="BD2622" s="48"/>
    </row>
    <row r="2623" spans="1:56">
      <c r="A2623" s="48"/>
      <c r="B2623" s="48"/>
      <c r="C2623" s="49"/>
      <c r="D2623" s="48"/>
      <c r="E2623" s="48"/>
      <c r="F2623" s="48"/>
      <c r="G2623" s="48"/>
      <c r="H2623" s="48"/>
      <c r="I2623" s="48"/>
      <c r="J2623" s="86"/>
      <c r="K2623" s="86"/>
      <c r="L2623" s="86"/>
      <c r="M2623" s="86"/>
      <c r="N2623" s="86"/>
      <c r="O2623" s="86"/>
      <c r="P2623" s="86"/>
      <c r="Q2623" s="86"/>
      <c r="R2623" s="86"/>
      <c r="S2623" s="86"/>
      <c r="T2623" s="86"/>
      <c r="U2623" s="86"/>
      <c r="V2623" s="48"/>
      <c r="W2623" s="48"/>
      <c r="X2623" s="48"/>
      <c r="Y2623" s="48"/>
      <c r="Z2623" s="48"/>
      <c r="AA2623" s="48"/>
      <c r="AB2623" s="48"/>
      <c r="AC2623" s="48"/>
      <c r="AD2623" s="48"/>
      <c r="AE2623" s="48"/>
      <c r="AF2623" s="48"/>
      <c r="AG2623" s="48"/>
      <c r="AH2623" s="48"/>
      <c r="AI2623" s="48"/>
      <c r="AJ2623" s="48"/>
      <c r="AK2623" s="48"/>
      <c r="AL2623" s="48"/>
      <c r="AM2623" s="48"/>
      <c r="AN2623" s="48"/>
      <c r="AO2623" s="48"/>
      <c r="AP2623" s="48"/>
      <c r="AQ2623" s="48"/>
      <c r="AR2623" s="48"/>
      <c r="AS2623" s="48"/>
      <c r="AT2623" s="48"/>
      <c r="AU2623" s="48"/>
      <c r="AV2623" s="48"/>
      <c r="AW2623" s="48"/>
      <c r="AX2623" s="48"/>
      <c r="AY2623" s="48"/>
      <c r="AZ2623" s="48"/>
      <c r="BA2623" s="48"/>
      <c r="BB2623" s="48"/>
      <c r="BC2623" s="48"/>
      <c r="BD2623" s="48"/>
    </row>
    <row r="2624" spans="1:56">
      <c r="A2624" s="48"/>
      <c r="B2624" s="48"/>
      <c r="C2624" s="49"/>
      <c r="D2624" s="48"/>
      <c r="E2624" s="48"/>
      <c r="F2624" s="48"/>
      <c r="G2624" s="48"/>
      <c r="H2624" s="48"/>
      <c r="I2624" s="48"/>
      <c r="J2624" s="86"/>
      <c r="K2624" s="86"/>
      <c r="L2624" s="86"/>
      <c r="M2624" s="86"/>
      <c r="N2624" s="86"/>
      <c r="O2624" s="86"/>
      <c r="P2624" s="86"/>
      <c r="Q2624" s="86"/>
      <c r="R2624" s="86"/>
      <c r="S2624" s="86"/>
      <c r="T2624" s="86"/>
      <c r="U2624" s="86"/>
      <c r="V2624" s="48"/>
      <c r="W2624" s="48"/>
      <c r="X2624" s="48"/>
      <c r="Y2624" s="48"/>
      <c r="Z2624" s="48"/>
      <c r="AA2624" s="48"/>
      <c r="AB2624" s="48"/>
      <c r="AC2624" s="48"/>
      <c r="AD2624" s="48"/>
      <c r="AE2624" s="48"/>
      <c r="AF2624" s="48"/>
      <c r="AG2624" s="48"/>
      <c r="AH2624" s="48"/>
      <c r="AI2624" s="48"/>
      <c r="AJ2624" s="48"/>
      <c r="AK2624" s="48"/>
      <c r="AL2624" s="48"/>
      <c r="AM2624" s="48"/>
      <c r="AN2624" s="48"/>
      <c r="AO2624" s="48"/>
      <c r="AP2624" s="48"/>
      <c r="AQ2624" s="48"/>
      <c r="AR2624" s="48"/>
      <c r="AS2624" s="48"/>
      <c r="AT2624" s="48"/>
      <c r="AU2624" s="48"/>
      <c r="AV2624" s="48"/>
      <c r="AW2624" s="48"/>
      <c r="AX2624" s="48"/>
      <c r="AY2624" s="48"/>
      <c r="AZ2624" s="48"/>
      <c r="BA2624" s="48"/>
      <c r="BB2624" s="48"/>
      <c r="BC2624" s="48"/>
      <c r="BD2624" s="48"/>
    </row>
    <row r="2625" spans="1:56">
      <c r="A2625" s="48"/>
      <c r="B2625" s="48"/>
      <c r="C2625" s="49"/>
      <c r="D2625" s="48"/>
      <c r="E2625" s="48"/>
      <c r="F2625" s="48"/>
      <c r="G2625" s="48"/>
      <c r="H2625" s="48"/>
      <c r="I2625" s="48"/>
      <c r="J2625" s="86"/>
      <c r="K2625" s="86"/>
      <c r="L2625" s="86"/>
      <c r="M2625" s="86"/>
      <c r="N2625" s="86"/>
      <c r="O2625" s="86"/>
      <c r="P2625" s="86"/>
      <c r="Q2625" s="86"/>
      <c r="R2625" s="86"/>
      <c r="S2625" s="86"/>
      <c r="T2625" s="86"/>
      <c r="U2625" s="86"/>
      <c r="V2625" s="48"/>
      <c r="W2625" s="48"/>
      <c r="X2625" s="48"/>
      <c r="Y2625" s="48"/>
      <c r="Z2625" s="48"/>
      <c r="AA2625" s="48"/>
      <c r="AB2625" s="48"/>
      <c r="AC2625" s="48"/>
      <c r="AD2625" s="48"/>
      <c r="AE2625" s="48"/>
      <c r="AF2625" s="48"/>
      <c r="AG2625" s="48"/>
      <c r="AH2625" s="48"/>
      <c r="AI2625" s="48"/>
      <c r="AJ2625" s="48"/>
      <c r="AK2625" s="48"/>
      <c r="AL2625" s="48"/>
      <c r="AM2625" s="48"/>
      <c r="AN2625" s="48"/>
      <c r="AO2625" s="48"/>
      <c r="AP2625" s="48"/>
      <c r="AQ2625" s="48"/>
      <c r="AR2625" s="48"/>
      <c r="AS2625" s="48"/>
      <c r="AT2625" s="48"/>
      <c r="AU2625" s="48"/>
      <c r="AV2625" s="48"/>
      <c r="AW2625" s="48"/>
      <c r="AX2625" s="48"/>
      <c r="AY2625" s="48"/>
      <c r="AZ2625" s="48"/>
      <c r="BA2625" s="48"/>
      <c r="BB2625" s="48"/>
      <c r="BC2625" s="48"/>
      <c r="BD2625" s="48"/>
    </row>
    <row r="2626" spans="1:56">
      <c r="A2626" s="48"/>
      <c r="B2626" s="48"/>
      <c r="C2626" s="49"/>
      <c r="D2626" s="48"/>
      <c r="E2626" s="48"/>
      <c r="F2626" s="48"/>
      <c r="G2626" s="48"/>
      <c r="H2626" s="48"/>
      <c r="I2626" s="48"/>
      <c r="J2626" s="86"/>
      <c r="K2626" s="86"/>
      <c r="L2626" s="86"/>
      <c r="M2626" s="86"/>
      <c r="N2626" s="86"/>
      <c r="O2626" s="86"/>
      <c r="P2626" s="86"/>
      <c r="Q2626" s="86"/>
      <c r="R2626" s="86"/>
      <c r="S2626" s="86"/>
      <c r="T2626" s="86"/>
      <c r="U2626" s="86"/>
      <c r="V2626" s="48"/>
      <c r="W2626" s="48"/>
      <c r="X2626" s="48"/>
      <c r="Y2626" s="48"/>
      <c r="Z2626" s="48"/>
      <c r="AA2626" s="48"/>
      <c r="AB2626" s="48"/>
      <c r="AC2626" s="48"/>
      <c r="AD2626" s="48"/>
      <c r="AE2626" s="48"/>
      <c r="AF2626" s="48"/>
      <c r="AG2626" s="48"/>
      <c r="AH2626" s="48"/>
      <c r="AI2626" s="48"/>
      <c r="AJ2626" s="48"/>
      <c r="AK2626" s="48"/>
      <c r="AL2626" s="48"/>
      <c r="AM2626" s="48"/>
      <c r="AN2626" s="48"/>
      <c r="AO2626" s="48"/>
      <c r="AP2626" s="48"/>
      <c r="AQ2626" s="48"/>
      <c r="AR2626" s="48"/>
      <c r="AS2626" s="48"/>
      <c r="AT2626" s="48"/>
      <c r="AU2626" s="48"/>
      <c r="AV2626" s="48"/>
      <c r="AW2626" s="48"/>
      <c r="AX2626" s="48"/>
      <c r="AY2626" s="48"/>
      <c r="AZ2626" s="48"/>
      <c r="BA2626" s="48"/>
      <c r="BB2626" s="48"/>
      <c r="BC2626" s="48"/>
      <c r="BD2626" s="48"/>
    </row>
    <row r="2627" spans="1:56">
      <c r="A2627" s="48"/>
      <c r="B2627" s="48"/>
      <c r="C2627" s="49"/>
      <c r="D2627" s="48"/>
      <c r="E2627" s="48"/>
      <c r="F2627" s="48"/>
      <c r="G2627" s="48"/>
      <c r="H2627" s="48"/>
      <c r="I2627" s="48"/>
      <c r="J2627" s="86"/>
      <c r="K2627" s="86"/>
      <c r="L2627" s="86"/>
      <c r="M2627" s="86"/>
      <c r="N2627" s="86"/>
      <c r="O2627" s="86"/>
      <c r="P2627" s="86"/>
      <c r="Q2627" s="86"/>
      <c r="R2627" s="86"/>
      <c r="S2627" s="86"/>
      <c r="T2627" s="86"/>
      <c r="U2627" s="86"/>
      <c r="V2627" s="48"/>
      <c r="W2627" s="48"/>
      <c r="X2627" s="48"/>
      <c r="Y2627" s="48"/>
      <c r="Z2627" s="48"/>
      <c r="AA2627" s="48"/>
      <c r="AB2627" s="48"/>
      <c r="AC2627" s="48"/>
      <c r="AD2627" s="48"/>
      <c r="AE2627" s="48"/>
      <c r="AF2627" s="48"/>
      <c r="AG2627" s="48"/>
      <c r="AH2627" s="48"/>
      <c r="AI2627" s="48"/>
      <c r="AJ2627" s="48"/>
      <c r="AK2627" s="48"/>
      <c r="AL2627" s="48"/>
      <c r="AM2627" s="48"/>
      <c r="AN2627" s="48"/>
      <c r="AO2627" s="48"/>
      <c r="AP2627" s="48"/>
      <c r="AQ2627" s="48"/>
      <c r="AR2627" s="48"/>
      <c r="AS2627" s="48"/>
      <c r="AT2627" s="48"/>
      <c r="AU2627" s="48"/>
      <c r="AV2627" s="48"/>
      <c r="AW2627" s="48"/>
      <c r="AX2627" s="48"/>
      <c r="AY2627" s="48"/>
      <c r="AZ2627" s="48"/>
      <c r="BA2627" s="48"/>
      <c r="BB2627" s="48"/>
      <c r="BC2627" s="48"/>
      <c r="BD2627" s="48"/>
    </row>
    <row r="2628" spans="1:56">
      <c r="A2628" s="48"/>
      <c r="B2628" s="48"/>
      <c r="C2628" s="49"/>
      <c r="D2628" s="48"/>
      <c r="E2628" s="48"/>
      <c r="F2628" s="48"/>
      <c r="G2628" s="48"/>
      <c r="H2628" s="48"/>
      <c r="I2628" s="48"/>
      <c r="J2628" s="86"/>
      <c r="K2628" s="86"/>
      <c r="L2628" s="86"/>
      <c r="M2628" s="86"/>
      <c r="N2628" s="86"/>
      <c r="O2628" s="86"/>
      <c r="P2628" s="86"/>
      <c r="Q2628" s="86"/>
      <c r="R2628" s="86"/>
      <c r="S2628" s="86"/>
      <c r="T2628" s="86"/>
      <c r="U2628" s="86"/>
      <c r="V2628" s="48"/>
      <c r="W2628" s="48"/>
      <c r="X2628" s="48"/>
      <c r="Y2628" s="48"/>
      <c r="Z2628" s="48"/>
      <c r="AA2628" s="48"/>
      <c r="AB2628" s="48"/>
      <c r="AC2628" s="48"/>
      <c r="AD2628" s="48"/>
      <c r="AE2628" s="48"/>
      <c r="AF2628" s="48"/>
      <c r="AG2628" s="48"/>
      <c r="AH2628" s="48"/>
      <c r="AI2628" s="48"/>
      <c r="AJ2628" s="48"/>
      <c r="AK2628" s="48"/>
      <c r="AL2628" s="48"/>
      <c r="AM2628" s="48"/>
      <c r="AN2628" s="48"/>
      <c r="AO2628" s="48"/>
      <c r="AP2628" s="48"/>
      <c r="AQ2628" s="48"/>
      <c r="AR2628" s="48"/>
      <c r="AS2628" s="48"/>
      <c r="AT2628" s="48"/>
      <c r="AU2628" s="48"/>
      <c r="AV2628" s="48"/>
      <c r="AW2628" s="48"/>
      <c r="AX2628" s="48"/>
      <c r="AY2628" s="48"/>
      <c r="AZ2628" s="48"/>
      <c r="BA2628" s="48"/>
      <c r="BB2628" s="48"/>
      <c r="BC2628" s="48"/>
      <c r="BD2628" s="48"/>
    </row>
    <row r="2629" spans="1:56">
      <c r="A2629" s="48"/>
      <c r="B2629" s="48"/>
      <c r="C2629" s="49"/>
      <c r="D2629" s="48"/>
      <c r="E2629" s="48"/>
      <c r="F2629" s="48"/>
      <c r="G2629" s="48"/>
      <c r="H2629" s="48"/>
      <c r="I2629" s="48"/>
      <c r="J2629" s="86"/>
      <c r="K2629" s="86"/>
      <c r="L2629" s="86"/>
      <c r="M2629" s="86"/>
      <c r="N2629" s="86"/>
      <c r="O2629" s="86"/>
      <c r="P2629" s="86"/>
      <c r="Q2629" s="86"/>
      <c r="R2629" s="86"/>
      <c r="S2629" s="86"/>
      <c r="T2629" s="86"/>
      <c r="U2629" s="86"/>
      <c r="V2629" s="48"/>
      <c r="W2629" s="48"/>
      <c r="X2629" s="48"/>
      <c r="Y2629" s="48"/>
      <c r="Z2629" s="48"/>
      <c r="AA2629" s="48"/>
      <c r="AB2629" s="48"/>
      <c r="AC2629" s="48"/>
      <c r="AD2629" s="48"/>
      <c r="AE2629" s="48"/>
      <c r="AF2629" s="48"/>
      <c r="AG2629" s="48"/>
      <c r="AH2629" s="48"/>
      <c r="AI2629" s="48"/>
      <c r="AJ2629" s="48"/>
      <c r="AK2629" s="48"/>
      <c r="AL2629" s="48"/>
      <c r="AM2629" s="48"/>
      <c r="AN2629" s="48"/>
      <c r="AO2629" s="48"/>
      <c r="AP2629" s="48"/>
      <c r="AQ2629" s="48"/>
      <c r="AR2629" s="48"/>
      <c r="AS2629" s="48"/>
      <c r="AT2629" s="48"/>
      <c r="AU2629" s="48"/>
      <c r="AV2629" s="48"/>
      <c r="AW2629" s="48"/>
      <c r="AX2629" s="48"/>
      <c r="AY2629" s="48"/>
      <c r="AZ2629" s="48"/>
      <c r="BA2629" s="48"/>
      <c r="BB2629" s="48"/>
      <c r="BC2629" s="48"/>
      <c r="BD2629" s="48"/>
    </row>
    <row r="2630" spans="1:56">
      <c r="A2630" s="48"/>
      <c r="B2630" s="48"/>
      <c r="C2630" s="49"/>
      <c r="D2630" s="48"/>
      <c r="E2630" s="48"/>
      <c r="F2630" s="48"/>
      <c r="G2630" s="48"/>
      <c r="H2630" s="48"/>
      <c r="I2630" s="48"/>
      <c r="J2630" s="86"/>
      <c r="K2630" s="86"/>
      <c r="L2630" s="86"/>
      <c r="M2630" s="86"/>
      <c r="N2630" s="86"/>
      <c r="O2630" s="86"/>
      <c r="P2630" s="86"/>
      <c r="Q2630" s="86"/>
      <c r="R2630" s="86"/>
      <c r="S2630" s="86"/>
      <c r="T2630" s="86"/>
      <c r="U2630" s="86"/>
      <c r="V2630" s="48"/>
      <c r="W2630" s="48"/>
      <c r="X2630" s="48"/>
      <c r="Y2630" s="48"/>
      <c r="Z2630" s="48"/>
      <c r="AA2630" s="48"/>
      <c r="AB2630" s="48"/>
      <c r="AC2630" s="48"/>
      <c r="AD2630" s="48"/>
      <c r="AE2630" s="48"/>
      <c r="AF2630" s="48"/>
      <c r="AG2630" s="48"/>
      <c r="AH2630" s="48"/>
      <c r="AI2630" s="48"/>
      <c r="AJ2630" s="48"/>
      <c r="AK2630" s="48"/>
      <c r="AL2630" s="48"/>
      <c r="AM2630" s="48"/>
      <c r="AN2630" s="48"/>
      <c r="AO2630" s="48"/>
      <c r="AP2630" s="48"/>
      <c r="AQ2630" s="48"/>
      <c r="AR2630" s="48"/>
      <c r="AS2630" s="48"/>
      <c r="AT2630" s="48"/>
      <c r="AU2630" s="48"/>
      <c r="AV2630" s="48"/>
      <c r="AW2630" s="48"/>
      <c r="AX2630" s="48"/>
      <c r="AY2630" s="48"/>
      <c r="AZ2630" s="48"/>
      <c r="BA2630" s="48"/>
      <c r="BB2630" s="48"/>
      <c r="BC2630" s="48"/>
      <c r="BD2630" s="48"/>
    </row>
    <row r="2631" spans="1:56">
      <c r="A2631" s="48"/>
      <c r="B2631" s="48"/>
      <c r="C2631" s="49"/>
      <c r="D2631" s="48"/>
      <c r="E2631" s="48"/>
      <c r="F2631" s="48"/>
      <c r="G2631" s="48"/>
      <c r="H2631" s="48"/>
      <c r="I2631" s="48"/>
      <c r="J2631" s="86"/>
      <c r="K2631" s="86"/>
      <c r="L2631" s="86"/>
      <c r="M2631" s="86"/>
      <c r="N2631" s="86"/>
      <c r="O2631" s="86"/>
      <c r="P2631" s="86"/>
      <c r="Q2631" s="86"/>
      <c r="R2631" s="86"/>
      <c r="S2631" s="86"/>
      <c r="T2631" s="86"/>
      <c r="U2631" s="86"/>
      <c r="V2631" s="48"/>
      <c r="W2631" s="48"/>
      <c r="X2631" s="48"/>
      <c r="Y2631" s="48"/>
      <c r="Z2631" s="48"/>
      <c r="AA2631" s="48"/>
      <c r="AB2631" s="48"/>
      <c r="AC2631" s="48"/>
      <c r="AD2631" s="48"/>
      <c r="AE2631" s="48"/>
      <c r="AF2631" s="48"/>
      <c r="AG2631" s="48"/>
      <c r="AH2631" s="48"/>
      <c r="AI2631" s="48"/>
      <c r="AJ2631" s="48"/>
      <c r="AK2631" s="48"/>
      <c r="AL2631" s="48"/>
      <c r="AM2631" s="48"/>
      <c r="AN2631" s="48"/>
      <c r="AO2631" s="48"/>
      <c r="AP2631" s="48"/>
      <c r="AQ2631" s="48"/>
      <c r="AR2631" s="48"/>
      <c r="AS2631" s="48"/>
      <c r="AT2631" s="48"/>
      <c r="AU2631" s="48"/>
      <c r="AV2631" s="48"/>
      <c r="AW2631" s="48"/>
      <c r="AX2631" s="48"/>
      <c r="AY2631" s="48"/>
      <c r="AZ2631" s="48"/>
      <c r="BA2631" s="48"/>
      <c r="BB2631" s="48"/>
      <c r="BC2631" s="48"/>
      <c r="BD2631" s="48"/>
    </row>
    <row r="2632" spans="1:56">
      <c r="A2632" s="48"/>
      <c r="B2632" s="48"/>
      <c r="C2632" s="49"/>
      <c r="D2632" s="48"/>
      <c r="E2632" s="48"/>
      <c r="F2632" s="48"/>
      <c r="G2632" s="48"/>
      <c r="H2632" s="48"/>
      <c r="I2632" s="48"/>
      <c r="J2632" s="86"/>
      <c r="K2632" s="86"/>
      <c r="L2632" s="86"/>
      <c r="M2632" s="86"/>
      <c r="N2632" s="86"/>
      <c r="O2632" s="86"/>
      <c r="P2632" s="86"/>
      <c r="Q2632" s="86"/>
      <c r="R2632" s="86"/>
      <c r="S2632" s="86"/>
      <c r="T2632" s="86"/>
      <c r="U2632" s="86"/>
      <c r="V2632" s="48"/>
      <c r="W2632" s="48"/>
      <c r="X2632" s="48"/>
      <c r="Y2632" s="48"/>
      <c r="Z2632" s="48"/>
      <c r="AA2632" s="48"/>
      <c r="AB2632" s="48"/>
      <c r="AC2632" s="48"/>
      <c r="AD2632" s="48"/>
      <c r="AE2632" s="48"/>
      <c r="AF2632" s="48"/>
      <c r="AG2632" s="48"/>
      <c r="AH2632" s="48"/>
      <c r="AI2632" s="48"/>
      <c r="AJ2632" s="48"/>
      <c r="AK2632" s="48"/>
      <c r="AL2632" s="48"/>
      <c r="AM2632" s="48"/>
      <c r="AN2632" s="48"/>
      <c r="AO2632" s="48"/>
      <c r="AP2632" s="48"/>
      <c r="AQ2632" s="48"/>
      <c r="AR2632" s="48"/>
      <c r="AS2632" s="48"/>
      <c r="AT2632" s="48"/>
      <c r="AU2632" s="48"/>
      <c r="AV2632" s="48"/>
      <c r="AW2632" s="48"/>
      <c r="AX2632" s="48"/>
      <c r="AY2632" s="48"/>
      <c r="AZ2632" s="48"/>
      <c r="BA2632" s="48"/>
      <c r="BB2632" s="48"/>
      <c r="BC2632" s="48"/>
      <c r="BD2632" s="48"/>
    </row>
    <row r="2633" spans="1:56">
      <c r="A2633" s="48"/>
      <c r="B2633" s="48"/>
      <c r="C2633" s="49"/>
      <c r="D2633" s="48"/>
      <c r="E2633" s="48"/>
      <c r="F2633" s="48"/>
      <c r="G2633" s="48"/>
      <c r="H2633" s="48"/>
      <c r="I2633" s="48"/>
      <c r="J2633" s="86"/>
      <c r="K2633" s="86"/>
      <c r="L2633" s="86"/>
      <c r="M2633" s="86"/>
      <c r="N2633" s="86"/>
      <c r="O2633" s="86"/>
      <c r="P2633" s="86"/>
      <c r="Q2633" s="86"/>
      <c r="R2633" s="86"/>
      <c r="S2633" s="86"/>
      <c r="T2633" s="86"/>
      <c r="U2633" s="86"/>
      <c r="V2633" s="48"/>
      <c r="W2633" s="48"/>
      <c r="X2633" s="48"/>
      <c r="Y2633" s="48"/>
      <c r="Z2633" s="48"/>
      <c r="AA2633" s="48"/>
      <c r="AB2633" s="48"/>
      <c r="AC2633" s="48"/>
      <c r="AD2633" s="48"/>
      <c r="AE2633" s="48"/>
      <c r="AF2633" s="48"/>
      <c r="AG2633" s="48"/>
      <c r="AH2633" s="48"/>
      <c r="AI2633" s="48"/>
      <c r="AJ2633" s="48"/>
      <c r="AK2633" s="48"/>
      <c r="AL2633" s="48"/>
      <c r="AM2633" s="48"/>
      <c r="AN2633" s="48"/>
      <c r="AO2633" s="48"/>
      <c r="AP2633" s="48"/>
      <c r="AQ2633" s="48"/>
      <c r="AR2633" s="48"/>
      <c r="AS2633" s="48"/>
      <c r="AT2633" s="48"/>
      <c r="AU2633" s="48"/>
      <c r="AV2633" s="48"/>
      <c r="AW2633" s="48"/>
      <c r="AX2633" s="48"/>
      <c r="AY2633" s="48"/>
      <c r="AZ2633" s="48"/>
      <c r="BA2633" s="48"/>
      <c r="BB2633" s="48"/>
      <c r="BC2633" s="48"/>
      <c r="BD2633" s="48"/>
    </row>
    <row r="2634" spans="1:56">
      <c r="A2634" s="48"/>
      <c r="B2634" s="48"/>
      <c r="C2634" s="49"/>
      <c r="D2634" s="48"/>
      <c r="E2634" s="48"/>
      <c r="F2634" s="48"/>
      <c r="G2634" s="48"/>
      <c r="H2634" s="48"/>
      <c r="I2634" s="48"/>
      <c r="J2634" s="86"/>
      <c r="K2634" s="86"/>
      <c r="L2634" s="86"/>
      <c r="M2634" s="86"/>
      <c r="N2634" s="86"/>
      <c r="O2634" s="86"/>
      <c r="P2634" s="86"/>
      <c r="Q2634" s="86"/>
      <c r="R2634" s="86"/>
      <c r="S2634" s="86"/>
      <c r="T2634" s="86"/>
      <c r="U2634" s="86"/>
      <c r="V2634" s="48"/>
      <c r="W2634" s="48"/>
      <c r="X2634" s="48"/>
      <c r="Y2634" s="48"/>
      <c r="Z2634" s="48"/>
      <c r="AA2634" s="48"/>
      <c r="AB2634" s="48"/>
      <c r="AC2634" s="48"/>
      <c r="AD2634" s="48"/>
      <c r="AE2634" s="48"/>
      <c r="AF2634" s="48"/>
      <c r="AG2634" s="48"/>
      <c r="AH2634" s="48"/>
      <c r="AI2634" s="48"/>
      <c r="AJ2634" s="48"/>
      <c r="AK2634" s="48"/>
      <c r="AL2634" s="48"/>
      <c r="AM2634" s="48"/>
      <c r="AN2634" s="48"/>
      <c r="AO2634" s="48"/>
      <c r="AP2634" s="48"/>
      <c r="AQ2634" s="48"/>
      <c r="AR2634" s="48"/>
      <c r="AS2634" s="48"/>
      <c r="AT2634" s="48"/>
      <c r="AU2634" s="48"/>
      <c r="AV2634" s="48"/>
      <c r="AW2634" s="48"/>
      <c r="AX2634" s="48"/>
      <c r="AY2634" s="48"/>
      <c r="AZ2634" s="48"/>
      <c r="BA2634" s="48"/>
      <c r="BB2634" s="48"/>
      <c r="BC2634" s="48"/>
      <c r="BD2634" s="48"/>
    </row>
    <row r="2635" spans="1:56">
      <c r="A2635" s="48"/>
      <c r="B2635" s="48"/>
      <c r="C2635" s="49"/>
      <c r="D2635" s="48"/>
      <c r="E2635" s="48"/>
      <c r="F2635" s="48"/>
      <c r="G2635" s="48"/>
      <c r="H2635" s="48"/>
      <c r="I2635" s="48"/>
      <c r="J2635" s="86"/>
      <c r="K2635" s="86"/>
      <c r="L2635" s="86"/>
      <c r="M2635" s="86"/>
      <c r="N2635" s="86"/>
      <c r="O2635" s="86"/>
      <c r="P2635" s="86"/>
      <c r="Q2635" s="86"/>
      <c r="R2635" s="86"/>
      <c r="S2635" s="86"/>
      <c r="T2635" s="86"/>
      <c r="U2635" s="86"/>
      <c r="V2635" s="48"/>
      <c r="W2635" s="48"/>
      <c r="X2635" s="48"/>
      <c r="Y2635" s="48"/>
      <c r="Z2635" s="48"/>
      <c r="AA2635" s="48"/>
      <c r="AB2635" s="48"/>
      <c r="AC2635" s="48"/>
      <c r="AD2635" s="48"/>
      <c r="AE2635" s="48"/>
      <c r="AF2635" s="48"/>
      <c r="AG2635" s="48"/>
      <c r="AH2635" s="48"/>
      <c r="AI2635" s="48"/>
      <c r="AJ2635" s="48"/>
      <c r="AK2635" s="48"/>
      <c r="AL2635" s="48"/>
      <c r="AM2635" s="48"/>
      <c r="AN2635" s="48"/>
      <c r="AO2635" s="48"/>
      <c r="AP2635" s="48"/>
      <c r="AQ2635" s="48"/>
      <c r="AR2635" s="48"/>
      <c r="AS2635" s="48"/>
      <c r="AT2635" s="48"/>
      <c r="AU2635" s="48"/>
      <c r="AV2635" s="48"/>
      <c r="AW2635" s="48"/>
      <c r="AX2635" s="48"/>
      <c r="AY2635" s="48"/>
      <c r="AZ2635" s="48"/>
      <c r="BA2635" s="48"/>
      <c r="BB2635" s="48"/>
      <c r="BC2635" s="48"/>
      <c r="BD2635" s="48"/>
    </row>
    <row r="2636" spans="1:56">
      <c r="A2636" s="48"/>
      <c r="B2636" s="48"/>
      <c r="C2636" s="49"/>
      <c r="D2636" s="48"/>
      <c r="E2636" s="48"/>
      <c r="F2636" s="48"/>
      <c r="G2636" s="48"/>
      <c r="H2636" s="48"/>
      <c r="I2636" s="48"/>
      <c r="J2636" s="86"/>
      <c r="K2636" s="86"/>
      <c r="L2636" s="86"/>
      <c r="M2636" s="86"/>
      <c r="N2636" s="86"/>
      <c r="O2636" s="86"/>
      <c r="P2636" s="86"/>
      <c r="Q2636" s="86"/>
      <c r="R2636" s="86"/>
      <c r="S2636" s="86"/>
      <c r="T2636" s="86"/>
      <c r="U2636" s="86"/>
      <c r="V2636" s="48"/>
      <c r="W2636" s="48"/>
      <c r="X2636" s="48"/>
      <c r="Y2636" s="48"/>
      <c r="Z2636" s="48"/>
      <c r="AA2636" s="48"/>
      <c r="AB2636" s="48"/>
      <c r="AC2636" s="48"/>
      <c r="AD2636" s="48"/>
      <c r="AE2636" s="48"/>
      <c r="AF2636" s="48"/>
      <c r="AG2636" s="48"/>
      <c r="AH2636" s="48"/>
      <c r="AI2636" s="48"/>
      <c r="AJ2636" s="48"/>
      <c r="AK2636" s="48"/>
      <c r="AL2636" s="48"/>
      <c r="AM2636" s="48"/>
      <c r="AN2636" s="48"/>
      <c r="AO2636" s="48"/>
      <c r="AP2636" s="48"/>
      <c r="AQ2636" s="48"/>
      <c r="AR2636" s="48"/>
      <c r="AS2636" s="48"/>
      <c r="AT2636" s="48"/>
      <c r="AU2636" s="48"/>
      <c r="AV2636" s="48"/>
      <c r="AW2636" s="48"/>
      <c r="AX2636" s="48"/>
      <c r="AY2636" s="48"/>
      <c r="AZ2636" s="48"/>
      <c r="BA2636" s="48"/>
      <c r="BB2636" s="48"/>
      <c r="BC2636" s="48"/>
      <c r="BD2636" s="48"/>
    </row>
    <row r="2637" spans="1:56">
      <c r="A2637" s="48"/>
      <c r="B2637" s="48"/>
      <c r="C2637" s="49"/>
      <c r="D2637" s="48"/>
      <c r="E2637" s="48"/>
      <c r="F2637" s="48"/>
      <c r="G2637" s="48"/>
      <c r="H2637" s="48"/>
      <c r="I2637" s="48"/>
      <c r="J2637" s="86"/>
      <c r="K2637" s="86"/>
      <c r="L2637" s="86"/>
      <c r="M2637" s="86"/>
      <c r="N2637" s="86"/>
      <c r="O2637" s="86"/>
      <c r="P2637" s="86"/>
      <c r="Q2637" s="86"/>
      <c r="R2637" s="86"/>
      <c r="S2637" s="86"/>
      <c r="T2637" s="86"/>
      <c r="U2637" s="86"/>
      <c r="V2637" s="48"/>
      <c r="W2637" s="48"/>
      <c r="X2637" s="48"/>
      <c r="Y2637" s="48"/>
      <c r="Z2637" s="48"/>
      <c r="AA2637" s="48"/>
      <c r="AB2637" s="48"/>
      <c r="AC2637" s="48"/>
      <c r="AD2637" s="48"/>
      <c r="AE2637" s="48"/>
      <c r="AF2637" s="48"/>
      <c r="AG2637" s="48"/>
      <c r="AH2637" s="48"/>
      <c r="AI2637" s="48"/>
      <c r="AJ2637" s="48"/>
      <c r="AK2637" s="48"/>
      <c r="AL2637" s="48"/>
      <c r="AM2637" s="48"/>
      <c r="AN2637" s="48"/>
      <c r="AO2637" s="48"/>
      <c r="AP2637" s="48"/>
      <c r="AQ2637" s="48"/>
      <c r="AR2637" s="48"/>
      <c r="AS2637" s="48"/>
      <c r="AT2637" s="48"/>
      <c r="AU2637" s="48"/>
      <c r="AV2637" s="48"/>
      <c r="AW2637" s="48"/>
      <c r="AX2637" s="48"/>
      <c r="AY2637" s="48"/>
      <c r="AZ2637" s="48"/>
      <c r="BA2637" s="48"/>
      <c r="BB2637" s="48"/>
      <c r="BC2637" s="48"/>
      <c r="BD2637" s="48"/>
    </row>
    <row r="2638" spans="1:56">
      <c r="A2638" s="48"/>
      <c r="B2638" s="48"/>
      <c r="C2638" s="49"/>
      <c r="D2638" s="48"/>
      <c r="E2638" s="48"/>
      <c r="F2638" s="48"/>
      <c r="G2638" s="48"/>
      <c r="H2638" s="48"/>
      <c r="I2638" s="48"/>
      <c r="J2638" s="86"/>
      <c r="K2638" s="86"/>
      <c r="L2638" s="86"/>
      <c r="M2638" s="86"/>
      <c r="N2638" s="86"/>
      <c r="O2638" s="86"/>
      <c r="P2638" s="86"/>
      <c r="Q2638" s="86"/>
      <c r="R2638" s="86"/>
      <c r="S2638" s="86"/>
      <c r="T2638" s="86"/>
      <c r="U2638" s="86"/>
      <c r="V2638" s="48"/>
      <c r="W2638" s="48"/>
      <c r="X2638" s="48"/>
      <c r="Y2638" s="48"/>
      <c r="Z2638" s="48"/>
      <c r="AA2638" s="48"/>
      <c r="AB2638" s="48"/>
      <c r="AC2638" s="48"/>
      <c r="AD2638" s="48"/>
      <c r="AE2638" s="48"/>
      <c r="AF2638" s="48"/>
      <c r="AG2638" s="48"/>
      <c r="AH2638" s="48"/>
      <c r="AI2638" s="48"/>
      <c r="AJ2638" s="48"/>
      <c r="AK2638" s="48"/>
      <c r="AL2638" s="48"/>
      <c r="AM2638" s="48"/>
      <c r="AN2638" s="48"/>
      <c r="AO2638" s="48"/>
      <c r="AP2638" s="48"/>
      <c r="AQ2638" s="48"/>
      <c r="AR2638" s="48"/>
      <c r="AS2638" s="48"/>
      <c r="AT2638" s="48"/>
      <c r="AU2638" s="48"/>
      <c r="AV2638" s="48"/>
      <c r="AW2638" s="48"/>
      <c r="AX2638" s="48"/>
      <c r="AY2638" s="48"/>
      <c r="AZ2638" s="48"/>
      <c r="BA2638" s="48"/>
      <c r="BB2638" s="48"/>
      <c r="BC2638" s="48"/>
      <c r="BD2638" s="48"/>
    </row>
    <row r="2639" spans="1:56">
      <c r="A2639" s="48"/>
      <c r="B2639" s="48"/>
      <c r="C2639" s="49"/>
      <c r="D2639" s="48"/>
      <c r="E2639" s="48"/>
      <c r="F2639" s="48"/>
      <c r="G2639" s="48"/>
      <c r="H2639" s="48"/>
      <c r="I2639" s="48"/>
      <c r="J2639" s="86"/>
      <c r="K2639" s="86"/>
      <c r="L2639" s="86"/>
      <c r="M2639" s="86"/>
      <c r="N2639" s="86"/>
      <c r="O2639" s="86"/>
      <c r="P2639" s="86"/>
      <c r="Q2639" s="86"/>
      <c r="R2639" s="86"/>
      <c r="S2639" s="86"/>
      <c r="T2639" s="86"/>
      <c r="U2639" s="86"/>
      <c r="V2639" s="48"/>
      <c r="W2639" s="48"/>
      <c r="X2639" s="48"/>
      <c r="Y2639" s="48"/>
      <c r="Z2639" s="48"/>
      <c r="AA2639" s="48"/>
      <c r="AB2639" s="48"/>
      <c r="AC2639" s="48"/>
      <c r="AD2639" s="48"/>
      <c r="AE2639" s="48"/>
      <c r="AF2639" s="48"/>
      <c r="AG2639" s="48"/>
      <c r="AH2639" s="48"/>
      <c r="AI2639" s="48"/>
      <c r="AJ2639" s="48"/>
      <c r="AK2639" s="48"/>
      <c r="AL2639" s="48"/>
      <c r="AM2639" s="48"/>
      <c r="AN2639" s="48"/>
      <c r="AO2639" s="48"/>
      <c r="AP2639" s="48"/>
      <c r="AQ2639" s="48"/>
      <c r="AR2639" s="48"/>
      <c r="AS2639" s="48"/>
      <c r="AT2639" s="48"/>
      <c r="AU2639" s="48"/>
      <c r="AV2639" s="48"/>
      <c r="AW2639" s="48"/>
      <c r="AX2639" s="48"/>
      <c r="AY2639" s="48"/>
      <c r="AZ2639" s="48"/>
      <c r="BA2639" s="48"/>
      <c r="BB2639" s="48"/>
      <c r="BC2639" s="48"/>
      <c r="BD2639" s="48"/>
    </row>
    <row r="2640" spans="1:56">
      <c r="A2640" s="48"/>
      <c r="B2640" s="48"/>
      <c r="C2640" s="49"/>
      <c r="D2640" s="48"/>
      <c r="E2640" s="48"/>
      <c r="F2640" s="48"/>
      <c r="G2640" s="48"/>
      <c r="H2640" s="48"/>
      <c r="I2640" s="48"/>
      <c r="J2640" s="86"/>
      <c r="K2640" s="86"/>
      <c r="L2640" s="86"/>
      <c r="M2640" s="86"/>
      <c r="N2640" s="86"/>
      <c r="O2640" s="86"/>
      <c r="P2640" s="86"/>
      <c r="Q2640" s="86"/>
      <c r="R2640" s="86"/>
      <c r="S2640" s="86"/>
      <c r="T2640" s="86"/>
      <c r="U2640" s="86"/>
      <c r="V2640" s="48"/>
      <c r="W2640" s="48"/>
      <c r="X2640" s="48"/>
      <c r="Y2640" s="48"/>
      <c r="Z2640" s="48"/>
      <c r="AA2640" s="48"/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T2640" s="48"/>
      <c r="AU2640" s="48"/>
      <c r="AV2640" s="48"/>
      <c r="AW2640" s="48"/>
      <c r="AX2640" s="48"/>
      <c r="AY2640" s="48"/>
      <c r="AZ2640" s="48"/>
      <c r="BA2640" s="48"/>
      <c r="BB2640" s="48"/>
      <c r="BC2640" s="48"/>
      <c r="BD2640" s="48"/>
    </row>
    <row r="2641" spans="1:56">
      <c r="A2641" s="48"/>
      <c r="B2641" s="48"/>
      <c r="C2641" s="49"/>
      <c r="D2641" s="48"/>
      <c r="E2641" s="48"/>
      <c r="F2641" s="48"/>
      <c r="G2641" s="48"/>
      <c r="H2641" s="48"/>
      <c r="I2641" s="48"/>
      <c r="J2641" s="86"/>
      <c r="K2641" s="86"/>
      <c r="L2641" s="86"/>
      <c r="M2641" s="86"/>
      <c r="N2641" s="86"/>
      <c r="O2641" s="86"/>
      <c r="P2641" s="86"/>
      <c r="Q2641" s="86"/>
      <c r="R2641" s="86"/>
      <c r="S2641" s="86"/>
      <c r="T2641" s="86"/>
      <c r="U2641" s="86"/>
      <c r="V2641" s="48"/>
      <c r="W2641" s="48"/>
      <c r="X2641" s="48"/>
      <c r="Y2641" s="48"/>
      <c r="Z2641" s="48"/>
      <c r="AA2641" s="48"/>
      <c r="AB2641" s="48"/>
      <c r="AC2641" s="48"/>
      <c r="AD2641" s="48"/>
      <c r="AE2641" s="48"/>
      <c r="AF2641" s="48"/>
      <c r="AG2641" s="48"/>
      <c r="AH2641" s="48"/>
      <c r="AI2641" s="48"/>
      <c r="AJ2641" s="48"/>
      <c r="AK2641" s="48"/>
      <c r="AL2641" s="48"/>
      <c r="AM2641" s="48"/>
      <c r="AN2641" s="48"/>
      <c r="AO2641" s="48"/>
      <c r="AP2641" s="48"/>
      <c r="AQ2641" s="48"/>
      <c r="AR2641" s="48"/>
      <c r="AS2641" s="48"/>
      <c r="AT2641" s="48"/>
      <c r="AU2641" s="48"/>
      <c r="AV2641" s="48"/>
      <c r="AW2641" s="48"/>
      <c r="AX2641" s="48"/>
      <c r="AY2641" s="48"/>
      <c r="AZ2641" s="48"/>
      <c r="BA2641" s="48"/>
      <c r="BB2641" s="48"/>
      <c r="BC2641" s="48"/>
      <c r="BD2641" s="48"/>
    </row>
    <row r="2642" spans="1:56">
      <c r="A2642" s="48"/>
      <c r="B2642" s="48"/>
      <c r="C2642" s="49"/>
      <c r="D2642" s="48"/>
      <c r="E2642" s="48"/>
      <c r="F2642" s="48"/>
      <c r="G2642" s="48"/>
      <c r="H2642" s="48"/>
      <c r="I2642" s="48"/>
      <c r="J2642" s="86"/>
      <c r="K2642" s="86"/>
      <c r="L2642" s="86"/>
      <c r="M2642" s="86"/>
      <c r="N2642" s="86"/>
      <c r="O2642" s="86"/>
      <c r="P2642" s="86"/>
      <c r="Q2642" s="86"/>
      <c r="R2642" s="86"/>
      <c r="S2642" s="86"/>
      <c r="T2642" s="86"/>
      <c r="U2642" s="86"/>
      <c r="V2642" s="48"/>
      <c r="W2642" s="48"/>
      <c r="X2642" s="48"/>
      <c r="Y2642" s="48"/>
      <c r="Z2642" s="48"/>
      <c r="AA2642" s="48"/>
      <c r="AB2642" s="48"/>
      <c r="AC2642" s="48"/>
      <c r="AD2642" s="48"/>
      <c r="AE2642" s="48"/>
      <c r="AF2642" s="48"/>
      <c r="AG2642" s="48"/>
      <c r="AH2642" s="48"/>
      <c r="AI2642" s="48"/>
      <c r="AJ2642" s="48"/>
      <c r="AK2642" s="48"/>
      <c r="AL2642" s="48"/>
      <c r="AM2642" s="48"/>
      <c r="AN2642" s="48"/>
      <c r="AO2642" s="48"/>
      <c r="AP2642" s="48"/>
      <c r="AQ2642" s="48"/>
      <c r="AR2642" s="48"/>
      <c r="AS2642" s="48"/>
      <c r="AT2642" s="48"/>
      <c r="AU2642" s="48"/>
      <c r="AV2642" s="48"/>
      <c r="AW2642" s="48"/>
      <c r="AX2642" s="48"/>
      <c r="AY2642" s="48"/>
      <c r="AZ2642" s="48"/>
      <c r="BA2642" s="48"/>
      <c r="BB2642" s="48"/>
      <c r="BC2642" s="48"/>
      <c r="BD2642" s="48"/>
    </row>
    <row r="2643" spans="1:56">
      <c r="A2643" s="48"/>
      <c r="B2643" s="48"/>
      <c r="C2643" s="49"/>
      <c r="D2643" s="48"/>
      <c r="E2643" s="48"/>
      <c r="F2643" s="48"/>
      <c r="G2643" s="48"/>
      <c r="H2643" s="48"/>
      <c r="I2643" s="48"/>
      <c r="J2643" s="86"/>
      <c r="K2643" s="86"/>
      <c r="L2643" s="86"/>
      <c r="M2643" s="86"/>
      <c r="N2643" s="86"/>
      <c r="O2643" s="86"/>
      <c r="P2643" s="86"/>
      <c r="Q2643" s="86"/>
      <c r="R2643" s="86"/>
      <c r="S2643" s="86"/>
      <c r="T2643" s="86"/>
      <c r="U2643" s="86"/>
      <c r="V2643" s="48"/>
      <c r="W2643" s="48"/>
      <c r="X2643" s="48"/>
      <c r="Y2643" s="48"/>
      <c r="Z2643" s="48"/>
      <c r="AA2643" s="48"/>
      <c r="AB2643" s="48"/>
      <c r="AC2643" s="48"/>
      <c r="AD2643" s="48"/>
      <c r="AE2643" s="48"/>
      <c r="AF2643" s="48"/>
      <c r="AG2643" s="48"/>
      <c r="AH2643" s="48"/>
      <c r="AI2643" s="48"/>
      <c r="AJ2643" s="48"/>
      <c r="AK2643" s="48"/>
      <c r="AL2643" s="48"/>
      <c r="AM2643" s="48"/>
      <c r="AN2643" s="48"/>
      <c r="AO2643" s="48"/>
      <c r="AP2643" s="48"/>
      <c r="AQ2643" s="48"/>
      <c r="AR2643" s="48"/>
      <c r="AS2643" s="48"/>
      <c r="AT2643" s="48"/>
      <c r="AU2643" s="48"/>
      <c r="AV2643" s="48"/>
      <c r="AW2643" s="48"/>
      <c r="AX2643" s="48"/>
      <c r="AY2643" s="48"/>
      <c r="AZ2643" s="48"/>
      <c r="BA2643" s="48"/>
      <c r="BB2643" s="48"/>
      <c r="BC2643" s="48"/>
      <c r="BD2643" s="48"/>
    </row>
    <row r="2644" spans="1:56">
      <c r="A2644" s="48"/>
      <c r="B2644" s="48"/>
      <c r="C2644" s="49"/>
      <c r="D2644" s="48"/>
      <c r="E2644" s="48"/>
      <c r="F2644" s="48"/>
      <c r="G2644" s="48"/>
      <c r="H2644" s="48"/>
      <c r="I2644" s="48"/>
      <c r="J2644" s="86"/>
      <c r="K2644" s="86"/>
      <c r="L2644" s="86"/>
      <c r="M2644" s="86"/>
      <c r="N2644" s="86"/>
      <c r="O2644" s="86"/>
      <c r="P2644" s="86"/>
      <c r="Q2644" s="86"/>
      <c r="R2644" s="86"/>
      <c r="S2644" s="86"/>
      <c r="T2644" s="86"/>
      <c r="U2644" s="86"/>
      <c r="V2644" s="48"/>
      <c r="W2644" s="48"/>
      <c r="X2644" s="48"/>
      <c r="Y2644" s="48"/>
      <c r="Z2644" s="48"/>
      <c r="AA2644" s="48"/>
      <c r="AB2644" s="48"/>
      <c r="AC2644" s="48"/>
      <c r="AD2644" s="48"/>
      <c r="AE2644" s="48"/>
      <c r="AF2644" s="48"/>
      <c r="AG2644" s="48"/>
      <c r="AH2644" s="48"/>
      <c r="AI2644" s="48"/>
      <c r="AJ2644" s="48"/>
      <c r="AK2644" s="48"/>
      <c r="AL2644" s="48"/>
      <c r="AM2644" s="48"/>
      <c r="AN2644" s="48"/>
      <c r="AO2644" s="48"/>
      <c r="AP2644" s="48"/>
      <c r="AQ2644" s="48"/>
      <c r="AR2644" s="48"/>
      <c r="AS2644" s="48"/>
      <c r="AT2644" s="48"/>
      <c r="AU2644" s="48"/>
      <c r="AV2644" s="48"/>
      <c r="AW2644" s="48"/>
      <c r="AX2644" s="48"/>
      <c r="AY2644" s="48"/>
      <c r="AZ2644" s="48"/>
      <c r="BA2644" s="48"/>
      <c r="BB2644" s="48"/>
      <c r="BC2644" s="48"/>
      <c r="BD2644" s="48"/>
    </row>
    <row r="2645" spans="1:56">
      <c r="A2645" s="48"/>
      <c r="B2645" s="48"/>
      <c r="C2645" s="49"/>
      <c r="D2645" s="48"/>
      <c r="E2645" s="48"/>
      <c r="F2645" s="48"/>
      <c r="G2645" s="48"/>
      <c r="H2645" s="48"/>
      <c r="I2645" s="48"/>
      <c r="J2645" s="86"/>
      <c r="K2645" s="86"/>
      <c r="L2645" s="86"/>
      <c r="M2645" s="86"/>
      <c r="N2645" s="86"/>
      <c r="O2645" s="86"/>
      <c r="P2645" s="86"/>
      <c r="Q2645" s="86"/>
      <c r="R2645" s="86"/>
      <c r="S2645" s="86"/>
      <c r="T2645" s="86"/>
      <c r="U2645" s="86"/>
      <c r="V2645" s="48"/>
      <c r="W2645" s="48"/>
      <c r="X2645" s="48"/>
      <c r="Y2645" s="48"/>
      <c r="Z2645" s="48"/>
      <c r="AA2645" s="48"/>
      <c r="AB2645" s="48"/>
      <c r="AC2645" s="48"/>
      <c r="AD2645" s="48"/>
      <c r="AE2645" s="48"/>
      <c r="AF2645" s="48"/>
      <c r="AG2645" s="48"/>
      <c r="AH2645" s="48"/>
      <c r="AI2645" s="48"/>
      <c r="AJ2645" s="48"/>
      <c r="AK2645" s="48"/>
      <c r="AL2645" s="48"/>
      <c r="AM2645" s="48"/>
      <c r="AN2645" s="48"/>
      <c r="AO2645" s="48"/>
      <c r="AP2645" s="48"/>
      <c r="AQ2645" s="48"/>
      <c r="AR2645" s="48"/>
      <c r="AS2645" s="48"/>
      <c r="AT2645" s="48"/>
      <c r="AU2645" s="48"/>
      <c r="AV2645" s="48"/>
      <c r="AW2645" s="48"/>
      <c r="AX2645" s="48"/>
      <c r="AY2645" s="48"/>
      <c r="AZ2645" s="48"/>
      <c r="BA2645" s="48"/>
      <c r="BB2645" s="48"/>
      <c r="BC2645" s="48"/>
      <c r="BD2645" s="48"/>
    </row>
    <row r="2646" spans="1:56">
      <c r="A2646" s="48"/>
      <c r="B2646" s="48"/>
      <c r="C2646" s="49"/>
      <c r="D2646" s="48"/>
      <c r="E2646" s="48"/>
      <c r="F2646" s="48"/>
      <c r="G2646" s="48"/>
      <c r="H2646" s="48"/>
      <c r="I2646" s="48"/>
      <c r="J2646" s="86"/>
      <c r="K2646" s="86"/>
      <c r="L2646" s="86"/>
      <c r="M2646" s="86"/>
      <c r="N2646" s="86"/>
      <c r="O2646" s="86"/>
      <c r="P2646" s="86"/>
      <c r="Q2646" s="86"/>
      <c r="R2646" s="86"/>
      <c r="S2646" s="86"/>
      <c r="T2646" s="86"/>
      <c r="U2646" s="86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T2646" s="48"/>
      <c r="AU2646" s="48"/>
      <c r="AV2646" s="48"/>
      <c r="AW2646" s="48"/>
      <c r="AX2646" s="48"/>
      <c r="AY2646" s="48"/>
      <c r="AZ2646" s="48"/>
      <c r="BA2646" s="48"/>
      <c r="BB2646" s="48"/>
      <c r="BC2646" s="48"/>
      <c r="BD2646" s="48"/>
    </row>
    <row r="2647" spans="1:56">
      <c r="A2647" s="48"/>
      <c r="B2647" s="48"/>
      <c r="C2647" s="49"/>
      <c r="D2647" s="48"/>
      <c r="E2647" s="48"/>
      <c r="F2647" s="48"/>
      <c r="G2647" s="48"/>
      <c r="H2647" s="48"/>
      <c r="I2647" s="48"/>
      <c r="J2647" s="86"/>
      <c r="K2647" s="86"/>
      <c r="L2647" s="86"/>
      <c r="M2647" s="86"/>
      <c r="N2647" s="86"/>
      <c r="O2647" s="86"/>
      <c r="P2647" s="86"/>
      <c r="Q2647" s="86"/>
      <c r="R2647" s="86"/>
      <c r="S2647" s="86"/>
      <c r="T2647" s="86"/>
      <c r="U2647" s="86"/>
      <c r="V2647" s="48"/>
      <c r="W2647" s="48"/>
      <c r="X2647" s="48"/>
      <c r="Y2647" s="48"/>
      <c r="Z2647" s="48"/>
      <c r="AA2647" s="48"/>
      <c r="AB2647" s="48"/>
      <c r="AC2647" s="48"/>
      <c r="AD2647" s="48"/>
      <c r="AE2647" s="48"/>
      <c r="AF2647" s="48"/>
      <c r="AG2647" s="48"/>
      <c r="AH2647" s="48"/>
      <c r="AI2647" s="48"/>
      <c r="AJ2647" s="48"/>
      <c r="AK2647" s="48"/>
      <c r="AL2647" s="48"/>
      <c r="AM2647" s="48"/>
      <c r="AN2647" s="48"/>
      <c r="AO2647" s="48"/>
      <c r="AP2647" s="48"/>
      <c r="AQ2647" s="48"/>
      <c r="AR2647" s="48"/>
      <c r="AS2647" s="48"/>
      <c r="AT2647" s="48"/>
      <c r="AU2647" s="48"/>
      <c r="AV2647" s="48"/>
      <c r="AW2647" s="48"/>
      <c r="AX2647" s="48"/>
      <c r="AY2647" s="48"/>
      <c r="AZ2647" s="48"/>
      <c r="BA2647" s="48"/>
      <c r="BB2647" s="48"/>
      <c r="BC2647" s="48"/>
      <c r="BD2647" s="48"/>
    </row>
    <row r="2648" spans="1:56">
      <c r="A2648" s="48"/>
      <c r="B2648" s="48"/>
      <c r="C2648" s="49"/>
      <c r="D2648" s="48"/>
      <c r="E2648" s="48"/>
      <c r="F2648" s="48"/>
      <c r="G2648" s="48"/>
      <c r="H2648" s="48"/>
      <c r="I2648" s="48"/>
      <c r="J2648" s="86"/>
      <c r="K2648" s="86"/>
      <c r="L2648" s="86"/>
      <c r="M2648" s="86"/>
      <c r="N2648" s="86"/>
      <c r="O2648" s="86"/>
      <c r="P2648" s="86"/>
      <c r="Q2648" s="86"/>
      <c r="R2648" s="86"/>
      <c r="S2648" s="86"/>
      <c r="T2648" s="86"/>
      <c r="U2648" s="86"/>
      <c r="V2648" s="48"/>
      <c r="W2648" s="48"/>
      <c r="X2648" s="48"/>
      <c r="Y2648" s="48"/>
      <c r="Z2648" s="48"/>
      <c r="AA2648" s="48"/>
      <c r="AB2648" s="48"/>
      <c r="AC2648" s="48"/>
      <c r="AD2648" s="48"/>
      <c r="AE2648" s="48"/>
      <c r="AF2648" s="48"/>
      <c r="AG2648" s="48"/>
      <c r="AH2648" s="48"/>
      <c r="AI2648" s="48"/>
      <c r="AJ2648" s="48"/>
      <c r="AK2648" s="48"/>
      <c r="AL2648" s="48"/>
      <c r="AM2648" s="48"/>
      <c r="AN2648" s="48"/>
      <c r="AO2648" s="48"/>
      <c r="AP2648" s="48"/>
      <c r="AQ2648" s="48"/>
      <c r="AR2648" s="48"/>
      <c r="AS2648" s="48"/>
      <c r="AT2648" s="48"/>
      <c r="AU2648" s="48"/>
      <c r="AV2648" s="48"/>
      <c r="AW2648" s="48"/>
      <c r="AX2648" s="48"/>
      <c r="AY2648" s="48"/>
      <c r="AZ2648" s="48"/>
      <c r="BA2648" s="48"/>
      <c r="BB2648" s="48"/>
      <c r="BC2648" s="48"/>
      <c r="BD2648" s="48"/>
    </row>
    <row r="2649" spans="1:56">
      <c r="A2649" s="48"/>
      <c r="B2649" s="48"/>
      <c r="C2649" s="49"/>
      <c r="D2649" s="48"/>
      <c r="E2649" s="48"/>
      <c r="F2649" s="48"/>
      <c r="G2649" s="48"/>
      <c r="H2649" s="48"/>
      <c r="I2649" s="48"/>
      <c r="J2649" s="86"/>
      <c r="K2649" s="86"/>
      <c r="L2649" s="86"/>
      <c r="M2649" s="86"/>
      <c r="N2649" s="86"/>
      <c r="O2649" s="86"/>
      <c r="P2649" s="86"/>
      <c r="Q2649" s="86"/>
      <c r="R2649" s="86"/>
      <c r="S2649" s="86"/>
      <c r="T2649" s="86"/>
      <c r="U2649" s="86"/>
      <c r="V2649" s="48"/>
      <c r="W2649" s="48"/>
      <c r="X2649" s="48"/>
      <c r="Y2649" s="48"/>
      <c r="Z2649" s="48"/>
      <c r="AA2649" s="48"/>
      <c r="AB2649" s="48"/>
      <c r="AC2649" s="48"/>
      <c r="AD2649" s="48"/>
      <c r="AE2649" s="48"/>
      <c r="AF2649" s="48"/>
      <c r="AG2649" s="48"/>
      <c r="AH2649" s="48"/>
      <c r="AI2649" s="48"/>
      <c r="AJ2649" s="48"/>
      <c r="AK2649" s="48"/>
      <c r="AL2649" s="48"/>
      <c r="AM2649" s="48"/>
      <c r="AN2649" s="48"/>
      <c r="AO2649" s="48"/>
      <c r="AP2649" s="48"/>
      <c r="AQ2649" s="48"/>
      <c r="AR2649" s="48"/>
      <c r="AS2649" s="48"/>
      <c r="AT2649" s="48"/>
      <c r="AU2649" s="48"/>
      <c r="AV2649" s="48"/>
      <c r="AW2649" s="48"/>
      <c r="AX2649" s="48"/>
      <c r="AY2649" s="48"/>
      <c r="AZ2649" s="48"/>
      <c r="BA2649" s="48"/>
      <c r="BB2649" s="48"/>
      <c r="BC2649" s="48"/>
      <c r="BD2649" s="48"/>
    </row>
    <row r="2650" spans="1:56">
      <c r="A2650" s="48"/>
      <c r="B2650" s="48"/>
      <c r="C2650" s="49"/>
      <c r="D2650" s="48"/>
      <c r="E2650" s="48"/>
      <c r="F2650" s="48"/>
      <c r="G2650" s="48"/>
      <c r="H2650" s="48"/>
      <c r="I2650" s="48"/>
      <c r="J2650" s="86"/>
      <c r="K2650" s="86"/>
      <c r="L2650" s="86"/>
      <c r="M2650" s="86"/>
      <c r="N2650" s="86"/>
      <c r="O2650" s="86"/>
      <c r="P2650" s="86"/>
      <c r="Q2650" s="86"/>
      <c r="R2650" s="86"/>
      <c r="S2650" s="86"/>
      <c r="T2650" s="86"/>
      <c r="U2650" s="86"/>
      <c r="V2650" s="48"/>
      <c r="W2650" s="48"/>
      <c r="X2650" s="48"/>
      <c r="Y2650" s="48"/>
      <c r="Z2650" s="48"/>
      <c r="AA2650" s="48"/>
      <c r="AB2650" s="48"/>
      <c r="AC2650" s="48"/>
      <c r="AD2650" s="48"/>
      <c r="AE2650" s="48"/>
      <c r="AF2650" s="48"/>
      <c r="AG2650" s="48"/>
      <c r="AH2650" s="48"/>
      <c r="AI2650" s="48"/>
      <c r="AJ2650" s="48"/>
      <c r="AK2650" s="48"/>
      <c r="AL2650" s="48"/>
      <c r="AM2650" s="48"/>
      <c r="AN2650" s="48"/>
      <c r="AO2650" s="48"/>
      <c r="AP2650" s="48"/>
      <c r="AQ2650" s="48"/>
      <c r="AR2650" s="48"/>
      <c r="AS2650" s="48"/>
      <c r="AT2650" s="48"/>
      <c r="AU2650" s="48"/>
      <c r="AV2650" s="48"/>
      <c r="AW2650" s="48"/>
      <c r="AX2650" s="48"/>
      <c r="AY2650" s="48"/>
      <c r="AZ2650" s="48"/>
      <c r="BA2650" s="48"/>
      <c r="BB2650" s="48"/>
      <c r="BC2650" s="48"/>
      <c r="BD2650" s="48"/>
    </row>
    <row r="2651" spans="1:56">
      <c r="A2651" s="48"/>
      <c r="B2651" s="48"/>
      <c r="C2651" s="49"/>
      <c r="D2651" s="48"/>
      <c r="E2651" s="48"/>
      <c r="F2651" s="48"/>
      <c r="G2651" s="48"/>
      <c r="H2651" s="48"/>
      <c r="I2651" s="48"/>
      <c r="J2651" s="86"/>
      <c r="K2651" s="86"/>
      <c r="L2651" s="86"/>
      <c r="M2651" s="86"/>
      <c r="N2651" s="86"/>
      <c r="O2651" s="86"/>
      <c r="P2651" s="86"/>
      <c r="Q2651" s="86"/>
      <c r="R2651" s="86"/>
      <c r="S2651" s="86"/>
      <c r="T2651" s="86"/>
      <c r="U2651" s="86"/>
      <c r="V2651" s="48"/>
      <c r="W2651" s="48"/>
      <c r="X2651" s="48"/>
      <c r="Y2651" s="48"/>
      <c r="Z2651" s="48"/>
      <c r="AA2651" s="48"/>
      <c r="AB2651" s="48"/>
      <c r="AC2651" s="48"/>
      <c r="AD2651" s="48"/>
      <c r="AE2651" s="48"/>
      <c r="AF2651" s="48"/>
      <c r="AG2651" s="48"/>
      <c r="AH2651" s="48"/>
      <c r="AI2651" s="48"/>
      <c r="AJ2651" s="48"/>
      <c r="AK2651" s="48"/>
      <c r="AL2651" s="48"/>
      <c r="AM2651" s="48"/>
      <c r="AN2651" s="48"/>
      <c r="AO2651" s="48"/>
      <c r="AP2651" s="48"/>
      <c r="AQ2651" s="48"/>
      <c r="AR2651" s="48"/>
      <c r="AS2651" s="48"/>
      <c r="AT2651" s="48"/>
      <c r="AU2651" s="48"/>
      <c r="AV2651" s="48"/>
      <c r="AW2651" s="48"/>
      <c r="AX2651" s="48"/>
      <c r="AY2651" s="48"/>
      <c r="AZ2651" s="48"/>
      <c r="BA2651" s="48"/>
      <c r="BB2651" s="48"/>
      <c r="BC2651" s="48"/>
      <c r="BD2651" s="48"/>
    </row>
    <row r="2652" spans="1:56">
      <c r="A2652" s="48"/>
      <c r="B2652" s="48"/>
      <c r="C2652" s="49"/>
      <c r="D2652" s="48"/>
      <c r="E2652" s="48"/>
      <c r="F2652" s="48"/>
      <c r="G2652" s="48"/>
      <c r="H2652" s="48"/>
      <c r="I2652" s="48"/>
      <c r="J2652" s="86"/>
      <c r="K2652" s="86"/>
      <c r="L2652" s="86"/>
      <c r="M2652" s="86"/>
      <c r="N2652" s="86"/>
      <c r="O2652" s="86"/>
      <c r="P2652" s="86"/>
      <c r="Q2652" s="86"/>
      <c r="R2652" s="86"/>
      <c r="S2652" s="86"/>
      <c r="T2652" s="86"/>
      <c r="U2652" s="86"/>
      <c r="V2652" s="48"/>
      <c r="W2652" s="48"/>
      <c r="X2652" s="48"/>
      <c r="Y2652" s="48"/>
      <c r="Z2652" s="48"/>
      <c r="AA2652" s="48"/>
      <c r="AB2652" s="48"/>
      <c r="AC2652" s="48"/>
      <c r="AD2652" s="48"/>
      <c r="AE2652" s="48"/>
      <c r="AF2652" s="48"/>
      <c r="AG2652" s="48"/>
      <c r="AH2652" s="48"/>
      <c r="AI2652" s="48"/>
      <c r="AJ2652" s="48"/>
      <c r="AK2652" s="48"/>
      <c r="AL2652" s="48"/>
      <c r="AM2652" s="48"/>
      <c r="AN2652" s="48"/>
      <c r="AO2652" s="48"/>
      <c r="AP2652" s="48"/>
      <c r="AQ2652" s="48"/>
      <c r="AR2652" s="48"/>
      <c r="AS2652" s="48"/>
      <c r="AT2652" s="48"/>
      <c r="AU2652" s="48"/>
      <c r="AV2652" s="48"/>
      <c r="AW2652" s="48"/>
      <c r="AX2652" s="48"/>
      <c r="AY2652" s="48"/>
      <c r="AZ2652" s="48"/>
      <c r="BA2652" s="48"/>
      <c r="BB2652" s="48"/>
      <c r="BC2652" s="48"/>
      <c r="BD2652" s="48"/>
    </row>
    <row r="2653" spans="1:56">
      <c r="A2653" s="48"/>
      <c r="B2653" s="48"/>
      <c r="C2653" s="49"/>
      <c r="D2653" s="48"/>
      <c r="E2653" s="48"/>
      <c r="F2653" s="48"/>
      <c r="G2653" s="48"/>
      <c r="H2653" s="48"/>
      <c r="I2653" s="48"/>
      <c r="J2653" s="86"/>
      <c r="K2653" s="86"/>
      <c r="L2653" s="86"/>
      <c r="M2653" s="86"/>
      <c r="N2653" s="86"/>
      <c r="O2653" s="86"/>
      <c r="P2653" s="86"/>
      <c r="Q2653" s="86"/>
      <c r="R2653" s="86"/>
      <c r="S2653" s="86"/>
      <c r="T2653" s="86"/>
      <c r="U2653" s="86"/>
      <c r="V2653" s="48"/>
      <c r="W2653" s="48"/>
      <c r="X2653" s="48"/>
      <c r="Y2653" s="48"/>
      <c r="Z2653" s="48"/>
      <c r="AA2653" s="48"/>
      <c r="AB2653" s="48"/>
      <c r="AC2653" s="48"/>
      <c r="AD2653" s="48"/>
      <c r="AE2653" s="48"/>
      <c r="AF2653" s="48"/>
      <c r="AG2653" s="48"/>
      <c r="AH2653" s="48"/>
      <c r="AI2653" s="48"/>
      <c r="AJ2653" s="48"/>
      <c r="AK2653" s="48"/>
      <c r="AL2653" s="48"/>
      <c r="AM2653" s="48"/>
      <c r="AN2653" s="48"/>
      <c r="AO2653" s="48"/>
      <c r="AP2653" s="48"/>
      <c r="AQ2653" s="48"/>
      <c r="AR2653" s="48"/>
      <c r="AS2653" s="48"/>
      <c r="AT2653" s="48"/>
      <c r="AU2653" s="48"/>
      <c r="AV2653" s="48"/>
      <c r="AW2653" s="48"/>
      <c r="AX2653" s="48"/>
      <c r="AY2653" s="48"/>
      <c r="AZ2653" s="48"/>
      <c r="BA2653" s="48"/>
      <c r="BB2653" s="48"/>
      <c r="BC2653" s="48"/>
      <c r="BD2653" s="48"/>
    </row>
    <row r="2654" spans="1:56">
      <c r="A2654" s="48"/>
      <c r="B2654" s="48"/>
      <c r="C2654" s="49"/>
      <c r="D2654" s="48"/>
      <c r="E2654" s="48"/>
      <c r="F2654" s="48"/>
      <c r="G2654" s="48"/>
      <c r="H2654" s="48"/>
      <c r="I2654" s="48"/>
      <c r="J2654" s="86"/>
      <c r="K2654" s="86"/>
      <c r="L2654" s="86"/>
      <c r="M2654" s="86"/>
      <c r="N2654" s="86"/>
      <c r="O2654" s="86"/>
      <c r="P2654" s="86"/>
      <c r="Q2654" s="86"/>
      <c r="R2654" s="86"/>
      <c r="S2654" s="86"/>
      <c r="T2654" s="86"/>
      <c r="U2654" s="86"/>
      <c r="V2654" s="48"/>
      <c r="W2654" s="48"/>
      <c r="X2654" s="48"/>
      <c r="Y2654" s="48"/>
      <c r="Z2654" s="48"/>
      <c r="AA2654" s="48"/>
      <c r="AB2654" s="48"/>
      <c r="AC2654" s="48"/>
      <c r="AD2654" s="48"/>
      <c r="AE2654" s="48"/>
      <c r="AF2654" s="48"/>
      <c r="AG2654" s="48"/>
      <c r="AH2654" s="48"/>
      <c r="AI2654" s="48"/>
      <c r="AJ2654" s="48"/>
      <c r="AK2654" s="48"/>
      <c r="AL2654" s="48"/>
      <c r="AM2654" s="48"/>
      <c r="AN2654" s="48"/>
      <c r="AO2654" s="48"/>
      <c r="AP2654" s="48"/>
      <c r="AQ2654" s="48"/>
      <c r="AR2654" s="48"/>
      <c r="AS2654" s="48"/>
      <c r="AT2654" s="48"/>
      <c r="AU2654" s="48"/>
      <c r="AV2654" s="48"/>
      <c r="AW2654" s="48"/>
      <c r="AX2654" s="48"/>
      <c r="AY2654" s="48"/>
      <c r="AZ2654" s="48"/>
      <c r="BA2654" s="48"/>
      <c r="BB2654" s="48"/>
      <c r="BC2654" s="48"/>
      <c r="BD2654" s="48"/>
    </row>
    <row r="2655" spans="1:56">
      <c r="A2655" s="48"/>
      <c r="B2655" s="48"/>
      <c r="C2655" s="49"/>
      <c r="D2655" s="48"/>
      <c r="E2655" s="48"/>
      <c r="F2655" s="48"/>
      <c r="G2655" s="48"/>
      <c r="H2655" s="48"/>
      <c r="I2655" s="48"/>
      <c r="J2655" s="86"/>
      <c r="K2655" s="86"/>
      <c r="L2655" s="86"/>
      <c r="M2655" s="86"/>
      <c r="N2655" s="86"/>
      <c r="O2655" s="86"/>
      <c r="P2655" s="86"/>
      <c r="Q2655" s="86"/>
      <c r="R2655" s="86"/>
      <c r="S2655" s="86"/>
      <c r="T2655" s="86"/>
      <c r="U2655" s="86"/>
      <c r="V2655" s="48"/>
      <c r="W2655" s="48"/>
      <c r="X2655" s="48"/>
      <c r="Y2655" s="48"/>
      <c r="Z2655" s="48"/>
      <c r="AA2655" s="48"/>
      <c r="AB2655" s="48"/>
      <c r="AC2655" s="48"/>
      <c r="AD2655" s="48"/>
      <c r="AE2655" s="48"/>
      <c r="AF2655" s="48"/>
      <c r="AG2655" s="48"/>
      <c r="AH2655" s="48"/>
      <c r="AI2655" s="48"/>
      <c r="AJ2655" s="48"/>
      <c r="AK2655" s="48"/>
      <c r="AL2655" s="48"/>
      <c r="AM2655" s="48"/>
      <c r="AN2655" s="48"/>
      <c r="AO2655" s="48"/>
      <c r="AP2655" s="48"/>
      <c r="AQ2655" s="48"/>
      <c r="AR2655" s="48"/>
      <c r="AS2655" s="48"/>
      <c r="AT2655" s="48"/>
      <c r="AU2655" s="48"/>
      <c r="AV2655" s="48"/>
      <c r="AW2655" s="48"/>
      <c r="AX2655" s="48"/>
      <c r="AY2655" s="48"/>
      <c r="AZ2655" s="48"/>
      <c r="BA2655" s="48"/>
      <c r="BB2655" s="48"/>
      <c r="BC2655" s="48"/>
      <c r="BD2655" s="48"/>
    </row>
    <row r="2656" spans="1:56">
      <c r="A2656" s="48"/>
      <c r="B2656" s="48"/>
      <c r="C2656" s="49"/>
      <c r="D2656" s="48"/>
      <c r="E2656" s="48"/>
      <c r="F2656" s="48"/>
      <c r="G2656" s="48"/>
      <c r="H2656" s="48"/>
      <c r="I2656" s="48"/>
      <c r="J2656" s="86"/>
      <c r="K2656" s="86"/>
      <c r="L2656" s="86"/>
      <c r="M2656" s="86"/>
      <c r="N2656" s="86"/>
      <c r="O2656" s="86"/>
      <c r="P2656" s="86"/>
      <c r="Q2656" s="86"/>
      <c r="R2656" s="86"/>
      <c r="S2656" s="86"/>
      <c r="T2656" s="86"/>
      <c r="U2656" s="86"/>
      <c r="V2656" s="48"/>
      <c r="W2656" s="48"/>
      <c r="X2656" s="48"/>
      <c r="Y2656" s="48"/>
      <c r="Z2656" s="48"/>
      <c r="AA2656" s="48"/>
      <c r="AB2656" s="48"/>
      <c r="AC2656" s="48"/>
      <c r="AD2656" s="48"/>
      <c r="AE2656" s="48"/>
      <c r="AF2656" s="48"/>
      <c r="AG2656" s="48"/>
      <c r="AH2656" s="48"/>
      <c r="AI2656" s="48"/>
      <c r="AJ2656" s="48"/>
      <c r="AK2656" s="48"/>
      <c r="AL2656" s="48"/>
      <c r="AM2656" s="48"/>
      <c r="AN2656" s="48"/>
      <c r="AO2656" s="48"/>
      <c r="AP2656" s="48"/>
      <c r="AQ2656" s="48"/>
      <c r="AR2656" s="48"/>
      <c r="AS2656" s="48"/>
      <c r="AT2656" s="48"/>
      <c r="AU2656" s="48"/>
      <c r="AV2656" s="48"/>
      <c r="AW2656" s="48"/>
      <c r="AX2656" s="48"/>
      <c r="AY2656" s="48"/>
      <c r="AZ2656" s="48"/>
      <c r="BA2656" s="48"/>
      <c r="BB2656" s="48"/>
      <c r="BC2656" s="48"/>
      <c r="BD2656" s="48"/>
    </row>
    <row r="2657" spans="1:56">
      <c r="A2657" s="48"/>
      <c r="B2657" s="48"/>
      <c r="C2657" s="49"/>
      <c r="D2657" s="48"/>
      <c r="E2657" s="48"/>
      <c r="F2657" s="48"/>
      <c r="G2657" s="48"/>
      <c r="H2657" s="48"/>
      <c r="I2657" s="48"/>
      <c r="J2657" s="86"/>
      <c r="K2657" s="86"/>
      <c r="L2657" s="86"/>
      <c r="M2657" s="86"/>
      <c r="N2657" s="86"/>
      <c r="O2657" s="86"/>
      <c r="P2657" s="86"/>
      <c r="Q2657" s="86"/>
      <c r="R2657" s="86"/>
      <c r="S2657" s="86"/>
      <c r="T2657" s="86"/>
      <c r="U2657" s="86"/>
      <c r="V2657" s="48"/>
      <c r="W2657" s="48"/>
      <c r="X2657" s="48"/>
      <c r="Y2657" s="48"/>
      <c r="Z2657" s="48"/>
      <c r="AA2657" s="48"/>
      <c r="AB2657" s="48"/>
      <c r="AC2657" s="48"/>
      <c r="AD2657" s="48"/>
      <c r="AE2657" s="48"/>
      <c r="AF2657" s="48"/>
      <c r="AG2657" s="48"/>
      <c r="AH2657" s="48"/>
      <c r="AI2657" s="48"/>
      <c r="AJ2657" s="48"/>
      <c r="AK2657" s="48"/>
      <c r="AL2657" s="48"/>
      <c r="AM2657" s="48"/>
      <c r="AN2657" s="48"/>
      <c r="AO2657" s="48"/>
      <c r="AP2657" s="48"/>
      <c r="AQ2657" s="48"/>
      <c r="AR2657" s="48"/>
      <c r="AS2657" s="48"/>
      <c r="AT2657" s="48"/>
      <c r="AU2657" s="48"/>
      <c r="AV2657" s="48"/>
      <c r="AW2657" s="48"/>
      <c r="AX2657" s="48"/>
      <c r="AY2657" s="48"/>
      <c r="AZ2657" s="48"/>
      <c r="BA2657" s="48"/>
      <c r="BB2657" s="48"/>
      <c r="BC2657" s="48"/>
      <c r="BD2657" s="48"/>
    </row>
    <row r="2658" spans="1:56">
      <c r="A2658" s="48"/>
      <c r="B2658" s="48"/>
      <c r="C2658" s="49"/>
      <c r="D2658" s="48"/>
      <c r="E2658" s="48"/>
      <c r="F2658" s="48"/>
      <c r="G2658" s="48"/>
      <c r="H2658" s="48"/>
      <c r="I2658" s="48"/>
      <c r="J2658" s="86"/>
      <c r="K2658" s="86"/>
      <c r="L2658" s="86"/>
      <c r="M2658" s="86"/>
      <c r="N2658" s="86"/>
      <c r="O2658" s="86"/>
      <c r="P2658" s="86"/>
      <c r="Q2658" s="86"/>
      <c r="R2658" s="86"/>
      <c r="S2658" s="86"/>
      <c r="T2658" s="86"/>
      <c r="U2658" s="86"/>
      <c r="V2658" s="48"/>
      <c r="W2658" s="48"/>
      <c r="X2658" s="48"/>
      <c r="Y2658" s="48"/>
      <c r="Z2658" s="48"/>
      <c r="AA2658" s="48"/>
      <c r="AB2658" s="48"/>
      <c r="AC2658" s="48"/>
      <c r="AD2658" s="48"/>
      <c r="AE2658" s="48"/>
      <c r="AF2658" s="48"/>
      <c r="AG2658" s="48"/>
      <c r="AH2658" s="48"/>
      <c r="AI2658" s="48"/>
      <c r="AJ2658" s="48"/>
      <c r="AK2658" s="48"/>
      <c r="AL2658" s="48"/>
      <c r="AM2658" s="48"/>
      <c r="AN2658" s="48"/>
      <c r="AO2658" s="48"/>
      <c r="AP2658" s="48"/>
      <c r="AQ2658" s="48"/>
      <c r="AR2658" s="48"/>
      <c r="AS2658" s="48"/>
      <c r="AT2658" s="48"/>
      <c r="AU2658" s="48"/>
      <c r="AV2658" s="48"/>
      <c r="AW2658" s="48"/>
      <c r="AX2658" s="48"/>
      <c r="AY2658" s="48"/>
      <c r="AZ2658" s="48"/>
      <c r="BA2658" s="48"/>
      <c r="BB2658" s="48"/>
      <c r="BC2658" s="48"/>
      <c r="BD2658" s="48"/>
    </row>
    <row r="2659" spans="1:56">
      <c r="A2659" s="48"/>
      <c r="B2659" s="48"/>
      <c r="C2659" s="49"/>
      <c r="D2659" s="48"/>
      <c r="E2659" s="48"/>
      <c r="F2659" s="48"/>
      <c r="G2659" s="48"/>
      <c r="H2659" s="48"/>
      <c r="I2659" s="48"/>
      <c r="J2659" s="86"/>
      <c r="K2659" s="86"/>
      <c r="L2659" s="86"/>
      <c r="M2659" s="86"/>
      <c r="N2659" s="86"/>
      <c r="O2659" s="86"/>
      <c r="P2659" s="86"/>
      <c r="Q2659" s="86"/>
      <c r="R2659" s="86"/>
      <c r="S2659" s="86"/>
      <c r="T2659" s="86"/>
      <c r="U2659" s="86"/>
      <c r="V2659" s="48"/>
      <c r="W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G2659" s="48"/>
      <c r="AH2659" s="48"/>
      <c r="AI2659" s="48"/>
      <c r="AJ2659" s="48"/>
      <c r="AK2659" s="48"/>
      <c r="AL2659" s="48"/>
      <c r="AM2659" s="48"/>
      <c r="AN2659" s="48"/>
      <c r="AO2659" s="48"/>
      <c r="AP2659" s="48"/>
      <c r="AQ2659" s="48"/>
      <c r="AR2659" s="48"/>
      <c r="AS2659" s="48"/>
      <c r="AT2659" s="48"/>
      <c r="AU2659" s="48"/>
      <c r="AV2659" s="48"/>
      <c r="AW2659" s="48"/>
      <c r="AX2659" s="48"/>
      <c r="AY2659" s="48"/>
      <c r="AZ2659" s="48"/>
      <c r="BA2659" s="48"/>
      <c r="BB2659" s="48"/>
      <c r="BC2659" s="48"/>
      <c r="BD2659" s="48"/>
    </row>
    <row r="2660" spans="1:56">
      <c r="A2660" s="48"/>
      <c r="B2660" s="48"/>
      <c r="C2660" s="49"/>
      <c r="D2660" s="48"/>
      <c r="E2660" s="48"/>
      <c r="F2660" s="48"/>
      <c r="G2660" s="48"/>
      <c r="H2660" s="48"/>
      <c r="I2660" s="48"/>
      <c r="J2660" s="86"/>
      <c r="K2660" s="86"/>
      <c r="L2660" s="86"/>
      <c r="M2660" s="86"/>
      <c r="N2660" s="86"/>
      <c r="O2660" s="86"/>
      <c r="P2660" s="86"/>
      <c r="Q2660" s="86"/>
      <c r="R2660" s="86"/>
      <c r="S2660" s="86"/>
      <c r="T2660" s="86"/>
      <c r="U2660" s="86"/>
      <c r="V2660" s="48"/>
      <c r="W2660" s="48"/>
      <c r="X2660" s="48"/>
      <c r="Y2660" s="48"/>
      <c r="Z2660" s="48"/>
      <c r="AA2660" s="48"/>
      <c r="AB2660" s="48"/>
      <c r="AC2660" s="48"/>
      <c r="AD2660" s="48"/>
      <c r="AE2660" s="48"/>
      <c r="AF2660" s="48"/>
      <c r="AG2660" s="48"/>
      <c r="AH2660" s="48"/>
      <c r="AI2660" s="48"/>
      <c r="AJ2660" s="48"/>
      <c r="AK2660" s="48"/>
      <c r="AL2660" s="48"/>
      <c r="AM2660" s="48"/>
      <c r="AN2660" s="48"/>
      <c r="AO2660" s="48"/>
      <c r="AP2660" s="48"/>
      <c r="AQ2660" s="48"/>
      <c r="AR2660" s="48"/>
      <c r="AS2660" s="48"/>
      <c r="AT2660" s="48"/>
      <c r="AU2660" s="48"/>
      <c r="AV2660" s="48"/>
      <c r="AW2660" s="48"/>
      <c r="AX2660" s="48"/>
      <c r="AY2660" s="48"/>
      <c r="AZ2660" s="48"/>
      <c r="BA2660" s="48"/>
      <c r="BB2660" s="48"/>
      <c r="BC2660" s="48"/>
      <c r="BD2660" s="48"/>
    </row>
    <row r="2661" spans="1:56">
      <c r="A2661" s="48"/>
      <c r="B2661" s="48"/>
      <c r="C2661" s="49"/>
      <c r="D2661" s="48"/>
      <c r="E2661" s="48"/>
      <c r="F2661" s="48"/>
      <c r="G2661" s="48"/>
      <c r="H2661" s="48"/>
      <c r="I2661" s="48"/>
      <c r="J2661" s="86"/>
      <c r="K2661" s="86"/>
      <c r="L2661" s="86"/>
      <c r="M2661" s="86"/>
      <c r="N2661" s="86"/>
      <c r="O2661" s="86"/>
      <c r="P2661" s="86"/>
      <c r="Q2661" s="86"/>
      <c r="R2661" s="86"/>
      <c r="S2661" s="86"/>
      <c r="T2661" s="86"/>
      <c r="U2661" s="86"/>
      <c r="V2661" s="48"/>
      <c r="W2661" s="48"/>
      <c r="X2661" s="48"/>
      <c r="Y2661" s="48"/>
      <c r="Z2661" s="48"/>
      <c r="AA2661" s="48"/>
      <c r="AB2661" s="48"/>
      <c r="AC2661" s="48"/>
      <c r="AD2661" s="48"/>
      <c r="AE2661" s="48"/>
      <c r="AF2661" s="48"/>
      <c r="AG2661" s="48"/>
      <c r="AH2661" s="48"/>
      <c r="AI2661" s="48"/>
      <c r="AJ2661" s="48"/>
      <c r="AK2661" s="48"/>
      <c r="AL2661" s="48"/>
      <c r="AM2661" s="48"/>
      <c r="AN2661" s="48"/>
      <c r="AO2661" s="48"/>
      <c r="AP2661" s="48"/>
      <c r="AQ2661" s="48"/>
      <c r="AR2661" s="48"/>
      <c r="AS2661" s="48"/>
      <c r="AT2661" s="48"/>
      <c r="AU2661" s="48"/>
      <c r="AV2661" s="48"/>
      <c r="AW2661" s="48"/>
      <c r="AX2661" s="48"/>
      <c r="AY2661" s="48"/>
      <c r="AZ2661" s="48"/>
      <c r="BA2661" s="48"/>
      <c r="BB2661" s="48"/>
      <c r="BC2661" s="48"/>
      <c r="BD2661" s="48"/>
    </row>
    <row r="2662" spans="1:56">
      <c r="A2662" s="48"/>
      <c r="B2662" s="48"/>
      <c r="C2662" s="49"/>
      <c r="D2662" s="48"/>
      <c r="E2662" s="48"/>
      <c r="F2662" s="48"/>
      <c r="G2662" s="48"/>
      <c r="H2662" s="48"/>
      <c r="I2662" s="48"/>
      <c r="J2662" s="86"/>
      <c r="K2662" s="86"/>
      <c r="L2662" s="86"/>
      <c r="M2662" s="86"/>
      <c r="N2662" s="86"/>
      <c r="O2662" s="86"/>
      <c r="P2662" s="86"/>
      <c r="Q2662" s="86"/>
      <c r="R2662" s="86"/>
      <c r="S2662" s="86"/>
      <c r="T2662" s="86"/>
      <c r="U2662" s="86"/>
      <c r="V2662" s="48"/>
      <c r="W2662" s="48"/>
      <c r="X2662" s="48"/>
      <c r="Y2662" s="48"/>
      <c r="Z2662" s="48"/>
      <c r="AA2662" s="48"/>
      <c r="AB2662" s="48"/>
      <c r="AC2662" s="48"/>
      <c r="AD2662" s="48"/>
      <c r="AE2662" s="48"/>
      <c r="AF2662" s="48"/>
      <c r="AG2662" s="48"/>
      <c r="AH2662" s="48"/>
      <c r="AI2662" s="48"/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48"/>
      <c r="BA2662" s="48"/>
      <c r="BB2662" s="48"/>
      <c r="BC2662" s="48"/>
      <c r="BD2662" s="48"/>
    </row>
    <row r="2663" spans="1:56">
      <c r="A2663" s="48"/>
      <c r="B2663" s="48"/>
      <c r="C2663" s="49"/>
      <c r="D2663" s="48"/>
      <c r="E2663" s="48"/>
      <c r="F2663" s="48"/>
      <c r="G2663" s="48"/>
      <c r="H2663" s="48"/>
      <c r="I2663" s="48"/>
      <c r="J2663" s="86"/>
      <c r="K2663" s="86"/>
      <c r="L2663" s="86"/>
      <c r="M2663" s="86"/>
      <c r="N2663" s="86"/>
      <c r="O2663" s="86"/>
      <c r="P2663" s="86"/>
      <c r="Q2663" s="86"/>
      <c r="R2663" s="86"/>
      <c r="S2663" s="86"/>
      <c r="T2663" s="86"/>
      <c r="U2663" s="86"/>
      <c r="V2663" s="48"/>
      <c r="W2663" s="48"/>
      <c r="X2663" s="48"/>
      <c r="Y2663" s="48"/>
      <c r="Z2663" s="48"/>
      <c r="AA2663" s="48"/>
      <c r="AB2663" s="48"/>
      <c r="AC2663" s="48"/>
      <c r="AD2663" s="48"/>
      <c r="AE2663" s="48"/>
      <c r="AF2663" s="48"/>
      <c r="AG2663" s="48"/>
      <c r="AH2663" s="48"/>
      <c r="AI2663" s="48"/>
      <c r="AJ2663" s="48"/>
      <c r="AK2663" s="48"/>
      <c r="AL2663" s="48"/>
      <c r="AM2663" s="48"/>
      <c r="AN2663" s="48"/>
      <c r="AO2663" s="48"/>
      <c r="AP2663" s="48"/>
      <c r="AQ2663" s="48"/>
      <c r="AR2663" s="48"/>
      <c r="AS2663" s="48"/>
      <c r="AT2663" s="48"/>
      <c r="AU2663" s="48"/>
      <c r="AV2663" s="48"/>
      <c r="AW2663" s="48"/>
      <c r="AX2663" s="48"/>
      <c r="AY2663" s="48"/>
      <c r="AZ2663" s="48"/>
      <c r="BA2663" s="48"/>
      <c r="BB2663" s="48"/>
      <c r="BC2663" s="48"/>
      <c r="BD2663" s="48"/>
    </row>
    <row r="2664" spans="1:56">
      <c r="A2664" s="48"/>
      <c r="B2664" s="48"/>
      <c r="C2664" s="49"/>
      <c r="D2664" s="48"/>
      <c r="E2664" s="48"/>
      <c r="F2664" s="48"/>
      <c r="G2664" s="48"/>
      <c r="H2664" s="48"/>
      <c r="I2664" s="48"/>
      <c r="J2664" s="86"/>
      <c r="K2664" s="86"/>
      <c r="L2664" s="86"/>
      <c r="M2664" s="86"/>
      <c r="N2664" s="86"/>
      <c r="O2664" s="86"/>
      <c r="P2664" s="86"/>
      <c r="Q2664" s="86"/>
      <c r="R2664" s="86"/>
      <c r="S2664" s="86"/>
      <c r="T2664" s="86"/>
      <c r="U2664" s="86"/>
      <c r="V2664" s="48"/>
      <c r="W2664" s="48"/>
      <c r="X2664" s="48"/>
      <c r="Y2664" s="48"/>
      <c r="Z2664" s="48"/>
      <c r="AA2664" s="48"/>
      <c r="AB2664" s="48"/>
      <c r="AC2664" s="48"/>
      <c r="AD2664" s="48"/>
      <c r="AE2664" s="48"/>
      <c r="AF2664" s="48"/>
      <c r="AG2664" s="48"/>
      <c r="AH2664" s="48"/>
      <c r="AI2664" s="48"/>
      <c r="AJ2664" s="48"/>
      <c r="AK2664" s="48"/>
      <c r="AL2664" s="48"/>
      <c r="AM2664" s="48"/>
      <c r="AN2664" s="48"/>
      <c r="AO2664" s="48"/>
      <c r="AP2664" s="48"/>
      <c r="AQ2664" s="48"/>
      <c r="AR2664" s="48"/>
      <c r="AS2664" s="48"/>
      <c r="AT2664" s="48"/>
      <c r="AU2664" s="48"/>
      <c r="AV2664" s="48"/>
      <c r="AW2664" s="48"/>
      <c r="AX2664" s="48"/>
      <c r="AY2664" s="48"/>
      <c r="AZ2664" s="48"/>
      <c r="BA2664" s="48"/>
      <c r="BB2664" s="48"/>
      <c r="BC2664" s="48"/>
      <c r="BD2664" s="48"/>
    </row>
    <row r="2665" spans="1:56">
      <c r="A2665" s="48"/>
      <c r="B2665" s="48"/>
      <c r="C2665" s="49"/>
      <c r="D2665" s="48"/>
      <c r="E2665" s="48"/>
      <c r="F2665" s="48"/>
      <c r="G2665" s="48"/>
      <c r="H2665" s="48"/>
      <c r="I2665" s="48"/>
      <c r="J2665" s="86"/>
      <c r="K2665" s="86"/>
      <c r="L2665" s="86"/>
      <c r="M2665" s="86"/>
      <c r="N2665" s="86"/>
      <c r="O2665" s="86"/>
      <c r="P2665" s="86"/>
      <c r="Q2665" s="86"/>
      <c r="R2665" s="86"/>
      <c r="S2665" s="86"/>
      <c r="T2665" s="86"/>
      <c r="U2665" s="86"/>
      <c r="V2665" s="48"/>
      <c r="W2665" s="48"/>
      <c r="X2665" s="48"/>
      <c r="Y2665" s="48"/>
      <c r="Z2665" s="48"/>
      <c r="AA2665" s="48"/>
      <c r="AB2665" s="48"/>
      <c r="AC2665" s="48"/>
      <c r="AD2665" s="48"/>
      <c r="AE2665" s="48"/>
      <c r="AF2665" s="48"/>
      <c r="AG2665" s="48"/>
      <c r="AH2665" s="48"/>
      <c r="AI2665" s="48"/>
      <c r="AJ2665" s="48"/>
      <c r="AK2665" s="48"/>
      <c r="AL2665" s="48"/>
      <c r="AM2665" s="48"/>
      <c r="AN2665" s="48"/>
      <c r="AO2665" s="48"/>
      <c r="AP2665" s="48"/>
      <c r="AQ2665" s="48"/>
      <c r="AR2665" s="48"/>
      <c r="AS2665" s="48"/>
      <c r="AT2665" s="48"/>
      <c r="AU2665" s="48"/>
      <c r="AV2665" s="48"/>
      <c r="AW2665" s="48"/>
      <c r="AX2665" s="48"/>
      <c r="AY2665" s="48"/>
      <c r="AZ2665" s="48"/>
      <c r="BA2665" s="48"/>
      <c r="BB2665" s="48"/>
      <c r="BC2665" s="48"/>
      <c r="BD2665" s="48"/>
    </row>
    <row r="2666" spans="1:56">
      <c r="A2666" s="48"/>
      <c r="B2666" s="48"/>
      <c r="C2666" s="49"/>
      <c r="D2666" s="48"/>
      <c r="E2666" s="48"/>
      <c r="F2666" s="48"/>
      <c r="G2666" s="48"/>
      <c r="H2666" s="48"/>
      <c r="I2666" s="48"/>
      <c r="J2666" s="86"/>
      <c r="K2666" s="86"/>
      <c r="L2666" s="86"/>
      <c r="M2666" s="86"/>
      <c r="N2666" s="86"/>
      <c r="O2666" s="86"/>
      <c r="P2666" s="86"/>
      <c r="Q2666" s="86"/>
      <c r="R2666" s="86"/>
      <c r="S2666" s="86"/>
      <c r="T2666" s="86"/>
      <c r="U2666" s="86"/>
      <c r="V2666" s="48"/>
      <c r="W2666" s="48"/>
      <c r="X2666" s="48"/>
      <c r="Y2666" s="48"/>
      <c r="Z2666" s="48"/>
      <c r="AA2666" s="48"/>
      <c r="AB2666" s="48"/>
      <c r="AC2666" s="48"/>
      <c r="AD2666" s="48"/>
      <c r="AE2666" s="48"/>
      <c r="AF2666" s="48"/>
      <c r="AG2666" s="48"/>
      <c r="AH2666" s="48"/>
      <c r="AI2666" s="48"/>
      <c r="AJ2666" s="48"/>
      <c r="AK2666" s="48"/>
      <c r="AL2666" s="48"/>
      <c r="AM2666" s="48"/>
      <c r="AN2666" s="48"/>
      <c r="AO2666" s="48"/>
      <c r="AP2666" s="48"/>
      <c r="AQ2666" s="48"/>
      <c r="AR2666" s="48"/>
      <c r="AS2666" s="48"/>
      <c r="AT2666" s="48"/>
      <c r="AU2666" s="48"/>
      <c r="AV2666" s="48"/>
      <c r="AW2666" s="48"/>
      <c r="AX2666" s="48"/>
      <c r="AY2666" s="48"/>
      <c r="AZ2666" s="48"/>
      <c r="BA2666" s="48"/>
      <c r="BB2666" s="48"/>
      <c r="BC2666" s="48"/>
      <c r="BD2666" s="48"/>
    </row>
    <row r="2667" spans="1:56">
      <c r="A2667" s="48"/>
      <c r="B2667" s="48"/>
      <c r="C2667" s="49"/>
      <c r="D2667" s="48"/>
      <c r="E2667" s="48"/>
      <c r="F2667" s="48"/>
      <c r="G2667" s="48"/>
      <c r="H2667" s="48"/>
      <c r="I2667" s="48"/>
      <c r="J2667" s="86"/>
      <c r="K2667" s="86"/>
      <c r="L2667" s="86"/>
      <c r="M2667" s="86"/>
      <c r="N2667" s="86"/>
      <c r="O2667" s="86"/>
      <c r="P2667" s="86"/>
      <c r="Q2667" s="86"/>
      <c r="R2667" s="86"/>
      <c r="S2667" s="86"/>
      <c r="T2667" s="86"/>
      <c r="U2667" s="86"/>
      <c r="V2667" s="48"/>
      <c r="W2667" s="48"/>
      <c r="X2667" s="48"/>
      <c r="Y2667" s="48"/>
      <c r="Z2667" s="48"/>
      <c r="AA2667" s="48"/>
      <c r="AB2667" s="48"/>
      <c r="AC2667" s="48"/>
      <c r="AD2667" s="48"/>
      <c r="AE2667" s="48"/>
      <c r="AF2667" s="48"/>
      <c r="AG2667" s="48"/>
      <c r="AH2667" s="48"/>
      <c r="AI2667" s="48"/>
      <c r="AJ2667" s="48"/>
      <c r="AK2667" s="48"/>
      <c r="AL2667" s="48"/>
      <c r="AM2667" s="48"/>
      <c r="AN2667" s="48"/>
      <c r="AO2667" s="48"/>
      <c r="AP2667" s="48"/>
      <c r="AQ2667" s="48"/>
      <c r="AR2667" s="48"/>
      <c r="AS2667" s="48"/>
      <c r="AT2667" s="48"/>
      <c r="AU2667" s="48"/>
      <c r="AV2667" s="48"/>
      <c r="AW2667" s="48"/>
      <c r="AX2667" s="48"/>
      <c r="AY2667" s="48"/>
      <c r="AZ2667" s="48"/>
      <c r="BA2667" s="48"/>
      <c r="BB2667" s="48"/>
      <c r="BC2667" s="48"/>
      <c r="BD2667" s="48"/>
    </row>
    <row r="2668" spans="1:56">
      <c r="A2668" s="48"/>
      <c r="B2668" s="48"/>
      <c r="C2668" s="49"/>
      <c r="D2668" s="48"/>
      <c r="E2668" s="48"/>
      <c r="F2668" s="48"/>
      <c r="G2668" s="48"/>
      <c r="H2668" s="48"/>
      <c r="I2668" s="48"/>
      <c r="J2668" s="86"/>
      <c r="K2668" s="86"/>
      <c r="L2668" s="86"/>
      <c r="M2668" s="86"/>
      <c r="N2668" s="86"/>
      <c r="O2668" s="86"/>
      <c r="P2668" s="86"/>
      <c r="Q2668" s="86"/>
      <c r="R2668" s="86"/>
      <c r="S2668" s="86"/>
      <c r="T2668" s="86"/>
      <c r="U2668" s="86"/>
      <c r="V2668" s="48"/>
      <c r="W2668" s="48"/>
      <c r="X2668" s="48"/>
      <c r="Y2668" s="48"/>
      <c r="Z2668" s="48"/>
      <c r="AA2668" s="48"/>
      <c r="AB2668" s="48"/>
      <c r="AC2668" s="48"/>
      <c r="AD2668" s="48"/>
      <c r="AE2668" s="48"/>
      <c r="AF2668" s="48"/>
      <c r="AG2668" s="48"/>
      <c r="AH2668" s="48"/>
      <c r="AI2668" s="48"/>
      <c r="AJ2668" s="48"/>
      <c r="AK2668" s="48"/>
      <c r="AL2668" s="48"/>
      <c r="AM2668" s="48"/>
      <c r="AN2668" s="48"/>
      <c r="AO2668" s="48"/>
      <c r="AP2668" s="48"/>
      <c r="AQ2668" s="48"/>
      <c r="AR2668" s="48"/>
      <c r="AS2668" s="48"/>
      <c r="AT2668" s="48"/>
      <c r="AU2668" s="48"/>
      <c r="AV2668" s="48"/>
      <c r="AW2668" s="48"/>
      <c r="AX2668" s="48"/>
      <c r="AY2668" s="48"/>
      <c r="AZ2668" s="48"/>
      <c r="BA2668" s="48"/>
      <c r="BB2668" s="48"/>
      <c r="BC2668" s="48"/>
      <c r="BD2668" s="48"/>
    </row>
    <row r="2669" spans="1:56">
      <c r="A2669" s="48"/>
      <c r="B2669" s="48"/>
      <c r="C2669" s="49"/>
      <c r="D2669" s="48"/>
      <c r="E2669" s="48"/>
      <c r="F2669" s="48"/>
      <c r="G2669" s="48"/>
      <c r="H2669" s="48"/>
      <c r="I2669" s="48"/>
      <c r="J2669" s="86"/>
      <c r="K2669" s="86"/>
      <c r="L2669" s="86"/>
      <c r="M2669" s="86"/>
      <c r="N2669" s="86"/>
      <c r="O2669" s="86"/>
      <c r="P2669" s="86"/>
      <c r="Q2669" s="86"/>
      <c r="R2669" s="86"/>
      <c r="S2669" s="86"/>
      <c r="T2669" s="86"/>
      <c r="U2669" s="86"/>
      <c r="V2669" s="48"/>
      <c r="W2669" s="48"/>
      <c r="X2669" s="48"/>
      <c r="Y2669" s="48"/>
      <c r="Z2669" s="48"/>
      <c r="AA2669" s="48"/>
      <c r="AB2669" s="48"/>
      <c r="AC2669" s="48"/>
      <c r="AD2669" s="48"/>
      <c r="AE2669" s="48"/>
      <c r="AF2669" s="48"/>
      <c r="AG2669" s="48"/>
      <c r="AH2669" s="48"/>
      <c r="AI2669" s="48"/>
      <c r="AJ2669" s="48"/>
      <c r="AK2669" s="48"/>
      <c r="AL2669" s="48"/>
      <c r="AM2669" s="48"/>
      <c r="AN2669" s="48"/>
      <c r="AO2669" s="48"/>
      <c r="AP2669" s="48"/>
      <c r="AQ2669" s="48"/>
      <c r="AR2669" s="48"/>
      <c r="AS2669" s="48"/>
      <c r="AT2669" s="48"/>
      <c r="AU2669" s="48"/>
      <c r="AV2669" s="48"/>
      <c r="AW2669" s="48"/>
      <c r="AX2669" s="48"/>
      <c r="AY2669" s="48"/>
      <c r="AZ2669" s="48"/>
      <c r="BA2669" s="48"/>
      <c r="BB2669" s="48"/>
      <c r="BC2669" s="48"/>
      <c r="BD2669" s="48"/>
    </row>
    <row r="2670" spans="1:56">
      <c r="A2670" s="48"/>
      <c r="B2670" s="48"/>
      <c r="C2670" s="49"/>
      <c r="D2670" s="48"/>
      <c r="E2670" s="48"/>
      <c r="F2670" s="48"/>
      <c r="G2670" s="48"/>
      <c r="H2670" s="48"/>
      <c r="I2670" s="48"/>
      <c r="J2670" s="86"/>
      <c r="K2670" s="86"/>
      <c r="L2670" s="86"/>
      <c r="M2670" s="86"/>
      <c r="N2670" s="86"/>
      <c r="O2670" s="86"/>
      <c r="P2670" s="86"/>
      <c r="Q2670" s="86"/>
      <c r="R2670" s="86"/>
      <c r="S2670" s="86"/>
      <c r="T2670" s="86"/>
      <c r="U2670" s="86"/>
      <c r="V2670" s="48"/>
      <c r="W2670" s="48"/>
      <c r="X2670" s="48"/>
      <c r="Y2670" s="48"/>
      <c r="Z2670" s="48"/>
      <c r="AA2670" s="48"/>
      <c r="AB2670" s="48"/>
      <c r="AC2670" s="48"/>
      <c r="AD2670" s="48"/>
      <c r="AE2670" s="48"/>
      <c r="AF2670" s="48"/>
      <c r="AG2670" s="48"/>
      <c r="AH2670" s="48"/>
      <c r="AI2670" s="48"/>
      <c r="AJ2670" s="48"/>
      <c r="AK2670" s="48"/>
      <c r="AL2670" s="48"/>
      <c r="AM2670" s="48"/>
      <c r="AN2670" s="48"/>
      <c r="AO2670" s="48"/>
      <c r="AP2670" s="48"/>
      <c r="AQ2670" s="48"/>
      <c r="AR2670" s="48"/>
      <c r="AS2670" s="48"/>
      <c r="AT2670" s="48"/>
      <c r="AU2670" s="48"/>
      <c r="AV2670" s="48"/>
      <c r="AW2670" s="48"/>
      <c r="AX2670" s="48"/>
      <c r="AY2670" s="48"/>
      <c r="AZ2670" s="48"/>
      <c r="BA2670" s="48"/>
      <c r="BB2670" s="48"/>
      <c r="BC2670" s="48"/>
      <c r="BD2670" s="48"/>
    </row>
    <row r="2671" spans="1:56">
      <c r="A2671" s="48"/>
      <c r="B2671" s="48"/>
      <c r="C2671" s="49"/>
      <c r="D2671" s="48"/>
      <c r="E2671" s="48"/>
      <c r="F2671" s="48"/>
      <c r="G2671" s="48"/>
      <c r="H2671" s="48"/>
      <c r="I2671" s="48"/>
      <c r="J2671" s="86"/>
      <c r="K2671" s="86"/>
      <c r="L2671" s="86"/>
      <c r="M2671" s="86"/>
      <c r="N2671" s="86"/>
      <c r="O2671" s="86"/>
      <c r="P2671" s="86"/>
      <c r="Q2671" s="86"/>
      <c r="R2671" s="86"/>
      <c r="S2671" s="86"/>
      <c r="T2671" s="86"/>
      <c r="U2671" s="86"/>
      <c r="V2671" s="48"/>
      <c r="W2671" s="48"/>
      <c r="X2671" s="48"/>
      <c r="Y2671" s="48"/>
      <c r="Z2671" s="48"/>
      <c r="AA2671" s="48"/>
      <c r="AB2671" s="48"/>
      <c r="AC2671" s="48"/>
      <c r="AD2671" s="48"/>
      <c r="AE2671" s="48"/>
      <c r="AF2671" s="48"/>
      <c r="AG2671" s="48"/>
      <c r="AH2671" s="48"/>
      <c r="AI2671" s="48"/>
      <c r="AJ2671" s="48"/>
      <c r="AK2671" s="48"/>
      <c r="AL2671" s="48"/>
      <c r="AM2671" s="48"/>
      <c r="AN2671" s="48"/>
      <c r="AO2671" s="48"/>
      <c r="AP2671" s="48"/>
      <c r="AQ2671" s="48"/>
      <c r="AR2671" s="48"/>
      <c r="AS2671" s="48"/>
      <c r="AT2671" s="48"/>
      <c r="AU2671" s="48"/>
      <c r="AV2671" s="48"/>
      <c r="AW2671" s="48"/>
      <c r="AX2671" s="48"/>
      <c r="AY2671" s="48"/>
      <c r="AZ2671" s="48"/>
      <c r="BA2671" s="48"/>
      <c r="BB2671" s="48"/>
      <c r="BC2671" s="48"/>
      <c r="BD2671" s="48"/>
    </row>
    <row r="2672" spans="1:56">
      <c r="A2672" s="48"/>
      <c r="B2672" s="48"/>
      <c r="C2672" s="49"/>
      <c r="D2672" s="48"/>
      <c r="E2672" s="48"/>
      <c r="F2672" s="48"/>
      <c r="G2672" s="48"/>
      <c r="H2672" s="48"/>
      <c r="I2672" s="48"/>
      <c r="J2672" s="86"/>
      <c r="K2672" s="86"/>
      <c r="L2672" s="86"/>
      <c r="M2672" s="86"/>
      <c r="N2672" s="86"/>
      <c r="O2672" s="86"/>
      <c r="P2672" s="86"/>
      <c r="Q2672" s="86"/>
      <c r="R2672" s="86"/>
      <c r="S2672" s="86"/>
      <c r="T2672" s="86"/>
      <c r="U2672" s="86"/>
      <c r="V2672" s="48"/>
      <c r="W2672" s="48"/>
      <c r="X2672" s="48"/>
      <c r="Y2672" s="48"/>
      <c r="Z2672" s="48"/>
      <c r="AA2672" s="48"/>
      <c r="AB2672" s="48"/>
      <c r="AC2672" s="48"/>
      <c r="AD2672" s="48"/>
      <c r="AE2672" s="48"/>
      <c r="AF2672" s="48"/>
      <c r="AG2672" s="48"/>
      <c r="AH2672" s="48"/>
      <c r="AI2672" s="48"/>
      <c r="AJ2672" s="48"/>
      <c r="AK2672" s="48"/>
      <c r="AL2672" s="48"/>
      <c r="AM2672" s="48"/>
      <c r="AN2672" s="48"/>
      <c r="AO2672" s="48"/>
      <c r="AP2672" s="48"/>
      <c r="AQ2672" s="48"/>
      <c r="AR2672" s="48"/>
      <c r="AS2672" s="48"/>
      <c r="AT2672" s="48"/>
      <c r="AU2672" s="48"/>
      <c r="AV2672" s="48"/>
      <c r="AW2672" s="48"/>
      <c r="AX2672" s="48"/>
      <c r="AY2672" s="48"/>
      <c r="AZ2672" s="48"/>
      <c r="BA2672" s="48"/>
      <c r="BB2672" s="48"/>
      <c r="BC2672" s="48"/>
      <c r="BD2672" s="48"/>
    </row>
    <row r="2673" spans="1:56">
      <c r="A2673" s="48"/>
      <c r="B2673" s="48"/>
      <c r="C2673" s="49"/>
      <c r="D2673" s="48"/>
      <c r="E2673" s="48"/>
      <c r="F2673" s="48"/>
      <c r="G2673" s="48"/>
      <c r="H2673" s="48"/>
      <c r="I2673" s="48"/>
      <c r="J2673" s="86"/>
      <c r="K2673" s="86"/>
      <c r="L2673" s="86"/>
      <c r="M2673" s="86"/>
      <c r="N2673" s="86"/>
      <c r="O2673" s="86"/>
      <c r="P2673" s="86"/>
      <c r="Q2673" s="86"/>
      <c r="R2673" s="86"/>
      <c r="S2673" s="86"/>
      <c r="T2673" s="86"/>
      <c r="U2673" s="86"/>
      <c r="V2673" s="48"/>
      <c r="W2673" s="48"/>
      <c r="X2673" s="48"/>
      <c r="Y2673" s="48"/>
      <c r="Z2673" s="48"/>
      <c r="AA2673" s="48"/>
      <c r="AB2673" s="48"/>
      <c r="AC2673" s="48"/>
      <c r="AD2673" s="48"/>
      <c r="AE2673" s="48"/>
      <c r="AF2673" s="48"/>
      <c r="AG2673" s="48"/>
      <c r="AH2673" s="48"/>
      <c r="AI2673" s="48"/>
      <c r="AJ2673" s="48"/>
      <c r="AK2673" s="48"/>
      <c r="AL2673" s="48"/>
      <c r="AM2673" s="48"/>
      <c r="AN2673" s="48"/>
      <c r="AO2673" s="48"/>
      <c r="AP2673" s="48"/>
      <c r="AQ2673" s="48"/>
      <c r="AR2673" s="48"/>
      <c r="AS2673" s="48"/>
      <c r="AT2673" s="48"/>
      <c r="AU2673" s="48"/>
      <c r="AV2673" s="48"/>
      <c r="AW2673" s="48"/>
      <c r="AX2673" s="48"/>
      <c r="AY2673" s="48"/>
      <c r="AZ2673" s="48"/>
      <c r="BA2673" s="48"/>
      <c r="BB2673" s="48"/>
      <c r="BC2673" s="48"/>
      <c r="BD2673" s="48"/>
    </row>
    <row r="2674" spans="1:56">
      <c r="A2674" s="48"/>
      <c r="B2674" s="48"/>
      <c r="C2674" s="49"/>
      <c r="D2674" s="48"/>
      <c r="E2674" s="48"/>
      <c r="F2674" s="48"/>
      <c r="G2674" s="48"/>
      <c r="H2674" s="48"/>
      <c r="I2674" s="48"/>
      <c r="J2674" s="86"/>
      <c r="K2674" s="86"/>
      <c r="L2674" s="86"/>
      <c r="M2674" s="86"/>
      <c r="N2674" s="86"/>
      <c r="O2674" s="86"/>
      <c r="P2674" s="86"/>
      <c r="Q2674" s="86"/>
      <c r="R2674" s="86"/>
      <c r="S2674" s="86"/>
      <c r="T2674" s="86"/>
      <c r="U2674" s="86"/>
      <c r="V2674" s="48"/>
      <c r="W2674" s="48"/>
      <c r="X2674" s="48"/>
      <c r="Y2674" s="48"/>
      <c r="Z2674" s="48"/>
      <c r="AA2674" s="48"/>
      <c r="AB2674" s="48"/>
      <c r="AC2674" s="48"/>
      <c r="AD2674" s="48"/>
      <c r="AE2674" s="48"/>
      <c r="AF2674" s="48"/>
      <c r="AG2674" s="48"/>
      <c r="AH2674" s="48"/>
      <c r="AI2674" s="48"/>
      <c r="AJ2674" s="48"/>
      <c r="AK2674" s="48"/>
      <c r="AL2674" s="48"/>
      <c r="AM2674" s="48"/>
      <c r="AN2674" s="48"/>
      <c r="AO2674" s="48"/>
      <c r="AP2674" s="48"/>
      <c r="AQ2674" s="48"/>
      <c r="AR2674" s="48"/>
      <c r="AS2674" s="48"/>
      <c r="AT2674" s="48"/>
      <c r="AU2674" s="48"/>
      <c r="AV2674" s="48"/>
      <c r="AW2674" s="48"/>
      <c r="AX2674" s="48"/>
      <c r="AY2674" s="48"/>
      <c r="AZ2674" s="48"/>
      <c r="BA2674" s="48"/>
      <c r="BB2674" s="48"/>
      <c r="BC2674" s="48"/>
      <c r="BD2674" s="48"/>
    </row>
    <row r="2675" spans="1:56">
      <c r="A2675" s="48"/>
      <c r="B2675" s="48"/>
      <c r="C2675" s="49"/>
      <c r="D2675" s="48"/>
      <c r="E2675" s="48"/>
      <c r="F2675" s="48"/>
      <c r="G2675" s="48"/>
      <c r="H2675" s="48"/>
      <c r="I2675" s="48"/>
      <c r="J2675" s="86"/>
      <c r="K2675" s="86"/>
      <c r="L2675" s="86"/>
      <c r="M2675" s="86"/>
      <c r="N2675" s="86"/>
      <c r="O2675" s="86"/>
      <c r="P2675" s="86"/>
      <c r="Q2675" s="86"/>
      <c r="R2675" s="86"/>
      <c r="S2675" s="86"/>
      <c r="T2675" s="86"/>
      <c r="U2675" s="86"/>
      <c r="V2675" s="48"/>
      <c r="W2675" s="48"/>
      <c r="X2675" s="48"/>
      <c r="Y2675" s="48"/>
      <c r="Z2675" s="48"/>
      <c r="AA2675" s="48"/>
      <c r="AB2675" s="48"/>
      <c r="AC2675" s="48"/>
      <c r="AD2675" s="48"/>
      <c r="AE2675" s="48"/>
      <c r="AF2675" s="48"/>
      <c r="AG2675" s="48"/>
      <c r="AH2675" s="48"/>
      <c r="AI2675" s="48"/>
      <c r="AJ2675" s="48"/>
      <c r="AK2675" s="48"/>
      <c r="AL2675" s="48"/>
      <c r="AM2675" s="48"/>
      <c r="AN2675" s="48"/>
      <c r="AO2675" s="48"/>
      <c r="AP2675" s="48"/>
      <c r="AQ2675" s="48"/>
      <c r="AR2675" s="48"/>
      <c r="AS2675" s="48"/>
      <c r="AT2675" s="48"/>
      <c r="AU2675" s="48"/>
      <c r="AV2675" s="48"/>
      <c r="AW2675" s="48"/>
      <c r="AX2675" s="48"/>
      <c r="AY2675" s="48"/>
      <c r="AZ2675" s="48"/>
      <c r="BA2675" s="48"/>
      <c r="BB2675" s="48"/>
      <c r="BC2675" s="48"/>
      <c r="BD2675" s="48"/>
    </row>
    <row r="2676" spans="1:56">
      <c r="A2676" s="48"/>
      <c r="B2676" s="48"/>
      <c r="C2676" s="49"/>
      <c r="D2676" s="48"/>
      <c r="E2676" s="48"/>
      <c r="F2676" s="48"/>
      <c r="G2676" s="48"/>
      <c r="H2676" s="48"/>
      <c r="I2676" s="48"/>
      <c r="J2676" s="86"/>
      <c r="K2676" s="86"/>
      <c r="L2676" s="86"/>
      <c r="M2676" s="86"/>
      <c r="N2676" s="86"/>
      <c r="O2676" s="86"/>
      <c r="P2676" s="86"/>
      <c r="Q2676" s="86"/>
      <c r="R2676" s="86"/>
      <c r="S2676" s="86"/>
      <c r="T2676" s="86"/>
      <c r="U2676" s="86"/>
      <c r="V2676" s="48"/>
      <c r="W2676" s="48"/>
      <c r="X2676" s="48"/>
      <c r="Y2676" s="48"/>
      <c r="Z2676" s="48"/>
      <c r="AA2676" s="48"/>
      <c r="AB2676" s="48"/>
      <c r="AC2676" s="48"/>
      <c r="AD2676" s="48"/>
      <c r="AE2676" s="48"/>
      <c r="AF2676" s="48"/>
      <c r="AG2676" s="48"/>
      <c r="AH2676" s="48"/>
      <c r="AI2676" s="48"/>
      <c r="AJ2676" s="48"/>
      <c r="AK2676" s="48"/>
      <c r="AL2676" s="48"/>
      <c r="AM2676" s="48"/>
      <c r="AN2676" s="48"/>
      <c r="AO2676" s="48"/>
      <c r="AP2676" s="48"/>
      <c r="AQ2676" s="48"/>
      <c r="AR2676" s="48"/>
      <c r="AS2676" s="48"/>
      <c r="AT2676" s="48"/>
      <c r="AU2676" s="48"/>
      <c r="AV2676" s="48"/>
      <c r="AW2676" s="48"/>
      <c r="AX2676" s="48"/>
      <c r="AY2676" s="48"/>
      <c r="AZ2676" s="48"/>
      <c r="BA2676" s="48"/>
      <c r="BB2676" s="48"/>
      <c r="BC2676" s="48"/>
      <c r="BD2676" s="48"/>
    </row>
    <row r="2677" spans="1:56">
      <c r="A2677" s="48"/>
      <c r="B2677" s="48"/>
      <c r="C2677" s="49"/>
      <c r="D2677" s="48"/>
      <c r="E2677" s="48"/>
      <c r="F2677" s="48"/>
      <c r="G2677" s="48"/>
      <c r="H2677" s="48"/>
      <c r="I2677" s="48"/>
      <c r="J2677" s="86"/>
      <c r="K2677" s="86"/>
      <c r="L2677" s="86"/>
      <c r="M2677" s="86"/>
      <c r="N2677" s="86"/>
      <c r="O2677" s="86"/>
      <c r="P2677" s="86"/>
      <c r="Q2677" s="86"/>
      <c r="R2677" s="86"/>
      <c r="S2677" s="86"/>
      <c r="T2677" s="86"/>
      <c r="U2677" s="86"/>
      <c r="V2677" s="48"/>
      <c r="W2677" s="48"/>
      <c r="X2677" s="48"/>
      <c r="Y2677" s="48"/>
      <c r="Z2677" s="48"/>
      <c r="AA2677" s="48"/>
      <c r="AB2677" s="48"/>
      <c r="AC2677" s="48"/>
      <c r="AD2677" s="48"/>
      <c r="AE2677" s="48"/>
      <c r="AF2677" s="48"/>
      <c r="AG2677" s="48"/>
      <c r="AH2677" s="48"/>
      <c r="AI2677" s="48"/>
      <c r="AJ2677" s="48"/>
      <c r="AK2677" s="48"/>
      <c r="AL2677" s="48"/>
      <c r="AM2677" s="48"/>
      <c r="AN2677" s="48"/>
      <c r="AO2677" s="48"/>
      <c r="AP2677" s="48"/>
      <c r="AQ2677" s="48"/>
      <c r="AR2677" s="48"/>
      <c r="AS2677" s="48"/>
      <c r="AT2677" s="48"/>
      <c r="AU2677" s="48"/>
      <c r="AV2677" s="48"/>
      <c r="AW2677" s="48"/>
      <c r="AX2677" s="48"/>
      <c r="AY2677" s="48"/>
      <c r="AZ2677" s="48"/>
      <c r="BA2677" s="48"/>
      <c r="BB2677" s="48"/>
      <c r="BC2677" s="48"/>
      <c r="BD2677" s="48"/>
    </row>
    <row r="2678" spans="1:56">
      <c r="A2678" s="48"/>
      <c r="B2678" s="48"/>
      <c r="C2678" s="49"/>
      <c r="D2678" s="48"/>
      <c r="E2678" s="48"/>
      <c r="F2678" s="48"/>
      <c r="G2678" s="48"/>
      <c r="H2678" s="48"/>
      <c r="I2678" s="48"/>
      <c r="J2678" s="86"/>
      <c r="K2678" s="86"/>
      <c r="L2678" s="86"/>
      <c r="M2678" s="86"/>
      <c r="N2678" s="86"/>
      <c r="O2678" s="86"/>
      <c r="P2678" s="86"/>
      <c r="Q2678" s="86"/>
      <c r="R2678" s="86"/>
      <c r="S2678" s="86"/>
      <c r="T2678" s="86"/>
      <c r="U2678" s="86"/>
      <c r="V2678" s="48"/>
      <c r="W2678" s="48"/>
      <c r="X2678" s="48"/>
      <c r="Y2678" s="48"/>
      <c r="Z2678" s="48"/>
      <c r="AA2678" s="48"/>
      <c r="AB2678" s="48"/>
      <c r="AC2678" s="48"/>
      <c r="AD2678" s="48"/>
      <c r="AE2678" s="48"/>
      <c r="AF2678" s="48"/>
      <c r="AG2678" s="48"/>
      <c r="AH2678" s="48"/>
      <c r="AI2678" s="48"/>
      <c r="AJ2678" s="48"/>
      <c r="AK2678" s="48"/>
      <c r="AL2678" s="48"/>
      <c r="AM2678" s="48"/>
      <c r="AN2678" s="48"/>
      <c r="AO2678" s="48"/>
      <c r="AP2678" s="48"/>
      <c r="AQ2678" s="48"/>
      <c r="AR2678" s="48"/>
      <c r="AS2678" s="48"/>
      <c r="AT2678" s="48"/>
      <c r="AU2678" s="48"/>
      <c r="AV2678" s="48"/>
      <c r="AW2678" s="48"/>
      <c r="AX2678" s="48"/>
      <c r="AY2678" s="48"/>
      <c r="AZ2678" s="48"/>
      <c r="BA2678" s="48"/>
      <c r="BB2678" s="48"/>
      <c r="BC2678" s="48"/>
      <c r="BD2678" s="48"/>
    </row>
    <row r="2679" spans="1:56">
      <c r="A2679" s="48"/>
      <c r="B2679" s="48"/>
      <c r="C2679" s="49"/>
      <c r="D2679" s="48"/>
      <c r="E2679" s="48"/>
      <c r="F2679" s="48"/>
      <c r="G2679" s="48"/>
      <c r="H2679" s="48"/>
      <c r="I2679" s="48"/>
      <c r="J2679" s="86"/>
      <c r="K2679" s="86"/>
      <c r="L2679" s="86"/>
      <c r="M2679" s="86"/>
      <c r="N2679" s="86"/>
      <c r="O2679" s="86"/>
      <c r="P2679" s="86"/>
      <c r="Q2679" s="86"/>
      <c r="R2679" s="86"/>
      <c r="S2679" s="86"/>
      <c r="T2679" s="86"/>
      <c r="U2679" s="86"/>
      <c r="V2679" s="48"/>
      <c r="W2679" s="48"/>
      <c r="X2679" s="48"/>
      <c r="Y2679" s="48"/>
      <c r="Z2679" s="48"/>
      <c r="AA2679" s="48"/>
      <c r="AB2679" s="48"/>
      <c r="AC2679" s="48"/>
      <c r="AD2679" s="48"/>
      <c r="AE2679" s="48"/>
      <c r="AF2679" s="48"/>
      <c r="AG2679" s="48"/>
      <c r="AH2679" s="48"/>
      <c r="AI2679" s="48"/>
      <c r="AJ2679" s="48"/>
      <c r="AK2679" s="48"/>
      <c r="AL2679" s="48"/>
      <c r="AM2679" s="48"/>
      <c r="AN2679" s="48"/>
      <c r="AO2679" s="48"/>
      <c r="AP2679" s="48"/>
      <c r="AQ2679" s="48"/>
      <c r="AR2679" s="48"/>
      <c r="AS2679" s="48"/>
      <c r="AT2679" s="48"/>
      <c r="AU2679" s="48"/>
      <c r="AV2679" s="48"/>
      <c r="AW2679" s="48"/>
      <c r="AX2679" s="48"/>
      <c r="AY2679" s="48"/>
      <c r="AZ2679" s="48"/>
      <c r="BA2679" s="48"/>
      <c r="BB2679" s="48"/>
      <c r="BC2679" s="48"/>
      <c r="BD2679" s="48"/>
    </row>
    <row r="2680" spans="1:56">
      <c r="A2680" s="48"/>
      <c r="B2680" s="48"/>
      <c r="C2680" s="49"/>
      <c r="D2680" s="48"/>
      <c r="E2680" s="48"/>
      <c r="F2680" s="48"/>
      <c r="G2680" s="48"/>
      <c r="H2680" s="48"/>
      <c r="I2680" s="48"/>
      <c r="J2680" s="86"/>
      <c r="K2680" s="86"/>
      <c r="L2680" s="86"/>
      <c r="M2680" s="86"/>
      <c r="N2680" s="86"/>
      <c r="O2680" s="86"/>
      <c r="P2680" s="86"/>
      <c r="Q2680" s="86"/>
      <c r="R2680" s="86"/>
      <c r="S2680" s="86"/>
      <c r="T2680" s="86"/>
      <c r="U2680" s="86"/>
      <c r="V2680" s="48"/>
      <c r="W2680" s="48"/>
      <c r="X2680" s="48"/>
      <c r="Y2680" s="48"/>
      <c r="Z2680" s="48"/>
      <c r="AA2680" s="48"/>
      <c r="AB2680" s="48"/>
      <c r="AC2680" s="48"/>
      <c r="AD2680" s="48"/>
      <c r="AE2680" s="48"/>
      <c r="AF2680" s="48"/>
      <c r="AG2680" s="48"/>
      <c r="AH2680" s="48"/>
      <c r="AI2680" s="48"/>
      <c r="AJ2680" s="48"/>
      <c r="AK2680" s="48"/>
      <c r="AL2680" s="48"/>
      <c r="AM2680" s="48"/>
      <c r="AN2680" s="48"/>
      <c r="AO2680" s="48"/>
      <c r="AP2680" s="48"/>
      <c r="AQ2680" s="48"/>
      <c r="AR2680" s="48"/>
      <c r="AS2680" s="48"/>
      <c r="AT2680" s="48"/>
      <c r="AU2680" s="48"/>
      <c r="AV2680" s="48"/>
      <c r="AW2680" s="48"/>
      <c r="AX2680" s="48"/>
      <c r="AY2680" s="48"/>
      <c r="AZ2680" s="48"/>
      <c r="BA2680" s="48"/>
      <c r="BB2680" s="48"/>
      <c r="BC2680" s="48"/>
      <c r="BD2680" s="48"/>
    </row>
    <row r="2681" spans="1:56">
      <c r="A2681" s="48"/>
      <c r="B2681" s="48"/>
      <c r="C2681" s="49"/>
      <c r="D2681" s="48"/>
      <c r="E2681" s="48"/>
      <c r="F2681" s="48"/>
      <c r="G2681" s="48"/>
      <c r="H2681" s="48"/>
      <c r="I2681" s="48"/>
      <c r="J2681" s="86"/>
      <c r="K2681" s="86"/>
      <c r="L2681" s="86"/>
      <c r="M2681" s="86"/>
      <c r="N2681" s="86"/>
      <c r="O2681" s="86"/>
      <c r="P2681" s="86"/>
      <c r="Q2681" s="86"/>
      <c r="R2681" s="86"/>
      <c r="S2681" s="86"/>
      <c r="T2681" s="86"/>
      <c r="U2681" s="86"/>
      <c r="V2681" s="48"/>
      <c r="W2681" s="48"/>
      <c r="X2681" s="48"/>
      <c r="Y2681" s="48"/>
      <c r="Z2681" s="48"/>
      <c r="AA2681" s="48"/>
      <c r="AB2681" s="48"/>
      <c r="AC2681" s="48"/>
      <c r="AD2681" s="48"/>
      <c r="AE2681" s="48"/>
      <c r="AF2681" s="48"/>
      <c r="AG2681" s="48"/>
      <c r="AH2681" s="48"/>
      <c r="AI2681" s="48"/>
      <c r="AJ2681" s="48"/>
      <c r="AK2681" s="48"/>
      <c r="AL2681" s="48"/>
      <c r="AM2681" s="48"/>
      <c r="AN2681" s="48"/>
      <c r="AO2681" s="48"/>
      <c r="AP2681" s="48"/>
      <c r="AQ2681" s="48"/>
      <c r="AR2681" s="48"/>
      <c r="AS2681" s="48"/>
      <c r="AT2681" s="48"/>
      <c r="AU2681" s="48"/>
      <c r="AV2681" s="48"/>
      <c r="AW2681" s="48"/>
      <c r="AX2681" s="48"/>
      <c r="AY2681" s="48"/>
      <c r="AZ2681" s="48"/>
      <c r="BA2681" s="48"/>
      <c r="BB2681" s="48"/>
      <c r="BC2681" s="48"/>
      <c r="BD2681" s="48"/>
    </row>
    <row r="2682" spans="1:56">
      <c r="A2682" s="48"/>
      <c r="B2682" s="48"/>
      <c r="C2682" s="49"/>
      <c r="D2682" s="48"/>
      <c r="E2682" s="48"/>
      <c r="F2682" s="48"/>
      <c r="G2682" s="48"/>
      <c r="H2682" s="48"/>
      <c r="I2682" s="48"/>
      <c r="J2682" s="86"/>
      <c r="K2682" s="86"/>
      <c r="L2682" s="86"/>
      <c r="M2682" s="86"/>
      <c r="N2682" s="86"/>
      <c r="O2682" s="86"/>
      <c r="P2682" s="86"/>
      <c r="Q2682" s="86"/>
      <c r="R2682" s="86"/>
      <c r="S2682" s="86"/>
      <c r="T2682" s="86"/>
      <c r="U2682" s="86"/>
      <c r="V2682" s="48"/>
      <c r="W2682" s="48"/>
      <c r="X2682" s="48"/>
      <c r="Y2682" s="48"/>
      <c r="Z2682" s="48"/>
      <c r="AA2682" s="48"/>
      <c r="AB2682" s="48"/>
      <c r="AC2682" s="48"/>
      <c r="AD2682" s="48"/>
      <c r="AE2682" s="48"/>
      <c r="AF2682" s="48"/>
      <c r="AG2682" s="48"/>
      <c r="AH2682" s="48"/>
      <c r="AI2682" s="48"/>
      <c r="AJ2682" s="48"/>
      <c r="AK2682" s="48"/>
      <c r="AL2682" s="48"/>
      <c r="AM2682" s="48"/>
      <c r="AN2682" s="48"/>
      <c r="AO2682" s="48"/>
      <c r="AP2682" s="48"/>
      <c r="AQ2682" s="48"/>
      <c r="AR2682" s="48"/>
      <c r="AS2682" s="48"/>
      <c r="AT2682" s="48"/>
      <c r="AU2682" s="48"/>
      <c r="AV2682" s="48"/>
      <c r="AW2682" s="48"/>
      <c r="AX2682" s="48"/>
      <c r="AY2682" s="48"/>
      <c r="AZ2682" s="48"/>
      <c r="BA2682" s="48"/>
      <c r="BB2682" s="48"/>
      <c r="BC2682" s="48"/>
      <c r="BD2682" s="48"/>
    </row>
    <row r="2683" spans="1:56">
      <c r="A2683" s="48"/>
      <c r="B2683" s="48"/>
      <c r="C2683" s="49"/>
      <c r="D2683" s="48"/>
      <c r="E2683" s="48"/>
      <c r="F2683" s="48"/>
      <c r="G2683" s="48"/>
      <c r="H2683" s="48"/>
      <c r="I2683" s="48"/>
      <c r="J2683" s="86"/>
      <c r="K2683" s="86"/>
      <c r="L2683" s="86"/>
      <c r="M2683" s="86"/>
      <c r="N2683" s="86"/>
      <c r="O2683" s="86"/>
      <c r="P2683" s="86"/>
      <c r="Q2683" s="86"/>
      <c r="R2683" s="86"/>
      <c r="S2683" s="86"/>
      <c r="T2683" s="86"/>
      <c r="U2683" s="86"/>
      <c r="V2683" s="48"/>
      <c r="W2683" s="48"/>
      <c r="X2683" s="48"/>
      <c r="Y2683" s="48"/>
      <c r="Z2683" s="48"/>
      <c r="AA2683" s="48"/>
      <c r="AB2683" s="48"/>
      <c r="AC2683" s="48"/>
      <c r="AD2683" s="48"/>
      <c r="AE2683" s="48"/>
      <c r="AF2683" s="48"/>
      <c r="AG2683" s="48"/>
      <c r="AH2683" s="48"/>
      <c r="AI2683" s="48"/>
      <c r="AJ2683" s="48"/>
      <c r="AK2683" s="48"/>
      <c r="AL2683" s="48"/>
      <c r="AM2683" s="48"/>
      <c r="AN2683" s="48"/>
      <c r="AO2683" s="48"/>
      <c r="AP2683" s="48"/>
      <c r="AQ2683" s="48"/>
      <c r="AR2683" s="48"/>
      <c r="AS2683" s="48"/>
      <c r="AT2683" s="48"/>
      <c r="AU2683" s="48"/>
      <c r="AV2683" s="48"/>
      <c r="AW2683" s="48"/>
      <c r="AX2683" s="48"/>
      <c r="AY2683" s="48"/>
      <c r="AZ2683" s="48"/>
      <c r="BA2683" s="48"/>
      <c r="BB2683" s="48"/>
      <c r="BC2683" s="48"/>
      <c r="BD2683" s="48"/>
    </row>
    <row r="2684" spans="1:56">
      <c r="A2684" s="48"/>
      <c r="B2684" s="48"/>
      <c r="C2684" s="49"/>
      <c r="D2684" s="48"/>
      <c r="E2684" s="48"/>
      <c r="F2684" s="48"/>
      <c r="G2684" s="48"/>
      <c r="H2684" s="48"/>
      <c r="I2684" s="48"/>
      <c r="J2684" s="86"/>
      <c r="K2684" s="86"/>
      <c r="L2684" s="86"/>
      <c r="M2684" s="86"/>
      <c r="N2684" s="86"/>
      <c r="O2684" s="86"/>
      <c r="P2684" s="86"/>
      <c r="Q2684" s="86"/>
      <c r="R2684" s="86"/>
      <c r="S2684" s="86"/>
      <c r="T2684" s="86"/>
      <c r="U2684" s="86"/>
      <c r="V2684" s="48"/>
      <c r="W2684" s="48"/>
      <c r="X2684" s="48"/>
      <c r="Y2684" s="48"/>
      <c r="Z2684" s="48"/>
      <c r="AA2684" s="48"/>
      <c r="AB2684" s="48"/>
      <c r="AC2684" s="48"/>
      <c r="AD2684" s="48"/>
      <c r="AE2684" s="48"/>
      <c r="AF2684" s="48"/>
      <c r="AG2684" s="48"/>
      <c r="AH2684" s="48"/>
      <c r="AI2684" s="48"/>
      <c r="AJ2684" s="48"/>
      <c r="AK2684" s="48"/>
      <c r="AL2684" s="48"/>
      <c r="AM2684" s="48"/>
      <c r="AN2684" s="48"/>
      <c r="AO2684" s="48"/>
      <c r="AP2684" s="48"/>
      <c r="AQ2684" s="48"/>
      <c r="AR2684" s="48"/>
      <c r="AS2684" s="48"/>
      <c r="AT2684" s="48"/>
      <c r="AU2684" s="48"/>
      <c r="AV2684" s="48"/>
      <c r="AW2684" s="48"/>
      <c r="AX2684" s="48"/>
      <c r="AY2684" s="48"/>
      <c r="AZ2684" s="48"/>
      <c r="BA2684" s="48"/>
      <c r="BB2684" s="48"/>
      <c r="BC2684" s="48"/>
      <c r="BD2684" s="48"/>
    </row>
    <row r="2685" spans="1:56">
      <c r="A2685" s="48"/>
      <c r="B2685" s="48"/>
      <c r="C2685" s="49"/>
      <c r="D2685" s="48"/>
      <c r="E2685" s="48"/>
      <c r="F2685" s="48"/>
      <c r="G2685" s="48"/>
      <c r="H2685" s="48"/>
      <c r="I2685" s="48"/>
      <c r="J2685" s="86"/>
      <c r="K2685" s="86"/>
      <c r="L2685" s="86"/>
      <c r="M2685" s="86"/>
      <c r="N2685" s="86"/>
      <c r="O2685" s="86"/>
      <c r="P2685" s="86"/>
      <c r="Q2685" s="86"/>
      <c r="R2685" s="86"/>
      <c r="S2685" s="86"/>
      <c r="T2685" s="86"/>
      <c r="U2685" s="86"/>
      <c r="V2685" s="48"/>
      <c r="W2685" s="48"/>
      <c r="X2685" s="48"/>
      <c r="Y2685" s="48"/>
      <c r="Z2685" s="48"/>
      <c r="AA2685" s="48"/>
      <c r="AB2685" s="48"/>
      <c r="AC2685" s="48"/>
      <c r="AD2685" s="48"/>
      <c r="AE2685" s="48"/>
      <c r="AF2685" s="48"/>
      <c r="AG2685" s="48"/>
      <c r="AH2685" s="48"/>
      <c r="AI2685" s="48"/>
      <c r="AJ2685" s="48"/>
      <c r="AK2685" s="48"/>
      <c r="AL2685" s="48"/>
      <c r="AM2685" s="48"/>
      <c r="AN2685" s="48"/>
      <c r="AO2685" s="48"/>
      <c r="AP2685" s="48"/>
      <c r="AQ2685" s="48"/>
      <c r="AR2685" s="48"/>
      <c r="AS2685" s="48"/>
      <c r="AT2685" s="48"/>
      <c r="AU2685" s="48"/>
      <c r="AV2685" s="48"/>
      <c r="AW2685" s="48"/>
      <c r="AX2685" s="48"/>
      <c r="AY2685" s="48"/>
      <c r="AZ2685" s="48"/>
      <c r="BA2685" s="48"/>
      <c r="BB2685" s="48"/>
      <c r="BC2685" s="48"/>
      <c r="BD2685" s="48"/>
    </row>
    <row r="2686" spans="1:56">
      <c r="A2686" s="48"/>
      <c r="B2686" s="48"/>
      <c r="C2686" s="49"/>
      <c r="D2686" s="48"/>
      <c r="E2686" s="48"/>
      <c r="F2686" s="48"/>
      <c r="G2686" s="48"/>
      <c r="H2686" s="48"/>
      <c r="I2686" s="48"/>
      <c r="J2686" s="86"/>
      <c r="K2686" s="86"/>
      <c r="L2686" s="86"/>
      <c r="M2686" s="86"/>
      <c r="N2686" s="86"/>
      <c r="O2686" s="86"/>
      <c r="P2686" s="86"/>
      <c r="Q2686" s="86"/>
      <c r="R2686" s="86"/>
      <c r="S2686" s="86"/>
      <c r="T2686" s="86"/>
      <c r="U2686" s="86"/>
      <c r="V2686" s="48"/>
      <c r="W2686" s="48"/>
      <c r="X2686" s="48"/>
      <c r="Y2686" s="48"/>
      <c r="Z2686" s="48"/>
      <c r="AA2686" s="48"/>
      <c r="AB2686" s="48"/>
      <c r="AC2686" s="48"/>
      <c r="AD2686" s="48"/>
      <c r="AE2686" s="48"/>
      <c r="AF2686" s="48"/>
      <c r="AG2686" s="48"/>
      <c r="AH2686" s="48"/>
      <c r="AI2686" s="48"/>
      <c r="AJ2686" s="48"/>
      <c r="AK2686" s="48"/>
      <c r="AL2686" s="48"/>
      <c r="AM2686" s="48"/>
      <c r="AN2686" s="48"/>
      <c r="AO2686" s="48"/>
      <c r="AP2686" s="48"/>
      <c r="AQ2686" s="48"/>
      <c r="AR2686" s="48"/>
      <c r="AS2686" s="48"/>
      <c r="AT2686" s="48"/>
      <c r="AU2686" s="48"/>
      <c r="AV2686" s="48"/>
      <c r="AW2686" s="48"/>
      <c r="AX2686" s="48"/>
      <c r="AY2686" s="48"/>
      <c r="AZ2686" s="48"/>
      <c r="BA2686" s="48"/>
      <c r="BB2686" s="48"/>
      <c r="BC2686" s="48"/>
      <c r="BD2686" s="48"/>
    </row>
    <row r="2687" spans="1:56">
      <c r="A2687" s="48"/>
      <c r="B2687" s="48"/>
      <c r="C2687" s="49"/>
      <c r="D2687" s="48"/>
      <c r="E2687" s="48"/>
      <c r="F2687" s="48"/>
      <c r="G2687" s="48"/>
      <c r="H2687" s="48"/>
      <c r="I2687" s="48"/>
      <c r="J2687" s="86"/>
      <c r="K2687" s="86"/>
      <c r="L2687" s="86"/>
      <c r="M2687" s="86"/>
      <c r="N2687" s="86"/>
      <c r="O2687" s="86"/>
      <c r="P2687" s="86"/>
      <c r="Q2687" s="86"/>
      <c r="R2687" s="86"/>
      <c r="S2687" s="86"/>
      <c r="T2687" s="86"/>
      <c r="U2687" s="86"/>
      <c r="V2687" s="48"/>
      <c r="W2687" s="48"/>
      <c r="X2687" s="48"/>
      <c r="Y2687" s="48"/>
      <c r="Z2687" s="48"/>
      <c r="AA2687" s="48"/>
      <c r="AB2687" s="48"/>
      <c r="AC2687" s="48"/>
      <c r="AD2687" s="48"/>
      <c r="AE2687" s="48"/>
      <c r="AF2687" s="48"/>
      <c r="AG2687" s="48"/>
      <c r="AH2687" s="48"/>
      <c r="AI2687" s="48"/>
      <c r="AJ2687" s="48"/>
      <c r="AK2687" s="48"/>
      <c r="AL2687" s="48"/>
      <c r="AM2687" s="48"/>
      <c r="AN2687" s="48"/>
      <c r="AO2687" s="48"/>
      <c r="AP2687" s="48"/>
      <c r="AQ2687" s="48"/>
      <c r="AR2687" s="48"/>
      <c r="AS2687" s="48"/>
      <c r="AT2687" s="48"/>
      <c r="AU2687" s="48"/>
      <c r="AV2687" s="48"/>
      <c r="AW2687" s="48"/>
      <c r="AX2687" s="48"/>
      <c r="AY2687" s="48"/>
      <c r="AZ2687" s="48"/>
      <c r="BA2687" s="48"/>
      <c r="BB2687" s="48"/>
      <c r="BC2687" s="48"/>
      <c r="BD2687" s="48"/>
    </row>
    <row r="2688" spans="1:56">
      <c r="A2688" s="48"/>
      <c r="B2688" s="48"/>
      <c r="C2688" s="49"/>
      <c r="D2688" s="48"/>
      <c r="E2688" s="48"/>
      <c r="F2688" s="48"/>
      <c r="G2688" s="48"/>
      <c r="H2688" s="48"/>
      <c r="I2688" s="48"/>
      <c r="J2688" s="86"/>
      <c r="K2688" s="86"/>
      <c r="L2688" s="86"/>
      <c r="M2688" s="86"/>
      <c r="N2688" s="86"/>
      <c r="O2688" s="86"/>
      <c r="P2688" s="86"/>
      <c r="Q2688" s="86"/>
      <c r="R2688" s="86"/>
      <c r="S2688" s="86"/>
      <c r="T2688" s="86"/>
      <c r="U2688" s="86"/>
      <c r="V2688" s="48"/>
      <c r="W2688" s="48"/>
      <c r="X2688" s="48"/>
      <c r="Y2688" s="48"/>
      <c r="Z2688" s="48"/>
      <c r="AA2688" s="48"/>
      <c r="AB2688" s="48"/>
      <c r="AC2688" s="48"/>
      <c r="AD2688" s="48"/>
      <c r="AE2688" s="48"/>
      <c r="AF2688" s="48"/>
      <c r="AG2688" s="48"/>
      <c r="AH2688" s="48"/>
      <c r="AI2688" s="48"/>
      <c r="AJ2688" s="48"/>
      <c r="AK2688" s="48"/>
      <c r="AL2688" s="48"/>
      <c r="AM2688" s="48"/>
      <c r="AN2688" s="48"/>
      <c r="AO2688" s="48"/>
      <c r="AP2688" s="48"/>
      <c r="AQ2688" s="48"/>
      <c r="AR2688" s="48"/>
      <c r="AS2688" s="48"/>
      <c r="AT2688" s="48"/>
      <c r="AU2688" s="48"/>
      <c r="AV2688" s="48"/>
      <c r="AW2688" s="48"/>
      <c r="AX2688" s="48"/>
      <c r="AY2688" s="48"/>
      <c r="AZ2688" s="48"/>
      <c r="BA2688" s="48"/>
      <c r="BB2688" s="48"/>
      <c r="BC2688" s="48"/>
      <c r="BD2688" s="48"/>
    </row>
    <row r="2689" spans="1:56">
      <c r="A2689" s="48"/>
      <c r="B2689" s="48"/>
      <c r="C2689" s="49"/>
      <c r="D2689" s="48"/>
      <c r="E2689" s="48"/>
      <c r="F2689" s="48"/>
      <c r="G2689" s="48"/>
      <c r="H2689" s="48"/>
      <c r="I2689" s="48"/>
      <c r="J2689" s="86"/>
      <c r="K2689" s="86"/>
      <c r="L2689" s="86"/>
      <c r="M2689" s="86"/>
      <c r="N2689" s="86"/>
      <c r="O2689" s="86"/>
      <c r="P2689" s="86"/>
      <c r="Q2689" s="86"/>
      <c r="R2689" s="86"/>
      <c r="S2689" s="86"/>
      <c r="T2689" s="86"/>
      <c r="U2689" s="86"/>
      <c r="V2689" s="48"/>
      <c r="W2689" s="48"/>
      <c r="X2689" s="48"/>
      <c r="Y2689" s="48"/>
      <c r="Z2689" s="48"/>
      <c r="AA2689" s="48"/>
      <c r="AB2689" s="48"/>
      <c r="AC2689" s="48"/>
      <c r="AD2689" s="48"/>
      <c r="AE2689" s="48"/>
      <c r="AF2689" s="48"/>
      <c r="AG2689" s="48"/>
      <c r="AH2689" s="48"/>
      <c r="AI2689" s="48"/>
      <c r="AJ2689" s="48"/>
      <c r="AK2689" s="48"/>
      <c r="AL2689" s="48"/>
      <c r="AM2689" s="48"/>
      <c r="AN2689" s="48"/>
      <c r="AO2689" s="48"/>
      <c r="AP2689" s="48"/>
      <c r="AQ2689" s="48"/>
      <c r="AR2689" s="48"/>
      <c r="AS2689" s="48"/>
      <c r="AT2689" s="48"/>
      <c r="AU2689" s="48"/>
      <c r="AV2689" s="48"/>
      <c r="AW2689" s="48"/>
      <c r="AX2689" s="48"/>
      <c r="AY2689" s="48"/>
      <c r="AZ2689" s="48"/>
      <c r="BA2689" s="48"/>
      <c r="BB2689" s="48"/>
      <c r="BC2689" s="48"/>
      <c r="BD2689" s="48"/>
    </row>
    <row r="2690" spans="1:56">
      <c r="A2690" s="48"/>
      <c r="B2690" s="48"/>
      <c r="C2690" s="49"/>
      <c r="D2690" s="48"/>
      <c r="E2690" s="48"/>
      <c r="F2690" s="48"/>
      <c r="G2690" s="48"/>
      <c r="H2690" s="48"/>
      <c r="I2690" s="48"/>
      <c r="J2690" s="86"/>
      <c r="K2690" s="86"/>
      <c r="L2690" s="86"/>
      <c r="M2690" s="86"/>
      <c r="N2690" s="86"/>
      <c r="O2690" s="86"/>
      <c r="P2690" s="86"/>
      <c r="Q2690" s="86"/>
      <c r="R2690" s="86"/>
      <c r="S2690" s="86"/>
      <c r="T2690" s="86"/>
      <c r="U2690" s="86"/>
      <c r="V2690" s="48"/>
      <c r="W2690" s="48"/>
      <c r="X2690" s="48"/>
      <c r="Y2690" s="48"/>
      <c r="Z2690" s="48"/>
      <c r="AA2690" s="48"/>
      <c r="AB2690" s="48"/>
      <c r="AC2690" s="48"/>
      <c r="AD2690" s="48"/>
      <c r="AE2690" s="48"/>
      <c r="AF2690" s="48"/>
      <c r="AG2690" s="48"/>
      <c r="AH2690" s="48"/>
      <c r="AI2690" s="48"/>
      <c r="AJ2690" s="48"/>
      <c r="AK2690" s="48"/>
      <c r="AL2690" s="48"/>
      <c r="AM2690" s="48"/>
      <c r="AN2690" s="48"/>
      <c r="AO2690" s="48"/>
      <c r="AP2690" s="48"/>
      <c r="AQ2690" s="48"/>
      <c r="AR2690" s="48"/>
      <c r="AS2690" s="48"/>
      <c r="AT2690" s="48"/>
      <c r="AU2690" s="48"/>
      <c r="AV2690" s="48"/>
      <c r="AW2690" s="48"/>
      <c r="AX2690" s="48"/>
      <c r="AY2690" s="48"/>
      <c r="AZ2690" s="48"/>
      <c r="BA2690" s="48"/>
      <c r="BB2690" s="48"/>
      <c r="BC2690" s="48"/>
      <c r="BD2690" s="48"/>
    </row>
    <row r="2691" spans="1:56">
      <c r="A2691" s="48"/>
      <c r="B2691" s="48"/>
      <c r="C2691" s="49"/>
      <c r="D2691" s="48"/>
      <c r="E2691" s="48"/>
      <c r="F2691" s="48"/>
      <c r="G2691" s="48"/>
      <c r="H2691" s="48"/>
      <c r="I2691" s="48"/>
      <c r="J2691" s="86"/>
      <c r="K2691" s="86"/>
      <c r="L2691" s="86"/>
      <c r="M2691" s="86"/>
      <c r="N2691" s="86"/>
      <c r="O2691" s="86"/>
      <c r="P2691" s="86"/>
      <c r="Q2691" s="86"/>
      <c r="R2691" s="86"/>
      <c r="S2691" s="86"/>
      <c r="T2691" s="86"/>
      <c r="U2691" s="86"/>
      <c r="V2691" s="48"/>
      <c r="W2691" s="48"/>
      <c r="X2691" s="48"/>
      <c r="Y2691" s="48"/>
      <c r="Z2691" s="48"/>
      <c r="AA2691" s="48"/>
      <c r="AB2691" s="48"/>
      <c r="AC2691" s="48"/>
      <c r="AD2691" s="48"/>
      <c r="AE2691" s="48"/>
      <c r="AF2691" s="48"/>
      <c r="AG2691" s="48"/>
      <c r="AH2691" s="48"/>
      <c r="AI2691" s="48"/>
      <c r="AJ2691" s="48"/>
      <c r="AK2691" s="48"/>
      <c r="AL2691" s="48"/>
      <c r="AM2691" s="48"/>
      <c r="AN2691" s="48"/>
      <c r="AO2691" s="48"/>
      <c r="AP2691" s="48"/>
      <c r="AQ2691" s="48"/>
      <c r="AR2691" s="48"/>
      <c r="AS2691" s="48"/>
      <c r="AT2691" s="48"/>
      <c r="AU2691" s="48"/>
      <c r="AV2691" s="48"/>
      <c r="AW2691" s="48"/>
      <c r="AX2691" s="48"/>
      <c r="AY2691" s="48"/>
      <c r="AZ2691" s="48"/>
      <c r="BA2691" s="48"/>
      <c r="BB2691" s="48"/>
      <c r="BC2691" s="48"/>
      <c r="BD2691" s="48"/>
    </row>
    <row r="2692" spans="1:56">
      <c r="A2692" s="48"/>
      <c r="B2692" s="48"/>
      <c r="C2692" s="49"/>
      <c r="D2692" s="48"/>
      <c r="E2692" s="48"/>
      <c r="F2692" s="48"/>
      <c r="G2692" s="48"/>
      <c r="H2692" s="48"/>
      <c r="I2692" s="48"/>
      <c r="J2692" s="86"/>
      <c r="K2692" s="86"/>
      <c r="L2692" s="86"/>
      <c r="M2692" s="86"/>
      <c r="N2692" s="86"/>
      <c r="O2692" s="86"/>
      <c r="P2692" s="86"/>
      <c r="Q2692" s="86"/>
      <c r="R2692" s="86"/>
      <c r="S2692" s="86"/>
      <c r="T2692" s="86"/>
      <c r="U2692" s="86"/>
      <c r="V2692" s="48"/>
      <c r="W2692" s="48"/>
      <c r="X2692" s="48"/>
      <c r="Y2692" s="48"/>
      <c r="Z2692" s="48"/>
      <c r="AA2692" s="48"/>
      <c r="AB2692" s="48"/>
      <c r="AC2692" s="48"/>
      <c r="AD2692" s="48"/>
      <c r="AE2692" s="48"/>
      <c r="AF2692" s="48"/>
      <c r="AG2692" s="48"/>
      <c r="AH2692" s="48"/>
      <c r="AI2692" s="48"/>
      <c r="AJ2692" s="48"/>
      <c r="AK2692" s="48"/>
      <c r="AL2692" s="48"/>
      <c r="AM2692" s="48"/>
      <c r="AN2692" s="48"/>
      <c r="AO2692" s="48"/>
      <c r="AP2692" s="48"/>
      <c r="AQ2692" s="48"/>
      <c r="AR2692" s="48"/>
      <c r="AS2692" s="48"/>
      <c r="AT2692" s="48"/>
      <c r="AU2692" s="48"/>
      <c r="AV2692" s="48"/>
      <c r="AW2692" s="48"/>
      <c r="AX2692" s="48"/>
      <c r="AY2692" s="48"/>
      <c r="AZ2692" s="48"/>
      <c r="BA2692" s="48"/>
      <c r="BB2692" s="48"/>
      <c r="BC2692" s="48"/>
      <c r="BD2692" s="48"/>
    </row>
    <row r="2693" spans="1:56">
      <c r="A2693" s="48"/>
      <c r="B2693" s="48"/>
      <c r="C2693" s="49"/>
      <c r="D2693" s="48"/>
      <c r="E2693" s="48"/>
      <c r="F2693" s="48"/>
      <c r="G2693" s="48"/>
      <c r="H2693" s="48"/>
      <c r="I2693" s="48"/>
      <c r="J2693" s="86"/>
      <c r="K2693" s="86"/>
      <c r="L2693" s="86"/>
      <c r="M2693" s="86"/>
      <c r="N2693" s="86"/>
      <c r="O2693" s="86"/>
      <c r="P2693" s="86"/>
      <c r="Q2693" s="86"/>
      <c r="R2693" s="86"/>
      <c r="S2693" s="86"/>
      <c r="T2693" s="86"/>
      <c r="U2693" s="86"/>
      <c r="V2693" s="48"/>
      <c r="W2693" s="48"/>
      <c r="X2693" s="48"/>
      <c r="Y2693" s="48"/>
      <c r="Z2693" s="48"/>
      <c r="AA2693" s="48"/>
      <c r="AB2693" s="48"/>
      <c r="AC2693" s="48"/>
      <c r="AD2693" s="48"/>
      <c r="AE2693" s="48"/>
      <c r="AF2693" s="48"/>
      <c r="AG2693" s="48"/>
      <c r="AH2693" s="48"/>
      <c r="AI2693" s="48"/>
      <c r="AJ2693" s="48"/>
      <c r="AK2693" s="48"/>
      <c r="AL2693" s="48"/>
      <c r="AM2693" s="48"/>
      <c r="AN2693" s="48"/>
      <c r="AO2693" s="48"/>
      <c r="AP2693" s="48"/>
      <c r="AQ2693" s="48"/>
      <c r="AR2693" s="48"/>
      <c r="AS2693" s="48"/>
      <c r="AT2693" s="48"/>
      <c r="AU2693" s="48"/>
      <c r="AV2693" s="48"/>
      <c r="AW2693" s="48"/>
      <c r="AX2693" s="48"/>
      <c r="AY2693" s="48"/>
      <c r="AZ2693" s="48"/>
      <c r="BA2693" s="48"/>
      <c r="BB2693" s="48"/>
      <c r="BC2693" s="48"/>
      <c r="BD2693" s="48"/>
    </row>
    <row r="2694" spans="1:56">
      <c r="A2694" s="48"/>
      <c r="B2694" s="48"/>
      <c r="C2694" s="49"/>
      <c r="D2694" s="48"/>
      <c r="E2694" s="48"/>
      <c r="F2694" s="48"/>
      <c r="G2694" s="48"/>
      <c r="H2694" s="48"/>
      <c r="I2694" s="48"/>
      <c r="J2694" s="86"/>
      <c r="K2694" s="86"/>
      <c r="L2694" s="86"/>
      <c r="M2694" s="86"/>
      <c r="N2694" s="86"/>
      <c r="O2694" s="86"/>
      <c r="P2694" s="86"/>
      <c r="Q2694" s="86"/>
      <c r="R2694" s="86"/>
      <c r="S2694" s="86"/>
      <c r="T2694" s="86"/>
      <c r="U2694" s="86"/>
      <c r="V2694" s="48"/>
      <c r="W2694" s="48"/>
      <c r="X2694" s="48"/>
      <c r="Y2694" s="48"/>
      <c r="Z2694" s="48"/>
      <c r="AA2694" s="48"/>
      <c r="AB2694" s="48"/>
      <c r="AC2694" s="48"/>
      <c r="AD2694" s="48"/>
      <c r="AE2694" s="48"/>
      <c r="AF2694" s="48"/>
      <c r="AG2694" s="48"/>
      <c r="AH2694" s="48"/>
      <c r="AI2694" s="48"/>
      <c r="AJ2694" s="48"/>
      <c r="AK2694" s="48"/>
      <c r="AL2694" s="48"/>
      <c r="AM2694" s="48"/>
      <c r="AN2694" s="48"/>
      <c r="AO2694" s="48"/>
      <c r="AP2694" s="48"/>
      <c r="AQ2694" s="48"/>
      <c r="AR2694" s="48"/>
      <c r="AS2694" s="48"/>
      <c r="AT2694" s="48"/>
      <c r="AU2694" s="48"/>
      <c r="AV2694" s="48"/>
      <c r="AW2694" s="48"/>
      <c r="AX2694" s="48"/>
      <c r="AY2694" s="48"/>
      <c r="AZ2694" s="48"/>
      <c r="BA2694" s="48"/>
      <c r="BB2694" s="48"/>
      <c r="BC2694" s="48"/>
      <c r="BD2694" s="48"/>
    </row>
    <row r="2695" spans="1:56">
      <c r="A2695" s="48"/>
      <c r="B2695" s="48"/>
      <c r="C2695" s="49"/>
      <c r="D2695" s="48"/>
      <c r="E2695" s="48"/>
      <c r="F2695" s="48"/>
      <c r="G2695" s="48"/>
      <c r="H2695" s="48"/>
      <c r="I2695" s="48"/>
      <c r="J2695" s="86"/>
      <c r="K2695" s="86"/>
      <c r="L2695" s="86"/>
      <c r="M2695" s="86"/>
      <c r="N2695" s="86"/>
      <c r="O2695" s="86"/>
      <c r="P2695" s="86"/>
      <c r="Q2695" s="86"/>
      <c r="R2695" s="86"/>
      <c r="S2695" s="86"/>
      <c r="T2695" s="86"/>
      <c r="U2695" s="86"/>
      <c r="V2695" s="48"/>
      <c r="W2695" s="48"/>
      <c r="X2695" s="48"/>
      <c r="Y2695" s="48"/>
      <c r="Z2695" s="48"/>
      <c r="AA2695" s="48"/>
      <c r="AB2695" s="48"/>
      <c r="AC2695" s="48"/>
      <c r="AD2695" s="48"/>
      <c r="AE2695" s="48"/>
      <c r="AF2695" s="48"/>
      <c r="AG2695" s="48"/>
      <c r="AH2695" s="48"/>
      <c r="AI2695" s="48"/>
      <c r="AJ2695" s="48"/>
      <c r="AK2695" s="48"/>
      <c r="AL2695" s="48"/>
      <c r="AM2695" s="48"/>
      <c r="AN2695" s="48"/>
      <c r="AO2695" s="48"/>
      <c r="AP2695" s="48"/>
      <c r="AQ2695" s="48"/>
      <c r="AR2695" s="48"/>
      <c r="AS2695" s="48"/>
      <c r="AT2695" s="48"/>
      <c r="AU2695" s="48"/>
      <c r="AV2695" s="48"/>
      <c r="AW2695" s="48"/>
      <c r="AX2695" s="48"/>
      <c r="AY2695" s="48"/>
      <c r="AZ2695" s="48"/>
      <c r="BA2695" s="48"/>
      <c r="BB2695" s="48"/>
      <c r="BC2695" s="48"/>
      <c r="BD2695" s="48"/>
    </row>
    <row r="2696" spans="1:56">
      <c r="A2696" s="48"/>
      <c r="B2696" s="48"/>
      <c r="C2696" s="49"/>
      <c r="D2696" s="48"/>
      <c r="E2696" s="48"/>
      <c r="F2696" s="48"/>
      <c r="G2696" s="48"/>
      <c r="H2696" s="48"/>
      <c r="I2696" s="48"/>
      <c r="J2696" s="86"/>
      <c r="K2696" s="86"/>
      <c r="L2696" s="86"/>
      <c r="M2696" s="86"/>
      <c r="N2696" s="86"/>
      <c r="O2696" s="86"/>
      <c r="P2696" s="86"/>
      <c r="Q2696" s="86"/>
      <c r="R2696" s="86"/>
      <c r="S2696" s="86"/>
      <c r="T2696" s="86"/>
      <c r="U2696" s="86"/>
      <c r="V2696" s="48"/>
      <c r="W2696" s="48"/>
      <c r="X2696" s="48"/>
      <c r="Y2696" s="48"/>
      <c r="Z2696" s="48"/>
      <c r="AA2696" s="48"/>
      <c r="AB2696" s="48"/>
      <c r="AC2696" s="48"/>
      <c r="AD2696" s="48"/>
      <c r="AE2696" s="48"/>
      <c r="AF2696" s="48"/>
      <c r="AG2696" s="48"/>
      <c r="AH2696" s="48"/>
      <c r="AI2696" s="48"/>
      <c r="AJ2696" s="48"/>
      <c r="AK2696" s="48"/>
      <c r="AL2696" s="48"/>
      <c r="AM2696" s="48"/>
      <c r="AN2696" s="48"/>
      <c r="AO2696" s="48"/>
      <c r="AP2696" s="48"/>
      <c r="AQ2696" s="48"/>
      <c r="AR2696" s="48"/>
      <c r="AS2696" s="48"/>
      <c r="AT2696" s="48"/>
      <c r="AU2696" s="48"/>
      <c r="AV2696" s="48"/>
      <c r="AW2696" s="48"/>
      <c r="AX2696" s="48"/>
      <c r="AY2696" s="48"/>
      <c r="AZ2696" s="48"/>
      <c r="BA2696" s="48"/>
      <c r="BB2696" s="48"/>
      <c r="BC2696" s="48"/>
      <c r="BD2696" s="48"/>
    </row>
    <row r="2697" spans="1:56">
      <c r="A2697" s="48"/>
      <c r="B2697" s="48"/>
      <c r="C2697" s="49"/>
      <c r="D2697" s="48"/>
      <c r="E2697" s="48"/>
      <c r="F2697" s="48"/>
      <c r="G2697" s="48"/>
      <c r="H2697" s="48"/>
      <c r="I2697" s="48"/>
      <c r="J2697" s="86"/>
      <c r="K2697" s="86"/>
      <c r="L2697" s="86"/>
      <c r="M2697" s="86"/>
      <c r="N2697" s="86"/>
      <c r="O2697" s="86"/>
      <c r="P2697" s="86"/>
      <c r="Q2697" s="86"/>
      <c r="R2697" s="86"/>
      <c r="S2697" s="86"/>
      <c r="T2697" s="86"/>
      <c r="U2697" s="86"/>
      <c r="V2697" s="48"/>
      <c r="W2697" s="48"/>
      <c r="X2697" s="48"/>
      <c r="Y2697" s="48"/>
      <c r="Z2697" s="48"/>
      <c r="AA2697" s="48"/>
      <c r="AB2697" s="48"/>
      <c r="AC2697" s="48"/>
      <c r="AD2697" s="48"/>
      <c r="AE2697" s="48"/>
      <c r="AF2697" s="48"/>
      <c r="AG2697" s="48"/>
      <c r="AH2697" s="48"/>
      <c r="AI2697" s="48"/>
      <c r="AJ2697" s="48"/>
      <c r="AK2697" s="48"/>
      <c r="AL2697" s="48"/>
      <c r="AM2697" s="48"/>
      <c r="AN2697" s="48"/>
      <c r="AO2697" s="48"/>
      <c r="AP2697" s="48"/>
      <c r="AQ2697" s="48"/>
      <c r="AR2697" s="48"/>
      <c r="AS2697" s="48"/>
      <c r="AT2697" s="48"/>
      <c r="AU2697" s="48"/>
      <c r="AV2697" s="48"/>
      <c r="AW2697" s="48"/>
      <c r="AX2697" s="48"/>
      <c r="AY2697" s="48"/>
      <c r="AZ2697" s="48"/>
      <c r="BA2697" s="48"/>
      <c r="BB2697" s="48"/>
      <c r="BC2697" s="48"/>
      <c r="BD2697" s="48"/>
    </row>
    <row r="2698" spans="1:56">
      <c r="A2698" s="48"/>
      <c r="B2698" s="48"/>
      <c r="C2698" s="49"/>
      <c r="D2698" s="48"/>
      <c r="E2698" s="48"/>
      <c r="F2698" s="48"/>
      <c r="G2698" s="48"/>
      <c r="H2698" s="48"/>
      <c r="I2698" s="48"/>
      <c r="J2698" s="86"/>
      <c r="K2698" s="86"/>
      <c r="L2698" s="86"/>
      <c r="M2698" s="86"/>
      <c r="N2698" s="86"/>
      <c r="O2698" s="86"/>
      <c r="P2698" s="86"/>
      <c r="Q2698" s="86"/>
      <c r="R2698" s="86"/>
      <c r="S2698" s="86"/>
      <c r="T2698" s="86"/>
      <c r="U2698" s="86"/>
      <c r="V2698" s="48"/>
      <c r="W2698" s="48"/>
      <c r="X2698" s="48"/>
      <c r="Y2698" s="48"/>
      <c r="Z2698" s="48"/>
      <c r="AA2698" s="48"/>
      <c r="AB2698" s="48"/>
      <c r="AC2698" s="48"/>
      <c r="AD2698" s="48"/>
      <c r="AE2698" s="48"/>
      <c r="AF2698" s="48"/>
      <c r="AG2698" s="48"/>
      <c r="AH2698" s="48"/>
      <c r="AI2698" s="48"/>
      <c r="AJ2698" s="48"/>
      <c r="AK2698" s="48"/>
      <c r="AL2698" s="48"/>
      <c r="AM2698" s="48"/>
      <c r="AN2698" s="48"/>
      <c r="AO2698" s="48"/>
      <c r="AP2698" s="48"/>
      <c r="AQ2698" s="48"/>
      <c r="AR2698" s="48"/>
      <c r="AS2698" s="48"/>
      <c r="AT2698" s="48"/>
      <c r="AU2698" s="48"/>
      <c r="AV2698" s="48"/>
      <c r="AW2698" s="48"/>
      <c r="AX2698" s="48"/>
      <c r="AY2698" s="48"/>
      <c r="AZ2698" s="48"/>
      <c r="BA2698" s="48"/>
      <c r="BB2698" s="48"/>
      <c r="BC2698" s="48"/>
      <c r="BD2698" s="48"/>
    </row>
    <row r="2699" spans="1:56">
      <c r="A2699" s="48"/>
      <c r="B2699" s="48"/>
      <c r="C2699" s="49"/>
      <c r="D2699" s="48"/>
      <c r="E2699" s="48"/>
      <c r="F2699" s="48"/>
      <c r="G2699" s="48"/>
      <c r="H2699" s="48"/>
      <c r="I2699" s="48"/>
      <c r="J2699" s="86"/>
      <c r="K2699" s="86"/>
      <c r="L2699" s="86"/>
      <c r="M2699" s="86"/>
      <c r="N2699" s="86"/>
      <c r="O2699" s="86"/>
      <c r="P2699" s="86"/>
      <c r="Q2699" s="86"/>
      <c r="R2699" s="86"/>
      <c r="S2699" s="86"/>
      <c r="T2699" s="86"/>
      <c r="U2699" s="86"/>
      <c r="V2699" s="48"/>
      <c r="W2699" s="48"/>
      <c r="X2699" s="48"/>
      <c r="Y2699" s="48"/>
      <c r="Z2699" s="48"/>
      <c r="AA2699" s="48"/>
      <c r="AB2699" s="48"/>
      <c r="AC2699" s="48"/>
      <c r="AD2699" s="48"/>
      <c r="AE2699" s="48"/>
      <c r="AF2699" s="48"/>
      <c r="AG2699" s="48"/>
      <c r="AH2699" s="48"/>
      <c r="AI2699" s="48"/>
      <c r="AJ2699" s="48"/>
      <c r="AK2699" s="48"/>
      <c r="AL2699" s="48"/>
      <c r="AM2699" s="48"/>
      <c r="AN2699" s="48"/>
      <c r="AO2699" s="48"/>
      <c r="AP2699" s="48"/>
      <c r="AQ2699" s="48"/>
      <c r="AR2699" s="48"/>
      <c r="AS2699" s="48"/>
      <c r="AT2699" s="48"/>
      <c r="AU2699" s="48"/>
      <c r="AV2699" s="48"/>
      <c r="AW2699" s="48"/>
      <c r="AX2699" s="48"/>
      <c r="AY2699" s="48"/>
      <c r="AZ2699" s="48"/>
      <c r="BA2699" s="48"/>
      <c r="BB2699" s="48"/>
      <c r="BC2699" s="48"/>
      <c r="BD2699" s="48"/>
    </row>
    <row r="2700" spans="1:56">
      <c r="A2700" s="48"/>
      <c r="B2700" s="48"/>
      <c r="C2700" s="49"/>
      <c r="D2700" s="48"/>
      <c r="E2700" s="48"/>
      <c r="F2700" s="48"/>
      <c r="G2700" s="48"/>
      <c r="H2700" s="48"/>
      <c r="I2700" s="48"/>
      <c r="J2700" s="86"/>
      <c r="K2700" s="86"/>
      <c r="L2700" s="86"/>
      <c r="M2700" s="86"/>
      <c r="N2700" s="86"/>
      <c r="O2700" s="86"/>
      <c r="P2700" s="86"/>
      <c r="Q2700" s="86"/>
      <c r="R2700" s="86"/>
      <c r="S2700" s="86"/>
      <c r="T2700" s="86"/>
      <c r="U2700" s="86"/>
      <c r="V2700" s="48"/>
      <c r="W2700" s="48"/>
      <c r="X2700" s="48"/>
      <c r="Y2700" s="48"/>
      <c r="Z2700" s="48"/>
      <c r="AA2700" s="48"/>
      <c r="AB2700" s="48"/>
      <c r="AC2700" s="48"/>
      <c r="AD2700" s="48"/>
      <c r="AE2700" s="48"/>
      <c r="AF2700" s="48"/>
      <c r="AG2700" s="48"/>
      <c r="AH2700" s="48"/>
      <c r="AI2700" s="48"/>
      <c r="AJ2700" s="48"/>
      <c r="AK2700" s="48"/>
      <c r="AL2700" s="48"/>
      <c r="AM2700" s="48"/>
      <c r="AN2700" s="48"/>
      <c r="AO2700" s="48"/>
      <c r="AP2700" s="48"/>
      <c r="AQ2700" s="48"/>
      <c r="AR2700" s="48"/>
      <c r="AS2700" s="48"/>
      <c r="AT2700" s="48"/>
      <c r="AU2700" s="48"/>
      <c r="AV2700" s="48"/>
      <c r="AW2700" s="48"/>
      <c r="AX2700" s="48"/>
      <c r="AY2700" s="48"/>
      <c r="AZ2700" s="48"/>
      <c r="BA2700" s="48"/>
      <c r="BB2700" s="48"/>
      <c r="BC2700" s="48"/>
      <c r="BD2700" s="48"/>
    </row>
    <row r="2701" spans="1:56">
      <c r="A2701" s="48"/>
      <c r="B2701" s="48"/>
      <c r="C2701" s="49"/>
      <c r="D2701" s="48"/>
      <c r="E2701" s="48"/>
      <c r="F2701" s="48"/>
      <c r="G2701" s="48"/>
      <c r="H2701" s="48"/>
      <c r="I2701" s="48"/>
      <c r="J2701" s="86"/>
      <c r="K2701" s="86"/>
      <c r="L2701" s="86"/>
      <c r="M2701" s="86"/>
      <c r="N2701" s="86"/>
      <c r="O2701" s="86"/>
      <c r="P2701" s="86"/>
      <c r="Q2701" s="86"/>
      <c r="R2701" s="86"/>
      <c r="S2701" s="86"/>
      <c r="T2701" s="86"/>
      <c r="U2701" s="86"/>
      <c r="V2701" s="48"/>
      <c r="W2701" s="48"/>
      <c r="X2701" s="48"/>
      <c r="Y2701" s="48"/>
      <c r="Z2701" s="48"/>
      <c r="AA2701" s="48"/>
      <c r="AB2701" s="48"/>
      <c r="AC2701" s="48"/>
      <c r="AD2701" s="48"/>
      <c r="AE2701" s="48"/>
      <c r="AF2701" s="48"/>
      <c r="AG2701" s="48"/>
      <c r="AH2701" s="48"/>
      <c r="AI2701" s="48"/>
      <c r="AJ2701" s="48"/>
      <c r="AK2701" s="48"/>
      <c r="AL2701" s="48"/>
      <c r="AM2701" s="48"/>
      <c r="AN2701" s="48"/>
      <c r="AO2701" s="48"/>
      <c r="AP2701" s="48"/>
      <c r="AQ2701" s="48"/>
      <c r="AR2701" s="48"/>
      <c r="AS2701" s="48"/>
      <c r="AT2701" s="48"/>
      <c r="AU2701" s="48"/>
      <c r="AV2701" s="48"/>
      <c r="AW2701" s="48"/>
      <c r="AX2701" s="48"/>
      <c r="AY2701" s="48"/>
      <c r="AZ2701" s="48"/>
      <c r="BA2701" s="48"/>
      <c r="BB2701" s="48"/>
      <c r="BC2701" s="48"/>
      <c r="BD2701" s="48"/>
    </row>
    <row r="2702" spans="1:56">
      <c r="A2702" s="48"/>
      <c r="B2702" s="48"/>
      <c r="C2702" s="49"/>
      <c r="D2702" s="48"/>
      <c r="E2702" s="48"/>
      <c r="F2702" s="48"/>
      <c r="G2702" s="48"/>
      <c r="H2702" s="48"/>
      <c r="I2702" s="48"/>
      <c r="J2702" s="86"/>
      <c r="K2702" s="86"/>
      <c r="L2702" s="86"/>
      <c r="M2702" s="86"/>
      <c r="N2702" s="86"/>
      <c r="O2702" s="86"/>
      <c r="P2702" s="86"/>
      <c r="Q2702" s="86"/>
      <c r="R2702" s="86"/>
      <c r="S2702" s="86"/>
      <c r="T2702" s="86"/>
      <c r="U2702" s="86"/>
      <c r="V2702" s="48"/>
      <c r="W2702" s="48"/>
      <c r="X2702" s="48"/>
      <c r="Y2702" s="48"/>
      <c r="Z2702" s="48"/>
      <c r="AA2702" s="48"/>
      <c r="AB2702" s="48"/>
      <c r="AC2702" s="48"/>
      <c r="AD2702" s="48"/>
      <c r="AE2702" s="48"/>
      <c r="AF2702" s="48"/>
      <c r="AG2702" s="48"/>
      <c r="AH2702" s="48"/>
      <c r="AI2702" s="48"/>
      <c r="AJ2702" s="48"/>
      <c r="AK2702" s="48"/>
      <c r="AL2702" s="48"/>
      <c r="AM2702" s="48"/>
      <c r="AN2702" s="48"/>
      <c r="AO2702" s="48"/>
      <c r="AP2702" s="48"/>
      <c r="AQ2702" s="48"/>
      <c r="AR2702" s="48"/>
      <c r="AS2702" s="48"/>
      <c r="AT2702" s="48"/>
      <c r="AU2702" s="48"/>
      <c r="AV2702" s="48"/>
      <c r="AW2702" s="48"/>
      <c r="AX2702" s="48"/>
      <c r="AY2702" s="48"/>
      <c r="AZ2702" s="48"/>
      <c r="BA2702" s="48"/>
      <c r="BB2702" s="48"/>
      <c r="BC2702" s="48"/>
      <c r="BD2702" s="48"/>
    </row>
    <row r="2703" spans="1:56">
      <c r="A2703" s="48"/>
      <c r="B2703" s="48"/>
      <c r="C2703" s="49"/>
      <c r="D2703" s="48"/>
      <c r="E2703" s="48"/>
      <c r="F2703" s="48"/>
      <c r="G2703" s="48"/>
      <c r="H2703" s="48"/>
      <c r="I2703" s="48"/>
      <c r="J2703" s="86"/>
      <c r="K2703" s="86"/>
      <c r="L2703" s="86"/>
      <c r="M2703" s="86"/>
      <c r="N2703" s="86"/>
      <c r="O2703" s="86"/>
      <c r="P2703" s="86"/>
      <c r="Q2703" s="86"/>
      <c r="R2703" s="86"/>
      <c r="S2703" s="86"/>
      <c r="T2703" s="86"/>
      <c r="U2703" s="86"/>
      <c r="V2703" s="48"/>
      <c r="W2703" s="48"/>
      <c r="X2703" s="48"/>
      <c r="Y2703" s="48"/>
      <c r="Z2703" s="48"/>
      <c r="AA2703" s="48"/>
      <c r="AB2703" s="48"/>
      <c r="AC2703" s="48"/>
      <c r="AD2703" s="48"/>
      <c r="AE2703" s="48"/>
      <c r="AF2703" s="48"/>
      <c r="AG2703" s="48"/>
      <c r="AH2703" s="48"/>
      <c r="AI2703" s="48"/>
      <c r="AJ2703" s="48"/>
      <c r="AK2703" s="48"/>
      <c r="AL2703" s="48"/>
      <c r="AM2703" s="48"/>
      <c r="AN2703" s="48"/>
      <c r="AO2703" s="48"/>
      <c r="AP2703" s="48"/>
      <c r="AQ2703" s="48"/>
      <c r="AR2703" s="48"/>
      <c r="AS2703" s="48"/>
      <c r="AT2703" s="48"/>
      <c r="AU2703" s="48"/>
      <c r="AV2703" s="48"/>
      <c r="AW2703" s="48"/>
      <c r="AX2703" s="48"/>
      <c r="AY2703" s="48"/>
      <c r="AZ2703" s="48"/>
      <c r="BA2703" s="48"/>
      <c r="BB2703" s="48"/>
      <c r="BC2703" s="48"/>
      <c r="BD2703" s="48"/>
    </row>
    <row r="2704" spans="1:56">
      <c r="A2704" s="48"/>
      <c r="B2704" s="48"/>
      <c r="C2704" s="49"/>
      <c r="D2704" s="48"/>
      <c r="E2704" s="48"/>
      <c r="F2704" s="48"/>
      <c r="G2704" s="48"/>
      <c r="H2704" s="48"/>
      <c r="I2704" s="48"/>
      <c r="J2704" s="86"/>
      <c r="K2704" s="86"/>
      <c r="L2704" s="86"/>
      <c r="M2704" s="86"/>
      <c r="N2704" s="86"/>
      <c r="O2704" s="86"/>
      <c r="P2704" s="86"/>
      <c r="Q2704" s="86"/>
      <c r="R2704" s="86"/>
      <c r="S2704" s="86"/>
      <c r="T2704" s="86"/>
      <c r="U2704" s="86"/>
      <c r="V2704" s="48"/>
      <c r="W2704" s="48"/>
      <c r="X2704" s="48"/>
      <c r="Y2704" s="48"/>
      <c r="Z2704" s="48"/>
      <c r="AA2704" s="48"/>
      <c r="AB2704" s="48"/>
      <c r="AC2704" s="48"/>
      <c r="AD2704" s="48"/>
      <c r="AE2704" s="48"/>
      <c r="AF2704" s="48"/>
      <c r="AG2704" s="48"/>
      <c r="AH2704" s="48"/>
      <c r="AI2704" s="48"/>
      <c r="AJ2704" s="48"/>
      <c r="AK2704" s="48"/>
      <c r="AL2704" s="48"/>
      <c r="AM2704" s="48"/>
      <c r="AN2704" s="48"/>
      <c r="AO2704" s="48"/>
      <c r="AP2704" s="48"/>
      <c r="AQ2704" s="48"/>
      <c r="AR2704" s="48"/>
      <c r="AS2704" s="48"/>
      <c r="AT2704" s="48"/>
      <c r="AU2704" s="48"/>
      <c r="AV2704" s="48"/>
      <c r="AW2704" s="48"/>
      <c r="AX2704" s="48"/>
      <c r="AY2704" s="48"/>
      <c r="AZ2704" s="48"/>
      <c r="BA2704" s="48"/>
      <c r="BB2704" s="48"/>
      <c r="BC2704" s="48"/>
      <c r="BD2704" s="48"/>
    </row>
    <row r="2705" spans="1:56">
      <c r="A2705" s="48"/>
      <c r="B2705" s="48"/>
      <c r="C2705" s="49"/>
      <c r="D2705" s="48"/>
      <c r="E2705" s="48"/>
      <c r="F2705" s="48"/>
      <c r="G2705" s="48"/>
      <c r="H2705" s="48"/>
      <c r="I2705" s="48"/>
      <c r="J2705" s="86"/>
      <c r="K2705" s="86"/>
      <c r="L2705" s="86"/>
      <c r="M2705" s="86"/>
      <c r="N2705" s="86"/>
      <c r="O2705" s="86"/>
      <c r="P2705" s="86"/>
      <c r="Q2705" s="86"/>
      <c r="R2705" s="86"/>
      <c r="S2705" s="86"/>
      <c r="T2705" s="86"/>
      <c r="U2705" s="86"/>
      <c r="V2705" s="48"/>
      <c r="W2705" s="48"/>
      <c r="X2705" s="48"/>
      <c r="Y2705" s="48"/>
      <c r="Z2705" s="48"/>
      <c r="AA2705" s="48"/>
      <c r="AB2705" s="48"/>
      <c r="AC2705" s="48"/>
      <c r="AD2705" s="48"/>
      <c r="AE2705" s="48"/>
      <c r="AF2705" s="48"/>
      <c r="AG2705" s="48"/>
      <c r="AH2705" s="48"/>
      <c r="AI2705" s="48"/>
      <c r="AJ2705" s="48"/>
      <c r="AK2705" s="48"/>
      <c r="AL2705" s="48"/>
      <c r="AM2705" s="48"/>
      <c r="AN2705" s="48"/>
      <c r="AO2705" s="48"/>
      <c r="AP2705" s="48"/>
      <c r="AQ2705" s="48"/>
      <c r="AR2705" s="48"/>
      <c r="AS2705" s="48"/>
      <c r="AT2705" s="48"/>
      <c r="AU2705" s="48"/>
      <c r="AV2705" s="48"/>
      <c r="AW2705" s="48"/>
      <c r="AX2705" s="48"/>
      <c r="AY2705" s="48"/>
      <c r="AZ2705" s="48"/>
      <c r="BA2705" s="48"/>
      <c r="BB2705" s="48"/>
      <c r="BC2705" s="48"/>
      <c r="BD2705" s="48"/>
    </row>
    <row r="2706" spans="1:56">
      <c r="A2706" s="48"/>
      <c r="B2706" s="48"/>
      <c r="C2706" s="49"/>
      <c r="D2706" s="48"/>
      <c r="E2706" s="48"/>
      <c r="F2706" s="48"/>
      <c r="G2706" s="48"/>
      <c r="H2706" s="48"/>
      <c r="I2706" s="48"/>
      <c r="J2706" s="86"/>
      <c r="K2706" s="86"/>
      <c r="L2706" s="86"/>
      <c r="M2706" s="86"/>
      <c r="N2706" s="86"/>
      <c r="O2706" s="86"/>
      <c r="P2706" s="86"/>
      <c r="Q2706" s="86"/>
      <c r="R2706" s="86"/>
      <c r="S2706" s="86"/>
      <c r="T2706" s="86"/>
      <c r="U2706" s="86"/>
      <c r="V2706" s="48"/>
      <c r="W2706" s="48"/>
      <c r="X2706" s="48"/>
      <c r="Y2706" s="48"/>
      <c r="Z2706" s="48"/>
      <c r="AA2706" s="48"/>
      <c r="AB2706" s="48"/>
      <c r="AC2706" s="48"/>
      <c r="AD2706" s="48"/>
      <c r="AE2706" s="48"/>
      <c r="AF2706" s="48"/>
      <c r="AG2706" s="48"/>
      <c r="AH2706" s="48"/>
      <c r="AI2706" s="48"/>
      <c r="AJ2706" s="48"/>
      <c r="AK2706" s="48"/>
      <c r="AL2706" s="48"/>
      <c r="AM2706" s="48"/>
      <c r="AN2706" s="48"/>
      <c r="AO2706" s="48"/>
      <c r="AP2706" s="48"/>
      <c r="AQ2706" s="48"/>
      <c r="AR2706" s="48"/>
      <c r="AS2706" s="48"/>
      <c r="AT2706" s="48"/>
      <c r="AU2706" s="48"/>
      <c r="AV2706" s="48"/>
      <c r="AW2706" s="48"/>
      <c r="AX2706" s="48"/>
      <c r="AY2706" s="48"/>
      <c r="AZ2706" s="48"/>
      <c r="BA2706" s="48"/>
      <c r="BB2706" s="48"/>
      <c r="BC2706" s="48"/>
      <c r="BD2706" s="48"/>
    </row>
    <row r="2707" spans="1:56">
      <c r="A2707" s="48"/>
      <c r="B2707" s="48"/>
      <c r="C2707" s="49"/>
      <c r="D2707" s="48"/>
      <c r="E2707" s="48"/>
      <c r="F2707" s="48"/>
      <c r="G2707" s="48"/>
      <c r="H2707" s="48"/>
      <c r="I2707" s="48"/>
      <c r="J2707" s="86"/>
      <c r="K2707" s="86"/>
      <c r="L2707" s="86"/>
      <c r="M2707" s="86"/>
      <c r="N2707" s="86"/>
      <c r="O2707" s="86"/>
      <c r="P2707" s="86"/>
      <c r="Q2707" s="86"/>
      <c r="R2707" s="86"/>
      <c r="S2707" s="86"/>
      <c r="T2707" s="86"/>
      <c r="U2707" s="86"/>
      <c r="V2707" s="48"/>
      <c r="W2707" s="48"/>
      <c r="X2707" s="48"/>
      <c r="Y2707" s="48"/>
      <c r="Z2707" s="48"/>
      <c r="AA2707" s="48"/>
      <c r="AB2707" s="48"/>
      <c r="AC2707" s="48"/>
      <c r="AD2707" s="48"/>
      <c r="AE2707" s="48"/>
      <c r="AF2707" s="48"/>
      <c r="AG2707" s="48"/>
      <c r="AH2707" s="48"/>
      <c r="AI2707" s="48"/>
      <c r="AJ2707" s="48"/>
      <c r="AK2707" s="48"/>
      <c r="AL2707" s="48"/>
      <c r="AM2707" s="48"/>
      <c r="AN2707" s="48"/>
      <c r="AO2707" s="48"/>
      <c r="AP2707" s="48"/>
      <c r="AQ2707" s="48"/>
      <c r="AR2707" s="48"/>
      <c r="AS2707" s="48"/>
      <c r="AT2707" s="48"/>
      <c r="AU2707" s="48"/>
      <c r="AV2707" s="48"/>
      <c r="AW2707" s="48"/>
      <c r="AX2707" s="48"/>
      <c r="AY2707" s="48"/>
      <c r="AZ2707" s="48"/>
      <c r="BA2707" s="48"/>
      <c r="BB2707" s="48"/>
      <c r="BC2707" s="48"/>
      <c r="BD2707" s="48"/>
    </row>
    <row r="2708" spans="1:56">
      <c r="A2708" s="48"/>
      <c r="B2708" s="48"/>
      <c r="C2708" s="49"/>
      <c r="D2708" s="48"/>
      <c r="E2708" s="48"/>
      <c r="F2708" s="48"/>
      <c r="G2708" s="48"/>
      <c r="H2708" s="48"/>
      <c r="I2708" s="48"/>
      <c r="J2708" s="86"/>
      <c r="K2708" s="86"/>
      <c r="L2708" s="86"/>
      <c r="M2708" s="86"/>
      <c r="N2708" s="86"/>
      <c r="O2708" s="86"/>
      <c r="P2708" s="86"/>
      <c r="Q2708" s="86"/>
      <c r="R2708" s="86"/>
      <c r="S2708" s="86"/>
      <c r="T2708" s="86"/>
      <c r="U2708" s="86"/>
      <c r="V2708" s="48"/>
      <c r="W2708" s="48"/>
      <c r="X2708" s="48"/>
      <c r="Y2708" s="48"/>
      <c r="Z2708" s="48"/>
      <c r="AA2708" s="48"/>
      <c r="AB2708" s="48"/>
      <c r="AC2708" s="48"/>
      <c r="AD2708" s="48"/>
      <c r="AE2708" s="48"/>
      <c r="AF2708" s="48"/>
      <c r="AG2708" s="48"/>
      <c r="AH2708" s="48"/>
      <c r="AI2708" s="48"/>
      <c r="AJ2708" s="48"/>
      <c r="AK2708" s="48"/>
      <c r="AL2708" s="48"/>
      <c r="AM2708" s="48"/>
      <c r="AN2708" s="48"/>
      <c r="AO2708" s="48"/>
      <c r="AP2708" s="48"/>
      <c r="AQ2708" s="48"/>
      <c r="AR2708" s="48"/>
      <c r="AS2708" s="48"/>
      <c r="AT2708" s="48"/>
      <c r="AU2708" s="48"/>
      <c r="AV2708" s="48"/>
      <c r="AW2708" s="48"/>
      <c r="AX2708" s="48"/>
      <c r="AY2708" s="48"/>
      <c r="AZ2708" s="48"/>
      <c r="BA2708" s="48"/>
      <c r="BB2708" s="48"/>
      <c r="BC2708" s="48"/>
      <c r="BD2708" s="48"/>
    </row>
    <row r="2709" spans="1:56">
      <c r="A2709" s="48"/>
      <c r="B2709" s="48"/>
      <c r="C2709" s="49"/>
      <c r="D2709" s="48"/>
      <c r="E2709" s="48"/>
      <c r="F2709" s="48"/>
      <c r="G2709" s="48"/>
      <c r="H2709" s="48"/>
      <c r="I2709" s="48"/>
      <c r="J2709" s="86"/>
      <c r="K2709" s="86"/>
      <c r="L2709" s="86"/>
      <c r="M2709" s="86"/>
      <c r="N2709" s="86"/>
      <c r="O2709" s="86"/>
      <c r="P2709" s="86"/>
      <c r="Q2709" s="86"/>
      <c r="R2709" s="86"/>
      <c r="S2709" s="86"/>
      <c r="T2709" s="86"/>
      <c r="U2709" s="86"/>
      <c r="V2709" s="48"/>
      <c r="W2709" s="48"/>
      <c r="X2709" s="48"/>
      <c r="Y2709" s="48"/>
      <c r="Z2709" s="48"/>
      <c r="AA2709" s="48"/>
      <c r="AB2709" s="48"/>
      <c r="AC2709" s="48"/>
      <c r="AD2709" s="48"/>
      <c r="AE2709" s="48"/>
      <c r="AF2709" s="48"/>
      <c r="AG2709" s="48"/>
      <c r="AH2709" s="48"/>
      <c r="AI2709" s="48"/>
      <c r="AJ2709" s="48"/>
      <c r="AK2709" s="48"/>
      <c r="AL2709" s="48"/>
      <c r="AM2709" s="48"/>
      <c r="AN2709" s="48"/>
      <c r="AO2709" s="48"/>
      <c r="AP2709" s="48"/>
      <c r="AQ2709" s="48"/>
      <c r="AR2709" s="48"/>
      <c r="AS2709" s="48"/>
      <c r="AT2709" s="48"/>
      <c r="AU2709" s="48"/>
      <c r="AV2709" s="48"/>
      <c r="AW2709" s="48"/>
      <c r="AX2709" s="48"/>
      <c r="AY2709" s="48"/>
      <c r="AZ2709" s="48"/>
      <c r="BA2709" s="48"/>
      <c r="BB2709" s="48"/>
      <c r="BC2709" s="48"/>
      <c r="BD2709" s="48"/>
    </row>
    <row r="2710" spans="1:56">
      <c r="A2710" s="48"/>
      <c r="B2710" s="48"/>
      <c r="C2710" s="49"/>
      <c r="D2710" s="48"/>
      <c r="E2710" s="48"/>
      <c r="F2710" s="48"/>
      <c r="G2710" s="48"/>
      <c r="H2710" s="48"/>
      <c r="I2710" s="48"/>
      <c r="J2710" s="86"/>
      <c r="K2710" s="86"/>
      <c r="L2710" s="86"/>
      <c r="M2710" s="86"/>
      <c r="N2710" s="86"/>
      <c r="O2710" s="86"/>
      <c r="P2710" s="86"/>
      <c r="Q2710" s="86"/>
      <c r="R2710" s="86"/>
      <c r="S2710" s="86"/>
      <c r="T2710" s="86"/>
      <c r="U2710" s="86"/>
      <c r="V2710" s="48"/>
      <c r="W2710" s="48"/>
      <c r="X2710" s="48"/>
      <c r="Y2710" s="48"/>
      <c r="Z2710" s="48"/>
      <c r="AA2710" s="48"/>
      <c r="AB2710" s="48"/>
      <c r="AC2710" s="48"/>
      <c r="AD2710" s="48"/>
      <c r="AE2710" s="48"/>
      <c r="AF2710" s="48"/>
      <c r="AG2710" s="48"/>
      <c r="AH2710" s="48"/>
      <c r="AI2710" s="48"/>
      <c r="AJ2710" s="48"/>
      <c r="AK2710" s="48"/>
      <c r="AL2710" s="48"/>
      <c r="AM2710" s="48"/>
      <c r="AN2710" s="48"/>
      <c r="AO2710" s="48"/>
      <c r="AP2710" s="48"/>
      <c r="AQ2710" s="48"/>
      <c r="AR2710" s="48"/>
      <c r="AS2710" s="48"/>
      <c r="AT2710" s="48"/>
      <c r="AU2710" s="48"/>
      <c r="AV2710" s="48"/>
      <c r="AW2710" s="48"/>
      <c r="AX2710" s="48"/>
      <c r="AY2710" s="48"/>
      <c r="AZ2710" s="48"/>
      <c r="BA2710" s="48"/>
      <c r="BB2710" s="48"/>
      <c r="BC2710" s="48"/>
      <c r="BD2710" s="48"/>
    </row>
    <row r="2711" spans="1:56">
      <c r="A2711" s="48"/>
      <c r="B2711" s="48"/>
      <c r="C2711" s="49"/>
      <c r="D2711" s="48"/>
      <c r="E2711" s="48"/>
      <c r="F2711" s="48"/>
      <c r="G2711" s="48"/>
      <c r="H2711" s="48"/>
      <c r="I2711" s="48"/>
      <c r="J2711" s="86"/>
      <c r="K2711" s="86"/>
      <c r="L2711" s="86"/>
      <c r="M2711" s="86"/>
      <c r="N2711" s="86"/>
      <c r="O2711" s="86"/>
      <c r="P2711" s="86"/>
      <c r="Q2711" s="86"/>
      <c r="R2711" s="86"/>
      <c r="S2711" s="86"/>
      <c r="T2711" s="86"/>
      <c r="U2711" s="86"/>
      <c r="V2711" s="48"/>
      <c r="W2711" s="48"/>
      <c r="X2711" s="48"/>
      <c r="Y2711" s="48"/>
      <c r="Z2711" s="48"/>
      <c r="AA2711" s="48"/>
      <c r="AB2711" s="48"/>
      <c r="AC2711" s="48"/>
      <c r="AD2711" s="48"/>
      <c r="AE2711" s="48"/>
      <c r="AF2711" s="48"/>
      <c r="AG2711" s="48"/>
      <c r="AH2711" s="48"/>
      <c r="AI2711" s="48"/>
      <c r="AJ2711" s="48"/>
      <c r="AK2711" s="48"/>
      <c r="AL2711" s="48"/>
      <c r="AM2711" s="48"/>
      <c r="AN2711" s="48"/>
      <c r="AO2711" s="48"/>
      <c r="AP2711" s="48"/>
      <c r="AQ2711" s="48"/>
      <c r="AR2711" s="48"/>
      <c r="AS2711" s="48"/>
      <c r="AT2711" s="48"/>
      <c r="AU2711" s="48"/>
      <c r="AV2711" s="48"/>
      <c r="AW2711" s="48"/>
      <c r="AX2711" s="48"/>
      <c r="AY2711" s="48"/>
      <c r="AZ2711" s="48"/>
      <c r="BA2711" s="48"/>
      <c r="BB2711" s="48"/>
      <c r="BC2711" s="48"/>
      <c r="BD2711" s="48"/>
    </row>
    <row r="2712" spans="1:56">
      <c r="A2712" s="48"/>
      <c r="B2712" s="48"/>
      <c r="C2712" s="49"/>
      <c r="D2712" s="48"/>
      <c r="E2712" s="48"/>
      <c r="F2712" s="48"/>
      <c r="G2712" s="48"/>
      <c r="H2712" s="48"/>
      <c r="I2712" s="48"/>
      <c r="J2712" s="86"/>
      <c r="K2712" s="86"/>
      <c r="L2712" s="86"/>
      <c r="M2712" s="86"/>
      <c r="N2712" s="86"/>
      <c r="O2712" s="86"/>
      <c r="P2712" s="86"/>
      <c r="Q2712" s="86"/>
      <c r="R2712" s="86"/>
      <c r="S2712" s="86"/>
      <c r="T2712" s="86"/>
      <c r="U2712" s="86"/>
      <c r="V2712" s="48"/>
      <c r="W2712" s="48"/>
      <c r="X2712" s="48"/>
      <c r="Y2712" s="48"/>
      <c r="Z2712" s="48"/>
      <c r="AA2712" s="48"/>
      <c r="AB2712" s="48"/>
      <c r="AC2712" s="48"/>
      <c r="AD2712" s="48"/>
      <c r="AE2712" s="48"/>
      <c r="AF2712" s="48"/>
      <c r="AG2712" s="48"/>
      <c r="AH2712" s="48"/>
      <c r="AI2712" s="48"/>
      <c r="AJ2712" s="48"/>
      <c r="AK2712" s="48"/>
      <c r="AL2712" s="48"/>
      <c r="AM2712" s="48"/>
      <c r="AN2712" s="48"/>
      <c r="AO2712" s="48"/>
      <c r="AP2712" s="48"/>
      <c r="AQ2712" s="48"/>
      <c r="AR2712" s="48"/>
      <c r="AS2712" s="48"/>
      <c r="AT2712" s="48"/>
      <c r="AU2712" s="48"/>
      <c r="AV2712" s="48"/>
      <c r="AW2712" s="48"/>
      <c r="AX2712" s="48"/>
      <c r="AY2712" s="48"/>
      <c r="AZ2712" s="48"/>
      <c r="BA2712" s="48"/>
      <c r="BB2712" s="48"/>
      <c r="BC2712" s="48"/>
      <c r="BD2712" s="48"/>
    </row>
    <row r="2713" spans="1:56">
      <c r="A2713" s="48"/>
      <c r="B2713" s="48"/>
      <c r="C2713" s="49"/>
      <c r="D2713" s="48"/>
      <c r="E2713" s="48"/>
      <c r="F2713" s="48"/>
      <c r="G2713" s="48"/>
      <c r="H2713" s="48"/>
      <c r="I2713" s="48"/>
      <c r="J2713" s="86"/>
      <c r="K2713" s="86"/>
      <c r="L2713" s="86"/>
      <c r="M2713" s="86"/>
      <c r="N2713" s="86"/>
      <c r="O2713" s="86"/>
      <c r="P2713" s="86"/>
      <c r="Q2713" s="86"/>
      <c r="R2713" s="86"/>
      <c r="S2713" s="86"/>
      <c r="T2713" s="86"/>
      <c r="U2713" s="86"/>
      <c r="V2713" s="48"/>
      <c r="W2713" s="48"/>
      <c r="X2713" s="48"/>
      <c r="Y2713" s="48"/>
      <c r="Z2713" s="48"/>
      <c r="AA2713" s="48"/>
      <c r="AB2713" s="48"/>
      <c r="AC2713" s="48"/>
      <c r="AD2713" s="48"/>
      <c r="AE2713" s="48"/>
      <c r="AF2713" s="48"/>
      <c r="AG2713" s="48"/>
      <c r="AH2713" s="48"/>
      <c r="AI2713" s="48"/>
      <c r="AJ2713" s="48"/>
      <c r="AK2713" s="48"/>
      <c r="AL2713" s="48"/>
      <c r="AM2713" s="48"/>
      <c r="AN2713" s="48"/>
      <c r="AO2713" s="48"/>
      <c r="AP2713" s="48"/>
      <c r="AQ2713" s="48"/>
      <c r="AR2713" s="48"/>
      <c r="AS2713" s="48"/>
      <c r="AT2713" s="48"/>
      <c r="AU2713" s="48"/>
      <c r="AV2713" s="48"/>
      <c r="AW2713" s="48"/>
      <c r="AX2713" s="48"/>
      <c r="AY2713" s="48"/>
      <c r="AZ2713" s="48"/>
      <c r="BA2713" s="48"/>
      <c r="BB2713" s="48"/>
      <c r="BC2713" s="48"/>
      <c r="BD2713" s="48"/>
    </row>
    <row r="2714" spans="1:56">
      <c r="A2714" s="48"/>
      <c r="B2714" s="48"/>
      <c r="C2714" s="49"/>
      <c r="D2714" s="48"/>
      <c r="E2714" s="48"/>
      <c r="F2714" s="48"/>
      <c r="G2714" s="48"/>
      <c r="H2714" s="48"/>
      <c r="I2714" s="48"/>
      <c r="J2714" s="86"/>
      <c r="K2714" s="86"/>
      <c r="L2714" s="86"/>
      <c r="M2714" s="86"/>
      <c r="N2714" s="86"/>
      <c r="O2714" s="86"/>
      <c r="P2714" s="86"/>
      <c r="Q2714" s="86"/>
      <c r="R2714" s="86"/>
      <c r="S2714" s="86"/>
      <c r="T2714" s="86"/>
      <c r="U2714" s="86"/>
      <c r="V2714" s="48"/>
      <c r="W2714" s="48"/>
      <c r="X2714" s="48"/>
      <c r="Y2714" s="48"/>
      <c r="Z2714" s="48"/>
      <c r="AA2714" s="48"/>
      <c r="AB2714" s="48"/>
      <c r="AC2714" s="48"/>
      <c r="AD2714" s="48"/>
      <c r="AE2714" s="48"/>
      <c r="AF2714" s="48"/>
      <c r="AG2714" s="48"/>
      <c r="AH2714" s="48"/>
      <c r="AI2714" s="48"/>
      <c r="AJ2714" s="48"/>
      <c r="AK2714" s="48"/>
      <c r="AL2714" s="48"/>
      <c r="AM2714" s="48"/>
      <c r="AN2714" s="48"/>
      <c r="AO2714" s="48"/>
      <c r="AP2714" s="48"/>
      <c r="AQ2714" s="48"/>
      <c r="AR2714" s="48"/>
      <c r="AS2714" s="48"/>
      <c r="AT2714" s="48"/>
      <c r="AU2714" s="48"/>
      <c r="AV2714" s="48"/>
      <c r="AW2714" s="48"/>
      <c r="AX2714" s="48"/>
      <c r="AY2714" s="48"/>
      <c r="AZ2714" s="48"/>
      <c r="BA2714" s="48"/>
      <c r="BB2714" s="48"/>
      <c r="BC2714" s="48"/>
      <c r="BD2714" s="48"/>
    </row>
    <row r="2715" spans="1:56">
      <c r="A2715" s="48"/>
      <c r="B2715" s="48"/>
      <c r="C2715" s="49"/>
      <c r="D2715" s="48"/>
      <c r="E2715" s="48"/>
      <c r="F2715" s="48"/>
      <c r="G2715" s="48"/>
      <c r="H2715" s="48"/>
      <c r="I2715" s="48"/>
      <c r="J2715" s="86"/>
      <c r="K2715" s="86"/>
      <c r="L2715" s="86"/>
      <c r="M2715" s="86"/>
      <c r="N2715" s="86"/>
      <c r="O2715" s="86"/>
      <c r="P2715" s="86"/>
      <c r="Q2715" s="86"/>
      <c r="R2715" s="86"/>
      <c r="S2715" s="86"/>
      <c r="T2715" s="86"/>
      <c r="U2715" s="86"/>
      <c r="V2715" s="48"/>
      <c r="W2715" s="48"/>
      <c r="X2715" s="48"/>
      <c r="Y2715" s="48"/>
      <c r="Z2715" s="48"/>
      <c r="AA2715" s="48"/>
      <c r="AB2715" s="48"/>
      <c r="AC2715" s="48"/>
      <c r="AD2715" s="48"/>
      <c r="AE2715" s="48"/>
      <c r="AF2715" s="48"/>
      <c r="AG2715" s="48"/>
      <c r="AH2715" s="48"/>
      <c r="AI2715" s="48"/>
      <c r="AJ2715" s="48"/>
      <c r="AK2715" s="48"/>
      <c r="AL2715" s="48"/>
      <c r="AM2715" s="48"/>
      <c r="AN2715" s="48"/>
      <c r="AO2715" s="48"/>
      <c r="AP2715" s="48"/>
      <c r="AQ2715" s="48"/>
      <c r="AR2715" s="48"/>
      <c r="AS2715" s="48"/>
      <c r="AT2715" s="48"/>
      <c r="AU2715" s="48"/>
      <c r="AV2715" s="48"/>
      <c r="AW2715" s="48"/>
      <c r="AX2715" s="48"/>
      <c r="AY2715" s="48"/>
      <c r="AZ2715" s="48"/>
      <c r="BA2715" s="48"/>
      <c r="BB2715" s="48"/>
      <c r="BC2715" s="48"/>
      <c r="BD2715" s="48"/>
    </row>
    <row r="2716" spans="1:56">
      <c r="A2716" s="48"/>
      <c r="B2716" s="48"/>
      <c r="C2716" s="49"/>
      <c r="D2716" s="48"/>
      <c r="E2716" s="48"/>
      <c r="F2716" s="48"/>
      <c r="G2716" s="48"/>
      <c r="H2716" s="48"/>
      <c r="I2716" s="48"/>
      <c r="J2716" s="86"/>
      <c r="K2716" s="86"/>
      <c r="L2716" s="86"/>
      <c r="M2716" s="86"/>
      <c r="N2716" s="86"/>
      <c r="O2716" s="86"/>
      <c r="P2716" s="86"/>
      <c r="Q2716" s="86"/>
      <c r="R2716" s="86"/>
      <c r="S2716" s="86"/>
      <c r="T2716" s="86"/>
      <c r="U2716" s="86"/>
      <c r="V2716" s="48"/>
      <c r="W2716" s="48"/>
      <c r="X2716" s="48"/>
      <c r="Y2716" s="48"/>
      <c r="Z2716" s="48"/>
      <c r="AA2716" s="48"/>
      <c r="AB2716" s="48"/>
      <c r="AC2716" s="48"/>
      <c r="AD2716" s="48"/>
      <c r="AE2716" s="48"/>
      <c r="AF2716" s="48"/>
      <c r="AG2716" s="48"/>
      <c r="AH2716" s="48"/>
      <c r="AI2716" s="48"/>
      <c r="AJ2716" s="48"/>
      <c r="AK2716" s="48"/>
      <c r="AL2716" s="48"/>
      <c r="AM2716" s="48"/>
      <c r="AN2716" s="48"/>
      <c r="AO2716" s="48"/>
      <c r="AP2716" s="48"/>
      <c r="AQ2716" s="48"/>
      <c r="AR2716" s="48"/>
      <c r="AS2716" s="48"/>
      <c r="AT2716" s="48"/>
      <c r="AU2716" s="48"/>
      <c r="AV2716" s="48"/>
      <c r="AW2716" s="48"/>
      <c r="AX2716" s="48"/>
      <c r="AY2716" s="48"/>
      <c r="AZ2716" s="48"/>
      <c r="BA2716" s="48"/>
      <c r="BB2716" s="48"/>
      <c r="BC2716" s="48"/>
      <c r="BD2716" s="48"/>
    </row>
    <row r="2717" spans="1:56">
      <c r="A2717" s="48"/>
      <c r="B2717" s="48"/>
      <c r="C2717" s="49"/>
      <c r="D2717" s="48"/>
      <c r="E2717" s="48"/>
      <c r="F2717" s="48"/>
      <c r="G2717" s="48"/>
      <c r="H2717" s="48"/>
      <c r="I2717" s="48"/>
      <c r="J2717" s="86"/>
      <c r="K2717" s="86"/>
      <c r="L2717" s="86"/>
      <c r="M2717" s="86"/>
      <c r="N2717" s="86"/>
      <c r="O2717" s="86"/>
      <c r="P2717" s="86"/>
      <c r="Q2717" s="86"/>
      <c r="R2717" s="86"/>
      <c r="S2717" s="86"/>
      <c r="T2717" s="86"/>
      <c r="U2717" s="86"/>
      <c r="V2717" s="48"/>
      <c r="W2717" s="48"/>
      <c r="X2717" s="48"/>
      <c r="Y2717" s="48"/>
      <c r="Z2717" s="48"/>
      <c r="AA2717" s="48"/>
      <c r="AB2717" s="48"/>
      <c r="AC2717" s="48"/>
      <c r="AD2717" s="48"/>
      <c r="AE2717" s="48"/>
      <c r="AF2717" s="48"/>
      <c r="AG2717" s="48"/>
      <c r="AH2717" s="48"/>
      <c r="AI2717" s="48"/>
      <c r="AJ2717" s="48"/>
      <c r="AK2717" s="48"/>
      <c r="AL2717" s="48"/>
      <c r="AM2717" s="48"/>
      <c r="AN2717" s="48"/>
      <c r="AO2717" s="48"/>
      <c r="AP2717" s="48"/>
      <c r="AQ2717" s="48"/>
      <c r="AR2717" s="48"/>
      <c r="AS2717" s="48"/>
      <c r="AT2717" s="48"/>
      <c r="AU2717" s="48"/>
      <c r="AV2717" s="48"/>
      <c r="AW2717" s="48"/>
      <c r="AX2717" s="48"/>
      <c r="AY2717" s="48"/>
      <c r="AZ2717" s="48"/>
      <c r="BA2717" s="48"/>
      <c r="BB2717" s="48"/>
      <c r="BC2717" s="48"/>
      <c r="BD2717" s="48"/>
    </row>
    <row r="2718" spans="1:56">
      <c r="A2718" s="48"/>
      <c r="B2718" s="48"/>
      <c r="C2718" s="49"/>
      <c r="D2718" s="48"/>
      <c r="E2718" s="48"/>
      <c r="F2718" s="48"/>
      <c r="G2718" s="48"/>
      <c r="H2718" s="48"/>
      <c r="I2718" s="48"/>
      <c r="J2718" s="86"/>
      <c r="K2718" s="86"/>
      <c r="L2718" s="86"/>
      <c r="M2718" s="86"/>
      <c r="N2718" s="86"/>
      <c r="O2718" s="86"/>
      <c r="P2718" s="86"/>
      <c r="Q2718" s="86"/>
      <c r="R2718" s="86"/>
      <c r="S2718" s="86"/>
      <c r="T2718" s="86"/>
      <c r="U2718" s="86"/>
      <c r="V2718" s="48"/>
      <c r="W2718" s="48"/>
      <c r="X2718" s="48"/>
      <c r="Y2718" s="48"/>
      <c r="Z2718" s="48"/>
      <c r="AA2718" s="48"/>
      <c r="AB2718" s="48"/>
      <c r="AC2718" s="48"/>
      <c r="AD2718" s="48"/>
      <c r="AE2718" s="48"/>
      <c r="AF2718" s="48"/>
      <c r="AG2718" s="48"/>
      <c r="AH2718" s="48"/>
      <c r="AI2718" s="48"/>
      <c r="AJ2718" s="48"/>
      <c r="AK2718" s="48"/>
      <c r="AL2718" s="48"/>
      <c r="AM2718" s="48"/>
      <c r="AN2718" s="48"/>
      <c r="AO2718" s="48"/>
      <c r="AP2718" s="48"/>
      <c r="AQ2718" s="48"/>
      <c r="AR2718" s="48"/>
      <c r="AS2718" s="48"/>
      <c r="AT2718" s="48"/>
      <c r="AU2718" s="48"/>
      <c r="AV2718" s="48"/>
      <c r="AW2718" s="48"/>
      <c r="AX2718" s="48"/>
      <c r="AY2718" s="48"/>
      <c r="AZ2718" s="48"/>
      <c r="BA2718" s="48"/>
      <c r="BB2718" s="48"/>
      <c r="BC2718" s="48"/>
      <c r="BD2718" s="48"/>
    </row>
    <row r="2719" spans="1:56">
      <c r="A2719" s="48"/>
      <c r="B2719" s="48"/>
      <c r="C2719" s="49"/>
      <c r="D2719" s="48"/>
      <c r="E2719" s="48"/>
      <c r="F2719" s="48"/>
      <c r="G2719" s="48"/>
      <c r="H2719" s="48"/>
      <c r="I2719" s="48"/>
      <c r="J2719" s="86"/>
      <c r="K2719" s="86"/>
      <c r="L2719" s="86"/>
      <c r="M2719" s="86"/>
      <c r="N2719" s="86"/>
      <c r="O2719" s="86"/>
      <c r="P2719" s="86"/>
      <c r="Q2719" s="86"/>
      <c r="R2719" s="86"/>
      <c r="S2719" s="86"/>
      <c r="T2719" s="86"/>
      <c r="U2719" s="86"/>
      <c r="V2719" s="48"/>
      <c r="W2719" s="48"/>
      <c r="X2719" s="48"/>
      <c r="Y2719" s="48"/>
      <c r="Z2719" s="48"/>
      <c r="AA2719" s="48"/>
      <c r="AB2719" s="48"/>
      <c r="AC2719" s="48"/>
      <c r="AD2719" s="48"/>
      <c r="AE2719" s="48"/>
      <c r="AF2719" s="48"/>
      <c r="AG2719" s="48"/>
      <c r="AH2719" s="48"/>
      <c r="AI2719" s="48"/>
      <c r="AJ2719" s="48"/>
      <c r="AK2719" s="48"/>
      <c r="AL2719" s="48"/>
      <c r="AM2719" s="48"/>
      <c r="AN2719" s="48"/>
      <c r="AO2719" s="48"/>
      <c r="AP2719" s="48"/>
      <c r="AQ2719" s="48"/>
      <c r="AR2719" s="48"/>
      <c r="AS2719" s="48"/>
      <c r="AT2719" s="48"/>
      <c r="AU2719" s="48"/>
      <c r="AV2719" s="48"/>
      <c r="AW2719" s="48"/>
      <c r="AX2719" s="48"/>
      <c r="AY2719" s="48"/>
      <c r="AZ2719" s="48"/>
      <c r="BA2719" s="48"/>
      <c r="BB2719" s="48"/>
      <c r="BC2719" s="48"/>
      <c r="BD2719" s="48"/>
    </row>
    <row r="2720" spans="1:56">
      <c r="A2720" s="48"/>
      <c r="B2720" s="48"/>
      <c r="C2720" s="49"/>
      <c r="D2720" s="48"/>
      <c r="E2720" s="48"/>
      <c r="F2720" s="48"/>
      <c r="G2720" s="48"/>
      <c r="H2720" s="48"/>
      <c r="I2720" s="48"/>
      <c r="J2720" s="86"/>
      <c r="K2720" s="86"/>
      <c r="L2720" s="86"/>
      <c r="M2720" s="86"/>
      <c r="N2720" s="86"/>
      <c r="O2720" s="86"/>
      <c r="P2720" s="86"/>
      <c r="Q2720" s="86"/>
      <c r="R2720" s="86"/>
      <c r="S2720" s="86"/>
      <c r="T2720" s="86"/>
      <c r="U2720" s="86"/>
      <c r="V2720" s="48"/>
      <c r="W2720" s="48"/>
      <c r="X2720" s="48"/>
      <c r="Y2720" s="48"/>
      <c r="Z2720" s="48"/>
      <c r="AA2720" s="48"/>
      <c r="AB2720" s="48"/>
      <c r="AC2720" s="48"/>
      <c r="AD2720" s="48"/>
      <c r="AE2720" s="48"/>
      <c r="AF2720" s="48"/>
      <c r="AG2720" s="48"/>
      <c r="AH2720" s="48"/>
      <c r="AI2720" s="48"/>
      <c r="AJ2720" s="48"/>
      <c r="AK2720" s="48"/>
      <c r="AL2720" s="48"/>
      <c r="AM2720" s="48"/>
      <c r="AN2720" s="48"/>
      <c r="AO2720" s="48"/>
      <c r="AP2720" s="48"/>
      <c r="AQ2720" s="48"/>
      <c r="AR2720" s="48"/>
      <c r="AS2720" s="48"/>
      <c r="AT2720" s="48"/>
      <c r="AU2720" s="48"/>
      <c r="AV2720" s="48"/>
      <c r="AW2720" s="48"/>
      <c r="AX2720" s="48"/>
      <c r="AY2720" s="48"/>
      <c r="AZ2720" s="48"/>
      <c r="BA2720" s="48"/>
      <c r="BB2720" s="48"/>
      <c r="BC2720" s="48"/>
      <c r="BD2720" s="48"/>
    </row>
    <row r="2721" spans="1:56">
      <c r="A2721" s="48"/>
      <c r="B2721" s="48"/>
      <c r="C2721" s="49"/>
      <c r="D2721" s="48"/>
      <c r="E2721" s="48"/>
      <c r="F2721" s="48"/>
      <c r="G2721" s="48"/>
      <c r="H2721" s="48"/>
      <c r="I2721" s="48"/>
      <c r="J2721" s="86"/>
      <c r="K2721" s="86"/>
      <c r="L2721" s="86"/>
      <c r="M2721" s="86"/>
      <c r="N2721" s="86"/>
      <c r="O2721" s="86"/>
      <c r="P2721" s="86"/>
      <c r="Q2721" s="86"/>
      <c r="R2721" s="86"/>
      <c r="S2721" s="86"/>
      <c r="T2721" s="86"/>
      <c r="U2721" s="86"/>
      <c r="V2721" s="48"/>
      <c r="W2721" s="48"/>
      <c r="X2721" s="48"/>
      <c r="Y2721" s="48"/>
      <c r="Z2721" s="48"/>
      <c r="AA2721" s="48"/>
      <c r="AB2721" s="48"/>
      <c r="AC2721" s="48"/>
      <c r="AD2721" s="48"/>
      <c r="AE2721" s="48"/>
      <c r="AF2721" s="48"/>
      <c r="AG2721" s="48"/>
      <c r="AH2721" s="48"/>
      <c r="AI2721" s="48"/>
      <c r="AJ2721" s="48"/>
      <c r="AK2721" s="48"/>
      <c r="AL2721" s="48"/>
      <c r="AM2721" s="48"/>
      <c r="AN2721" s="48"/>
      <c r="AO2721" s="48"/>
      <c r="AP2721" s="48"/>
      <c r="AQ2721" s="48"/>
      <c r="AR2721" s="48"/>
      <c r="AS2721" s="48"/>
      <c r="AT2721" s="48"/>
      <c r="AU2721" s="48"/>
      <c r="AV2721" s="48"/>
      <c r="AW2721" s="48"/>
      <c r="AX2721" s="48"/>
      <c r="AY2721" s="48"/>
      <c r="AZ2721" s="48"/>
      <c r="BA2721" s="48"/>
      <c r="BB2721" s="48"/>
      <c r="BC2721" s="48"/>
      <c r="BD2721" s="48"/>
    </row>
    <row r="2722" spans="1:56">
      <c r="A2722" s="48"/>
      <c r="B2722" s="48"/>
      <c r="C2722" s="49"/>
      <c r="D2722" s="48"/>
      <c r="E2722" s="48"/>
      <c r="F2722" s="48"/>
      <c r="G2722" s="48"/>
      <c r="H2722" s="48"/>
      <c r="I2722" s="48"/>
      <c r="J2722" s="86"/>
      <c r="K2722" s="86"/>
      <c r="L2722" s="86"/>
      <c r="M2722" s="86"/>
      <c r="N2722" s="86"/>
      <c r="O2722" s="86"/>
      <c r="P2722" s="86"/>
      <c r="Q2722" s="86"/>
      <c r="R2722" s="86"/>
      <c r="S2722" s="86"/>
      <c r="T2722" s="86"/>
      <c r="U2722" s="86"/>
      <c r="V2722" s="48"/>
      <c r="W2722" s="48"/>
      <c r="X2722" s="48"/>
      <c r="Y2722" s="48"/>
      <c r="Z2722" s="48"/>
      <c r="AA2722" s="48"/>
      <c r="AB2722" s="48"/>
      <c r="AC2722" s="48"/>
      <c r="AD2722" s="48"/>
      <c r="AE2722" s="48"/>
      <c r="AF2722" s="48"/>
      <c r="AG2722" s="48"/>
      <c r="AH2722" s="48"/>
      <c r="AI2722" s="48"/>
      <c r="AJ2722" s="48"/>
      <c r="AK2722" s="48"/>
      <c r="AL2722" s="48"/>
      <c r="AM2722" s="48"/>
      <c r="AN2722" s="48"/>
      <c r="AO2722" s="48"/>
      <c r="AP2722" s="48"/>
      <c r="AQ2722" s="48"/>
      <c r="AR2722" s="48"/>
      <c r="AS2722" s="48"/>
      <c r="AT2722" s="48"/>
      <c r="AU2722" s="48"/>
      <c r="AV2722" s="48"/>
      <c r="AW2722" s="48"/>
      <c r="AX2722" s="48"/>
      <c r="AY2722" s="48"/>
      <c r="AZ2722" s="48"/>
      <c r="BA2722" s="48"/>
      <c r="BB2722" s="48"/>
      <c r="BC2722" s="48"/>
      <c r="BD2722" s="48"/>
    </row>
    <row r="2723" spans="1:56">
      <c r="A2723" s="48"/>
      <c r="B2723" s="48"/>
      <c r="C2723" s="49"/>
      <c r="D2723" s="48"/>
      <c r="E2723" s="48"/>
      <c r="F2723" s="48"/>
      <c r="G2723" s="48"/>
      <c r="H2723" s="48"/>
      <c r="I2723" s="48"/>
      <c r="J2723" s="86"/>
      <c r="K2723" s="86"/>
      <c r="L2723" s="86"/>
      <c r="M2723" s="86"/>
      <c r="N2723" s="86"/>
      <c r="O2723" s="86"/>
      <c r="P2723" s="86"/>
      <c r="Q2723" s="86"/>
      <c r="R2723" s="86"/>
      <c r="S2723" s="86"/>
      <c r="T2723" s="86"/>
      <c r="U2723" s="86"/>
      <c r="V2723" s="48"/>
      <c r="W2723" s="48"/>
      <c r="X2723" s="48"/>
      <c r="Y2723" s="48"/>
      <c r="Z2723" s="48"/>
      <c r="AA2723" s="48"/>
      <c r="AB2723" s="48"/>
      <c r="AC2723" s="48"/>
      <c r="AD2723" s="48"/>
      <c r="AE2723" s="48"/>
      <c r="AF2723" s="48"/>
      <c r="AG2723" s="48"/>
      <c r="AH2723" s="48"/>
      <c r="AI2723" s="48"/>
      <c r="AJ2723" s="48"/>
      <c r="AK2723" s="48"/>
      <c r="AL2723" s="48"/>
      <c r="AM2723" s="48"/>
      <c r="AN2723" s="48"/>
      <c r="AO2723" s="48"/>
      <c r="AP2723" s="48"/>
      <c r="AQ2723" s="48"/>
      <c r="AR2723" s="48"/>
      <c r="AS2723" s="48"/>
      <c r="AT2723" s="48"/>
      <c r="AU2723" s="48"/>
      <c r="AV2723" s="48"/>
      <c r="AW2723" s="48"/>
      <c r="AX2723" s="48"/>
      <c r="AY2723" s="48"/>
      <c r="AZ2723" s="48"/>
      <c r="BA2723" s="48"/>
      <c r="BB2723" s="48"/>
      <c r="BC2723" s="48"/>
      <c r="BD2723" s="48"/>
    </row>
    <row r="2724" spans="1:56">
      <c r="A2724" s="48"/>
      <c r="B2724" s="48"/>
      <c r="C2724" s="49"/>
      <c r="D2724" s="48"/>
      <c r="E2724" s="48"/>
      <c r="F2724" s="48"/>
      <c r="G2724" s="48"/>
      <c r="H2724" s="48"/>
      <c r="I2724" s="48"/>
      <c r="J2724" s="86"/>
      <c r="K2724" s="86"/>
      <c r="L2724" s="86"/>
      <c r="M2724" s="86"/>
      <c r="N2724" s="86"/>
      <c r="O2724" s="86"/>
      <c r="P2724" s="86"/>
      <c r="Q2724" s="86"/>
      <c r="R2724" s="86"/>
      <c r="S2724" s="86"/>
      <c r="T2724" s="86"/>
      <c r="U2724" s="86"/>
      <c r="V2724" s="48"/>
      <c r="W2724" s="48"/>
      <c r="X2724" s="48"/>
      <c r="Y2724" s="48"/>
      <c r="Z2724" s="48"/>
      <c r="AA2724" s="48"/>
      <c r="AB2724" s="48"/>
      <c r="AC2724" s="48"/>
      <c r="AD2724" s="48"/>
      <c r="AE2724" s="48"/>
      <c r="AF2724" s="48"/>
      <c r="AG2724" s="48"/>
      <c r="AH2724" s="48"/>
      <c r="AI2724" s="48"/>
      <c r="AJ2724" s="48"/>
      <c r="AK2724" s="48"/>
      <c r="AL2724" s="48"/>
      <c r="AM2724" s="48"/>
      <c r="AN2724" s="48"/>
      <c r="AO2724" s="48"/>
      <c r="AP2724" s="48"/>
      <c r="AQ2724" s="48"/>
      <c r="AR2724" s="48"/>
      <c r="AS2724" s="48"/>
      <c r="AT2724" s="48"/>
      <c r="AU2724" s="48"/>
      <c r="AV2724" s="48"/>
      <c r="AW2724" s="48"/>
      <c r="AX2724" s="48"/>
      <c r="AY2724" s="48"/>
      <c r="AZ2724" s="48"/>
      <c r="BA2724" s="48"/>
      <c r="BB2724" s="48"/>
      <c r="BC2724" s="48"/>
      <c r="BD2724" s="48"/>
    </row>
    <row r="2725" spans="1:56">
      <c r="A2725" s="48"/>
      <c r="B2725" s="48"/>
      <c r="C2725" s="49"/>
      <c r="D2725" s="48"/>
      <c r="E2725" s="48"/>
      <c r="F2725" s="48"/>
      <c r="G2725" s="48"/>
      <c r="H2725" s="48"/>
      <c r="I2725" s="48"/>
      <c r="J2725" s="86"/>
      <c r="K2725" s="86"/>
      <c r="L2725" s="86"/>
      <c r="M2725" s="86"/>
      <c r="N2725" s="86"/>
      <c r="O2725" s="86"/>
      <c r="P2725" s="86"/>
      <c r="Q2725" s="86"/>
      <c r="R2725" s="86"/>
      <c r="S2725" s="86"/>
      <c r="T2725" s="86"/>
      <c r="U2725" s="86"/>
      <c r="V2725" s="48"/>
      <c r="W2725" s="48"/>
      <c r="X2725" s="48"/>
      <c r="Y2725" s="48"/>
      <c r="Z2725" s="48"/>
      <c r="AA2725" s="48"/>
      <c r="AB2725" s="48"/>
      <c r="AC2725" s="48"/>
      <c r="AD2725" s="48"/>
      <c r="AE2725" s="48"/>
      <c r="AF2725" s="48"/>
      <c r="AG2725" s="48"/>
      <c r="AH2725" s="48"/>
      <c r="AI2725" s="48"/>
      <c r="AJ2725" s="48"/>
      <c r="AK2725" s="48"/>
      <c r="AL2725" s="48"/>
      <c r="AM2725" s="48"/>
      <c r="AN2725" s="48"/>
      <c r="AO2725" s="48"/>
      <c r="AP2725" s="48"/>
      <c r="AQ2725" s="48"/>
      <c r="AR2725" s="48"/>
      <c r="AS2725" s="48"/>
      <c r="AT2725" s="48"/>
      <c r="AU2725" s="48"/>
      <c r="AV2725" s="48"/>
      <c r="AW2725" s="48"/>
      <c r="AX2725" s="48"/>
      <c r="AY2725" s="48"/>
      <c r="AZ2725" s="48"/>
      <c r="BA2725" s="48"/>
      <c r="BB2725" s="48"/>
      <c r="BC2725" s="48"/>
      <c r="BD2725" s="48"/>
    </row>
    <row r="2726" spans="1:56">
      <c r="A2726" s="48"/>
      <c r="B2726" s="48"/>
      <c r="C2726" s="49"/>
      <c r="D2726" s="48"/>
      <c r="E2726" s="48"/>
      <c r="F2726" s="48"/>
      <c r="G2726" s="48"/>
      <c r="H2726" s="48"/>
      <c r="I2726" s="48"/>
      <c r="J2726" s="86"/>
      <c r="K2726" s="86"/>
      <c r="L2726" s="86"/>
      <c r="M2726" s="86"/>
      <c r="N2726" s="86"/>
      <c r="O2726" s="86"/>
      <c r="P2726" s="86"/>
      <c r="Q2726" s="86"/>
      <c r="R2726" s="86"/>
      <c r="S2726" s="86"/>
      <c r="T2726" s="86"/>
      <c r="U2726" s="86"/>
      <c r="V2726" s="48"/>
      <c r="W2726" s="48"/>
      <c r="X2726" s="48"/>
      <c r="Y2726" s="48"/>
      <c r="Z2726" s="48"/>
      <c r="AA2726" s="48"/>
      <c r="AB2726" s="48"/>
      <c r="AC2726" s="48"/>
      <c r="AD2726" s="48"/>
      <c r="AE2726" s="48"/>
      <c r="AF2726" s="48"/>
      <c r="AG2726" s="48"/>
      <c r="AH2726" s="48"/>
      <c r="AI2726" s="48"/>
      <c r="AJ2726" s="48"/>
      <c r="AK2726" s="48"/>
      <c r="AL2726" s="48"/>
      <c r="AM2726" s="48"/>
      <c r="AN2726" s="48"/>
      <c r="AO2726" s="48"/>
      <c r="AP2726" s="48"/>
      <c r="AQ2726" s="48"/>
      <c r="AR2726" s="48"/>
      <c r="AS2726" s="48"/>
      <c r="AT2726" s="48"/>
      <c r="AU2726" s="48"/>
      <c r="AV2726" s="48"/>
      <c r="AW2726" s="48"/>
      <c r="AX2726" s="48"/>
      <c r="AY2726" s="48"/>
      <c r="AZ2726" s="48"/>
      <c r="BA2726" s="48"/>
      <c r="BB2726" s="48"/>
      <c r="BC2726" s="48"/>
      <c r="BD2726" s="48"/>
    </row>
    <row r="2727" spans="1:56">
      <c r="A2727" s="48"/>
      <c r="B2727" s="48"/>
      <c r="C2727" s="49"/>
      <c r="D2727" s="48"/>
      <c r="E2727" s="48"/>
      <c r="F2727" s="48"/>
      <c r="G2727" s="48"/>
      <c r="H2727" s="48"/>
      <c r="I2727" s="48"/>
      <c r="J2727" s="86"/>
      <c r="K2727" s="86"/>
      <c r="L2727" s="86"/>
      <c r="M2727" s="86"/>
      <c r="N2727" s="86"/>
      <c r="O2727" s="86"/>
      <c r="P2727" s="86"/>
      <c r="Q2727" s="86"/>
      <c r="R2727" s="86"/>
      <c r="S2727" s="86"/>
      <c r="T2727" s="86"/>
      <c r="U2727" s="86"/>
      <c r="V2727" s="48"/>
      <c r="W2727" s="48"/>
      <c r="X2727" s="48"/>
      <c r="Y2727" s="48"/>
      <c r="Z2727" s="48"/>
      <c r="AA2727" s="48"/>
      <c r="AB2727" s="48"/>
      <c r="AC2727" s="48"/>
      <c r="AD2727" s="48"/>
      <c r="AE2727" s="48"/>
      <c r="AF2727" s="48"/>
      <c r="AG2727" s="48"/>
      <c r="AH2727" s="48"/>
      <c r="AI2727" s="48"/>
      <c r="AJ2727" s="48"/>
      <c r="AK2727" s="48"/>
      <c r="AL2727" s="48"/>
      <c r="AM2727" s="48"/>
      <c r="AN2727" s="48"/>
      <c r="AO2727" s="48"/>
      <c r="AP2727" s="48"/>
      <c r="AQ2727" s="48"/>
      <c r="AR2727" s="48"/>
      <c r="AS2727" s="48"/>
      <c r="AT2727" s="48"/>
      <c r="AU2727" s="48"/>
      <c r="AV2727" s="48"/>
      <c r="AW2727" s="48"/>
      <c r="AX2727" s="48"/>
      <c r="AY2727" s="48"/>
      <c r="AZ2727" s="48"/>
      <c r="BA2727" s="48"/>
      <c r="BB2727" s="48"/>
      <c r="BC2727" s="48"/>
      <c r="BD2727" s="48"/>
    </row>
    <row r="2728" spans="1:56">
      <c r="A2728" s="48"/>
      <c r="B2728" s="48"/>
      <c r="C2728" s="49"/>
      <c r="D2728" s="48"/>
      <c r="E2728" s="48"/>
      <c r="F2728" s="48"/>
      <c r="G2728" s="48"/>
      <c r="H2728" s="48"/>
      <c r="I2728" s="48"/>
      <c r="J2728" s="86"/>
      <c r="K2728" s="86"/>
      <c r="L2728" s="86"/>
      <c r="M2728" s="86"/>
      <c r="N2728" s="86"/>
      <c r="O2728" s="86"/>
      <c r="P2728" s="86"/>
      <c r="Q2728" s="86"/>
      <c r="R2728" s="86"/>
      <c r="S2728" s="86"/>
      <c r="T2728" s="86"/>
      <c r="U2728" s="86"/>
      <c r="V2728" s="48"/>
      <c r="W2728" s="48"/>
      <c r="X2728" s="48"/>
      <c r="Y2728" s="48"/>
      <c r="Z2728" s="48"/>
      <c r="AA2728" s="48"/>
      <c r="AB2728" s="48"/>
      <c r="AC2728" s="48"/>
      <c r="AD2728" s="48"/>
      <c r="AE2728" s="48"/>
      <c r="AF2728" s="48"/>
      <c r="AG2728" s="48"/>
      <c r="AH2728" s="48"/>
      <c r="AI2728" s="48"/>
      <c r="AJ2728" s="48"/>
      <c r="AK2728" s="48"/>
      <c r="AL2728" s="48"/>
      <c r="AM2728" s="48"/>
      <c r="AN2728" s="48"/>
      <c r="AO2728" s="48"/>
      <c r="AP2728" s="48"/>
      <c r="AQ2728" s="48"/>
      <c r="AR2728" s="48"/>
      <c r="AS2728" s="48"/>
      <c r="AT2728" s="48"/>
      <c r="AU2728" s="48"/>
      <c r="AV2728" s="48"/>
      <c r="AW2728" s="48"/>
      <c r="AX2728" s="48"/>
      <c r="AY2728" s="48"/>
      <c r="AZ2728" s="48"/>
      <c r="BA2728" s="48"/>
      <c r="BB2728" s="48"/>
      <c r="BC2728" s="48"/>
      <c r="BD2728" s="48"/>
    </row>
    <row r="2729" spans="1:56">
      <c r="A2729" s="48"/>
      <c r="B2729" s="48"/>
      <c r="C2729" s="49"/>
      <c r="D2729" s="48"/>
      <c r="E2729" s="48"/>
      <c r="F2729" s="48"/>
      <c r="G2729" s="48"/>
      <c r="H2729" s="48"/>
      <c r="I2729" s="48"/>
      <c r="J2729" s="86"/>
      <c r="K2729" s="86"/>
      <c r="L2729" s="86"/>
      <c r="M2729" s="86"/>
      <c r="N2729" s="86"/>
      <c r="O2729" s="86"/>
      <c r="P2729" s="86"/>
      <c r="Q2729" s="86"/>
      <c r="R2729" s="86"/>
      <c r="S2729" s="86"/>
      <c r="T2729" s="86"/>
      <c r="U2729" s="86"/>
      <c r="V2729" s="48"/>
      <c r="W2729" s="48"/>
      <c r="X2729" s="48"/>
      <c r="Y2729" s="48"/>
      <c r="Z2729" s="48"/>
      <c r="AA2729" s="48"/>
      <c r="AB2729" s="48"/>
      <c r="AC2729" s="48"/>
      <c r="AD2729" s="48"/>
      <c r="AE2729" s="48"/>
      <c r="AF2729" s="48"/>
      <c r="AG2729" s="48"/>
      <c r="AH2729" s="48"/>
      <c r="AI2729" s="48"/>
      <c r="AJ2729" s="48"/>
      <c r="AK2729" s="48"/>
      <c r="AL2729" s="48"/>
      <c r="AM2729" s="48"/>
      <c r="AN2729" s="48"/>
      <c r="AO2729" s="48"/>
      <c r="AP2729" s="48"/>
      <c r="AQ2729" s="48"/>
      <c r="AR2729" s="48"/>
      <c r="AS2729" s="48"/>
      <c r="AT2729" s="48"/>
      <c r="AU2729" s="48"/>
      <c r="AV2729" s="48"/>
      <c r="AW2729" s="48"/>
      <c r="AX2729" s="48"/>
      <c r="AY2729" s="48"/>
      <c r="AZ2729" s="48"/>
      <c r="BA2729" s="48"/>
      <c r="BB2729" s="48"/>
      <c r="BC2729" s="48"/>
      <c r="BD2729" s="48"/>
    </row>
    <row r="2730" spans="1:56">
      <c r="A2730" s="48"/>
      <c r="B2730" s="48"/>
      <c r="C2730" s="49"/>
      <c r="D2730" s="48"/>
      <c r="E2730" s="48"/>
      <c r="F2730" s="48"/>
      <c r="G2730" s="48"/>
      <c r="H2730" s="48"/>
      <c r="I2730" s="48"/>
      <c r="J2730" s="86"/>
      <c r="K2730" s="86"/>
      <c r="L2730" s="86"/>
      <c r="M2730" s="86"/>
      <c r="N2730" s="86"/>
      <c r="O2730" s="86"/>
      <c r="P2730" s="86"/>
      <c r="Q2730" s="86"/>
      <c r="R2730" s="86"/>
      <c r="S2730" s="86"/>
      <c r="T2730" s="86"/>
      <c r="U2730" s="86"/>
      <c r="V2730" s="48"/>
      <c r="W2730" s="48"/>
      <c r="X2730" s="48"/>
      <c r="Y2730" s="48"/>
      <c r="Z2730" s="48"/>
      <c r="AA2730" s="48"/>
      <c r="AB2730" s="48"/>
      <c r="AC2730" s="48"/>
      <c r="AD2730" s="48"/>
      <c r="AE2730" s="48"/>
      <c r="AF2730" s="48"/>
      <c r="AG2730" s="48"/>
      <c r="AH2730" s="48"/>
      <c r="AI2730" s="48"/>
      <c r="AJ2730" s="48"/>
      <c r="AK2730" s="48"/>
      <c r="AL2730" s="48"/>
      <c r="AM2730" s="48"/>
      <c r="AN2730" s="48"/>
      <c r="AO2730" s="48"/>
      <c r="AP2730" s="48"/>
      <c r="AQ2730" s="48"/>
      <c r="AR2730" s="48"/>
      <c r="AS2730" s="48"/>
      <c r="AT2730" s="48"/>
      <c r="AU2730" s="48"/>
      <c r="AV2730" s="48"/>
      <c r="AW2730" s="48"/>
      <c r="AX2730" s="48"/>
      <c r="AY2730" s="48"/>
      <c r="AZ2730" s="48"/>
      <c r="BA2730" s="48"/>
      <c r="BB2730" s="48"/>
      <c r="BC2730" s="48"/>
      <c r="BD2730" s="48"/>
    </row>
    <row r="2731" spans="1:56">
      <c r="A2731" s="48"/>
      <c r="B2731" s="48"/>
      <c r="C2731" s="49"/>
      <c r="D2731" s="48"/>
      <c r="E2731" s="48"/>
      <c r="F2731" s="48"/>
      <c r="G2731" s="48"/>
      <c r="H2731" s="48"/>
      <c r="I2731" s="48"/>
      <c r="J2731" s="86"/>
      <c r="K2731" s="86"/>
      <c r="L2731" s="86"/>
      <c r="M2731" s="86"/>
      <c r="N2731" s="86"/>
      <c r="O2731" s="86"/>
      <c r="P2731" s="86"/>
      <c r="Q2731" s="86"/>
      <c r="R2731" s="86"/>
      <c r="S2731" s="86"/>
      <c r="T2731" s="86"/>
      <c r="U2731" s="86"/>
      <c r="V2731" s="48"/>
      <c r="W2731" s="48"/>
      <c r="X2731" s="48"/>
      <c r="Y2731" s="48"/>
      <c r="Z2731" s="48"/>
      <c r="AA2731" s="48"/>
      <c r="AB2731" s="48"/>
      <c r="AC2731" s="48"/>
      <c r="AD2731" s="48"/>
      <c r="AE2731" s="48"/>
      <c r="AF2731" s="48"/>
      <c r="AG2731" s="48"/>
      <c r="AH2731" s="48"/>
      <c r="AI2731" s="48"/>
      <c r="AJ2731" s="48"/>
      <c r="AK2731" s="48"/>
      <c r="AL2731" s="48"/>
      <c r="AM2731" s="48"/>
      <c r="AN2731" s="48"/>
      <c r="AO2731" s="48"/>
      <c r="AP2731" s="48"/>
      <c r="AQ2731" s="48"/>
      <c r="AR2731" s="48"/>
      <c r="AS2731" s="48"/>
      <c r="AT2731" s="48"/>
      <c r="AU2731" s="48"/>
      <c r="AV2731" s="48"/>
      <c r="AW2731" s="48"/>
      <c r="AX2731" s="48"/>
      <c r="AY2731" s="48"/>
      <c r="AZ2731" s="48"/>
      <c r="BA2731" s="48"/>
      <c r="BB2731" s="48"/>
      <c r="BC2731" s="48"/>
      <c r="BD2731" s="48"/>
    </row>
    <row r="2732" spans="1:56">
      <c r="A2732" s="48"/>
      <c r="B2732" s="48"/>
      <c r="C2732" s="49"/>
      <c r="D2732" s="48"/>
      <c r="E2732" s="48"/>
      <c r="F2732" s="48"/>
      <c r="G2732" s="48"/>
      <c r="H2732" s="48"/>
      <c r="I2732" s="48"/>
      <c r="J2732" s="86"/>
      <c r="K2732" s="86"/>
      <c r="L2732" s="86"/>
      <c r="M2732" s="86"/>
      <c r="N2732" s="86"/>
      <c r="O2732" s="86"/>
      <c r="P2732" s="86"/>
      <c r="Q2732" s="86"/>
      <c r="R2732" s="86"/>
      <c r="S2732" s="86"/>
      <c r="T2732" s="86"/>
      <c r="U2732" s="86"/>
      <c r="V2732" s="48"/>
      <c r="W2732" s="48"/>
      <c r="X2732" s="48"/>
      <c r="Y2732" s="48"/>
      <c r="Z2732" s="48"/>
      <c r="AA2732" s="48"/>
      <c r="AB2732" s="48"/>
      <c r="AC2732" s="48"/>
      <c r="AD2732" s="48"/>
      <c r="AE2732" s="48"/>
      <c r="AF2732" s="48"/>
      <c r="AG2732" s="48"/>
      <c r="AH2732" s="48"/>
      <c r="AI2732" s="48"/>
      <c r="AJ2732" s="48"/>
      <c r="AK2732" s="48"/>
      <c r="AL2732" s="48"/>
      <c r="AM2732" s="48"/>
      <c r="AN2732" s="48"/>
      <c r="AO2732" s="48"/>
      <c r="AP2732" s="48"/>
      <c r="AQ2732" s="48"/>
      <c r="AR2732" s="48"/>
      <c r="AS2732" s="48"/>
      <c r="AT2732" s="48"/>
      <c r="AU2732" s="48"/>
      <c r="AV2732" s="48"/>
      <c r="AW2732" s="48"/>
      <c r="AX2732" s="48"/>
      <c r="AY2732" s="48"/>
      <c r="AZ2732" s="48"/>
      <c r="BA2732" s="48"/>
      <c r="BB2732" s="48"/>
      <c r="BC2732" s="48"/>
      <c r="BD2732" s="48"/>
    </row>
    <row r="2733" spans="1:56">
      <c r="A2733" s="48"/>
      <c r="B2733" s="48"/>
      <c r="C2733" s="49"/>
      <c r="D2733" s="48"/>
      <c r="E2733" s="48"/>
      <c r="F2733" s="48"/>
      <c r="G2733" s="48"/>
      <c r="H2733" s="48"/>
      <c r="I2733" s="48"/>
      <c r="J2733" s="86"/>
      <c r="K2733" s="86"/>
      <c r="L2733" s="86"/>
      <c r="M2733" s="86"/>
      <c r="N2733" s="86"/>
      <c r="O2733" s="86"/>
      <c r="P2733" s="86"/>
      <c r="Q2733" s="86"/>
      <c r="R2733" s="86"/>
      <c r="S2733" s="86"/>
      <c r="T2733" s="86"/>
      <c r="U2733" s="86"/>
      <c r="V2733" s="48"/>
      <c r="W2733" s="48"/>
      <c r="X2733" s="48"/>
      <c r="Y2733" s="48"/>
      <c r="Z2733" s="48"/>
      <c r="AA2733" s="48"/>
      <c r="AB2733" s="48"/>
      <c r="AC2733" s="48"/>
      <c r="AD2733" s="48"/>
      <c r="AE2733" s="48"/>
      <c r="AF2733" s="48"/>
      <c r="AG2733" s="48"/>
      <c r="AH2733" s="48"/>
      <c r="AI2733" s="48"/>
      <c r="AJ2733" s="48"/>
      <c r="AK2733" s="48"/>
      <c r="AL2733" s="48"/>
      <c r="AM2733" s="48"/>
      <c r="AN2733" s="48"/>
      <c r="AO2733" s="48"/>
      <c r="AP2733" s="48"/>
      <c r="AQ2733" s="48"/>
      <c r="AR2733" s="48"/>
      <c r="AS2733" s="48"/>
      <c r="AT2733" s="48"/>
      <c r="AU2733" s="48"/>
      <c r="AV2733" s="48"/>
      <c r="AW2733" s="48"/>
      <c r="AX2733" s="48"/>
      <c r="AY2733" s="48"/>
      <c r="AZ2733" s="48"/>
      <c r="BA2733" s="48"/>
      <c r="BB2733" s="48"/>
      <c r="BC2733" s="48"/>
      <c r="BD2733" s="48"/>
    </row>
    <row r="2734" spans="1:56">
      <c r="A2734" s="48"/>
      <c r="B2734" s="48"/>
      <c r="C2734" s="49"/>
      <c r="D2734" s="48"/>
      <c r="E2734" s="48"/>
      <c r="F2734" s="48"/>
      <c r="G2734" s="48"/>
      <c r="H2734" s="48"/>
      <c r="I2734" s="48"/>
      <c r="J2734" s="86"/>
      <c r="K2734" s="86"/>
      <c r="L2734" s="86"/>
      <c r="M2734" s="86"/>
      <c r="N2734" s="86"/>
      <c r="O2734" s="86"/>
      <c r="P2734" s="86"/>
      <c r="Q2734" s="86"/>
      <c r="R2734" s="86"/>
      <c r="S2734" s="86"/>
      <c r="T2734" s="86"/>
      <c r="U2734" s="86"/>
      <c r="V2734" s="48"/>
      <c r="W2734" s="48"/>
      <c r="X2734" s="48"/>
      <c r="Y2734" s="48"/>
      <c r="Z2734" s="48"/>
      <c r="AA2734" s="48"/>
      <c r="AB2734" s="48"/>
      <c r="AC2734" s="48"/>
      <c r="AD2734" s="48"/>
      <c r="AE2734" s="48"/>
      <c r="AF2734" s="48"/>
      <c r="AG2734" s="48"/>
      <c r="AH2734" s="48"/>
      <c r="AI2734" s="48"/>
      <c r="AJ2734" s="48"/>
      <c r="AK2734" s="48"/>
      <c r="AL2734" s="48"/>
      <c r="AM2734" s="48"/>
      <c r="AN2734" s="48"/>
      <c r="AO2734" s="48"/>
      <c r="AP2734" s="48"/>
      <c r="AQ2734" s="48"/>
      <c r="AR2734" s="48"/>
      <c r="AS2734" s="48"/>
      <c r="AT2734" s="48"/>
      <c r="AU2734" s="48"/>
      <c r="AV2734" s="48"/>
      <c r="AW2734" s="48"/>
      <c r="AX2734" s="48"/>
      <c r="AY2734" s="48"/>
      <c r="AZ2734" s="48"/>
      <c r="BA2734" s="48"/>
      <c r="BB2734" s="48"/>
      <c r="BC2734" s="48"/>
      <c r="BD2734" s="48"/>
    </row>
    <row r="2735" spans="1:56">
      <c r="A2735" s="48"/>
      <c r="B2735" s="48"/>
      <c r="C2735" s="49"/>
      <c r="D2735" s="48"/>
      <c r="E2735" s="48"/>
      <c r="F2735" s="48"/>
      <c r="G2735" s="48"/>
      <c r="H2735" s="48"/>
      <c r="I2735" s="48"/>
      <c r="J2735" s="86"/>
      <c r="K2735" s="86"/>
      <c r="L2735" s="86"/>
      <c r="M2735" s="86"/>
      <c r="N2735" s="86"/>
      <c r="O2735" s="86"/>
      <c r="P2735" s="86"/>
      <c r="Q2735" s="86"/>
      <c r="R2735" s="86"/>
      <c r="S2735" s="86"/>
      <c r="T2735" s="86"/>
      <c r="U2735" s="86"/>
      <c r="V2735" s="48"/>
      <c r="W2735" s="48"/>
      <c r="X2735" s="48"/>
      <c r="Y2735" s="48"/>
      <c r="Z2735" s="48"/>
      <c r="AA2735" s="48"/>
      <c r="AB2735" s="48"/>
      <c r="AC2735" s="48"/>
      <c r="AD2735" s="48"/>
      <c r="AE2735" s="48"/>
      <c r="AF2735" s="48"/>
      <c r="AG2735" s="48"/>
      <c r="AH2735" s="48"/>
      <c r="AI2735" s="48"/>
      <c r="AJ2735" s="48"/>
      <c r="AK2735" s="48"/>
      <c r="AL2735" s="48"/>
      <c r="AM2735" s="48"/>
      <c r="AN2735" s="48"/>
      <c r="AO2735" s="48"/>
      <c r="AP2735" s="48"/>
      <c r="AQ2735" s="48"/>
      <c r="AR2735" s="48"/>
      <c r="AS2735" s="48"/>
      <c r="AT2735" s="48"/>
      <c r="AU2735" s="48"/>
      <c r="AV2735" s="48"/>
      <c r="AW2735" s="48"/>
      <c r="AX2735" s="48"/>
      <c r="AY2735" s="48"/>
      <c r="AZ2735" s="48"/>
      <c r="BA2735" s="48"/>
      <c r="BB2735" s="48"/>
      <c r="BC2735" s="48"/>
      <c r="BD2735" s="48"/>
    </row>
    <row r="2736" spans="1:56">
      <c r="A2736" s="48"/>
      <c r="B2736" s="48"/>
      <c r="C2736" s="49"/>
      <c r="D2736" s="48"/>
      <c r="E2736" s="48"/>
      <c r="F2736" s="48"/>
      <c r="G2736" s="48"/>
      <c r="H2736" s="48"/>
      <c r="I2736" s="48"/>
      <c r="J2736" s="86"/>
      <c r="K2736" s="86"/>
      <c r="L2736" s="86"/>
      <c r="M2736" s="86"/>
      <c r="N2736" s="86"/>
      <c r="O2736" s="86"/>
      <c r="P2736" s="86"/>
      <c r="Q2736" s="86"/>
      <c r="R2736" s="86"/>
      <c r="S2736" s="86"/>
      <c r="T2736" s="86"/>
      <c r="U2736" s="86"/>
      <c r="V2736" s="48"/>
      <c r="W2736" s="48"/>
      <c r="X2736" s="48"/>
      <c r="Y2736" s="48"/>
      <c r="Z2736" s="48"/>
      <c r="AA2736" s="48"/>
      <c r="AB2736" s="48"/>
      <c r="AC2736" s="48"/>
      <c r="AD2736" s="48"/>
      <c r="AE2736" s="48"/>
      <c r="AF2736" s="48"/>
      <c r="AG2736" s="48"/>
      <c r="AH2736" s="48"/>
      <c r="AI2736" s="48"/>
      <c r="AJ2736" s="48"/>
      <c r="AK2736" s="48"/>
      <c r="AL2736" s="48"/>
      <c r="AM2736" s="48"/>
      <c r="AN2736" s="48"/>
      <c r="AO2736" s="48"/>
      <c r="AP2736" s="48"/>
      <c r="AQ2736" s="48"/>
      <c r="AR2736" s="48"/>
      <c r="AS2736" s="48"/>
      <c r="AT2736" s="48"/>
      <c r="AU2736" s="48"/>
      <c r="AV2736" s="48"/>
      <c r="AW2736" s="48"/>
      <c r="AX2736" s="48"/>
      <c r="AY2736" s="48"/>
      <c r="AZ2736" s="48"/>
      <c r="BA2736" s="48"/>
      <c r="BB2736" s="48"/>
      <c r="BC2736" s="48"/>
      <c r="BD2736" s="48"/>
    </row>
    <row r="2737" spans="1:56">
      <c r="A2737" s="48"/>
      <c r="B2737" s="48"/>
      <c r="C2737" s="49"/>
      <c r="D2737" s="48"/>
      <c r="E2737" s="48"/>
      <c r="F2737" s="48"/>
      <c r="G2737" s="48"/>
      <c r="H2737" s="48"/>
      <c r="I2737" s="48"/>
      <c r="J2737" s="86"/>
      <c r="K2737" s="86"/>
      <c r="L2737" s="86"/>
      <c r="M2737" s="86"/>
      <c r="N2737" s="86"/>
      <c r="O2737" s="86"/>
      <c r="P2737" s="86"/>
      <c r="Q2737" s="86"/>
      <c r="R2737" s="86"/>
      <c r="S2737" s="86"/>
      <c r="T2737" s="86"/>
      <c r="U2737" s="86"/>
      <c r="V2737" s="48"/>
      <c r="W2737" s="48"/>
      <c r="X2737" s="48"/>
      <c r="Y2737" s="48"/>
      <c r="Z2737" s="48"/>
      <c r="AA2737" s="48"/>
      <c r="AB2737" s="48"/>
      <c r="AC2737" s="48"/>
      <c r="AD2737" s="48"/>
      <c r="AE2737" s="48"/>
      <c r="AF2737" s="48"/>
      <c r="AG2737" s="48"/>
      <c r="AH2737" s="48"/>
      <c r="AI2737" s="48"/>
      <c r="AJ2737" s="48"/>
      <c r="AK2737" s="48"/>
      <c r="AL2737" s="48"/>
      <c r="AM2737" s="48"/>
      <c r="AN2737" s="48"/>
      <c r="AO2737" s="48"/>
      <c r="AP2737" s="48"/>
      <c r="AQ2737" s="48"/>
      <c r="AR2737" s="48"/>
      <c r="AS2737" s="48"/>
      <c r="AT2737" s="48"/>
      <c r="AU2737" s="48"/>
      <c r="AV2737" s="48"/>
      <c r="AW2737" s="48"/>
      <c r="AX2737" s="48"/>
      <c r="AY2737" s="48"/>
      <c r="AZ2737" s="48"/>
      <c r="BA2737" s="48"/>
      <c r="BB2737" s="48"/>
      <c r="BC2737" s="48"/>
      <c r="BD2737" s="48"/>
    </row>
    <row r="2738" spans="1:56">
      <c r="A2738" s="48"/>
      <c r="B2738" s="48"/>
      <c r="C2738" s="49"/>
      <c r="D2738" s="48"/>
      <c r="E2738" s="48"/>
      <c r="F2738" s="48"/>
      <c r="G2738" s="48"/>
      <c r="H2738" s="48"/>
      <c r="I2738" s="48"/>
      <c r="J2738" s="86"/>
      <c r="K2738" s="86"/>
      <c r="L2738" s="86"/>
      <c r="M2738" s="86"/>
      <c r="N2738" s="86"/>
      <c r="O2738" s="86"/>
      <c r="P2738" s="86"/>
      <c r="Q2738" s="86"/>
      <c r="R2738" s="86"/>
      <c r="S2738" s="86"/>
      <c r="T2738" s="86"/>
      <c r="U2738" s="86"/>
      <c r="V2738" s="48"/>
      <c r="W2738" s="48"/>
      <c r="X2738" s="48"/>
      <c r="Y2738" s="48"/>
      <c r="Z2738" s="48"/>
      <c r="AA2738" s="48"/>
      <c r="AB2738" s="48"/>
      <c r="AC2738" s="48"/>
      <c r="AD2738" s="48"/>
      <c r="AE2738" s="48"/>
      <c r="AF2738" s="48"/>
      <c r="AG2738" s="48"/>
      <c r="AH2738" s="48"/>
      <c r="AI2738" s="48"/>
      <c r="AJ2738" s="48"/>
      <c r="AK2738" s="48"/>
      <c r="AL2738" s="48"/>
      <c r="AM2738" s="48"/>
      <c r="AN2738" s="48"/>
      <c r="AO2738" s="48"/>
      <c r="AP2738" s="48"/>
      <c r="AQ2738" s="48"/>
      <c r="AR2738" s="48"/>
      <c r="AS2738" s="48"/>
      <c r="AT2738" s="48"/>
      <c r="AU2738" s="48"/>
      <c r="AV2738" s="48"/>
      <c r="AW2738" s="48"/>
      <c r="AX2738" s="48"/>
      <c r="AY2738" s="48"/>
      <c r="AZ2738" s="48"/>
      <c r="BA2738" s="48"/>
      <c r="BB2738" s="48"/>
      <c r="BC2738" s="48"/>
      <c r="BD2738" s="48"/>
    </row>
    <row r="2739" spans="1:56">
      <c r="A2739" s="48"/>
      <c r="B2739" s="48"/>
      <c r="C2739" s="49"/>
      <c r="D2739" s="48"/>
      <c r="E2739" s="48"/>
      <c r="F2739" s="48"/>
      <c r="G2739" s="48"/>
      <c r="H2739" s="48"/>
      <c r="I2739" s="48"/>
      <c r="J2739" s="86"/>
      <c r="K2739" s="86"/>
      <c r="L2739" s="86"/>
      <c r="M2739" s="86"/>
      <c r="N2739" s="86"/>
      <c r="O2739" s="86"/>
      <c r="P2739" s="86"/>
      <c r="Q2739" s="86"/>
      <c r="R2739" s="86"/>
      <c r="S2739" s="86"/>
      <c r="T2739" s="86"/>
      <c r="U2739" s="86"/>
      <c r="V2739" s="48"/>
      <c r="W2739" s="48"/>
      <c r="X2739" s="48"/>
      <c r="Y2739" s="48"/>
      <c r="Z2739" s="48"/>
      <c r="AA2739" s="48"/>
      <c r="AB2739" s="48"/>
      <c r="AC2739" s="48"/>
      <c r="AD2739" s="48"/>
      <c r="AE2739" s="48"/>
      <c r="AF2739" s="48"/>
      <c r="AG2739" s="48"/>
      <c r="AH2739" s="48"/>
      <c r="AI2739" s="48"/>
      <c r="AJ2739" s="48"/>
      <c r="AK2739" s="48"/>
      <c r="AL2739" s="48"/>
      <c r="AM2739" s="48"/>
      <c r="AN2739" s="48"/>
      <c r="AO2739" s="48"/>
      <c r="AP2739" s="48"/>
      <c r="AQ2739" s="48"/>
      <c r="AR2739" s="48"/>
      <c r="AS2739" s="48"/>
      <c r="AT2739" s="48"/>
      <c r="AU2739" s="48"/>
      <c r="AV2739" s="48"/>
      <c r="AW2739" s="48"/>
      <c r="AX2739" s="48"/>
      <c r="AY2739" s="48"/>
      <c r="AZ2739" s="48"/>
      <c r="BA2739" s="48"/>
      <c r="BB2739" s="48"/>
      <c r="BC2739" s="48"/>
      <c r="BD2739" s="48"/>
    </row>
    <row r="2740" spans="1:56">
      <c r="A2740" s="48"/>
      <c r="B2740" s="48"/>
      <c r="C2740" s="49"/>
      <c r="D2740" s="48"/>
      <c r="E2740" s="48"/>
      <c r="F2740" s="48"/>
      <c r="G2740" s="48"/>
      <c r="H2740" s="48"/>
      <c r="I2740" s="48"/>
      <c r="J2740" s="86"/>
      <c r="K2740" s="86"/>
      <c r="L2740" s="86"/>
      <c r="M2740" s="86"/>
      <c r="N2740" s="86"/>
      <c r="O2740" s="86"/>
      <c r="P2740" s="86"/>
      <c r="Q2740" s="86"/>
      <c r="R2740" s="86"/>
      <c r="S2740" s="86"/>
      <c r="T2740" s="86"/>
      <c r="U2740" s="86"/>
      <c r="V2740" s="48"/>
      <c r="W2740" s="48"/>
      <c r="X2740" s="48"/>
      <c r="Y2740" s="48"/>
      <c r="Z2740" s="48"/>
      <c r="AA2740" s="48"/>
      <c r="AB2740" s="48"/>
      <c r="AC2740" s="48"/>
      <c r="AD2740" s="48"/>
      <c r="AE2740" s="48"/>
      <c r="AF2740" s="48"/>
      <c r="AG2740" s="48"/>
      <c r="AH2740" s="48"/>
      <c r="AI2740" s="48"/>
      <c r="AJ2740" s="48"/>
      <c r="AK2740" s="48"/>
      <c r="AL2740" s="48"/>
      <c r="AM2740" s="48"/>
      <c r="AN2740" s="48"/>
      <c r="AO2740" s="48"/>
      <c r="AP2740" s="48"/>
      <c r="AQ2740" s="48"/>
      <c r="AR2740" s="48"/>
      <c r="AS2740" s="48"/>
      <c r="AT2740" s="48"/>
      <c r="AU2740" s="48"/>
      <c r="AV2740" s="48"/>
      <c r="AW2740" s="48"/>
      <c r="AX2740" s="48"/>
      <c r="AY2740" s="48"/>
      <c r="AZ2740" s="48"/>
      <c r="BA2740" s="48"/>
      <c r="BB2740" s="48"/>
      <c r="BC2740" s="48"/>
      <c r="BD2740" s="48"/>
    </row>
    <row r="2741" spans="1:56">
      <c r="A2741" s="48"/>
      <c r="B2741" s="48"/>
      <c r="C2741" s="49"/>
      <c r="D2741" s="48"/>
      <c r="E2741" s="48"/>
      <c r="F2741" s="48"/>
      <c r="G2741" s="48"/>
      <c r="H2741" s="48"/>
      <c r="I2741" s="48"/>
      <c r="J2741" s="86"/>
      <c r="K2741" s="86"/>
      <c r="L2741" s="86"/>
      <c r="M2741" s="86"/>
      <c r="N2741" s="86"/>
      <c r="O2741" s="86"/>
      <c r="P2741" s="86"/>
      <c r="Q2741" s="86"/>
      <c r="R2741" s="86"/>
      <c r="S2741" s="86"/>
      <c r="T2741" s="86"/>
      <c r="U2741" s="86"/>
      <c r="V2741" s="48"/>
      <c r="W2741" s="48"/>
      <c r="X2741" s="48"/>
      <c r="Y2741" s="48"/>
      <c r="Z2741" s="48"/>
      <c r="AA2741" s="48"/>
      <c r="AB2741" s="48"/>
      <c r="AC2741" s="48"/>
      <c r="AD2741" s="48"/>
      <c r="AE2741" s="48"/>
      <c r="AF2741" s="48"/>
      <c r="AG2741" s="48"/>
      <c r="AH2741" s="48"/>
      <c r="AI2741" s="48"/>
      <c r="AJ2741" s="48"/>
      <c r="AK2741" s="48"/>
      <c r="AL2741" s="48"/>
      <c r="AM2741" s="48"/>
      <c r="AN2741" s="48"/>
      <c r="AO2741" s="48"/>
      <c r="AP2741" s="48"/>
      <c r="AQ2741" s="48"/>
      <c r="AR2741" s="48"/>
      <c r="AS2741" s="48"/>
      <c r="AT2741" s="48"/>
      <c r="AU2741" s="48"/>
      <c r="AV2741" s="48"/>
      <c r="AW2741" s="48"/>
      <c r="AX2741" s="48"/>
      <c r="AY2741" s="48"/>
      <c r="AZ2741" s="48"/>
      <c r="BA2741" s="48"/>
      <c r="BB2741" s="48"/>
      <c r="BC2741" s="48"/>
      <c r="BD2741" s="48"/>
    </row>
    <row r="2742" spans="1:56">
      <c r="A2742" s="48"/>
      <c r="B2742" s="48"/>
      <c r="C2742" s="49"/>
      <c r="D2742" s="48"/>
      <c r="E2742" s="48"/>
      <c r="F2742" s="48"/>
      <c r="G2742" s="48"/>
      <c r="H2742" s="48"/>
      <c r="I2742" s="48"/>
      <c r="J2742" s="86"/>
      <c r="K2742" s="86"/>
      <c r="L2742" s="86"/>
      <c r="M2742" s="86"/>
      <c r="N2742" s="86"/>
      <c r="O2742" s="86"/>
      <c r="P2742" s="86"/>
      <c r="Q2742" s="86"/>
      <c r="R2742" s="86"/>
      <c r="S2742" s="86"/>
      <c r="T2742" s="86"/>
      <c r="U2742" s="86"/>
      <c r="V2742" s="48"/>
      <c r="W2742" s="48"/>
      <c r="X2742" s="48"/>
      <c r="Y2742" s="48"/>
      <c r="Z2742" s="48"/>
      <c r="AA2742" s="48"/>
      <c r="AB2742" s="48"/>
      <c r="AC2742" s="48"/>
      <c r="AD2742" s="48"/>
      <c r="AE2742" s="48"/>
      <c r="AF2742" s="48"/>
      <c r="AG2742" s="48"/>
      <c r="AH2742" s="48"/>
      <c r="AI2742" s="48"/>
      <c r="AJ2742" s="48"/>
      <c r="AK2742" s="48"/>
      <c r="AL2742" s="48"/>
      <c r="AM2742" s="48"/>
      <c r="AN2742" s="48"/>
      <c r="AO2742" s="48"/>
      <c r="AP2742" s="48"/>
      <c r="AQ2742" s="48"/>
      <c r="AR2742" s="48"/>
      <c r="AS2742" s="48"/>
      <c r="AT2742" s="48"/>
      <c r="AU2742" s="48"/>
      <c r="AV2742" s="48"/>
      <c r="AW2742" s="48"/>
      <c r="AX2742" s="48"/>
      <c r="AY2742" s="48"/>
      <c r="AZ2742" s="48"/>
      <c r="BA2742" s="48"/>
      <c r="BB2742" s="48"/>
      <c r="BC2742" s="48"/>
      <c r="BD2742" s="48"/>
    </row>
    <row r="2743" spans="1:56">
      <c r="A2743" s="48"/>
      <c r="B2743" s="48"/>
      <c r="C2743" s="49"/>
      <c r="D2743" s="48"/>
      <c r="E2743" s="48"/>
      <c r="F2743" s="48"/>
      <c r="G2743" s="48"/>
      <c r="H2743" s="48"/>
      <c r="I2743" s="48"/>
      <c r="J2743" s="86"/>
      <c r="K2743" s="86"/>
      <c r="L2743" s="86"/>
      <c r="M2743" s="86"/>
      <c r="N2743" s="86"/>
      <c r="O2743" s="86"/>
      <c r="P2743" s="86"/>
      <c r="Q2743" s="86"/>
      <c r="R2743" s="86"/>
      <c r="S2743" s="86"/>
      <c r="T2743" s="86"/>
      <c r="U2743" s="86"/>
      <c r="V2743" s="48"/>
      <c r="W2743" s="48"/>
      <c r="X2743" s="48"/>
      <c r="Y2743" s="48"/>
      <c r="Z2743" s="48"/>
      <c r="AA2743" s="48"/>
      <c r="AB2743" s="48"/>
      <c r="AC2743" s="48"/>
      <c r="AD2743" s="48"/>
      <c r="AE2743" s="48"/>
      <c r="AF2743" s="48"/>
      <c r="AG2743" s="48"/>
      <c r="AH2743" s="48"/>
      <c r="AI2743" s="48"/>
      <c r="AJ2743" s="48"/>
      <c r="AK2743" s="48"/>
      <c r="AL2743" s="48"/>
      <c r="AM2743" s="48"/>
      <c r="AN2743" s="48"/>
      <c r="AO2743" s="48"/>
      <c r="AP2743" s="48"/>
      <c r="AQ2743" s="48"/>
      <c r="AR2743" s="48"/>
      <c r="AS2743" s="48"/>
      <c r="AT2743" s="48"/>
      <c r="AU2743" s="48"/>
      <c r="AV2743" s="48"/>
      <c r="AW2743" s="48"/>
      <c r="AX2743" s="48"/>
      <c r="AY2743" s="48"/>
      <c r="AZ2743" s="48"/>
      <c r="BA2743" s="48"/>
      <c r="BB2743" s="48"/>
      <c r="BC2743" s="48"/>
      <c r="BD2743" s="48"/>
    </row>
    <row r="2744" spans="1:56">
      <c r="A2744" s="48"/>
      <c r="B2744" s="48"/>
      <c r="C2744" s="49"/>
      <c r="D2744" s="48"/>
      <c r="E2744" s="48"/>
      <c r="F2744" s="48"/>
      <c r="G2744" s="48"/>
      <c r="H2744" s="48"/>
      <c r="I2744" s="48"/>
      <c r="J2744" s="86"/>
      <c r="K2744" s="86"/>
      <c r="L2744" s="86"/>
      <c r="M2744" s="86"/>
      <c r="N2744" s="86"/>
      <c r="O2744" s="86"/>
      <c r="P2744" s="86"/>
      <c r="Q2744" s="86"/>
      <c r="R2744" s="86"/>
      <c r="S2744" s="86"/>
      <c r="T2744" s="86"/>
      <c r="U2744" s="86"/>
      <c r="V2744" s="48"/>
      <c r="W2744" s="48"/>
      <c r="X2744" s="48"/>
      <c r="Y2744" s="48"/>
      <c r="Z2744" s="48"/>
      <c r="AA2744" s="48"/>
      <c r="AB2744" s="48"/>
      <c r="AC2744" s="48"/>
      <c r="AD2744" s="48"/>
      <c r="AE2744" s="48"/>
      <c r="AF2744" s="48"/>
      <c r="AG2744" s="48"/>
      <c r="AH2744" s="48"/>
      <c r="AI2744" s="48"/>
      <c r="AJ2744" s="48"/>
      <c r="AK2744" s="48"/>
      <c r="AL2744" s="48"/>
      <c r="AM2744" s="48"/>
      <c r="AN2744" s="48"/>
      <c r="AO2744" s="48"/>
      <c r="AP2744" s="48"/>
      <c r="AQ2744" s="48"/>
      <c r="AR2744" s="48"/>
      <c r="AS2744" s="48"/>
      <c r="AT2744" s="48"/>
      <c r="AU2744" s="48"/>
      <c r="AV2744" s="48"/>
      <c r="AW2744" s="48"/>
      <c r="AX2744" s="48"/>
      <c r="AY2744" s="48"/>
      <c r="AZ2744" s="48"/>
      <c r="BA2744" s="48"/>
      <c r="BB2744" s="48"/>
      <c r="BC2744" s="48"/>
      <c r="BD2744" s="48"/>
    </row>
    <row r="2745" spans="1:56">
      <c r="A2745" s="48"/>
      <c r="B2745" s="48"/>
      <c r="C2745" s="49"/>
      <c r="D2745" s="48"/>
      <c r="E2745" s="48"/>
      <c r="F2745" s="48"/>
      <c r="G2745" s="48"/>
      <c r="H2745" s="48"/>
      <c r="I2745" s="48"/>
      <c r="J2745" s="86"/>
      <c r="K2745" s="86"/>
      <c r="L2745" s="86"/>
      <c r="M2745" s="86"/>
      <c r="N2745" s="86"/>
      <c r="O2745" s="86"/>
      <c r="P2745" s="86"/>
      <c r="Q2745" s="86"/>
      <c r="R2745" s="86"/>
      <c r="S2745" s="86"/>
      <c r="T2745" s="86"/>
      <c r="U2745" s="86"/>
      <c r="V2745" s="48"/>
      <c r="W2745" s="48"/>
      <c r="X2745" s="48"/>
      <c r="Y2745" s="48"/>
      <c r="Z2745" s="48"/>
      <c r="AA2745" s="48"/>
      <c r="AB2745" s="48"/>
      <c r="AC2745" s="48"/>
      <c r="AD2745" s="48"/>
      <c r="AE2745" s="48"/>
      <c r="AF2745" s="48"/>
      <c r="AG2745" s="48"/>
      <c r="AH2745" s="48"/>
      <c r="AI2745" s="48"/>
      <c r="AJ2745" s="48"/>
      <c r="AK2745" s="48"/>
      <c r="AL2745" s="48"/>
      <c r="AM2745" s="48"/>
      <c r="AN2745" s="48"/>
      <c r="AO2745" s="48"/>
      <c r="AP2745" s="48"/>
      <c r="AQ2745" s="48"/>
      <c r="AR2745" s="48"/>
      <c r="AS2745" s="48"/>
      <c r="AT2745" s="48"/>
      <c r="AU2745" s="48"/>
      <c r="AV2745" s="48"/>
      <c r="AW2745" s="48"/>
      <c r="AX2745" s="48"/>
      <c r="AY2745" s="48"/>
      <c r="AZ2745" s="48"/>
      <c r="BA2745" s="48"/>
      <c r="BB2745" s="48"/>
      <c r="BC2745" s="48"/>
      <c r="BD2745" s="48"/>
    </row>
    <row r="2746" spans="1:56">
      <c r="A2746" s="48"/>
      <c r="B2746" s="48"/>
      <c r="C2746" s="49"/>
      <c r="D2746" s="48"/>
      <c r="E2746" s="48"/>
      <c r="F2746" s="48"/>
      <c r="G2746" s="48"/>
      <c r="H2746" s="48"/>
      <c r="I2746" s="48"/>
      <c r="J2746" s="86"/>
      <c r="K2746" s="86"/>
      <c r="L2746" s="86"/>
      <c r="M2746" s="86"/>
      <c r="N2746" s="86"/>
      <c r="O2746" s="86"/>
      <c r="P2746" s="86"/>
      <c r="Q2746" s="86"/>
      <c r="R2746" s="86"/>
      <c r="S2746" s="86"/>
      <c r="T2746" s="86"/>
      <c r="U2746" s="86"/>
      <c r="V2746" s="48"/>
      <c r="W2746" s="48"/>
      <c r="X2746" s="48"/>
      <c r="Y2746" s="48"/>
      <c r="Z2746" s="48"/>
      <c r="AA2746" s="48"/>
      <c r="AB2746" s="48"/>
      <c r="AC2746" s="48"/>
      <c r="AD2746" s="48"/>
      <c r="AE2746" s="48"/>
      <c r="AF2746" s="48"/>
      <c r="AG2746" s="48"/>
      <c r="AH2746" s="48"/>
      <c r="AI2746" s="48"/>
      <c r="AJ2746" s="48"/>
      <c r="AK2746" s="48"/>
      <c r="AL2746" s="48"/>
      <c r="AM2746" s="48"/>
      <c r="AN2746" s="48"/>
      <c r="AO2746" s="48"/>
      <c r="AP2746" s="48"/>
      <c r="AQ2746" s="48"/>
      <c r="AR2746" s="48"/>
      <c r="AS2746" s="48"/>
      <c r="AT2746" s="48"/>
      <c r="AU2746" s="48"/>
      <c r="AV2746" s="48"/>
      <c r="AW2746" s="48"/>
      <c r="AX2746" s="48"/>
      <c r="AY2746" s="48"/>
      <c r="AZ2746" s="48"/>
      <c r="BA2746" s="48"/>
      <c r="BB2746" s="48"/>
      <c r="BC2746" s="48"/>
      <c r="BD2746" s="48"/>
    </row>
    <row r="2747" spans="1:56">
      <c r="A2747" s="48"/>
      <c r="B2747" s="48"/>
      <c r="C2747" s="49"/>
      <c r="D2747" s="48"/>
      <c r="E2747" s="48"/>
      <c r="F2747" s="48"/>
      <c r="G2747" s="48"/>
      <c r="H2747" s="48"/>
      <c r="I2747" s="48"/>
      <c r="J2747" s="86"/>
      <c r="K2747" s="86"/>
      <c r="L2747" s="86"/>
      <c r="M2747" s="86"/>
      <c r="N2747" s="86"/>
      <c r="O2747" s="86"/>
      <c r="P2747" s="86"/>
      <c r="Q2747" s="86"/>
      <c r="R2747" s="86"/>
      <c r="S2747" s="86"/>
      <c r="T2747" s="86"/>
      <c r="U2747" s="86"/>
      <c r="V2747" s="48"/>
      <c r="W2747" s="48"/>
      <c r="X2747" s="48"/>
      <c r="Y2747" s="48"/>
      <c r="Z2747" s="48"/>
      <c r="AA2747" s="48"/>
      <c r="AB2747" s="48"/>
      <c r="AC2747" s="48"/>
      <c r="AD2747" s="48"/>
      <c r="AE2747" s="48"/>
      <c r="AF2747" s="48"/>
      <c r="AG2747" s="48"/>
      <c r="AH2747" s="48"/>
      <c r="AI2747" s="48"/>
      <c r="AJ2747" s="48"/>
      <c r="AK2747" s="48"/>
      <c r="AL2747" s="48"/>
      <c r="AM2747" s="48"/>
      <c r="AN2747" s="48"/>
      <c r="AO2747" s="48"/>
      <c r="AP2747" s="48"/>
      <c r="AQ2747" s="48"/>
      <c r="AR2747" s="48"/>
      <c r="AS2747" s="48"/>
      <c r="AT2747" s="48"/>
      <c r="AU2747" s="48"/>
      <c r="AV2747" s="48"/>
      <c r="AW2747" s="48"/>
      <c r="AX2747" s="48"/>
      <c r="AY2747" s="48"/>
      <c r="AZ2747" s="48"/>
      <c r="BA2747" s="48"/>
      <c r="BB2747" s="48"/>
      <c r="BC2747" s="48"/>
      <c r="BD2747" s="48"/>
    </row>
    <row r="2748" spans="1:56">
      <c r="A2748" s="48"/>
      <c r="B2748" s="48"/>
      <c r="C2748" s="49"/>
      <c r="D2748" s="48"/>
      <c r="E2748" s="48"/>
      <c r="F2748" s="48"/>
      <c r="G2748" s="48"/>
      <c r="H2748" s="48"/>
      <c r="I2748" s="48"/>
      <c r="J2748" s="86"/>
      <c r="K2748" s="86"/>
      <c r="L2748" s="86"/>
      <c r="M2748" s="86"/>
      <c r="N2748" s="86"/>
      <c r="O2748" s="86"/>
      <c r="P2748" s="86"/>
      <c r="Q2748" s="86"/>
      <c r="R2748" s="86"/>
      <c r="S2748" s="86"/>
      <c r="T2748" s="86"/>
      <c r="U2748" s="86"/>
      <c r="V2748" s="48"/>
      <c r="W2748" s="48"/>
      <c r="X2748" s="48"/>
      <c r="Y2748" s="48"/>
      <c r="Z2748" s="48"/>
      <c r="AA2748" s="48"/>
      <c r="AB2748" s="48"/>
      <c r="AC2748" s="48"/>
      <c r="AD2748" s="48"/>
      <c r="AE2748" s="48"/>
      <c r="AF2748" s="48"/>
      <c r="AG2748" s="48"/>
      <c r="AH2748" s="48"/>
      <c r="AI2748" s="48"/>
      <c r="AJ2748" s="48"/>
      <c r="AK2748" s="48"/>
      <c r="AL2748" s="48"/>
      <c r="AM2748" s="48"/>
      <c r="AN2748" s="48"/>
      <c r="AO2748" s="48"/>
      <c r="AP2748" s="48"/>
      <c r="AQ2748" s="48"/>
      <c r="AR2748" s="48"/>
      <c r="AS2748" s="48"/>
      <c r="AT2748" s="48"/>
      <c r="AU2748" s="48"/>
      <c r="AV2748" s="48"/>
      <c r="AW2748" s="48"/>
      <c r="AX2748" s="48"/>
      <c r="AY2748" s="48"/>
      <c r="AZ2748" s="48"/>
      <c r="BA2748" s="48"/>
      <c r="BB2748" s="48"/>
      <c r="BC2748" s="48"/>
      <c r="BD2748" s="48"/>
    </row>
    <row r="2749" spans="1:56">
      <c r="A2749" s="48"/>
      <c r="B2749" s="48"/>
      <c r="C2749" s="49"/>
      <c r="D2749" s="48"/>
      <c r="E2749" s="48"/>
      <c r="F2749" s="48"/>
      <c r="G2749" s="48"/>
      <c r="H2749" s="48"/>
      <c r="I2749" s="48"/>
      <c r="J2749" s="86"/>
      <c r="K2749" s="86"/>
      <c r="L2749" s="86"/>
      <c r="M2749" s="86"/>
      <c r="N2749" s="86"/>
      <c r="O2749" s="86"/>
      <c r="P2749" s="86"/>
      <c r="Q2749" s="86"/>
      <c r="R2749" s="86"/>
      <c r="S2749" s="86"/>
      <c r="T2749" s="86"/>
      <c r="U2749" s="86"/>
      <c r="V2749" s="48"/>
      <c r="W2749" s="48"/>
      <c r="X2749" s="48"/>
      <c r="Y2749" s="48"/>
      <c r="Z2749" s="48"/>
      <c r="AA2749" s="48"/>
      <c r="AB2749" s="48"/>
      <c r="AC2749" s="48"/>
      <c r="AD2749" s="48"/>
      <c r="AE2749" s="48"/>
      <c r="AF2749" s="48"/>
      <c r="AG2749" s="48"/>
      <c r="AH2749" s="48"/>
      <c r="AI2749" s="48"/>
      <c r="AJ2749" s="48"/>
      <c r="AK2749" s="48"/>
      <c r="AL2749" s="48"/>
      <c r="AM2749" s="48"/>
      <c r="AN2749" s="48"/>
      <c r="AO2749" s="48"/>
      <c r="AP2749" s="48"/>
      <c r="AQ2749" s="48"/>
      <c r="AR2749" s="48"/>
      <c r="AS2749" s="48"/>
      <c r="AT2749" s="48"/>
      <c r="AU2749" s="48"/>
      <c r="AV2749" s="48"/>
      <c r="AW2749" s="48"/>
      <c r="AX2749" s="48"/>
      <c r="AY2749" s="48"/>
      <c r="AZ2749" s="48"/>
      <c r="BA2749" s="48"/>
      <c r="BB2749" s="48"/>
      <c r="BC2749" s="48"/>
      <c r="BD2749" s="48"/>
    </row>
    <row r="2750" spans="1:56">
      <c r="A2750" s="48"/>
      <c r="B2750" s="48"/>
      <c r="C2750" s="49"/>
      <c r="D2750" s="48"/>
      <c r="E2750" s="48"/>
      <c r="F2750" s="48"/>
      <c r="G2750" s="48"/>
      <c r="H2750" s="48"/>
      <c r="I2750" s="48"/>
      <c r="J2750" s="86"/>
      <c r="K2750" s="86"/>
      <c r="L2750" s="86"/>
      <c r="M2750" s="86"/>
      <c r="N2750" s="86"/>
      <c r="O2750" s="86"/>
      <c r="P2750" s="86"/>
      <c r="Q2750" s="86"/>
      <c r="R2750" s="86"/>
      <c r="S2750" s="86"/>
      <c r="T2750" s="86"/>
      <c r="U2750" s="86"/>
      <c r="V2750" s="48"/>
      <c r="W2750" s="48"/>
      <c r="X2750" s="48"/>
      <c r="Y2750" s="48"/>
      <c r="Z2750" s="48"/>
      <c r="AA2750" s="48"/>
      <c r="AB2750" s="48"/>
      <c r="AC2750" s="48"/>
      <c r="AD2750" s="48"/>
      <c r="AE2750" s="48"/>
      <c r="AF2750" s="48"/>
      <c r="AG2750" s="48"/>
      <c r="AH2750" s="48"/>
      <c r="AI2750" s="48"/>
      <c r="AJ2750" s="48"/>
      <c r="AK2750" s="48"/>
      <c r="AL2750" s="48"/>
      <c r="AM2750" s="48"/>
      <c r="AN2750" s="48"/>
      <c r="AO2750" s="48"/>
      <c r="AP2750" s="48"/>
      <c r="AQ2750" s="48"/>
      <c r="AR2750" s="48"/>
      <c r="AS2750" s="48"/>
      <c r="AT2750" s="48"/>
      <c r="AU2750" s="48"/>
      <c r="AV2750" s="48"/>
      <c r="AW2750" s="48"/>
      <c r="AX2750" s="48"/>
      <c r="AY2750" s="48"/>
      <c r="AZ2750" s="48"/>
      <c r="BA2750" s="48"/>
      <c r="BB2750" s="48"/>
      <c r="BC2750" s="48"/>
      <c r="BD2750" s="48"/>
    </row>
    <row r="2751" spans="1:56">
      <c r="A2751" s="48"/>
      <c r="B2751" s="48"/>
      <c r="C2751" s="49"/>
      <c r="D2751" s="48"/>
      <c r="E2751" s="48"/>
      <c r="F2751" s="48"/>
      <c r="G2751" s="48"/>
      <c r="H2751" s="48"/>
      <c r="I2751" s="48"/>
      <c r="J2751" s="86"/>
      <c r="K2751" s="86"/>
      <c r="L2751" s="86"/>
      <c r="M2751" s="86"/>
      <c r="N2751" s="86"/>
      <c r="O2751" s="86"/>
      <c r="P2751" s="86"/>
      <c r="Q2751" s="86"/>
      <c r="R2751" s="86"/>
      <c r="S2751" s="86"/>
      <c r="T2751" s="86"/>
      <c r="U2751" s="86"/>
      <c r="V2751" s="48"/>
      <c r="W2751" s="48"/>
      <c r="X2751" s="48"/>
      <c r="Y2751" s="48"/>
      <c r="Z2751" s="48"/>
      <c r="AA2751" s="48"/>
      <c r="AB2751" s="48"/>
      <c r="AC2751" s="48"/>
      <c r="AD2751" s="48"/>
      <c r="AE2751" s="48"/>
      <c r="AF2751" s="48"/>
      <c r="AG2751" s="48"/>
      <c r="AH2751" s="48"/>
      <c r="AI2751" s="48"/>
      <c r="AJ2751" s="48"/>
      <c r="AK2751" s="48"/>
      <c r="AL2751" s="48"/>
      <c r="AM2751" s="48"/>
      <c r="AN2751" s="48"/>
      <c r="AO2751" s="48"/>
      <c r="AP2751" s="48"/>
      <c r="AQ2751" s="48"/>
      <c r="AR2751" s="48"/>
      <c r="AS2751" s="48"/>
      <c r="AT2751" s="48"/>
      <c r="AU2751" s="48"/>
      <c r="AV2751" s="48"/>
      <c r="AW2751" s="48"/>
      <c r="AX2751" s="48"/>
      <c r="AY2751" s="48"/>
      <c r="AZ2751" s="48"/>
      <c r="BA2751" s="48"/>
      <c r="BB2751" s="48"/>
      <c r="BC2751" s="48"/>
      <c r="BD2751" s="48"/>
    </row>
    <row r="2752" spans="1:56">
      <c r="A2752" s="48"/>
      <c r="B2752" s="48"/>
      <c r="C2752" s="49"/>
      <c r="D2752" s="48"/>
      <c r="E2752" s="48"/>
      <c r="F2752" s="48"/>
      <c r="G2752" s="48"/>
      <c r="H2752" s="48"/>
      <c r="I2752" s="48"/>
      <c r="J2752" s="86"/>
      <c r="K2752" s="86"/>
      <c r="L2752" s="86"/>
      <c r="M2752" s="86"/>
      <c r="N2752" s="86"/>
      <c r="O2752" s="86"/>
      <c r="P2752" s="86"/>
      <c r="Q2752" s="86"/>
      <c r="R2752" s="86"/>
      <c r="S2752" s="86"/>
      <c r="T2752" s="86"/>
      <c r="U2752" s="86"/>
      <c r="V2752" s="48"/>
      <c r="W2752" s="48"/>
      <c r="X2752" s="48"/>
      <c r="Y2752" s="48"/>
      <c r="Z2752" s="48"/>
      <c r="AA2752" s="48"/>
      <c r="AB2752" s="48"/>
      <c r="AC2752" s="48"/>
      <c r="AD2752" s="48"/>
      <c r="AE2752" s="48"/>
      <c r="AF2752" s="48"/>
      <c r="AG2752" s="48"/>
      <c r="AH2752" s="48"/>
      <c r="AI2752" s="48"/>
      <c r="AJ2752" s="48"/>
      <c r="AK2752" s="48"/>
      <c r="AL2752" s="48"/>
      <c r="AM2752" s="48"/>
      <c r="AN2752" s="48"/>
      <c r="AO2752" s="48"/>
      <c r="AP2752" s="48"/>
      <c r="AQ2752" s="48"/>
      <c r="AR2752" s="48"/>
      <c r="AS2752" s="48"/>
      <c r="AT2752" s="48"/>
      <c r="AU2752" s="48"/>
      <c r="AV2752" s="48"/>
      <c r="AW2752" s="48"/>
      <c r="AX2752" s="48"/>
      <c r="AY2752" s="48"/>
      <c r="AZ2752" s="48"/>
      <c r="BA2752" s="48"/>
      <c r="BB2752" s="48"/>
      <c r="BC2752" s="48"/>
      <c r="BD2752" s="48"/>
    </row>
    <row r="2753" spans="1:56">
      <c r="A2753" s="48"/>
      <c r="B2753" s="48"/>
      <c r="C2753" s="49"/>
      <c r="D2753" s="48"/>
      <c r="E2753" s="48"/>
      <c r="F2753" s="48"/>
      <c r="G2753" s="48"/>
      <c r="H2753" s="48"/>
      <c r="I2753" s="48"/>
      <c r="J2753" s="86"/>
      <c r="K2753" s="86"/>
      <c r="L2753" s="86"/>
      <c r="M2753" s="86"/>
      <c r="N2753" s="86"/>
      <c r="O2753" s="86"/>
      <c r="P2753" s="86"/>
      <c r="Q2753" s="86"/>
      <c r="R2753" s="86"/>
      <c r="S2753" s="86"/>
      <c r="T2753" s="86"/>
      <c r="U2753" s="86"/>
      <c r="V2753" s="48"/>
      <c r="W2753" s="48"/>
      <c r="X2753" s="48"/>
      <c r="Y2753" s="48"/>
      <c r="Z2753" s="48"/>
      <c r="AA2753" s="48"/>
      <c r="AB2753" s="48"/>
      <c r="AC2753" s="48"/>
      <c r="AD2753" s="48"/>
      <c r="AE2753" s="48"/>
      <c r="AF2753" s="48"/>
      <c r="AG2753" s="48"/>
      <c r="AH2753" s="48"/>
      <c r="AI2753" s="48"/>
      <c r="AJ2753" s="48"/>
      <c r="AK2753" s="48"/>
      <c r="AL2753" s="48"/>
      <c r="AM2753" s="48"/>
      <c r="AN2753" s="48"/>
      <c r="AO2753" s="48"/>
      <c r="AP2753" s="48"/>
      <c r="AQ2753" s="48"/>
      <c r="AR2753" s="48"/>
      <c r="AS2753" s="48"/>
      <c r="AT2753" s="48"/>
      <c r="AU2753" s="48"/>
      <c r="AV2753" s="48"/>
      <c r="AW2753" s="48"/>
      <c r="AX2753" s="48"/>
      <c r="AY2753" s="48"/>
      <c r="AZ2753" s="48"/>
      <c r="BA2753" s="48"/>
      <c r="BB2753" s="48"/>
      <c r="BC2753" s="48"/>
      <c r="BD2753" s="48"/>
    </row>
    <row r="2754" spans="1:56">
      <c r="A2754" s="48"/>
      <c r="B2754" s="48"/>
      <c r="C2754" s="49"/>
      <c r="D2754" s="48"/>
      <c r="E2754" s="48"/>
      <c r="F2754" s="48"/>
      <c r="G2754" s="48"/>
      <c r="H2754" s="48"/>
      <c r="I2754" s="48"/>
      <c r="J2754" s="86"/>
      <c r="K2754" s="86"/>
      <c r="L2754" s="86"/>
      <c r="M2754" s="86"/>
      <c r="N2754" s="86"/>
      <c r="O2754" s="86"/>
      <c r="P2754" s="86"/>
      <c r="Q2754" s="86"/>
      <c r="R2754" s="86"/>
      <c r="S2754" s="86"/>
      <c r="T2754" s="86"/>
      <c r="U2754" s="86"/>
      <c r="V2754" s="48"/>
      <c r="W2754" s="48"/>
      <c r="X2754" s="48"/>
      <c r="Y2754" s="48"/>
      <c r="Z2754" s="48"/>
      <c r="AA2754" s="48"/>
      <c r="AB2754" s="48"/>
      <c r="AC2754" s="48"/>
      <c r="AD2754" s="48"/>
      <c r="AE2754" s="48"/>
      <c r="AF2754" s="48"/>
      <c r="AG2754" s="48"/>
      <c r="AH2754" s="48"/>
      <c r="AI2754" s="48"/>
      <c r="AJ2754" s="48"/>
      <c r="AK2754" s="48"/>
      <c r="AL2754" s="48"/>
      <c r="AM2754" s="48"/>
      <c r="AN2754" s="48"/>
      <c r="AO2754" s="48"/>
      <c r="AP2754" s="48"/>
      <c r="AQ2754" s="48"/>
      <c r="AR2754" s="48"/>
      <c r="AS2754" s="48"/>
      <c r="AT2754" s="48"/>
      <c r="AU2754" s="48"/>
      <c r="AV2754" s="48"/>
      <c r="AW2754" s="48"/>
      <c r="AX2754" s="48"/>
      <c r="AY2754" s="48"/>
      <c r="AZ2754" s="48"/>
      <c r="BA2754" s="48"/>
      <c r="BB2754" s="48"/>
      <c r="BC2754" s="48"/>
      <c r="BD2754" s="48"/>
    </row>
    <row r="2755" spans="1:56">
      <c r="A2755" s="48"/>
      <c r="B2755" s="48"/>
      <c r="C2755" s="49"/>
      <c r="D2755" s="48"/>
      <c r="E2755" s="48"/>
      <c r="F2755" s="48"/>
      <c r="G2755" s="48"/>
      <c r="H2755" s="48"/>
      <c r="I2755" s="48"/>
      <c r="J2755" s="86"/>
      <c r="K2755" s="86"/>
      <c r="L2755" s="86"/>
      <c r="M2755" s="86"/>
      <c r="N2755" s="86"/>
      <c r="O2755" s="86"/>
      <c r="P2755" s="86"/>
      <c r="Q2755" s="86"/>
      <c r="R2755" s="86"/>
      <c r="S2755" s="86"/>
      <c r="T2755" s="86"/>
      <c r="U2755" s="86"/>
      <c r="V2755" s="48"/>
      <c r="W2755" s="48"/>
      <c r="X2755" s="48"/>
      <c r="Y2755" s="48"/>
      <c r="Z2755" s="48"/>
      <c r="AA2755" s="48"/>
      <c r="AB2755" s="48"/>
      <c r="AC2755" s="48"/>
      <c r="AD2755" s="48"/>
      <c r="AE2755" s="48"/>
      <c r="AF2755" s="48"/>
      <c r="AG2755" s="48"/>
      <c r="AH2755" s="48"/>
      <c r="AI2755" s="48"/>
      <c r="AJ2755" s="48"/>
      <c r="AK2755" s="48"/>
      <c r="AL2755" s="48"/>
      <c r="AM2755" s="48"/>
      <c r="AN2755" s="48"/>
      <c r="AO2755" s="48"/>
      <c r="AP2755" s="48"/>
      <c r="AQ2755" s="48"/>
      <c r="AR2755" s="48"/>
      <c r="AS2755" s="48"/>
      <c r="AT2755" s="48"/>
      <c r="AU2755" s="48"/>
      <c r="AV2755" s="48"/>
      <c r="AW2755" s="48"/>
      <c r="AX2755" s="48"/>
      <c r="AY2755" s="48"/>
      <c r="AZ2755" s="48"/>
      <c r="BA2755" s="48"/>
      <c r="BB2755" s="48"/>
      <c r="BC2755" s="48"/>
      <c r="BD2755" s="48"/>
    </row>
    <row r="2756" spans="1:56">
      <c r="A2756" s="48"/>
      <c r="B2756" s="48"/>
      <c r="C2756" s="49"/>
      <c r="D2756" s="48"/>
      <c r="E2756" s="48"/>
      <c r="F2756" s="48"/>
      <c r="G2756" s="48"/>
      <c r="H2756" s="48"/>
      <c r="I2756" s="48"/>
      <c r="J2756" s="86"/>
      <c r="K2756" s="86"/>
      <c r="L2756" s="86"/>
      <c r="M2756" s="86"/>
      <c r="N2756" s="86"/>
      <c r="O2756" s="86"/>
      <c r="P2756" s="86"/>
      <c r="Q2756" s="86"/>
      <c r="R2756" s="86"/>
      <c r="S2756" s="86"/>
      <c r="T2756" s="86"/>
      <c r="U2756" s="86"/>
      <c r="V2756" s="48"/>
      <c r="W2756" s="48"/>
      <c r="X2756" s="48"/>
      <c r="Y2756" s="48"/>
      <c r="Z2756" s="48"/>
      <c r="AA2756" s="48"/>
      <c r="AB2756" s="48"/>
      <c r="AC2756" s="48"/>
      <c r="AD2756" s="48"/>
      <c r="AE2756" s="48"/>
      <c r="AF2756" s="48"/>
      <c r="AG2756" s="48"/>
      <c r="AH2756" s="48"/>
      <c r="AI2756" s="48"/>
      <c r="AJ2756" s="48"/>
      <c r="AK2756" s="48"/>
      <c r="AL2756" s="48"/>
      <c r="AM2756" s="48"/>
      <c r="AN2756" s="48"/>
      <c r="AO2756" s="48"/>
      <c r="AP2756" s="48"/>
      <c r="AQ2756" s="48"/>
      <c r="AR2756" s="48"/>
      <c r="AS2756" s="48"/>
      <c r="AT2756" s="48"/>
      <c r="AU2756" s="48"/>
      <c r="AV2756" s="48"/>
      <c r="AW2756" s="48"/>
      <c r="AX2756" s="48"/>
      <c r="AY2756" s="48"/>
      <c r="AZ2756" s="48"/>
      <c r="BA2756" s="48"/>
      <c r="BB2756" s="48"/>
      <c r="BC2756" s="48"/>
      <c r="BD2756" s="48"/>
    </row>
    <row r="2757" spans="1:56">
      <c r="A2757" s="48"/>
      <c r="B2757" s="48"/>
      <c r="C2757" s="49"/>
      <c r="D2757" s="48"/>
      <c r="E2757" s="48"/>
      <c r="F2757" s="48"/>
      <c r="G2757" s="48"/>
      <c r="H2757" s="48"/>
      <c r="I2757" s="48"/>
      <c r="J2757" s="86"/>
      <c r="K2757" s="86"/>
      <c r="L2757" s="86"/>
      <c r="M2757" s="86"/>
      <c r="N2757" s="86"/>
      <c r="O2757" s="86"/>
      <c r="P2757" s="86"/>
      <c r="Q2757" s="86"/>
      <c r="R2757" s="86"/>
      <c r="S2757" s="86"/>
      <c r="T2757" s="86"/>
      <c r="U2757" s="86"/>
      <c r="V2757" s="48"/>
      <c r="W2757" s="48"/>
      <c r="X2757" s="48"/>
      <c r="Y2757" s="48"/>
      <c r="Z2757" s="48"/>
      <c r="AA2757" s="48"/>
      <c r="AB2757" s="48"/>
      <c r="AC2757" s="48"/>
      <c r="AD2757" s="48"/>
      <c r="AE2757" s="48"/>
      <c r="AF2757" s="48"/>
      <c r="AG2757" s="48"/>
      <c r="AH2757" s="48"/>
      <c r="AI2757" s="48"/>
      <c r="AJ2757" s="48"/>
      <c r="AK2757" s="48"/>
      <c r="AL2757" s="48"/>
      <c r="AM2757" s="48"/>
      <c r="AN2757" s="48"/>
      <c r="AO2757" s="48"/>
      <c r="AP2757" s="48"/>
      <c r="AQ2757" s="48"/>
      <c r="AR2757" s="48"/>
      <c r="AS2757" s="48"/>
      <c r="AT2757" s="48"/>
      <c r="AU2757" s="48"/>
      <c r="AV2757" s="48"/>
      <c r="AW2757" s="48"/>
      <c r="AX2757" s="48"/>
      <c r="AY2757" s="48"/>
      <c r="AZ2757" s="48"/>
      <c r="BA2757" s="48"/>
      <c r="BB2757" s="48"/>
      <c r="BC2757" s="48"/>
      <c r="BD2757" s="48"/>
    </row>
    <row r="2758" spans="1:56">
      <c r="A2758" s="48"/>
      <c r="B2758" s="48"/>
      <c r="C2758" s="49"/>
      <c r="D2758" s="48"/>
      <c r="E2758" s="48"/>
      <c r="F2758" s="48"/>
      <c r="G2758" s="48"/>
      <c r="H2758" s="48"/>
      <c r="I2758" s="48"/>
      <c r="J2758" s="86"/>
      <c r="K2758" s="86"/>
      <c r="L2758" s="86"/>
      <c r="M2758" s="86"/>
      <c r="N2758" s="86"/>
      <c r="O2758" s="86"/>
      <c r="P2758" s="86"/>
      <c r="Q2758" s="86"/>
      <c r="R2758" s="86"/>
      <c r="S2758" s="86"/>
      <c r="T2758" s="86"/>
      <c r="U2758" s="86"/>
      <c r="V2758" s="48"/>
      <c r="W2758" s="48"/>
      <c r="X2758" s="48"/>
      <c r="Y2758" s="48"/>
      <c r="Z2758" s="48"/>
      <c r="AA2758" s="48"/>
      <c r="AB2758" s="48"/>
      <c r="AC2758" s="48"/>
      <c r="AD2758" s="48"/>
      <c r="AE2758" s="48"/>
      <c r="AF2758" s="48"/>
      <c r="AG2758" s="48"/>
      <c r="AH2758" s="48"/>
      <c r="AI2758" s="48"/>
      <c r="AJ2758" s="48"/>
      <c r="AK2758" s="48"/>
      <c r="AL2758" s="48"/>
      <c r="AM2758" s="48"/>
      <c r="AN2758" s="48"/>
      <c r="AO2758" s="48"/>
      <c r="AP2758" s="48"/>
      <c r="AQ2758" s="48"/>
      <c r="AR2758" s="48"/>
      <c r="AS2758" s="48"/>
      <c r="AT2758" s="48"/>
      <c r="AU2758" s="48"/>
      <c r="AV2758" s="48"/>
      <c r="AW2758" s="48"/>
      <c r="AX2758" s="48"/>
      <c r="AY2758" s="48"/>
      <c r="AZ2758" s="48"/>
      <c r="BA2758" s="48"/>
      <c r="BB2758" s="48"/>
      <c r="BC2758" s="48"/>
      <c r="BD2758" s="48"/>
    </row>
    <row r="2759" spans="1:56">
      <c r="A2759" s="48"/>
      <c r="B2759" s="48"/>
      <c r="C2759" s="49"/>
      <c r="D2759" s="48"/>
      <c r="E2759" s="48"/>
      <c r="F2759" s="48"/>
      <c r="G2759" s="48"/>
      <c r="H2759" s="48"/>
      <c r="I2759" s="48"/>
      <c r="J2759" s="86"/>
      <c r="K2759" s="86"/>
      <c r="L2759" s="86"/>
      <c r="M2759" s="86"/>
      <c r="N2759" s="86"/>
      <c r="O2759" s="86"/>
      <c r="P2759" s="86"/>
      <c r="Q2759" s="86"/>
      <c r="R2759" s="86"/>
      <c r="S2759" s="86"/>
      <c r="T2759" s="86"/>
      <c r="U2759" s="86"/>
      <c r="V2759" s="48"/>
      <c r="W2759" s="48"/>
      <c r="X2759" s="48"/>
      <c r="Y2759" s="48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48"/>
      <c r="AL2759" s="48"/>
      <c r="AM2759" s="48"/>
      <c r="AN2759" s="48"/>
      <c r="AO2759" s="48"/>
      <c r="AP2759" s="48"/>
      <c r="AQ2759" s="48"/>
      <c r="AR2759" s="48"/>
      <c r="AS2759" s="48"/>
      <c r="AT2759" s="48"/>
      <c r="AU2759" s="48"/>
      <c r="AV2759" s="48"/>
      <c r="AW2759" s="48"/>
      <c r="AX2759" s="48"/>
      <c r="AY2759" s="48"/>
      <c r="AZ2759" s="48"/>
      <c r="BA2759" s="48"/>
      <c r="BB2759" s="48"/>
      <c r="BC2759" s="48"/>
      <c r="BD2759" s="48"/>
    </row>
    <row r="2760" spans="1:56">
      <c r="A2760" s="48"/>
      <c r="B2760" s="48"/>
      <c r="C2760" s="49"/>
      <c r="D2760" s="48"/>
      <c r="E2760" s="48"/>
      <c r="F2760" s="48"/>
      <c r="G2760" s="48"/>
      <c r="H2760" s="48"/>
      <c r="I2760" s="48"/>
      <c r="J2760" s="86"/>
      <c r="K2760" s="86"/>
      <c r="L2760" s="86"/>
      <c r="M2760" s="86"/>
      <c r="N2760" s="86"/>
      <c r="O2760" s="86"/>
      <c r="P2760" s="86"/>
      <c r="Q2760" s="86"/>
      <c r="R2760" s="86"/>
      <c r="S2760" s="86"/>
      <c r="T2760" s="86"/>
      <c r="U2760" s="86"/>
      <c r="V2760" s="48"/>
      <c r="W2760" s="48"/>
      <c r="X2760" s="48"/>
      <c r="Y2760" s="48"/>
      <c r="Z2760" s="48"/>
      <c r="AA2760" s="48"/>
      <c r="AB2760" s="48"/>
      <c r="AC2760" s="48"/>
      <c r="AD2760" s="48"/>
      <c r="AE2760" s="48"/>
      <c r="AF2760" s="48"/>
      <c r="AG2760" s="48"/>
      <c r="AH2760" s="48"/>
      <c r="AI2760" s="48"/>
      <c r="AJ2760" s="48"/>
      <c r="AK2760" s="48"/>
      <c r="AL2760" s="48"/>
      <c r="AM2760" s="48"/>
      <c r="AN2760" s="48"/>
      <c r="AO2760" s="48"/>
      <c r="AP2760" s="48"/>
      <c r="AQ2760" s="48"/>
      <c r="AR2760" s="48"/>
      <c r="AS2760" s="48"/>
      <c r="AT2760" s="48"/>
      <c r="AU2760" s="48"/>
      <c r="AV2760" s="48"/>
      <c r="AW2760" s="48"/>
      <c r="AX2760" s="48"/>
      <c r="AY2760" s="48"/>
      <c r="AZ2760" s="48"/>
      <c r="BA2760" s="48"/>
      <c r="BB2760" s="48"/>
      <c r="BC2760" s="48"/>
      <c r="BD2760" s="48"/>
    </row>
    <row r="2761" spans="1:56">
      <c r="A2761" s="48"/>
      <c r="B2761" s="48"/>
      <c r="C2761" s="49"/>
      <c r="D2761" s="48"/>
      <c r="E2761" s="48"/>
      <c r="F2761" s="48"/>
      <c r="G2761" s="48"/>
      <c r="H2761" s="48"/>
      <c r="I2761" s="48"/>
      <c r="J2761" s="86"/>
      <c r="K2761" s="86"/>
      <c r="L2761" s="86"/>
      <c r="M2761" s="86"/>
      <c r="N2761" s="86"/>
      <c r="O2761" s="86"/>
      <c r="P2761" s="86"/>
      <c r="Q2761" s="86"/>
      <c r="R2761" s="86"/>
      <c r="S2761" s="86"/>
      <c r="T2761" s="86"/>
      <c r="U2761" s="86"/>
      <c r="V2761" s="48"/>
      <c r="W2761" s="48"/>
      <c r="X2761" s="48"/>
      <c r="Y2761" s="48"/>
      <c r="Z2761" s="48"/>
      <c r="AA2761" s="48"/>
      <c r="AB2761" s="48"/>
      <c r="AC2761" s="48"/>
      <c r="AD2761" s="48"/>
      <c r="AE2761" s="48"/>
      <c r="AF2761" s="48"/>
      <c r="AG2761" s="48"/>
      <c r="AH2761" s="48"/>
      <c r="AI2761" s="48"/>
      <c r="AJ2761" s="48"/>
      <c r="AK2761" s="48"/>
      <c r="AL2761" s="48"/>
      <c r="AM2761" s="48"/>
      <c r="AN2761" s="48"/>
      <c r="AO2761" s="48"/>
      <c r="AP2761" s="48"/>
      <c r="AQ2761" s="48"/>
      <c r="AR2761" s="48"/>
      <c r="AS2761" s="48"/>
      <c r="AT2761" s="48"/>
      <c r="AU2761" s="48"/>
      <c r="AV2761" s="48"/>
      <c r="AW2761" s="48"/>
      <c r="AX2761" s="48"/>
      <c r="AY2761" s="48"/>
      <c r="AZ2761" s="48"/>
      <c r="BA2761" s="48"/>
      <c r="BB2761" s="48"/>
      <c r="BC2761" s="48"/>
      <c r="BD2761" s="48"/>
    </row>
    <row r="2762" spans="1:56">
      <c r="A2762" s="48"/>
      <c r="B2762" s="48"/>
      <c r="C2762" s="49"/>
      <c r="D2762" s="48"/>
      <c r="E2762" s="48"/>
      <c r="F2762" s="48"/>
      <c r="G2762" s="48"/>
      <c r="H2762" s="48"/>
      <c r="I2762" s="48"/>
      <c r="J2762" s="86"/>
      <c r="K2762" s="86"/>
      <c r="L2762" s="86"/>
      <c r="M2762" s="86"/>
      <c r="N2762" s="86"/>
      <c r="O2762" s="86"/>
      <c r="P2762" s="86"/>
      <c r="Q2762" s="86"/>
      <c r="R2762" s="86"/>
      <c r="S2762" s="86"/>
      <c r="T2762" s="86"/>
      <c r="U2762" s="86"/>
      <c r="V2762" s="48"/>
      <c r="W2762" s="48"/>
      <c r="X2762" s="48"/>
      <c r="Y2762" s="48"/>
      <c r="Z2762" s="48"/>
      <c r="AA2762" s="48"/>
      <c r="AB2762" s="48"/>
      <c r="AC2762" s="48"/>
      <c r="AD2762" s="48"/>
      <c r="AE2762" s="48"/>
      <c r="AF2762" s="48"/>
      <c r="AG2762" s="48"/>
      <c r="AH2762" s="48"/>
      <c r="AI2762" s="48"/>
      <c r="AJ2762" s="48"/>
      <c r="AK2762" s="48"/>
      <c r="AL2762" s="48"/>
      <c r="AM2762" s="48"/>
      <c r="AN2762" s="48"/>
      <c r="AO2762" s="48"/>
      <c r="AP2762" s="48"/>
      <c r="AQ2762" s="48"/>
      <c r="AR2762" s="48"/>
      <c r="AS2762" s="48"/>
      <c r="AT2762" s="48"/>
      <c r="AU2762" s="48"/>
      <c r="AV2762" s="48"/>
      <c r="AW2762" s="48"/>
      <c r="AX2762" s="48"/>
      <c r="AY2762" s="48"/>
      <c r="AZ2762" s="48"/>
      <c r="BA2762" s="48"/>
      <c r="BB2762" s="48"/>
      <c r="BC2762" s="48"/>
      <c r="BD2762" s="48"/>
    </row>
    <row r="2763" spans="1:56">
      <c r="A2763" s="48"/>
      <c r="B2763" s="48"/>
      <c r="C2763" s="49"/>
      <c r="D2763" s="48"/>
      <c r="E2763" s="48"/>
      <c r="F2763" s="48"/>
      <c r="G2763" s="48"/>
      <c r="H2763" s="48"/>
      <c r="I2763" s="48"/>
      <c r="J2763" s="86"/>
      <c r="K2763" s="86"/>
      <c r="L2763" s="86"/>
      <c r="M2763" s="86"/>
      <c r="N2763" s="86"/>
      <c r="O2763" s="86"/>
      <c r="P2763" s="86"/>
      <c r="Q2763" s="86"/>
      <c r="R2763" s="86"/>
      <c r="S2763" s="86"/>
      <c r="T2763" s="86"/>
      <c r="U2763" s="86"/>
      <c r="V2763" s="48"/>
      <c r="W2763" s="48"/>
      <c r="X2763" s="48"/>
      <c r="Y2763" s="48"/>
      <c r="Z2763" s="48"/>
      <c r="AA2763" s="48"/>
      <c r="AB2763" s="48"/>
      <c r="AC2763" s="48"/>
      <c r="AD2763" s="48"/>
      <c r="AE2763" s="48"/>
      <c r="AF2763" s="48"/>
      <c r="AG2763" s="48"/>
      <c r="AH2763" s="48"/>
      <c r="AI2763" s="48"/>
      <c r="AJ2763" s="48"/>
      <c r="AK2763" s="48"/>
      <c r="AL2763" s="48"/>
      <c r="AM2763" s="48"/>
      <c r="AN2763" s="48"/>
      <c r="AO2763" s="48"/>
      <c r="AP2763" s="48"/>
      <c r="AQ2763" s="48"/>
      <c r="AR2763" s="48"/>
      <c r="AS2763" s="48"/>
      <c r="AT2763" s="48"/>
      <c r="AU2763" s="48"/>
      <c r="AV2763" s="48"/>
      <c r="AW2763" s="48"/>
      <c r="AX2763" s="48"/>
      <c r="AY2763" s="48"/>
      <c r="AZ2763" s="48"/>
      <c r="BA2763" s="48"/>
      <c r="BB2763" s="48"/>
      <c r="BC2763" s="48"/>
      <c r="BD2763" s="48"/>
    </row>
    <row r="2764" spans="1:56">
      <c r="A2764" s="48"/>
      <c r="B2764" s="48"/>
      <c r="C2764" s="49"/>
      <c r="D2764" s="48"/>
      <c r="E2764" s="48"/>
      <c r="F2764" s="48"/>
      <c r="G2764" s="48"/>
      <c r="H2764" s="48"/>
      <c r="I2764" s="48"/>
      <c r="J2764" s="86"/>
      <c r="K2764" s="86"/>
      <c r="L2764" s="86"/>
      <c r="M2764" s="86"/>
      <c r="N2764" s="86"/>
      <c r="O2764" s="86"/>
      <c r="P2764" s="86"/>
      <c r="Q2764" s="86"/>
      <c r="R2764" s="86"/>
      <c r="S2764" s="86"/>
      <c r="T2764" s="86"/>
      <c r="U2764" s="86"/>
      <c r="V2764" s="48"/>
      <c r="W2764" s="48"/>
      <c r="X2764" s="48"/>
      <c r="Y2764" s="48"/>
      <c r="Z2764" s="48"/>
      <c r="AA2764" s="48"/>
      <c r="AB2764" s="48"/>
      <c r="AC2764" s="48"/>
      <c r="AD2764" s="48"/>
      <c r="AE2764" s="48"/>
      <c r="AF2764" s="48"/>
      <c r="AG2764" s="48"/>
      <c r="AH2764" s="48"/>
      <c r="AI2764" s="48"/>
      <c r="AJ2764" s="48"/>
      <c r="AK2764" s="48"/>
      <c r="AL2764" s="48"/>
      <c r="AM2764" s="48"/>
      <c r="AN2764" s="48"/>
      <c r="AO2764" s="48"/>
      <c r="AP2764" s="48"/>
      <c r="AQ2764" s="48"/>
      <c r="AR2764" s="48"/>
      <c r="AS2764" s="48"/>
      <c r="AT2764" s="48"/>
      <c r="AU2764" s="48"/>
      <c r="AV2764" s="48"/>
      <c r="AW2764" s="48"/>
      <c r="AX2764" s="48"/>
      <c r="AY2764" s="48"/>
      <c r="AZ2764" s="48"/>
      <c r="BA2764" s="48"/>
      <c r="BB2764" s="48"/>
      <c r="BC2764" s="48"/>
      <c r="BD2764" s="48"/>
    </row>
    <row r="2765" spans="1:56">
      <c r="A2765" s="48"/>
      <c r="B2765" s="48"/>
      <c r="C2765" s="49"/>
      <c r="D2765" s="48"/>
      <c r="E2765" s="48"/>
      <c r="F2765" s="48"/>
      <c r="G2765" s="48"/>
      <c r="H2765" s="48"/>
      <c r="I2765" s="48"/>
      <c r="J2765" s="86"/>
      <c r="K2765" s="86"/>
      <c r="L2765" s="86"/>
      <c r="M2765" s="86"/>
      <c r="N2765" s="86"/>
      <c r="O2765" s="86"/>
      <c r="P2765" s="86"/>
      <c r="Q2765" s="86"/>
      <c r="R2765" s="86"/>
      <c r="S2765" s="86"/>
      <c r="T2765" s="86"/>
      <c r="U2765" s="86"/>
      <c r="V2765" s="48"/>
      <c r="W2765" s="48"/>
      <c r="X2765" s="48"/>
      <c r="Y2765" s="48"/>
      <c r="Z2765" s="48"/>
      <c r="AA2765" s="48"/>
      <c r="AB2765" s="48"/>
      <c r="AC2765" s="48"/>
      <c r="AD2765" s="48"/>
      <c r="AE2765" s="48"/>
      <c r="AF2765" s="48"/>
      <c r="AG2765" s="48"/>
      <c r="AH2765" s="48"/>
      <c r="AI2765" s="48"/>
      <c r="AJ2765" s="48"/>
      <c r="AK2765" s="48"/>
      <c r="AL2765" s="48"/>
      <c r="AM2765" s="48"/>
      <c r="AN2765" s="48"/>
      <c r="AO2765" s="48"/>
      <c r="AP2765" s="48"/>
      <c r="AQ2765" s="48"/>
      <c r="AR2765" s="48"/>
      <c r="AS2765" s="48"/>
      <c r="AT2765" s="48"/>
      <c r="AU2765" s="48"/>
      <c r="AV2765" s="48"/>
      <c r="AW2765" s="48"/>
      <c r="AX2765" s="48"/>
      <c r="AY2765" s="48"/>
      <c r="AZ2765" s="48"/>
      <c r="BA2765" s="48"/>
      <c r="BB2765" s="48"/>
      <c r="BC2765" s="48"/>
      <c r="BD2765" s="48"/>
    </row>
    <row r="2766" spans="1:56">
      <c r="A2766" s="48"/>
      <c r="B2766" s="48"/>
      <c r="C2766" s="49"/>
      <c r="D2766" s="48"/>
      <c r="E2766" s="48"/>
      <c r="F2766" s="48"/>
      <c r="G2766" s="48"/>
      <c r="H2766" s="48"/>
      <c r="I2766" s="48"/>
      <c r="J2766" s="86"/>
      <c r="K2766" s="86"/>
      <c r="L2766" s="86"/>
      <c r="M2766" s="86"/>
      <c r="N2766" s="86"/>
      <c r="O2766" s="86"/>
      <c r="P2766" s="86"/>
      <c r="Q2766" s="86"/>
      <c r="R2766" s="86"/>
      <c r="S2766" s="86"/>
      <c r="T2766" s="86"/>
      <c r="U2766" s="86"/>
      <c r="V2766" s="48"/>
      <c r="W2766" s="48"/>
      <c r="X2766" s="48"/>
      <c r="Y2766" s="48"/>
      <c r="Z2766" s="48"/>
      <c r="AA2766" s="48"/>
      <c r="AB2766" s="48"/>
      <c r="AC2766" s="48"/>
      <c r="AD2766" s="48"/>
      <c r="AE2766" s="48"/>
      <c r="AF2766" s="48"/>
      <c r="AG2766" s="48"/>
      <c r="AH2766" s="48"/>
      <c r="AI2766" s="48"/>
      <c r="AJ2766" s="48"/>
      <c r="AK2766" s="48"/>
      <c r="AL2766" s="48"/>
      <c r="AM2766" s="48"/>
      <c r="AN2766" s="48"/>
      <c r="AO2766" s="48"/>
      <c r="AP2766" s="48"/>
      <c r="AQ2766" s="48"/>
      <c r="AR2766" s="48"/>
      <c r="AS2766" s="48"/>
      <c r="AT2766" s="48"/>
      <c r="AU2766" s="48"/>
      <c r="AV2766" s="48"/>
      <c r="AW2766" s="48"/>
      <c r="AX2766" s="48"/>
      <c r="AY2766" s="48"/>
      <c r="AZ2766" s="48"/>
      <c r="BA2766" s="48"/>
      <c r="BB2766" s="48"/>
      <c r="BC2766" s="48"/>
      <c r="BD2766" s="48"/>
    </row>
    <row r="2767" spans="1:56">
      <c r="A2767" s="48"/>
      <c r="B2767" s="48"/>
      <c r="C2767" s="49"/>
      <c r="D2767" s="48"/>
      <c r="E2767" s="48"/>
      <c r="F2767" s="48"/>
      <c r="G2767" s="48"/>
      <c r="H2767" s="48"/>
      <c r="I2767" s="48"/>
      <c r="J2767" s="86"/>
      <c r="K2767" s="86"/>
      <c r="L2767" s="86"/>
      <c r="M2767" s="86"/>
      <c r="N2767" s="86"/>
      <c r="O2767" s="86"/>
      <c r="P2767" s="86"/>
      <c r="Q2767" s="86"/>
      <c r="R2767" s="86"/>
      <c r="S2767" s="86"/>
      <c r="T2767" s="86"/>
      <c r="U2767" s="86"/>
      <c r="V2767" s="48"/>
      <c r="W2767" s="48"/>
      <c r="X2767" s="48"/>
      <c r="Y2767" s="48"/>
      <c r="Z2767" s="48"/>
      <c r="AA2767" s="48"/>
      <c r="AB2767" s="48"/>
      <c r="AC2767" s="48"/>
      <c r="AD2767" s="48"/>
      <c r="AE2767" s="48"/>
      <c r="AF2767" s="48"/>
      <c r="AG2767" s="48"/>
      <c r="AH2767" s="48"/>
      <c r="AI2767" s="48"/>
      <c r="AJ2767" s="48"/>
      <c r="AK2767" s="48"/>
      <c r="AL2767" s="48"/>
      <c r="AM2767" s="48"/>
      <c r="AN2767" s="48"/>
      <c r="AO2767" s="48"/>
      <c r="AP2767" s="48"/>
      <c r="AQ2767" s="48"/>
      <c r="AR2767" s="48"/>
      <c r="AS2767" s="48"/>
      <c r="AT2767" s="48"/>
      <c r="AU2767" s="48"/>
      <c r="AV2767" s="48"/>
      <c r="AW2767" s="48"/>
      <c r="AX2767" s="48"/>
      <c r="AY2767" s="48"/>
      <c r="AZ2767" s="48"/>
      <c r="BA2767" s="48"/>
      <c r="BB2767" s="48"/>
      <c r="BC2767" s="48"/>
      <c r="BD2767" s="48"/>
    </row>
    <row r="2768" spans="1:56">
      <c r="A2768" s="48"/>
      <c r="B2768" s="48"/>
      <c r="C2768" s="49"/>
      <c r="D2768" s="48"/>
      <c r="E2768" s="48"/>
      <c r="F2768" s="48"/>
      <c r="G2768" s="48"/>
      <c r="H2768" s="48"/>
      <c r="I2768" s="48"/>
      <c r="J2768" s="86"/>
      <c r="K2768" s="86"/>
      <c r="L2768" s="86"/>
      <c r="M2768" s="86"/>
      <c r="N2768" s="86"/>
      <c r="O2768" s="86"/>
      <c r="P2768" s="86"/>
      <c r="Q2768" s="86"/>
      <c r="R2768" s="86"/>
      <c r="S2768" s="86"/>
      <c r="T2768" s="86"/>
      <c r="U2768" s="86"/>
      <c r="V2768" s="48"/>
      <c r="W2768" s="48"/>
      <c r="X2768" s="48"/>
      <c r="Y2768" s="48"/>
      <c r="Z2768" s="48"/>
      <c r="AA2768" s="48"/>
      <c r="AB2768" s="48"/>
      <c r="AC2768" s="48"/>
      <c r="AD2768" s="48"/>
      <c r="AE2768" s="48"/>
      <c r="AF2768" s="48"/>
      <c r="AG2768" s="48"/>
      <c r="AH2768" s="48"/>
      <c r="AI2768" s="48"/>
      <c r="AJ2768" s="48"/>
      <c r="AK2768" s="48"/>
      <c r="AL2768" s="48"/>
      <c r="AM2768" s="48"/>
      <c r="AN2768" s="48"/>
      <c r="AO2768" s="48"/>
      <c r="AP2768" s="48"/>
      <c r="AQ2768" s="48"/>
      <c r="AR2768" s="48"/>
      <c r="AS2768" s="48"/>
      <c r="AT2768" s="48"/>
      <c r="AU2768" s="48"/>
      <c r="AV2768" s="48"/>
      <c r="AW2768" s="48"/>
      <c r="AX2768" s="48"/>
      <c r="AY2768" s="48"/>
      <c r="AZ2768" s="48"/>
      <c r="BA2768" s="48"/>
      <c r="BB2768" s="48"/>
      <c r="BC2768" s="48"/>
      <c r="BD2768" s="48"/>
    </row>
    <row r="2769" spans="1:56">
      <c r="A2769" s="48"/>
      <c r="B2769" s="48"/>
      <c r="C2769" s="49"/>
      <c r="D2769" s="48"/>
      <c r="E2769" s="48"/>
      <c r="F2769" s="48"/>
      <c r="G2769" s="48"/>
      <c r="H2769" s="48"/>
      <c r="I2769" s="48"/>
      <c r="J2769" s="86"/>
      <c r="K2769" s="86"/>
      <c r="L2769" s="86"/>
      <c r="M2769" s="86"/>
      <c r="N2769" s="86"/>
      <c r="O2769" s="86"/>
      <c r="P2769" s="86"/>
      <c r="Q2769" s="86"/>
      <c r="R2769" s="86"/>
      <c r="S2769" s="86"/>
      <c r="T2769" s="86"/>
      <c r="U2769" s="86"/>
      <c r="V2769" s="48"/>
      <c r="W2769" s="48"/>
      <c r="X2769" s="48"/>
      <c r="Y2769" s="48"/>
      <c r="Z2769" s="48"/>
      <c r="AA2769" s="48"/>
      <c r="AB2769" s="48"/>
      <c r="AC2769" s="48"/>
      <c r="AD2769" s="48"/>
      <c r="AE2769" s="48"/>
      <c r="AF2769" s="48"/>
      <c r="AG2769" s="48"/>
      <c r="AH2769" s="48"/>
      <c r="AI2769" s="48"/>
      <c r="AJ2769" s="48"/>
      <c r="AK2769" s="48"/>
      <c r="AL2769" s="48"/>
      <c r="AM2769" s="48"/>
      <c r="AN2769" s="48"/>
      <c r="AO2769" s="48"/>
      <c r="AP2769" s="48"/>
      <c r="AQ2769" s="48"/>
      <c r="AR2769" s="48"/>
      <c r="AS2769" s="48"/>
      <c r="AT2769" s="48"/>
      <c r="AU2769" s="48"/>
      <c r="AV2769" s="48"/>
      <c r="AW2769" s="48"/>
      <c r="AX2769" s="48"/>
      <c r="AY2769" s="48"/>
      <c r="AZ2769" s="48"/>
      <c r="BA2769" s="48"/>
      <c r="BB2769" s="48"/>
      <c r="BC2769" s="48"/>
      <c r="BD2769" s="48"/>
    </row>
    <row r="2770" spans="1:56">
      <c r="A2770" s="48"/>
      <c r="B2770" s="48"/>
      <c r="C2770" s="49"/>
      <c r="D2770" s="48"/>
      <c r="E2770" s="48"/>
      <c r="F2770" s="48"/>
      <c r="G2770" s="48"/>
      <c r="H2770" s="48"/>
      <c r="I2770" s="48"/>
      <c r="J2770" s="86"/>
      <c r="K2770" s="86"/>
      <c r="L2770" s="86"/>
      <c r="M2770" s="86"/>
      <c r="N2770" s="86"/>
      <c r="O2770" s="86"/>
      <c r="P2770" s="86"/>
      <c r="Q2770" s="86"/>
      <c r="R2770" s="86"/>
      <c r="S2770" s="86"/>
      <c r="T2770" s="86"/>
      <c r="U2770" s="86"/>
      <c r="V2770" s="48"/>
      <c r="W2770" s="48"/>
      <c r="X2770" s="48"/>
      <c r="Y2770" s="48"/>
      <c r="Z2770" s="48"/>
      <c r="AA2770" s="48"/>
      <c r="AB2770" s="48"/>
      <c r="AC2770" s="48"/>
      <c r="AD2770" s="48"/>
      <c r="AE2770" s="48"/>
      <c r="AF2770" s="48"/>
      <c r="AG2770" s="48"/>
      <c r="AH2770" s="48"/>
      <c r="AI2770" s="48"/>
      <c r="AJ2770" s="48"/>
      <c r="AK2770" s="48"/>
      <c r="AL2770" s="48"/>
      <c r="AM2770" s="48"/>
      <c r="AN2770" s="48"/>
      <c r="AO2770" s="48"/>
      <c r="AP2770" s="48"/>
      <c r="AQ2770" s="48"/>
      <c r="AR2770" s="48"/>
      <c r="AS2770" s="48"/>
      <c r="AT2770" s="48"/>
      <c r="AU2770" s="48"/>
      <c r="AV2770" s="48"/>
      <c r="AW2770" s="48"/>
      <c r="AX2770" s="48"/>
      <c r="AY2770" s="48"/>
      <c r="AZ2770" s="48"/>
      <c r="BA2770" s="48"/>
      <c r="BB2770" s="48"/>
      <c r="BC2770" s="48"/>
      <c r="BD2770" s="48"/>
    </row>
    <row r="2771" spans="1:56">
      <c r="A2771" s="48"/>
      <c r="B2771" s="48"/>
      <c r="C2771" s="49"/>
      <c r="D2771" s="48"/>
      <c r="E2771" s="48"/>
      <c r="F2771" s="48"/>
      <c r="G2771" s="48"/>
      <c r="H2771" s="48"/>
      <c r="I2771" s="48"/>
      <c r="J2771" s="86"/>
      <c r="K2771" s="86"/>
      <c r="L2771" s="86"/>
      <c r="M2771" s="86"/>
      <c r="N2771" s="86"/>
      <c r="O2771" s="86"/>
      <c r="P2771" s="86"/>
      <c r="Q2771" s="86"/>
      <c r="R2771" s="86"/>
      <c r="S2771" s="86"/>
      <c r="T2771" s="86"/>
      <c r="U2771" s="86"/>
      <c r="V2771" s="48"/>
      <c r="W2771" s="48"/>
      <c r="X2771" s="48"/>
      <c r="Y2771" s="48"/>
      <c r="Z2771" s="48"/>
      <c r="AA2771" s="48"/>
      <c r="AB2771" s="48"/>
      <c r="AC2771" s="48"/>
      <c r="AD2771" s="48"/>
      <c r="AE2771" s="48"/>
      <c r="AF2771" s="48"/>
      <c r="AG2771" s="48"/>
      <c r="AH2771" s="48"/>
      <c r="AI2771" s="48"/>
      <c r="AJ2771" s="48"/>
      <c r="AK2771" s="48"/>
      <c r="AL2771" s="48"/>
      <c r="AM2771" s="48"/>
      <c r="AN2771" s="48"/>
      <c r="AO2771" s="48"/>
      <c r="AP2771" s="48"/>
      <c r="AQ2771" s="48"/>
      <c r="AR2771" s="48"/>
      <c r="AS2771" s="48"/>
      <c r="AT2771" s="48"/>
      <c r="AU2771" s="48"/>
      <c r="AV2771" s="48"/>
      <c r="AW2771" s="48"/>
      <c r="AX2771" s="48"/>
      <c r="AY2771" s="48"/>
      <c r="AZ2771" s="48"/>
      <c r="BA2771" s="48"/>
      <c r="BB2771" s="48"/>
      <c r="BC2771" s="48"/>
      <c r="BD2771" s="48"/>
    </row>
    <row r="2772" spans="1:56">
      <c r="A2772" s="48"/>
      <c r="B2772" s="48"/>
      <c r="C2772" s="49"/>
      <c r="D2772" s="48"/>
      <c r="E2772" s="48"/>
      <c r="F2772" s="48"/>
      <c r="G2772" s="48"/>
      <c r="H2772" s="48"/>
      <c r="I2772" s="48"/>
      <c r="J2772" s="86"/>
      <c r="K2772" s="86"/>
      <c r="L2772" s="86"/>
      <c r="M2772" s="86"/>
      <c r="N2772" s="86"/>
      <c r="O2772" s="86"/>
      <c r="P2772" s="86"/>
      <c r="Q2772" s="86"/>
      <c r="R2772" s="86"/>
      <c r="S2772" s="86"/>
      <c r="T2772" s="86"/>
      <c r="U2772" s="86"/>
      <c r="V2772" s="48"/>
      <c r="W2772" s="48"/>
      <c r="X2772" s="48"/>
      <c r="Y2772" s="48"/>
      <c r="Z2772" s="48"/>
      <c r="AA2772" s="48"/>
      <c r="AB2772" s="48"/>
      <c r="AC2772" s="48"/>
      <c r="AD2772" s="48"/>
      <c r="AE2772" s="48"/>
      <c r="AF2772" s="48"/>
      <c r="AG2772" s="48"/>
      <c r="AH2772" s="48"/>
      <c r="AI2772" s="48"/>
      <c r="AJ2772" s="48"/>
      <c r="AK2772" s="48"/>
      <c r="AL2772" s="48"/>
      <c r="AM2772" s="48"/>
      <c r="AN2772" s="48"/>
      <c r="AO2772" s="48"/>
      <c r="AP2772" s="48"/>
      <c r="AQ2772" s="48"/>
      <c r="AR2772" s="48"/>
      <c r="AS2772" s="48"/>
      <c r="AT2772" s="48"/>
      <c r="AU2772" s="48"/>
      <c r="AV2772" s="48"/>
      <c r="AW2772" s="48"/>
      <c r="AX2772" s="48"/>
      <c r="AY2772" s="48"/>
      <c r="AZ2772" s="48"/>
      <c r="BA2772" s="48"/>
      <c r="BB2772" s="48"/>
      <c r="BC2772" s="48"/>
      <c r="BD2772" s="48"/>
    </row>
    <row r="2773" spans="1:56">
      <c r="A2773" s="48"/>
      <c r="B2773" s="48"/>
      <c r="C2773" s="49"/>
      <c r="D2773" s="48"/>
      <c r="E2773" s="48"/>
      <c r="F2773" s="48"/>
      <c r="G2773" s="48"/>
      <c r="H2773" s="48"/>
      <c r="I2773" s="48"/>
      <c r="J2773" s="86"/>
      <c r="K2773" s="86"/>
      <c r="L2773" s="86"/>
      <c r="M2773" s="86"/>
      <c r="N2773" s="86"/>
      <c r="O2773" s="86"/>
      <c r="P2773" s="86"/>
      <c r="Q2773" s="86"/>
      <c r="R2773" s="86"/>
      <c r="S2773" s="86"/>
      <c r="T2773" s="86"/>
      <c r="U2773" s="86"/>
      <c r="V2773" s="48"/>
      <c r="W2773" s="48"/>
      <c r="X2773" s="48"/>
      <c r="Y2773" s="48"/>
      <c r="Z2773" s="48"/>
      <c r="AA2773" s="48"/>
      <c r="AB2773" s="48"/>
      <c r="AC2773" s="48"/>
      <c r="AD2773" s="48"/>
      <c r="AE2773" s="48"/>
      <c r="AF2773" s="48"/>
      <c r="AG2773" s="48"/>
      <c r="AH2773" s="48"/>
      <c r="AI2773" s="48"/>
      <c r="AJ2773" s="48"/>
      <c r="AK2773" s="48"/>
      <c r="AL2773" s="48"/>
      <c r="AM2773" s="48"/>
      <c r="AN2773" s="48"/>
      <c r="AO2773" s="48"/>
      <c r="AP2773" s="48"/>
      <c r="AQ2773" s="48"/>
      <c r="AR2773" s="48"/>
      <c r="AS2773" s="48"/>
      <c r="AT2773" s="48"/>
      <c r="AU2773" s="48"/>
      <c r="AV2773" s="48"/>
      <c r="AW2773" s="48"/>
      <c r="AX2773" s="48"/>
      <c r="AY2773" s="48"/>
      <c r="AZ2773" s="48"/>
      <c r="BA2773" s="48"/>
      <c r="BB2773" s="48"/>
      <c r="BC2773" s="48"/>
      <c r="BD2773" s="48"/>
    </row>
    <row r="2774" spans="1:56">
      <c r="A2774" s="48"/>
      <c r="B2774" s="48"/>
      <c r="C2774" s="49"/>
      <c r="D2774" s="48"/>
      <c r="E2774" s="48"/>
      <c r="F2774" s="48"/>
      <c r="G2774" s="48"/>
      <c r="H2774" s="48"/>
      <c r="I2774" s="48"/>
      <c r="J2774" s="86"/>
      <c r="K2774" s="86"/>
      <c r="L2774" s="86"/>
      <c r="M2774" s="86"/>
      <c r="N2774" s="86"/>
      <c r="O2774" s="86"/>
      <c r="P2774" s="86"/>
      <c r="Q2774" s="86"/>
      <c r="R2774" s="86"/>
      <c r="S2774" s="86"/>
      <c r="T2774" s="86"/>
      <c r="U2774" s="86"/>
      <c r="V2774" s="48"/>
      <c r="W2774" s="48"/>
      <c r="X2774" s="48"/>
      <c r="Y2774" s="48"/>
      <c r="Z2774" s="48"/>
      <c r="AA2774" s="48"/>
      <c r="AB2774" s="48"/>
      <c r="AC2774" s="48"/>
      <c r="AD2774" s="48"/>
      <c r="AE2774" s="48"/>
      <c r="AF2774" s="48"/>
      <c r="AG2774" s="48"/>
      <c r="AH2774" s="48"/>
      <c r="AI2774" s="48"/>
      <c r="AJ2774" s="48"/>
      <c r="AK2774" s="48"/>
      <c r="AL2774" s="48"/>
      <c r="AM2774" s="48"/>
      <c r="AN2774" s="48"/>
      <c r="AO2774" s="48"/>
      <c r="AP2774" s="48"/>
      <c r="AQ2774" s="48"/>
      <c r="AR2774" s="48"/>
      <c r="AS2774" s="48"/>
      <c r="AT2774" s="48"/>
      <c r="AU2774" s="48"/>
      <c r="AV2774" s="48"/>
      <c r="AW2774" s="48"/>
      <c r="AX2774" s="48"/>
      <c r="AY2774" s="48"/>
      <c r="AZ2774" s="48"/>
      <c r="BA2774" s="48"/>
      <c r="BB2774" s="48"/>
      <c r="BC2774" s="48"/>
      <c r="BD2774" s="48"/>
    </row>
    <row r="2775" spans="1:56">
      <c r="A2775" s="48"/>
      <c r="B2775" s="48"/>
      <c r="C2775" s="49"/>
      <c r="D2775" s="48"/>
      <c r="E2775" s="48"/>
      <c r="F2775" s="48"/>
      <c r="G2775" s="48"/>
      <c r="H2775" s="48"/>
      <c r="I2775" s="48"/>
      <c r="J2775" s="86"/>
      <c r="K2775" s="86"/>
      <c r="L2775" s="86"/>
      <c r="M2775" s="86"/>
      <c r="N2775" s="86"/>
      <c r="O2775" s="86"/>
      <c r="P2775" s="86"/>
      <c r="Q2775" s="86"/>
      <c r="R2775" s="86"/>
      <c r="S2775" s="86"/>
      <c r="T2775" s="86"/>
      <c r="U2775" s="86"/>
      <c r="V2775" s="48"/>
      <c r="W2775" s="48"/>
      <c r="X2775" s="48"/>
      <c r="Y2775" s="48"/>
      <c r="Z2775" s="48"/>
      <c r="AA2775" s="48"/>
      <c r="AB2775" s="48"/>
      <c r="AC2775" s="48"/>
      <c r="AD2775" s="48"/>
      <c r="AE2775" s="48"/>
      <c r="AF2775" s="48"/>
      <c r="AG2775" s="48"/>
      <c r="AH2775" s="48"/>
      <c r="AI2775" s="48"/>
      <c r="AJ2775" s="48"/>
      <c r="AK2775" s="48"/>
      <c r="AL2775" s="48"/>
      <c r="AM2775" s="48"/>
      <c r="AN2775" s="48"/>
      <c r="AO2775" s="48"/>
      <c r="AP2775" s="48"/>
      <c r="AQ2775" s="48"/>
      <c r="AR2775" s="48"/>
      <c r="AS2775" s="48"/>
      <c r="AT2775" s="48"/>
      <c r="AU2775" s="48"/>
      <c r="AV2775" s="48"/>
      <c r="AW2775" s="48"/>
      <c r="AX2775" s="48"/>
      <c r="AY2775" s="48"/>
      <c r="AZ2775" s="48"/>
      <c r="BA2775" s="48"/>
      <c r="BB2775" s="48"/>
      <c r="BC2775" s="48"/>
      <c r="BD2775" s="48"/>
    </row>
    <row r="2776" spans="1:56">
      <c r="A2776" s="48"/>
      <c r="B2776" s="48"/>
      <c r="C2776" s="49"/>
      <c r="D2776" s="48"/>
      <c r="E2776" s="48"/>
      <c r="F2776" s="48"/>
      <c r="G2776" s="48"/>
      <c r="H2776" s="48"/>
      <c r="I2776" s="48"/>
      <c r="J2776" s="86"/>
      <c r="K2776" s="86"/>
      <c r="L2776" s="86"/>
      <c r="M2776" s="86"/>
      <c r="N2776" s="86"/>
      <c r="O2776" s="86"/>
      <c r="P2776" s="86"/>
      <c r="Q2776" s="86"/>
      <c r="R2776" s="86"/>
      <c r="S2776" s="86"/>
      <c r="T2776" s="86"/>
      <c r="U2776" s="86"/>
      <c r="V2776" s="48"/>
      <c r="W2776" s="48"/>
      <c r="X2776" s="48"/>
      <c r="Y2776" s="48"/>
      <c r="Z2776" s="48"/>
      <c r="AA2776" s="48"/>
      <c r="AB2776" s="48"/>
      <c r="AC2776" s="48"/>
      <c r="AD2776" s="48"/>
      <c r="AE2776" s="48"/>
      <c r="AF2776" s="48"/>
      <c r="AG2776" s="48"/>
      <c r="AH2776" s="48"/>
      <c r="AI2776" s="48"/>
      <c r="AJ2776" s="48"/>
      <c r="AK2776" s="48"/>
      <c r="AL2776" s="48"/>
      <c r="AM2776" s="48"/>
      <c r="AN2776" s="48"/>
      <c r="AO2776" s="48"/>
      <c r="AP2776" s="48"/>
      <c r="AQ2776" s="48"/>
      <c r="AR2776" s="48"/>
      <c r="AS2776" s="48"/>
      <c r="AT2776" s="48"/>
      <c r="AU2776" s="48"/>
      <c r="AV2776" s="48"/>
      <c r="AW2776" s="48"/>
      <c r="AX2776" s="48"/>
      <c r="AY2776" s="48"/>
      <c r="AZ2776" s="48"/>
      <c r="BA2776" s="48"/>
      <c r="BB2776" s="48"/>
      <c r="BC2776" s="48"/>
      <c r="BD2776" s="48"/>
    </row>
    <row r="2777" spans="1:56">
      <c r="A2777" s="48"/>
      <c r="B2777" s="48"/>
      <c r="C2777" s="49"/>
      <c r="D2777" s="48"/>
      <c r="E2777" s="48"/>
      <c r="F2777" s="48"/>
      <c r="G2777" s="48"/>
      <c r="H2777" s="48"/>
      <c r="I2777" s="48"/>
      <c r="J2777" s="86"/>
      <c r="K2777" s="86"/>
      <c r="L2777" s="86"/>
      <c r="M2777" s="86"/>
      <c r="N2777" s="86"/>
      <c r="O2777" s="86"/>
      <c r="P2777" s="86"/>
      <c r="Q2777" s="86"/>
      <c r="R2777" s="86"/>
      <c r="S2777" s="86"/>
      <c r="T2777" s="86"/>
      <c r="U2777" s="86"/>
      <c r="V2777" s="48"/>
      <c r="W2777" s="48"/>
      <c r="X2777" s="48"/>
      <c r="Y2777" s="48"/>
      <c r="Z2777" s="48"/>
      <c r="AA2777" s="48"/>
      <c r="AB2777" s="48"/>
      <c r="AC2777" s="48"/>
      <c r="AD2777" s="48"/>
      <c r="AE2777" s="48"/>
      <c r="AF2777" s="48"/>
      <c r="AG2777" s="48"/>
      <c r="AH2777" s="48"/>
      <c r="AI2777" s="48"/>
      <c r="AJ2777" s="48"/>
      <c r="AK2777" s="48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48"/>
      <c r="BA2777" s="48"/>
      <c r="BB2777" s="48"/>
      <c r="BC2777" s="48"/>
      <c r="BD2777" s="48"/>
    </row>
    <row r="2778" spans="1:56">
      <c r="A2778" s="48"/>
      <c r="B2778" s="48"/>
      <c r="C2778" s="49"/>
      <c r="D2778" s="48"/>
      <c r="E2778" s="48"/>
      <c r="F2778" s="48"/>
      <c r="G2778" s="48"/>
      <c r="H2778" s="48"/>
      <c r="I2778" s="48"/>
      <c r="J2778" s="86"/>
      <c r="K2778" s="86"/>
      <c r="L2778" s="86"/>
      <c r="M2778" s="86"/>
      <c r="N2778" s="86"/>
      <c r="O2778" s="86"/>
      <c r="P2778" s="86"/>
      <c r="Q2778" s="86"/>
      <c r="R2778" s="86"/>
      <c r="S2778" s="86"/>
      <c r="T2778" s="86"/>
      <c r="U2778" s="86"/>
      <c r="V2778" s="48"/>
      <c r="W2778" s="48"/>
      <c r="X2778" s="48"/>
      <c r="Y2778" s="48"/>
      <c r="Z2778" s="48"/>
      <c r="AA2778" s="48"/>
      <c r="AB2778" s="48"/>
      <c r="AC2778" s="48"/>
      <c r="AD2778" s="48"/>
      <c r="AE2778" s="48"/>
      <c r="AF2778" s="48"/>
      <c r="AG2778" s="48"/>
      <c r="AH2778" s="48"/>
      <c r="AI2778" s="48"/>
      <c r="AJ2778" s="48"/>
      <c r="AK2778" s="48"/>
      <c r="AL2778" s="48"/>
      <c r="AM2778" s="48"/>
      <c r="AN2778" s="48"/>
      <c r="AO2778" s="48"/>
      <c r="AP2778" s="48"/>
      <c r="AQ2778" s="48"/>
      <c r="AR2778" s="48"/>
      <c r="AS2778" s="48"/>
      <c r="AT2778" s="48"/>
      <c r="AU2778" s="48"/>
      <c r="AV2778" s="48"/>
      <c r="AW2778" s="48"/>
      <c r="AX2778" s="48"/>
      <c r="AY2778" s="48"/>
      <c r="AZ2778" s="48"/>
      <c r="BA2778" s="48"/>
      <c r="BB2778" s="48"/>
      <c r="BC2778" s="48"/>
      <c r="BD2778" s="48"/>
    </row>
    <row r="2779" spans="1:56">
      <c r="A2779" s="48"/>
      <c r="B2779" s="48"/>
      <c r="C2779" s="49"/>
      <c r="D2779" s="48"/>
      <c r="E2779" s="48"/>
      <c r="F2779" s="48"/>
      <c r="G2779" s="48"/>
      <c r="H2779" s="48"/>
      <c r="I2779" s="48"/>
      <c r="J2779" s="86"/>
      <c r="K2779" s="86"/>
      <c r="L2779" s="86"/>
      <c r="M2779" s="86"/>
      <c r="N2779" s="86"/>
      <c r="O2779" s="86"/>
      <c r="P2779" s="86"/>
      <c r="Q2779" s="86"/>
      <c r="R2779" s="86"/>
      <c r="S2779" s="86"/>
      <c r="T2779" s="86"/>
      <c r="U2779" s="86"/>
      <c r="V2779" s="48"/>
      <c r="W2779" s="48"/>
      <c r="X2779" s="48"/>
      <c r="Y2779" s="48"/>
      <c r="Z2779" s="48"/>
      <c r="AA2779" s="48"/>
      <c r="AB2779" s="48"/>
      <c r="AC2779" s="48"/>
      <c r="AD2779" s="48"/>
      <c r="AE2779" s="48"/>
      <c r="AF2779" s="48"/>
      <c r="AG2779" s="48"/>
      <c r="AH2779" s="48"/>
      <c r="AI2779" s="48"/>
      <c r="AJ2779" s="48"/>
      <c r="AK2779" s="48"/>
      <c r="AL2779" s="48"/>
      <c r="AM2779" s="48"/>
      <c r="AN2779" s="48"/>
      <c r="AO2779" s="48"/>
      <c r="AP2779" s="48"/>
      <c r="AQ2779" s="48"/>
      <c r="AR2779" s="48"/>
      <c r="AS2779" s="48"/>
      <c r="AT2779" s="48"/>
      <c r="AU2779" s="48"/>
      <c r="AV2779" s="48"/>
      <c r="AW2779" s="48"/>
      <c r="AX2779" s="48"/>
      <c r="AY2779" s="48"/>
      <c r="AZ2779" s="48"/>
      <c r="BA2779" s="48"/>
      <c r="BB2779" s="48"/>
      <c r="BC2779" s="48"/>
      <c r="BD2779" s="48"/>
    </row>
    <row r="2780" spans="1:56">
      <c r="A2780" s="48"/>
      <c r="B2780" s="48"/>
      <c r="C2780" s="49"/>
      <c r="D2780" s="48"/>
      <c r="E2780" s="48"/>
      <c r="F2780" s="48"/>
      <c r="G2780" s="48"/>
      <c r="H2780" s="48"/>
      <c r="I2780" s="48"/>
      <c r="J2780" s="86"/>
      <c r="K2780" s="86"/>
      <c r="L2780" s="86"/>
      <c r="M2780" s="86"/>
      <c r="N2780" s="86"/>
      <c r="O2780" s="86"/>
      <c r="P2780" s="86"/>
      <c r="Q2780" s="86"/>
      <c r="R2780" s="86"/>
      <c r="S2780" s="86"/>
      <c r="T2780" s="86"/>
      <c r="U2780" s="86"/>
      <c r="V2780" s="48"/>
      <c r="W2780" s="48"/>
      <c r="X2780" s="48"/>
      <c r="Y2780" s="48"/>
      <c r="Z2780" s="48"/>
      <c r="AA2780" s="48"/>
      <c r="AB2780" s="48"/>
      <c r="AC2780" s="48"/>
      <c r="AD2780" s="48"/>
      <c r="AE2780" s="48"/>
      <c r="AF2780" s="48"/>
      <c r="AG2780" s="48"/>
      <c r="AH2780" s="48"/>
      <c r="AI2780" s="48"/>
      <c r="AJ2780" s="48"/>
      <c r="AK2780" s="48"/>
      <c r="AL2780" s="48"/>
      <c r="AM2780" s="48"/>
      <c r="AN2780" s="48"/>
      <c r="AO2780" s="48"/>
      <c r="AP2780" s="48"/>
      <c r="AQ2780" s="48"/>
      <c r="AR2780" s="48"/>
      <c r="AS2780" s="48"/>
      <c r="AT2780" s="48"/>
      <c r="AU2780" s="48"/>
      <c r="AV2780" s="48"/>
      <c r="AW2780" s="48"/>
      <c r="AX2780" s="48"/>
      <c r="AY2780" s="48"/>
      <c r="AZ2780" s="48"/>
      <c r="BA2780" s="48"/>
      <c r="BB2780" s="48"/>
      <c r="BC2780" s="48"/>
      <c r="BD2780" s="48"/>
    </row>
    <row r="2781" spans="1:56">
      <c r="A2781" s="48"/>
      <c r="B2781" s="48"/>
      <c r="C2781" s="49"/>
      <c r="D2781" s="48"/>
      <c r="E2781" s="48"/>
      <c r="F2781" s="48"/>
      <c r="G2781" s="48"/>
      <c r="H2781" s="48"/>
      <c r="I2781" s="48"/>
      <c r="J2781" s="86"/>
      <c r="K2781" s="86"/>
      <c r="L2781" s="86"/>
      <c r="M2781" s="86"/>
      <c r="N2781" s="86"/>
      <c r="O2781" s="86"/>
      <c r="P2781" s="86"/>
      <c r="Q2781" s="86"/>
      <c r="R2781" s="86"/>
      <c r="S2781" s="86"/>
      <c r="T2781" s="86"/>
      <c r="U2781" s="86"/>
      <c r="V2781" s="48"/>
      <c r="W2781" s="48"/>
      <c r="X2781" s="48"/>
      <c r="Y2781" s="48"/>
      <c r="Z2781" s="48"/>
      <c r="AA2781" s="48"/>
      <c r="AB2781" s="48"/>
      <c r="AC2781" s="48"/>
      <c r="AD2781" s="48"/>
      <c r="AE2781" s="48"/>
      <c r="AF2781" s="48"/>
      <c r="AG2781" s="48"/>
      <c r="AH2781" s="48"/>
      <c r="AI2781" s="48"/>
      <c r="AJ2781" s="48"/>
      <c r="AK2781" s="48"/>
      <c r="AL2781" s="48"/>
      <c r="AM2781" s="48"/>
      <c r="AN2781" s="48"/>
      <c r="AO2781" s="48"/>
      <c r="AP2781" s="48"/>
      <c r="AQ2781" s="48"/>
      <c r="AR2781" s="48"/>
      <c r="AS2781" s="48"/>
      <c r="AT2781" s="48"/>
      <c r="AU2781" s="48"/>
      <c r="AV2781" s="48"/>
      <c r="AW2781" s="48"/>
      <c r="AX2781" s="48"/>
      <c r="AY2781" s="48"/>
      <c r="AZ2781" s="48"/>
      <c r="BA2781" s="48"/>
      <c r="BB2781" s="48"/>
      <c r="BC2781" s="48"/>
      <c r="BD2781" s="48"/>
    </row>
    <row r="2782" spans="1:56">
      <c r="A2782" s="48"/>
      <c r="B2782" s="48"/>
      <c r="C2782" s="49"/>
      <c r="D2782" s="48"/>
      <c r="E2782" s="48"/>
      <c r="F2782" s="48"/>
      <c r="G2782" s="48"/>
      <c r="H2782" s="48"/>
      <c r="I2782" s="48"/>
      <c r="J2782" s="86"/>
      <c r="K2782" s="86"/>
      <c r="L2782" s="86"/>
      <c r="M2782" s="86"/>
      <c r="N2782" s="86"/>
      <c r="O2782" s="86"/>
      <c r="P2782" s="86"/>
      <c r="Q2782" s="86"/>
      <c r="R2782" s="86"/>
      <c r="S2782" s="86"/>
      <c r="T2782" s="86"/>
      <c r="U2782" s="86"/>
      <c r="V2782" s="48"/>
      <c r="W2782" s="48"/>
      <c r="X2782" s="48"/>
      <c r="Y2782" s="48"/>
      <c r="Z2782" s="48"/>
      <c r="AA2782" s="48"/>
      <c r="AB2782" s="48"/>
      <c r="AC2782" s="48"/>
      <c r="AD2782" s="48"/>
      <c r="AE2782" s="48"/>
      <c r="AF2782" s="48"/>
      <c r="AG2782" s="48"/>
      <c r="AH2782" s="48"/>
      <c r="AI2782" s="48"/>
      <c r="AJ2782" s="48"/>
      <c r="AK2782" s="48"/>
      <c r="AL2782" s="48"/>
      <c r="AM2782" s="48"/>
      <c r="AN2782" s="48"/>
      <c r="AO2782" s="48"/>
      <c r="AP2782" s="48"/>
      <c r="AQ2782" s="48"/>
      <c r="AR2782" s="48"/>
      <c r="AS2782" s="48"/>
      <c r="AT2782" s="48"/>
      <c r="AU2782" s="48"/>
      <c r="AV2782" s="48"/>
      <c r="AW2782" s="48"/>
      <c r="AX2782" s="48"/>
      <c r="AY2782" s="48"/>
      <c r="AZ2782" s="48"/>
      <c r="BA2782" s="48"/>
      <c r="BB2782" s="48"/>
      <c r="BC2782" s="48"/>
      <c r="BD2782" s="48"/>
    </row>
    <row r="2783" spans="1:56">
      <c r="A2783" s="48"/>
      <c r="B2783" s="48"/>
      <c r="C2783" s="49"/>
      <c r="D2783" s="48"/>
      <c r="E2783" s="48"/>
      <c r="F2783" s="48"/>
      <c r="G2783" s="48"/>
      <c r="H2783" s="48"/>
      <c r="I2783" s="48"/>
      <c r="J2783" s="86"/>
      <c r="K2783" s="86"/>
      <c r="L2783" s="86"/>
      <c r="M2783" s="86"/>
      <c r="N2783" s="86"/>
      <c r="O2783" s="86"/>
      <c r="P2783" s="86"/>
      <c r="Q2783" s="86"/>
      <c r="R2783" s="86"/>
      <c r="S2783" s="86"/>
      <c r="T2783" s="86"/>
      <c r="U2783" s="86"/>
      <c r="V2783" s="48"/>
      <c r="W2783" s="48"/>
      <c r="X2783" s="48"/>
      <c r="Y2783" s="48"/>
      <c r="Z2783" s="48"/>
      <c r="AA2783" s="48"/>
      <c r="AB2783" s="48"/>
      <c r="AC2783" s="48"/>
      <c r="AD2783" s="48"/>
      <c r="AE2783" s="48"/>
      <c r="AF2783" s="48"/>
      <c r="AG2783" s="48"/>
      <c r="AH2783" s="48"/>
      <c r="AI2783" s="48"/>
      <c r="AJ2783" s="48"/>
      <c r="AK2783" s="48"/>
      <c r="AL2783" s="48"/>
      <c r="AM2783" s="48"/>
      <c r="AN2783" s="48"/>
      <c r="AO2783" s="48"/>
      <c r="AP2783" s="48"/>
      <c r="AQ2783" s="48"/>
      <c r="AR2783" s="48"/>
      <c r="AS2783" s="48"/>
      <c r="AT2783" s="48"/>
      <c r="AU2783" s="48"/>
      <c r="AV2783" s="48"/>
      <c r="AW2783" s="48"/>
      <c r="AX2783" s="48"/>
      <c r="AY2783" s="48"/>
      <c r="AZ2783" s="48"/>
      <c r="BA2783" s="48"/>
      <c r="BB2783" s="48"/>
      <c r="BC2783" s="48"/>
      <c r="BD2783" s="48"/>
    </row>
    <row r="2784" spans="1:56">
      <c r="A2784" s="48"/>
      <c r="B2784" s="48"/>
      <c r="C2784" s="49"/>
      <c r="D2784" s="48"/>
      <c r="E2784" s="48"/>
      <c r="F2784" s="48"/>
      <c r="G2784" s="48"/>
      <c r="H2784" s="48"/>
      <c r="I2784" s="48"/>
      <c r="J2784" s="86"/>
      <c r="K2784" s="86"/>
      <c r="L2784" s="86"/>
      <c r="M2784" s="86"/>
      <c r="N2784" s="86"/>
      <c r="O2784" s="86"/>
      <c r="P2784" s="86"/>
      <c r="Q2784" s="86"/>
      <c r="R2784" s="86"/>
      <c r="S2784" s="86"/>
      <c r="T2784" s="86"/>
      <c r="U2784" s="86"/>
      <c r="V2784" s="48"/>
      <c r="W2784" s="48"/>
      <c r="X2784" s="48"/>
      <c r="Y2784" s="48"/>
      <c r="Z2784" s="48"/>
      <c r="AA2784" s="48"/>
      <c r="AB2784" s="48"/>
      <c r="AC2784" s="48"/>
      <c r="AD2784" s="48"/>
      <c r="AE2784" s="48"/>
      <c r="AF2784" s="48"/>
      <c r="AG2784" s="48"/>
      <c r="AH2784" s="48"/>
      <c r="AI2784" s="48"/>
      <c r="AJ2784" s="48"/>
      <c r="AK2784" s="48"/>
      <c r="AL2784" s="48"/>
      <c r="AM2784" s="48"/>
      <c r="AN2784" s="48"/>
      <c r="AO2784" s="48"/>
      <c r="AP2784" s="48"/>
      <c r="AQ2784" s="48"/>
      <c r="AR2784" s="48"/>
      <c r="AS2784" s="48"/>
      <c r="AT2784" s="48"/>
      <c r="AU2784" s="48"/>
      <c r="AV2784" s="48"/>
      <c r="AW2784" s="48"/>
      <c r="AX2784" s="48"/>
      <c r="AY2784" s="48"/>
      <c r="AZ2784" s="48"/>
      <c r="BA2784" s="48"/>
      <c r="BB2784" s="48"/>
      <c r="BC2784" s="48"/>
      <c r="BD2784" s="48"/>
    </row>
    <row r="2785" spans="1:56">
      <c r="A2785" s="48"/>
      <c r="B2785" s="48"/>
      <c r="C2785" s="49"/>
      <c r="D2785" s="48"/>
      <c r="E2785" s="48"/>
      <c r="F2785" s="48"/>
      <c r="G2785" s="48"/>
      <c r="H2785" s="48"/>
      <c r="I2785" s="48"/>
      <c r="J2785" s="86"/>
      <c r="K2785" s="86"/>
      <c r="L2785" s="86"/>
      <c r="M2785" s="86"/>
      <c r="N2785" s="86"/>
      <c r="O2785" s="86"/>
      <c r="P2785" s="86"/>
      <c r="Q2785" s="86"/>
      <c r="R2785" s="86"/>
      <c r="S2785" s="86"/>
      <c r="T2785" s="86"/>
      <c r="U2785" s="86"/>
      <c r="V2785" s="48"/>
      <c r="W2785" s="48"/>
      <c r="X2785" s="48"/>
      <c r="Y2785" s="48"/>
      <c r="Z2785" s="48"/>
      <c r="AA2785" s="48"/>
      <c r="AB2785" s="48"/>
      <c r="AC2785" s="48"/>
      <c r="AD2785" s="48"/>
      <c r="AE2785" s="48"/>
      <c r="AF2785" s="48"/>
      <c r="AG2785" s="48"/>
      <c r="AH2785" s="48"/>
      <c r="AI2785" s="48"/>
      <c r="AJ2785" s="48"/>
      <c r="AK2785" s="48"/>
      <c r="AL2785" s="48"/>
      <c r="AM2785" s="48"/>
      <c r="AN2785" s="48"/>
      <c r="AO2785" s="48"/>
      <c r="AP2785" s="48"/>
      <c r="AQ2785" s="48"/>
      <c r="AR2785" s="48"/>
      <c r="AS2785" s="48"/>
      <c r="AT2785" s="48"/>
      <c r="AU2785" s="48"/>
      <c r="AV2785" s="48"/>
      <c r="AW2785" s="48"/>
      <c r="AX2785" s="48"/>
      <c r="AY2785" s="48"/>
      <c r="AZ2785" s="48"/>
      <c r="BA2785" s="48"/>
      <c r="BB2785" s="48"/>
      <c r="BC2785" s="48"/>
      <c r="BD2785" s="48"/>
    </row>
    <row r="2786" spans="1:56">
      <c r="A2786" s="48"/>
      <c r="B2786" s="48"/>
      <c r="C2786" s="49"/>
      <c r="D2786" s="48"/>
      <c r="E2786" s="48"/>
      <c r="F2786" s="48"/>
      <c r="G2786" s="48"/>
      <c r="H2786" s="48"/>
      <c r="I2786" s="48"/>
      <c r="J2786" s="86"/>
      <c r="K2786" s="86"/>
      <c r="L2786" s="86"/>
      <c r="M2786" s="86"/>
      <c r="N2786" s="86"/>
      <c r="O2786" s="86"/>
      <c r="P2786" s="86"/>
      <c r="Q2786" s="86"/>
      <c r="R2786" s="86"/>
      <c r="S2786" s="86"/>
      <c r="T2786" s="86"/>
      <c r="U2786" s="86"/>
      <c r="V2786" s="48"/>
      <c r="W2786" s="48"/>
      <c r="X2786" s="48"/>
      <c r="Y2786" s="48"/>
      <c r="Z2786" s="48"/>
      <c r="AA2786" s="48"/>
      <c r="AB2786" s="48"/>
      <c r="AC2786" s="48"/>
      <c r="AD2786" s="48"/>
      <c r="AE2786" s="48"/>
      <c r="AF2786" s="48"/>
      <c r="AG2786" s="48"/>
      <c r="AH2786" s="48"/>
      <c r="AI2786" s="48"/>
      <c r="AJ2786" s="48"/>
      <c r="AK2786" s="48"/>
      <c r="AL2786" s="48"/>
      <c r="AM2786" s="48"/>
      <c r="AN2786" s="48"/>
      <c r="AO2786" s="48"/>
      <c r="AP2786" s="48"/>
      <c r="AQ2786" s="48"/>
      <c r="AR2786" s="48"/>
      <c r="AS2786" s="48"/>
      <c r="AT2786" s="48"/>
      <c r="AU2786" s="48"/>
      <c r="AV2786" s="48"/>
      <c r="AW2786" s="48"/>
      <c r="AX2786" s="48"/>
      <c r="AY2786" s="48"/>
      <c r="AZ2786" s="48"/>
      <c r="BA2786" s="48"/>
      <c r="BB2786" s="48"/>
      <c r="BC2786" s="48"/>
      <c r="BD2786" s="48"/>
    </row>
    <row r="2787" spans="1:56">
      <c r="A2787" s="48"/>
      <c r="B2787" s="48"/>
      <c r="C2787" s="49"/>
      <c r="D2787" s="48"/>
      <c r="E2787" s="48"/>
      <c r="F2787" s="48"/>
      <c r="G2787" s="48"/>
      <c r="H2787" s="48"/>
      <c r="I2787" s="48"/>
      <c r="J2787" s="86"/>
      <c r="K2787" s="86"/>
      <c r="L2787" s="86"/>
      <c r="M2787" s="86"/>
      <c r="N2787" s="86"/>
      <c r="O2787" s="86"/>
      <c r="P2787" s="86"/>
      <c r="Q2787" s="86"/>
      <c r="R2787" s="86"/>
      <c r="S2787" s="86"/>
      <c r="T2787" s="86"/>
      <c r="U2787" s="86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48"/>
      <c r="AI2787" s="48"/>
      <c r="AJ2787" s="48"/>
      <c r="AK2787" s="48"/>
      <c r="AL2787" s="48"/>
      <c r="AM2787" s="48"/>
      <c r="AN2787" s="48"/>
      <c r="AO2787" s="48"/>
      <c r="AP2787" s="48"/>
      <c r="AQ2787" s="48"/>
      <c r="AR2787" s="48"/>
      <c r="AS2787" s="48"/>
      <c r="AT2787" s="48"/>
      <c r="AU2787" s="48"/>
      <c r="AV2787" s="48"/>
      <c r="AW2787" s="48"/>
      <c r="AX2787" s="48"/>
      <c r="AY2787" s="48"/>
      <c r="AZ2787" s="48"/>
      <c r="BA2787" s="48"/>
      <c r="BB2787" s="48"/>
      <c r="BC2787" s="48"/>
      <c r="BD2787" s="48"/>
    </row>
    <row r="2788" spans="1:56">
      <c r="A2788" s="48"/>
      <c r="B2788" s="48"/>
      <c r="C2788" s="49"/>
      <c r="D2788" s="48"/>
      <c r="E2788" s="48"/>
      <c r="F2788" s="48"/>
      <c r="G2788" s="48"/>
      <c r="H2788" s="48"/>
      <c r="I2788" s="48"/>
      <c r="J2788" s="86"/>
      <c r="K2788" s="86"/>
      <c r="L2788" s="86"/>
      <c r="M2788" s="86"/>
      <c r="N2788" s="86"/>
      <c r="O2788" s="86"/>
      <c r="P2788" s="86"/>
      <c r="Q2788" s="86"/>
      <c r="R2788" s="86"/>
      <c r="S2788" s="86"/>
      <c r="T2788" s="86"/>
      <c r="U2788" s="86"/>
      <c r="V2788" s="48"/>
      <c r="W2788" s="48"/>
      <c r="X2788" s="48"/>
      <c r="Y2788" s="48"/>
      <c r="Z2788" s="48"/>
      <c r="AA2788" s="48"/>
      <c r="AB2788" s="48"/>
      <c r="AC2788" s="48"/>
      <c r="AD2788" s="48"/>
      <c r="AE2788" s="48"/>
      <c r="AF2788" s="48"/>
      <c r="AG2788" s="48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48"/>
      <c r="AS2788" s="48"/>
      <c r="AT2788" s="48"/>
      <c r="AU2788" s="48"/>
      <c r="AV2788" s="48"/>
      <c r="AW2788" s="48"/>
      <c r="AX2788" s="48"/>
      <c r="AY2788" s="48"/>
      <c r="AZ2788" s="48"/>
      <c r="BA2788" s="48"/>
      <c r="BB2788" s="48"/>
      <c r="BC2788" s="48"/>
      <c r="BD2788" s="48"/>
    </row>
    <row r="2789" spans="1:56">
      <c r="A2789" s="48"/>
      <c r="B2789" s="48"/>
      <c r="C2789" s="49"/>
      <c r="D2789" s="48"/>
      <c r="E2789" s="48"/>
      <c r="F2789" s="48"/>
      <c r="G2789" s="48"/>
      <c r="H2789" s="48"/>
      <c r="I2789" s="48"/>
      <c r="J2789" s="86"/>
      <c r="K2789" s="86"/>
      <c r="L2789" s="86"/>
      <c r="M2789" s="86"/>
      <c r="N2789" s="86"/>
      <c r="O2789" s="86"/>
      <c r="P2789" s="86"/>
      <c r="Q2789" s="86"/>
      <c r="R2789" s="86"/>
      <c r="S2789" s="86"/>
      <c r="T2789" s="86"/>
      <c r="U2789" s="86"/>
      <c r="V2789" s="48"/>
      <c r="W2789" s="48"/>
      <c r="X2789" s="48"/>
      <c r="Y2789" s="48"/>
      <c r="Z2789" s="48"/>
      <c r="AA2789" s="48"/>
      <c r="AB2789" s="48"/>
      <c r="AC2789" s="48"/>
      <c r="AD2789" s="48"/>
      <c r="AE2789" s="48"/>
      <c r="AF2789" s="48"/>
      <c r="AG2789" s="48"/>
      <c r="AH2789" s="48"/>
      <c r="AI2789" s="48"/>
      <c r="AJ2789" s="48"/>
      <c r="AK2789" s="48"/>
      <c r="AL2789" s="48"/>
      <c r="AM2789" s="48"/>
      <c r="AN2789" s="48"/>
      <c r="AO2789" s="48"/>
      <c r="AP2789" s="48"/>
      <c r="AQ2789" s="48"/>
      <c r="AR2789" s="48"/>
      <c r="AS2789" s="48"/>
      <c r="AT2789" s="48"/>
      <c r="AU2789" s="48"/>
      <c r="AV2789" s="48"/>
      <c r="AW2789" s="48"/>
      <c r="AX2789" s="48"/>
      <c r="AY2789" s="48"/>
      <c r="AZ2789" s="48"/>
      <c r="BA2789" s="48"/>
      <c r="BB2789" s="48"/>
      <c r="BC2789" s="48"/>
      <c r="BD2789" s="48"/>
    </row>
    <row r="2790" spans="1:56">
      <c r="A2790" s="48"/>
      <c r="B2790" s="48"/>
      <c r="C2790" s="49"/>
      <c r="D2790" s="48"/>
      <c r="E2790" s="48"/>
      <c r="F2790" s="48"/>
      <c r="G2790" s="48"/>
      <c r="H2790" s="48"/>
      <c r="I2790" s="48"/>
      <c r="J2790" s="86"/>
      <c r="K2790" s="86"/>
      <c r="L2790" s="86"/>
      <c r="M2790" s="86"/>
      <c r="N2790" s="86"/>
      <c r="O2790" s="86"/>
      <c r="P2790" s="86"/>
      <c r="Q2790" s="86"/>
      <c r="R2790" s="86"/>
      <c r="S2790" s="86"/>
      <c r="T2790" s="86"/>
      <c r="U2790" s="86"/>
      <c r="V2790" s="48"/>
      <c r="W2790" s="48"/>
      <c r="X2790" s="48"/>
      <c r="Y2790" s="48"/>
      <c r="Z2790" s="48"/>
      <c r="AA2790" s="48"/>
      <c r="AB2790" s="48"/>
      <c r="AC2790" s="48"/>
      <c r="AD2790" s="48"/>
      <c r="AE2790" s="48"/>
      <c r="AF2790" s="48"/>
      <c r="AG2790" s="48"/>
      <c r="AH2790" s="48"/>
      <c r="AI2790" s="48"/>
      <c r="AJ2790" s="48"/>
      <c r="AK2790" s="48"/>
      <c r="AL2790" s="48"/>
      <c r="AM2790" s="48"/>
      <c r="AN2790" s="48"/>
      <c r="AO2790" s="48"/>
      <c r="AP2790" s="48"/>
      <c r="AQ2790" s="48"/>
      <c r="AR2790" s="48"/>
      <c r="AS2790" s="48"/>
      <c r="AT2790" s="48"/>
      <c r="AU2790" s="48"/>
      <c r="AV2790" s="48"/>
      <c r="AW2790" s="48"/>
      <c r="AX2790" s="48"/>
      <c r="AY2790" s="48"/>
      <c r="AZ2790" s="48"/>
      <c r="BA2790" s="48"/>
      <c r="BB2790" s="48"/>
      <c r="BC2790" s="48"/>
      <c r="BD2790" s="48"/>
    </row>
    <row r="2791" spans="1:56">
      <c r="A2791" s="48"/>
      <c r="B2791" s="48"/>
      <c r="C2791" s="49"/>
      <c r="D2791" s="48"/>
      <c r="E2791" s="48"/>
      <c r="F2791" s="48"/>
      <c r="G2791" s="48"/>
      <c r="H2791" s="48"/>
      <c r="I2791" s="48"/>
      <c r="J2791" s="86"/>
      <c r="K2791" s="86"/>
      <c r="L2791" s="86"/>
      <c r="M2791" s="86"/>
      <c r="N2791" s="86"/>
      <c r="O2791" s="86"/>
      <c r="P2791" s="86"/>
      <c r="Q2791" s="86"/>
      <c r="R2791" s="86"/>
      <c r="S2791" s="86"/>
      <c r="T2791" s="86"/>
      <c r="U2791" s="86"/>
      <c r="V2791" s="48"/>
      <c r="W2791" s="48"/>
      <c r="X2791" s="48"/>
      <c r="Y2791" s="48"/>
      <c r="Z2791" s="48"/>
      <c r="AA2791" s="48"/>
      <c r="AB2791" s="48"/>
      <c r="AC2791" s="48"/>
      <c r="AD2791" s="48"/>
      <c r="AE2791" s="48"/>
      <c r="AF2791" s="48"/>
      <c r="AG2791" s="48"/>
      <c r="AH2791" s="48"/>
      <c r="AI2791" s="48"/>
      <c r="AJ2791" s="48"/>
      <c r="AK2791" s="48"/>
      <c r="AL2791" s="48"/>
      <c r="AM2791" s="48"/>
      <c r="AN2791" s="48"/>
      <c r="AO2791" s="48"/>
      <c r="AP2791" s="48"/>
      <c r="AQ2791" s="48"/>
      <c r="AR2791" s="48"/>
      <c r="AS2791" s="48"/>
      <c r="AT2791" s="48"/>
      <c r="AU2791" s="48"/>
      <c r="AV2791" s="48"/>
      <c r="AW2791" s="48"/>
      <c r="AX2791" s="48"/>
      <c r="AY2791" s="48"/>
      <c r="AZ2791" s="48"/>
      <c r="BA2791" s="48"/>
      <c r="BB2791" s="48"/>
      <c r="BC2791" s="48"/>
      <c r="BD2791" s="48"/>
    </row>
    <row r="2792" spans="1:56">
      <c r="A2792" s="48"/>
      <c r="B2792" s="48"/>
      <c r="C2792" s="49"/>
      <c r="D2792" s="48"/>
      <c r="E2792" s="48"/>
      <c r="F2792" s="48"/>
      <c r="G2792" s="48"/>
      <c r="H2792" s="48"/>
      <c r="I2792" s="48"/>
      <c r="J2792" s="86"/>
      <c r="K2792" s="86"/>
      <c r="L2792" s="86"/>
      <c r="M2792" s="86"/>
      <c r="N2792" s="86"/>
      <c r="O2792" s="86"/>
      <c r="P2792" s="86"/>
      <c r="Q2792" s="86"/>
      <c r="R2792" s="86"/>
      <c r="S2792" s="86"/>
      <c r="T2792" s="86"/>
      <c r="U2792" s="86"/>
      <c r="V2792" s="48"/>
      <c r="W2792" s="48"/>
      <c r="X2792" s="48"/>
      <c r="Y2792" s="48"/>
      <c r="Z2792" s="48"/>
      <c r="AA2792" s="48"/>
      <c r="AB2792" s="48"/>
      <c r="AC2792" s="48"/>
      <c r="AD2792" s="48"/>
      <c r="AE2792" s="48"/>
      <c r="AF2792" s="48"/>
      <c r="AG2792" s="48"/>
      <c r="AH2792" s="48"/>
      <c r="AI2792" s="48"/>
      <c r="AJ2792" s="48"/>
      <c r="AK2792" s="48"/>
      <c r="AL2792" s="48"/>
      <c r="AM2792" s="48"/>
      <c r="AN2792" s="48"/>
      <c r="AO2792" s="48"/>
      <c r="AP2792" s="48"/>
      <c r="AQ2792" s="48"/>
      <c r="AR2792" s="48"/>
      <c r="AS2792" s="48"/>
      <c r="AT2792" s="48"/>
      <c r="AU2792" s="48"/>
      <c r="AV2792" s="48"/>
      <c r="AW2792" s="48"/>
      <c r="AX2792" s="48"/>
      <c r="AY2792" s="48"/>
      <c r="AZ2792" s="48"/>
      <c r="BA2792" s="48"/>
      <c r="BB2792" s="48"/>
      <c r="BC2792" s="48"/>
      <c r="BD2792" s="48"/>
    </row>
    <row r="2793" spans="1:56">
      <c r="A2793" s="48"/>
      <c r="B2793" s="48"/>
      <c r="C2793" s="49"/>
      <c r="D2793" s="48"/>
      <c r="E2793" s="48"/>
      <c r="F2793" s="48"/>
      <c r="G2793" s="48"/>
      <c r="H2793" s="48"/>
      <c r="I2793" s="48"/>
      <c r="J2793" s="86"/>
      <c r="K2793" s="86"/>
      <c r="L2793" s="86"/>
      <c r="M2793" s="86"/>
      <c r="N2793" s="86"/>
      <c r="O2793" s="86"/>
      <c r="P2793" s="86"/>
      <c r="Q2793" s="86"/>
      <c r="R2793" s="86"/>
      <c r="S2793" s="86"/>
      <c r="T2793" s="86"/>
      <c r="U2793" s="86"/>
      <c r="V2793" s="48"/>
      <c r="W2793" s="48"/>
      <c r="X2793" s="48"/>
      <c r="Y2793" s="48"/>
      <c r="Z2793" s="48"/>
      <c r="AA2793" s="48"/>
      <c r="AB2793" s="48"/>
      <c r="AC2793" s="48"/>
      <c r="AD2793" s="48"/>
      <c r="AE2793" s="48"/>
      <c r="AF2793" s="48"/>
      <c r="AG2793" s="48"/>
      <c r="AH2793" s="48"/>
      <c r="AI2793" s="48"/>
      <c r="AJ2793" s="48"/>
      <c r="AK2793" s="48"/>
      <c r="AL2793" s="48"/>
      <c r="AM2793" s="48"/>
      <c r="AN2793" s="48"/>
      <c r="AO2793" s="48"/>
      <c r="AP2793" s="48"/>
      <c r="AQ2793" s="48"/>
      <c r="AR2793" s="48"/>
      <c r="AS2793" s="48"/>
      <c r="AT2793" s="48"/>
      <c r="AU2793" s="48"/>
      <c r="AV2793" s="48"/>
      <c r="AW2793" s="48"/>
      <c r="AX2793" s="48"/>
      <c r="AY2793" s="48"/>
      <c r="AZ2793" s="48"/>
      <c r="BA2793" s="48"/>
      <c r="BB2793" s="48"/>
      <c r="BC2793" s="48"/>
      <c r="BD2793" s="48"/>
    </row>
    <row r="2794" spans="1:56">
      <c r="A2794" s="48"/>
      <c r="B2794" s="48"/>
      <c r="C2794" s="49"/>
      <c r="D2794" s="48"/>
      <c r="E2794" s="48"/>
      <c r="F2794" s="48"/>
      <c r="G2794" s="48"/>
      <c r="H2794" s="48"/>
      <c r="I2794" s="48"/>
      <c r="J2794" s="86"/>
      <c r="K2794" s="86"/>
      <c r="L2794" s="86"/>
      <c r="M2794" s="86"/>
      <c r="N2794" s="86"/>
      <c r="O2794" s="86"/>
      <c r="P2794" s="86"/>
      <c r="Q2794" s="86"/>
      <c r="R2794" s="86"/>
      <c r="S2794" s="86"/>
      <c r="T2794" s="86"/>
      <c r="U2794" s="86"/>
      <c r="V2794" s="48"/>
      <c r="W2794" s="48"/>
      <c r="X2794" s="48"/>
      <c r="Y2794" s="48"/>
      <c r="Z2794" s="48"/>
      <c r="AA2794" s="48"/>
      <c r="AB2794" s="48"/>
      <c r="AC2794" s="48"/>
      <c r="AD2794" s="48"/>
      <c r="AE2794" s="48"/>
      <c r="AF2794" s="48"/>
      <c r="AG2794" s="48"/>
      <c r="AH2794" s="48"/>
      <c r="AI2794" s="48"/>
      <c r="AJ2794" s="48"/>
      <c r="AK2794" s="48"/>
      <c r="AL2794" s="48"/>
      <c r="AM2794" s="48"/>
      <c r="AN2794" s="48"/>
      <c r="AO2794" s="48"/>
      <c r="AP2794" s="48"/>
      <c r="AQ2794" s="48"/>
      <c r="AR2794" s="48"/>
      <c r="AS2794" s="48"/>
      <c r="AT2794" s="48"/>
      <c r="AU2794" s="48"/>
      <c r="AV2794" s="48"/>
      <c r="AW2794" s="48"/>
      <c r="AX2794" s="48"/>
      <c r="AY2794" s="48"/>
      <c r="AZ2794" s="48"/>
      <c r="BA2794" s="48"/>
      <c r="BB2794" s="48"/>
      <c r="BC2794" s="48"/>
      <c r="BD2794" s="48"/>
    </row>
    <row r="2795" spans="1:56">
      <c r="A2795" s="48"/>
      <c r="B2795" s="48"/>
      <c r="C2795" s="49"/>
      <c r="D2795" s="48"/>
      <c r="E2795" s="48"/>
      <c r="F2795" s="48"/>
      <c r="G2795" s="48"/>
      <c r="H2795" s="48"/>
      <c r="I2795" s="48"/>
      <c r="J2795" s="86"/>
      <c r="K2795" s="86"/>
      <c r="L2795" s="86"/>
      <c r="M2795" s="86"/>
      <c r="N2795" s="86"/>
      <c r="O2795" s="86"/>
      <c r="P2795" s="86"/>
      <c r="Q2795" s="86"/>
      <c r="R2795" s="86"/>
      <c r="S2795" s="86"/>
      <c r="T2795" s="86"/>
      <c r="U2795" s="86"/>
      <c r="V2795" s="48"/>
      <c r="W2795" s="48"/>
      <c r="X2795" s="48"/>
      <c r="Y2795" s="48"/>
      <c r="Z2795" s="48"/>
      <c r="AA2795" s="48"/>
      <c r="AB2795" s="48"/>
      <c r="AC2795" s="48"/>
      <c r="AD2795" s="48"/>
      <c r="AE2795" s="48"/>
      <c r="AF2795" s="48"/>
      <c r="AG2795" s="48"/>
      <c r="AH2795" s="48"/>
      <c r="AI2795" s="48"/>
      <c r="AJ2795" s="48"/>
      <c r="AK2795" s="48"/>
      <c r="AL2795" s="48"/>
      <c r="AM2795" s="48"/>
      <c r="AN2795" s="48"/>
      <c r="AO2795" s="48"/>
      <c r="AP2795" s="48"/>
      <c r="AQ2795" s="48"/>
      <c r="AR2795" s="48"/>
      <c r="AS2795" s="48"/>
      <c r="AT2795" s="48"/>
      <c r="AU2795" s="48"/>
      <c r="AV2795" s="48"/>
      <c r="AW2795" s="48"/>
      <c r="AX2795" s="48"/>
      <c r="AY2795" s="48"/>
      <c r="AZ2795" s="48"/>
      <c r="BA2795" s="48"/>
      <c r="BB2795" s="48"/>
      <c r="BC2795" s="48"/>
      <c r="BD2795" s="48"/>
    </row>
    <row r="2796" spans="1:56">
      <c r="A2796" s="48"/>
      <c r="B2796" s="48"/>
      <c r="C2796" s="49"/>
      <c r="D2796" s="48"/>
      <c r="E2796" s="48"/>
      <c r="F2796" s="48"/>
      <c r="G2796" s="48"/>
      <c r="H2796" s="48"/>
      <c r="I2796" s="48"/>
      <c r="J2796" s="86"/>
      <c r="K2796" s="86"/>
      <c r="L2796" s="86"/>
      <c r="M2796" s="86"/>
      <c r="N2796" s="86"/>
      <c r="O2796" s="86"/>
      <c r="P2796" s="86"/>
      <c r="Q2796" s="86"/>
      <c r="R2796" s="86"/>
      <c r="S2796" s="86"/>
      <c r="T2796" s="86"/>
      <c r="U2796" s="86"/>
      <c r="V2796" s="48"/>
      <c r="W2796" s="48"/>
      <c r="X2796" s="48"/>
      <c r="Y2796" s="48"/>
      <c r="Z2796" s="48"/>
      <c r="AA2796" s="48"/>
      <c r="AB2796" s="48"/>
      <c r="AC2796" s="48"/>
      <c r="AD2796" s="48"/>
      <c r="AE2796" s="48"/>
      <c r="AF2796" s="48"/>
      <c r="AG2796" s="48"/>
      <c r="AH2796" s="48"/>
      <c r="AI2796" s="48"/>
      <c r="AJ2796" s="48"/>
      <c r="AK2796" s="48"/>
      <c r="AL2796" s="48"/>
      <c r="AM2796" s="48"/>
      <c r="AN2796" s="48"/>
      <c r="AO2796" s="48"/>
      <c r="AP2796" s="48"/>
      <c r="AQ2796" s="48"/>
      <c r="AR2796" s="48"/>
      <c r="AS2796" s="48"/>
      <c r="AT2796" s="48"/>
      <c r="AU2796" s="48"/>
      <c r="AV2796" s="48"/>
      <c r="AW2796" s="48"/>
      <c r="AX2796" s="48"/>
      <c r="AY2796" s="48"/>
      <c r="AZ2796" s="48"/>
      <c r="BA2796" s="48"/>
      <c r="BB2796" s="48"/>
      <c r="BC2796" s="48"/>
      <c r="BD2796" s="48"/>
    </row>
    <row r="2797" spans="1:56">
      <c r="A2797" s="48"/>
      <c r="B2797" s="48"/>
      <c r="C2797" s="49"/>
      <c r="D2797" s="48"/>
      <c r="E2797" s="48"/>
      <c r="F2797" s="48"/>
      <c r="G2797" s="48"/>
      <c r="H2797" s="48"/>
      <c r="I2797" s="48"/>
      <c r="J2797" s="86"/>
      <c r="K2797" s="86"/>
      <c r="L2797" s="86"/>
      <c r="M2797" s="86"/>
      <c r="N2797" s="86"/>
      <c r="O2797" s="86"/>
      <c r="P2797" s="86"/>
      <c r="Q2797" s="86"/>
      <c r="R2797" s="86"/>
      <c r="S2797" s="86"/>
      <c r="T2797" s="86"/>
      <c r="U2797" s="86"/>
      <c r="V2797" s="48"/>
      <c r="W2797" s="48"/>
      <c r="X2797" s="48"/>
      <c r="Y2797" s="48"/>
      <c r="Z2797" s="48"/>
      <c r="AA2797" s="48"/>
      <c r="AB2797" s="48"/>
      <c r="AC2797" s="48"/>
      <c r="AD2797" s="48"/>
      <c r="AE2797" s="48"/>
      <c r="AF2797" s="48"/>
      <c r="AG2797" s="48"/>
      <c r="AH2797" s="48"/>
      <c r="AI2797" s="48"/>
      <c r="AJ2797" s="48"/>
      <c r="AK2797" s="48"/>
      <c r="AL2797" s="48"/>
      <c r="AM2797" s="48"/>
      <c r="AN2797" s="48"/>
      <c r="AO2797" s="48"/>
      <c r="AP2797" s="48"/>
      <c r="AQ2797" s="48"/>
      <c r="AR2797" s="48"/>
      <c r="AS2797" s="48"/>
      <c r="AT2797" s="48"/>
      <c r="AU2797" s="48"/>
      <c r="AV2797" s="48"/>
      <c r="AW2797" s="48"/>
      <c r="AX2797" s="48"/>
      <c r="AY2797" s="48"/>
      <c r="AZ2797" s="48"/>
      <c r="BA2797" s="48"/>
      <c r="BB2797" s="48"/>
      <c r="BC2797" s="48"/>
      <c r="BD2797" s="48"/>
    </row>
    <row r="2798" spans="1:56">
      <c r="A2798" s="48"/>
      <c r="B2798" s="48"/>
      <c r="C2798" s="49"/>
      <c r="D2798" s="48"/>
      <c r="E2798" s="48"/>
      <c r="F2798" s="48"/>
      <c r="G2798" s="48"/>
      <c r="H2798" s="48"/>
      <c r="I2798" s="48"/>
      <c r="J2798" s="86"/>
      <c r="K2798" s="86"/>
      <c r="L2798" s="86"/>
      <c r="M2798" s="86"/>
      <c r="N2798" s="86"/>
      <c r="O2798" s="86"/>
      <c r="P2798" s="86"/>
      <c r="Q2798" s="86"/>
      <c r="R2798" s="86"/>
      <c r="S2798" s="86"/>
      <c r="T2798" s="86"/>
      <c r="U2798" s="86"/>
      <c r="V2798" s="48"/>
      <c r="W2798" s="48"/>
      <c r="X2798" s="48"/>
      <c r="Y2798" s="48"/>
      <c r="Z2798" s="48"/>
      <c r="AA2798" s="48"/>
      <c r="AB2798" s="48"/>
      <c r="AC2798" s="48"/>
      <c r="AD2798" s="48"/>
      <c r="AE2798" s="48"/>
      <c r="AF2798" s="48"/>
      <c r="AG2798" s="48"/>
      <c r="AH2798" s="48"/>
      <c r="AI2798" s="48"/>
      <c r="AJ2798" s="48"/>
      <c r="AK2798" s="48"/>
      <c r="AL2798" s="48"/>
      <c r="AM2798" s="48"/>
      <c r="AN2798" s="48"/>
      <c r="AO2798" s="48"/>
      <c r="AP2798" s="48"/>
      <c r="AQ2798" s="48"/>
      <c r="AR2798" s="48"/>
      <c r="AS2798" s="48"/>
      <c r="AT2798" s="48"/>
      <c r="AU2798" s="48"/>
      <c r="AV2798" s="48"/>
      <c r="AW2798" s="48"/>
      <c r="AX2798" s="48"/>
      <c r="AY2798" s="48"/>
      <c r="AZ2798" s="48"/>
      <c r="BA2798" s="48"/>
      <c r="BB2798" s="48"/>
      <c r="BC2798" s="48"/>
      <c r="BD2798" s="48"/>
    </row>
    <row r="2799" spans="1:56">
      <c r="A2799" s="48"/>
      <c r="B2799" s="48"/>
      <c r="C2799" s="49"/>
      <c r="D2799" s="48"/>
      <c r="E2799" s="48"/>
      <c r="F2799" s="48"/>
      <c r="G2799" s="48"/>
      <c r="H2799" s="48"/>
      <c r="I2799" s="48"/>
      <c r="J2799" s="86"/>
      <c r="K2799" s="86"/>
      <c r="L2799" s="86"/>
      <c r="M2799" s="86"/>
      <c r="N2799" s="86"/>
      <c r="O2799" s="86"/>
      <c r="P2799" s="86"/>
      <c r="Q2799" s="86"/>
      <c r="R2799" s="86"/>
      <c r="S2799" s="86"/>
      <c r="T2799" s="86"/>
      <c r="U2799" s="86"/>
      <c r="V2799" s="48"/>
      <c r="W2799" s="48"/>
      <c r="X2799" s="48"/>
      <c r="Y2799" s="48"/>
      <c r="Z2799" s="48"/>
      <c r="AA2799" s="48"/>
      <c r="AB2799" s="48"/>
      <c r="AC2799" s="48"/>
      <c r="AD2799" s="48"/>
      <c r="AE2799" s="48"/>
      <c r="AF2799" s="48"/>
      <c r="AG2799" s="48"/>
      <c r="AH2799" s="48"/>
      <c r="AI2799" s="48"/>
      <c r="AJ2799" s="48"/>
      <c r="AK2799" s="48"/>
      <c r="AL2799" s="48"/>
      <c r="AM2799" s="48"/>
      <c r="AN2799" s="48"/>
      <c r="AO2799" s="48"/>
      <c r="AP2799" s="48"/>
      <c r="AQ2799" s="48"/>
      <c r="AR2799" s="48"/>
      <c r="AS2799" s="48"/>
      <c r="AT2799" s="48"/>
      <c r="AU2799" s="48"/>
      <c r="AV2799" s="48"/>
      <c r="AW2799" s="48"/>
      <c r="AX2799" s="48"/>
      <c r="AY2799" s="48"/>
      <c r="AZ2799" s="48"/>
      <c r="BA2799" s="48"/>
      <c r="BB2799" s="48"/>
      <c r="BC2799" s="48"/>
      <c r="BD2799" s="48"/>
    </row>
    <row r="2800" spans="1:56">
      <c r="A2800" s="48"/>
      <c r="B2800" s="48"/>
      <c r="C2800" s="49"/>
      <c r="D2800" s="48"/>
      <c r="E2800" s="48"/>
      <c r="F2800" s="48"/>
      <c r="G2800" s="48"/>
      <c r="H2800" s="48"/>
      <c r="I2800" s="48"/>
      <c r="J2800" s="86"/>
      <c r="K2800" s="86"/>
      <c r="L2800" s="86"/>
      <c r="M2800" s="86"/>
      <c r="N2800" s="86"/>
      <c r="O2800" s="86"/>
      <c r="P2800" s="86"/>
      <c r="Q2800" s="86"/>
      <c r="R2800" s="86"/>
      <c r="S2800" s="86"/>
      <c r="T2800" s="86"/>
      <c r="U2800" s="86"/>
      <c r="V2800" s="48"/>
      <c r="W2800" s="48"/>
      <c r="X2800" s="48"/>
      <c r="Y2800" s="48"/>
      <c r="Z2800" s="48"/>
      <c r="AA2800" s="48"/>
      <c r="AB2800" s="48"/>
      <c r="AC2800" s="48"/>
      <c r="AD2800" s="48"/>
      <c r="AE2800" s="48"/>
      <c r="AF2800" s="48"/>
      <c r="AG2800" s="48"/>
      <c r="AH2800" s="48"/>
      <c r="AI2800" s="48"/>
      <c r="AJ2800" s="48"/>
      <c r="AK2800" s="48"/>
      <c r="AL2800" s="48"/>
      <c r="AM2800" s="48"/>
      <c r="AN2800" s="48"/>
      <c r="AO2800" s="48"/>
      <c r="AP2800" s="48"/>
      <c r="AQ2800" s="48"/>
      <c r="AR2800" s="48"/>
      <c r="AS2800" s="48"/>
      <c r="AT2800" s="48"/>
      <c r="AU2800" s="48"/>
      <c r="AV2800" s="48"/>
      <c r="AW2800" s="48"/>
      <c r="AX2800" s="48"/>
      <c r="AY2800" s="48"/>
      <c r="AZ2800" s="48"/>
      <c r="BA2800" s="48"/>
      <c r="BB2800" s="48"/>
      <c r="BC2800" s="48"/>
      <c r="BD2800" s="48"/>
    </row>
    <row r="2801" spans="1:56">
      <c r="A2801" s="48"/>
      <c r="B2801" s="48"/>
      <c r="C2801" s="49"/>
      <c r="D2801" s="48"/>
      <c r="E2801" s="48"/>
      <c r="F2801" s="48"/>
      <c r="G2801" s="48"/>
      <c r="H2801" s="48"/>
      <c r="I2801" s="48"/>
      <c r="J2801" s="86"/>
      <c r="K2801" s="86"/>
      <c r="L2801" s="86"/>
      <c r="M2801" s="86"/>
      <c r="N2801" s="86"/>
      <c r="O2801" s="86"/>
      <c r="P2801" s="86"/>
      <c r="Q2801" s="86"/>
      <c r="R2801" s="86"/>
      <c r="S2801" s="86"/>
      <c r="T2801" s="86"/>
      <c r="U2801" s="86"/>
      <c r="V2801" s="48"/>
      <c r="W2801" s="48"/>
      <c r="X2801" s="48"/>
      <c r="Y2801" s="48"/>
      <c r="Z2801" s="48"/>
      <c r="AA2801" s="48"/>
      <c r="AB2801" s="48"/>
      <c r="AC2801" s="48"/>
      <c r="AD2801" s="48"/>
      <c r="AE2801" s="48"/>
      <c r="AF2801" s="48"/>
      <c r="AG2801" s="48"/>
      <c r="AH2801" s="48"/>
      <c r="AI2801" s="48"/>
      <c r="AJ2801" s="48"/>
      <c r="AK2801" s="48"/>
      <c r="AL2801" s="48"/>
      <c r="AM2801" s="48"/>
      <c r="AN2801" s="48"/>
      <c r="AO2801" s="48"/>
      <c r="AP2801" s="48"/>
      <c r="AQ2801" s="48"/>
      <c r="AR2801" s="48"/>
      <c r="AS2801" s="48"/>
      <c r="AT2801" s="48"/>
      <c r="AU2801" s="48"/>
      <c r="AV2801" s="48"/>
      <c r="AW2801" s="48"/>
      <c r="AX2801" s="48"/>
      <c r="AY2801" s="48"/>
      <c r="AZ2801" s="48"/>
      <c r="BA2801" s="48"/>
      <c r="BB2801" s="48"/>
      <c r="BC2801" s="48"/>
      <c r="BD2801" s="48"/>
    </row>
    <row r="2802" spans="1:56">
      <c r="A2802" s="48"/>
      <c r="B2802" s="48"/>
      <c r="C2802" s="49"/>
      <c r="D2802" s="48"/>
      <c r="E2802" s="48"/>
      <c r="F2802" s="48"/>
      <c r="G2802" s="48"/>
      <c r="H2802" s="48"/>
      <c r="I2802" s="48"/>
      <c r="J2802" s="86"/>
      <c r="K2802" s="86"/>
      <c r="L2802" s="86"/>
      <c r="M2802" s="86"/>
      <c r="N2802" s="86"/>
      <c r="O2802" s="86"/>
      <c r="P2802" s="86"/>
      <c r="Q2802" s="86"/>
      <c r="R2802" s="86"/>
      <c r="S2802" s="86"/>
      <c r="T2802" s="86"/>
      <c r="U2802" s="86"/>
      <c r="V2802" s="48"/>
      <c r="W2802" s="48"/>
      <c r="X2802" s="48"/>
      <c r="Y2802" s="48"/>
      <c r="Z2802" s="48"/>
      <c r="AA2802" s="48"/>
      <c r="AB2802" s="48"/>
      <c r="AC2802" s="48"/>
      <c r="AD2802" s="48"/>
      <c r="AE2802" s="48"/>
      <c r="AF2802" s="48"/>
      <c r="AG2802" s="48"/>
      <c r="AH2802" s="48"/>
      <c r="AI2802" s="48"/>
      <c r="AJ2802" s="48"/>
      <c r="AK2802" s="48"/>
      <c r="AL2802" s="48"/>
      <c r="AM2802" s="48"/>
      <c r="AN2802" s="48"/>
      <c r="AO2802" s="48"/>
      <c r="AP2802" s="48"/>
      <c r="AQ2802" s="48"/>
      <c r="AR2802" s="48"/>
      <c r="AS2802" s="48"/>
      <c r="AT2802" s="48"/>
      <c r="AU2802" s="48"/>
      <c r="AV2802" s="48"/>
      <c r="AW2802" s="48"/>
      <c r="AX2802" s="48"/>
      <c r="AY2802" s="48"/>
      <c r="AZ2802" s="48"/>
      <c r="BA2802" s="48"/>
      <c r="BB2802" s="48"/>
      <c r="BC2802" s="48"/>
      <c r="BD2802" s="48"/>
    </row>
    <row r="2803" spans="1:56">
      <c r="A2803" s="48"/>
      <c r="B2803" s="48"/>
      <c r="C2803" s="49"/>
      <c r="D2803" s="48"/>
      <c r="E2803" s="48"/>
      <c r="F2803" s="48"/>
      <c r="G2803" s="48"/>
      <c r="H2803" s="48"/>
      <c r="I2803" s="48"/>
      <c r="J2803" s="86"/>
      <c r="K2803" s="86"/>
      <c r="L2803" s="86"/>
      <c r="M2803" s="86"/>
      <c r="N2803" s="86"/>
      <c r="O2803" s="86"/>
      <c r="P2803" s="86"/>
      <c r="Q2803" s="86"/>
      <c r="R2803" s="86"/>
      <c r="S2803" s="86"/>
      <c r="T2803" s="86"/>
      <c r="U2803" s="86"/>
      <c r="V2803" s="48"/>
      <c r="W2803" s="48"/>
      <c r="X2803" s="48"/>
      <c r="Y2803" s="48"/>
      <c r="Z2803" s="48"/>
      <c r="AA2803" s="48"/>
      <c r="AB2803" s="48"/>
      <c r="AC2803" s="48"/>
      <c r="AD2803" s="48"/>
      <c r="AE2803" s="48"/>
      <c r="AF2803" s="48"/>
      <c r="AG2803" s="48"/>
      <c r="AH2803" s="48"/>
      <c r="AI2803" s="48"/>
      <c r="AJ2803" s="48"/>
      <c r="AK2803" s="48"/>
      <c r="AL2803" s="48"/>
      <c r="AM2803" s="48"/>
      <c r="AN2803" s="48"/>
      <c r="AO2803" s="48"/>
      <c r="AP2803" s="48"/>
      <c r="AQ2803" s="48"/>
      <c r="AR2803" s="48"/>
      <c r="AS2803" s="48"/>
      <c r="AT2803" s="48"/>
      <c r="AU2803" s="48"/>
      <c r="AV2803" s="48"/>
      <c r="AW2803" s="48"/>
      <c r="AX2803" s="48"/>
      <c r="AY2803" s="48"/>
      <c r="AZ2803" s="48"/>
      <c r="BA2803" s="48"/>
      <c r="BB2803" s="48"/>
      <c r="BC2803" s="48"/>
      <c r="BD2803" s="48"/>
    </row>
    <row r="2804" spans="1:56">
      <c r="A2804" s="48"/>
      <c r="B2804" s="48"/>
      <c r="C2804" s="49"/>
      <c r="D2804" s="48"/>
      <c r="E2804" s="48"/>
      <c r="F2804" s="48"/>
      <c r="G2804" s="48"/>
      <c r="H2804" s="48"/>
      <c r="I2804" s="48"/>
      <c r="J2804" s="86"/>
      <c r="K2804" s="86"/>
      <c r="L2804" s="86"/>
      <c r="M2804" s="86"/>
      <c r="N2804" s="86"/>
      <c r="O2804" s="86"/>
      <c r="P2804" s="86"/>
      <c r="Q2804" s="86"/>
      <c r="R2804" s="86"/>
      <c r="S2804" s="86"/>
      <c r="T2804" s="86"/>
      <c r="U2804" s="86"/>
      <c r="V2804" s="48"/>
      <c r="W2804" s="48"/>
      <c r="X2804" s="48"/>
      <c r="Y2804" s="48"/>
      <c r="Z2804" s="48"/>
      <c r="AA2804" s="48"/>
      <c r="AB2804" s="48"/>
      <c r="AC2804" s="48"/>
      <c r="AD2804" s="48"/>
      <c r="AE2804" s="48"/>
      <c r="AF2804" s="48"/>
      <c r="AG2804" s="48"/>
      <c r="AH2804" s="48"/>
      <c r="AI2804" s="48"/>
      <c r="AJ2804" s="48"/>
      <c r="AK2804" s="48"/>
      <c r="AL2804" s="48"/>
      <c r="AM2804" s="48"/>
      <c r="AN2804" s="48"/>
      <c r="AO2804" s="48"/>
      <c r="AP2804" s="48"/>
      <c r="AQ2804" s="48"/>
      <c r="AR2804" s="48"/>
      <c r="AS2804" s="48"/>
      <c r="AT2804" s="48"/>
      <c r="AU2804" s="48"/>
      <c r="AV2804" s="48"/>
      <c r="AW2804" s="48"/>
      <c r="AX2804" s="48"/>
      <c r="AY2804" s="48"/>
      <c r="AZ2804" s="48"/>
      <c r="BA2804" s="48"/>
      <c r="BB2804" s="48"/>
      <c r="BC2804" s="48"/>
      <c r="BD2804" s="48"/>
    </row>
    <row r="2805" spans="1:56">
      <c r="A2805" s="48"/>
      <c r="B2805" s="48"/>
      <c r="C2805" s="49"/>
      <c r="D2805" s="48"/>
      <c r="E2805" s="48"/>
      <c r="F2805" s="48"/>
      <c r="G2805" s="48"/>
      <c r="H2805" s="48"/>
      <c r="I2805" s="48"/>
      <c r="J2805" s="86"/>
      <c r="K2805" s="86"/>
      <c r="L2805" s="86"/>
      <c r="M2805" s="86"/>
      <c r="N2805" s="86"/>
      <c r="O2805" s="86"/>
      <c r="P2805" s="86"/>
      <c r="Q2805" s="86"/>
      <c r="R2805" s="86"/>
      <c r="S2805" s="86"/>
      <c r="T2805" s="86"/>
      <c r="U2805" s="86"/>
      <c r="V2805" s="48"/>
      <c r="W2805" s="48"/>
      <c r="X2805" s="48"/>
      <c r="Y2805" s="48"/>
      <c r="Z2805" s="48"/>
      <c r="AA2805" s="48"/>
      <c r="AB2805" s="48"/>
      <c r="AC2805" s="48"/>
      <c r="AD2805" s="48"/>
      <c r="AE2805" s="48"/>
      <c r="AF2805" s="48"/>
      <c r="AG2805" s="48"/>
      <c r="AH2805" s="48"/>
      <c r="AI2805" s="48"/>
      <c r="AJ2805" s="48"/>
      <c r="AK2805" s="48"/>
      <c r="AL2805" s="48"/>
      <c r="AM2805" s="48"/>
      <c r="AN2805" s="48"/>
      <c r="AO2805" s="48"/>
      <c r="AP2805" s="48"/>
      <c r="AQ2805" s="48"/>
      <c r="AR2805" s="48"/>
      <c r="AS2805" s="48"/>
      <c r="AT2805" s="48"/>
      <c r="AU2805" s="48"/>
      <c r="AV2805" s="48"/>
      <c r="AW2805" s="48"/>
      <c r="AX2805" s="48"/>
      <c r="AY2805" s="48"/>
      <c r="AZ2805" s="48"/>
      <c r="BA2805" s="48"/>
      <c r="BB2805" s="48"/>
      <c r="BC2805" s="48"/>
      <c r="BD2805" s="48"/>
    </row>
    <row r="2806" spans="1:56">
      <c r="A2806" s="48"/>
      <c r="B2806" s="48"/>
      <c r="C2806" s="49"/>
      <c r="D2806" s="48"/>
      <c r="E2806" s="48"/>
      <c r="F2806" s="48"/>
      <c r="G2806" s="48"/>
      <c r="H2806" s="48"/>
      <c r="I2806" s="48"/>
      <c r="J2806" s="86"/>
      <c r="K2806" s="86"/>
      <c r="L2806" s="86"/>
      <c r="M2806" s="86"/>
      <c r="N2806" s="86"/>
      <c r="O2806" s="86"/>
      <c r="P2806" s="86"/>
      <c r="Q2806" s="86"/>
      <c r="R2806" s="86"/>
      <c r="S2806" s="86"/>
      <c r="T2806" s="86"/>
      <c r="U2806" s="86"/>
      <c r="V2806" s="48"/>
      <c r="W2806" s="48"/>
      <c r="X2806" s="48"/>
      <c r="Y2806" s="48"/>
      <c r="Z2806" s="48"/>
      <c r="AA2806" s="48"/>
      <c r="AB2806" s="48"/>
      <c r="AC2806" s="48"/>
      <c r="AD2806" s="48"/>
      <c r="AE2806" s="48"/>
      <c r="AF2806" s="48"/>
      <c r="AG2806" s="48"/>
      <c r="AH2806" s="48"/>
      <c r="AI2806" s="48"/>
      <c r="AJ2806" s="48"/>
      <c r="AK2806" s="48"/>
      <c r="AL2806" s="48"/>
      <c r="AM2806" s="48"/>
      <c r="AN2806" s="48"/>
      <c r="AO2806" s="48"/>
      <c r="AP2806" s="48"/>
      <c r="AQ2806" s="48"/>
      <c r="AR2806" s="48"/>
      <c r="AS2806" s="48"/>
      <c r="AT2806" s="48"/>
      <c r="AU2806" s="48"/>
      <c r="AV2806" s="48"/>
      <c r="AW2806" s="48"/>
      <c r="AX2806" s="48"/>
      <c r="AY2806" s="48"/>
      <c r="AZ2806" s="48"/>
      <c r="BA2806" s="48"/>
      <c r="BB2806" s="48"/>
      <c r="BC2806" s="48"/>
      <c r="BD2806" s="48"/>
    </row>
    <row r="2807" spans="1:56">
      <c r="A2807" s="48"/>
      <c r="B2807" s="48"/>
      <c r="C2807" s="49"/>
      <c r="D2807" s="48"/>
      <c r="E2807" s="48"/>
      <c r="F2807" s="48"/>
      <c r="G2807" s="48"/>
      <c r="H2807" s="48"/>
      <c r="I2807" s="48"/>
      <c r="J2807" s="86"/>
      <c r="K2807" s="86"/>
      <c r="L2807" s="86"/>
      <c r="M2807" s="86"/>
      <c r="N2807" s="86"/>
      <c r="O2807" s="86"/>
      <c r="P2807" s="86"/>
      <c r="Q2807" s="86"/>
      <c r="R2807" s="86"/>
      <c r="S2807" s="86"/>
      <c r="T2807" s="86"/>
      <c r="U2807" s="86"/>
      <c r="V2807" s="48"/>
      <c r="W2807" s="48"/>
      <c r="X2807" s="48"/>
      <c r="Y2807" s="48"/>
      <c r="Z2807" s="48"/>
      <c r="AA2807" s="48"/>
      <c r="AB2807" s="48"/>
      <c r="AC2807" s="48"/>
      <c r="AD2807" s="48"/>
      <c r="AE2807" s="48"/>
      <c r="AF2807" s="48"/>
      <c r="AG2807" s="48"/>
      <c r="AH2807" s="48"/>
      <c r="AI2807" s="48"/>
      <c r="AJ2807" s="48"/>
      <c r="AK2807" s="48"/>
      <c r="AL2807" s="48"/>
      <c r="AM2807" s="48"/>
      <c r="AN2807" s="48"/>
      <c r="AO2807" s="48"/>
      <c r="AP2807" s="48"/>
      <c r="AQ2807" s="48"/>
      <c r="AR2807" s="48"/>
      <c r="AS2807" s="48"/>
      <c r="AT2807" s="48"/>
      <c r="AU2807" s="48"/>
      <c r="AV2807" s="48"/>
      <c r="AW2807" s="48"/>
      <c r="AX2807" s="48"/>
      <c r="AY2807" s="48"/>
      <c r="AZ2807" s="48"/>
      <c r="BA2807" s="48"/>
      <c r="BB2807" s="48"/>
      <c r="BC2807" s="48"/>
      <c r="BD2807" s="48"/>
    </row>
    <row r="2808" spans="1:56">
      <c r="A2808" s="48"/>
      <c r="B2808" s="48"/>
      <c r="C2808" s="49"/>
      <c r="D2808" s="48"/>
      <c r="E2808" s="48"/>
      <c r="F2808" s="48"/>
      <c r="G2808" s="48"/>
      <c r="H2808" s="48"/>
      <c r="I2808" s="48"/>
      <c r="J2808" s="86"/>
      <c r="K2808" s="86"/>
      <c r="L2808" s="86"/>
      <c r="M2808" s="86"/>
      <c r="N2808" s="86"/>
      <c r="O2808" s="86"/>
      <c r="P2808" s="86"/>
      <c r="Q2808" s="86"/>
      <c r="R2808" s="86"/>
      <c r="S2808" s="86"/>
      <c r="T2808" s="86"/>
      <c r="U2808" s="86"/>
      <c r="V2808" s="48"/>
      <c r="W2808" s="48"/>
      <c r="X2808" s="48"/>
      <c r="Y2808" s="48"/>
      <c r="Z2808" s="48"/>
      <c r="AA2808" s="48"/>
      <c r="AB2808" s="48"/>
      <c r="AC2808" s="48"/>
      <c r="AD2808" s="48"/>
      <c r="AE2808" s="48"/>
      <c r="AF2808" s="48"/>
      <c r="AG2808" s="48"/>
      <c r="AH2808" s="48"/>
      <c r="AI2808" s="48"/>
      <c r="AJ2808" s="48"/>
      <c r="AK2808" s="48"/>
      <c r="AL2808" s="48"/>
      <c r="AM2808" s="48"/>
      <c r="AN2808" s="48"/>
      <c r="AO2808" s="48"/>
      <c r="AP2808" s="48"/>
      <c r="AQ2808" s="48"/>
      <c r="AR2808" s="48"/>
      <c r="AS2808" s="48"/>
      <c r="AT2808" s="48"/>
      <c r="AU2808" s="48"/>
      <c r="AV2808" s="48"/>
      <c r="AW2808" s="48"/>
      <c r="AX2808" s="48"/>
      <c r="AY2808" s="48"/>
      <c r="AZ2808" s="48"/>
      <c r="BA2808" s="48"/>
      <c r="BB2808" s="48"/>
      <c r="BC2808" s="48"/>
      <c r="BD2808" s="48"/>
    </row>
    <row r="2809" spans="1:56">
      <c r="A2809" s="48"/>
      <c r="B2809" s="48"/>
      <c r="C2809" s="49"/>
      <c r="D2809" s="48"/>
      <c r="E2809" s="48"/>
      <c r="F2809" s="48"/>
      <c r="G2809" s="48"/>
      <c r="H2809" s="48"/>
      <c r="I2809" s="48"/>
      <c r="J2809" s="86"/>
      <c r="K2809" s="86"/>
      <c r="L2809" s="86"/>
      <c r="M2809" s="86"/>
      <c r="N2809" s="86"/>
      <c r="O2809" s="86"/>
      <c r="P2809" s="86"/>
      <c r="Q2809" s="86"/>
      <c r="R2809" s="86"/>
      <c r="S2809" s="86"/>
      <c r="T2809" s="86"/>
      <c r="U2809" s="86"/>
      <c r="V2809" s="48"/>
      <c r="W2809" s="48"/>
      <c r="X2809" s="48"/>
      <c r="Y2809" s="48"/>
      <c r="Z2809" s="48"/>
      <c r="AA2809" s="48"/>
      <c r="AB2809" s="48"/>
      <c r="AC2809" s="48"/>
      <c r="AD2809" s="48"/>
      <c r="AE2809" s="48"/>
      <c r="AF2809" s="48"/>
      <c r="AG2809" s="48"/>
      <c r="AH2809" s="48"/>
      <c r="AI2809" s="48"/>
      <c r="AJ2809" s="48"/>
      <c r="AK2809" s="48"/>
      <c r="AL2809" s="48"/>
      <c r="AM2809" s="48"/>
      <c r="AN2809" s="48"/>
      <c r="AO2809" s="48"/>
      <c r="AP2809" s="48"/>
      <c r="AQ2809" s="48"/>
      <c r="AR2809" s="48"/>
      <c r="AS2809" s="48"/>
      <c r="AT2809" s="48"/>
      <c r="AU2809" s="48"/>
      <c r="AV2809" s="48"/>
      <c r="AW2809" s="48"/>
      <c r="AX2809" s="48"/>
      <c r="AY2809" s="48"/>
      <c r="AZ2809" s="48"/>
      <c r="BA2809" s="48"/>
      <c r="BB2809" s="48"/>
      <c r="BC2809" s="48"/>
      <c r="BD2809" s="48"/>
    </row>
    <row r="2810" spans="1:56">
      <c r="A2810" s="48"/>
      <c r="B2810" s="48"/>
      <c r="C2810" s="49"/>
      <c r="D2810" s="48"/>
      <c r="E2810" s="48"/>
      <c r="F2810" s="48"/>
      <c r="G2810" s="48"/>
      <c r="H2810" s="48"/>
      <c r="I2810" s="48"/>
      <c r="J2810" s="86"/>
      <c r="K2810" s="86"/>
      <c r="L2810" s="86"/>
      <c r="M2810" s="86"/>
      <c r="N2810" s="86"/>
      <c r="O2810" s="86"/>
      <c r="P2810" s="86"/>
      <c r="Q2810" s="86"/>
      <c r="R2810" s="86"/>
      <c r="S2810" s="86"/>
      <c r="T2810" s="86"/>
      <c r="U2810" s="86"/>
      <c r="V2810" s="48"/>
      <c r="W2810" s="48"/>
      <c r="X2810" s="48"/>
      <c r="Y2810" s="48"/>
      <c r="Z2810" s="48"/>
      <c r="AA2810" s="48"/>
      <c r="AB2810" s="48"/>
      <c r="AC2810" s="48"/>
      <c r="AD2810" s="48"/>
      <c r="AE2810" s="48"/>
      <c r="AF2810" s="48"/>
      <c r="AG2810" s="48"/>
      <c r="AH2810" s="48"/>
      <c r="AI2810" s="48"/>
      <c r="AJ2810" s="48"/>
      <c r="AK2810" s="48"/>
      <c r="AL2810" s="48"/>
      <c r="AM2810" s="48"/>
      <c r="AN2810" s="48"/>
      <c r="AO2810" s="48"/>
      <c r="AP2810" s="48"/>
      <c r="AQ2810" s="48"/>
      <c r="AR2810" s="48"/>
      <c r="AS2810" s="48"/>
      <c r="AT2810" s="48"/>
      <c r="AU2810" s="48"/>
      <c r="AV2810" s="48"/>
      <c r="AW2810" s="48"/>
      <c r="AX2810" s="48"/>
      <c r="AY2810" s="48"/>
      <c r="AZ2810" s="48"/>
      <c r="BA2810" s="48"/>
      <c r="BB2810" s="48"/>
      <c r="BC2810" s="48"/>
      <c r="BD2810" s="48"/>
    </row>
    <row r="2811" spans="1:56">
      <c r="A2811" s="48"/>
      <c r="B2811" s="48"/>
      <c r="C2811" s="49"/>
      <c r="D2811" s="48"/>
      <c r="E2811" s="48"/>
      <c r="F2811" s="48"/>
      <c r="G2811" s="48"/>
      <c r="H2811" s="48"/>
      <c r="I2811" s="48"/>
      <c r="J2811" s="86"/>
      <c r="K2811" s="86"/>
      <c r="L2811" s="86"/>
      <c r="M2811" s="86"/>
      <c r="N2811" s="86"/>
      <c r="O2811" s="86"/>
      <c r="P2811" s="86"/>
      <c r="Q2811" s="86"/>
      <c r="R2811" s="86"/>
      <c r="S2811" s="86"/>
      <c r="T2811" s="86"/>
      <c r="U2811" s="86"/>
      <c r="V2811" s="48"/>
      <c r="W2811" s="48"/>
      <c r="X2811" s="48"/>
      <c r="Y2811" s="48"/>
      <c r="Z2811" s="48"/>
      <c r="AA2811" s="48"/>
      <c r="AB2811" s="48"/>
      <c r="AC2811" s="48"/>
      <c r="AD2811" s="48"/>
      <c r="AE2811" s="48"/>
      <c r="AF2811" s="48"/>
      <c r="AG2811" s="48"/>
      <c r="AH2811" s="48"/>
      <c r="AI2811" s="48"/>
      <c r="AJ2811" s="48"/>
      <c r="AK2811" s="48"/>
      <c r="AL2811" s="48"/>
      <c r="AM2811" s="48"/>
      <c r="AN2811" s="48"/>
      <c r="AO2811" s="48"/>
      <c r="AP2811" s="48"/>
      <c r="AQ2811" s="48"/>
      <c r="AR2811" s="48"/>
      <c r="AS2811" s="48"/>
      <c r="AT2811" s="48"/>
      <c r="AU2811" s="48"/>
      <c r="AV2811" s="48"/>
      <c r="AW2811" s="48"/>
      <c r="AX2811" s="48"/>
      <c r="AY2811" s="48"/>
      <c r="AZ2811" s="48"/>
      <c r="BA2811" s="48"/>
      <c r="BB2811" s="48"/>
      <c r="BC2811" s="48"/>
      <c r="BD2811" s="48"/>
    </row>
    <row r="2812" spans="1:56">
      <c r="A2812" s="48"/>
      <c r="B2812" s="48"/>
      <c r="C2812" s="49"/>
      <c r="D2812" s="48"/>
      <c r="E2812" s="48"/>
      <c r="F2812" s="48"/>
      <c r="G2812" s="48"/>
      <c r="H2812" s="48"/>
      <c r="I2812" s="48"/>
      <c r="J2812" s="86"/>
      <c r="K2812" s="86"/>
      <c r="L2812" s="86"/>
      <c r="M2812" s="86"/>
      <c r="N2812" s="86"/>
      <c r="O2812" s="86"/>
      <c r="P2812" s="86"/>
      <c r="Q2812" s="86"/>
      <c r="R2812" s="86"/>
      <c r="S2812" s="86"/>
      <c r="T2812" s="86"/>
      <c r="U2812" s="86"/>
      <c r="V2812" s="48"/>
      <c r="W2812" s="48"/>
      <c r="X2812" s="48"/>
      <c r="Y2812" s="48"/>
      <c r="Z2812" s="48"/>
      <c r="AA2812" s="48"/>
      <c r="AB2812" s="48"/>
      <c r="AC2812" s="48"/>
      <c r="AD2812" s="48"/>
      <c r="AE2812" s="48"/>
      <c r="AF2812" s="48"/>
      <c r="AG2812" s="48"/>
      <c r="AH2812" s="48"/>
      <c r="AI2812" s="48"/>
      <c r="AJ2812" s="48"/>
      <c r="AK2812" s="48"/>
      <c r="AL2812" s="48"/>
      <c r="AM2812" s="48"/>
      <c r="AN2812" s="48"/>
      <c r="AO2812" s="48"/>
      <c r="AP2812" s="48"/>
      <c r="AQ2812" s="48"/>
      <c r="AR2812" s="48"/>
      <c r="AS2812" s="48"/>
      <c r="AT2812" s="48"/>
      <c r="AU2812" s="48"/>
      <c r="AV2812" s="48"/>
      <c r="AW2812" s="48"/>
      <c r="AX2812" s="48"/>
      <c r="AY2812" s="48"/>
      <c r="AZ2812" s="48"/>
      <c r="BA2812" s="48"/>
      <c r="BB2812" s="48"/>
      <c r="BC2812" s="48"/>
      <c r="BD2812" s="48"/>
    </row>
    <row r="2813" spans="1:56">
      <c r="A2813" s="48"/>
      <c r="B2813" s="48"/>
      <c r="C2813" s="49"/>
      <c r="D2813" s="48"/>
      <c r="E2813" s="48"/>
      <c r="F2813" s="48"/>
      <c r="G2813" s="48"/>
      <c r="H2813" s="48"/>
      <c r="I2813" s="48"/>
      <c r="J2813" s="86"/>
      <c r="K2813" s="86"/>
      <c r="L2813" s="86"/>
      <c r="M2813" s="86"/>
      <c r="N2813" s="86"/>
      <c r="O2813" s="86"/>
      <c r="P2813" s="86"/>
      <c r="Q2813" s="86"/>
      <c r="R2813" s="86"/>
      <c r="S2813" s="86"/>
      <c r="T2813" s="86"/>
      <c r="U2813" s="86"/>
      <c r="V2813" s="48"/>
      <c r="W2813" s="48"/>
      <c r="X2813" s="48"/>
      <c r="Y2813" s="48"/>
      <c r="Z2813" s="48"/>
      <c r="AA2813" s="48"/>
      <c r="AB2813" s="48"/>
      <c r="AC2813" s="48"/>
      <c r="AD2813" s="48"/>
      <c r="AE2813" s="48"/>
      <c r="AF2813" s="48"/>
      <c r="AG2813" s="48"/>
      <c r="AH2813" s="48"/>
      <c r="AI2813" s="48"/>
      <c r="AJ2813" s="48"/>
      <c r="AK2813" s="48"/>
      <c r="AL2813" s="48"/>
      <c r="AM2813" s="48"/>
      <c r="AN2813" s="48"/>
      <c r="AO2813" s="48"/>
      <c r="AP2813" s="48"/>
      <c r="AQ2813" s="48"/>
      <c r="AR2813" s="48"/>
      <c r="AS2813" s="48"/>
      <c r="AT2813" s="48"/>
      <c r="AU2813" s="48"/>
      <c r="AV2813" s="48"/>
      <c r="AW2813" s="48"/>
      <c r="AX2813" s="48"/>
      <c r="AY2813" s="48"/>
      <c r="AZ2813" s="48"/>
      <c r="BA2813" s="48"/>
      <c r="BB2813" s="48"/>
      <c r="BC2813" s="48"/>
      <c r="BD2813" s="48"/>
    </row>
    <row r="2814" spans="1:56">
      <c r="A2814" s="48"/>
      <c r="B2814" s="48"/>
      <c r="C2814" s="49"/>
      <c r="D2814" s="48"/>
      <c r="E2814" s="48"/>
      <c r="F2814" s="48"/>
      <c r="G2814" s="48"/>
      <c r="H2814" s="48"/>
      <c r="I2814" s="48"/>
      <c r="J2814" s="86"/>
      <c r="K2814" s="86"/>
      <c r="L2814" s="86"/>
      <c r="M2814" s="86"/>
      <c r="N2814" s="86"/>
      <c r="O2814" s="86"/>
      <c r="P2814" s="86"/>
      <c r="Q2814" s="86"/>
      <c r="R2814" s="86"/>
      <c r="S2814" s="86"/>
      <c r="T2814" s="86"/>
      <c r="U2814" s="86"/>
      <c r="V2814" s="48"/>
      <c r="W2814" s="48"/>
      <c r="X2814" s="48"/>
      <c r="Y2814" s="48"/>
      <c r="Z2814" s="48"/>
      <c r="AA2814" s="48"/>
      <c r="AB2814" s="48"/>
      <c r="AC2814" s="48"/>
      <c r="AD2814" s="48"/>
      <c r="AE2814" s="48"/>
      <c r="AF2814" s="48"/>
      <c r="AG2814" s="48"/>
      <c r="AH2814" s="48"/>
      <c r="AI2814" s="48"/>
      <c r="AJ2814" s="48"/>
      <c r="AK2814" s="48"/>
      <c r="AL2814" s="48"/>
      <c r="AM2814" s="48"/>
      <c r="AN2814" s="48"/>
      <c r="AO2814" s="48"/>
      <c r="AP2814" s="48"/>
      <c r="AQ2814" s="48"/>
      <c r="AR2814" s="48"/>
      <c r="AS2814" s="48"/>
      <c r="AT2814" s="48"/>
      <c r="AU2814" s="48"/>
      <c r="AV2814" s="48"/>
      <c r="AW2814" s="48"/>
      <c r="AX2814" s="48"/>
      <c r="AY2814" s="48"/>
      <c r="AZ2814" s="48"/>
      <c r="BA2814" s="48"/>
      <c r="BB2814" s="48"/>
      <c r="BC2814" s="48"/>
      <c r="BD2814" s="48"/>
    </row>
    <row r="2815" spans="1:56">
      <c r="A2815" s="48"/>
      <c r="B2815" s="48"/>
      <c r="C2815" s="49"/>
      <c r="D2815" s="48"/>
      <c r="E2815" s="48"/>
      <c r="F2815" s="48"/>
      <c r="G2815" s="48"/>
      <c r="H2815" s="48"/>
      <c r="I2815" s="48"/>
      <c r="J2815" s="86"/>
      <c r="K2815" s="86"/>
      <c r="L2815" s="86"/>
      <c r="M2815" s="86"/>
      <c r="N2815" s="86"/>
      <c r="O2815" s="86"/>
      <c r="P2815" s="86"/>
      <c r="Q2815" s="86"/>
      <c r="R2815" s="86"/>
      <c r="S2815" s="86"/>
      <c r="T2815" s="86"/>
      <c r="U2815" s="86"/>
      <c r="V2815" s="48"/>
      <c r="W2815" s="48"/>
      <c r="X2815" s="48"/>
      <c r="Y2815" s="48"/>
      <c r="Z2815" s="48"/>
      <c r="AA2815" s="48"/>
      <c r="AB2815" s="48"/>
      <c r="AC2815" s="48"/>
      <c r="AD2815" s="48"/>
      <c r="AE2815" s="48"/>
      <c r="AF2815" s="48"/>
      <c r="AG2815" s="48"/>
      <c r="AH2815" s="48"/>
      <c r="AI2815" s="48"/>
      <c r="AJ2815" s="48"/>
      <c r="AK2815" s="48"/>
      <c r="AL2815" s="48"/>
      <c r="AM2815" s="48"/>
      <c r="AN2815" s="48"/>
      <c r="AO2815" s="48"/>
      <c r="AP2815" s="48"/>
      <c r="AQ2815" s="48"/>
      <c r="AR2815" s="48"/>
      <c r="AS2815" s="48"/>
      <c r="AT2815" s="48"/>
      <c r="AU2815" s="48"/>
      <c r="AV2815" s="48"/>
      <c r="AW2815" s="48"/>
      <c r="AX2815" s="48"/>
      <c r="AY2815" s="48"/>
      <c r="AZ2815" s="48"/>
      <c r="BA2815" s="48"/>
      <c r="BB2815" s="48"/>
      <c r="BC2815" s="48"/>
      <c r="BD2815" s="48"/>
    </row>
    <row r="2816" spans="1:56">
      <c r="A2816" s="48"/>
      <c r="B2816" s="48"/>
      <c r="C2816" s="49"/>
      <c r="D2816" s="48"/>
      <c r="E2816" s="48"/>
      <c r="F2816" s="48"/>
      <c r="G2816" s="48"/>
      <c r="H2816" s="48"/>
      <c r="I2816" s="48"/>
      <c r="J2816" s="86"/>
      <c r="K2816" s="86"/>
      <c r="L2816" s="86"/>
      <c r="M2816" s="86"/>
      <c r="N2816" s="86"/>
      <c r="O2816" s="86"/>
      <c r="P2816" s="86"/>
      <c r="Q2816" s="86"/>
      <c r="R2816" s="86"/>
      <c r="S2816" s="86"/>
      <c r="T2816" s="86"/>
      <c r="U2816" s="86"/>
      <c r="V2816" s="48"/>
      <c r="W2816" s="48"/>
      <c r="X2816" s="48"/>
      <c r="Y2816" s="48"/>
      <c r="Z2816" s="48"/>
      <c r="AA2816" s="48"/>
      <c r="AB2816" s="48"/>
      <c r="AC2816" s="48"/>
      <c r="AD2816" s="48"/>
      <c r="AE2816" s="48"/>
      <c r="AF2816" s="48"/>
      <c r="AG2816" s="48"/>
      <c r="AH2816" s="48"/>
      <c r="AI2816" s="48"/>
      <c r="AJ2816" s="48"/>
      <c r="AK2816" s="48"/>
      <c r="AL2816" s="48"/>
      <c r="AM2816" s="48"/>
      <c r="AN2816" s="48"/>
      <c r="AO2816" s="48"/>
      <c r="AP2816" s="48"/>
      <c r="AQ2816" s="48"/>
      <c r="AR2816" s="48"/>
      <c r="AS2816" s="48"/>
      <c r="AT2816" s="48"/>
      <c r="AU2816" s="48"/>
      <c r="AV2816" s="48"/>
      <c r="AW2816" s="48"/>
      <c r="AX2816" s="48"/>
      <c r="AY2816" s="48"/>
      <c r="AZ2816" s="48"/>
      <c r="BA2816" s="48"/>
      <c r="BB2816" s="48"/>
      <c r="BC2816" s="48"/>
      <c r="BD2816" s="48"/>
    </row>
    <row r="2817" spans="1:56">
      <c r="A2817" s="48"/>
      <c r="B2817" s="48"/>
      <c r="C2817" s="49"/>
      <c r="D2817" s="48"/>
      <c r="E2817" s="48"/>
      <c r="F2817" s="48"/>
      <c r="G2817" s="48"/>
      <c r="H2817" s="48"/>
      <c r="I2817" s="48"/>
      <c r="J2817" s="86"/>
      <c r="K2817" s="86"/>
      <c r="L2817" s="86"/>
      <c r="M2817" s="86"/>
      <c r="N2817" s="86"/>
      <c r="O2817" s="86"/>
      <c r="P2817" s="86"/>
      <c r="Q2817" s="86"/>
      <c r="R2817" s="86"/>
      <c r="S2817" s="86"/>
      <c r="T2817" s="86"/>
      <c r="U2817" s="86"/>
      <c r="V2817" s="48"/>
      <c r="W2817" s="48"/>
      <c r="X2817" s="48"/>
      <c r="Y2817" s="48"/>
      <c r="Z2817" s="48"/>
      <c r="AA2817" s="48"/>
      <c r="AB2817" s="48"/>
      <c r="AC2817" s="48"/>
      <c r="AD2817" s="48"/>
      <c r="AE2817" s="48"/>
      <c r="AF2817" s="48"/>
      <c r="AG2817" s="48"/>
      <c r="AH2817" s="48"/>
      <c r="AI2817" s="48"/>
      <c r="AJ2817" s="48"/>
      <c r="AK2817" s="48"/>
      <c r="AL2817" s="48"/>
      <c r="AM2817" s="48"/>
      <c r="AN2817" s="48"/>
      <c r="AO2817" s="48"/>
      <c r="AP2817" s="48"/>
      <c r="AQ2817" s="48"/>
      <c r="AR2817" s="48"/>
      <c r="AS2817" s="48"/>
      <c r="AT2817" s="48"/>
      <c r="AU2817" s="48"/>
      <c r="AV2817" s="48"/>
      <c r="AW2817" s="48"/>
      <c r="AX2817" s="48"/>
      <c r="AY2817" s="48"/>
      <c r="AZ2817" s="48"/>
      <c r="BA2817" s="48"/>
      <c r="BB2817" s="48"/>
      <c r="BC2817" s="48"/>
      <c r="BD2817" s="48"/>
    </row>
    <row r="2818" spans="1:56">
      <c r="A2818" s="48"/>
      <c r="B2818" s="48"/>
      <c r="C2818" s="49"/>
      <c r="D2818" s="48"/>
      <c r="E2818" s="48"/>
      <c r="F2818" s="48"/>
      <c r="G2818" s="48"/>
      <c r="H2818" s="48"/>
      <c r="I2818" s="48"/>
      <c r="J2818" s="86"/>
      <c r="K2818" s="86"/>
      <c r="L2818" s="86"/>
      <c r="M2818" s="86"/>
      <c r="N2818" s="86"/>
      <c r="O2818" s="86"/>
      <c r="P2818" s="86"/>
      <c r="Q2818" s="86"/>
      <c r="R2818" s="86"/>
      <c r="S2818" s="86"/>
      <c r="T2818" s="86"/>
      <c r="U2818" s="86"/>
      <c r="V2818" s="48"/>
      <c r="W2818" s="48"/>
      <c r="X2818" s="48"/>
      <c r="Y2818" s="48"/>
      <c r="Z2818" s="48"/>
      <c r="AA2818" s="48"/>
      <c r="AB2818" s="48"/>
      <c r="AC2818" s="48"/>
      <c r="AD2818" s="48"/>
      <c r="AE2818" s="48"/>
      <c r="AF2818" s="48"/>
      <c r="AG2818" s="48"/>
      <c r="AH2818" s="48"/>
      <c r="AI2818" s="48"/>
      <c r="AJ2818" s="48"/>
      <c r="AK2818" s="48"/>
      <c r="AL2818" s="48"/>
      <c r="AM2818" s="48"/>
      <c r="AN2818" s="48"/>
      <c r="AO2818" s="48"/>
      <c r="AP2818" s="48"/>
      <c r="AQ2818" s="48"/>
      <c r="AR2818" s="48"/>
      <c r="AS2818" s="48"/>
      <c r="AT2818" s="48"/>
      <c r="AU2818" s="48"/>
      <c r="AV2818" s="48"/>
      <c r="AW2818" s="48"/>
      <c r="AX2818" s="48"/>
      <c r="AY2818" s="48"/>
      <c r="AZ2818" s="48"/>
      <c r="BA2818" s="48"/>
      <c r="BB2818" s="48"/>
      <c r="BC2818" s="48"/>
      <c r="BD2818" s="48"/>
    </row>
    <row r="2819" spans="1:56">
      <c r="A2819" s="48"/>
      <c r="B2819" s="48"/>
      <c r="C2819" s="49"/>
      <c r="D2819" s="48"/>
      <c r="E2819" s="48"/>
      <c r="F2819" s="48"/>
      <c r="G2819" s="48"/>
      <c r="H2819" s="48"/>
      <c r="I2819" s="48"/>
      <c r="J2819" s="86"/>
      <c r="K2819" s="86"/>
      <c r="L2819" s="86"/>
      <c r="M2819" s="86"/>
      <c r="N2819" s="86"/>
      <c r="O2819" s="86"/>
      <c r="P2819" s="86"/>
      <c r="Q2819" s="86"/>
      <c r="R2819" s="86"/>
      <c r="S2819" s="86"/>
      <c r="T2819" s="86"/>
      <c r="U2819" s="86"/>
      <c r="V2819" s="48"/>
      <c r="W2819" s="48"/>
      <c r="X2819" s="48"/>
      <c r="Y2819" s="48"/>
      <c r="Z2819" s="48"/>
      <c r="AA2819" s="48"/>
      <c r="AB2819" s="48"/>
      <c r="AC2819" s="48"/>
      <c r="AD2819" s="48"/>
      <c r="AE2819" s="48"/>
      <c r="AF2819" s="48"/>
      <c r="AG2819" s="48"/>
      <c r="AH2819" s="48"/>
      <c r="AI2819" s="48"/>
      <c r="AJ2819" s="48"/>
      <c r="AK2819" s="48"/>
      <c r="AL2819" s="48"/>
      <c r="AM2819" s="48"/>
      <c r="AN2819" s="48"/>
      <c r="AO2819" s="48"/>
      <c r="AP2819" s="48"/>
      <c r="AQ2819" s="48"/>
      <c r="AR2819" s="48"/>
      <c r="AS2819" s="48"/>
      <c r="AT2819" s="48"/>
      <c r="AU2819" s="48"/>
      <c r="AV2819" s="48"/>
      <c r="AW2819" s="48"/>
      <c r="AX2819" s="48"/>
      <c r="AY2819" s="48"/>
      <c r="AZ2819" s="48"/>
      <c r="BA2819" s="48"/>
      <c r="BB2819" s="48"/>
      <c r="BC2819" s="48"/>
      <c r="BD2819" s="48"/>
    </row>
    <row r="2820" spans="1:56">
      <c r="A2820" s="48"/>
      <c r="B2820" s="48"/>
      <c r="C2820" s="49"/>
      <c r="D2820" s="48"/>
      <c r="E2820" s="48"/>
      <c r="F2820" s="48"/>
      <c r="G2820" s="48"/>
      <c r="H2820" s="48"/>
      <c r="I2820" s="48"/>
      <c r="J2820" s="86"/>
      <c r="K2820" s="86"/>
      <c r="L2820" s="86"/>
      <c r="M2820" s="86"/>
      <c r="N2820" s="86"/>
      <c r="O2820" s="86"/>
      <c r="P2820" s="86"/>
      <c r="Q2820" s="86"/>
      <c r="R2820" s="86"/>
      <c r="S2820" s="86"/>
      <c r="T2820" s="86"/>
      <c r="U2820" s="86"/>
      <c r="V2820" s="48"/>
      <c r="W2820" s="48"/>
      <c r="X2820" s="48"/>
      <c r="Y2820" s="48"/>
      <c r="Z2820" s="48"/>
      <c r="AA2820" s="48"/>
      <c r="AB2820" s="48"/>
      <c r="AC2820" s="48"/>
      <c r="AD2820" s="48"/>
      <c r="AE2820" s="48"/>
      <c r="AF2820" s="48"/>
      <c r="AG2820" s="48"/>
      <c r="AH2820" s="48"/>
      <c r="AI2820" s="48"/>
      <c r="AJ2820" s="48"/>
      <c r="AK2820" s="48"/>
      <c r="AL2820" s="48"/>
      <c r="AM2820" s="48"/>
      <c r="AN2820" s="48"/>
      <c r="AO2820" s="48"/>
      <c r="AP2820" s="48"/>
      <c r="AQ2820" s="48"/>
      <c r="AR2820" s="48"/>
      <c r="AS2820" s="48"/>
      <c r="AT2820" s="48"/>
      <c r="AU2820" s="48"/>
      <c r="AV2820" s="48"/>
      <c r="AW2820" s="48"/>
      <c r="AX2820" s="48"/>
      <c r="AY2820" s="48"/>
      <c r="AZ2820" s="48"/>
      <c r="BA2820" s="48"/>
      <c r="BB2820" s="48"/>
      <c r="BC2820" s="48"/>
      <c r="BD2820" s="48"/>
    </row>
    <row r="2821" spans="1:56">
      <c r="A2821" s="48"/>
      <c r="B2821" s="48"/>
      <c r="C2821" s="49"/>
      <c r="D2821" s="48"/>
      <c r="E2821" s="48"/>
      <c r="F2821" s="48"/>
      <c r="G2821" s="48"/>
      <c r="H2821" s="48"/>
      <c r="I2821" s="48"/>
      <c r="J2821" s="86"/>
      <c r="K2821" s="86"/>
      <c r="L2821" s="86"/>
      <c r="M2821" s="86"/>
      <c r="N2821" s="86"/>
      <c r="O2821" s="86"/>
      <c r="P2821" s="86"/>
      <c r="Q2821" s="86"/>
      <c r="R2821" s="86"/>
      <c r="S2821" s="86"/>
      <c r="T2821" s="86"/>
      <c r="U2821" s="86"/>
      <c r="V2821" s="48"/>
      <c r="W2821" s="48"/>
      <c r="X2821" s="48"/>
      <c r="Y2821" s="48"/>
      <c r="Z2821" s="48"/>
      <c r="AA2821" s="48"/>
      <c r="AB2821" s="48"/>
      <c r="AC2821" s="48"/>
      <c r="AD2821" s="48"/>
      <c r="AE2821" s="48"/>
      <c r="AF2821" s="48"/>
      <c r="AG2821" s="48"/>
      <c r="AH2821" s="48"/>
      <c r="AI2821" s="48"/>
      <c r="AJ2821" s="48"/>
      <c r="AK2821" s="48"/>
      <c r="AL2821" s="48"/>
      <c r="AM2821" s="48"/>
      <c r="AN2821" s="48"/>
      <c r="AO2821" s="48"/>
      <c r="AP2821" s="48"/>
      <c r="AQ2821" s="48"/>
      <c r="AR2821" s="48"/>
      <c r="AS2821" s="48"/>
      <c r="AT2821" s="48"/>
      <c r="AU2821" s="48"/>
      <c r="AV2821" s="48"/>
      <c r="AW2821" s="48"/>
      <c r="AX2821" s="48"/>
      <c r="AY2821" s="48"/>
      <c r="AZ2821" s="48"/>
      <c r="BA2821" s="48"/>
      <c r="BB2821" s="48"/>
      <c r="BC2821" s="48"/>
      <c r="BD2821" s="48"/>
    </row>
    <row r="2822" spans="1:56">
      <c r="A2822" s="48"/>
      <c r="B2822" s="48"/>
      <c r="C2822" s="49"/>
      <c r="D2822" s="48"/>
      <c r="E2822" s="48"/>
      <c r="F2822" s="48"/>
      <c r="G2822" s="48"/>
      <c r="H2822" s="48"/>
      <c r="I2822" s="48"/>
      <c r="J2822" s="86"/>
      <c r="K2822" s="86"/>
      <c r="L2822" s="86"/>
      <c r="M2822" s="86"/>
      <c r="N2822" s="86"/>
      <c r="O2822" s="86"/>
      <c r="P2822" s="86"/>
      <c r="Q2822" s="86"/>
      <c r="R2822" s="86"/>
      <c r="S2822" s="86"/>
      <c r="T2822" s="86"/>
      <c r="U2822" s="86"/>
      <c r="V2822" s="48"/>
      <c r="W2822" s="48"/>
      <c r="X2822" s="48"/>
      <c r="Y2822" s="48"/>
      <c r="Z2822" s="48"/>
      <c r="AA2822" s="48"/>
      <c r="AB2822" s="48"/>
      <c r="AC2822" s="48"/>
      <c r="AD2822" s="48"/>
      <c r="AE2822" s="48"/>
      <c r="AF2822" s="48"/>
      <c r="AG2822" s="48"/>
      <c r="AH2822" s="48"/>
      <c r="AI2822" s="48"/>
      <c r="AJ2822" s="48"/>
      <c r="AK2822" s="48"/>
      <c r="AL2822" s="48"/>
      <c r="AM2822" s="48"/>
      <c r="AN2822" s="48"/>
      <c r="AO2822" s="48"/>
      <c r="AP2822" s="48"/>
      <c r="AQ2822" s="48"/>
      <c r="AR2822" s="48"/>
      <c r="AS2822" s="48"/>
      <c r="AT2822" s="48"/>
      <c r="AU2822" s="48"/>
      <c r="AV2822" s="48"/>
      <c r="AW2822" s="48"/>
      <c r="AX2822" s="48"/>
      <c r="AY2822" s="48"/>
      <c r="AZ2822" s="48"/>
      <c r="BA2822" s="48"/>
      <c r="BB2822" s="48"/>
      <c r="BC2822" s="48"/>
      <c r="BD2822" s="48"/>
    </row>
    <row r="2823" spans="1:56">
      <c r="A2823" s="48"/>
      <c r="B2823" s="48"/>
      <c r="C2823" s="49"/>
      <c r="D2823" s="48"/>
      <c r="E2823" s="48"/>
      <c r="F2823" s="48"/>
      <c r="G2823" s="48"/>
      <c r="H2823" s="48"/>
      <c r="I2823" s="48"/>
      <c r="J2823" s="86"/>
      <c r="K2823" s="86"/>
      <c r="L2823" s="86"/>
      <c r="M2823" s="86"/>
      <c r="N2823" s="86"/>
      <c r="O2823" s="86"/>
      <c r="P2823" s="86"/>
      <c r="Q2823" s="86"/>
      <c r="R2823" s="86"/>
      <c r="S2823" s="86"/>
      <c r="T2823" s="86"/>
      <c r="U2823" s="86"/>
      <c r="V2823" s="48"/>
      <c r="W2823" s="48"/>
      <c r="X2823" s="48"/>
      <c r="Y2823" s="48"/>
      <c r="Z2823" s="48"/>
      <c r="AA2823" s="48"/>
      <c r="AB2823" s="48"/>
      <c r="AC2823" s="48"/>
      <c r="AD2823" s="48"/>
      <c r="AE2823" s="48"/>
      <c r="AF2823" s="48"/>
      <c r="AG2823" s="48"/>
      <c r="AH2823" s="48"/>
      <c r="AI2823" s="48"/>
      <c r="AJ2823" s="48"/>
      <c r="AK2823" s="48"/>
      <c r="AL2823" s="48"/>
      <c r="AM2823" s="48"/>
      <c r="AN2823" s="48"/>
      <c r="AO2823" s="48"/>
      <c r="AP2823" s="48"/>
      <c r="AQ2823" s="48"/>
      <c r="AR2823" s="48"/>
      <c r="AS2823" s="48"/>
      <c r="AT2823" s="48"/>
      <c r="AU2823" s="48"/>
      <c r="AV2823" s="48"/>
      <c r="AW2823" s="48"/>
      <c r="AX2823" s="48"/>
      <c r="AY2823" s="48"/>
      <c r="AZ2823" s="48"/>
      <c r="BA2823" s="48"/>
      <c r="BB2823" s="48"/>
      <c r="BC2823" s="48"/>
      <c r="BD2823" s="48"/>
    </row>
    <row r="2824" spans="1:56">
      <c r="A2824" s="48"/>
      <c r="B2824" s="48"/>
      <c r="C2824" s="49"/>
      <c r="D2824" s="48"/>
      <c r="E2824" s="48"/>
      <c r="F2824" s="48"/>
      <c r="G2824" s="48"/>
      <c r="H2824" s="48"/>
      <c r="I2824" s="48"/>
      <c r="J2824" s="86"/>
      <c r="K2824" s="86"/>
      <c r="L2824" s="86"/>
      <c r="M2824" s="86"/>
      <c r="N2824" s="86"/>
      <c r="O2824" s="86"/>
      <c r="P2824" s="86"/>
      <c r="Q2824" s="86"/>
      <c r="R2824" s="86"/>
      <c r="S2824" s="86"/>
      <c r="T2824" s="86"/>
      <c r="U2824" s="86"/>
      <c r="V2824" s="48"/>
      <c r="W2824" s="48"/>
      <c r="X2824" s="48"/>
      <c r="Y2824" s="48"/>
      <c r="Z2824" s="48"/>
      <c r="AA2824" s="48"/>
      <c r="AB2824" s="48"/>
      <c r="AC2824" s="48"/>
      <c r="AD2824" s="48"/>
      <c r="AE2824" s="48"/>
      <c r="AF2824" s="48"/>
      <c r="AG2824" s="48"/>
      <c r="AH2824" s="48"/>
      <c r="AI2824" s="48"/>
      <c r="AJ2824" s="48"/>
      <c r="AK2824" s="48"/>
      <c r="AL2824" s="48"/>
      <c r="AM2824" s="48"/>
      <c r="AN2824" s="48"/>
      <c r="AO2824" s="48"/>
      <c r="AP2824" s="48"/>
      <c r="AQ2824" s="48"/>
      <c r="AR2824" s="48"/>
      <c r="AS2824" s="48"/>
      <c r="AT2824" s="48"/>
      <c r="AU2824" s="48"/>
      <c r="AV2824" s="48"/>
      <c r="AW2824" s="48"/>
      <c r="AX2824" s="48"/>
      <c r="AY2824" s="48"/>
      <c r="AZ2824" s="48"/>
      <c r="BA2824" s="48"/>
      <c r="BB2824" s="48"/>
      <c r="BC2824" s="48"/>
      <c r="BD2824" s="48"/>
    </row>
    <row r="2825" spans="1:56">
      <c r="A2825" s="48"/>
      <c r="B2825" s="48"/>
      <c r="C2825" s="49"/>
      <c r="D2825" s="48"/>
      <c r="E2825" s="48"/>
      <c r="F2825" s="48"/>
      <c r="G2825" s="48"/>
      <c r="H2825" s="48"/>
      <c r="I2825" s="48"/>
      <c r="J2825" s="86"/>
      <c r="K2825" s="86"/>
      <c r="L2825" s="86"/>
      <c r="M2825" s="86"/>
      <c r="N2825" s="86"/>
      <c r="O2825" s="86"/>
      <c r="P2825" s="86"/>
      <c r="Q2825" s="86"/>
      <c r="R2825" s="86"/>
      <c r="S2825" s="86"/>
      <c r="T2825" s="86"/>
      <c r="U2825" s="86"/>
      <c r="V2825" s="48"/>
      <c r="W2825" s="48"/>
      <c r="X2825" s="48"/>
      <c r="Y2825" s="48"/>
      <c r="Z2825" s="48"/>
      <c r="AA2825" s="48"/>
      <c r="AB2825" s="48"/>
      <c r="AC2825" s="48"/>
      <c r="AD2825" s="48"/>
      <c r="AE2825" s="48"/>
      <c r="AF2825" s="48"/>
      <c r="AG2825" s="48"/>
      <c r="AH2825" s="48"/>
      <c r="AI2825" s="48"/>
      <c r="AJ2825" s="48"/>
      <c r="AK2825" s="48"/>
      <c r="AL2825" s="48"/>
      <c r="AM2825" s="48"/>
      <c r="AN2825" s="48"/>
      <c r="AO2825" s="48"/>
      <c r="AP2825" s="48"/>
      <c r="AQ2825" s="48"/>
      <c r="AR2825" s="48"/>
      <c r="AS2825" s="48"/>
      <c r="AT2825" s="48"/>
      <c r="AU2825" s="48"/>
      <c r="AV2825" s="48"/>
      <c r="AW2825" s="48"/>
      <c r="AX2825" s="48"/>
      <c r="AY2825" s="48"/>
      <c r="AZ2825" s="48"/>
      <c r="BA2825" s="48"/>
      <c r="BB2825" s="48"/>
      <c r="BC2825" s="48"/>
      <c r="BD2825" s="48"/>
    </row>
    <row r="2826" spans="1:56">
      <c r="A2826" s="48"/>
      <c r="B2826" s="48"/>
      <c r="C2826" s="49"/>
      <c r="D2826" s="48"/>
      <c r="E2826" s="48"/>
      <c r="F2826" s="48"/>
      <c r="G2826" s="48"/>
      <c r="H2826" s="48"/>
      <c r="I2826" s="48"/>
      <c r="J2826" s="86"/>
      <c r="K2826" s="86"/>
      <c r="L2826" s="86"/>
      <c r="M2826" s="86"/>
      <c r="N2826" s="86"/>
      <c r="O2826" s="86"/>
      <c r="P2826" s="86"/>
      <c r="Q2826" s="86"/>
      <c r="R2826" s="86"/>
      <c r="S2826" s="86"/>
      <c r="T2826" s="86"/>
      <c r="U2826" s="86"/>
      <c r="V2826" s="48"/>
      <c r="W2826" s="48"/>
      <c r="X2826" s="48"/>
      <c r="Y2826" s="48"/>
      <c r="Z2826" s="48"/>
      <c r="AA2826" s="48"/>
      <c r="AB2826" s="48"/>
      <c r="AC2826" s="48"/>
      <c r="AD2826" s="48"/>
      <c r="AE2826" s="48"/>
      <c r="AF2826" s="48"/>
      <c r="AG2826" s="48"/>
      <c r="AH2826" s="48"/>
      <c r="AI2826" s="48"/>
      <c r="AJ2826" s="48"/>
      <c r="AK2826" s="48"/>
      <c r="AL2826" s="48"/>
      <c r="AM2826" s="48"/>
      <c r="AN2826" s="48"/>
      <c r="AO2826" s="48"/>
      <c r="AP2826" s="48"/>
      <c r="AQ2826" s="48"/>
      <c r="AR2826" s="48"/>
      <c r="AS2826" s="48"/>
      <c r="AT2826" s="48"/>
      <c r="AU2826" s="48"/>
      <c r="AV2826" s="48"/>
      <c r="AW2826" s="48"/>
      <c r="AX2826" s="48"/>
      <c r="AY2826" s="48"/>
      <c r="AZ2826" s="48"/>
      <c r="BA2826" s="48"/>
      <c r="BB2826" s="48"/>
      <c r="BC2826" s="48"/>
      <c r="BD2826" s="48"/>
    </row>
    <row r="2827" spans="1:56">
      <c r="A2827" s="48"/>
      <c r="B2827" s="48"/>
      <c r="C2827" s="49"/>
      <c r="D2827" s="48"/>
      <c r="E2827" s="48"/>
      <c r="F2827" s="48"/>
      <c r="G2827" s="48"/>
      <c r="H2827" s="48"/>
      <c r="I2827" s="48"/>
      <c r="J2827" s="86"/>
      <c r="K2827" s="86"/>
      <c r="L2827" s="86"/>
      <c r="M2827" s="86"/>
      <c r="N2827" s="86"/>
      <c r="O2827" s="86"/>
      <c r="P2827" s="86"/>
      <c r="Q2827" s="86"/>
      <c r="R2827" s="86"/>
      <c r="S2827" s="86"/>
      <c r="T2827" s="86"/>
      <c r="U2827" s="86"/>
      <c r="V2827" s="48"/>
      <c r="W2827" s="48"/>
      <c r="X2827" s="48"/>
      <c r="Y2827" s="48"/>
      <c r="Z2827" s="48"/>
      <c r="AA2827" s="48"/>
      <c r="AB2827" s="48"/>
      <c r="AC2827" s="48"/>
      <c r="AD2827" s="48"/>
      <c r="AE2827" s="48"/>
      <c r="AF2827" s="48"/>
      <c r="AG2827" s="48"/>
      <c r="AH2827" s="48"/>
      <c r="AI2827" s="48"/>
      <c r="AJ2827" s="48"/>
      <c r="AK2827" s="48"/>
      <c r="AL2827" s="48"/>
      <c r="AM2827" s="48"/>
      <c r="AN2827" s="48"/>
      <c r="AO2827" s="48"/>
      <c r="AP2827" s="48"/>
      <c r="AQ2827" s="48"/>
      <c r="AR2827" s="48"/>
      <c r="AS2827" s="48"/>
      <c r="AT2827" s="48"/>
      <c r="AU2827" s="48"/>
      <c r="AV2827" s="48"/>
      <c r="AW2827" s="48"/>
      <c r="AX2827" s="48"/>
      <c r="AY2827" s="48"/>
      <c r="AZ2827" s="48"/>
      <c r="BA2827" s="48"/>
      <c r="BB2827" s="48"/>
      <c r="BC2827" s="48"/>
      <c r="BD2827" s="48"/>
    </row>
    <row r="2828" spans="1:56">
      <c r="A2828" s="48"/>
      <c r="B2828" s="48"/>
      <c r="C2828" s="49"/>
      <c r="D2828" s="48"/>
      <c r="E2828" s="48"/>
      <c r="F2828" s="48"/>
      <c r="G2828" s="48"/>
      <c r="H2828" s="48"/>
      <c r="I2828" s="48"/>
      <c r="J2828" s="86"/>
      <c r="K2828" s="86"/>
      <c r="L2828" s="86"/>
      <c r="M2828" s="86"/>
      <c r="N2828" s="86"/>
      <c r="O2828" s="86"/>
      <c r="P2828" s="86"/>
      <c r="Q2828" s="86"/>
      <c r="R2828" s="86"/>
      <c r="S2828" s="86"/>
      <c r="T2828" s="86"/>
      <c r="U2828" s="86"/>
      <c r="V2828" s="48"/>
      <c r="W2828" s="48"/>
      <c r="X2828" s="48"/>
      <c r="Y2828" s="48"/>
      <c r="Z2828" s="48"/>
      <c r="AA2828" s="48"/>
      <c r="AB2828" s="48"/>
      <c r="AC2828" s="48"/>
      <c r="AD2828" s="48"/>
      <c r="AE2828" s="48"/>
      <c r="AF2828" s="48"/>
      <c r="AG2828" s="48"/>
      <c r="AH2828" s="48"/>
      <c r="AI2828" s="48"/>
      <c r="AJ2828" s="48"/>
      <c r="AK2828" s="48"/>
      <c r="AL2828" s="48"/>
      <c r="AM2828" s="48"/>
      <c r="AN2828" s="48"/>
      <c r="AO2828" s="48"/>
      <c r="AP2828" s="48"/>
      <c r="AQ2828" s="48"/>
      <c r="AR2828" s="48"/>
      <c r="AS2828" s="48"/>
      <c r="AT2828" s="48"/>
      <c r="AU2828" s="48"/>
      <c r="AV2828" s="48"/>
      <c r="AW2828" s="48"/>
      <c r="AX2828" s="48"/>
      <c r="AY2828" s="48"/>
      <c r="AZ2828" s="48"/>
      <c r="BA2828" s="48"/>
      <c r="BB2828" s="48"/>
      <c r="BC2828" s="48"/>
      <c r="BD2828" s="48"/>
    </row>
    <row r="2829" spans="1:56">
      <c r="A2829" s="48"/>
      <c r="B2829" s="48"/>
      <c r="C2829" s="49"/>
      <c r="D2829" s="48"/>
      <c r="E2829" s="48"/>
      <c r="F2829" s="48"/>
      <c r="G2829" s="48"/>
      <c r="H2829" s="48"/>
      <c r="I2829" s="48"/>
      <c r="J2829" s="86"/>
      <c r="K2829" s="86"/>
      <c r="L2829" s="86"/>
      <c r="M2829" s="86"/>
      <c r="N2829" s="86"/>
      <c r="O2829" s="86"/>
      <c r="P2829" s="86"/>
      <c r="Q2829" s="86"/>
      <c r="R2829" s="86"/>
      <c r="S2829" s="86"/>
      <c r="T2829" s="86"/>
      <c r="U2829" s="86"/>
      <c r="V2829" s="48"/>
      <c r="W2829" s="48"/>
      <c r="X2829" s="48"/>
      <c r="Y2829" s="48"/>
      <c r="Z2829" s="48"/>
      <c r="AA2829" s="48"/>
      <c r="AB2829" s="48"/>
      <c r="AC2829" s="48"/>
      <c r="AD2829" s="48"/>
      <c r="AE2829" s="48"/>
      <c r="AF2829" s="48"/>
      <c r="AG2829" s="48"/>
      <c r="AH2829" s="48"/>
      <c r="AI2829" s="48"/>
      <c r="AJ2829" s="48"/>
      <c r="AK2829" s="48"/>
      <c r="AL2829" s="48"/>
      <c r="AM2829" s="48"/>
      <c r="AN2829" s="48"/>
      <c r="AO2829" s="48"/>
      <c r="AP2829" s="48"/>
      <c r="AQ2829" s="48"/>
      <c r="AR2829" s="48"/>
      <c r="AS2829" s="48"/>
      <c r="AT2829" s="48"/>
      <c r="AU2829" s="48"/>
      <c r="AV2829" s="48"/>
      <c r="AW2829" s="48"/>
      <c r="AX2829" s="48"/>
      <c r="AY2829" s="48"/>
      <c r="AZ2829" s="48"/>
      <c r="BA2829" s="48"/>
      <c r="BB2829" s="48"/>
      <c r="BC2829" s="48"/>
      <c r="BD2829" s="48"/>
    </row>
    <row r="2830" spans="1:56">
      <c r="A2830" s="48"/>
      <c r="B2830" s="48"/>
      <c r="C2830" s="49"/>
      <c r="D2830" s="48"/>
      <c r="E2830" s="48"/>
      <c r="F2830" s="48"/>
      <c r="G2830" s="48"/>
      <c r="H2830" s="48"/>
      <c r="I2830" s="48"/>
      <c r="J2830" s="86"/>
      <c r="K2830" s="86"/>
      <c r="L2830" s="86"/>
      <c r="M2830" s="86"/>
      <c r="N2830" s="86"/>
      <c r="O2830" s="86"/>
      <c r="P2830" s="86"/>
      <c r="Q2830" s="86"/>
      <c r="R2830" s="86"/>
      <c r="S2830" s="86"/>
      <c r="T2830" s="86"/>
      <c r="U2830" s="86"/>
      <c r="V2830" s="48"/>
      <c r="W2830" s="48"/>
      <c r="X2830" s="48"/>
      <c r="Y2830" s="48"/>
      <c r="Z2830" s="48"/>
      <c r="AA2830" s="48"/>
      <c r="AB2830" s="48"/>
      <c r="AC2830" s="48"/>
      <c r="AD2830" s="48"/>
      <c r="AE2830" s="48"/>
      <c r="AF2830" s="48"/>
      <c r="AG2830" s="48"/>
      <c r="AH2830" s="48"/>
      <c r="AI2830" s="48"/>
      <c r="AJ2830" s="48"/>
      <c r="AK2830" s="48"/>
      <c r="AL2830" s="48"/>
      <c r="AM2830" s="48"/>
      <c r="AN2830" s="48"/>
      <c r="AO2830" s="48"/>
      <c r="AP2830" s="48"/>
      <c r="AQ2830" s="48"/>
      <c r="AR2830" s="48"/>
      <c r="AS2830" s="48"/>
      <c r="AT2830" s="48"/>
      <c r="AU2830" s="48"/>
      <c r="AV2830" s="48"/>
      <c r="AW2830" s="48"/>
      <c r="AX2830" s="48"/>
      <c r="AY2830" s="48"/>
      <c r="AZ2830" s="48"/>
      <c r="BA2830" s="48"/>
      <c r="BB2830" s="48"/>
      <c r="BC2830" s="48"/>
      <c r="BD2830" s="48"/>
    </row>
    <row r="2831" spans="1:56">
      <c r="A2831" s="48"/>
      <c r="B2831" s="48"/>
      <c r="C2831" s="49"/>
      <c r="D2831" s="48"/>
      <c r="E2831" s="48"/>
      <c r="F2831" s="48"/>
      <c r="G2831" s="48"/>
      <c r="H2831" s="48"/>
      <c r="I2831" s="48"/>
      <c r="J2831" s="86"/>
      <c r="K2831" s="86"/>
      <c r="L2831" s="86"/>
      <c r="M2831" s="86"/>
      <c r="N2831" s="86"/>
      <c r="O2831" s="86"/>
      <c r="P2831" s="86"/>
      <c r="Q2831" s="86"/>
      <c r="R2831" s="86"/>
      <c r="S2831" s="86"/>
      <c r="T2831" s="86"/>
      <c r="U2831" s="86"/>
      <c r="V2831" s="48"/>
      <c r="W2831" s="48"/>
      <c r="X2831" s="48"/>
      <c r="Y2831" s="48"/>
      <c r="Z2831" s="48"/>
      <c r="AA2831" s="48"/>
      <c r="AB2831" s="48"/>
      <c r="AC2831" s="48"/>
      <c r="AD2831" s="48"/>
      <c r="AE2831" s="48"/>
      <c r="AF2831" s="48"/>
      <c r="AG2831" s="48"/>
      <c r="AH2831" s="48"/>
      <c r="AI2831" s="48"/>
      <c r="AJ2831" s="48"/>
      <c r="AK2831" s="48"/>
      <c r="AL2831" s="48"/>
      <c r="AM2831" s="48"/>
      <c r="AN2831" s="48"/>
      <c r="AO2831" s="48"/>
      <c r="AP2831" s="48"/>
      <c r="AQ2831" s="48"/>
      <c r="AR2831" s="48"/>
      <c r="AS2831" s="48"/>
      <c r="AT2831" s="48"/>
      <c r="AU2831" s="48"/>
      <c r="AV2831" s="48"/>
      <c r="AW2831" s="48"/>
      <c r="AX2831" s="48"/>
      <c r="AY2831" s="48"/>
      <c r="AZ2831" s="48"/>
      <c r="BA2831" s="48"/>
      <c r="BB2831" s="48"/>
      <c r="BC2831" s="48"/>
      <c r="BD2831" s="48"/>
    </row>
    <row r="2832" spans="1:56">
      <c r="A2832" s="48"/>
      <c r="B2832" s="48"/>
      <c r="C2832" s="49"/>
      <c r="D2832" s="48"/>
      <c r="E2832" s="48"/>
      <c r="F2832" s="48"/>
      <c r="G2832" s="48"/>
      <c r="H2832" s="48"/>
      <c r="I2832" s="48"/>
      <c r="J2832" s="86"/>
      <c r="K2832" s="86"/>
      <c r="L2832" s="86"/>
      <c r="M2832" s="86"/>
      <c r="N2832" s="86"/>
      <c r="O2832" s="86"/>
      <c r="P2832" s="86"/>
      <c r="Q2832" s="86"/>
      <c r="R2832" s="86"/>
      <c r="S2832" s="86"/>
      <c r="T2832" s="86"/>
      <c r="U2832" s="86"/>
      <c r="V2832" s="48"/>
      <c r="W2832" s="48"/>
      <c r="X2832" s="48"/>
      <c r="Y2832" s="48"/>
      <c r="Z2832" s="48"/>
      <c r="AA2832" s="48"/>
      <c r="AB2832" s="48"/>
      <c r="AC2832" s="48"/>
      <c r="AD2832" s="48"/>
      <c r="AE2832" s="48"/>
      <c r="AF2832" s="48"/>
      <c r="AG2832" s="48"/>
      <c r="AH2832" s="48"/>
      <c r="AI2832" s="48"/>
      <c r="AJ2832" s="48"/>
      <c r="AK2832" s="48"/>
      <c r="AL2832" s="48"/>
      <c r="AM2832" s="48"/>
      <c r="AN2832" s="48"/>
      <c r="AO2832" s="48"/>
      <c r="AP2832" s="48"/>
      <c r="AQ2832" s="48"/>
      <c r="AR2832" s="48"/>
      <c r="AS2832" s="48"/>
      <c r="AT2832" s="48"/>
      <c r="AU2832" s="48"/>
      <c r="AV2832" s="48"/>
      <c r="AW2832" s="48"/>
      <c r="AX2832" s="48"/>
      <c r="AY2832" s="48"/>
      <c r="AZ2832" s="48"/>
      <c r="BA2832" s="48"/>
      <c r="BB2832" s="48"/>
      <c r="BC2832" s="48"/>
      <c r="BD2832" s="48"/>
    </row>
    <row r="2833" spans="1:56">
      <c r="A2833" s="48"/>
      <c r="B2833" s="48"/>
      <c r="C2833" s="49"/>
      <c r="D2833" s="48"/>
      <c r="E2833" s="48"/>
      <c r="F2833" s="48"/>
      <c r="G2833" s="48"/>
      <c r="H2833" s="48"/>
      <c r="I2833" s="48"/>
      <c r="J2833" s="86"/>
      <c r="K2833" s="86"/>
      <c r="L2833" s="86"/>
      <c r="M2833" s="86"/>
      <c r="N2833" s="86"/>
      <c r="O2833" s="86"/>
      <c r="P2833" s="86"/>
      <c r="Q2833" s="86"/>
      <c r="R2833" s="86"/>
      <c r="S2833" s="86"/>
      <c r="T2833" s="86"/>
      <c r="U2833" s="86"/>
      <c r="V2833" s="48"/>
      <c r="W2833" s="48"/>
      <c r="X2833" s="48"/>
      <c r="Y2833" s="48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48"/>
      <c r="AO2833" s="48"/>
      <c r="AP2833" s="48"/>
      <c r="AQ2833" s="48"/>
      <c r="AR2833" s="48"/>
      <c r="AS2833" s="48"/>
      <c r="AT2833" s="48"/>
      <c r="AU2833" s="48"/>
      <c r="AV2833" s="48"/>
      <c r="AW2833" s="48"/>
      <c r="AX2833" s="48"/>
      <c r="AY2833" s="48"/>
      <c r="AZ2833" s="48"/>
      <c r="BA2833" s="48"/>
      <c r="BB2833" s="48"/>
      <c r="BC2833" s="48"/>
      <c r="BD2833" s="48"/>
    </row>
    <row r="2834" spans="1:56">
      <c r="A2834" s="48"/>
      <c r="B2834" s="48"/>
      <c r="C2834" s="49"/>
      <c r="D2834" s="48"/>
      <c r="E2834" s="48"/>
      <c r="F2834" s="48"/>
      <c r="G2834" s="48"/>
      <c r="H2834" s="48"/>
      <c r="I2834" s="48"/>
      <c r="J2834" s="86"/>
      <c r="K2834" s="86"/>
      <c r="L2834" s="86"/>
      <c r="M2834" s="86"/>
      <c r="N2834" s="86"/>
      <c r="O2834" s="86"/>
      <c r="P2834" s="86"/>
      <c r="Q2834" s="86"/>
      <c r="R2834" s="86"/>
      <c r="S2834" s="86"/>
      <c r="T2834" s="86"/>
      <c r="U2834" s="86"/>
      <c r="V2834" s="48"/>
      <c r="W2834" s="48"/>
      <c r="X2834" s="48"/>
      <c r="Y2834" s="48"/>
      <c r="Z2834" s="48"/>
      <c r="AA2834" s="48"/>
      <c r="AB2834" s="48"/>
      <c r="AC2834" s="48"/>
      <c r="AD2834" s="48"/>
      <c r="AE2834" s="48"/>
      <c r="AF2834" s="48"/>
      <c r="AG2834" s="48"/>
      <c r="AH2834" s="48"/>
      <c r="AI2834" s="48"/>
      <c r="AJ2834" s="48"/>
      <c r="AK2834" s="48"/>
      <c r="AL2834" s="48"/>
      <c r="AM2834" s="48"/>
      <c r="AN2834" s="48"/>
      <c r="AO2834" s="48"/>
      <c r="AP2834" s="48"/>
      <c r="AQ2834" s="48"/>
      <c r="AR2834" s="48"/>
      <c r="AS2834" s="48"/>
      <c r="AT2834" s="48"/>
      <c r="AU2834" s="48"/>
      <c r="AV2834" s="48"/>
      <c r="AW2834" s="48"/>
      <c r="AX2834" s="48"/>
      <c r="AY2834" s="48"/>
      <c r="AZ2834" s="48"/>
      <c r="BA2834" s="48"/>
      <c r="BB2834" s="48"/>
      <c r="BC2834" s="48"/>
      <c r="BD2834" s="48"/>
    </row>
    <row r="2835" spans="1:56">
      <c r="A2835" s="48"/>
      <c r="B2835" s="48"/>
      <c r="C2835" s="49"/>
      <c r="D2835" s="48"/>
      <c r="E2835" s="48"/>
      <c r="F2835" s="48"/>
      <c r="G2835" s="48"/>
      <c r="H2835" s="48"/>
      <c r="I2835" s="48"/>
      <c r="J2835" s="86"/>
      <c r="K2835" s="86"/>
      <c r="L2835" s="86"/>
      <c r="M2835" s="86"/>
      <c r="N2835" s="86"/>
      <c r="O2835" s="86"/>
      <c r="P2835" s="86"/>
      <c r="Q2835" s="86"/>
      <c r="R2835" s="86"/>
      <c r="S2835" s="86"/>
      <c r="T2835" s="86"/>
      <c r="U2835" s="86"/>
      <c r="V2835" s="48"/>
      <c r="W2835" s="48"/>
      <c r="X2835" s="48"/>
      <c r="Y2835" s="48"/>
      <c r="Z2835" s="48"/>
      <c r="AA2835" s="48"/>
      <c r="AB2835" s="48"/>
      <c r="AC2835" s="48"/>
      <c r="AD2835" s="48"/>
      <c r="AE2835" s="48"/>
      <c r="AF2835" s="48"/>
      <c r="AG2835" s="48"/>
      <c r="AH2835" s="48"/>
      <c r="AI2835" s="48"/>
      <c r="AJ2835" s="48"/>
      <c r="AK2835" s="48"/>
      <c r="AL2835" s="48"/>
      <c r="AM2835" s="48"/>
      <c r="AN2835" s="48"/>
      <c r="AO2835" s="48"/>
      <c r="AP2835" s="48"/>
      <c r="AQ2835" s="48"/>
      <c r="AR2835" s="48"/>
      <c r="AS2835" s="48"/>
      <c r="AT2835" s="48"/>
      <c r="AU2835" s="48"/>
      <c r="AV2835" s="48"/>
      <c r="AW2835" s="48"/>
      <c r="AX2835" s="48"/>
      <c r="AY2835" s="48"/>
      <c r="AZ2835" s="48"/>
      <c r="BA2835" s="48"/>
      <c r="BB2835" s="48"/>
      <c r="BC2835" s="48"/>
      <c r="BD2835" s="48"/>
    </row>
    <row r="2836" spans="1:56">
      <c r="A2836" s="48"/>
      <c r="B2836" s="48"/>
      <c r="C2836" s="49"/>
      <c r="D2836" s="48"/>
      <c r="E2836" s="48"/>
      <c r="F2836" s="48"/>
      <c r="G2836" s="48"/>
      <c r="H2836" s="48"/>
      <c r="I2836" s="48"/>
      <c r="J2836" s="86"/>
      <c r="K2836" s="86"/>
      <c r="L2836" s="86"/>
      <c r="M2836" s="86"/>
      <c r="N2836" s="86"/>
      <c r="O2836" s="86"/>
      <c r="P2836" s="86"/>
      <c r="Q2836" s="86"/>
      <c r="R2836" s="86"/>
      <c r="S2836" s="86"/>
      <c r="T2836" s="86"/>
      <c r="U2836" s="86"/>
      <c r="V2836" s="48"/>
      <c r="W2836" s="48"/>
      <c r="X2836" s="48"/>
      <c r="Y2836" s="48"/>
      <c r="Z2836" s="48"/>
      <c r="AA2836" s="48"/>
      <c r="AB2836" s="48"/>
      <c r="AC2836" s="48"/>
      <c r="AD2836" s="48"/>
      <c r="AE2836" s="48"/>
      <c r="AF2836" s="48"/>
      <c r="AG2836" s="48"/>
      <c r="AH2836" s="48"/>
      <c r="AI2836" s="48"/>
      <c r="AJ2836" s="48"/>
      <c r="AK2836" s="48"/>
      <c r="AL2836" s="48"/>
      <c r="AM2836" s="48"/>
      <c r="AN2836" s="48"/>
      <c r="AO2836" s="48"/>
      <c r="AP2836" s="48"/>
      <c r="AQ2836" s="48"/>
      <c r="AR2836" s="48"/>
      <c r="AS2836" s="48"/>
      <c r="AT2836" s="48"/>
      <c r="AU2836" s="48"/>
      <c r="AV2836" s="48"/>
      <c r="AW2836" s="48"/>
      <c r="AX2836" s="48"/>
      <c r="AY2836" s="48"/>
      <c r="AZ2836" s="48"/>
      <c r="BA2836" s="48"/>
      <c r="BB2836" s="48"/>
      <c r="BC2836" s="48"/>
      <c r="BD2836" s="48"/>
    </row>
    <row r="2837" spans="1:56">
      <c r="A2837" s="48"/>
      <c r="B2837" s="48"/>
      <c r="C2837" s="49"/>
      <c r="D2837" s="48"/>
      <c r="E2837" s="48"/>
      <c r="F2837" s="48"/>
      <c r="G2837" s="48"/>
      <c r="H2837" s="48"/>
      <c r="I2837" s="48"/>
      <c r="J2837" s="86"/>
      <c r="K2837" s="86"/>
      <c r="L2837" s="86"/>
      <c r="M2837" s="86"/>
      <c r="N2837" s="86"/>
      <c r="O2837" s="86"/>
      <c r="P2837" s="86"/>
      <c r="Q2837" s="86"/>
      <c r="R2837" s="86"/>
      <c r="S2837" s="86"/>
      <c r="T2837" s="86"/>
      <c r="U2837" s="86"/>
      <c r="V2837" s="48"/>
      <c r="W2837" s="48"/>
      <c r="X2837" s="48"/>
      <c r="Y2837" s="48"/>
      <c r="Z2837" s="48"/>
      <c r="AA2837" s="48"/>
      <c r="AB2837" s="48"/>
      <c r="AC2837" s="48"/>
      <c r="AD2837" s="48"/>
      <c r="AE2837" s="48"/>
      <c r="AF2837" s="48"/>
      <c r="AG2837" s="48"/>
      <c r="AH2837" s="48"/>
      <c r="AI2837" s="48"/>
      <c r="AJ2837" s="48"/>
      <c r="AK2837" s="48"/>
      <c r="AL2837" s="48"/>
      <c r="AM2837" s="48"/>
      <c r="AN2837" s="48"/>
      <c r="AO2837" s="48"/>
      <c r="AP2837" s="48"/>
      <c r="AQ2837" s="48"/>
      <c r="AR2837" s="48"/>
      <c r="AS2837" s="48"/>
      <c r="AT2837" s="48"/>
      <c r="AU2837" s="48"/>
      <c r="AV2837" s="48"/>
      <c r="AW2837" s="48"/>
      <c r="AX2837" s="48"/>
      <c r="AY2837" s="48"/>
      <c r="AZ2837" s="48"/>
      <c r="BA2837" s="48"/>
      <c r="BB2837" s="48"/>
      <c r="BC2837" s="48"/>
      <c r="BD2837" s="48"/>
    </row>
    <row r="2838" spans="1:56">
      <c r="A2838" s="48"/>
      <c r="B2838" s="48"/>
      <c r="C2838" s="49"/>
      <c r="D2838" s="48"/>
      <c r="E2838" s="48"/>
      <c r="F2838" s="48"/>
      <c r="G2838" s="48"/>
      <c r="H2838" s="48"/>
      <c r="I2838" s="48"/>
      <c r="J2838" s="86"/>
      <c r="K2838" s="86"/>
      <c r="L2838" s="86"/>
      <c r="M2838" s="86"/>
      <c r="N2838" s="86"/>
      <c r="O2838" s="86"/>
      <c r="P2838" s="86"/>
      <c r="Q2838" s="86"/>
      <c r="R2838" s="86"/>
      <c r="S2838" s="86"/>
      <c r="T2838" s="86"/>
      <c r="U2838" s="86"/>
      <c r="V2838" s="48"/>
      <c r="W2838" s="48"/>
      <c r="X2838" s="48"/>
      <c r="Y2838" s="48"/>
      <c r="Z2838" s="48"/>
      <c r="AA2838" s="48"/>
      <c r="AB2838" s="48"/>
      <c r="AC2838" s="48"/>
      <c r="AD2838" s="48"/>
      <c r="AE2838" s="48"/>
      <c r="AF2838" s="48"/>
      <c r="AG2838" s="48"/>
      <c r="AH2838" s="48"/>
      <c r="AI2838" s="48"/>
      <c r="AJ2838" s="48"/>
      <c r="AK2838" s="48"/>
      <c r="AL2838" s="48"/>
      <c r="AM2838" s="48"/>
      <c r="AN2838" s="48"/>
      <c r="AO2838" s="48"/>
      <c r="AP2838" s="48"/>
      <c r="AQ2838" s="48"/>
      <c r="AR2838" s="48"/>
      <c r="AS2838" s="48"/>
      <c r="AT2838" s="48"/>
      <c r="AU2838" s="48"/>
      <c r="AV2838" s="48"/>
      <c r="AW2838" s="48"/>
      <c r="AX2838" s="48"/>
      <c r="AY2838" s="48"/>
      <c r="AZ2838" s="48"/>
      <c r="BA2838" s="48"/>
      <c r="BB2838" s="48"/>
      <c r="BC2838" s="48"/>
      <c r="BD2838" s="48"/>
    </row>
    <row r="2839" spans="1:56">
      <c r="A2839" s="48"/>
      <c r="B2839" s="48"/>
      <c r="C2839" s="49"/>
      <c r="D2839" s="48"/>
      <c r="E2839" s="48"/>
      <c r="F2839" s="48"/>
      <c r="G2839" s="48"/>
      <c r="H2839" s="48"/>
      <c r="I2839" s="48"/>
      <c r="J2839" s="86"/>
      <c r="K2839" s="86"/>
      <c r="L2839" s="86"/>
      <c r="M2839" s="86"/>
      <c r="N2839" s="86"/>
      <c r="O2839" s="86"/>
      <c r="P2839" s="86"/>
      <c r="Q2839" s="86"/>
      <c r="R2839" s="86"/>
      <c r="S2839" s="86"/>
      <c r="T2839" s="86"/>
      <c r="U2839" s="86"/>
      <c r="V2839" s="48"/>
      <c r="W2839" s="48"/>
      <c r="X2839" s="48"/>
      <c r="Y2839" s="48"/>
      <c r="Z2839" s="48"/>
      <c r="AA2839" s="48"/>
      <c r="AB2839" s="48"/>
      <c r="AC2839" s="48"/>
      <c r="AD2839" s="48"/>
      <c r="AE2839" s="48"/>
      <c r="AF2839" s="48"/>
      <c r="AG2839" s="48"/>
      <c r="AH2839" s="48"/>
      <c r="AI2839" s="48"/>
      <c r="AJ2839" s="48"/>
      <c r="AK2839" s="48"/>
      <c r="AL2839" s="48"/>
      <c r="AM2839" s="48"/>
      <c r="AN2839" s="48"/>
      <c r="AO2839" s="48"/>
      <c r="AP2839" s="48"/>
      <c r="AQ2839" s="48"/>
      <c r="AR2839" s="48"/>
      <c r="AS2839" s="48"/>
      <c r="AT2839" s="48"/>
      <c r="AU2839" s="48"/>
      <c r="AV2839" s="48"/>
      <c r="AW2839" s="48"/>
      <c r="AX2839" s="48"/>
      <c r="AY2839" s="48"/>
      <c r="AZ2839" s="48"/>
      <c r="BA2839" s="48"/>
      <c r="BB2839" s="48"/>
      <c r="BC2839" s="48"/>
      <c r="BD2839" s="48"/>
    </row>
    <row r="2840" spans="1:56">
      <c r="A2840" s="48"/>
      <c r="B2840" s="48"/>
      <c r="C2840" s="49"/>
      <c r="D2840" s="48"/>
      <c r="E2840" s="48"/>
      <c r="F2840" s="48"/>
      <c r="G2840" s="48"/>
      <c r="H2840" s="48"/>
      <c r="I2840" s="48"/>
      <c r="J2840" s="86"/>
      <c r="K2840" s="86"/>
      <c r="L2840" s="86"/>
      <c r="M2840" s="86"/>
      <c r="N2840" s="86"/>
      <c r="O2840" s="86"/>
      <c r="P2840" s="86"/>
      <c r="Q2840" s="86"/>
      <c r="R2840" s="86"/>
      <c r="S2840" s="86"/>
      <c r="T2840" s="86"/>
      <c r="U2840" s="86"/>
      <c r="V2840" s="48"/>
      <c r="W2840" s="48"/>
      <c r="X2840" s="48"/>
      <c r="Y2840" s="48"/>
      <c r="Z2840" s="48"/>
      <c r="AA2840" s="48"/>
      <c r="AB2840" s="48"/>
      <c r="AC2840" s="48"/>
      <c r="AD2840" s="48"/>
      <c r="AE2840" s="48"/>
      <c r="AF2840" s="48"/>
      <c r="AG2840" s="48"/>
      <c r="AH2840" s="48"/>
      <c r="AI2840" s="48"/>
      <c r="AJ2840" s="48"/>
      <c r="AK2840" s="48"/>
      <c r="AL2840" s="48"/>
      <c r="AM2840" s="48"/>
      <c r="AN2840" s="48"/>
      <c r="AO2840" s="48"/>
      <c r="AP2840" s="48"/>
      <c r="AQ2840" s="48"/>
      <c r="AR2840" s="48"/>
      <c r="AS2840" s="48"/>
      <c r="AT2840" s="48"/>
      <c r="AU2840" s="48"/>
      <c r="AV2840" s="48"/>
      <c r="AW2840" s="48"/>
      <c r="AX2840" s="48"/>
      <c r="AY2840" s="48"/>
      <c r="AZ2840" s="48"/>
      <c r="BA2840" s="48"/>
      <c r="BB2840" s="48"/>
      <c r="BC2840" s="48"/>
      <c r="BD2840" s="48"/>
    </row>
    <row r="2841" spans="1:56">
      <c r="A2841" s="48"/>
      <c r="B2841" s="48"/>
      <c r="C2841" s="49"/>
      <c r="D2841" s="48"/>
      <c r="E2841" s="48"/>
      <c r="F2841" s="48"/>
      <c r="G2841" s="48"/>
      <c r="H2841" s="48"/>
      <c r="I2841" s="48"/>
      <c r="J2841" s="86"/>
      <c r="K2841" s="86"/>
      <c r="L2841" s="86"/>
      <c r="M2841" s="86"/>
      <c r="N2841" s="86"/>
      <c r="O2841" s="86"/>
      <c r="P2841" s="86"/>
      <c r="Q2841" s="86"/>
      <c r="R2841" s="86"/>
      <c r="S2841" s="86"/>
      <c r="T2841" s="86"/>
      <c r="U2841" s="86"/>
      <c r="V2841" s="48"/>
      <c r="W2841" s="48"/>
      <c r="X2841" s="48"/>
      <c r="Y2841" s="48"/>
      <c r="Z2841" s="48"/>
      <c r="AA2841" s="48"/>
      <c r="AB2841" s="48"/>
      <c r="AC2841" s="48"/>
      <c r="AD2841" s="48"/>
      <c r="AE2841" s="48"/>
      <c r="AF2841" s="48"/>
      <c r="AG2841" s="48"/>
      <c r="AH2841" s="48"/>
      <c r="AI2841" s="48"/>
      <c r="AJ2841" s="48"/>
      <c r="AK2841" s="48"/>
      <c r="AL2841" s="48"/>
      <c r="AM2841" s="48"/>
      <c r="AN2841" s="48"/>
      <c r="AO2841" s="48"/>
      <c r="AP2841" s="48"/>
      <c r="AQ2841" s="48"/>
      <c r="AR2841" s="48"/>
      <c r="AS2841" s="48"/>
      <c r="AT2841" s="48"/>
      <c r="AU2841" s="48"/>
      <c r="AV2841" s="48"/>
      <c r="AW2841" s="48"/>
      <c r="AX2841" s="48"/>
      <c r="AY2841" s="48"/>
      <c r="AZ2841" s="48"/>
      <c r="BA2841" s="48"/>
      <c r="BB2841" s="48"/>
      <c r="BC2841" s="48"/>
      <c r="BD2841" s="48"/>
    </row>
    <row r="2842" spans="1:56">
      <c r="A2842" s="48"/>
      <c r="B2842" s="48"/>
      <c r="C2842" s="49"/>
      <c r="D2842" s="48"/>
      <c r="E2842" s="48"/>
      <c r="F2842" s="48"/>
      <c r="G2842" s="48"/>
      <c r="H2842" s="48"/>
      <c r="I2842" s="48"/>
      <c r="J2842" s="86"/>
      <c r="K2842" s="86"/>
      <c r="L2842" s="86"/>
      <c r="M2842" s="86"/>
      <c r="N2842" s="86"/>
      <c r="O2842" s="86"/>
      <c r="P2842" s="86"/>
      <c r="Q2842" s="86"/>
      <c r="R2842" s="86"/>
      <c r="S2842" s="86"/>
      <c r="T2842" s="86"/>
      <c r="U2842" s="86"/>
      <c r="V2842" s="48"/>
      <c r="W2842" s="48"/>
      <c r="X2842" s="48"/>
      <c r="Y2842" s="48"/>
      <c r="Z2842" s="48"/>
      <c r="AA2842" s="48"/>
      <c r="AB2842" s="48"/>
      <c r="AC2842" s="48"/>
      <c r="AD2842" s="48"/>
      <c r="AE2842" s="48"/>
      <c r="AF2842" s="48"/>
      <c r="AG2842" s="48"/>
      <c r="AH2842" s="48"/>
      <c r="AI2842" s="48"/>
      <c r="AJ2842" s="48"/>
      <c r="AK2842" s="48"/>
      <c r="AL2842" s="48"/>
      <c r="AM2842" s="48"/>
      <c r="AN2842" s="48"/>
      <c r="AO2842" s="48"/>
      <c r="AP2842" s="48"/>
      <c r="AQ2842" s="48"/>
      <c r="AR2842" s="48"/>
      <c r="AS2842" s="48"/>
      <c r="AT2842" s="48"/>
      <c r="AU2842" s="48"/>
      <c r="AV2842" s="48"/>
      <c r="AW2842" s="48"/>
      <c r="AX2842" s="48"/>
      <c r="AY2842" s="48"/>
      <c r="AZ2842" s="48"/>
      <c r="BA2842" s="48"/>
      <c r="BB2842" s="48"/>
      <c r="BC2842" s="48"/>
      <c r="BD2842" s="48"/>
    </row>
    <row r="2843" spans="1:56">
      <c r="A2843" s="48"/>
      <c r="B2843" s="48"/>
      <c r="C2843" s="49"/>
      <c r="D2843" s="48"/>
      <c r="E2843" s="48"/>
      <c r="F2843" s="48"/>
      <c r="G2843" s="48"/>
      <c r="H2843" s="48"/>
      <c r="I2843" s="48"/>
      <c r="J2843" s="86"/>
      <c r="K2843" s="86"/>
      <c r="L2843" s="86"/>
      <c r="M2843" s="86"/>
      <c r="N2843" s="86"/>
      <c r="O2843" s="86"/>
      <c r="P2843" s="86"/>
      <c r="Q2843" s="86"/>
      <c r="R2843" s="86"/>
      <c r="S2843" s="86"/>
      <c r="T2843" s="86"/>
      <c r="U2843" s="86"/>
      <c r="V2843" s="48"/>
      <c r="W2843" s="48"/>
      <c r="X2843" s="48"/>
      <c r="Y2843" s="48"/>
      <c r="Z2843" s="48"/>
      <c r="AA2843" s="48"/>
      <c r="AB2843" s="48"/>
      <c r="AC2843" s="48"/>
      <c r="AD2843" s="48"/>
      <c r="AE2843" s="48"/>
      <c r="AF2843" s="48"/>
      <c r="AG2843" s="48"/>
      <c r="AH2843" s="48"/>
      <c r="AI2843" s="48"/>
      <c r="AJ2843" s="48"/>
      <c r="AK2843" s="48"/>
      <c r="AL2843" s="48"/>
      <c r="AM2843" s="48"/>
      <c r="AN2843" s="48"/>
      <c r="AO2843" s="48"/>
      <c r="AP2843" s="48"/>
      <c r="AQ2843" s="48"/>
      <c r="AR2843" s="48"/>
      <c r="AS2843" s="48"/>
      <c r="AT2843" s="48"/>
      <c r="AU2843" s="48"/>
      <c r="AV2843" s="48"/>
      <c r="AW2843" s="48"/>
      <c r="AX2843" s="48"/>
      <c r="AY2843" s="48"/>
      <c r="AZ2843" s="48"/>
      <c r="BA2843" s="48"/>
      <c r="BB2843" s="48"/>
      <c r="BC2843" s="48"/>
      <c r="BD2843" s="48"/>
    </row>
    <row r="2844" spans="1:56">
      <c r="A2844" s="48"/>
      <c r="B2844" s="48"/>
      <c r="C2844" s="49"/>
      <c r="D2844" s="48"/>
      <c r="E2844" s="48"/>
      <c r="F2844" s="48"/>
      <c r="G2844" s="48"/>
      <c r="H2844" s="48"/>
      <c r="I2844" s="48"/>
      <c r="J2844" s="86"/>
      <c r="K2844" s="86"/>
      <c r="L2844" s="86"/>
      <c r="M2844" s="86"/>
      <c r="N2844" s="86"/>
      <c r="O2844" s="86"/>
      <c r="P2844" s="86"/>
      <c r="Q2844" s="86"/>
      <c r="R2844" s="86"/>
      <c r="S2844" s="86"/>
      <c r="T2844" s="86"/>
      <c r="U2844" s="86"/>
      <c r="V2844" s="48"/>
      <c r="W2844" s="48"/>
      <c r="X2844" s="48"/>
      <c r="Y2844" s="48"/>
      <c r="Z2844" s="48"/>
      <c r="AA2844" s="48"/>
      <c r="AB2844" s="48"/>
      <c r="AC2844" s="48"/>
      <c r="AD2844" s="48"/>
      <c r="AE2844" s="48"/>
      <c r="AF2844" s="48"/>
      <c r="AG2844" s="48"/>
      <c r="AH2844" s="48"/>
      <c r="AI2844" s="48"/>
      <c r="AJ2844" s="48"/>
      <c r="AK2844" s="48"/>
      <c r="AL2844" s="48"/>
      <c r="AM2844" s="48"/>
      <c r="AN2844" s="48"/>
      <c r="AO2844" s="48"/>
      <c r="AP2844" s="48"/>
      <c r="AQ2844" s="48"/>
      <c r="AR2844" s="48"/>
      <c r="AS2844" s="48"/>
      <c r="AT2844" s="48"/>
      <c r="AU2844" s="48"/>
      <c r="AV2844" s="48"/>
      <c r="AW2844" s="48"/>
      <c r="AX2844" s="48"/>
      <c r="AY2844" s="48"/>
      <c r="AZ2844" s="48"/>
      <c r="BA2844" s="48"/>
      <c r="BB2844" s="48"/>
      <c r="BC2844" s="48"/>
      <c r="BD2844" s="48"/>
    </row>
    <row r="2845" spans="1:56">
      <c r="A2845" s="48"/>
      <c r="B2845" s="48"/>
      <c r="C2845" s="49"/>
      <c r="D2845" s="48"/>
      <c r="E2845" s="48"/>
      <c r="F2845" s="48"/>
      <c r="G2845" s="48"/>
      <c r="H2845" s="48"/>
      <c r="I2845" s="48"/>
      <c r="J2845" s="86"/>
      <c r="K2845" s="86"/>
      <c r="L2845" s="86"/>
      <c r="M2845" s="86"/>
      <c r="N2845" s="86"/>
      <c r="O2845" s="86"/>
      <c r="P2845" s="86"/>
      <c r="Q2845" s="86"/>
      <c r="R2845" s="86"/>
      <c r="S2845" s="86"/>
      <c r="T2845" s="86"/>
      <c r="U2845" s="86"/>
      <c r="V2845" s="48"/>
      <c r="W2845" s="48"/>
      <c r="X2845" s="48"/>
      <c r="Y2845" s="48"/>
      <c r="Z2845" s="48"/>
      <c r="AA2845" s="48"/>
      <c r="AB2845" s="48"/>
      <c r="AC2845" s="48"/>
      <c r="AD2845" s="48"/>
      <c r="AE2845" s="48"/>
      <c r="AF2845" s="48"/>
      <c r="AG2845" s="48"/>
      <c r="AH2845" s="48"/>
      <c r="AI2845" s="48"/>
      <c r="AJ2845" s="48"/>
      <c r="AK2845" s="48"/>
      <c r="AL2845" s="48"/>
      <c r="AM2845" s="48"/>
      <c r="AN2845" s="48"/>
      <c r="AO2845" s="48"/>
      <c r="AP2845" s="48"/>
      <c r="AQ2845" s="48"/>
      <c r="AR2845" s="48"/>
      <c r="AS2845" s="48"/>
      <c r="AT2845" s="48"/>
      <c r="AU2845" s="48"/>
      <c r="AV2845" s="48"/>
      <c r="AW2845" s="48"/>
      <c r="AX2845" s="48"/>
      <c r="AY2845" s="48"/>
      <c r="AZ2845" s="48"/>
      <c r="BA2845" s="48"/>
      <c r="BB2845" s="48"/>
      <c r="BC2845" s="48"/>
      <c r="BD2845" s="48"/>
    </row>
    <row r="2846" spans="1:56">
      <c r="A2846" s="48"/>
      <c r="B2846" s="48"/>
      <c r="C2846" s="49"/>
      <c r="D2846" s="48"/>
      <c r="E2846" s="48"/>
      <c r="F2846" s="48"/>
      <c r="G2846" s="48"/>
      <c r="H2846" s="48"/>
      <c r="I2846" s="48"/>
      <c r="J2846" s="86"/>
      <c r="K2846" s="86"/>
      <c r="L2846" s="86"/>
      <c r="M2846" s="86"/>
      <c r="N2846" s="86"/>
      <c r="O2846" s="86"/>
      <c r="P2846" s="86"/>
      <c r="Q2846" s="86"/>
      <c r="R2846" s="86"/>
      <c r="S2846" s="86"/>
      <c r="T2846" s="86"/>
      <c r="U2846" s="86"/>
      <c r="V2846" s="48"/>
      <c r="W2846" s="48"/>
      <c r="X2846" s="48"/>
      <c r="Y2846" s="48"/>
      <c r="Z2846" s="48"/>
      <c r="AA2846" s="48"/>
      <c r="AB2846" s="48"/>
      <c r="AC2846" s="48"/>
      <c r="AD2846" s="48"/>
      <c r="AE2846" s="48"/>
      <c r="AF2846" s="48"/>
      <c r="AG2846" s="48"/>
      <c r="AH2846" s="48"/>
      <c r="AI2846" s="48"/>
      <c r="AJ2846" s="48"/>
      <c r="AK2846" s="48"/>
      <c r="AL2846" s="48"/>
      <c r="AM2846" s="48"/>
      <c r="AN2846" s="48"/>
      <c r="AO2846" s="48"/>
      <c r="AP2846" s="48"/>
      <c r="AQ2846" s="48"/>
      <c r="AR2846" s="48"/>
      <c r="AS2846" s="48"/>
      <c r="AT2846" s="48"/>
      <c r="AU2846" s="48"/>
      <c r="AV2846" s="48"/>
      <c r="AW2846" s="48"/>
      <c r="AX2846" s="48"/>
      <c r="AY2846" s="48"/>
      <c r="AZ2846" s="48"/>
      <c r="BA2846" s="48"/>
      <c r="BB2846" s="48"/>
      <c r="BC2846" s="48"/>
      <c r="BD2846" s="48"/>
    </row>
    <row r="2847" spans="1:56">
      <c r="A2847" s="48"/>
      <c r="B2847" s="48"/>
      <c r="C2847" s="49"/>
      <c r="D2847" s="48"/>
      <c r="E2847" s="48"/>
      <c r="F2847" s="48"/>
      <c r="G2847" s="48"/>
      <c r="H2847" s="48"/>
      <c r="I2847" s="48"/>
      <c r="J2847" s="86"/>
      <c r="K2847" s="86"/>
      <c r="L2847" s="86"/>
      <c r="M2847" s="86"/>
      <c r="N2847" s="86"/>
      <c r="O2847" s="86"/>
      <c r="P2847" s="86"/>
      <c r="Q2847" s="86"/>
      <c r="R2847" s="86"/>
      <c r="S2847" s="86"/>
      <c r="T2847" s="86"/>
      <c r="U2847" s="86"/>
      <c r="V2847" s="48"/>
      <c r="W2847" s="48"/>
      <c r="X2847" s="48"/>
      <c r="Y2847" s="48"/>
      <c r="Z2847" s="48"/>
      <c r="AA2847" s="48"/>
      <c r="AB2847" s="48"/>
      <c r="AC2847" s="48"/>
      <c r="AD2847" s="48"/>
      <c r="AE2847" s="48"/>
      <c r="AF2847" s="48"/>
      <c r="AG2847" s="48"/>
      <c r="AH2847" s="48"/>
      <c r="AI2847" s="48"/>
      <c r="AJ2847" s="48"/>
      <c r="AK2847" s="48"/>
      <c r="AL2847" s="48"/>
      <c r="AM2847" s="48"/>
      <c r="AN2847" s="48"/>
      <c r="AO2847" s="48"/>
      <c r="AP2847" s="48"/>
      <c r="AQ2847" s="48"/>
      <c r="AR2847" s="48"/>
      <c r="AS2847" s="48"/>
      <c r="AT2847" s="48"/>
      <c r="AU2847" s="48"/>
      <c r="AV2847" s="48"/>
      <c r="AW2847" s="48"/>
      <c r="AX2847" s="48"/>
      <c r="AY2847" s="48"/>
      <c r="AZ2847" s="48"/>
      <c r="BA2847" s="48"/>
      <c r="BB2847" s="48"/>
      <c r="BC2847" s="48"/>
      <c r="BD2847" s="48"/>
    </row>
    <row r="2848" spans="1:56">
      <c r="A2848" s="48"/>
      <c r="B2848" s="48"/>
      <c r="C2848" s="49"/>
      <c r="D2848" s="48"/>
      <c r="E2848" s="48"/>
      <c r="F2848" s="48"/>
      <c r="G2848" s="48"/>
      <c r="H2848" s="48"/>
      <c r="I2848" s="48"/>
      <c r="J2848" s="86"/>
      <c r="K2848" s="86"/>
      <c r="L2848" s="86"/>
      <c r="M2848" s="86"/>
      <c r="N2848" s="86"/>
      <c r="O2848" s="86"/>
      <c r="P2848" s="86"/>
      <c r="Q2848" s="86"/>
      <c r="R2848" s="86"/>
      <c r="S2848" s="86"/>
      <c r="T2848" s="86"/>
      <c r="U2848" s="86"/>
      <c r="V2848" s="48"/>
      <c r="W2848" s="48"/>
      <c r="X2848" s="48"/>
      <c r="Y2848" s="48"/>
      <c r="Z2848" s="48"/>
      <c r="AA2848" s="48"/>
      <c r="AB2848" s="48"/>
      <c r="AC2848" s="48"/>
      <c r="AD2848" s="48"/>
      <c r="AE2848" s="48"/>
      <c r="AF2848" s="48"/>
      <c r="AG2848" s="48"/>
      <c r="AH2848" s="48"/>
      <c r="AI2848" s="48"/>
      <c r="AJ2848" s="48"/>
      <c r="AK2848" s="48"/>
      <c r="AL2848" s="48"/>
      <c r="AM2848" s="48"/>
      <c r="AN2848" s="48"/>
      <c r="AO2848" s="48"/>
      <c r="AP2848" s="48"/>
      <c r="AQ2848" s="48"/>
      <c r="AR2848" s="48"/>
      <c r="AS2848" s="48"/>
      <c r="AT2848" s="48"/>
      <c r="AU2848" s="48"/>
      <c r="AV2848" s="48"/>
      <c r="AW2848" s="48"/>
      <c r="AX2848" s="48"/>
      <c r="AY2848" s="48"/>
      <c r="AZ2848" s="48"/>
      <c r="BA2848" s="48"/>
      <c r="BB2848" s="48"/>
      <c r="BC2848" s="48"/>
      <c r="BD2848" s="48"/>
    </row>
    <row r="2849" spans="1:56">
      <c r="A2849" s="48"/>
      <c r="B2849" s="48"/>
      <c r="C2849" s="49"/>
      <c r="D2849" s="48"/>
      <c r="E2849" s="48"/>
      <c r="F2849" s="48"/>
      <c r="G2849" s="48"/>
      <c r="H2849" s="48"/>
      <c r="I2849" s="48"/>
      <c r="J2849" s="86"/>
      <c r="K2849" s="86"/>
      <c r="L2849" s="86"/>
      <c r="M2849" s="86"/>
      <c r="N2849" s="86"/>
      <c r="O2849" s="86"/>
      <c r="P2849" s="86"/>
      <c r="Q2849" s="86"/>
      <c r="R2849" s="86"/>
      <c r="S2849" s="86"/>
      <c r="T2849" s="86"/>
      <c r="U2849" s="86"/>
      <c r="V2849" s="48"/>
      <c r="W2849" s="48"/>
      <c r="X2849" s="48"/>
      <c r="Y2849" s="48"/>
      <c r="Z2849" s="48"/>
      <c r="AA2849" s="48"/>
      <c r="AB2849" s="48"/>
      <c r="AC2849" s="48"/>
      <c r="AD2849" s="48"/>
      <c r="AE2849" s="48"/>
      <c r="AF2849" s="48"/>
      <c r="AG2849" s="48"/>
      <c r="AH2849" s="48"/>
      <c r="AI2849" s="48"/>
      <c r="AJ2849" s="48"/>
      <c r="AK2849" s="48"/>
      <c r="AL2849" s="48"/>
      <c r="AM2849" s="48"/>
      <c r="AN2849" s="48"/>
      <c r="AO2849" s="48"/>
      <c r="AP2849" s="48"/>
      <c r="AQ2849" s="48"/>
      <c r="AR2849" s="48"/>
      <c r="AS2849" s="48"/>
      <c r="AT2849" s="48"/>
      <c r="AU2849" s="48"/>
      <c r="AV2849" s="48"/>
      <c r="AW2849" s="48"/>
      <c r="AX2849" s="48"/>
      <c r="AY2849" s="48"/>
      <c r="AZ2849" s="48"/>
      <c r="BA2849" s="48"/>
      <c r="BB2849" s="48"/>
      <c r="BC2849" s="48"/>
      <c r="BD2849" s="48"/>
    </row>
    <row r="2850" spans="1:56">
      <c r="A2850" s="48"/>
      <c r="B2850" s="48"/>
      <c r="C2850" s="49"/>
      <c r="D2850" s="48"/>
      <c r="E2850" s="48"/>
      <c r="F2850" s="48"/>
      <c r="G2850" s="48"/>
      <c r="H2850" s="48"/>
      <c r="I2850" s="48"/>
      <c r="J2850" s="86"/>
      <c r="K2850" s="86"/>
      <c r="L2850" s="86"/>
      <c r="M2850" s="86"/>
      <c r="N2850" s="86"/>
      <c r="O2850" s="86"/>
      <c r="P2850" s="86"/>
      <c r="Q2850" s="86"/>
      <c r="R2850" s="86"/>
      <c r="S2850" s="86"/>
      <c r="T2850" s="86"/>
      <c r="U2850" s="86"/>
      <c r="V2850" s="48"/>
      <c r="W2850" s="48"/>
      <c r="X2850" s="48"/>
      <c r="Y2850" s="48"/>
      <c r="Z2850" s="48"/>
      <c r="AA2850" s="48"/>
      <c r="AB2850" s="48"/>
      <c r="AC2850" s="48"/>
      <c r="AD2850" s="48"/>
      <c r="AE2850" s="48"/>
      <c r="AF2850" s="48"/>
      <c r="AG2850" s="48"/>
      <c r="AH2850" s="48"/>
      <c r="AI2850" s="48"/>
      <c r="AJ2850" s="48"/>
      <c r="AK2850" s="48"/>
      <c r="AL2850" s="48"/>
      <c r="AM2850" s="48"/>
      <c r="AN2850" s="48"/>
      <c r="AO2850" s="48"/>
      <c r="AP2850" s="48"/>
      <c r="AQ2850" s="48"/>
      <c r="AR2850" s="48"/>
      <c r="AS2850" s="48"/>
      <c r="AT2850" s="48"/>
      <c r="AU2850" s="48"/>
      <c r="AV2850" s="48"/>
      <c r="AW2850" s="48"/>
      <c r="AX2850" s="48"/>
      <c r="AY2850" s="48"/>
      <c r="AZ2850" s="48"/>
      <c r="BA2850" s="48"/>
      <c r="BB2850" s="48"/>
      <c r="BC2850" s="48"/>
      <c r="BD2850" s="48"/>
    </row>
    <row r="2851" spans="1:56">
      <c r="A2851" s="48"/>
      <c r="B2851" s="48"/>
      <c r="C2851" s="49"/>
      <c r="D2851" s="48"/>
      <c r="E2851" s="48"/>
      <c r="F2851" s="48"/>
      <c r="G2851" s="48"/>
      <c r="H2851" s="48"/>
      <c r="I2851" s="48"/>
      <c r="J2851" s="86"/>
      <c r="K2851" s="86"/>
      <c r="L2851" s="86"/>
      <c r="M2851" s="86"/>
      <c r="N2851" s="86"/>
      <c r="O2851" s="86"/>
      <c r="P2851" s="86"/>
      <c r="Q2851" s="86"/>
      <c r="R2851" s="86"/>
      <c r="S2851" s="86"/>
      <c r="T2851" s="86"/>
      <c r="U2851" s="86"/>
      <c r="V2851" s="48"/>
      <c r="W2851" s="48"/>
      <c r="X2851" s="48"/>
      <c r="Y2851" s="48"/>
      <c r="Z2851" s="48"/>
      <c r="AA2851" s="48"/>
      <c r="AB2851" s="48"/>
      <c r="AC2851" s="48"/>
      <c r="AD2851" s="48"/>
      <c r="AE2851" s="48"/>
      <c r="AF2851" s="48"/>
      <c r="AG2851" s="48"/>
      <c r="AH2851" s="48"/>
      <c r="AI2851" s="48"/>
      <c r="AJ2851" s="48"/>
      <c r="AK2851" s="48"/>
      <c r="AL2851" s="48"/>
      <c r="AM2851" s="48"/>
      <c r="AN2851" s="48"/>
      <c r="AO2851" s="48"/>
      <c r="AP2851" s="48"/>
      <c r="AQ2851" s="48"/>
      <c r="AR2851" s="48"/>
      <c r="AS2851" s="48"/>
      <c r="AT2851" s="48"/>
      <c r="AU2851" s="48"/>
      <c r="AV2851" s="48"/>
      <c r="AW2851" s="48"/>
      <c r="AX2851" s="48"/>
      <c r="AY2851" s="48"/>
      <c r="AZ2851" s="48"/>
      <c r="BA2851" s="48"/>
      <c r="BB2851" s="48"/>
      <c r="BC2851" s="48"/>
      <c r="BD2851" s="48"/>
    </row>
    <row r="2852" spans="1:56">
      <c r="A2852" s="48"/>
      <c r="B2852" s="48"/>
      <c r="C2852" s="49"/>
      <c r="D2852" s="48"/>
      <c r="E2852" s="48"/>
      <c r="F2852" s="48"/>
      <c r="G2852" s="48"/>
      <c r="H2852" s="48"/>
      <c r="I2852" s="48"/>
      <c r="J2852" s="86"/>
      <c r="K2852" s="86"/>
      <c r="L2852" s="86"/>
      <c r="M2852" s="86"/>
      <c r="N2852" s="86"/>
      <c r="O2852" s="86"/>
      <c r="P2852" s="86"/>
      <c r="Q2852" s="86"/>
      <c r="R2852" s="86"/>
      <c r="S2852" s="86"/>
      <c r="T2852" s="86"/>
      <c r="U2852" s="86"/>
      <c r="V2852" s="48"/>
      <c r="W2852" s="48"/>
      <c r="X2852" s="48"/>
      <c r="Y2852" s="48"/>
      <c r="Z2852" s="48"/>
      <c r="AA2852" s="48"/>
      <c r="AB2852" s="48"/>
      <c r="AC2852" s="48"/>
      <c r="AD2852" s="48"/>
      <c r="AE2852" s="48"/>
      <c r="AF2852" s="48"/>
      <c r="AG2852" s="48"/>
      <c r="AH2852" s="48"/>
      <c r="AI2852" s="48"/>
      <c r="AJ2852" s="48"/>
      <c r="AK2852" s="48"/>
      <c r="AL2852" s="48"/>
      <c r="AM2852" s="48"/>
      <c r="AN2852" s="48"/>
      <c r="AO2852" s="48"/>
      <c r="AP2852" s="48"/>
      <c r="AQ2852" s="48"/>
      <c r="AR2852" s="48"/>
      <c r="AS2852" s="48"/>
      <c r="AT2852" s="48"/>
      <c r="AU2852" s="48"/>
      <c r="AV2852" s="48"/>
      <c r="AW2852" s="48"/>
      <c r="AX2852" s="48"/>
      <c r="AY2852" s="48"/>
      <c r="AZ2852" s="48"/>
      <c r="BA2852" s="48"/>
      <c r="BB2852" s="48"/>
      <c r="BC2852" s="48"/>
      <c r="BD2852" s="48"/>
    </row>
    <row r="2853" spans="1:56">
      <c r="A2853" s="48"/>
      <c r="B2853" s="48"/>
      <c r="C2853" s="49"/>
      <c r="D2853" s="48"/>
      <c r="E2853" s="48"/>
      <c r="F2853" s="48"/>
      <c r="G2853" s="48"/>
      <c r="H2853" s="48"/>
      <c r="I2853" s="48"/>
      <c r="J2853" s="86"/>
      <c r="K2853" s="86"/>
      <c r="L2853" s="86"/>
      <c r="M2853" s="86"/>
      <c r="N2853" s="86"/>
      <c r="O2853" s="86"/>
      <c r="P2853" s="86"/>
      <c r="Q2853" s="86"/>
      <c r="R2853" s="86"/>
      <c r="S2853" s="86"/>
      <c r="T2853" s="86"/>
      <c r="U2853" s="86"/>
      <c r="V2853" s="48"/>
      <c r="W2853" s="48"/>
      <c r="X2853" s="48"/>
      <c r="Y2853" s="48"/>
      <c r="Z2853" s="48"/>
      <c r="AA2853" s="48"/>
      <c r="AB2853" s="48"/>
      <c r="AC2853" s="48"/>
      <c r="AD2853" s="48"/>
      <c r="AE2853" s="48"/>
      <c r="AF2853" s="48"/>
      <c r="AG2853" s="48"/>
      <c r="AH2853" s="48"/>
      <c r="AI2853" s="48"/>
      <c r="AJ2853" s="48"/>
      <c r="AK2853" s="48"/>
      <c r="AL2853" s="48"/>
      <c r="AM2853" s="48"/>
      <c r="AN2853" s="48"/>
      <c r="AO2853" s="48"/>
      <c r="AP2853" s="48"/>
      <c r="AQ2853" s="48"/>
      <c r="AR2853" s="48"/>
      <c r="AS2853" s="48"/>
      <c r="AT2853" s="48"/>
      <c r="AU2853" s="48"/>
      <c r="AV2853" s="48"/>
      <c r="AW2853" s="48"/>
      <c r="AX2853" s="48"/>
      <c r="AY2853" s="48"/>
      <c r="AZ2853" s="48"/>
      <c r="BA2853" s="48"/>
      <c r="BB2853" s="48"/>
      <c r="BC2853" s="48"/>
      <c r="BD2853" s="48"/>
    </row>
    <row r="2854" spans="1:56">
      <c r="A2854" s="48"/>
      <c r="B2854" s="48"/>
      <c r="C2854" s="49"/>
      <c r="D2854" s="48"/>
      <c r="E2854" s="48"/>
      <c r="F2854" s="48"/>
      <c r="G2854" s="48"/>
      <c r="H2854" s="48"/>
      <c r="I2854" s="48"/>
      <c r="J2854" s="86"/>
      <c r="K2854" s="86"/>
      <c r="L2854" s="86"/>
      <c r="M2854" s="86"/>
      <c r="N2854" s="86"/>
      <c r="O2854" s="86"/>
      <c r="P2854" s="86"/>
      <c r="Q2854" s="86"/>
      <c r="R2854" s="86"/>
      <c r="S2854" s="86"/>
      <c r="T2854" s="86"/>
      <c r="U2854" s="86"/>
      <c r="V2854" s="48"/>
      <c r="W2854" s="48"/>
      <c r="X2854" s="48"/>
      <c r="Y2854" s="48"/>
      <c r="Z2854" s="48"/>
      <c r="AA2854" s="48"/>
      <c r="AB2854" s="48"/>
      <c r="AC2854" s="48"/>
      <c r="AD2854" s="48"/>
      <c r="AE2854" s="48"/>
      <c r="AF2854" s="48"/>
      <c r="AG2854" s="48"/>
      <c r="AH2854" s="48"/>
      <c r="AI2854" s="48"/>
      <c r="AJ2854" s="48"/>
      <c r="AK2854" s="48"/>
      <c r="AL2854" s="48"/>
      <c r="AM2854" s="48"/>
      <c r="AN2854" s="48"/>
      <c r="AO2854" s="48"/>
      <c r="AP2854" s="48"/>
      <c r="AQ2854" s="48"/>
      <c r="AR2854" s="48"/>
      <c r="AS2854" s="48"/>
      <c r="AT2854" s="48"/>
      <c r="AU2854" s="48"/>
      <c r="AV2854" s="48"/>
      <c r="AW2854" s="48"/>
      <c r="AX2854" s="48"/>
      <c r="AY2854" s="48"/>
      <c r="AZ2854" s="48"/>
      <c r="BA2854" s="48"/>
      <c r="BB2854" s="48"/>
      <c r="BC2854" s="48"/>
      <c r="BD2854" s="48"/>
    </row>
    <row r="2855" spans="1:56">
      <c r="A2855" s="48"/>
      <c r="B2855" s="48"/>
      <c r="C2855" s="49"/>
      <c r="D2855" s="48"/>
      <c r="E2855" s="48"/>
      <c r="F2855" s="48"/>
      <c r="G2855" s="48"/>
      <c r="H2855" s="48"/>
      <c r="I2855" s="48"/>
      <c r="J2855" s="86"/>
      <c r="K2855" s="86"/>
      <c r="L2855" s="86"/>
      <c r="M2855" s="86"/>
      <c r="N2855" s="86"/>
      <c r="O2855" s="86"/>
      <c r="P2855" s="86"/>
      <c r="Q2855" s="86"/>
      <c r="R2855" s="86"/>
      <c r="S2855" s="86"/>
      <c r="T2855" s="86"/>
      <c r="U2855" s="86"/>
      <c r="V2855" s="48"/>
      <c r="W2855" s="48"/>
      <c r="X2855" s="48"/>
      <c r="Y2855" s="48"/>
      <c r="Z2855" s="48"/>
      <c r="AA2855" s="48"/>
      <c r="AB2855" s="48"/>
      <c r="AC2855" s="48"/>
      <c r="AD2855" s="48"/>
      <c r="AE2855" s="48"/>
      <c r="AF2855" s="48"/>
      <c r="AG2855" s="48"/>
      <c r="AH2855" s="48"/>
      <c r="AI2855" s="48"/>
      <c r="AJ2855" s="48"/>
      <c r="AK2855" s="48"/>
      <c r="AL2855" s="48"/>
      <c r="AM2855" s="48"/>
      <c r="AN2855" s="48"/>
      <c r="AO2855" s="48"/>
      <c r="AP2855" s="48"/>
      <c r="AQ2855" s="48"/>
      <c r="AR2855" s="48"/>
      <c r="AS2855" s="48"/>
      <c r="AT2855" s="48"/>
      <c r="AU2855" s="48"/>
      <c r="AV2855" s="48"/>
      <c r="AW2855" s="48"/>
      <c r="AX2855" s="48"/>
      <c r="AY2855" s="48"/>
      <c r="AZ2855" s="48"/>
      <c r="BA2855" s="48"/>
      <c r="BB2855" s="48"/>
      <c r="BC2855" s="48"/>
      <c r="BD2855" s="48"/>
    </row>
    <row r="2856" spans="1:56">
      <c r="A2856" s="48"/>
      <c r="B2856" s="48"/>
      <c r="C2856" s="49"/>
      <c r="D2856" s="48"/>
      <c r="E2856" s="48"/>
      <c r="F2856" s="48"/>
      <c r="G2856" s="48"/>
      <c r="H2856" s="48"/>
      <c r="I2856" s="48"/>
      <c r="J2856" s="86"/>
      <c r="K2856" s="86"/>
      <c r="L2856" s="86"/>
      <c r="M2856" s="86"/>
      <c r="N2856" s="86"/>
      <c r="O2856" s="86"/>
      <c r="P2856" s="86"/>
      <c r="Q2856" s="86"/>
      <c r="R2856" s="86"/>
      <c r="S2856" s="86"/>
      <c r="T2856" s="86"/>
      <c r="U2856" s="86"/>
      <c r="V2856" s="48"/>
      <c r="W2856" s="48"/>
      <c r="X2856" s="48"/>
      <c r="Y2856" s="48"/>
      <c r="Z2856" s="48"/>
      <c r="AA2856" s="48"/>
      <c r="AB2856" s="48"/>
      <c r="AC2856" s="48"/>
      <c r="AD2856" s="48"/>
      <c r="AE2856" s="48"/>
      <c r="AF2856" s="48"/>
      <c r="AG2856" s="48"/>
      <c r="AH2856" s="48"/>
      <c r="AI2856" s="48"/>
      <c r="AJ2856" s="48"/>
      <c r="AK2856" s="48"/>
      <c r="AL2856" s="48"/>
      <c r="AM2856" s="48"/>
      <c r="AN2856" s="48"/>
      <c r="AO2856" s="48"/>
      <c r="AP2856" s="48"/>
      <c r="AQ2856" s="48"/>
      <c r="AR2856" s="48"/>
      <c r="AS2856" s="48"/>
      <c r="AT2856" s="48"/>
      <c r="AU2856" s="48"/>
      <c r="AV2856" s="48"/>
      <c r="AW2856" s="48"/>
      <c r="AX2856" s="48"/>
      <c r="AY2856" s="48"/>
      <c r="AZ2856" s="48"/>
      <c r="BA2856" s="48"/>
      <c r="BB2856" s="48"/>
      <c r="BC2856" s="48"/>
      <c r="BD2856" s="48"/>
    </row>
    <row r="2857" spans="1:56">
      <c r="A2857" s="48"/>
      <c r="B2857" s="48"/>
      <c r="C2857" s="49"/>
      <c r="D2857" s="48"/>
      <c r="E2857" s="48"/>
      <c r="F2857" s="48"/>
      <c r="G2857" s="48"/>
      <c r="H2857" s="48"/>
      <c r="I2857" s="48"/>
      <c r="J2857" s="86"/>
      <c r="K2857" s="86"/>
      <c r="L2857" s="86"/>
      <c r="M2857" s="86"/>
      <c r="N2857" s="86"/>
      <c r="O2857" s="86"/>
      <c r="P2857" s="86"/>
      <c r="Q2857" s="86"/>
      <c r="R2857" s="86"/>
      <c r="S2857" s="86"/>
      <c r="T2857" s="86"/>
      <c r="U2857" s="86"/>
      <c r="V2857" s="48"/>
      <c r="W2857" s="48"/>
      <c r="X2857" s="48"/>
      <c r="Y2857" s="48"/>
      <c r="Z2857" s="48"/>
      <c r="AA2857" s="48"/>
      <c r="AB2857" s="48"/>
      <c r="AC2857" s="48"/>
      <c r="AD2857" s="48"/>
      <c r="AE2857" s="48"/>
      <c r="AF2857" s="48"/>
      <c r="AG2857" s="48"/>
      <c r="AH2857" s="48"/>
      <c r="AI2857" s="48"/>
      <c r="AJ2857" s="48"/>
      <c r="AK2857" s="48"/>
      <c r="AL2857" s="48"/>
      <c r="AM2857" s="48"/>
      <c r="AN2857" s="48"/>
      <c r="AO2857" s="48"/>
      <c r="AP2857" s="48"/>
      <c r="AQ2857" s="48"/>
      <c r="AR2857" s="48"/>
      <c r="AS2857" s="48"/>
      <c r="AT2857" s="48"/>
      <c r="AU2857" s="48"/>
      <c r="AV2857" s="48"/>
      <c r="AW2857" s="48"/>
      <c r="AX2857" s="48"/>
      <c r="AY2857" s="48"/>
      <c r="AZ2857" s="48"/>
      <c r="BA2857" s="48"/>
      <c r="BB2857" s="48"/>
      <c r="BC2857" s="48"/>
      <c r="BD2857" s="48"/>
    </row>
    <row r="2858" spans="1:56">
      <c r="A2858" s="48"/>
      <c r="B2858" s="48"/>
      <c r="C2858" s="49"/>
      <c r="D2858" s="48"/>
      <c r="E2858" s="48"/>
      <c r="F2858" s="48"/>
      <c r="G2858" s="48"/>
      <c r="H2858" s="48"/>
      <c r="I2858" s="48"/>
      <c r="J2858" s="86"/>
      <c r="K2858" s="86"/>
      <c r="L2858" s="86"/>
      <c r="M2858" s="86"/>
      <c r="N2858" s="86"/>
      <c r="O2858" s="86"/>
      <c r="P2858" s="86"/>
      <c r="Q2858" s="86"/>
      <c r="R2858" s="86"/>
      <c r="S2858" s="86"/>
      <c r="T2858" s="86"/>
      <c r="U2858" s="86"/>
      <c r="V2858" s="48"/>
      <c r="W2858" s="48"/>
      <c r="X2858" s="48"/>
      <c r="Y2858" s="48"/>
      <c r="Z2858" s="48"/>
      <c r="AA2858" s="48"/>
      <c r="AB2858" s="48"/>
      <c r="AC2858" s="48"/>
      <c r="AD2858" s="48"/>
      <c r="AE2858" s="48"/>
      <c r="AF2858" s="48"/>
      <c r="AG2858" s="48"/>
      <c r="AH2858" s="48"/>
      <c r="AI2858" s="48"/>
      <c r="AJ2858" s="48"/>
      <c r="AK2858" s="48"/>
      <c r="AL2858" s="48"/>
      <c r="AM2858" s="48"/>
      <c r="AN2858" s="48"/>
      <c r="AO2858" s="48"/>
      <c r="AP2858" s="48"/>
      <c r="AQ2858" s="48"/>
      <c r="AR2858" s="48"/>
      <c r="AS2858" s="48"/>
      <c r="AT2858" s="48"/>
      <c r="AU2858" s="48"/>
      <c r="AV2858" s="48"/>
      <c r="AW2858" s="48"/>
      <c r="AX2858" s="48"/>
      <c r="AY2858" s="48"/>
      <c r="AZ2858" s="48"/>
      <c r="BA2858" s="48"/>
      <c r="BB2858" s="48"/>
      <c r="BC2858" s="48"/>
      <c r="BD2858" s="48"/>
    </row>
    <row r="2859" spans="1:56">
      <c r="A2859" s="48"/>
      <c r="B2859" s="48"/>
      <c r="C2859" s="49"/>
      <c r="D2859" s="48"/>
      <c r="E2859" s="48"/>
      <c r="F2859" s="48"/>
      <c r="G2859" s="48"/>
      <c r="H2859" s="48"/>
      <c r="I2859" s="48"/>
      <c r="J2859" s="86"/>
      <c r="K2859" s="86"/>
      <c r="L2859" s="86"/>
      <c r="M2859" s="86"/>
      <c r="N2859" s="86"/>
      <c r="O2859" s="86"/>
      <c r="P2859" s="86"/>
      <c r="Q2859" s="86"/>
      <c r="R2859" s="86"/>
      <c r="S2859" s="86"/>
      <c r="T2859" s="86"/>
      <c r="U2859" s="86"/>
      <c r="V2859" s="48"/>
      <c r="W2859" s="48"/>
      <c r="X2859" s="48"/>
      <c r="Y2859" s="48"/>
      <c r="Z2859" s="48"/>
      <c r="AA2859" s="48"/>
      <c r="AB2859" s="48"/>
      <c r="AC2859" s="48"/>
      <c r="AD2859" s="48"/>
      <c r="AE2859" s="48"/>
      <c r="AF2859" s="48"/>
      <c r="AG2859" s="48"/>
      <c r="AH2859" s="48"/>
      <c r="AI2859" s="48"/>
      <c r="AJ2859" s="48"/>
      <c r="AK2859" s="48"/>
      <c r="AL2859" s="48"/>
      <c r="AM2859" s="48"/>
      <c r="AN2859" s="48"/>
      <c r="AO2859" s="48"/>
      <c r="AP2859" s="48"/>
      <c r="AQ2859" s="48"/>
      <c r="AR2859" s="48"/>
      <c r="AS2859" s="48"/>
      <c r="AT2859" s="48"/>
      <c r="AU2859" s="48"/>
      <c r="AV2859" s="48"/>
      <c r="AW2859" s="48"/>
      <c r="AX2859" s="48"/>
      <c r="AY2859" s="48"/>
      <c r="AZ2859" s="48"/>
      <c r="BA2859" s="48"/>
      <c r="BB2859" s="48"/>
      <c r="BC2859" s="48"/>
      <c r="BD2859" s="48"/>
    </row>
    <row r="2860" spans="1:56">
      <c r="A2860" s="48"/>
      <c r="B2860" s="48"/>
      <c r="C2860" s="49"/>
      <c r="D2860" s="48"/>
      <c r="E2860" s="48"/>
      <c r="F2860" s="48"/>
      <c r="G2860" s="48"/>
      <c r="H2860" s="48"/>
      <c r="I2860" s="48"/>
      <c r="J2860" s="86"/>
      <c r="K2860" s="86"/>
      <c r="L2860" s="86"/>
      <c r="M2860" s="86"/>
      <c r="N2860" s="86"/>
      <c r="O2860" s="86"/>
      <c r="P2860" s="86"/>
      <c r="Q2860" s="86"/>
      <c r="R2860" s="86"/>
      <c r="S2860" s="86"/>
      <c r="T2860" s="86"/>
      <c r="U2860" s="86"/>
      <c r="V2860" s="48"/>
      <c r="W2860" s="48"/>
      <c r="X2860" s="48"/>
      <c r="Y2860" s="48"/>
      <c r="Z2860" s="48"/>
      <c r="AA2860" s="48"/>
      <c r="AB2860" s="48"/>
      <c r="AC2860" s="48"/>
      <c r="AD2860" s="48"/>
      <c r="AE2860" s="48"/>
      <c r="AF2860" s="48"/>
      <c r="AG2860" s="48"/>
      <c r="AH2860" s="48"/>
      <c r="AI2860" s="48"/>
      <c r="AJ2860" s="48"/>
      <c r="AK2860" s="48"/>
      <c r="AL2860" s="48"/>
      <c r="AM2860" s="48"/>
      <c r="AN2860" s="48"/>
      <c r="AO2860" s="48"/>
      <c r="AP2860" s="48"/>
      <c r="AQ2860" s="48"/>
      <c r="AR2860" s="48"/>
      <c r="AS2860" s="48"/>
      <c r="AT2860" s="48"/>
      <c r="AU2860" s="48"/>
      <c r="AV2860" s="48"/>
      <c r="AW2860" s="48"/>
      <c r="AX2860" s="48"/>
      <c r="AY2860" s="48"/>
      <c r="AZ2860" s="48"/>
      <c r="BA2860" s="48"/>
      <c r="BB2860" s="48"/>
      <c r="BC2860" s="48"/>
      <c r="BD2860" s="48"/>
    </row>
    <row r="2861" spans="1:56">
      <c r="A2861" s="48"/>
      <c r="B2861" s="48"/>
      <c r="C2861" s="49"/>
      <c r="D2861" s="48"/>
      <c r="E2861" s="48"/>
      <c r="F2861" s="48"/>
      <c r="G2861" s="48"/>
      <c r="H2861" s="48"/>
      <c r="I2861" s="48"/>
      <c r="J2861" s="86"/>
      <c r="K2861" s="86"/>
      <c r="L2861" s="86"/>
      <c r="M2861" s="86"/>
      <c r="N2861" s="86"/>
      <c r="O2861" s="86"/>
      <c r="P2861" s="86"/>
      <c r="Q2861" s="86"/>
      <c r="R2861" s="86"/>
      <c r="S2861" s="86"/>
      <c r="T2861" s="86"/>
      <c r="U2861" s="86"/>
      <c r="V2861" s="48"/>
      <c r="W2861" s="48"/>
      <c r="X2861" s="48"/>
      <c r="Y2861" s="48"/>
      <c r="Z2861" s="48"/>
      <c r="AA2861" s="48"/>
      <c r="AB2861" s="48"/>
      <c r="AC2861" s="48"/>
      <c r="AD2861" s="48"/>
      <c r="AE2861" s="48"/>
      <c r="AF2861" s="48"/>
      <c r="AG2861" s="48"/>
      <c r="AH2861" s="48"/>
      <c r="AI2861" s="48"/>
      <c r="AJ2861" s="48"/>
      <c r="AK2861" s="48"/>
      <c r="AL2861" s="48"/>
      <c r="AM2861" s="48"/>
      <c r="AN2861" s="48"/>
      <c r="AO2861" s="48"/>
      <c r="AP2861" s="48"/>
      <c r="AQ2861" s="48"/>
      <c r="AR2861" s="48"/>
      <c r="AS2861" s="48"/>
      <c r="AT2861" s="48"/>
      <c r="AU2861" s="48"/>
      <c r="AV2861" s="48"/>
      <c r="AW2861" s="48"/>
      <c r="AX2861" s="48"/>
      <c r="AY2861" s="48"/>
      <c r="AZ2861" s="48"/>
      <c r="BA2861" s="48"/>
      <c r="BB2861" s="48"/>
      <c r="BC2861" s="48"/>
      <c r="BD2861" s="48"/>
    </row>
    <row r="2862" spans="1:56">
      <c r="A2862" s="48"/>
      <c r="B2862" s="48"/>
      <c r="C2862" s="49"/>
      <c r="D2862" s="48"/>
      <c r="E2862" s="48"/>
      <c r="F2862" s="48"/>
      <c r="G2862" s="48"/>
      <c r="H2862" s="48"/>
      <c r="I2862" s="48"/>
      <c r="J2862" s="86"/>
      <c r="K2862" s="86"/>
      <c r="L2862" s="86"/>
      <c r="M2862" s="86"/>
      <c r="N2862" s="86"/>
      <c r="O2862" s="86"/>
      <c r="P2862" s="86"/>
      <c r="Q2862" s="86"/>
      <c r="R2862" s="86"/>
      <c r="S2862" s="86"/>
      <c r="T2862" s="86"/>
      <c r="U2862" s="86"/>
      <c r="V2862" s="48"/>
      <c r="W2862" s="48"/>
      <c r="X2862" s="48"/>
      <c r="Y2862" s="48"/>
      <c r="Z2862" s="48"/>
      <c r="AA2862" s="48"/>
      <c r="AB2862" s="48"/>
      <c r="AC2862" s="48"/>
      <c r="AD2862" s="48"/>
      <c r="AE2862" s="48"/>
      <c r="AF2862" s="48"/>
      <c r="AG2862" s="48"/>
      <c r="AH2862" s="48"/>
      <c r="AI2862" s="48"/>
      <c r="AJ2862" s="48"/>
      <c r="AK2862" s="48"/>
      <c r="AL2862" s="48"/>
      <c r="AM2862" s="48"/>
      <c r="AN2862" s="48"/>
      <c r="AO2862" s="48"/>
      <c r="AP2862" s="48"/>
      <c r="AQ2862" s="48"/>
      <c r="AR2862" s="48"/>
      <c r="AS2862" s="48"/>
      <c r="AT2862" s="48"/>
      <c r="AU2862" s="48"/>
      <c r="AV2862" s="48"/>
      <c r="AW2862" s="48"/>
      <c r="AX2862" s="48"/>
      <c r="AY2862" s="48"/>
      <c r="AZ2862" s="48"/>
      <c r="BA2862" s="48"/>
      <c r="BB2862" s="48"/>
      <c r="BC2862" s="48"/>
      <c r="BD2862" s="48"/>
    </row>
    <row r="2863" spans="1:56">
      <c r="A2863" s="48"/>
      <c r="B2863" s="48"/>
      <c r="C2863" s="49"/>
      <c r="D2863" s="48"/>
      <c r="E2863" s="48"/>
      <c r="F2863" s="48"/>
      <c r="G2863" s="48"/>
      <c r="H2863" s="48"/>
      <c r="I2863" s="48"/>
      <c r="J2863" s="86"/>
      <c r="K2863" s="86"/>
      <c r="L2863" s="86"/>
      <c r="M2863" s="86"/>
      <c r="N2863" s="86"/>
      <c r="O2863" s="86"/>
      <c r="P2863" s="86"/>
      <c r="Q2863" s="86"/>
      <c r="R2863" s="86"/>
      <c r="S2863" s="86"/>
      <c r="T2863" s="86"/>
      <c r="U2863" s="86"/>
      <c r="V2863" s="48"/>
      <c r="W2863" s="48"/>
      <c r="X2863" s="48"/>
      <c r="Y2863" s="48"/>
      <c r="Z2863" s="48"/>
      <c r="AA2863" s="48"/>
      <c r="AB2863" s="48"/>
      <c r="AC2863" s="48"/>
      <c r="AD2863" s="48"/>
      <c r="AE2863" s="48"/>
      <c r="AF2863" s="48"/>
      <c r="AG2863" s="48"/>
      <c r="AH2863" s="48"/>
      <c r="AI2863" s="48"/>
      <c r="AJ2863" s="48"/>
      <c r="AK2863" s="48"/>
      <c r="AL2863" s="48"/>
      <c r="AM2863" s="48"/>
      <c r="AN2863" s="48"/>
      <c r="AO2863" s="48"/>
      <c r="AP2863" s="48"/>
      <c r="AQ2863" s="48"/>
      <c r="AR2863" s="48"/>
      <c r="AS2863" s="48"/>
      <c r="AT2863" s="48"/>
      <c r="AU2863" s="48"/>
      <c r="AV2863" s="48"/>
      <c r="AW2863" s="48"/>
      <c r="AX2863" s="48"/>
      <c r="AY2863" s="48"/>
      <c r="AZ2863" s="48"/>
      <c r="BA2863" s="48"/>
      <c r="BB2863" s="48"/>
      <c r="BC2863" s="48"/>
      <c r="BD2863" s="48"/>
    </row>
    <row r="2864" spans="1:56">
      <c r="A2864" s="48"/>
      <c r="B2864" s="48"/>
      <c r="C2864" s="49"/>
      <c r="D2864" s="48"/>
      <c r="E2864" s="48"/>
      <c r="F2864" s="48"/>
      <c r="G2864" s="48"/>
      <c r="H2864" s="48"/>
      <c r="I2864" s="48"/>
      <c r="J2864" s="86"/>
      <c r="K2864" s="86"/>
      <c r="L2864" s="86"/>
      <c r="M2864" s="86"/>
      <c r="N2864" s="86"/>
      <c r="O2864" s="86"/>
      <c r="P2864" s="86"/>
      <c r="Q2864" s="86"/>
      <c r="R2864" s="86"/>
      <c r="S2864" s="86"/>
      <c r="T2864" s="86"/>
      <c r="U2864" s="86"/>
      <c r="V2864" s="48"/>
      <c r="W2864" s="48"/>
      <c r="X2864" s="48"/>
      <c r="Y2864" s="48"/>
      <c r="Z2864" s="48"/>
      <c r="AA2864" s="48"/>
      <c r="AB2864" s="48"/>
      <c r="AC2864" s="48"/>
      <c r="AD2864" s="48"/>
      <c r="AE2864" s="48"/>
      <c r="AF2864" s="48"/>
      <c r="AG2864" s="48"/>
      <c r="AH2864" s="48"/>
      <c r="AI2864" s="48"/>
      <c r="AJ2864" s="48"/>
      <c r="AK2864" s="48"/>
      <c r="AL2864" s="48"/>
      <c r="AM2864" s="48"/>
      <c r="AN2864" s="48"/>
      <c r="AO2864" s="48"/>
      <c r="AP2864" s="48"/>
      <c r="AQ2864" s="48"/>
      <c r="AR2864" s="48"/>
      <c r="AS2864" s="48"/>
      <c r="AT2864" s="48"/>
      <c r="AU2864" s="48"/>
      <c r="AV2864" s="48"/>
      <c r="AW2864" s="48"/>
      <c r="AX2864" s="48"/>
      <c r="AY2864" s="48"/>
      <c r="AZ2864" s="48"/>
      <c r="BA2864" s="48"/>
      <c r="BB2864" s="48"/>
      <c r="BC2864" s="48"/>
      <c r="BD2864" s="48"/>
    </row>
    <row r="2865" spans="1:56">
      <c r="A2865" s="48"/>
      <c r="B2865" s="48"/>
      <c r="C2865" s="49"/>
      <c r="D2865" s="48"/>
      <c r="E2865" s="48"/>
      <c r="F2865" s="48"/>
      <c r="G2865" s="48"/>
      <c r="H2865" s="48"/>
      <c r="I2865" s="48"/>
      <c r="J2865" s="86"/>
      <c r="K2865" s="86"/>
      <c r="L2865" s="86"/>
      <c r="M2865" s="86"/>
      <c r="N2865" s="86"/>
      <c r="O2865" s="86"/>
      <c r="P2865" s="86"/>
      <c r="Q2865" s="86"/>
      <c r="R2865" s="86"/>
      <c r="S2865" s="86"/>
      <c r="T2865" s="86"/>
      <c r="U2865" s="86"/>
      <c r="V2865" s="48"/>
      <c r="W2865" s="48"/>
      <c r="X2865" s="48"/>
      <c r="Y2865" s="48"/>
      <c r="Z2865" s="48"/>
      <c r="AA2865" s="48"/>
      <c r="AB2865" s="48"/>
      <c r="AC2865" s="48"/>
      <c r="AD2865" s="48"/>
      <c r="AE2865" s="48"/>
      <c r="AF2865" s="48"/>
      <c r="AG2865" s="48"/>
      <c r="AH2865" s="48"/>
      <c r="AI2865" s="48"/>
      <c r="AJ2865" s="48"/>
      <c r="AK2865" s="48"/>
      <c r="AL2865" s="48"/>
      <c r="AM2865" s="48"/>
      <c r="AN2865" s="48"/>
      <c r="AO2865" s="48"/>
      <c r="AP2865" s="48"/>
      <c r="AQ2865" s="48"/>
      <c r="AR2865" s="48"/>
      <c r="AS2865" s="48"/>
      <c r="AT2865" s="48"/>
      <c r="AU2865" s="48"/>
      <c r="AV2865" s="48"/>
      <c r="AW2865" s="48"/>
      <c r="AX2865" s="48"/>
      <c r="AY2865" s="48"/>
      <c r="AZ2865" s="48"/>
      <c r="BA2865" s="48"/>
      <c r="BB2865" s="48"/>
      <c r="BC2865" s="48"/>
      <c r="BD2865" s="48"/>
    </row>
    <row r="2866" spans="1:56">
      <c r="A2866" s="48"/>
      <c r="B2866" s="48"/>
      <c r="C2866" s="49"/>
      <c r="D2866" s="48"/>
      <c r="E2866" s="48"/>
      <c r="F2866" s="48"/>
      <c r="G2866" s="48"/>
      <c r="H2866" s="48"/>
      <c r="I2866" s="48"/>
      <c r="J2866" s="86"/>
      <c r="K2866" s="86"/>
      <c r="L2866" s="86"/>
      <c r="M2866" s="86"/>
      <c r="N2866" s="86"/>
      <c r="O2866" s="86"/>
      <c r="P2866" s="86"/>
      <c r="Q2866" s="86"/>
      <c r="R2866" s="86"/>
      <c r="S2866" s="86"/>
      <c r="T2866" s="86"/>
      <c r="U2866" s="86"/>
      <c r="V2866" s="48"/>
      <c r="W2866" s="48"/>
      <c r="X2866" s="48"/>
      <c r="Y2866" s="48"/>
      <c r="Z2866" s="48"/>
      <c r="AA2866" s="48"/>
      <c r="AB2866" s="48"/>
      <c r="AC2866" s="48"/>
      <c r="AD2866" s="48"/>
      <c r="AE2866" s="48"/>
      <c r="AF2866" s="48"/>
      <c r="AG2866" s="48"/>
      <c r="AH2866" s="48"/>
      <c r="AI2866" s="48"/>
      <c r="AJ2866" s="48"/>
      <c r="AK2866" s="48"/>
      <c r="AL2866" s="48"/>
      <c r="AM2866" s="48"/>
      <c r="AN2866" s="48"/>
      <c r="AO2866" s="48"/>
      <c r="AP2866" s="48"/>
      <c r="AQ2866" s="48"/>
      <c r="AR2866" s="48"/>
      <c r="AS2866" s="48"/>
      <c r="AT2866" s="48"/>
      <c r="AU2866" s="48"/>
      <c r="AV2866" s="48"/>
      <c r="AW2866" s="48"/>
      <c r="AX2866" s="48"/>
      <c r="AY2866" s="48"/>
      <c r="AZ2866" s="48"/>
      <c r="BA2866" s="48"/>
      <c r="BB2866" s="48"/>
      <c r="BC2866" s="48"/>
      <c r="BD2866" s="48"/>
    </row>
    <row r="2867" spans="1:56">
      <c r="A2867" s="48"/>
      <c r="B2867" s="48"/>
      <c r="C2867" s="49"/>
      <c r="D2867" s="48"/>
      <c r="E2867" s="48"/>
      <c r="F2867" s="48"/>
      <c r="G2867" s="48"/>
      <c r="H2867" s="48"/>
      <c r="I2867" s="48"/>
      <c r="J2867" s="86"/>
      <c r="K2867" s="86"/>
      <c r="L2867" s="86"/>
      <c r="M2867" s="86"/>
      <c r="N2867" s="86"/>
      <c r="O2867" s="86"/>
      <c r="P2867" s="86"/>
      <c r="Q2867" s="86"/>
      <c r="R2867" s="86"/>
      <c r="S2867" s="86"/>
      <c r="T2867" s="86"/>
      <c r="U2867" s="86"/>
      <c r="V2867" s="48"/>
      <c r="W2867" s="48"/>
      <c r="X2867" s="48"/>
      <c r="Y2867" s="48"/>
      <c r="Z2867" s="48"/>
      <c r="AA2867" s="48"/>
      <c r="AB2867" s="48"/>
      <c r="AC2867" s="48"/>
      <c r="AD2867" s="48"/>
      <c r="AE2867" s="48"/>
      <c r="AF2867" s="48"/>
      <c r="AG2867" s="48"/>
      <c r="AH2867" s="48"/>
      <c r="AI2867" s="48"/>
      <c r="AJ2867" s="48"/>
      <c r="AK2867" s="48"/>
      <c r="AL2867" s="48"/>
      <c r="AM2867" s="48"/>
      <c r="AN2867" s="48"/>
      <c r="AO2867" s="48"/>
      <c r="AP2867" s="48"/>
      <c r="AQ2867" s="48"/>
      <c r="AR2867" s="48"/>
      <c r="AS2867" s="48"/>
      <c r="AT2867" s="48"/>
      <c r="AU2867" s="48"/>
      <c r="AV2867" s="48"/>
      <c r="AW2867" s="48"/>
      <c r="AX2867" s="48"/>
      <c r="AY2867" s="48"/>
      <c r="AZ2867" s="48"/>
      <c r="BA2867" s="48"/>
      <c r="BB2867" s="48"/>
      <c r="BC2867" s="48"/>
      <c r="BD2867" s="48"/>
    </row>
    <row r="2868" spans="1:56">
      <c r="A2868" s="48"/>
      <c r="B2868" s="48"/>
      <c r="C2868" s="49"/>
      <c r="D2868" s="48"/>
      <c r="E2868" s="48"/>
      <c r="F2868" s="48"/>
      <c r="G2868" s="48"/>
      <c r="H2868" s="48"/>
      <c r="I2868" s="48"/>
      <c r="J2868" s="86"/>
      <c r="K2868" s="86"/>
      <c r="L2868" s="86"/>
      <c r="M2868" s="86"/>
      <c r="N2868" s="86"/>
      <c r="O2868" s="86"/>
      <c r="P2868" s="86"/>
      <c r="Q2868" s="86"/>
      <c r="R2868" s="86"/>
      <c r="S2868" s="86"/>
      <c r="T2868" s="86"/>
      <c r="U2868" s="86"/>
      <c r="V2868" s="48"/>
      <c r="W2868" s="48"/>
      <c r="X2868" s="48"/>
      <c r="Y2868" s="48"/>
      <c r="Z2868" s="48"/>
      <c r="AA2868" s="48"/>
      <c r="AB2868" s="48"/>
      <c r="AC2868" s="48"/>
      <c r="AD2868" s="48"/>
      <c r="AE2868" s="48"/>
      <c r="AF2868" s="48"/>
      <c r="AG2868" s="48"/>
      <c r="AH2868" s="48"/>
      <c r="AI2868" s="48"/>
      <c r="AJ2868" s="48"/>
      <c r="AK2868" s="48"/>
      <c r="AL2868" s="48"/>
      <c r="AM2868" s="48"/>
      <c r="AN2868" s="48"/>
      <c r="AO2868" s="48"/>
      <c r="AP2868" s="48"/>
      <c r="AQ2868" s="48"/>
      <c r="AR2868" s="48"/>
      <c r="AS2868" s="48"/>
      <c r="AT2868" s="48"/>
      <c r="AU2868" s="48"/>
      <c r="AV2868" s="48"/>
      <c r="AW2868" s="48"/>
      <c r="AX2868" s="48"/>
      <c r="AY2868" s="48"/>
      <c r="AZ2868" s="48"/>
      <c r="BA2868" s="48"/>
      <c r="BB2868" s="48"/>
      <c r="BC2868" s="48"/>
      <c r="BD2868" s="48"/>
    </row>
    <row r="2869" spans="1:56">
      <c r="A2869" s="48"/>
      <c r="B2869" s="48"/>
      <c r="C2869" s="49"/>
      <c r="D2869" s="48"/>
      <c r="E2869" s="48"/>
      <c r="F2869" s="48"/>
      <c r="G2869" s="48"/>
      <c r="H2869" s="48"/>
      <c r="I2869" s="48"/>
      <c r="J2869" s="86"/>
      <c r="K2869" s="86"/>
      <c r="L2869" s="86"/>
      <c r="M2869" s="86"/>
      <c r="N2869" s="86"/>
      <c r="O2869" s="86"/>
      <c r="P2869" s="86"/>
      <c r="Q2869" s="86"/>
      <c r="R2869" s="86"/>
      <c r="S2869" s="86"/>
      <c r="T2869" s="86"/>
      <c r="U2869" s="86"/>
      <c r="V2869" s="48"/>
      <c r="W2869" s="48"/>
      <c r="X2869" s="48"/>
      <c r="Y2869" s="48"/>
      <c r="Z2869" s="48"/>
      <c r="AA2869" s="48"/>
      <c r="AB2869" s="48"/>
      <c r="AC2869" s="48"/>
      <c r="AD2869" s="48"/>
      <c r="AE2869" s="48"/>
      <c r="AF2869" s="48"/>
      <c r="AG2869" s="48"/>
      <c r="AH2869" s="48"/>
      <c r="AI2869" s="48"/>
      <c r="AJ2869" s="48"/>
      <c r="AK2869" s="48"/>
      <c r="AL2869" s="48"/>
      <c r="AM2869" s="48"/>
      <c r="AN2869" s="48"/>
      <c r="AO2869" s="48"/>
      <c r="AP2869" s="48"/>
      <c r="AQ2869" s="48"/>
      <c r="AR2869" s="48"/>
      <c r="AS2869" s="48"/>
      <c r="AT2869" s="48"/>
      <c r="AU2869" s="48"/>
      <c r="AV2869" s="48"/>
      <c r="AW2869" s="48"/>
      <c r="AX2869" s="48"/>
      <c r="AY2869" s="48"/>
      <c r="AZ2869" s="48"/>
      <c r="BA2869" s="48"/>
      <c r="BB2869" s="48"/>
      <c r="BC2869" s="48"/>
      <c r="BD2869" s="48"/>
    </row>
    <row r="2870" spans="1:56">
      <c r="A2870" s="48"/>
      <c r="B2870" s="48"/>
      <c r="C2870" s="49"/>
      <c r="D2870" s="48"/>
      <c r="E2870" s="48"/>
      <c r="F2870" s="48"/>
      <c r="G2870" s="48"/>
      <c r="H2870" s="48"/>
      <c r="I2870" s="48"/>
      <c r="J2870" s="86"/>
      <c r="K2870" s="86"/>
      <c r="L2870" s="86"/>
      <c r="M2870" s="86"/>
      <c r="N2870" s="86"/>
      <c r="O2870" s="86"/>
      <c r="P2870" s="86"/>
      <c r="Q2870" s="86"/>
      <c r="R2870" s="86"/>
      <c r="S2870" s="86"/>
      <c r="T2870" s="86"/>
      <c r="U2870" s="86"/>
      <c r="V2870" s="48"/>
      <c r="W2870" s="48"/>
      <c r="X2870" s="48"/>
      <c r="Y2870" s="48"/>
      <c r="Z2870" s="48"/>
      <c r="AA2870" s="48"/>
      <c r="AB2870" s="48"/>
      <c r="AC2870" s="48"/>
      <c r="AD2870" s="48"/>
      <c r="AE2870" s="48"/>
      <c r="AF2870" s="48"/>
      <c r="AG2870" s="48"/>
      <c r="AH2870" s="48"/>
      <c r="AI2870" s="48"/>
      <c r="AJ2870" s="48"/>
      <c r="AK2870" s="48"/>
      <c r="AL2870" s="48"/>
      <c r="AM2870" s="48"/>
      <c r="AN2870" s="48"/>
      <c r="AO2870" s="48"/>
      <c r="AP2870" s="48"/>
      <c r="AQ2870" s="48"/>
      <c r="AR2870" s="48"/>
      <c r="AS2870" s="48"/>
      <c r="AT2870" s="48"/>
      <c r="AU2870" s="48"/>
      <c r="AV2870" s="48"/>
      <c r="AW2870" s="48"/>
      <c r="AX2870" s="48"/>
      <c r="AY2870" s="48"/>
      <c r="AZ2870" s="48"/>
      <c r="BA2870" s="48"/>
      <c r="BB2870" s="48"/>
      <c r="BC2870" s="48"/>
      <c r="BD2870" s="48"/>
    </row>
    <row r="2871" spans="1:56">
      <c r="A2871" s="48"/>
      <c r="B2871" s="48"/>
      <c r="C2871" s="49"/>
      <c r="D2871" s="48"/>
      <c r="E2871" s="48"/>
      <c r="F2871" s="48"/>
      <c r="G2871" s="48"/>
      <c r="H2871" s="48"/>
      <c r="I2871" s="48"/>
      <c r="J2871" s="86"/>
      <c r="K2871" s="86"/>
      <c r="L2871" s="86"/>
      <c r="M2871" s="86"/>
      <c r="N2871" s="86"/>
      <c r="O2871" s="86"/>
      <c r="P2871" s="86"/>
      <c r="Q2871" s="86"/>
      <c r="R2871" s="86"/>
      <c r="S2871" s="86"/>
      <c r="T2871" s="86"/>
      <c r="U2871" s="86"/>
      <c r="V2871" s="48"/>
      <c r="W2871" s="48"/>
      <c r="X2871" s="48"/>
      <c r="Y2871" s="48"/>
      <c r="Z2871" s="48"/>
      <c r="AA2871" s="48"/>
      <c r="AB2871" s="48"/>
      <c r="AC2871" s="48"/>
      <c r="AD2871" s="48"/>
      <c r="AE2871" s="48"/>
      <c r="AF2871" s="48"/>
      <c r="AG2871" s="48"/>
      <c r="AH2871" s="48"/>
      <c r="AI2871" s="48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48"/>
      <c r="BB2871" s="48"/>
      <c r="BC2871" s="48"/>
      <c r="BD2871" s="48"/>
    </row>
    <row r="2872" spans="1:56">
      <c r="A2872" s="48"/>
      <c r="B2872" s="48"/>
      <c r="C2872" s="49"/>
      <c r="D2872" s="48"/>
      <c r="E2872" s="48"/>
      <c r="F2872" s="48"/>
      <c r="G2872" s="48"/>
      <c r="H2872" s="48"/>
      <c r="I2872" s="48"/>
      <c r="J2872" s="86"/>
      <c r="K2872" s="86"/>
      <c r="L2872" s="86"/>
      <c r="M2872" s="86"/>
      <c r="N2872" s="86"/>
      <c r="O2872" s="86"/>
      <c r="P2872" s="86"/>
      <c r="Q2872" s="86"/>
      <c r="R2872" s="86"/>
      <c r="S2872" s="86"/>
      <c r="T2872" s="86"/>
      <c r="U2872" s="86"/>
      <c r="V2872" s="48"/>
      <c r="W2872" s="48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48"/>
      <c r="AS2872" s="48"/>
      <c r="AT2872" s="48"/>
      <c r="AU2872" s="48"/>
      <c r="AV2872" s="48"/>
      <c r="AW2872" s="48"/>
      <c r="AX2872" s="48"/>
      <c r="AY2872" s="48"/>
      <c r="AZ2872" s="48"/>
      <c r="BA2872" s="48"/>
      <c r="BB2872" s="48"/>
      <c r="BC2872" s="48"/>
      <c r="BD2872" s="48"/>
    </row>
    <row r="2873" spans="1:56">
      <c r="A2873" s="48"/>
      <c r="B2873" s="48"/>
      <c r="C2873" s="49"/>
      <c r="D2873" s="48"/>
      <c r="E2873" s="48"/>
      <c r="F2873" s="48"/>
      <c r="G2873" s="48"/>
      <c r="H2873" s="48"/>
      <c r="I2873" s="48"/>
      <c r="J2873" s="86"/>
      <c r="K2873" s="86"/>
      <c r="L2873" s="86"/>
      <c r="M2873" s="86"/>
      <c r="N2873" s="86"/>
      <c r="O2873" s="86"/>
      <c r="P2873" s="86"/>
      <c r="Q2873" s="86"/>
      <c r="R2873" s="86"/>
      <c r="S2873" s="86"/>
      <c r="T2873" s="86"/>
      <c r="U2873" s="86"/>
      <c r="V2873" s="48"/>
      <c r="W2873" s="48"/>
      <c r="X2873" s="48"/>
      <c r="Y2873" s="48"/>
      <c r="Z2873" s="48"/>
      <c r="AA2873" s="48"/>
      <c r="AB2873" s="48"/>
      <c r="AC2873" s="48"/>
      <c r="AD2873" s="48"/>
      <c r="AE2873" s="48"/>
      <c r="AF2873" s="48"/>
      <c r="AG2873" s="48"/>
      <c r="AH2873" s="48"/>
      <c r="AI2873" s="48"/>
      <c r="AJ2873" s="48"/>
      <c r="AK2873" s="48"/>
      <c r="AL2873" s="48"/>
      <c r="AM2873" s="48"/>
      <c r="AN2873" s="48"/>
      <c r="AO2873" s="48"/>
      <c r="AP2873" s="48"/>
      <c r="AQ2873" s="48"/>
      <c r="AR2873" s="48"/>
      <c r="AS2873" s="48"/>
      <c r="AT2873" s="48"/>
      <c r="AU2873" s="48"/>
      <c r="AV2873" s="48"/>
      <c r="AW2873" s="48"/>
      <c r="AX2873" s="48"/>
      <c r="AY2873" s="48"/>
      <c r="AZ2873" s="48"/>
      <c r="BA2873" s="48"/>
      <c r="BB2873" s="48"/>
      <c r="BC2873" s="48"/>
      <c r="BD2873" s="48"/>
    </row>
    <row r="2874" spans="1:56">
      <c r="A2874" s="48"/>
      <c r="B2874" s="48"/>
      <c r="C2874" s="49"/>
      <c r="D2874" s="48"/>
      <c r="E2874" s="48"/>
      <c r="F2874" s="48"/>
      <c r="G2874" s="48"/>
      <c r="H2874" s="48"/>
      <c r="I2874" s="48"/>
      <c r="J2874" s="86"/>
      <c r="K2874" s="86"/>
      <c r="L2874" s="86"/>
      <c r="M2874" s="86"/>
      <c r="N2874" s="86"/>
      <c r="O2874" s="86"/>
      <c r="P2874" s="86"/>
      <c r="Q2874" s="86"/>
      <c r="R2874" s="86"/>
      <c r="S2874" s="86"/>
      <c r="T2874" s="86"/>
      <c r="U2874" s="86"/>
      <c r="V2874" s="48"/>
      <c r="W2874" s="48"/>
      <c r="X2874" s="48"/>
      <c r="Y2874" s="48"/>
      <c r="Z2874" s="48"/>
      <c r="AA2874" s="48"/>
      <c r="AB2874" s="48"/>
      <c r="AC2874" s="48"/>
      <c r="AD2874" s="48"/>
      <c r="AE2874" s="48"/>
      <c r="AF2874" s="48"/>
      <c r="AG2874" s="48"/>
      <c r="AH2874" s="48"/>
      <c r="AI2874" s="48"/>
      <c r="AJ2874" s="48"/>
      <c r="AK2874" s="48"/>
      <c r="AL2874" s="48"/>
      <c r="AM2874" s="48"/>
      <c r="AN2874" s="48"/>
      <c r="AO2874" s="48"/>
      <c r="AP2874" s="48"/>
      <c r="AQ2874" s="48"/>
      <c r="AR2874" s="48"/>
      <c r="AS2874" s="48"/>
      <c r="AT2874" s="48"/>
      <c r="AU2874" s="48"/>
      <c r="AV2874" s="48"/>
      <c r="AW2874" s="48"/>
      <c r="AX2874" s="48"/>
      <c r="AY2874" s="48"/>
      <c r="AZ2874" s="48"/>
      <c r="BA2874" s="48"/>
      <c r="BB2874" s="48"/>
      <c r="BC2874" s="48"/>
      <c r="BD2874" s="48"/>
    </row>
    <row r="2875" spans="1:56">
      <c r="A2875" s="48"/>
      <c r="B2875" s="48"/>
      <c r="C2875" s="49"/>
      <c r="D2875" s="48"/>
      <c r="E2875" s="48"/>
      <c r="F2875" s="48"/>
      <c r="G2875" s="48"/>
      <c r="H2875" s="48"/>
      <c r="I2875" s="48"/>
      <c r="J2875" s="86"/>
      <c r="K2875" s="86"/>
      <c r="L2875" s="86"/>
      <c r="M2875" s="86"/>
      <c r="N2875" s="86"/>
      <c r="O2875" s="86"/>
      <c r="P2875" s="86"/>
      <c r="Q2875" s="86"/>
      <c r="R2875" s="86"/>
      <c r="S2875" s="86"/>
      <c r="T2875" s="86"/>
      <c r="U2875" s="86"/>
      <c r="V2875" s="48"/>
      <c r="W2875" s="48"/>
      <c r="X2875" s="48"/>
      <c r="Y2875" s="48"/>
      <c r="Z2875" s="48"/>
      <c r="AA2875" s="48"/>
      <c r="AB2875" s="48"/>
      <c r="AC2875" s="48"/>
      <c r="AD2875" s="48"/>
      <c r="AE2875" s="48"/>
      <c r="AF2875" s="48"/>
      <c r="AG2875" s="48"/>
      <c r="AH2875" s="48"/>
      <c r="AI2875" s="48"/>
      <c r="AJ2875" s="48"/>
      <c r="AK2875" s="48"/>
      <c r="AL2875" s="48"/>
      <c r="AM2875" s="48"/>
      <c r="AN2875" s="48"/>
      <c r="AO2875" s="48"/>
      <c r="AP2875" s="48"/>
      <c r="AQ2875" s="48"/>
      <c r="AR2875" s="48"/>
      <c r="AS2875" s="48"/>
      <c r="AT2875" s="48"/>
      <c r="AU2875" s="48"/>
      <c r="AV2875" s="48"/>
      <c r="AW2875" s="48"/>
      <c r="AX2875" s="48"/>
      <c r="AY2875" s="48"/>
      <c r="AZ2875" s="48"/>
      <c r="BA2875" s="48"/>
      <c r="BB2875" s="48"/>
      <c r="BC2875" s="48"/>
      <c r="BD2875" s="48"/>
    </row>
    <row r="2876" spans="1:56">
      <c r="A2876" s="48"/>
      <c r="B2876" s="48"/>
      <c r="C2876" s="49"/>
      <c r="D2876" s="48"/>
      <c r="E2876" s="48"/>
      <c r="F2876" s="48"/>
      <c r="G2876" s="48"/>
      <c r="H2876" s="48"/>
      <c r="I2876" s="48"/>
      <c r="J2876" s="86"/>
      <c r="K2876" s="86"/>
      <c r="L2876" s="86"/>
      <c r="M2876" s="86"/>
      <c r="N2876" s="86"/>
      <c r="O2876" s="86"/>
      <c r="P2876" s="86"/>
      <c r="Q2876" s="86"/>
      <c r="R2876" s="86"/>
      <c r="S2876" s="86"/>
      <c r="T2876" s="86"/>
      <c r="U2876" s="86"/>
      <c r="V2876" s="48"/>
      <c r="W2876" s="48"/>
      <c r="X2876" s="48"/>
      <c r="Y2876" s="48"/>
      <c r="Z2876" s="48"/>
      <c r="AA2876" s="48"/>
      <c r="AB2876" s="48"/>
      <c r="AC2876" s="48"/>
      <c r="AD2876" s="48"/>
      <c r="AE2876" s="48"/>
      <c r="AF2876" s="48"/>
      <c r="AG2876" s="48"/>
      <c r="AH2876" s="48"/>
      <c r="AI2876" s="48"/>
      <c r="AJ2876" s="48"/>
      <c r="AK2876" s="48"/>
      <c r="AL2876" s="48"/>
      <c r="AM2876" s="48"/>
      <c r="AN2876" s="48"/>
      <c r="AO2876" s="48"/>
      <c r="AP2876" s="48"/>
      <c r="AQ2876" s="48"/>
      <c r="AR2876" s="48"/>
      <c r="AS2876" s="48"/>
      <c r="AT2876" s="48"/>
      <c r="AU2876" s="48"/>
      <c r="AV2876" s="48"/>
      <c r="AW2876" s="48"/>
      <c r="AX2876" s="48"/>
      <c r="AY2876" s="48"/>
      <c r="AZ2876" s="48"/>
      <c r="BA2876" s="48"/>
      <c r="BB2876" s="48"/>
      <c r="BC2876" s="48"/>
      <c r="BD2876" s="48"/>
    </row>
    <row r="2877" spans="1:56">
      <c r="A2877" s="48"/>
      <c r="B2877" s="48"/>
      <c r="C2877" s="49"/>
      <c r="D2877" s="48"/>
      <c r="E2877" s="48"/>
      <c r="F2877" s="48"/>
      <c r="G2877" s="48"/>
      <c r="H2877" s="48"/>
      <c r="I2877" s="48"/>
      <c r="J2877" s="86"/>
      <c r="K2877" s="86"/>
      <c r="L2877" s="86"/>
      <c r="M2877" s="86"/>
      <c r="N2877" s="86"/>
      <c r="O2877" s="86"/>
      <c r="P2877" s="86"/>
      <c r="Q2877" s="86"/>
      <c r="R2877" s="86"/>
      <c r="S2877" s="86"/>
      <c r="T2877" s="86"/>
      <c r="U2877" s="86"/>
      <c r="V2877" s="48"/>
      <c r="W2877" s="48"/>
      <c r="X2877" s="48"/>
      <c r="Y2877" s="48"/>
      <c r="Z2877" s="48"/>
      <c r="AA2877" s="48"/>
      <c r="AB2877" s="48"/>
      <c r="AC2877" s="48"/>
      <c r="AD2877" s="48"/>
      <c r="AE2877" s="48"/>
      <c r="AF2877" s="48"/>
      <c r="AG2877" s="48"/>
      <c r="AH2877" s="48"/>
      <c r="AI2877" s="48"/>
      <c r="AJ2877" s="48"/>
      <c r="AK2877" s="48"/>
      <c r="AL2877" s="48"/>
      <c r="AM2877" s="48"/>
      <c r="AN2877" s="48"/>
      <c r="AO2877" s="48"/>
      <c r="AP2877" s="48"/>
      <c r="AQ2877" s="48"/>
      <c r="AR2877" s="48"/>
      <c r="AS2877" s="48"/>
      <c r="AT2877" s="48"/>
      <c r="AU2877" s="48"/>
      <c r="AV2877" s="48"/>
      <c r="AW2877" s="48"/>
      <c r="AX2877" s="48"/>
      <c r="AY2877" s="48"/>
      <c r="AZ2877" s="48"/>
      <c r="BA2877" s="48"/>
      <c r="BB2877" s="48"/>
      <c r="BC2877" s="48"/>
      <c r="BD2877" s="48"/>
    </row>
    <row r="2878" spans="1:56">
      <c r="A2878" s="48"/>
      <c r="B2878" s="48"/>
      <c r="C2878" s="49"/>
      <c r="D2878" s="48"/>
      <c r="E2878" s="48"/>
      <c r="F2878" s="48"/>
      <c r="G2878" s="48"/>
      <c r="H2878" s="48"/>
      <c r="I2878" s="48"/>
      <c r="J2878" s="86"/>
      <c r="K2878" s="86"/>
      <c r="L2878" s="86"/>
      <c r="M2878" s="86"/>
      <c r="N2878" s="86"/>
      <c r="O2878" s="86"/>
      <c r="P2878" s="86"/>
      <c r="Q2878" s="86"/>
      <c r="R2878" s="86"/>
      <c r="S2878" s="86"/>
      <c r="T2878" s="86"/>
      <c r="U2878" s="86"/>
      <c r="V2878" s="48"/>
      <c r="W2878" s="48"/>
      <c r="X2878" s="48"/>
      <c r="Y2878" s="48"/>
      <c r="Z2878" s="48"/>
      <c r="AA2878" s="48"/>
      <c r="AB2878" s="48"/>
      <c r="AC2878" s="48"/>
      <c r="AD2878" s="48"/>
      <c r="AE2878" s="48"/>
      <c r="AF2878" s="48"/>
      <c r="AG2878" s="48"/>
      <c r="AH2878" s="48"/>
      <c r="AI2878" s="48"/>
      <c r="AJ2878" s="48"/>
      <c r="AK2878" s="48"/>
      <c r="AL2878" s="48"/>
      <c r="AM2878" s="48"/>
      <c r="AN2878" s="48"/>
      <c r="AO2878" s="48"/>
      <c r="AP2878" s="48"/>
      <c r="AQ2878" s="48"/>
      <c r="AR2878" s="48"/>
      <c r="AS2878" s="48"/>
      <c r="AT2878" s="48"/>
      <c r="AU2878" s="48"/>
      <c r="AV2878" s="48"/>
      <c r="AW2878" s="48"/>
      <c r="AX2878" s="48"/>
      <c r="AY2878" s="48"/>
      <c r="AZ2878" s="48"/>
      <c r="BA2878" s="48"/>
      <c r="BB2878" s="48"/>
      <c r="BC2878" s="48"/>
      <c r="BD2878" s="48"/>
    </row>
    <row r="2879" spans="1:56">
      <c r="A2879" s="48"/>
      <c r="B2879" s="48"/>
      <c r="C2879" s="49"/>
      <c r="D2879" s="48"/>
      <c r="E2879" s="48"/>
      <c r="F2879" s="48"/>
      <c r="G2879" s="48"/>
      <c r="H2879" s="48"/>
      <c r="I2879" s="48"/>
      <c r="J2879" s="86"/>
      <c r="K2879" s="86"/>
      <c r="L2879" s="86"/>
      <c r="M2879" s="86"/>
      <c r="N2879" s="86"/>
      <c r="O2879" s="86"/>
      <c r="P2879" s="86"/>
      <c r="Q2879" s="86"/>
      <c r="R2879" s="86"/>
      <c r="S2879" s="86"/>
      <c r="T2879" s="86"/>
      <c r="U2879" s="86"/>
      <c r="V2879" s="48"/>
      <c r="W2879" s="48"/>
      <c r="X2879" s="48"/>
      <c r="Y2879" s="48"/>
      <c r="Z2879" s="48"/>
      <c r="AA2879" s="48"/>
      <c r="AB2879" s="48"/>
      <c r="AC2879" s="48"/>
      <c r="AD2879" s="48"/>
      <c r="AE2879" s="48"/>
      <c r="AF2879" s="48"/>
      <c r="AG2879" s="48"/>
      <c r="AH2879" s="48"/>
      <c r="AI2879" s="48"/>
      <c r="AJ2879" s="48"/>
      <c r="AK2879" s="48"/>
      <c r="AL2879" s="48"/>
      <c r="AM2879" s="48"/>
      <c r="AN2879" s="48"/>
      <c r="AO2879" s="48"/>
      <c r="AP2879" s="48"/>
      <c r="AQ2879" s="48"/>
      <c r="AR2879" s="48"/>
      <c r="AS2879" s="48"/>
      <c r="AT2879" s="48"/>
      <c r="AU2879" s="48"/>
      <c r="AV2879" s="48"/>
      <c r="AW2879" s="48"/>
      <c r="AX2879" s="48"/>
      <c r="AY2879" s="48"/>
      <c r="AZ2879" s="48"/>
      <c r="BA2879" s="48"/>
      <c r="BB2879" s="48"/>
      <c r="BC2879" s="48"/>
      <c r="BD2879" s="48"/>
    </row>
    <row r="2880" spans="1:56">
      <c r="A2880" s="48"/>
      <c r="B2880" s="48"/>
      <c r="C2880" s="49"/>
      <c r="D2880" s="48"/>
      <c r="E2880" s="48"/>
      <c r="F2880" s="48"/>
      <c r="G2880" s="48"/>
      <c r="H2880" s="48"/>
      <c r="I2880" s="48"/>
      <c r="J2880" s="86"/>
      <c r="K2880" s="86"/>
      <c r="L2880" s="86"/>
      <c r="M2880" s="86"/>
      <c r="N2880" s="86"/>
      <c r="O2880" s="86"/>
      <c r="P2880" s="86"/>
      <c r="Q2880" s="86"/>
      <c r="R2880" s="86"/>
      <c r="S2880" s="86"/>
      <c r="T2880" s="86"/>
      <c r="U2880" s="86"/>
      <c r="V2880" s="48"/>
      <c r="W2880" s="48"/>
      <c r="X2880" s="48"/>
      <c r="Y2880" s="48"/>
      <c r="Z2880" s="48"/>
      <c r="AA2880" s="48"/>
      <c r="AB2880" s="48"/>
      <c r="AC2880" s="48"/>
      <c r="AD2880" s="48"/>
      <c r="AE2880" s="48"/>
      <c r="AF2880" s="48"/>
      <c r="AG2880" s="48"/>
      <c r="AH2880" s="48"/>
      <c r="AI2880" s="48"/>
      <c r="AJ2880" s="48"/>
      <c r="AK2880" s="48"/>
      <c r="AL2880" s="48"/>
      <c r="AM2880" s="48"/>
      <c r="AN2880" s="48"/>
      <c r="AO2880" s="48"/>
      <c r="AP2880" s="48"/>
      <c r="AQ2880" s="48"/>
      <c r="AR2880" s="48"/>
      <c r="AS2880" s="48"/>
      <c r="AT2880" s="48"/>
      <c r="AU2880" s="48"/>
      <c r="AV2880" s="48"/>
      <c r="AW2880" s="48"/>
      <c r="AX2880" s="48"/>
      <c r="AY2880" s="48"/>
      <c r="AZ2880" s="48"/>
      <c r="BA2880" s="48"/>
      <c r="BB2880" s="48"/>
      <c r="BC2880" s="48"/>
      <c r="BD2880" s="48"/>
    </row>
    <row r="2881" spans="1:56">
      <c r="A2881" s="48"/>
      <c r="B2881" s="48"/>
      <c r="C2881" s="49"/>
      <c r="D2881" s="48"/>
      <c r="E2881" s="48"/>
      <c r="F2881" s="48"/>
      <c r="G2881" s="48"/>
      <c r="H2881" s="48"/>
      <c r="I2881" s="48"/>
      <c r="J2881" s="86"/>
      <c r="K2881" s="86"/>
      <c r="L2881" s="86"/>
      <c r="M2881" s="86"/>
      <c r="N2881" s="86"/>
      <c r="O2881" s="86"/>
      <c r="P2881" s="86"/>
      <c r="Q2881" s="86"/>
      <c r="R2881" s="86"/>
      <c r="S2881" s="86"/>
      <c r="T2881" s="86"/>
      <c r="U2881" s="86"/>
      <c r="V2881" s="48"/>
      <c r="W2881" s="48"/>
      <c r="X2881" s="48"/>
      <c r="Y2881" s="48"/>
      <c r="Z2881" s="48"/>
      <c r="AA2881" s="48"/>
      <c r="AB2881" s="48"/>
      <c r="AC2881" s="48"/>
      <c r="AD2881" s="48"/>
      <c r="AE2881" s="48"/>
      <c r="AF2881" s="48"/>
      <c r="AG2881" s="48"/>
      <c r="AH2881" s="48"/>
      <c r="AI2881" s="48"/>
      <c r="AJ2881" s="48"/>
      <c r="AK2881" s="48"/>
      <c r="AL2881" s="48"/>
      <c r="AM2881" s="48"/>
      <c r="AN2881" s="48"/>
      <c r="AO2881" s="48"/>
      <c r="AP2881" s="48"/>
      <c r="AQ2881" s="48"/>
      <c r="AR2881" s="48"/>
      <c r="AS2881" s="48"/>
      <c r="AT2881" s="48"/>
      <c r="AU2881" s="48"/>
      <c r="AV2881" s="48"/>
      <c r="AW2881" s="48"/>
      <c r="AX2881" s="48"/>
      <c r="AY2881" s="48"/>
      <c r="AZ2881" s="48"/>
      <c r="BA2881" s="48"/>
      <c r="BB2881" s="48"/>
      <c r="BC2881" s="48"/>
      <c r="BD2881" s="48"/>
    </row>
    <row r="2882" spans="1:56">
      <c r="A2882" s="48"/>
      <c r="B2882" s="48"/>
      <c r="C2882" s="49"/>
      <c r="D2882" s="48"/>
      <c r="E2882" s="48"/>
      <c r="F2882" s="48"/>
      <c r="G2882" s="48"/>
      <c r="H2882" s="48"/>
      <c r="I2882" s="48"/>
      <c r="J2882" s="86"/>
      <c r="K2882" s="86"/>
      <c r="L2882" s="86"/>
      <c r="M2882" s="86"/>
      <c r="N2882" s="86"/>
      <c r="O2882" s="86"/>
      <c r="P2882" s="86"/>
      <c r="Q2882" s="86"/>
      <c r="R2882" s="86"/>
      <c r="S2882" s="86"/>
      <c r="T2882" s="86"/>
      <c r="U2882" s="86"/>
      <c r="V2882" s="48"/>
      <c r="W2882" s="48"/>
      <c r="X2882" s="48"/>
      <c r="Y2882" s="48"/>
      <c r="Z2882" s="48"/>
      <c r="AA2882" s="48"/>
      <c r="AB2882" s="48"/>
      <c r="AC2882" s="48"/>
      <c r="AD2882" s="48"/>
      <c r="AE2882" s="48"/>
      <c r="AF2882" s="48"/>
      <c r="AG2882" s="48"/>
      <c r="AH2882" s="48"/>
      <c r="AI2882" s="48"/>
      <c r="AJ2882" s="48"/>
      <c r="AK2882" s="48"/>
      <c r="AL2882" s="48"/>
      <c r="AM2882" s="48"/>
      <c r="AN2882" s="48"/>
      <c r="AO2882" s="48"/>
      <c r="AP2882" s="48"/>
      <c r="AQ2882" s="48"/>
      <c r="AR2882" s="48"/>
      <c r="AS2882" s="48"/>
      <c r="AT2882" s="48"/>
      <c r="AU2882" s="48"/>
      <c r="AV2882" s="48"/>
      <c r="AW2882" s="48"/>
      <c r="AX2882" s="48"/>
      <c r="AY2882" s="48"/>
      <c r="AZ2882" s="48"/>
      <c r="BA2882" s="48"/>
      <c r="BB2882" s="48"/>
      <c r="BC2882" s="48"/>
      <c r="BD2882" s="48"/>
    </row>
    <row r="2883" spans="1:56">
      <c r="A2883" s="48"/>
      <c r="B2883" s="48"/>
      <c r="C2883" s="49"/>
      <c r="D2883" s="48"/>
      <c r="E2883" s="48"/>
      <c r="F2883" s="48"/>
      <c r="G2883" s="48"/>
      <c r="H2883" s="48"/>
      <c r="I2883" s="48"/>
      <c r="J2883" s="86"/>
      <c r="K2883" s="86"/>
      <c r="L2883" s="86"/>
      <c r="M2883" s="86"/>
      <c r="N2883" s="86"/>
      <c r="O2883" s="86"/>
      <c r="P2883" s="86"/>
      <c r="Q2883" s="86"/>
      <c r="R2883" s="86"/>
      <c r="S2883" s="86"/>
      <c r="T2883" s="86"/>
      <c r="U2883" s="86"/>
      <c r="V2883" s="48"/>
      <c r="W2883" s="48"/>
      <c r="X2883" s="48"/>
      <c r="Y2883" s="48"/>
      <c r="Z2883" s="48"/>
      <c r="AA2883" s="48"/>
      <c r="AB2883" s="48"/>
      <c r="AC2883" s="48"/>
      <c r="AD2883" s="48"/>
      <c r="AE2883" s="48"/>
      <c r="AF2883" s="48"/>
      <c r="AG2883" s="48"/>
      <c r="AH2883" s="48"/>
      <c r="AI2883" s="48"/>
      <c r="AJ2883" s="48"/>
      <c r="AK2883" s="48"/>
      <c r="AL2883" s="48"/>
      <c r="AM2883" s="48"/>
      <c r="AN2883" s="48"/>
      <c r="AO2883" s="48"/>
      <c r="AP2883" s="48"/>
      <c r="AQ2883" s="48"/>
      <c r="AR2883" s="48"/>
      <c r="AS2883" s="48"/>
      <c r="AT2883" s="48"/>
      <c r="AU2883" s="48"/>
      <c r="AV2883" s="48"/>
      <c r="AW2883" s="48"/>
      <c r="AX2883" s="48"/>
      <c r="AY2883" s="48"/>
      <c r="AZ2883" s="48"/>
      <c r="BA2883" s="48"/>
      <c r="BB2883" s="48"/>
      <c r="BC2883" s="48"/>
      <c r="BD2883" s="48"/>
    </row>
    <row r="2884" spans="1:56">
      <c r="A2884" s="48"/>
      <c r="B2884" s="48"/>
      <c r="C2884" s="49"/>
      <c r="D2884" s="48"/>
      <c r="E2884" s="48"/>
      <c r="F2884" s="48"/>
      <c r="G2884" s="48"/>
      <c r="H2884" s="48"/>
      <c r="I2884" s="48"/>
      <c r="J2884" s="86"/>
      <c r="K2884" s="86"/>
      <c r="L2884" s="86"/>
      <c r="M2884" s="86"/>
      <c r="N2884" s="86"/>
      <c r="O2884" s="86"/>
      <c r="P2884" s="86"/>
      <c r="Q2884" s="86"/>
      <c r="R2884" s="86"/>
      <c r="S2884" s="86"/>
      <c r="T2884" s="86"/>
      <c r="U2884" s="86"/>
      <c r="V2884" s="48"/>
      <c r="W2884" s="48"/>
      <c r="X2884" s="48"/>
      <c r="Y2884" s="48"/>
      <c r="Z2884" s="48"/>
      <c r="AA2884" s="48"/>
      <c r="AB2884" s="48"/>
      <c r="AC2884" s="48"/>
      <c r="AD2884" s="48"/>
      <c r="AE2884" s="48"/>
      <c r="AF2884" s="48"/>
      <c r="AG2884" s="48"/>
      <c r="AH2884" s="48"/>
      <c r="AI2884" s="48"/>
      <c r="AJ2884" s="48"/>
      <c r="AK2884" s="48"/>
      <c r="AL2884" s="48"/>
      <c r="AM2884" s="48"/>
      <c r="AN2884" s="48"/>
      <c r="AO2884" s="48"/>
      <c r="AP2884" s="48"/>
      <c r="AQ2884" s="48"/>
      <c r="AR2884" s="48"/>
      <c r="AS2884" s="48"/>
      <c r="AT2884" s="48"/>
      <c r="AU2884" s="48"/>
      <c r="AV2884" s="48"/>
      <c r="AW2884" s="48"/>
      <c r="AX2884" s="48"/>
      <c r="AY2884" s="48"/>
      <c r="AZ2884" s="48"/>
      <c r="BA2884" s="48"/>
      <c r="BB2884" s="48"/>
      <c r="BC2884" s="48"/>
      <c r="BD2884" s="48"/>
    </row>
    <row r="2885" spans="1:56">
      <c r="A2885" s="48"/>
      <c r="B2885" s="48"/>
      <c r="C2885" s="49"/>
      <c r="D2885" s="48"/>
      <c r="E2885" s="48"/>
      <c r="F2885" s="48"/>
      <c r="G2885" s="48"/>
      <c r="H2885" s="48"/>
      <c r="I2885" s="48"/>
      <c r="J2885" s="86"/>
      <c r="K2885" s="86"/>
      <c r="L2885" s="86"/>
      <c r="M2885" s="86"/>
      <c r="N2885" s="86"/>
      <c r="O2885" s="86"/>
      <c r="P2885" s="86"/>
      <c r="Q2885" s="86"/>
      <c r="R2885" s="86"/>
      <c r="S2885" s="86"/>
      <c r="T2885" s="86"/>
      <c r="U2885" s="86"/>
      <c r="V2885" s="48"/>
      <c r="W2885" s="48"/>
      <c r="X2885" s="48"/>
      <c r="Y2885" s="48"/>
      <c r="Z2885" s="48"/>
      <c r="AA2885" s="48"/>
      <c r="AB2885" s="48"/>
      <c r="AC2885" s="48"/>
      <c r="AD2885" s="48"/>
      <c r="AE2885" s="48"/>
      <c r="AF2885" s="48"/>
      <c r="AG2885" s="48"/>
      <c r="AH2885" s="48"/>
      <c r="AI2885" s="48"/>
      <c r="AJ2885" s="48"/>
      <c r="AK2885" s="48"/>
      <c r="AL2885" s="48"/>
      <c r="AM2885" s="48"/>
      <c r="AN2885" s="48"/>
      <c r="AO2885" s="48"/>
      <c r="AP2885" s="48"/>
      <c r="AQ2885" s="48"/>
      <c r="AR2885" s="48"/>
      <c r="AS2885" s="48"/>
      <c r="AT2885" s="48"/>
      <c r="AU2885" s="48"/>
      <c r="AV2885" s="48"/>
      <c r="AW2885" s="48"/>
      <c r="AX2885" s="48"/>
      <c r="AY2885" s="48"/>
      <c r="AZ2885" s="48"/>
      <c r="BA2885" s="48"/>
      <c r="BB2885" s="48"/>
      <c r="BC2885" s="48"/>
      <c r="BD2885" s="48"/>
    </row>
    <row r="2886" spans="1:56">
      <c r="A2886" s="48"/>
      <c r="B2886" s="48"/>
      <c r="C2886" s="49"/>
      <c r="D2886" s="48"/>
      <c r="E2886" s="48"/>
      <c r="F2886" s="48"/>
      <c r="G2886" s="48"/>
      <c r="H2886" s="48"/>
      <c r="I2886" s="48"/>
      <c r="J2886" s="86"/>
      <c r="K2886" s="86"/>
      <c r="L2886" s="86"/>
      <c r="M2886" s="86"/>
      <c r="N2886" s="86"/>
      <c r="O2886" s="86"/>
      <c r="P2886" s="86"/>
      <c r="Q2886" s="86"/>
      <c r="R2886" s="86"/>
      <c r="S2886" s="86"/>
      <c r="T2886" s="86"/>
      <c r="U2886" s="86"/>
      <c r="V2886" s="48"/>
      <c r="W2886" s="48"/>
      <c r="X2886" s="48"/>
      <c r="Y2886" s="48"/>
      <c r="Z2886" s="48"/>
      <c r="AA2886" s="48"/>
      <c r="AB2886" s="48"/>
      <c r="AC2886" s="48"/>
      <c r="AD2886" s="48"/>
      <c r="AE2886" s="48"/>
      <c r="AF2886" s="48"/>
      <c r="AG2886" s="48"/>
      <c r="AH2886" s="48"/>
      <c r="AI2886" s="48"/>
      <c r="AJ2886" s="48"/>
      <c r="AK2886" s="48"/>
      <c r="AL2886" s="48"/>
      <c r="AM2886" s="48"/>
      <c r="AN2886" s="48"/>
      <c r="AO2886" s="48"/>
      <c r="AP2886" s="48"/>
      <c r="AQ2886" s="48"/>
      <c r="AR2886" s="48"/>
      <c r="AS2886" s="48"/>
      <c r="AT2886" s="48"/>
      <c r="AU2886" s="48"/>
      <c r="AV2886" s="48"/>
      <c r="AW2886" s="48"/>
      <c r="AX2886" s="48"/>
      <c r="AY2886" s="48"/>
      <c r="AZ2886" s="48"/>
      <c r="BA2886" s="48"/>
      <c r="BB2886" s="48"/>
      <c r="BC2886" s="48"/>
      <c r="BD2886" s="48"/>
    </row>
    <row r="2887" spans="1:56">
      <c r="A2887" s="48"/>
      <c r="B2887" s="48"/>
      <c r="C2887" s="49"/>
      <c r="D2887" s="48"/>
      <c r="E2887" s="48"/>
      <c r="F2887" s="48"/>
      <c r="G2887" s="48"/>
      <c r="H2887" s="48"/>
      <c r="I2887" s="48"/>
      <c r="J2887" s="86"/>
      <c r="K2887" s="86"/>
      <c r="L2887" s="86"/>
      <c r="M2887" s="86"/>
      <c r="N2887" s="86"/>
      <c r="O2887" s="86"/>
      <c r="P2887" s="86"/>
      <c r="Q2887" s="86"/>
      <c r="R2887" s="86"/>
      <c r="S2887" s="86"/>
      <c r="T2887" s="86"/>
      <c r="U2887" s="86"/>
      <c r="V2887" s="48"/>
      <c r="W2887" s="48"/>
      <c r="X2887" s="48"/>
      <c r="Y2887" s="48"/>
      <c r="Z2887" s="48"/>
      <c r="AA2887" s="48"/>
      <c r="AB2887" s="48"/>
      <c r="AC2887" s="48"/>
      <c r="AD2887" s="48"/>
      <c r="AE2887" s="48"/>
      <c r="AF2887" s="48"/>
      <c r="AG2887" s="48"/>
      <c r="AH2887" s="48"/>
      <c r="AI2887" s="48"/>
      <c r="AJ2887" s="48"/>
      <c r="AK2887" s="48"/>
      <c r="AL2887" s="48"/>
      <c r="AM2887" s="48"/>
      <c r="AN2887" s="48"/>
      <c r="AO2887" s="48"/>
      <c r="AP2887" s="48"/>
      <c r="AQ2887" s="48"/>
      <c r="AR2887" s="48"/>
      <c r="AS2887" s="48"/>
      <c r="AT2887" s="48"/>
      <c r="AU2887" s="48"/>
      <c r="AV2887" s="48"/>
      <c r="AW2887" s="48"/>
      <c r="AX2887" s="48"/>
      <c r="AY2887" s="48"/>
      <c r="AZ2887" s="48"/>
      <c r="BA2887" s="48"/>
      <c r="BB2887" s="48"/>
      <c r="BC2887" s="48"/>
      <c r="BD2887" s="48"/>
    </row>
    <row r="2888" spans="1:56">
      <c r="A2888" s="48"/>
      <c r="B2888" s="48"/>
      <c r="C2888" s="49"/>
      <c r="D2888" s="48"/>
      <c r="E2888" s="48"/>
      <c r="F2888" s="48"/>
      <c r="G2888" s="48"/>
      <c r="H2888" s="48"/>
      <c r="I2888" s="48"/>
      <c r="J2888" s="86"/>
      <c r="K2888" s="86"/>
      <c r="L2888" s="86"/>
      <c r="M2888" s="86"/>
      <c r="N2888" s="86"/>
      <c r="O2888" s="86"/>
      <c r="P2888" s="86"/>
      <c r="Q2888" s="86"/>
      <c r="R2888" s="86"/>
      <c r="S2888" s="86"/>
      <c r="T2888" s="86"/>
      <c r="U2888" s="86"/>
      <c r="V2888" s="48"/>
      <c r="W2888" s="48"/>
      <c r="X2888" s="48"/>
      <c r="Y2888" s="48"/>
      <c r="Z2888" s="48"/>
      <c r="AA2888" s="48"/>
      <c r="AB2888" s="48"/>
      <c r="AC2888" s="48"/>
      <c r="AD2888" s="48"/>
      <c r="AE2888" s="48"/>
      <c r="AF2888" s="48"/>
      <c r="AG2888" s="48"/>
      <c r="AH2888" s="48"/>
      <c r="AI2888" s="48"/>
      <c r="AJ2888" s="48"/>
      <c r="AK2888" s="48"/>
      <c r="AL2888" s="48"/>
      <c r="AM2888" s="48"/>
      <c r="AN2888" s="48"/>
      <c r="AO2888" s="48"/>
      <c r="AP2888" s="48"/>
      <c r="AQ2888" s="48"/>
      <c r="AR2888" s="48"/>
      <c r="AS2888" s="48"/>
      <c r="AT2888" s="48"/>
      <c r="AU2888" s="48"/>
      <c r="AV2888" s="48"/>
      <c r="AW2888" s="48"/>
      <c r="AX2888" s="48"/>
      <c r="AY2888" s="48"/>
      <c r="AZ2888" s="48"/>
      <c r="BA2888" s="48"/>
      <c r="BB2888" s="48"/>
      <c r="BC2888" s="48"/>
      <c r="BD2888" s="48"/>
    </row>
    <row r="2889" spans="1:56">
      <c r="A2889" s="48"/>
      <c r="B2889" s="48"/>
      <c r="C2889" s="49"/>
      <c r="D2889" s="48"/>
      <c r="E2889" s="48"/>
      <c r="F2889" s="48"/>
      <c r="G2889" s="48"/>
      <c r="H2889" s="48"/>
      <c r="I2889" s="48"/>
      <c r="J2889" s="86"/>
      <c r="K2889" s="86"/>
      <c r="L2889" s="86"/>
      <c r="M2889" s="86"/>
      <c r="N2889" s="86"/>
      <c r="O2889" s="86"/>
      <c r="P2889" s="86"/>
      <c r="Q2889" s="86"/>
      <c r="R2889" s="86"/>
      <c r="S2889" s="86"/>
      <c r="T2889" s="86"/>
      <c r="U2889" s="86"/>
      <c r="V2889" s="48"/>
      <c r="W2889" s="48"/>
      <c r="X2889" s="48"/>
      <c r="Y2889" s="48"/>
      <c r="Z2889" s="48"/>
      <c r="AA2889" s="48"/>
      <c r="AB2889" s="48"/>
      <c r="AC2889" s="48"/>
      <c r="AD2889" s="48"/>
      <c r="AE2889" s="48"/>
      <c r="AF2889" s="48"/>
      <c r="AG2889" s="48"/>
      <c r="AH2889" s="48"/>
      <c r="AI2889" s="48"/>
      <c r="AJ2889" s="48"/>
      <c r="AK2889" s="48"/>
      <c r="AL2889" s="48"/>
      <c r="AM2889" s="48"/>
      <c r="AN2889" s="48"/>
      <c r="AO2889" s="48"/>
      <c r="AP2889" s="48"/>
      <c r="AQ2889" s="48"/>
      <c r="AR2889" s="48"/>
      <c r="AS2889" s="48"/>
      <c r="AT2889" s="48"/>
      <c r="AU2889" s="48"/>
      <c r="AV2889" s="48"/>
      <c r="AW2889" s="48"/>
      <c r="AX2889" s="48"/>
      <c r="AY2889" s="48"/>
      <c r="AZ2889" s="48"/>
      <c r="BA2889" s="48"/>
      <c r="BB2889" s="48"/>
      <c r="BC2889" s="48"/>
      <c r="BD2889" s="48"/>
    </row>
    <row r="2890" spans="1:56">
      <c r="A2890" s="48"/>
      <c r="B2890" s="48"/>
      <c r="C2890" s="49"/>
      <c r="D2890" s="48"/>
      <c r="E2890" s="48"/>
      <c r="F2890" s="48"/>
      <c r="G2890" s="48"/>
      <c r="H2890" s="48"/>
      <c r="I2890" s="48"/>
      <c r="J2890" s="86"/>
      <c r="K2890" s="86"/>
      <c r="L2890" s="86"/>
      <c r="M2890" s="86"/>
      <c r="N2890" s="86"/>
      <c r="O2890" s="86"/>
      <c r="P2890" s="86"/>
      <c r="Q2890" s="86"/>
      <c r="R2890" s="86"/>
      <c r="S2890" s="86"/>
      <c r="T2890" s="86"/>
      <c r="U2890" s="86"/>
      <c r="V2890" s="48"/>
      <c r="W2890" s="48"/>
      <c r="X2890" s="48"/>
      <c r="Y2890" s="48"/>
      <c r="Z2890" s="48"/>
      <c r="AA2890" s="48"/>
      <c r="AB2890" s="48"/>
      <c r="AC2890" s="48"/>
      <c r="AD2890" s="48"/>
      <c r="AE2890" s="48"/>
      <c r="AF2890" s="48"/>
      <c r="AG2890" s="48"/>
      <c r="AH2890" s="48"/>
      <c r="AI2890" s="48"/>
      <c r="AJ2890" s="48"/>
      <c r="AK2890" s="48"/>
      <c r="AL2890" s="48"/>
      <c r="AM2890" s="48"/>
      <c r="AN2890" s="48"/>
      <c r="AO2890" s="48"/>
      <c r="AP2890" s="48"/>
      <c r="AQ2890" s="48"/>
      <c r="AR2890" s="48"/>
      <c r="AS2890" s="48"/>
      <c r="AT2890" s="48"/>
      <c r="AU2890" s="48"/>
      <c r="AV2890" s="48"/>
      <c r="AW2890" s="48"/>
      <c r="AX2890" s="48"/>
      <c r="AY2890" s="48"/>
      <c r="AZ2890" s="48"/>
      <c r="BA2890" s="48"/>
      <c r="BB2890" s="48"/>
      <c r="BC2890" s="48"/>
      <c r="BD2890" s="48"/>
    </row>
    <row r="2891" spans="1:56">
      <c r="A2891" s="48"/>
      <c r="B2891" s="48"/>
      <c r="C2891" s="49"/>
      <c r="D2891" s="48"/>
      <c r="E2891" s="48"/>
      <c r="F2891" s="48"/>
      <c r="G2891" s="48"/>
      <c r="H2891" s="48"/>
      <c r="I2891" s="48"/>
      <c r="J2891" s="86"/>
      <c r="K2891" s="86"/>
      <c r="L2891" s="86"/>
      <c r="M2891" s="86"/>
      <c r="N2891" s="86"/>
      <c r="O2891" s="86"/>
      <c r="P2891" s="86"/>
      <c r="Q2891" s="86"/>
      <c r="R2891" s="86"/>
      <c r="S2891" s="86"/>
      <c r="T2891" s="86"/>
      <c r="U2891" s="86"/>
      <c r="V2891" s="48"/>
      <c r="W2891" s="48"/>
      <c r="X2891" s="48"/>
      <c r="Y2891" s="48"/>
      <c r="Z2891" s="48"/>
      <c r="AA2891" s="48"/>
      <c r="AB2891" s="48"/>
      <c r="AC2891" s="48"/>
      <c r="AD2891" s="48"/>
      <c r="AE2891" s="48"/>
      <c r="AF2891" s="48"/>
      <c r="AG2891" s="48"/>
      <c r="AH2891" s="48"/>
      <c r="AI2891" s="48"/>
      <c r="AJ2891" s="48"/>
      <c r="AK2891" s="48"/>
      <c r="AL2891" s="48"/>
      <c r="AM2891" s="48"/>
      <c r="AN2891" s="48"/>
      <c r="AO2891" s="48"/>
      <c r="AP2891" s="48"/>
      <c r="AQ2891" s="48"/>
      <c r="AR2891" s="48"/>
      <c r="AS2891" s="48"/>
      <c r="AT2891" s="48"/>
      <c r="AU2891" s="48"/>
      <c r="AV2891" s="48"/>
      <c r="AW2891" s="48"/>
      <c r="AX2891" s="48"/>
      <c r="AY2891" s="48"/>
      <c r="AZ2891" s="48"/>
      <c r="BA2891" s="48"/>
      <c r="BB2891" s="48"/>
      <c r="BC2891" s="48"/>
      <c r="BD2891" s="48"/>
    </row>
    <row r="2892" spans="1:56">
      <c r="A2892" s="48"/>
      <c r="B2892" s="48"/>
      <c r="C2892" s="49"/>
      <c r="D2892" s="48"/>
      <c r="E2892" s="48"/>
      <c r="F2892" s="48"/>
      <c r="G2892" s="48"/>
      <c r="H2892" s="48"/>
      <c r="I2892" s="48"/>
      <c r="J2892" s="86"/>
      <c r="K2892" s="86"/>
      <c r="L2892" s="86"/>
      <c r="M2892" s="86"/>
      <c r="N2892" s="86"/>
      <c r="O2892" s="86"/>
      <c r="P2892" s="86"/>
      <c r="Q2892" s="86"/>
      <c r="R2892" s="86"/>
      <c r="S2892" s="86"/>
      <c r="T2892" s="86"/>
      <c r="U2892" s="86"/>
      <c r="V2892" s="48"/>
      <c r="W2892" s="48"/>
      <c r="X2892" s="48"/>
      <c r="Y2892" s="48"/>
      <c r="Z2892" s="48"/>
      <c r="AA2892" s="48"/>
      <c r="AB2892" s="48"/>
      <c r="AC2892" s="48"/>
      <c r="AD2892" s="48"/>
      <c r="AE2892" s="48"/>
      <c r="AF2892" s="48"/>
      <c r="AG2892" s="48"/>
      <c r="AH2892" s="48"/>
      <c r="AI2892" s="48"/>
      <c r="AJ2892" s="48"/>
      <c r="AK2892" s="48"/>
      <c r="AL2892" s="48"/>
      <c r="AM2892" s="48"/>
      <c r="AN2892" s="48"/>
      <c r="AO2892" s="48"/>
      <c r="AP2892" s="48"/>
      <c r="AQ2892" s="48"/>
      <c r="AR2892" s="48"/>
      <c r="AS2892" s="48"/>
      <c r="AT2892" s="48"/>
      <c r="AU2892" s="48"/>
      <c r="AV2892" s="48"/>
      <c r="AW2892" s="48"/>
      <c r="AX2892" s="48"/>
      <c r="AY2892" s="48"/>
      <c r="AZ2892" s="48"/>
      <c r="BA2892" s="48"/>
      <c r="BB2892" s="48"/>
      <c r="BC2892" s="48"/>
      <c r="BD2892" s="48"/>
    </row>
    <row r="2893" spans="1:56">
      <c r="A2893" s="48"/>
      <c r="B2893" s="48"/>
      <c r="C2893" s="49"/>
      <c r="D2893" s="48"/>
      <c r="E2893" s="48"/>
      <c r="F2893" s="48"/>
      <c r="G2893" s="48"/>
      <c r="H2893" s="48"/>
      <c r="I2893" s="48"/>
      <c r="J2893" s="86"/>
      <c r="K2893" s="86"/>
      <c r="L2893" s="86"/>
      <c r="M2893" s="86"/>
      <c r="N2893" s="86"/>
      <c r="O2893" s="86"/>
      <c r="P2893" s="86"/>
      <c r="Q2893" s="86"/>
      <c r="R2893" s="86"/>
      <c r="S2893" s="86"/>
      <c r="T2893" s="86"/>
      <c r="U2893" s="86"/>
      <c r="V2893" s="48"/>
      <c r="W2893" s="48"/>
      <c r="X2893" s="48"/>
      <c r="Y2893" s="48"/>
      <c r="Z2893" s="48"/>
      <c r="AA2893" s="48"/>
      <c r="AB2893" s="48"/>
      <c r="AC2893" s="48"/>
      <c r="AD2893" s="48"/>
      <c r="AE2893" s="48"/>
      <c r="AF2893" s="48"/>
      <c r="AG2893" s="48"/>
      <c r="AH2893" s="48"/>
      <c r="AI2893" s="48"/>
      <c r="AJ2893" s="48"/>
      <c r="AK2893" s="48"/>
      <c r="AL2893" s="48"/>
      <c r="AM2893" s="48"/>
      <c r="AN2893" s="48"/>
      <c r="AO2893" s="48"/>
      <c r="AP2893" s="48"/>
      <c r="AQ2893" s="48"/>
      <c r="AR2893" s="48"/>
      <c r="AS2893" s="48"/>
      <c r="AT2893" s="48"/>
      <c r="AU2893" s="48"/>
      <c r="AV2893" s="48"/>
      <c r="AW2893" s="48"/>
      <c r="AX2893" s="48"/>
      <c r="AY2893" s="48"/>
      <c r="AZ2893" s="48"/>
      <c r="BA2893" s="48"/>
      <c r="BB2893" s="48"/>
      <c r="BC2893" s="48"/>
      <c r="BD2893" s="48"/>
    </row>
    <row r="2894" spans="1:56">
      <c r="A2894" s="48"/>
      <c r="B2894" s="48"/>
      <c r="C2894" s="49"/>
      <c r="D2894" s="48"/>
      <c r="E2894" s="48"/>
      <c r="F2894" s="48"/>
      <c r="G2894" s="48"/>
      <c r="H2894" s="48"/>
      <c r="I2894" s="48"/>
      <c r="J2894" s="86"/>
      <c r="K2894" s="86"/>
      <c r="L2894" s="86"/>
      <c r="M2894" s="86"/>
      <c r="N2894" s="86"/>
      <c r="O2894" s="86"/>
      <c r="P2894" s="86"/>
      <c r="Q2894" s="86"/>
      <c r="R2894" s="86"/>
      <c r="S2894" s="86"/>
      <c r="T2894" s="86"/>
      <c r="U2894" s="86"/>
      <c r="V2894" s="48"/>
      <c r="W2894" s="48"/>
      <c r="X2894" s="48"/>
      <c r="Y2894" s="48"/>
      <c r="Z2894" s="48"/>
      <c r="AA2894" s="48"/>
      <c r="AB2894" s="48"/>
      <c r="AC2894" s="48"/>
      <c r="AD2894" s="48"/>
      <c r="AE2894" s="48"/>
      <c r="AF2894" s="48"/>
      <c r="AG2894" s="48"/>
      <c r="AH2894" s="48"/>
      <c r="AI2894" s="48"/>
      <c r="AJ2894" s="48"/>
      <c r="AK2894" s="48"/>
      <c r="AL2894" s="48"/>
      <c r="AM2894" s="48"/>
      <c r="AN2894" s="48"/>
      <c r="AO2894" s="48"/>
      <c r="AP2894" s="48"/>
      <c r="AQ2894" s="48"/>
      <c r="AR2894" s="48"/>
      <c r="AS2894" s="48"/>
      <c r="AT2894" s="48"/>
      <c r="AU2894" s="48"/>
      <c r="AV2894" s="48"/>
      <c r="AW2894" s="48"/>
      <c r="AX2894" s="48"/>
      <c r="AY2894" s="48"/>
      <c r="AZ2894" s="48"/>
      <c r="BA2894" s="48"/>
      <c r="BB2894" s="48"/>
      <c r="BC2894" s="48"/>
      <c r="BD2894" s="48"/>
    </row>
    <row r="2895" spans="1:56">
      <c r="A2895" s="48"/>
      <c r="B2895" s="48"/>
      <c r="C2895" s="49"/>
      <c r="D2895" s="48"/>
      <c r="E2895" s="48"/>
      <c r="F2895" s="48"/>
      <c r="G2895" s="48"/>
      <c r="H2895" s="48"/>
      <c r="I2895" s="48"/>
      <c r="J2895" s="86"/>
      <c r="K2895" s="86"/>
      <c r="L2895" s="86"/>
      <c r="M2895" s="86"/>
      <c r="N2895" s="86"/>
      <c r="O2895" s="86"/>
      <c r="P2895" s="86"/>
      <c r="Q2895" s="86"/>
      <c r="R2895" s="86"/>
      <c r="S2895" s="86"/>
      <c r="T2895" s="86"/>
      <c r="U2895" s="86"/>
      <c r="V2895" s="48"/>
      <c r="W2895" s="48"/>
      <c r="X2895" s="48"/>
      <c r="Y2895" s="48"/>
      <c r="Z2895" s="48"/>
      <c r="AA2895" s="48"/>
      <c r="AB2895" s="48"/>
      <c r="AC2895" s="48"/>
      <c r="AD2895" s="48"/>
      <c r="AE2895" s="48"/>
      <c r="AF2895" s="48"/>
      <c r="AG2895" s="48"/>
      <c r="AH2895" s="48"/>
      <c r="AI2895" s="48"/>
      <c r="AJ2895" s="48"/>
      <c r="AK2895" s="48"/>
      <c r="AL2895" s="48"/>
      <c r="AM2895" s="48"/>
      <c r="AN2895" s="48"/>
      <c r="AO2895" s="48"/>
      <c r="AP2895" s="48"/>
      <c r="AQ2895" s="48"/>
      <c r="AR2895" s="48"/>
      <c r="AS2895" s="48"/>
      <c r="AT2895" s="48"/>
      <c r="AU2895" s="48"/>
      <c r="AV2895" s="48"/>
      <c r="AW2895" s="48"/>
      <c r="AX2895" s="48"/>
      <c r="AY2895" s="48"/>
      <c r="AZ2895" s="48"/>
      <c r="BA2895" s="48"/>
      <c r="BB2895" s="48"/>
      <c r="BC2895" s="48"/>
      <c r="BD2895" s="48"/>
    </row>
    <row r="2896" spans="1:56">
      <c r="A2896" s="48"/>
      <c r="B2896" s="48"/>
      <c r="C2896" s="49"/>
      <c r="D2896" s="48"/>
      <c r="E2896" s="48"/>
      <c r="F2896" s="48"/>
      <c r="G2896" s="48"/>
      <c r="H2896" s="48"/>
      <c r="I2896" s="48"/>
      <c r="J2896" s="86"/>
      <c r="K2896" s="86"/>
      <c r="L2896" s="86"/>
      <c r="M2896" s="86"/>
      <c r="N2896" s="86"/>
      <c r="O2896" s="86"/>
      <c r="P2896" s="86"/>
      <c r="Q2896" s="86"/>
      <c r="R2896" s="86"/>
      <c r="S2896" s="86"/>
      <c r="T2896" s="86"/>
      <c r="U2896" s="86"/>
      <c r="V2896" s="48"/>
      <c r="W2896" s="48"/>
      <c r="X2896" s="48"/>
      <c r="Y2896" s="48"/>
      <c r="Z2896" s="48"/>
      <c r="AA2896" s="48"/>
      <c r="AB2896" s="48"/>
      <c r="AC2896" s="48"/>
      <c r="AD2896" s="48"/>
      <c r="AE2896" s="48"/>
      <c r="AF2896" s="48"/>
      <c r="AG2896" s="48"/>
      <c r="AH2896" s="48"/>
      <c r="AI2896" s="48"/>
      <c r="AJ2896" s="48"/>
      <c r="AK2896" s="48"/>
      <c r="AL2896" s="48"/>
      <c r="AM2896" s="48"/>
      <c r="AN2896" s="48"/>
      <c r="AO2896" s="48"/>
      <c r="AP2896" s="48"/>
      <c r="AQ2896" s="48"/>
      <c r="AR2896" s="48"/>
      <c r="AS2896" s="48"/>
      <c r="AT2896" s="48"/>
      <c r="AU2896" s="48"/>
      <c r="AV2896" s="48"/>
      <c r="AW2896" s="48"/>
      <c r="AX2896" s="48"/>
      <c r="AY2896" s="48"/>
      <c r="AZ2896" s="48"/>
      <c r="BA2896" s="48"/>
      <c r="BB2896" s="48"/>
      <c r="BC2896" s="48"/>
      <c r="BD2896" s="48"/>
    </row>
    <row r="2897" spans="1:56">
      <c r="A2897" s="48"/>
      <c r="B2897" s="48"/>
      <c r="C2897" s="49"/>
      <c r="D2897" s="48"/>
      <c r="E2897" s="48"/>
      <c r="F2897" s="48"/>
      <c r="G2897" s="48"/>
      <c r="H2897" s="48"/>
      <c r="I2897" s="48"/>
      <c r="J2897" s="86"/>
      <c r="K2897" s="86"/>
      <c r="L2897" s="86"/>
      <c r="M2897" s="86"/>
      <c r="N2897" s="86"/>
      <c r="O2897" s="86"/>
      <c r="P2897" s="86"/>
      <c r="Q2897" s="86"/>
      <c r="R2897" s="86"/>
      <c r="S2897" s="86"/>
      <c r="T2897" s="86"/>
      <c r="U2897" s="86"/>
      <c r="V2897" s="48"/>
      <c r="W2897" s="48"/>
      <c r="X2897" s="48"/>
      <c r="Y2897" s="48"/>
      <c r="Z2897" s="48"/>
      <c r="AA2897" s="48"/>
      <c r="AB2897" s="48"/>
      <c r="AC2897" s="48"/>
      <c r="AD2897" s="48"/>
      <c r="AE2897" s="48"/>
      <c r="AF2897" s="48"/>
      <c r="AG2897" s="48"/>
      <c r="AH2897" s="48"/>
      <c r="AI2897" s="48"/>
      <c r="AJ2897" s="48"/>
      <c r="AK2897" s="48"/>
      <c r="AL2897" s="48"/>
      <c r="AM2897" s="48"/>
      <c r="AN2897" s="48"/>
      <c r="AO2897" s="48"/>
      <c r="AP2897" s="48"/>
      <c r="AQ2897" s="48"/>
      <c r="AR2897" s="48"/>
      <c r="AS2897" s="48"/>
      <c r="AT2897" s="48"/>
      <c r="AU2897" s="48"/>
      <c r="AV2897" s="48"/>
      <c r="AW2897" s="48"/>
      <c r="AX2897" s="48"/>
      <c r="AY2897" s="48"/>
      <c r="AZ2897" s="48"/>
      <c r="BA2897" s="48"/>
      <c r="BB2897" s="48"/>
      <c r="BC2897" s="48"/>
      <c r="BD2897" s="48"/>
    </row>
    <row r="2898" spans="1:56">
      <c r="A2898" s="48"/>
      <c r="B2898" s="48"/>
      <c r="C2898" s="49"/>
      <c r="D2898" s="48"/>
      <c r="E2898" s="48"/>
      <c r="F2898" s="48"/>
      <c r="G2898" s="48"/>
      <c r="H2898" s="48"/>
      <c r="I2898" s="48"/>
      <c r="J2898" s="86"/>
      <c r="K2898" s="86"/>
      <c r="L2898" s="86"/>
      <c r="M2898" s="86"/>
      <c r="N2898" s="86"/>
      <c r="O2898" s="86"/>
      <c r="P2898" s="86"/>
      <c r="Q2898" s="86"/>
      <c r="R2898" s="86"/>
      <c r="S2898" s="86"/>
      <c r="T2898" s="86"/>
      <c r="U2898" s="86"/>
      <c r="V2898" s="48"/>
      <c r="W2898" s="48"/>
      <c r="X2898" s="48"/>
      <c r="Y2898" s="48"/>
      <c r="Z2898" s="48"/>
      <c r="AA2898" s="48"/>
      <c r="AB2898" s="48"/>
      <c r="AC2898" s="48"/>
      <c r="AD2898" s="48"/>
      <c r="AE2898" s="48"/>
      <c r="AF2898" s="48"/>
      <c r="AG2898" s="48"/>
      <c r="AH2898" s="48"/>
      <c r="AI2898" s="48"/>
      <c r="AJ2898" s="48"/>
      <c r="AK2898" s="48"/>
      <c r="AL2898" s="48"/>
      <c r="AM2898" s="48"/>
      <c r="AN2898" s="48"/>
      <c r="AO2898" s="48"/>
      <c r="AP2898" s="48"/>
      <c r="AQ2898" s="48"/>
      <c r="AR2898" s="48"/>
      <c r="AS2898" s="48"/>
      <c r="AT2898" s="48"/>
      <c r="AU2898" s="48"/>
      <c r="AV2898" s="48"/>
      <c r="AW2898" s="48"/>
      <c r="AX2898" s="48"/>
      <c r="AY2898" s="48"/>
      <c r="AZ2898" s="48"/>
      <c r="BA2898" s="48"/>
      <c r="BB2898" s="48"/>
      <c r="BC2898" s="48"/>
      <c r="BD2898" s="48"/>
    </row>
    <row r="2899" spans="1:56">
      <c r="A2899" s="48"/>
      <c r="B2899" s="48"/>
      <c r="C2899" s="49"/>
      <c r="D2899" s="48"/>
      <c r="E2899" s="48"/>
      <c r="F2899" s="48"/>
      <c r="G2899" s="48"/>
      <c r="H2899" s="48"/>
      <c r="I2899" s="48"/>
      <c r="J2899" s="86"/>
      <c r="K2899" s="86"/>
      <c r="L2899" s="86"/>
      <c r="M2899" s="86"/>
      <c r="N2899" s="86"/>
      <c r="O2899" s="86"/>
      <c r="P2899" s="86"/>
      <c r="Q2899" s="86"/>
      <c r="R2899" s="86"/>
      <c r="S2899" s="86"/>
      <c r="T2899" s="86"/>
      <c r="U2899" s="86"/>
      <c r="V2899" s="48"/>
      <c r="W2899" s="48"/>
      <c r="X2899" s="48"/>
      <c r="Y2899" s="48"/>
      <c r="Z2899" s="48"/>
      <c r="AA2899" s="48"/>
      <c r="AB2899" s="48"/>
      <c r="AC2899" s="48"/>
      <c r="AD2899" s="48"/>
      <c r="AE2899" s="48"/>
      <c r="AF2899" s="48"/>
      <c r="AG2899" s="48"/>
      <c r="AH2899" s="48"/>
      <c r="AI2899" s="48"/>
      <c r="AJ2899" s="48"/>
      <c r="AK2899" s="48"/>
      <c r="AL2899" s="48"/>
      <c r="AM2899" s="48"/>
      <c r="AN2899" s="48"/>
      <c r="AO2899" s="48"/>
      <c r="AP2899" s="48"/>
      <c r="AQ2899" s="48"/>
      <c r="AR2899" s="48"/>
      <c r="AS2899" s="48"/>
      <c r="AT2899" s="48"/>
      <c r="AU2899" s="48"/>
      <c r="AV2899" s="48"/>
      <c r="AW2899" s="48"/>
      <c r="AX2899" s="48"/>
      <c r="AY2899" s="48"/>
      <c r="AZ2899" s="48"/>
      <c r="BA2899" s="48"/>
      <c r="BB2899" s="48"/>
      <c r="BC2899" s="48"/>
      <c r="BD2899" s="48"/>
    </row>
    <row r="2900" spans="1:56">
      <c r="A2900" s="48"/>
      <c r="B2900" s="48"/>
      <c r="C2900" s="49"/>
      <c r="D2900" s="48"/>
      <c r="E2900" s="48"/>
      <c r="F2900" s="48"/>
      <c r="G2900" s="48"/>
      <c r="H2900" s="48"/>
      <c r="I2900" s="48"/>
      <c r="J2900" s="86"/>
      <c r="K2900" s="86"/>
      <c r="L2900" s="86"/>
      <c r="M2900" s="86"/>
      <c r="N2900" s="86"/>
      <c r="O2900" s="86"/>
      <c r="P2900" s="86"/>
      <c r="Q2900" s="86"/>
      <c r="R2900" s="86"/>
      <c r="S2900" s="86"/>
      <c r="T2900" s="86"/>
      <c r="U2900" s="86"/>
      <c r="V2900" s="48"/>
      <c r="W2900" s="48"/>
      <c r="X2900" s="48"/>
      <c r="Y2900" s="48"/>
      <c r="Z2900" s="48"/>
      <c r="AA2900" s="48"/>
      <c r="AB2900" s="48"/>
      <c r="AC2900" s="48"/>
      <c r="AD2900" s="48"/>
      <c r="AE2900" s="48"/>
      <c r="AF2900" s="48"/>
      <c r="AG2900" s="48"/>
      <c r="AH2900" s="48"/>
      <c r="AI2900" s="48"/>
      <c r="AJ2900" s="48"/>
      <c r="AK2900" s="48"/>
      <c r="AL2900" s="48"/>
      <c r="AM2900" s="48"/>
      <c r="AN2900" s="48"/>
      <c r="AO2900" s="48"/>
      <c r="AP2900" s="48"/>
      <c r="AQ2900" s="48"/>
      <c r="AR2900" s="48"/>
      <c r="AS2900" s="48"/>
      <c r="AT2900" s="48"/>
      <c r="AU2900" s="48"/>
      <c r="AV2900" s="48"/>
      <c r="AW2900" s="48"/>
      <c r="AX2900" s="48"/>
      <c r="AY2900" s="48"/>
      <c r="AZ2900" s="48"/>
      <c r="BA2900" s="48"/>
      <c r="BB2900" s="48"/>
      <c r="BC2900" s="48"/>
      <c r="BD2900" s="48"/>
    </row>
    <row r="2901" spans="1:56">
      <c r="A2901" s="48"/>
      <c r="B2901" s="48"/>
      <c r="C2901" s="49"/>
      <c r="D2901" s="48"/>
      <c r="E2901" s="48"/>
      <c r="F2901" s="48"/>
      <c r="G2901" s="48"/>
      <c r="H2901" s="48"/>
      <c r="I2901" s="48"/>
      <c r="J2901" s="86"/>
      <c r="K2901" s="86"/>
      <c r="L2901" s="86"/>
      <c r="M2901" s="86"/>
      <c r="N2901" s="86"/>
      <c r="O2901" s="86"/>
      <c r="P2901" s="86"/>
      <c r="Q2901" s="86"/>
      <c r="R2901" s="86"/>
      <c r="S2901" s="86"/>
      <c r="T2901" s="86"/>
      <c r="U2901" s="86"/>
      <c r="V2901" s="48"/>
      <c r="W2901" s="48"/>
      <c r="X2901" s="48"/>
      <c r="Y2901" s="48"/>
      <c r="Z2901" s="48"/>
      <c r="AA2901" s="48"/>
      <c r="AB2901" s="48"/>
      <c r="AC2901" s="48"/>
      <c r="AD2901" s="48"/>
      <c r="AE2901" s="48"/>
      <c r="AF2901" s="48"/>
      <c r="AG2901" s="48"/>
      <c r="AH2901" s="48"/>
      <c r="AI2901" s="48"/>
      <c r="AJ2901" s="48"/>
      <c r="AK2901" s="48"/>
      <c r="AL2901" s="48"/>
      <c r="AM2901" s="48"/>
      <c r="AN2901" s="48"/>
      <c r="AO2901" s="48"/>
      <c r="AP2901" s="48"/>
      <c r="AQ2901" s="48"/>
      <c r="AR2901" s="48"/>
      <c r="AS2901" s="48"/>
      <c r="AT2901" s="48"/>
      <c r="AU2901" s="48"/>
      <c r="AV2901" s="48"/>
      <c r="AW2901" s="48"/>
      <c r="AX2901" s="48"/>
      <c r="AY2901" s="48"/>
      <c r="AZ2901" s="48"/>
      <c r="BA2901" s="48"/>
      <c r="BB2901" s="48"/>
      <c r="BC2901" s="48"/>
      <c r="BD2901" s="48"/>
    </row>
    <row r="2902" spans="1:56">
      <c r="A2902" s="48"/>
      <c r="B2902" s="48"/>
      <c r="C2902" s="49"/>
      <c r="D2902" s="48"/>
      <c r="E2902" s="48"/>
      <c r="F2902" s="48"/>
      <c r="G2902" s="48"/>
      <c r="H2902" s="48"/>
      <c r="I2902" s="48"/>
      <c r="J2902" s="86"/>
      <c r="K2902" s="86"/>
      <c r="L2902" s="86"/>
      <c r="M2902" s="86"/>
      <c r="N2902" s="86"/>
      <c r="O2902" s="86"/>
      <c r="P2902" s="86"/>
      <c r="Q2902" s="86"/>
      <c r="R2902" s="86"/>
      <c r="S2902" s="86"/>
      <c r="T2902" s="86"/>
      <c r="U2902" s="86"/>
      <c r="V2902" s="48"/>
      <c r="W2902" s="48"/>
      <c r="X2902" s="48"/>
      <c r="Y2902" s="48"/>
      <c r="Z2902" s="48"/>
      <c r="AA2902" s="48"/>
      <c r="AB2902" s="48"/>
      <c r="AC2902" s="48"/>
      <c r="AD2902" s="48"/>
      <c r="AE2902" s="48"/>
      <c r="AF2902" s="48"/>
      <c r="AG2902" s="48"/>
      <c r="AH2902" s="48"/>
      <c r="AI2902" s="48"/>
      <c r="AJ2902" s="48"/>
      <c r="AK2902" s="48"/>
      <c r="AL2902" s="48"/>
      <c r="AM2902" s="48"/>
      <c r="AN2902" s="48"/>
      <c r="AO2902" s="48"/>
      <c r="AP2902" s="48"/>
      <c r="AQ2902" s="48"/>
      <c r="AR2902" s="48"/>
      <c r="AS2902" s="48"/>
      <c r="AT2902" s="48"/>
      <c r="AU2902" s="48"/>
      <c r="AV2902" s="48"/>
      <c r="AW2902" s="48"/>
      <c r="AX2902" s="48"/>
      <c r="AY2902" s="48"/>
      <c r="AZ2902" s="48"/>
      <c r="BA2902" s="48"/>
      <c r="BB2902" s="48"/>
      <c r="BC2902" s="48"/>
      <c r="BD2902" s="48"/>
    </row>
    <row r="2903" spans="1:56">
      <c r="A2903" s="48"/>
      <c r="B2903" s="48"/>
      <c r="C2903" s="49"/>
      <c r="D2903" s="48"/>
      <c r="E2903" s="48"/>
      <c r="F2903" s="48"/>
      <c r="G2903" s="48"/>
      <c r="H2903" s="48"/>
      <c r="I2903" s="48"/>
      <c r="J2903" s="86"/>
      <c r="K2903" s="86"/>
      <c r="L2903" s="86"/>
      <c r="M2903" s="86"/>
      <c r="N2903" s="86"/>
      <c r="O2903" s="86"/>
      <c r="P2903" s="86"/>
      <c r="Q2903" s="86"/>
      <c r="R2903" s="86"/>
      <c r="S2903" s="86"/>
      <c r="T2903" s="86"/>
      <c r="U2903" s="86"/>
      <c r="V2903" s="48"/>
      <c r="W2903" s="48"/>
      <c r="X2903" s="48"/>
      <c r="Y2903" s="48"/>
      <c r="Z2903" s="48"/>
      <c r="AA2903" s="48"/>
      <c r="AB2903" s="48"/>
      <c r="AC2903" s="48"/>
      <c r="AD2903" s="48"/>
      <c r="AE2903" s="48"/>
      <c r="AF2903" s="48"/>
      <c r="AG2903" s="48"/>
      <c r="AH2903" s="48"/>
      <c r="AI2903" s="48"/>
      <c r="AJ2903" s="48"/>
      <c r="AK2903" s="48"/>
      <c r="AL2903" s="48"/>
      <c r="AM2903" s="48"/>
      <c r="AN2903" s="48"/>
      <c r="AO2903" s="48"/>
      <c r="AP2903" s="48"/>
      <c r="AQ2903" s="48"/>
      <c r="AR2903" s="48"/>
      <c r="AS2903" s="48"/>
      <c r="AT2903" s="48"/>
      <c r="AU2903" s="48"/>
      <c r="AV2903" s="48"/>
      <c r="AW2903" s="48"/>
      <c r="AX2903" s="48"/>
      <c r="AY2903" s="48"/>
      <c r="AZ2903" s="48"/>
      <c r="BA2903" s="48"/>
      <c r="BB2903" s="48"/>
      <c r="BC2903" s="48"/>
      <c r="BD2903" s="48"/>
    </row>
    <row r="2904" spans="1:56">
      <c r="A2904" s="48"/>
      <c r="B2904" s="48"/>
      <c r="C2904" s="49"/>
      <c r="D2904" s="48"/>
      <c r="E2904" s="48"/>
      <c r="F2904" s="48"/>
      <c r="G2904" s="48"/>
      <c r="H2904" s="48"/>
      <c r="I2904" s="48"/>
      <c r="J2904" s="86"/>
      <c r="K2904" s="86"/>
      <c r="L2904" s="86"/>
      <c r="M2904" s="86"/>
      <c r="N2904" s="86"/>
      <c r="O2904" s="86"/>
      <c r="P2904" s="86"/>
      <c r="Q2904" s="86"/>
      <c r="R2904" s="86"/>
      <c r="S2904" s="86"/>
      <c r="T2904" s="86"/>
      <c r="U2904" s="86"/>
      <c r="V2904" s="48"/>
      <c r="W2904" s="48"/>
      <c r="X2904" s="48"/>
      <c r="Y2904" s="48"/>
      <c r="Z2904" s="48"/>
      <c r="AA2904" s="48"/>
      <c r="AB2904" s="48"/>
      <c r="AC2904" s="48"/>
      <c r="AD2904" s="48"/>
      <c r="AE2904" s="48"/>
      <c r="AF2904" s="48"/>
      <c r="AG2904" s="48"/>
      <c r="AH2904" s="48"/>
      <c r="AI2904" s="48"/>
      <c r="AJ2904" s="48"/>
      <c r="AK2904" s="48"/>
      <c r="AL2904" s="48"/>
      <c r="AM2904" s="48"/>
      <c r="AN2904" s="48"/>
      <c r="AO2904" s="48"/>
      <c r="AP2904" s="48"/>
      <c r="AQ2904" s="48"/>
      <c r="AR2904" s="48"/>
      <c r="AS2904" s="48"/>
      <c r="AT2904" s="48"/>
      <c r="AU2904" s="48"/>
      <c r="AV2904" s="48"/>
      <c r="AW2904" s="48"/>
      <c r="AX2904" s="48"/>
      <c r="AY2904" s="48"/>
      <c r="AZ2904" s="48"/>
      <c r="BA2904" s="48"/>
      <c r="BB2904" s="48"/>
      <c r="BC2904" s="48"/>
      <c r="BD2904" s="48"/>
    </row>
    <row r="2905" spans="1:56">
      <c r="A2905" s="48"/>
      <c r="B2905" s="48"/>
      <c r="C2905" s="49"/>
      <c r="D2905" s="48"/>
      <c r="E2905" s="48"/>
      <c r="F2905" s="48"/>
      <c r="G2905" s="48"/>
      <c r="H2905" s="48"/>
      <c r="I2905" s="48"/>
      <c r="J2905" s="86"/>
      <c r="K2905" s="86"/>
      <c r="L2905" s="86"/>
      <c r="M2905" s="86"/>
      <c r="N2905" s="86"/>
      <c r="O2905" s="86"/>
      <c r="P2905" s="86"/>
      <c r="Q2905" s="86"/>
      <c r="R2905" s="86"/>
      <c r="S2905" s="86"/>
      <c r="T2905" s="86"/>
      <c r="U2905" s="86"/>
      <c r="V2905" s="48"/>
      <c r="W2905" s="48"/>
      <c r="X2905" s="48"/>
      <c r="Y2905" s="48"/>
      <c r="Z2905" s="48"/>
      <c r="AA2905" s="48"/>
      <c r="AB2905" s="48"/>
      <c r="AC2905" s="48"/>
      <c r="AD2905" s="48"/>
      <c r="AE2905" s="48"/>
      <c r="AF2905" s="48"/>
      <c r="AG2905" s="48"/>
      <c r="AH2905" s="48"/>
      <c r="AI2905" s="48"/>
      <c r="AJ2905" s="48"/>
      <c r="AK2905" s="48"/>
      <c r="AL2905" s="48"/>
      <c r="AM2905" s="48"/>
      <c r="AN2905" s="48"/>
      <c r="AO2905" s="48"/>
      <c r="AP2905" s="48"/>
      <c r="AQ2905" s="48"/>
      <c r="AR2905" s="48"/>
      <c r="AS2905" s="48"/>
      <c r="AT2905" s="48"/>
      <c r="AU2905" s="48"/>
      <c r="AV2905" s="48"/>
      <c r="AW2905" s="48"/>
      <c r="AX2905" s="48"/>
      <c r="AY2905" s="48"/>
      <c r="AZ2905" s="48"/>
      <c r="BA2905" s="48"/>
      <c r="BB2905" s="48"/>
      <c r="BC2905" s="48"/>
      <c r="BD2905" s="48"/>
    </row>
    <row r="2906" spans="1:56">
      <c r="A2906" s="48"/>
      <c r="B2906" s="48"/>
      <c r="C2906" s="49"/>
      <c r="D2906" s="48"/>
      <c r="E2906" s="48"/>
      <c r="F2906" s="48"/>
      <c r="G2906" s="48"/>
      <c r="H2906" s="48"/>
      <c r="I2906" s="48"/>
      <c r="J2906" s="86"/>
      <c r="K2906" s="86"/>
      <c r="L2906" s="86"/>
      <c r="M2906" s="86"/>
      <c r="N2906" s="86"/>
      <c r="O2906" s="86"/>
      <c r="P2906" s="86"/>
      <c r="Q2906" s="86"/>
      <c r="R2906" s="86"/>
      <c r="S2906" s="86"/>
      <c r="T2906" s="86"/>
      <c r="U2906" s="86"/>
      <c r="V2906" s="48"/>
      <c r="W2906" s="48"/>
      <c r="X2906" s="48"/>
      <c r="Y2906" s="48"/>
      <c r="Z2906" s="48"/>
      <c r="AA2906" s="48"/>
      <c r="AB2906" s="48"/>
      <c r="AC2906" s="48"/>
      <c r="AD2906" s="48"/>
      <c r="AE2906" s="48"/>
      <c r="AF2906" s="48"/>
      <c r="AG2906" s="48"/>
      <c r="AH2906" s="48"/>
      <c r="AI2906" s="48"/>
      <c r="AJ2906" s="48"/>
      <c r="AK2906" s="48"/>
      <c r="AL2906" s="48"/>
      <c r="AM2906" s="48"/>
      <c r="AN2906" s="48"/>
      <c r="AO2906" s="48"/>
      <c r="AP2906" s="48"/>
      <c r="AQ2906" s="48"/>
      <c r="AR2906" s="48"/>
      <c r="AS2906" s="48"/>
      <c r="AT2906" s="48"/>
      <c r="AU2906" s="48"/>
      <c r="AV2906" s="48"/>
      <c r="AW2906" s="48"/>
      <c r="AX2906" s="48"/>
      <c r="AY2906" s="48"/>
      <c r="AZ2906" s="48"/>
      <c r="BA2906" s="48"/>
      <c r="BB2906" s="48"/>
      <c r="BC2906" s="48"/>
      <c r="BD2906" s="48"/>
    </row>
    <row r="2907" spans="1:56">
      <c r="A2907" s="48"/>
      <c r="B2907" s="48"/>
      <c r="C2907" s="49"/>
      <c r="D2907" s="48"/>
      <c r="E2907" s="48"/>
      <c r="F2907" s="48"/>
      <c r="G2907" s="48"/>
      <c r="H2907" s="48"/>
      <c r="I2907" s="48"/>
      <c r="J2907" s="86"/>
      <c r="K2907" s="86"/>
      <c r="L2907" s="86"/>
      <c r="M2907" s="86"/>
      <c r="N2907" s="86"/>
      <c r="O2907" s="86"/>
      <c r="P2907" s="86"/>
      <c r="Q2907" s="86"/>
      <c r="R2907" s="86"/>
      <c r="S2907" s="86"/>
      <c r="T2907" s="86"/>
      <c r="U2907" s="86"/>
      <c r="V2907" s="48"/>
      <c r="W2907" s="48"/>
      <c r="X2907" s="48"/>
      <c r="Y2907" s="48"/>
      <c r="Z2907" s="48"/>
      <c r="AA2907" s="48"/>
      <c r="AB2907" s="48"/>
      <c r="AC2907" s="48"/>
      <c r="AD2907" s="48"/>
      <c r="AE2907" s="48"/>
      <c r="AF2907" s="48"/>
      <c r="AG2907" s="48"/>
      <c r="AH2907" s="48"/>
      <c r="AI2907" s="48"/>
      <c r="AJ2907" s="48"/>
      <c r="AK2907" s="48"/>
      <c r="AL2907" s="48"/>
      <c r="AM2907" s="48"/>
      <c r="AN2907" s="48"/>
      <c r="AO2907" s="48"/>
      <c r="AP2907" s="48"/>
      <c r="AQ2907" s="48"/>
      <c r="AR2907" s="48"/>
      <c r="AS2907" s="48"/>
      <c r="AT2907" s="48"/>
      <c r="AU2907" s="48"/>
      <c r="AV2907" s="48"/>
      <c r="AW2907" s="48"/>
      <c r="AX2907" s="48"/>
      <c r="AY2907" s="48"/>
      <c r="AZ2907" s="48"/>
      <c r="BA2907" s="48"/>
      <c r="BB2907" s="48"/>
      <c r="BC2907" s="48"/>
      <c r="BD2907" s="48"/>
    </row>
    <row r="2908" spans="1:56">
      <c r="A2908" s="48"/>
      <c r="B2908" s="48"/>
      <c r="C2908" s="49"/>
      <c r="D2908" s="48"/>
      <c r="E2908" s="48"/>
      <c r="F2908" s="48"/>
      <c r="G2908" s="48"/>
      <c r="H2908" s="48"/>
      <c r="I2908" s="48"/>
      <c r="J2908" s="86"/>
      <c r="K2908" s="86"/>
      <c r="L2908" s="86"/>
      <c r="M2908" s="86"/>
      <c r="N2908" s="86"/>
      <c r="O2908" s="86"/>
      <c r="P2908" s="86"/>
      <c r="Q2908" s="86"/>
      <c r="R2908" s="86"/>
      <c r="S2908" s="86"/>
      <c r="T2908" s="86"/>
      <c r="U2908" s="86"/>
      <c r="V2908" s="48"/>
      <c r="W2908" s="48"/>
      <c r="X2908" s="48"/>
      <c r="Y2908" s="48"/>
      <c r="Z2908" s="48"/>
      <c r="AA2908" s="48"/>
      <c r="AB2908" s="48"/>
      <c r="AC2908" s="48"/>
      <c r="AD2908" s="48"/>
      <c r="AE2908" s="48"/>
      <c r="AF2908" s="48"/>
      <c r="AG2908" s="48"/>
      <c r="AH2908" s="48"/>
      <c r="AI2908" s="48"/>
      <c r="AJ2908" s="48"/>
      <c r="AK2908" s="48"/>
      <c r="AL2908" s="48"/>
      <c r="AM2908" s="48"/>
      <c r="AN2908" s="48"/>
      <c r="AO2908" s="48"/>
      <c r="AP2908" s="48"/>
      <c r="AQ2908" s="48"/>
      <c r="AR2908" s="48"/>
      <c r="AS2908" s="48"/>
      <c r="AT2908" s="48"/>
      <c r="AU2908" s="48"/>
      <c r="AV2908" s="48"/>
      <c r="AW2908" s="48"/>
      <c r="AX2908" s="48"/>
      <c r="AY2908" s="48"/>
      <c r="AZ2908" s="48"/>
      <c r="BA2908" s="48"/>
      <c r="BB2908" s="48"/>
      <c r="BC2908" s="48"/>
      <c r="BD2908" s="48"/>
    </row>
    <row r="2909" spans="1:56">
      <c r="A2909" s="48"/>
      <c r="B2909" s="48"/>
      <c r="C2909" s="49"/>
      <c r="D2909" s="48"/>
      <c r="E2909" s="48"/>
      <c r="F2909" s="48"/>
      <c r="G2909" s="48"/>
      <c r="H2909" s="48"/>
      <c r="I2909" s="48"/>
      <c r="J2909" s="86"/>
      <c r="K2909" s="86"/>
      <c r="L2909" s="86"/>
      <c r="M2909" s="86"/>
      <c r="N2909" s="86"/>
      <c r="O2909" s="86"/>
      <c r="P2909" s="86"/>
      <c r="Q2909" s="86"/>
      <c r="R2909" s="86"/>
      <c r="S2909" s="86"/>
      <c r="T2909" s="86"/>
      <c r="U2909" s="86"/>
      <c r="V2909" s="48"/>
      <c r="W2909" s="48"/>
      <c r="X2909" s="48"/>
      <c r="Y2909" s="48"/>
      <c r="Z2909" s="48"/>
      <c r="AA2909" s="48"/>
      <c r="AB2909" s="48"/>
      <c r="AC2909" s="48"/>
      <c r="AD2909" s="48"/>
      <c r="AE2909" s="48"/>
      <c r="AF2909" s="48"/>
      <c r="AG2909" s="48"/>
      <c r="AH2909" s="48"/>
      <c r="AI2909" s="48"/>
      <c r="AJ2909" s="48"/>
      <c r="AK2909" s="48"/>
      <c r="AL2909" s="48"/>
      <c r="AM2909" s="48"/>
      <c r="AN2909" s="48"/>
      <c r="AO2909" s="48"/>
      <c r="AP2909" s="48"/>
      <c r="AQ2909" s="48"/>
      <c r="AR2909" s="48"/>
      <c r="AS2909" s="48"/>
      <c r="AT2909" s="48"/>
      <c r="AU2909" s="48"/>
      <c r="AV2909" s="48"/>
      <c r="AW2909" s="48"/>
      <c r="AX2909" s="48"/>
      <c r="AY2909" s="48"/>
      <c r="AZ2909" s="48"/>
      <c r="BA2909" s="48"/>
      <c r="BB2909" s="48"/>
      <c r="BC2909" s="48"/>
      <c r="BD2909" s="48"/>
    </row>
    <row r="2910" spans="1:56">
      <c r="A2910" s="48"/>
      <c r="B2910" s="48"/>
      <c r="C2910" s="49"/>
      <c r="D2910" s="48"/>
      <c r="E2910" s="48"/>
      <c r="F2910" s="48"/>
      <c r="G2910" s="48"/>
      <c r="H2910" s="48"/>
      <c r="I2910" s="48"/>
      <c r="J2910" s="86"/>
      <c r="K2910" s="86"/>
      <c r="L2910" s="86"/>
      <c r="M2910" s="86"/>
      <c r="N2910" s="86"/>
      <c r="O2910" s="86"/>
      <c r="P2910" s="86"/>
      <c r="Q2910" s="86"/>
      <c r="R2910" s="86"/>
      <c r="S2910" s="86"/>
      <c r="T2910" s="86"/>
      <c r="U2910" s="86"/>
      <c r="V2910" s="48"/>
      <c r="W2910" s="48"/>
      <c r="X2910" s="48"/>
      <c r="Y2910" s="48"/>
      <c r="Z2910" s="48"/>
      <c r="AA2910" s="48"/>
      <c r="AB2910" s="48"/>
      <c r="AC2910" s="48"/>
      <c r="AD2910" s="48"/>
      <c r="AE2910" s="48"/>
      <c r="AF2910" s="48"/>
      <c r="AG2910" s="48"/>
      <c r="AH2910" s="48"/>
      <c r="AI2910" s="48"/>
      <c r="AJ2910" s="48"/>
      <c r="AK2910" s="48"/>
      <c r="AL2910" s="48"/>
      <c r="AM2910" s="48"/>
      <c r="AN2910" s="48"/>
      <c r="AO2910" s="48"/>
      <c r="AP2910" s="48"/>
      <c r="AQ2910" s="48"/>
      <c r="AR2910" s="48"/>
      <c r="AS2910" s="48"/>
      <c r="AT2910" s="48"/>
      <c r="AU2910" s="48"/>
      <c r="AV2910" s="48"/>
      <c r="AW2910" s="48"/>
      <c r="AX2910" s="48"/>
      <c r="AY2910" s="48"/>
      <c r="AZ2910" s="48"/>
      <c r="BA2910" s="48"/>
      <c r="BB2910" s="48"/>
      <c r="BC2910" s="48"/>
      <c r="BD2910" s="48"/>
    </row>
    <row r="2911" spans="1:56">
      <c r="A2911" s="48"/>
      <c r="B2911" s="48"/>
      <c r="C2911" s="49"/>
      <c r="D2911" s="48"/>
      <c r="E2911" s="48"/>
      <c r="F2911" s="48"/>
      <c r="G2911" s="48"/>
      <c r="H2911" s="48"/>
      <c r="I2911" s="48"/>
      <c r="J2911" s="86"/>
      <c r="K2911" s="86"/>
      <c r="L2911" s="86"/>
      <c r="M2911" s="86"/>
      <c r="N2911" s="86"/>
      <c r="O2911" s="86"/>
      <c r="P2911" s="86"/>
      <c r="Q2911" s="86"/>
      <c r="R2911" s="86"/>
      <c r="S2911" s="86"/>
      <c r="T2911" s="86"/>
      <c r="U2911" s="86"/>
      <c r="V2911" s="48"/>
      <c r="W2911" s="48"/>
      <c r="X2911" s="48"/>
      <c r="Y2911" s="48"/>
      <c r="Z2911" s="48"/>
      <c r="AA2911" s="48"/>
      <c r="AB2911" s="48"/>
      <c r="AC2911" s="48"/>
      <c r="AD2911" s="48"/>
      <c r="AE2911" s="48"/>
      <c r="AF2911" s="48"/>
      <c r="AG2911" s="48"/>
      <c r="AH2911" s="48"/>
      <c r="AI2911" s="48"/>
      <c r="AJ2911" s="48"/>
      <c r="AK2911" s="48"/>
      <c r="AL2911" s="48"/>
      <c r="AM2911" s="48"/>
      <c r="AN2911" s="48"/>
      <c r="AO2911" s="48"/>
      <c r="AP2911" s="48"/>
      <c r="AQ2911" s="48"/>
      <c r="AR2911" s="48"/>
      <c r="AS2911" s="48"/>
      <c r="AT2911" s="48"/>
      <c r="AU2911" s="48"/>
      <c r="AV2911" s="48"/>
      <c r="AW2911" s="48"/>
      <c r="AX2911" s="48"/>
      <c r="AY2911" s="48"/>
      <c r="AZ2911" s="48"/>
      <c r="BA2911" s="48"/>
      <c r="BB2911" s="48"/>
      <c r="BC2911" s="48"/>
      <c r="BD2911" s="48"/>
    </row>
    <row r="2912" spans="1:56">
      <c r="A2912" s="48"/>
      <c r="B2912" s="48"/>
      <c r="C2912" s="49"/>
      <c r="D2912" s="48"/>
      <c r="E2912" s="48"/>
      <c r="F2912" s="48"/>
      <c r="G2912" s="48"/>
      <c r="H2912" s="48"/>
      <c r="I2912" s="48"/>
      <c r="J2912" s="86"/>
      <c r="K2912" s="86"/>
      <c r="L2912" s="86"/>
      <c r="M2912" s="86"/>
      <c r="N2912" s="86"/>
      <c r="O2912" s="86"/>
      <c r="P2912" s="86"/>
      <c r="Q2912" s="86"/>
      <c r="R2912" s="86"/>
      <c r="S2912" s="86"/>
      <c r="T2912" s="86"/>
      <c r="U2912" s="86"/>
      <c r="V2912" s="48"/>
      <c r="W2912" s="48"/>
      <c r="X2912" s="48"/>
      <c r="Y2912" s="48"/>
      <c r="Z2912" s="48"/>
      <c r="AA2912" s="48"/>
      <c r="AB2912" s="48"/>
      <c r="AC2912" s="48"/>
      <c r="AD2912" s="48"/>
      <c r="AE2912" s="48"/>
      <c r="AF2912" s="48"/>
      <c r="AG2912" s="48"/>
      <c r="AH2912" s="48"/>
      <c r="AI2912" s="48"/>
      <c r="AJ2912" s="48"/>
      <c r="AK2912" s="48"/>
      <c r="AL2912" s="48"/>
      <c r="AM2912" s="48"/>
      <c r="AN2912" s="48"/>
      <c r="AO2912" s="48"/>
      <c r="AP2912" s="48"/>
      <c r="AQ2912" s="48"/>
      <c r="AR2912" s="48"/>
      <c r="AS2912" s="48"/>
      <c r="AT2912" s="48"/>
      <c r="AU2912" s="48"/>
      <c r="AV2912" s="48"/>
      <c r="AW2912" s="48"/>
      <c r="AX2912" s="48"/>
      <c r="AY2912" s="48"/>
      <c r="AZ2912" s="48"/>
      <c r="BA2912" s="48"/>
      <c r="BB2912" s="48"/>
      <c r="BC2912" s="48"/>
      <c r="BD2912" s="48"/>
    </row>
    <row r="2913" spans="1:56">
      <c r="A2913" s="48"/>
      <c r="B2913" s="48"/>
      <c r="C2913" s="49"/>
      <c r="D2913" s="48"/>
      <c r="E2913" s="48"/>
      <c r="F2913" s="48"/>
      <c r="G2913" s="48"/>
      <c r="H2913" s="48"/>
      <c r="I2913" s="48"/>
      <c r="J2913" s="86"/>
      <c r="K2913" s="86"/>
      <c r="L2913" s="86"/>
      <c r="M2913" s="86"/>
      <c r="N2913" s="86"/>
      <c r="O2913" s="86"/>
      <c r="P2913" s="86"/>
      <c r="Q2913" s="86"/>
      <c r="R2913" s="86"/>
      <c r="S2913" s="86"/>
      <c r="T2913" s="86"/>
      <c r="U2913" s="86"/>
      <c r="V2913" s="48"/>
      <c r="W2913" s="48"/>
      <c r="X2913" s="48"/>
      <c r="Y2913" s="48"/>
      <c r="Z2913" s="48"/>
      <c r="AA2913" s="48"/>
      <c r="AB2913" s="48"/>
      <c r="AC2913" s="48"/>
      <c r="AD2913" s="48"/>
      <c r="AE2913" s="48"/>
      <c r="AF2913" s="48"/>
      <c r="AG2913" s="48"/>
      <c r="AH2913" s="48"/>
      <c r="AI2913" s="48"/>
      <c r="AJ2913" s="48"/>
      <c r="AK2913" s="48"/>
      <c r="AL2913" s="48"/>
      <c r="AM2913" s="48"/>
      <c r="AN2913" s="48"/>
      <c r="AO2913" s="48"/>
      <c r="AP2913" s="48"/>
      <c r="AQ2913" s="48"/>
      <c r="AR2913" s="48"/>
      <c r="AS2913" s="48"/>
      <c r="AT2913" s="48"/>
      <c r="AU2913" s="48"/>
      <c r="AV2913" s="48"/>
      <c r="AW2913" s="48"/>
      <c r="AX2913" s="48"/>
      <c r="AY2913" s="48"/>
      <c r="AZ2913" s="48"/>
      <c r="BA2913" s="48"/>
      <c r="BB2913" s="48"/>
      <c r="BC2913" s="48"/>
      <c r="BD2913" s="48"/>
    </row>
    <row r="2914" spans="1:56">
      <c r="A2914" s="48"/>
      <c r="B2914" s="48"/>
      <c r="C2914" s="49"/>
      <c r="D2914" s="48"/>
      <c r="E2914" s="48"/>
      <c r="F2914" s="48"/>
      <c r="G2914" s="48"/>
      <c r="H2914" s="48"/>
      <c r="I2914" s="48"/>
      <c r="J2914" s="86"/>
      <c r="K2914" s="86"/>
      <c r="L2914" s="86"/>
      <c r="M2914" s="86"/>
      <c r="N2914" s="86"/>
      <c r="O2914" s="86"/>
      <c r="P2914" s="86"/>
      <c r="Q2914" s="86"/>
      <c r="R2914" s="86"/>
      <c r="S2914" s="86"/>
      <c r="T2914" s="86"/>
      <c r="U2914" s="86"/>
      <c r="V2914" s="48"/>
      <c r="W2914" s="48"/>
      <c r="X2914" s="48"/>
      <c r="Y2914" s="48"/>
      <c r="Z2914" s="48"/>
      <c r="AA2914" s="48"/>
      <c r="AB2914" s="48"/>
      <c r="AC2914" s="48"/>
      <c r="AD2914" s="48"/>
      <c r="AE2914" s="48"/>
      <c r="AF2914" s="48"/>
      <c r="AG2914" s="48"/>
      <c r="AH2914" s="48"/>
      <c r="AI2914" s="48"/>
      <c r="AJ2914" s="48"/>
      <c r="AK2914" s="48"/>
      <c r="AL2914" s="48"/>
      <c r="AM2914" s="48"/>
      <c r="AN2914" s="48"/>
      <c r="AO2914" s="48"/>
      <c r="AP2914" s="48"/>
      <c r="AQ2914" s="48"/>
      <c r="AR2914" s="48"/>
      <c r="AS2914" s="48"/>
      <c r="AT2914" s="48"/>
      <c r="AU2914" s="48"/>
      <c r="AV2914" s="48"/>
      <c r="AW2914" s="48"/>
      <c r="AX2914" s="48"/>
      <c r="AY2914" s="48"/>
      <c r="AZ2914" s="48"/>
      <c r="BA2914" s="48"/>
      <c r="BB2914" s="48"/>
      <c r="BC2914" s="48"/>
      <c r="BD2914" s="48"/>
    </row>
    <row r="2915" spans="1:56">
      <c r="A2915" s="48"/>
      <c r="B2915" s="48"/>
      <c r="C2915" s="49"/>
      <c r="D2915" s="48"/>
      <c r="E2915" s="48"/>
      <c r="F2915" s="48"/>
      <c r="G2915" s="48"/>
      <c r="H2915" s="48"/>
      <c r="I2915" s="48"/>
      <c r="J2915" s="86"/>
      <c r="K2915" s="86"/>
      <c r="L2915" s="86"/>
      <c r="M2915" s="86"/>
      <c r="N2915" s="86"/>
      <c r="O2915" s="86"/>
      <c r="P2915" s="86"/>
      <c r="Q2915" s="86"/>
      <c r="R2915" s="86"/>
      <c r="S2915" s="86"/>
      <c r="T2915" s="86"/>
      <c r="U2915" s="86"/>
      <c r="V2915" s="48"/>
      <c r="W2915" s="48"/>
      <c r="X2915" s="48"/>
      <c r="Y2915" s="48"/>
      <c r="Z2915" s="48"/>
      <c r="AA2915" s="48"/>
      <c r="AB2915" s="48"/>
      <c r="AC2915" s="48"/>
      <c r="AD2915" s="48"/>
      <c r="AE2915" s="48"/>
      <c r="AF2915" s="48"/>
      <c r="AG2915" s="48"/>
      <c r="AH2915" s="48"/>
      <c r="AI2915" s="48"/>
      <c r="AJ2915" s="48"/>
      <c r="AK2915" s="48"/>
      <c r="AL2915" s="48"/>
      <c r="AM2915" s="48"/>
      <c r="AN2915" s="48"/>
      <c r="AO2915" s="48"/>
      <c r="AP2915" s="48"/>
      <c r="AQ2915" s="48"/>
      <c r="AR2915" s="48"/>
      <c r="AS2915" s="48"/>
      <c r="AT2915" s="48"/>
      <c r="AU2915" s="48"/>
      <c r="AV2915" s="48"/>
      <c r="AW2915" s="48"/>
      <c r="AX2915" s="48"/>
      <c r="AY2915" s="48"/>
      <c r="AZ2915" s="48"/>
      <c r="BA2915" s="48"/>
      <c r="BB2915" s="48"/>
      <c r="BC2915" s="48"/>
      <c r="BD2915" s="48"/>
    </row>
    <row r="2916" spans="1:56">
      <c r="A2916" s="48"/>
      <c r="B2916" s="48"/>
      <c r="C2916" s="49"/>
      <c r="D2916" s="48"/>
      <c r="E2916" s="48"/>
      <c r="F2916" s="48"/>
      <c r="G2916" s="48"/>
      <c r="H2916" s="48"/>
      <c r="I2916" s="48"/>
      <c r="J2916" s="86"/>
      <c r="K2916" s="86"/>
      <c r="L2916" s="86"/>
      <c r="M2916" s="86"/>
      <c r="N2916" s="86"/>
      <c r="O2916" s="86"/>
      <c r="P2916" s="86"/>
      <c r="Q2916" s="86"/>
      <c r="R2916" s="86"/>
      <c r="S2916" s="86"/>
      <c r="T2916" s="86"/>
      <c r="U2916" s="86"/>
      <c r="V2916" s="48"/>
      <c r="W2916" s="48"/>
      <c r="X2916" s="48"/>
      <c r="Y2916" s="48"/>
      <c r="Z2916" s="48"/>
      <c r="AA2916" s="48"/>
      <c r="AB2916" s="48"/>
      <c r="AC2916" s="48"/>
      <c r="AD2916" s="48"/>
      <c r="AE2916" s="48"/>
      <c r="AF2916" s="48"/>
      <c r="AG2916" s="48"/>
      <c r="AH2916" s="48"/>
      <c r="AI2916" s="48"/>
      <c r="AJ2916" s="48"/>
      <c r="AK2916" s="48"/>
      <c r="AL2916" s="48"/>
      <c r="AM2916" s="48"/>
      <c r="AN2916" s="48"/>
      <c r="AO2916" s="48"/>
      <c r="AP2916" s="48"/>
      <c r="AQ2916" s="48"/>
      <c r="AR2916" s="48"/>
      <c r="AS2916" s="48"/>
      <c r="AT2916" s="48"/>
      <c r="AU2916" s="48"/>
      <c r="AV2916" s="48"/>
      <c r="AW2916" s="48"/>
      <c r="AX2916" s="48"/>
      <c r="AY2916" s="48"/>
      <c r="AZ2916" s="48"/>
      <c r="BA2916" s="48"/>
      <c r="BB2916" s="48"/>
      <c r="BC2916" s="48"/>
      <c r="BD2916" s="48"/>
    </row>
    <row r="2917" spans="1:56">
      <c r="A2917" s="48"/>
      <c r="B2917" s="48"/>
      <c r="C2917" s="49"/>
      <c r="D2917" s="48"/>
      <c r="E2917" s="48"/>
      <c r="F2917" s="48"/>
      <c r="G2917" s="48"/>
      <c r="H2917" s="48"/>
      <c r="I2917" s="48"/>
      <c r="J2917" s="86"/>
      <c r="K2917" s="86"/>
      <c r="L2917" s="86"/>
      <c r="M2917" s="86"/>
      <c r="N2917" s="86"/>
      <c r="O2917" s="86"/>
      <c r="P2917" s="86"/>
      <c r="Q2917" s="86"/>
      <c r="R2917" s="86"/>
      <c r="S2917" s="86"/>
      <c r="T2917" s="86"/>
      <c r="U2917" s="86"/>
      <c r="V2917" s="48"/>
      <c r="W2917" s="48"/>
      <c r="X2917" s="48"/>
      <c r="Y2917" s="48"/>
      <c r="Z2917" s="48"/>
      <c r="AA2917" s="48"/>
      <c r="AB2917" s="48"/>
      <c r="AC2917" s="48"/>
      <c r="AD2917" s="48"/>
      <c r="AE2917" s="48"/>
      <c r="AF2917" s="48"/>
      <c r="AG2917" s="48"/>
      <c r="AH2917" s="48"/>
      <c r="AI2917" s="48"/>
      <c r="AJ2917" s="48"/>
      <c r="AK2917" s="48"/>
      <c r="AL2917" s="48"/>
      <c r="AM2917" s="48"/>
      <c r="AN2917" s="48"/>
      <c r="AO2917" s="48"/>
      <c r="AP2917" s="48"/>
      <c r="AQ2917" s="48"/>
      <c r="AR2917" s="48"/>
      <c r="AS2917" s="48"/>
      <c r="AT2917" s="48"/>
      <c r="AU2917" s="48"/>
      <c r="AV2917" s="48"/>
      <c r="AW2917" s="48"/>
      <c r="AX2917" s="48"/>
      <c r="AY2917" s="48"/>
      <c r="AZ2917" s="48"/>
      <c r="BA2917" s="48"/>
      <c r="BB2917" s="48"/>
      <c r="BC2917" s="48"/>
      <c r="BD2917" s="48"/>
    </row>
    <row r="2918" spans="1:56">
      <c r="A2918" s="48"/>
      <c r="B2918" s="48"/>
      <c r="C2918" s="49"/>
      <c r="D2918" s="48"/>
      <c r="E2918" s="48"/>
      <c r="F2918" s="48"/>
      <c r="G2918" s="48"/>
      <c r="H2918" s="48"/>
      <c r="I2918" s="48"/>
      <c r="J2918" s="86"/>
      <c r="K2918" s="86"/>
      <c r="L2918" s="86"/>
      <c r="M2918" s="86"/>
      <c r="N2918" s="86"/>
      <c r="O2918" s="86"/>
      <c r="P2918" s="86"/>
      <c r="Q2918" s="86"/>
      <c r="R2918" s="86"/>
      <c r="S2918" s="86"/>
      <c r="T2918" s="86"/>
      <c r="U2918" s="86"/>
      <c r="V2918" s="48"/>
      <c r="W2918" s="48"/>
      <c r="X2918" s="48"/>
      <c r="Y2918" s="48"/>
      <c r="Z2918" s="48"/>
      <c r="AA2918" s="48"/>
      <c r="AB2918" s="48"/>
      <c r="AC2918" s="48"/>
      <c r="AD2918" s="48"/>
      <c r="AE2918" s="48"/>
      <c r="AF2918" s="48"/>
      <c r="AG2918" s="48"/>
      <c r="AH2918" s="48"/>
      <c r="AI2918" s="48"/>
      <c r="AJ2918" s="48"/>
      <c r="AK2918" s="48"/>
      <c r="AL2918" s="48"/>
      <c r="AM2918" s="48"/>
      <c r="AN2918" s="48"/>
      <c r="AO2918" s="48"/>
      <c r="AP2918" s="48"/>
      <c r="AQ2918" s="48"/>
      <c r="AR2918" s="48"/>
      <c r="AS2918" s="48"/>
      <c r="AT2918" s="48"/>
      <c r="AU2918" s="48"/>
      <c r="AV2918" s="48"/>
      <c r="AW2918" s="48"/>
      <c r="AX2918" s="48"/>
      <c r="AY2918" s="48"/>
      <c r="AZ2918" s="48"/>
      <c r="BA2918" s="48"/>
      <c r="BB2918" s="48"/>
      <c r="BC2918" s="48"/>
      <c r="BD2918" s="48"/>
    </row>
    <row r="2919" spans="1:56">
      <c r="A2919" s="48"/>
      <c r="B2919" s="48"/>
      <c r="C2919" s="49"/>
      <c r="D2919" s="48"/>
      <c r="E2919" s="48"/>
      <c r="F2919" s="48"/>
      <c r="G2919" s="48"/>
      <c r="H2919" s="48"/>
      <c r="I2919" s="48"/>
      <c r="J2919" s="86"/>
      <c r="K2919" s="86"/>
      <c r="L2919" s="86"/>
      <c r="M2919" s="86"/>
      <c r="N2919" s="86"/>
      <c r="O2919" s="86"/>
      <c r="P2919" s="86"/>
      <c r="Q2919" s="86"/>
      <c r="R2919" s="86"/>
      <c r="S2919" s="86"/>
      <c r="T2919" s="86"/>
      <c r="U2919" s="86"/>
      <c r="V2919" s="48"/>
      <c r="W2919" s="48"/>
      <c r="X2919" s="48"/>
      <c r="Y2919" s="48"/>
      <c r="Z2919" s="48"/>
      <c r="AA2919" s="48"/>
      <c r="AB2919" s="48"/>
      <c r="AC2919" s="48"/>
      <c r="AD2919" s="48"/>
      <c r="AE2919" s="48"/>
      <c r="AF2919" s="48"/>
      <c r="AG2919" s="48"/>
      <c r="AH2919" s="48"/>
      <c r="AI2919" s="48"/>
      <c r="AJ2919" s="48"/>
      <c r="AK2919" s="48"/>
      <c r="AL2919" s="48"/>
      <c r="AM2919" s="48"/>
      <c r="AN2919" s="48"/>
      <c r="AO2919" s="48"/>
      <c r="AP2919" s="48"/>
      <c r="AQ2919" s="48"/>
      <c r="AR2919" s="48"/>
      <c r="AS2919" s="48"/>
      <c r="AT2919" s="48"/>
      <c r="AU2919" s="48"/>
      <c r="AV2919" s="48"/>
      <c r="AW2919" s="48"/>
      <c r="AX2919" s="48"/>
      <c r="AY2919" s="48"/>
      <c r="AZ2919" s="48"/>
      <c r="BA2919" s="48"/>
      <c r="BB2919" s="48"/>
      <c r="BC2919" s="48"/>
      <c r="BD2919" s="48"/>
    </row>
    <row r="2920" spans="1:56">
      <c r="A2920" s="48"/>
      <c r="B2920" s="48"/>
      <c r="C2920" s="49"/>
      <c r="D2920" s="48"/>
      <c r="E2920" s="48"/>
      <c r="F2920" s="48"/>
      <c r="G2920" s="48"/>
      <c r="H2920" s="48"/>
      <c r="I2920" s="48"/>
      <c r="J2920" s="86"/>
      <c r="K2920" s="86"/>
      <c r="L2920" s="86"/>
      <c r="M2920" s="86"/>
      <c r="N2920" s="86"/>
      <c r="O2920" s="86"/>
      <c r="P2920" s="86"/>
      <c r="Q2920" s="86"/>
      <c r="R2920" s="86"/>
      <c r="S2920" s="86"/>
      <c r="T2920" s="86"/>
      <c r="U2920" s="86"/>
      <c r="V2920" s="48"/>
      <c r="W2920" s="48"/>
      <c r="X2920" s="48"/>
      <c r="Y2920" s="48"/>
      <c r="Z2920" s="48"/>
      <c r="AA2920" s="48"/>
      <c r="AB2920" s="48"/>
      <c r="AC2920" s="48"/>
      <c r="AD2920" s="48"/>
      <c r="AE2920" s="48"/>
      <c r="AF2920" s="48"/>
      <c r="AG2920" s="48"/>
      <c r="AH2920" s="48"/>
      <c r="AI2920" s="48"/>
      <c r="AJ2920" s="48"/>
      <c r="AK2920" s="48"/>
      <c r="AL2920" s="48"/>
      <c r="AM2920" s="48"/>
      <c r="AN2920" s="48"/>
      <c r="AO2920" s="48"/>
      <c r="AP2920" s="48"/>
      <c r="AQ2920" s="48"/>
      <c r="AR2920" s="48"/>
      <c r="AS2920" s="48"/>
      <c r="AT2920" s="48"/>
      <c r="AU2920" s="48"/>
      <c r="AV2920" s="48"/>
      <c r="AW2920" s="48"/>
      <c r="AX2920" s="48"/>
      <c r="AY2920" s="48"/>
      <c r="AZ2920" s="48"/>
      <c r="BA2920" s="48"/>
      <c r="BB2920" s="48"/>
      <c r="BC2920" s="48"/>
      <c r="BD2920" s="48"/>
    </row>
    <row r="2921" spans="1:56">
      <c r="A2921" s="48"/>
      <c r="B2921" s="48"/>
      <c r="C2921" s="49"/>
      <c r="D2921" s="48"/>
      <c r="E2921" s="48"/>
      <c r="F2921" s="48"/>
      <c r="G2921" s="48"/>
      <c r="H2921" s="48"/>
      <c r="I2921" s="48"/>
      <c r="J2921" s="86"/>
      <c r="K2921" s="86"/>
      <c r="L2921" s="86"/>
      <c r="M2921" s="86"/>
      <c r="N2921" s="86"/>
      <c r="O2921" s="86"/>
      <c r="P2921" s="86"/>
      <c r="Q2921" s="86"/>
      <c r="R2921" s="86"/>
      <c r="S2921" s="86"/>
      <c r="T2921" s="86"/>
      <c r="U2921" s="86"/>
      <c r="V2921" s="48"/>
      <c r="W2921" s="48"/>
      <c r="X2921" s="48"/>
      <c r="Y2921" s="48"/>
      <c r="Z2921" s="48"/>
      <c r="AA2921" s="48"/>
      <c r="AB2921" s="48"/>
      <c r="AC2921" s="48"/>
      <c r="AD2921" s="48"/>
      <c r="AE2921" s="48"/>
      <c r="AF2921" s="48"/>
      <c r="AG2921" s="48"/>
      <c r="AH2921" s="48"/>
      <c r="AI2921" s="48"/>
      <c r="AJ2921" s="48"/>
      <c r="AK2921" s="48"/>
      <c r="AL2921" s="48"/>
      <c r="AM2921" s="48"/>
      <c r="AN2921" s="48"/>
      <c r="AO2921" s="48"/>
      <c r="AP2921" s="48"/>
      <c r="AQ2921" s="48"/>
      <c r="AR2921" s="48"/>
      <c r="AS2921" s="48"/>
      <c r="AT2921" s="48"/>
      <c r="AU2921" s="48"/>
      <c r="AV2921" s="48"/>
      <c r="AW2921" s="48"/>
      <c r="AX2921" s="48"/>
      <c r="AY2921" s="48"/>
      <c r="AZ2921" s="48"/>
      <c r="BA2921" s="48"/>
      <c r="BB2921" s="48"/>
      <c r="BC2921" s="48"/>
      <c r="BD2921" s="48"/>
    </row>
    <row r="2922" spans="1:56">
      <c r="A2922" s="48"/>
      <c r="B2922" s="48"/>
      <c r="C2922" s="49"/>
      <c r="D2922" s="48"/>
      <c r="E2922" s="48"/>
      <c r="F2922" s="48"/>
      <c r="G2922" s="48"/>
      <c r="H2922" s="48"/>
      <c r="I2922" s="48"/>
      <c r="J2922" s="86"/>
      <c r="K2922" s="86"/>
      <c r="L2922" s="86"/>
      <c r="M2922" s="86"/>
      <c r="N2922" s="86"/>
      <c r="O2922" s="86"/>
      <c r="P2922" s="86"/>
      <c r="Q2922" s="86"/>
      <c r="R2922" s="86"/>
      <c r="S2922" s="86"/>
      <c r="T2922" s="86"/>
      <c r="U2922" s="86"/>
      <c r="V2922" s="48"/>
      <c r="W2922" s="48"/>
      <c r="X2922" s="48"/>
      <c r="Y2922" s="48"/>
      <c r="Z2922" s="48"/>
      <c r="AA2922" s="48"/>
      <c r="AB2922" s="48"/>
      <c r="AC2922" s="48"/>
      <c r="AD2922" s="48"/>
      <c r="AE2922" s="48"/>
      <c r="AF2922" s="48"/>
      <c r="AG2922" s="48"/>
      <c r="AH2922" s="48"/>
      <c r="AI2922" s="48"/>
      <c r="AJ2922" s="48"/>
      <c r="AK2922" s="48"/>
      <c r="AL2922" s="48"/>
      <c r="AM2922" s="48"/>
      <c r="AN2922" s="48"/>
      <c r="AO2922" s="48"/>
      <c r="AP2922" s="48"/>
      <c r="AQ2922" s="48"/>
      <c r="AR2922" s="48"/>
      <c r="AS2922" s="48"/>
      <c r="AT2922" s="48"/>
      <c r="AU2922" s="48"/>
      <c r="AV2922" s="48"/>
      <c r="AW2922" s="48"/>
      <c r="AX2922" s="48"/>
      <c r="AY2922" s="48"/>
      <c r="AZ2922" s="48"/>
      <c r="BA2922" s="48"/>
      <c r="BB2922" s="48"/>
      <c r="BC2922" s="48"/>
      <c r="BD2922" s="48"/>
    </row>
    <row r="2923" spans="1:56">
      <c r="A2923" s="48"/>
      <c r="B2923" s="48"/>
      <c r="C2923" s="49"/>
      <c r="D2923" s="48"/>
      <c r="E2923" s="48"/>
      <c r="F2923" s="48"/>
      <c r="G2923" s="48"/>
      <c r="H2923" s="48"/>
      <c r="I2923" s="48"/>
      <c r="J2923" s="86"/>
      <c r="K2923" s="86"/>
      <c r="L2923" s="86"/>
      <c r="M2923" s="86"/>
      <c r="N2923" s="86"/>
      <c r="O2923" s="86"/>
      <c r="P2923" s="86"/>
      <c r="Q2923" s="86"/>
      <c r="R2923" s="86"/>
      <c r="S2923" s="86"/>
      <c r="T2923" s="86"/>
      <c r="U2923" s="86"/>
      <c r="V2923" s="48"/>
      <c r="W2923" s="48"/>
      <c r="X2923" s="48"/>
      <c r="Y2923" s="48"/>
      <c r="Z2923" s="48"/>
      <c r="AA2923" s="48"/>
      <c r="AB2923" s="48"/>
      <c r="AC2923" s="48"/>
      <c r="AD2923" s="48"/>
      <c r="AE2923" s="48"/>
      <c r="AF2923" s="48"/>
      <c r="AG2923" s="48"/>
      <c r="AH2923" s="48"/>
      <c r="AI2923" s="48"/>
      <c r="AJ2923" s="48"/>
      <c r="AK2923" s="48"/>
      <c r="AL2923" s="48"/>
      <c r="AM2923" s="48"/>
      <c r="AN2923" s="48"/>
      <c r="AO2923" s="48"/>
      <c r="AP2923" s="48"/>
      <c r="AQ2923" s="48"/>
      <c r="AR2923" s="48"/>
      <c r="AS2923" s="48"/>
      <c r="AT2923" s="48"/>
      <c r="AU2923" s="48"/>
      <c r="AV2923" s="48"/>
      <c r="AW2923" s="48"/>
      <c r="AX2923" s="48"/>
      <c r="AY2923" s="48"/>
      <c r="AZ2923" s="48"/>
      <c r="BA2923" s="48"/>
      <c r="BB2923" s="48"/>
      <c r="BC2923" s="48"/>
      <c r="BD2923" s="48"/>
    </row>
    <row r="2924" spans="1:56">
      <c r="A2924" s="48"/>
      <c r="B2924" s="48"/>
      <c r="C2924" s="49"/>
      <c r="D2924" s="48"/>
      <c r="E2924" s="48"/>
      <c r="F2924" s="48"/>
      <c r="G2924" s="48"/>
      <c r="H2924" s="48"/>
      <c r="I2924" s="48"/>
      <c r="J2924" s="86"/>
      <c r="K2924" s="86"/>
      <c r="L2924" s="86"/>
      <c r="M2924" s="86"/>
      <c r="N2924" s="86"/>
      <c r="O2924" s="86"/>
      <c r="P2924" s="86"/>
      <c r="Q2924" s="86"/>
      <c r="R2924" s="86"/>
      <c r="S2924" s="86"/>
      <c r="T2924" s="86"/>
      <c r="U2924" s="86"/>
      <c r="V2924" s="48"/>
      <c r="W2924" s="48"/>
      <c r="X2924" s="48"/>
      <c r="Y2924" s="48"/>
      <c r="Z2924" s="48"/>
      <c r="AA2924" s="48"/>
      <c r="AB2924" s="48"/>
      <c r="AC2924" s="48"/>
      <c r="AD2924" s="48"/>
      <c r="AE2924" s="48"/>
      <c r="AF2924" s="48"/>
      <c r="AG2924" s="48"/>
      <c r="AH2924" s="48"/>
      <c r="AI2924" s="48"/>
      <c r="AJ2924" s="48"/>
      <c r="AK2924" s="48"/>
      <c r="AL2924" s="48"/>
      <c r="AM2924" s="48"/>
      <c r="AN2924" s="48"/>
      <c r="AO2924" s="48"/>
      <c r="AP2924" s="48"/>
      <c r="AQ2924" s="48"/>
      <c r="AR2924" s="48"/>
      <c r="AS2924" s="48"/>
      <c r="AT2924" s="48"/>
      <c r="AU2924" s="48"/>
      <c r="AV2924" s="48"/>
      <c r="AW2924" s="48"/>
      <c r="AX2924" s="48"/>
      <c r="AY2924" s="48"/>
      <c r="AZ2924" s="48"/>
      <c r="BA2924" s="48"/>
      <c r="BB2924" s="48"/>
      <c r="BC2924" s="48"/>
      <c r="BD2924" s="48"/>
    </row>
    <row r="2925" spans="1:56">
      <c r="A2925" s="48"/>
      <c r="B2925" s="48"/>
      <c r="C2925" s="49"/>
      <c r="D2925" s="48"/>
      <c r="E2925" s="48"/>
      <c r="F2925" s="48"/>
      <c r="G2925" s="48"/>
      <c r="H2925" s="48"/>
      <c r="I2925" s="48"/>
      <c r="J2925" s="86"/>
      <c r="K2925" s="86"/>
      <c r="L2925" s="86"/>
      <c r="M2925" s="86"/>
      <c r="N2925" s="86"/>
      <c r="O2925" s="86"/>
      <c r="P2925" s="86"/>
      <c r="Q2925" s="86"/>
      <c r="R2925" s="86"/>
      <c r="S2925" s="86"/>
      <c r="T2925" s="86"/>
      <c r="U2925" s="86"/>
      <c r="V2925" s="48"/>
      <c r="W2925" s="48"/>
      <c r="X2925" s="48"/>
      <c r="Y2925" s="48"/>
      <c r="Z2925" s="48"/>
      <c r="AA2925" s="48"/>
      <c r="AB2925" s="48"/>
      <c r="AC2925" s="48"/>
      <c r="AD2925" s="48"/>
      <c r="AE2925" s="48"/>
      <c r="AF2925" s="48"/>
      <c r="AG2925" s="48"/>
      <c r="AH2925" s="48"/>
      <c r="AI2925" s="48"/>
      <c r="AJ2925" s="48"/>
      <c r="AK2925" s="48"/>
      <c r="AL2925" s="48"/>
      <c r="AM2925" s="48"/>
      <c r="AN2925" s="48"/>
      <c r="AO2925" s="48"/>
      <c r="AP2925" s="48"/>
      <c r="AQ2925" s="48"/>
      <c r="AR2925" s="48"/>
      <c r="AS2925" s="48"/>
      <c r="AT2925" s="48"/>
      <c r="AU2925" s="48"/>
      <c r="AV2925" s="48"/>
      <c r="AW2925" s="48"/>
      <c r="AX2925" s="48"/>
      <c r="AY2925" s="48"/>
      <c r="AZ2925" s="48"/>
      <c r="BA2925" s="48"/>
      <c r="BB2925" s="48"/>
      <c r="BC2925" s="48"/>
      <c r="BD2925" s="48"/>
    </row>
    <row r="2926" spans="1:56">
      <c r="A2926" s="48"/>
      <c r="B2926" s="48"/>
      <c r="C2926" s="49"/>
      <c r="D2926" s="48"/>
      <c r="E2926" s="48"/>
      <c r="F2926" s="48"/>
      <c r="G2926" s="48"/>
      <c r="H2926" s="48"/>
      <c r="I2926" s="48"/>
      <c r="J2926" s="86"/>
      <c r="K2926" s="86"/>
      <c r="L2926" s="86"/>
      <c r="M2926" s="86"/>
      <c r="N2926" s="86"/>
      <c r="O2926" s="86"/>
      <c r="P2926" s="86"/>
      <c r="Q2926" s="86"/>
      <c r="R2926" s="86"/>
      <c r="S2926" s="86"/>
      <c r="T2926" s="86"/>
      <c r="U2926" s="86"/>
      <c r="V2926" s="48"/>
      <c r="W2926" s="48"/>
      <c r="X2926" s="48"/>
      <c r="Y2926" s="48"/>
      <c r="Z2926" s="48"/>
      <c r="AA2926" s="48"/>
      <c r="AB2926" s="48"/>
      <c r="AC2926" s="48"/>
      <c r="AD2926" s="48"/>
      <c r="AE2926" s="48"/>
      <c r="AF2926" s="48"/>
      <c r="AG2926" s="48"/>
      <c r="AH2926" s="48"/>
      <c r="AI2926" s="48"/>
      <c r="AJ2926" s="48"/>
      <c r="AK2926" s="48"/>
      <c r="AL2926" s="48"/>
      <c r="AM2926" s="48"/>
      <c r="AN2926" s="48"/>
      <c r="AO2926" s="48"/>
      <c r="AP2926" s="48"/>
      <c r="AQ2926" s="48"/>
      <c r="AR2926" s="48"/>
      <c r="AS2926" s="48"/>
      <c r="AT2926" s="48"/>
      <c r="AU2926" s="48"/>
      <c r="AV2926" s="48"/>
      <c r="AW2926" s="48"/>
      <c r="AX2926" s="48"/>
      <c r="AY2926" s="48"/>
      <c r="AZ2926" s="48"/>
      <c r="BA2926" s="48"/>
      <c r="BB2926" s="48"/>
      <c r="BC2926" s="48"/>
      <c r="BD2926" s="48"/>
    </row>
    <row r="2927" spans="1:56">
      <c r="A2927" s="48"/>
      <c r="B2927" s="48"/>
      <c r="C2927" s="49"/>
      <c r="D2927" s="48"/>
      <c r="E2927" s="48"/>
      <c r="F2927" s="48"/>
      <c r="G2927" s="48"/>
      <c r="H2927" s="48"/>
      <c r="I2927" s="48"/>
      <c r="J2927" s="86"/>
      <c r="K2927" s="86"/>
      <c r="L2927" s="86"/>
      <c r="M2927" s="86"/>
      <c r="N2927" s="86"/>
      <c r="O2927" s="86"/>
      <c r="P2927" s="86"/>
      <c r="Q2927" s="86"/>
      <c r="R2927" s="86"/>
      <c r="S2927" s="86"/>
      <c r="T2927" s="86"/>
      <c r="U2927" s="86"/>
      <c r="V2927" s="48"/>
      <c r="W2927" s="48"/>
      <c r="X2927" s="48"/>
      <c r="Y2927" s="48"/>
      <c r="Z2927" s="48"/>
      <c r="AA2927" s="48"/>
      <c r="AB2927" s="48"/>
      <c r="AC2927" s="48"/>
      <c r="AD2927" s="48"/>
      <c r="AE2927" s="48"/>
      <c r="AF2927" s="48"/>
      <c r="AG2927" s="48"/>
      <c r="AH2927" s="48"/>
      <c r="AI2927" s="48"/>
      <c r="AJ2927" s="48"/>
      <c r="AK2927" s="48"/>
      <c r="AL2927" s="48"/>
      <c r="AM2927" s="48"/>
      <c r="AN2927" s="48"/>
      <c r="AO2927" s="48"/>
      <c r="AP2927" s="48"/>
      <c r="AQ2927" s="48"/>
      <c r="AR2927" s="48"/>
      <c r="AS2927" s="48"/>
      <c r="AT2927" s="48"/>
      <c r="AU2927" s="48"/>
      <c r="AV2927" s="48"/>
      <c r="AW2927" s="48"/>
      <c r="AX2927" s="48"/>
      <c r="AY2927" s="48"/>
      <c r="AZ2927" s="48"/>
      <c r="BA2927" s="48"/>
      <c r="BB2927" s="48"/>
      <c r="BC2927" s="48"/>
      <c r="BD2927" s="48"/>
    </row>
    <row r="2928" spans="1:56">
      <c r="A2928" s="48"/>
      <c r="B2928" s="48"/>
      <c r="C2928" s="49"/>
      <c r="D2928" s="48"/>
      <c r="E2928" s="48"/>
      <c r="F2928" s="48"/>
      <c r="G2928" s="48"/>
      <c r="H2928" s="48"/>
      <c r="I2928" s="48"/>
      <c r="J2928" s="86"/>
      <c r="K2928" s="86"/>
      <c r="L2928" s="86"/>
      <c r="M2928" s="86"/>
      <c r="N2928" s="86"/>
      <c r="O2928" s="86"/>
      <c r="P2928" s="86"/>
      <c r="Q2928" s="86"/>
      <c r="R2928" s="86"/>
      <c r="S2928" s="86"/>
      <c r="T2928" s="86"/>
      <c r="U2928" s="86"/>
      <c r="V2928" s="48"/>
      <c r="W2928" s="48"/>
      <c r="X2928" s="48"/>
      <c r="Y2928" s="48"/>
      <c r="Z2928" s="48"/>
      <c r="AA2928" s="48"/>
      <c r="AB2928" s="48"/>
      <c r="AC2928" s="48"/>
      <c r="AD2928" s="48"/>
      <c r="AE2928" s="48"/>
      <c r="AF2928" s="48"/>
      <c r="AG2928" s="48"/>
      <c r="AH2928" s="48"/>
      <c r="AI2928" s="48"/>
      <c r="AJ2928" s="48"/>
      <c r="AK2928" s="48"/>
      <c r="AL2928" s="48"/>
      <c r="AM2928" s="48"/>
      <c r="AN2928" s="48"/>
      <c r="AO2928" s="48"/>
      <c r="AP2928" s="48"/>
      <c r="AQ2928" s="48"/>
      <c r="AR2928" s="48"/>
      <c r="AS2928" s="48"/>
      <c r="AT2928" s="48"/>
      <c r="AU2928" s="48"/>
      <c r="AV2928" s="48"/>
      <c r="AW2928" s="48"/>
      <c r="AX2928" s="48"/>
      <c r="AY2928" s="48"/>
      <c r="AZ2928" s="48"/>
      <c r="BA2928" s="48"/>
      <c r="BB2928" s="48"/>
      <c r="BC2928" s="48"/>
      <c r="BD2928" s="48"/>
    </row>
    <row r="2929" spans="1:56">
      <c r="A2929" s="48"/>
      <c r="B2929" s="48"/>
      <c r="C2929" s="49"/>
      <c r="D2929" s="48"/>
      <c r="E2929" s="48"/>
      <c r="F2929" s="48"/>
      <c r="G2929" s="48"/>
      <c r="H2929" s="48"/>
      <c r="I2929" s="48"/>
      <c r="J2929" s="86"/>
      <c r="K2929" s="86"/>
      <c r="L2929" s="86"/>
      <c r="M2929" s="86"/>
      <c r="N2929" s="86"/>
      <c r="O2929" s="86"/>
      <c r="P2929" s="86"/>
      <c r="Q2929" s="86"/>
      <c r="R2929" s="86"/>
      <c r="S2929" s="86"/>
      <c r="T2929" s="86"/>
      <c r="U2929" s="86"/>
      <c r="V2929" s="48"/>
      <c r="W2929" s="48"/>
      <c r="X2929" s="48"/>
      <c r="Y2929" s="48"/>
      <c r="Z2929" s="48"/>
      <c r="AA2929" s="48"/>
      <c r="AB2929" s="48"/>
      <c r="AC2929" s="48"/>
      <c r="AD2929" s="48"/>
      <c r="AE2929" s="48"/>
      <c r="AF2929" s="48"/>
      <c r="AG2929" s="48"/>
      <c r="AH2929" s="48"/>
      <c r="AI2929" s="48"/>
      <c r="AJ2929" s="48"/>
      <c r="AK2929" s="48"/>
      <c r="AL2929" s="48"/>
      <c r="AM2929" s="48"/>
      <c r="AN2929" s="48"/>
      <c r="AO2929" s="48"/>
      <c r="AP2929" s="48"/>
      <c r="AQ2929" s="48"/>
      <c r="AR2929" s="48"/>
      <c r="AS2929" s="48"/>
      <c r="AT2929" s="48"/>
      <c r="AU2929" s="48"/>
      <c r="AV2929" s="48"/>
      <c r="AW2929" s="48"/>
      <c r="AX2929" s="48"/>
      <c r="AY2929" s="48"/>
      <c r="AZ2929" s="48"/>
      <c r="BA2929" s="48"/>
      <c r="BB2929" s="48"/>
      <c r="BC2929" s="48"/>
      <c r="BD2929" s="48"/>
    </row>
    <row r="2930" spans="1:56">
      <c r="A2930" s="48"/>
      <c r="B2930" s="48"/>
      <c r="C2930" s="49"/>
      <c r="D2930" s="48"/>
      <c r="E2930" s="48"/>
      <c r="F2930" s="48"/>
      <c r="G2930" s="48"/>
      <c r="H2930" s="48"/>
      <c r="I2930" s="48"/>
      <c r="J2930" s="86"/>
      <c r="K2930" s="86"/>
      <c r="L2930" s="86"/>
      <c r="M2930" s="86"/>
      <c r="N2930" s="86"/>
      <c r="O2930" s="86"/>
      <c r="P2930" s="86"/>
      <c r="Q2930" s="86"/>
      <c r="R2930" s="86"/>
      <c r="S2930" s="86"/>
      <c r="T2930" s="86"/>
      <c r="U2930" s="86"/>
      <c r="V2930" s="48"/>
      <c r="W2930" s="48"/>
      <c r="X2930" s="48"/>
      <c r="Y2930" s="48"/>
      <c r="Z2930" s="48"/>
      <c r="AA2930" s="48"/>
      <c r="AB2930" s="48"/>
      <c r="AC2930" s="48"/>
      <c r="AD2930" s="48"/>
      <c r="AE2930" s="48"/>
      <c r="AF2930" s="48"/>
      <c r="AG2930" s="48"/>
      <c r="AH2930" s="48"/>
      <c r="AI2930" s="48"/>
      <c r="AJ2930" s="48"/>
      <c r="AK2930" s="48"/>
      <c r="AL2930" s="48"/>
      <c r="AM2930" s="48"/>
      <c r="AN2930" s="48"/>
      <c r="AO2930" s="48"/>
      <c r="AP2930" s="48"/>
      <c r="AQ2930" s="48"/>
      <c r="AR2930" s="48"/>
      <c r="AS2930" s="48"/>
      <c r="AT2930" s="48"/>
      <c r="AU2930" s="48"/>
      <c r="AV2930" s="48"/>
      <c r="AW2930" s="48"/>
      <c r="AX2930" s="48"/>
      <c r="AY2930" s="48"/>
      <c r="AZ2930" s="48"/>
      <c r="BA2930" s="48"/>
      <c r="BB2930" s="48"/>
      <c r="BC2930" s="48"/>
      <c r="BD2930" s="48"/>
    </row>
    <row r="2931" spans="1:56">
      <c r="A2931" s="48"/>
      <c r="B2931" s="48"/>
      <c r="C2931" s="49"/>
      <c r="D2931" s="48"/>
      <c r="E2931" s="48"/>
      <c r="F2931" s="48"/>
      <c r="G2931" s="48"/>
      <c r="H2931" s="48"/>
      <c r="I2931" s="48"/>
      <c r="J2931" s="86"/>
      <c r="K2931" s="86"/>
      <c r="L2931" s="86"/>
      <c r="M2931" s="86"/>
      <c r="N2931" s="86"/>
      <c r="O2931" s="86"/>
      <c r="P2931" s="86"/>
      <c r="Q2931" s="86"/>
      <c r="R2931" s="86"/>
      <c r="S2931" s="86"/>
      <c r="T2931" s="86"/>
      <c r="U2931" s="86"/>
      <c r="V2931" s="48"/>
      <c r="W2931" s="48"/>
      <c r="X2931" s="48"/>
      <c r="Y2931" s="48"/>
      <c r="Z2931" s="48"/>
      <c r="AA2931" s="48"/>
      <c r="AB2931" s="48"/>
      <c r="AC2931" s="48"/>
      <c r="AD2931" s="48"/>
      <c r="AE2931" s="48"/>
      <c r="AF2931" s="48"/>
      <c r="AG2931" s="48"/>
      <c r="AH2931" s="48"/>
      <c r="AI2931" s="48"/>
      <c r="AJ2931" s="48"/>
      <c r="AK2931" s="48"/>
      <c r="AL2931" s="48"/>
      <c r="AM2931" s="48"/>
      <c r="AN2931" s="48"/>
      <c r="AO2931" s="48"/>
      <c r="AP2931" s="48"/>
      <c r="AQ2931" s="48"/>
      <c r="AR2931" s="48"/>
      <c r="AS2931" s="48"/>
      <c r="AT2931" s="48"/>
      <c r="AU2931" s="48"/>
      <c r="AV2931" s="48"/>
      <c r="AW2931" s="48"/>
      <c r="AX2931" s="48"/>
      <c r="AY2931" s="48"/>
      <c r="AZ2931" s="48"/>
      <c r="BA2931" s="48"/>
      <c r="BB2931" s="48"/>
      <c r="BC2931" s="48"/>
      <c r="BD2931" s="48"/>
    </row>
    <row r="2932" spans="1:56">
      <c r="A2932" s="48"/>
      <c r="B2932" s="48"/>
      <c r="C2932" s="49"/>
      <c r="D2932" s="48"/>
      <c r="E2932" s="48"/>
      <c r="F2932" s="48"/>
      <c r="G2932" s="48"/>
      <c r="H2932" s="48"/>
      <c r="I2932" s="48"/>
      <c r="J2932" s="86"/>
      <c r="K2932" s="86"/>
      <c r="L2932" s="86"/>
      <c r="M2932" s="86"/>
      <c r="N2932" s="86"/>
      <c r="O2932" s="86"/>
      <c r="P2932" s="86"/>
      <c r="Q2932" s="86"/>
      <c r="R2932" s="86"/>
      <c r="S2932" s="86"/>
      <c r="T2932" s="86"/>
      <c r="U2932" s="86"/>
      <c r="V2932" s="48"/>
      <c r="W2932" s="48"/>
      <c r="X2932" s="48"/>
      <c r="Y2932" s="48"/>
      <c r="Z2932" s="48"/>
      <c r="AA2932" s="48"/>
      <c r="AB2932" s="48"/>
      <c r="AC2932" s="48"/>
      <c r="AD2932" s="48"/>
      <c r="AE2932" s="48"/>
      <c r="AF2932" s="48"/>
      <c r="AG2932" s="48"/>
      <c r="AH2932" s="48"/>
      <c r="AI2932" s="48"/>
      <c r="AJ2932" s="48"/>
      <c r="AK2932" s="48"/>
      <c r="AL2932" s="48"/>
      <c r="AM2932" s="48"/>
      <c r="AN2932" s="48"/>
      <c r="AO2932" s="48"/>
      <c r="AP2932" s="48"/>
      <c r="AQ2932" s="48"/>
      <c r="AR2932" s="48"/>
      <c r="AS2932" s="48"/>
      <c r="AT2932" s="48"/>
      <c r="AU2932" s="48"/>
      <c r="AV2932" s="48"/>
      <c r="AW2932" s="48"/>
      <c r="AX2932" s="48"/>
      <c r="AY2932" s="48"/>
      <c r="AZ2932" s="48"/>
      <c r="BA2932" s="48"/>
      <c r="BB2932" s="48"/>
      <c r="BC2932" s="48"/>
      <c r="BD2932" s="48"/>
    </row>
    <row r="2933" spans="1:56">
      <c r="A2933" s="48"/>
      <c r="B2933" s="48"/>
      <c r="C2933" s="49"/>
      <c r="D2933" s="48"/>
      <c r="E2933" s="48"/>
      <c r="F2933" s="48"/>
      <c r="G2933" s="48"/>
      <c r="H2933" s="48"/>
      <c r="I2933" s="48"/>
      <c r="J2933" s="86"/>
      <c r="K2933" s="86"/>
      <c r="L2933" s="86"/>
      <c r="M2933" s="86"/>
      <c r="N2933" s="86"/>
      <c r="O2933" s="86"/>
      <c r="P2933" s="86"/>
      <c r="Q2933" s="86"/>
      <c r="R2933" s="86"/>
      <c r="S2933" s="86"/>
      <c r="T2933" s="86"/>
      <c r="U2933" s="86"/>
      <c r="V2933" s="48"/>
      <c r="W2933" s="48"/>
      <c r="X2933" s="48"/>
      <c r="Y2933" s="48"/>
      <c r="Z2933" s="48"/>
      <c r="AA2933" s="48"/>
      <c r="AB2933" s="48"/>
      <c r="AC2933" s="48"/>
      <c r="AD2933" s="48"/>
      <c r="AE2933" s="48"/>
      <c r="AF2933" s="48"/>
      <c r="AG2933" s="48"/>
      <c r="AH2933" s="48"/>
      <c r="AI2933" s="48"/>
      <c r="AJ2933" s="48"/>
      <c r="AK2933" s="48"/>
      <c r="AL2933" s="48"/>
      <c r="AM2933" s="48"/>
      <c r="AN2933" s="48"/>
      <c r="AO2933" s="48"/>
      <c r="AP2933" s="48"/>
      <c r="AQ2933" s="48"/>
      <c r="AR2933" s="48"/>
      <c r="AS2933" s="48"/>
      <c r="AT2933" s="48"/>
      <c r="AU2933" s="48"/>
      <c r="AV2933" s="48"/>
      <c r="AW2933" s="48"/>
      <c r="AX2933" s="48"/>
      <c r="AY2933" s="48"/>
      <c r="AZ2933" s="48"/>
      <c r="BA2933" s="48"/>
      <c r="BB2933" s="48"/>
      <c r="BC2933" s="48"/>
      <c r="BD2933" s="48"/>
    </row>
    <row r="2934" spans="1:56">
      <c r="A2934" s="48"/>
      <c r="B2934" s="48"/>
      <c r="C2934" s="49"/>
      <c r="D2934" s="48"/>
      <c r="E2934" s="48"/>
      <c r="F2934" s="48"/>
      <c r="G2934" s="48"/>
      <c r="H2934" s="48"/>
      <c r="I2934" s="48"/>
      <c r="J2934" s="86"/>
      <c r="K2934" s="86"/>
      <c r="L2934" s="86"/>
      <c r="M2934" s="86"/>
      <c r="N2934" s="86"/>
      <c r="O2934" s="86"/>
      <c r="P2934" s="86"/>
      <c r="Q2934" s="86"/>
      <c r="R2934" s="86"/>
      <c r="S2934" s="86"/>
      <c r="T2934" s="86"/>
      <c r="U2934" s="86"/>
      <c r="V2934" s="48"/>
      <c r="W2934" s="48"/>
      <c r="X2934" s="48"/>
      <c r="Y2934" s="48"/>
      <c r="Z2934" s="48"/>
      <c r="AA2934" s="48"/>
      <c r="AB2934" s="48"/>
      <c r="AC2934" s="48"/>
      <c r="AD2934" s="48"/>
      <c r="AE2934" s="48"/>
      <c r="AF2934" s="48"/>
      <c r="AG2934" s="48"/>
      <c r="AH2934" s="48"/>
      <c r="AI2934" s="48"/>
      <c r="AJ2934" s="48"/>
      <c r="AK2934" s="48"/>
      <c r="AL2934" s="48"/>
      <c r="AM2934" s="48"/>
      <c r="AN2934" s="48"/>
      <c r="AO2934" s="48"/>
      <c r="AP2934" s="48"/>
      <c r="AQ2934" s="48"/>
      <c r="AR2934" s="48"/>
      <c r="AS2934" s="48"/>
      <c r="AT2934" s="48"/>
      <c r="AU2934" s="48"/>
      <c r="AV2934" s="48"/>
      <c r="AW2934" s="48"/>
      <c r="AX2934" s="48"/>
      <c r="AY2934" s="48"/>
      <c r="AZ2934" s="48"/>
      <c r="BA2934" s="48"/>
      <c r="BB2934" s="48"/>
      <c r="BC2934" s="48"/>
      <c r="BD2934" s="48"/>
    </row>
    <row r="2935" spans="1:56">
      <c r="A2935" s="48"/>
      <c r="B2935" s="48"/>
      <c r="C2935" s="49"/>
      <c r="D2935" s="48"/>
      <c r="E2935" s="48"/>
      <c r="F2935" s="48"/>
      <c r="G2935" s="48"/>
      <c r="H2935" s="48"/>
      <c r="I2935" s="48"/>
      <c r="J2935" s="86"/>
      <c r="K2935" s="86"/>
      <c r="L2935" s="86"/>
      <c r="M2935" s="86"/>
      <c r="N2935" s="86"/>
      <c r="O2935" s="86"/>
      <c r="P2935" s="86"/>
      <c r="Q2935" s="86"/>
      <c r="R2935" s="86"/>
      <c r="S2935" s="86"/>
      <c r="T2935" s="86"/>
      <c r="U2935" s="86"/>
      <c r="V2935" s="48"/>
      <c r="W2935" s="48"/>
      <c r="X2935" s="48"/>
      <c r="Y2935" s="48"/>
      <c r="Z2935" s="48"/>
      <c r="AA2935" s="48"/>
      <c r="AB2935" s="48"/>
      <c r="AC2935" s="48"/>
      <c r="AD2935" s="48"/>
      <c r="AE2935" s="48"/>
      <c r="AF2935" s="48"/>
      <c r="AG2935" s="48"/>
      <c r="AH2935" s="48"/>
      <c r="AI2935" s="48"/>
      <c r="AJ2935" s="48"/>
      <c r="AK2935" s="48"/>
      <c r="AL2935" s="48"/>
      <c r="AM2935" s="48"/>
      <c r="AN2935" s="48"/>
      <c r="AO2935" s="48"/>
      <c r="AP2935" s="48"/>
      <c r="AQ2935" s="48"/>
      <c r="AR2935" s="48"/>
      <c r="AS2935" s="48"/>
      <c r="AT2935" s="48"/>
      <c r="AU2935" s="48"/>
      <c r="AV2935" s="48"/>
      <c r="AW2935" s="48"/>
      <c r="AX2935" s="48"/>
      <c r="AY2935" s="48"/>
      <c r="AZ2935" s="48"/>
      <c r="BA2935" s="48"/>
      <c r="BB2935" s="48"/>
      <c r="BC2935" s="48"/>
      <c r="BD2935" s="48"/>
    </row>
    <row r="2936" spans="1:56">
      <c r="A2936" s="48"/>
      <c r="B2936" s="48"/>
      <c r="C2936" s="49"/>
      <c r="D2936" s="48"/>
      <c r="E2936" s="48"/>
      <c r="F2936" s="48"/>
      <c r="G2936" s="48"/>
      <c r="H2936" s="48"/>
      <c r="I2936" s="48"/>
      <c r="J2936" s="86"/>
      <c r="K2936" s="86"/>
      <c r="L2936" s="86"/>
      <c r="M2936" s="86"/>
      <c r="N2936" s="86"/>
      <c r="O2936" s="86"/>
      <c r="P2936" s="86"/>
      <c r="Q2936" s="86"/>
      <c r="R2936" s="86"/>
      <c r="S2936" s="86"/>
      <c r="T2936" s="86"/>
      <c r="U2936" s="86"/>
      <c r="V2936" s="48"/>
      <c r="W2936" s="48"/>
      <c r="X2936" s="48"/>
      <c r="Y2936" s="48"/>
      <c r="Z2936" s="48"/>
      <c r="AA2936" s="48"/>
      <c r="AB2936" s="48"/>
      <c r="AC2936" s="48"/>
      <c r="AD2936" s="48"/>
      <c r="AE2936" s="48"/>
      <c r="AF2936" s="48"/>
      <c r="AG2936" s="48"/>
      <c r="AH2936" s="48"/>
      <c r="AI2936" s="48"/>
      <c r="AJ2936" s="48"/>
      <c r="AK2936" s="48"/>
      <c r="AL2936" s="48"/>
      <c r="AM2936" s="48"/>
      <c r="AN2936" s="48"/>
      <c r="AO2936" s="48"/>
      <c r="AP2936" s="48"/>
      <c r="AQ2936" s="48"/>
      <c r="AR2936" s="48"/>
      <c r="AS2936" s="48"/>
      <c r="AT2936" s="48"/>
      <c r="AU2936" s="48"/>
      <c r="AV2936" s="48"/>
      <c r="AW2936" s="48"/>
      <c r="AX2936" s="48"/>
      <c r="AY2936" s="48"/>
      <c r="AZ2936" s="48"/>
      <c r="BA2936" s="48"/>
      <c r="BB2936" s="48"/>
      <c r="BC2936" s="48"/>
      <c r="BD2936" s="48"/>
    </row>
    <row r="2937" spans="1:56">
      <c r="A2937" s="48"/>
      <c r="B2937" s="48"/>
      <c r="C2937" s="49"/>
      <c r="D2937" s="48"/>
      <c r="E2937" s="48"/>
      <c r="F2937" s="48"/>
      <c r="G2937" s="48"/>
      <c r="H2937" s="48"/>
      <c r="I2937" s="48"/>
      <c r="J2937" s="86"/>
      <c r="K2937" s="86"/>
      <c r="L2937" s="86"/>
      <c r="M2937" s="86"/>
      <c r="N2937" s="86"/>
      <c r="O2937" s="86"/>
      <c r="P2937" s="86"/>
      <c r="Q2937" s="86"/>
      <c r="R2937" s="86"/>
      <c r="S2937" s="86"/>
      <c r="T2937" s="86"/>
      <c r="U2937" s="86"/>
      <c r="V2937" s="48"/>
      <c r="W2937" s="48"/>
      <c r="X2937" s="48"/>
      <c r="Y2937" s="48"/>
      <c r="Z2937" s="48"/>
      <c r="AA2937" s="48"/>
      <c r="AB2937" s="48"/>
      <c r="AC2937" s="48"/>
      <c r="AD2937" s="48"/>
      <c r="AE2937" s="48"/>
      <c r="AF2937" s="48"/>
      <c r="AG2937" s="48"/>
      <c r="AH2937" s="48"/>
      <c r="AI2937" s="48"/>
      <c r="AJ2937" s="48"/>
      <c r="AK2937" s="48"/>
      <c r="AL2937" s="48"/>
      <c r="AM2937" s="48"/>
      <c r="AN2937" s="48"/>
      <c r="AO2937" s="48"/>
      <c r="AP2937" s="48"/>
      <c r="AQ2937" s="48"/>
      <c r="AR2937" s="48"/>
      <c r="AS2937" s="48"/>
      <c r="AT2937" s="48"/>
      <c r="AU2937" s="48"/>
      <c r="AV2937" s="48"/>
      <c r="AW2937" s="48"/>
      <c r="AX2937" s="48"/>
      <c r="AY2937" s="48"/>
      <c r="AZ2937" s="48"/>
      <c r="BA2937" s="48"/>
      <c r="BB2937" s="48"/>
      <c r="BC2937" s="48"/>
      <c r="BD2937" s="48"/>
    </row>
    <row r="2938" spans="1:56">
      <c r="A2938" s="48"/>
      <c r="B2938" s="48"/>
      <c r="C2938" s="49"/>
      <c r="D2938" s="48"/>
      <c r="E2938" s="48"/>
      <c r="F2938" s="48"/>
      <c r="G2938" s="48"/>
      <c r="H2938" s="48"/>
      <c r="I2938" s="48"/>
      <c r="J2938" s="86"/>
      <c r="K2938" s="86"/>
      <c r="L2938" s="86"/>
      <c r="M2938" s="86"/>
      <c r="N2938" s="86"/>
      <c r="O2938" s="86"/>
      <c r="P2938" s="86"/>
      <c r="Q2938" s="86"/>
      <c r="R2938" s="86"/>
      <c r="S2938" s="86"/>
      <c r="T2938" s="86"/>
      <c r="U2938" s="86"/>
      <c r="V2938" s="48"/>
      <c r="W2938" s="48"/>
      <c r="X2938" s="48"/>
      <c r="Y2938" s="48"/>
      <c r="Z2938" s="48"/>
      <c r="AA2938" s="48"/>
      <c r="AB2938" s="48"/>
      <c r="AC2938" s="48"/>
      <c r="AD2938" s="48"/>
      <c r="AE2938" s="48"/>
      <c r="AF2938" s="48"/>
      <c r="AG2938" s="48"/>
      <c r="AH2938" s="48"/>
      <c r="AI2938" s="48"/>
      <c r="AJ2938" s="48"/>
      <c r="AK2938" s="48"/>
      <c r="AL2938" s="48"/>
      <c r="AM2938" s="48"/>
      <c r="AN2938" s="48"/>
      <c r="AO2938" s="48"/>
      <c r="AP2938" s="48"/>
      <c r="AQ2938" s="48"/>
      <c r="AR2938" s="48"/>
      <c r="AS2938" s="48"/>
      <c r="AT2938" s="48"/>
      <c r="AU2938" s="48"/>
      <c r="AV2938" s="48"/>
      <c r="AW2938" s="48"/>
      <c r="AX2938" s="48"/>
      <c r="AY2938" s="48"/>
      <c r="AZ2938" s="48"/>
      <c r="BA2938" s="48"/>
      <c r="BB2938" s="48"/>
      <c r="BC2938" s="48"/>
      <c r="BD2938" s="48"/>
    </row>
    <row r="2939" spans="1:56">
      <c r="A2939" s="48"/>
      <c r="B2939" s="48"/>
      <c r="C2939" s="49"/>
      <c r="D2939" s="48"/>
      <c r="E2939" s="48"/>
      <c r="F2939" s="48"/>
      <c r="G2939" s="48"/>
      <c r="H2939" s="48"/>
      <c r="I2939" s="48"/>
      <c r="J2939" s="86"/>
      <c r="K2939" s="86"/>
      <c r="L2939" s="86"/>
      <c r="M2939" s="86"/>
      <c r="N2939" s="86"/>
      <c r="O2939" s="86"/>
      <c r="P2939" s="86"/>
      <c r="Q2939" s="86"/>
      <c r="R2939" s="86"/>
      <c r="S2939" s="86"/>
      <c r="T2939" s="86"/>
      <c r="U2939" s="86"/>
      <c r="V2939" s="48"/>
      <c r="W2939" s="48"/>
      <c r="X2939" s="48"/>
      <c r="Y2939" s="48"/>
      <c r="Z2939" s="48"/>
      <c r="AA2939" s="48"/>
      <c r="AB2939" s="48"/>
      <c r="AC2939" s="48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48"/>
      <c r="BB2939" s="48"/>
      <c r="BC2939" s="48"/>
      <c r="BD2939" s="48"/>
    </row>
    <row r="2940" spans="1:56">
      <c r="A2940" s="48"/>
      <c r="B2940" s="48"/>
      <c r="C2940" s="49"/>
      <c r="D2940" s="48"/>
      <c r="E2940" s="48"/>
      <c r="F2940" s="48"/>
      <c r="G2940" s="48"/>
      <c r="H2940" s="48"/>
      <c r="I2940" s="48"/>
      <c r="J2940" s="86"/>
      <c r="K2940" s="86"/>
      <c r="L2940" s="86"/>
      <c r="M2940" s="86"/>
      <c r="N2940" s="86"/>
      <c r="O2940" s="86"/>
      <c r="P2940" s="86"/>
      <c r="Q2940" s="86"/>
      <c r="R2940" s="86"/>
      <c r="S2940" s="86"/>
      <c r="T2940" s="86"/>
      <c r="U2940" s="86"/>
      <c r="V2940" s="48"/>
      <c r="W2940" s="48"/>
      <c r="X2940" s="48"/>
      <c r="Y2940" s="48"/>
      <c r="Z2940" s="48"/>
      <c r="AA2940" s="48"/>
      <c r="AB2940" s="48"/>
      <c r="AC2940" s="48"/>
      <c r="AD2940" s="48"/>
      <c r="AE2940" s="48"/>
      <c r="AF2940" s="48"/>
      <c r="AG2940" s="48"/>
      <c r="AH2940" s="48"/>
      <c r="AI2940" s="48"/>
      <c r="AJ2940" s="48"/>
      <c r="AK2940" s="48"/>
      <c r="AL2940" s="48"/>
      <c r="AM2940" s="48"/>
      <c r="AN2940" s="48"/>
      <c r="AO2940" s="48"/>
      <c r="AP2940" s="48"/>
      <c r="AQ2940" s="48"/>
      <c r="AR2940" s="48"/>
      <c r="AS2940" s="48"/>
      <c r="AT2940" s="48"/>
      <c r="AU2940" s="48"/>
      <c r="AV2940" s="48"/>
      <c r="AW2940" s="48"/>
      <c r="AX2940" s="48"/>
      <c r="AY2940" s="48"/>
      <c r="AZ2940" s="48"/>
      <c r="BA2940" s="48"/>
      <c r="BB2940" s="48"/>
      <c r="BC2940" s="48"/>
      <c r="BD2940" s="48"/>
    </row>
    <row r="2941" spans="1:56">
      <c r="A2941" s="48"/>
      <c r="B2941" s="48"/>
      <c r="C2941" s="49"/>
      <c r="D2941" s="48"/>
      <c r="E2941" s="48"/>
      <c r="F2941" s="48"/>
      <c r="G2941" s="48"/>
      <c r="H2941" s="48"/>
      <c r="I2941" s="48"/>
      <c r="J2941" s="86"/>
      <c r="K2941" s="86"/>
      <c r="L2941" s="86"/>
      <c r="M2941" s="86"/>
      <c r="N2941" s="86"/>
      <c r="O2941" s="86"/>
      <c r="P2941" s="86"/>
      <c r="Q2941" s="86"/>
      <c r="R2941" s="86"/>
      <c r="S2941" s="86"/>
      <c r="T2941" s="86"/>
      <c r="U2941" s="86"/>
      <c r="V2941" s="48"/>
      <c r="W2941" s="48"/>
      <c r="X2941" s="48"/>
      <c r="Y2941" s="48"/>
      <c r="Z2941" s="48"/>
      <c r="AA2941" s="48"/>
      <c r="AB2941" s="48"/>
      <c r="AC2941" s="48"/>
      <c r="AD2941" s="48"/>
      <c r="AE2941" s="48"/>
      <c r="AF2941" s="48"/>
      <c r="AG2941" s="48"/>
      <c r="AH2941" s="48"/>
      <c r="AI2941" s="48"/>
      <c r="AJ2941" s="48"/>
      <c r="AK2941" s="48"/>
      <c r="AL2941" s="48"/>
      <c r="AM2941" s="48"/>
      <c r="AN2941" s="48"/>
      <c r="AO2941" s="48"/>
      <c r="AP2941" s="48"/>
      <c r="AQ2941" s="48"/>
      <c r="AR2941" s="48"/>
      <c r="AS2941" s="48"/>
      <c r="AT2941" s="48"/>
      <c r="AU2941" s="48"/>
      <c r="AV2941" s="48"/>
      <c r="AW2941" s="48"/>
      <c r="AX2941" s="48"/>
      <c r="AY2941" s="48"/>
      <c r="AZ2941" s="48"/>
      <c r="BA2941" s="48"/>
      <c r="BB2941" s="48"/>
      <c r="BC2941" s="48"/>
      <c r="BD2941" s="48"/>
    </row>
    <row r="2942" spans="1:56">
      <c r="A2942" s="48"/>
      <c r="B2942" s="48"/>
      <c r="C2942" s="49"/>
      <c r="D2942" s="48"/>
      <c r="E2942" s="48"/>
      <c r="F2942" s="48"/>
      <c r="G2942" s="48"/>
      <c r="H2942" s="48"/>
      <c r="I2942" s="48"/>
      <c r="J2942" s="86"/>
      <c r="K2942" s="86"/>
      <c r="L2942" s="86"/>
      <c r="M2942" s="86"/>
      <c r="N2942" s="86"/>
      <c r="O2942" s="86"/>
      <c r="P2942" s="86"/>
      <c r="Q2942" s="86"/>
      <c r="R2942" s="86"/>
      <c r="S2942" s="86"/>
      <c r="T2942" s="86"/>
      <c r="U2942" s="86"/>
      <c r="V2942" s="48"/>
      <c r="W2942" s="48"/>
      <c r="X2942" s="48"/>
      <c r="Y2942" s="48"/>
      <c r="Z2942" s="48"/>
      <c r="AA2942" s="48"/>
      <c r="AB2942" s="48"/>
      <c r="AC2942" s="48"/>
      <c r="AD2942" s="48"/>
      <c r="AE2942" s="48"/>
      <c r="AF2942" s="48"/>
      <c r="AG2942" s="48"/>
      <c r="AH2942" s="48"/>
      <c r="AI2942" s="48"/>
      <c r="AJ2942" s="48"/>
      <c r="AK2942" s="48"/>
      <c r="AL2942" s="48"/>
      <c r="AM2942" s="48"/>
      <c r="AN2942" s="48"/>
      <c r="AO2942" s="48"/>
      <c r="AP2942" s="48"/>
      <c r="AQ2942" s="48"/>
      <c r="AR2942" s="48"/>
      <c r="AS2942" s="48"/>
      <c r="AT2942" s="48"/>
      <c r="AU2942" s="48"/>
      <c r="AV2942" s="48"/>
      <c r="AW2942" s="48"/>
      <c r="AX2942" s="48"/>
      <c r="AY2942" s="48"/>
      <c r="AZ2942" s="48"/>
      <c r="BA2942" s="48"/>
      <c r="BB2942" s="48"/>
      <c r="BC2942" s="48"/>
      <c r="BD2942" s="48"/>
    </row>
    <row r="2943" spans="1:56">
      <c r="A2943" s="48"/>
      <c r="B2943" s="48"/>
      <c r="C2943" s="49"/>
      <c r="D2943" s="48"/>
      <c r="E2943" s="48"/>
      <c r="F2943" s="48"/>
      <c r="G2943" s="48"/>
      <c r="H2943" s="48"/>
      <c r="I2943" s="48"/>
      <c r="J2943" s="86"/>
      <c r="K2943" s="86"/>
      <c r="L2943" s="86"/>
      <c r="M2943" s="86"/>
      <c r="N2943" s="86"/>
      <c r="O2943" s="86"/>
      <c r="P2943" s="86"/>
      <c r="Q2943" s="86"/>
      <c r="R2943" s="86"/>
      <c r="S2943" s="86"/>
      <c r="T2943" s="86"/>
      <c r="U2943" s="86"/>
      <c r="V2943" s="48"/>
      <c r="W2943" s="48"/>
      <c r="X2943" s="48"/>
      <c r="Y2943" s="48"/>
      <c r="Z2943" s="48"/>
      <c r="AA2943" s="48"/>
      <c r="AB2943" s="48"/>
      <c r="AC2943" s="48"/>
      <c r="AD2943" s="48"/>
      <c r="AE2943" s="48"/>
      <c r="AF2943" s="48"/>
      <c r="AG2943" s="48"/>
      <c r="AH2943" s="48"/>
      <c r="AI2943" s="48"/>
      <c r="AJ2943" s="48"/>
      <c r="AK2943" s="48"/>
      <c r="AL2943" s="48"/>
      <c r="AM2943" s="48"/>
      <c r="AN2943" s="48"/>
      <c r="AO2943" s="48"/>
      <c r="AP2943" s="48"/>
      <c r="AQ2943" s="48"/>
      <c r="AR2943" s="48"/>
      <c r="AS2943" s="48"/>
      <c r="AT2943" s="48"/>
      <c r="AU2943" s="48"/>
      <c r="AV2943" s="48"/>
      <c r="AW2943" s="48"/>
      <c r="AX2943" s="48"/>
      <c r="AY2943" s="48"/>
      <c r="AZ2943" s="48"/>
      <c r="BA2943" s="48"/>
      <c r="BB2943" s="48"/>
      <c r="BC2943" s="48"/>
      <c r="BD2943" s="48"/>
    </row>
    <row r="2944" spans="1:56">
      <c r="A2944" s="48"/>
      <c r="B2944" s="48"/>
      <c r="C2944" s="49"/>
      <c r="D2944" s="48"/>
      <c r="E2944" s="48"/>
      <c r="F2944" s="48"/>
      <c r="G2944" s="48"/>
      <c r="H2944" s="48"/>
      <c r="I2944" s="48"/>
      <c r="J2944" s="86"/>
      <c r="K2944" s="86"/>
      <c r="L2944" s="86"/>
      <c r="M2944" s="86"/>
      <c r="N2944" s="86"/>
      <c r="O2944" s="86"/>
      <c r="P2944" s="86"/>
      <c r="Q2944" s="86"/>
      <c r="R2944" s="86"/>
      <c r="S2944" s="86"/>
      <c r="T2944" s="86"/>
      <c r="U2944" s="86"/>
      <c r="V2944" s="48"/>
      <c r="W2944" s="48"/>
      <c r="X2944" s="48"/>
      <c r="Y2944" s="48"/>
      <c r="Z2944" s="48"/>
      <c r="AA2944" s="48"/>
      <c r="AB2944" s="48"/>
      <c r="AC2944" s="48"/>
      <c r="AD2944" s="48"/>
      <c r="AE2944" s="48"/>
      <c r="AF2944" s="48"/>
      <c r="AG2944" s="48"/>
      <c r="AH2944" s="48"/>
      <c r="AI2944" s="48"/>
      <c r="AJ2944" s="48"/>
      <c r="AK2944" s="48"/>
      <c r="AL2944" s="48"/>
      <c r="AM2944" s="48"/>
      <c r="AN2944" s="48"/>
      <c r="AO2944" s="48"/>
      <c r="AP2944" s="48"/>
      <c r="AQ2944" s="48"/>
      <c r="AR2944" s="48"/>
      <c r="AS2944" s="48"/>
      <c r="AT2944" s="48"/>
      <c r="AU2944" s="48"/>
      <c r="AV2944" s="48"/>
      <c r="AW2944" s="48"/>
      <c r="AX2944" s="48"/>
      <c r="AY2944" s="48"/>
      <c r="AZ2944" s="48"/>
      <c r="BA2944" s="48"/>
      <c r="BB2944" s="48"/>
      <c r="BC2944" s="48"/>
      <c r="BD2944" s="48"/>
    </row>
    <row r="2945" spans="1:56">
      <c r="A2945" s="48"/>
      <c r="B2945" s="48"/>
      <c r="C2945" s="49"/>
      <c r="D2945" s="48"/>
      <c r="E2945" s="48"/>
      <c r="F2945" s="48"/>
      <c r="G2945" s="48"/>
      <c r="H2945" s="48"/>
      <c r="I2945" s="48"/>
      <c r="J2945" s="86"/>
      <c r="K2945" s="86"/>
      <c r="L2945" s="86"/>
      <c r="M2945" s="86"/>
      <c r="N2945" s="86"/>
      <c r="O2945" s="86"/>
      <c r="P2945" s="86"/>
      <c r="Q2945" s="86"/>
      <c r="R2945" s="86"/>
      <c r="S2945" s="86"/>
      <c r="T2945" s="86"/>
      <c r="U2945" s="86"/>
      <c r="V2945" s="48"/>
      <c r="W2945" s="48"/>
      <c r="X2945" s="48"/>
      <c r="Y2945" s="48"/>
      <c r="Z2945" s="48"/>
      <c r="AA2945" s="48"/>
      <c r="AB2945" s="48"/>
      <c r="AC2945" s="48"/>
      <c r="AD2945" s="48"/>
      <c r="AE2945" s="48"/>
      <c r="AF2945" s="48"/>
      <c r="AG2945" s="48"/>
      <c r="AH2945" s="48"/>
      <c r="AI2945" s="48"/>
      <c r="AJ2945" s="48"/>
      <c r="AK2945" s="48"/>
      <c r="AL2945" s="48"/>
      <c r="AM2945" s="48"/>
      <c r="AN2945" s="48"/>
      <c r="AO2945" s="48"/>
      <c r="AP2945" s="48"/>
      <c r="AQ2945" s="48"/>
      <c r="AR2945" s="48"/>
      <c r="AS2945" s="48"/>
      <c r="AT2945" s="48"/>
      <c r="AU2945" s="48"/>
      <c r="AV2945" s="48"/>
      <c r="AW2945" s="48"/>
      <c r="AX2945" s="48"/>
      <c r="AY2945" s="48"/>
      <c r="AZ2945" s="48"/>
      <c r="BA2945" s="48"/>
      <c r="BB2945" s="48"/>
      <c r="BC2945" s="48"/>
      <c r="BD2945" s="48"/>
    </row>
    <row r="2946" spans="1:56">
      <c r="A2946" s="48"/>
      <c r="B2946" s="48"/>
      <c r="C2946" s="49"/>
      <c r="D2946" s="48"/>
      <c r="E2946" s="48"/>
      <c r="F2946" s="48"/>
      <c r="G2946" s="48"/>
      <c r="H2946" s="48"/>
      <c r="I2946" s="48"/>
      <c r="J2946" s="86"/>
      <c r="K2946" s="86"/>
      <c r="L2946" s="86"/>
      <c r="M2946" s="86"/>
      <c r="N2946" s="86"/>
      <c r="O2946" s="86"/>
      <c r="P2946" s="86"/>
      <c r="Q2946" s="86"/>
      <c r="R2946" s="86"/>
      <c r="S2946" s="86"/>
      <c r="T2946" s="86"/>
      <c r="U2946" s="86"/>
      <c r="V2946" s="48"/>
      <c r="W2946" s="48"/>
      <c r="X2946" s="48"/>
      <c r="Y2946" s="48"/>
      <c r="Z2946" s="48"/>
      <c r="AA2946" s="48"/>
      <c r="AB2946" s="48"/>
      <c r="AC2946" s="48"/>
      <c r="AD2946" s="48"/>
      <c r="AE2946" s="48"/>
      <c r="AF2946" s="48"/>
      <c r="AG2946" s="48"/>
      <c r="AH2946" s="48"/>
      <c r="AI2946" s="48"/>
      <c r="AJ2946" s="48"/>
      <c r="AK2946" s="48"/>
      <c r="AL2946" s="48"/>
      <c r="AM2946" s="48"/>
      <c r="AN2946" s="48"/>
      <c r="AO2946" s="48"/>
      <c r="AP2946" s="48"/>
      <c r="AQ2946" s="48"/>
      <c r="AR2946" s="48"/>
      <c r="AS2946" s="48"/>
      <c r="AT2946" s="48"/>
      <c r="AU2946" s="48"/>
      <c r="AV2946" s="48"/>
      <c r="AW2946" s="48"/>
      <c r="AX2946" s="48"/>
      <c r="AY2946" s="48"/>
      <c r="AZ2946" s="48"/>
      <c r="BA2946" s="48"/>
      <c r="BB2946" s="48"/>
      <c r="BC2946" s="48"/>
      <c r="BD2946" s="48"/>
    </row>
    <row r="2947" spans="1:56">
      <c r="A2947" s="48"/>
      <c r="B2947" s="48"/>
      <c r="C2947" s="49"/>
      <c r="D2947" s="48"/>
      <c r="E2947" s="48"/>
      <c r="F2947" s="48"/>
      <c r="G2947" s="48"/>
      <c r="H2947" s="48"/>
      <c r="I2947" s="48"/>
      <c r="J2947" s="86"/>
      <c r="K2947" s="86"/>
      <c r="L2947" s="86"/>
      <c r="M2947" s="86"/>
      <c r="N2947" s="86"/>
      <c r="O2947" s="86"/>
      <c r="P2947" s="86"/>
      <c r="Q2947" s="86"/>
      <c r="R2947" s="86"/>
      <c r="S2947" s="86"/>
      <c r="T2947" s="86"/>
      <c r="U2947" s="86"/>
      <c r="V2947" s="48"/>
      <c r="W2947" s="48"/>
      <c r="X2947" s="48"/>
      <c r="Y2947" s="48"/>
      <c r="Z2947" s="48"/>
      <c r="AA2947" s="48"/>
      <c r="AB2947" s="48"/>
      <c r="AC2947" s="48"/>
      <c r="AD2947" s="48"/>
      <c r="AE2947" s="48"/>
      <c r="AF2947" s="48"/>
      <c r="AG2947" s="48"/>
      <c r="AH2947" s="48"/>
      <c r="AI2947" s="48"/>
      <c r="AJ2947" s="48"/>
      <c r="AK2947" s="48"/>
      <c r="AL2947" s="48"/>
      <c r="AM2947" s="48"/>
      <c r="AN2947" s="48"/>
      <c r="AO2947" s="48"/>
      <c r="AP2947" s="48"/>
      <c r="AQ2947" s="48"/>
      <c r="AR2947" s="48"/>
      <c r="AS2947" s="48"/>
      <c r="AT2947" s="48"/>
      <c r="AU2947" s="48"/>
      <c r="AV2947" s="48"/>
      <c r="AW2947" s="48"/>
      <c r="AX2947" s="48"/>
      <c r="AY2947" s="48"/>
      <c r="AZ2947" s="48"/>
      <c r="BA2947" s="48"/>
      <c r="BB2947" s="48"/>
      <c r="BC2947" s="48"/>
      <c r="BD2947" s="48"/>
    </row>
    <row r="2948" spans="1:56">
      <c r="A2948" s="48"/>
      <c r="B2948" s="48"/>
      <c r="C2948" s="49"/>
      <c r="D2948" s="48"/>
      <c r="E2948" s="48"/>
      <c r="F2948" s="48"/>
      <c r="G2948" s="48"/>
      <c r="H2948" s="48"/>
      <c r="I2948" s="48"/>
      <c r="J2948" s="86"/>
      <c r="K2948" s="86"/>
      <c r="L2948" s="86"/>
      <c r="M2948" s="86"/>
      <c r="N2948" s="86"/>
      <c r="O2948" s="86"/>
      <c r="P2948" s="86"/>
      <c r="Q2948" s="86"/>
      <c r="R2948" s="86"/>
      <c r="S2948" s="86"/>
      <c r="T2948" s="86"/>
      <c r="U2948" s="86"/>
      <c r="V2948" s="48"/>
      <c r="W2948" s="48"/>
      <c r="X2948" s="48"/>
      <c r="Y2948" s="48"/>
      <c r="Z2948" s="48"/>
      <c r="AA2948" s="48"/>
      <c r="AB2948" s="48"/>
      <c r="AC2948" s="48"/>
      <c r="AD2948" s="48"/>
      <c r="AE2948" s="48"/>
      <c r="AF2948" s="48"/>
      <c r="AG2948" s="48"/>
      <c r="AH2948" s="48"/>
      <c r="AI2948" s="48"/>
      <c r="AJ2948" s="48"/>
      <c r="AK2948" s="48"/>
      <c r="AL2948" s="48"/>
      <c r="AM2948" s="48"/>
      <c r="AN2948" s="48"/>
      <c r="AO2948" s="48"/>
      <c r="AP2948" s="48"/>
      <c r="AQ2948" s="48"/>
      <c r="AR2948" s="48"/>
      <c r="AS2948" s="48"/>
      <c r="AT2948" s="48"/>
      <c r="AU2948" s="48"/>
      <c r="AV2948" s="48"/>
      <c r="AW2948" s="48"/>
      <c r="AX2948" s="48"/>
      <c r="AY2948" s="48"/>
      <c r="AZ2948" s="48"/>
      <c r="BA2948" s="48"/>
      <c r="BB2948" s="48"/>
      <c r="BC2948" s="48"/>
      <c r="BD2948" s="48"/>
    </row>
    <row r="2949" spans="1:56">
      <c r="A2949" s="48"/>
      <c r="B2949" s="48"/>
      <c r="C2949" s="49"/>
      <c r="D2949" s="48"/>
      <c r="E2949" s="48"/>
      <c r="F2949" s="48"/>
      <c r="G2949" s="48"/>
      <c r="H2949" s="48"/>
      <c r="I2949" s="48"/>
      <c r="J2949" s="86"/>
      <c r="K2949" s="86"/>
      <c r="L2949" s="86"/>
      <c r="M2949" s="86"/>
      <c r="N2949" s="86"/>
      <c r="O2949" s="86"/>
      <c r="P2949" s="86"/>
      <c r="Q2949" s="86"/>
      <c r="R2949" s="86"/>
      <c r="S2949" s="86"/>
      <c r="T2949" s="86"/>
      <c r="U2949" s="86"/>
      <c r="V2949" s="48"/>
      <c r="W2949" s="48"/>
      <c r="X2949" s="48"/>
      <c r="Y2949" s="48"/>
      <c r="Z2949" s="48"/>
      <c r="AA2949" s="48"/>
      <c r="AB2949" s="48"/>
      <c r="AC2949" s="48"/>
      <c r="AD2949" s="48"/>
      <c r="AE2949" s="48"/>
      <c r="AF2949" s="48"/>
      <c r="AG2949" s="48"/>
      <c r="AH2949" s="48"/>
      <c r="AI2949" s="48"/>
      <c r="AJ2949" s="48"/>
      <c r="AK2949" s="48"/>
      <c r="AL2949" s="48"/>
      <c r="AM2949" s="48"/>
      <c r="AN2949" s="48"/>
      <c r="AO2949" s="48"/>
      <c r="AP2949" s="48"/>
      <c r="AQ2949" s="48"/>
      <c r="AR2949" s="48"/>
      <c r="AS2949" s="48"/>
      <c r="AT2949" s="48"/>
      <c r="AU2949" s="48"/>
      <c r="AV2949" s="48"/>
      <c r="AW2949" s="48"/>
      <c r="AX2949" s="48"/>
      <c r="AY2949" s="48"/>
      <c r="AZ2949" s="48"/>
      <c r="BA2949" s="48"/>
      <c r="BB2949" s="48"/>
      <c r="BC2949" s="48"/>
      <c r="BD2949" s="48"/>
    </row>
    <row r="2950" spans="1:56">
      <c r="A2950" s="48"/>
      <c r="B2950" s="48"/>
      <c r="C2950" s="49"/>
      <c r="D2950" s="48"/>
      <c r="E2950" s="48"/>
      <c r="F2950" s="48"/>
      <c r="G2950" s="48"/>
      <c r="H2950" s="48"/>
      <c r="I2950" s="48"/>
      <c r="J2950" s="86"/>
      <c r="K2950" s="86"/>
      <c r="L2950" s="86"/>
      <c r="M2950" s="86"/>
      <c r="N2950" s="86"/>
      <c r="O2950" s="86"/>
      <c r="P2950" s="86"/>
      <c r="Q2950" s="86"/>
      <c r="R2950" s="86"/>
      <c r="S2950" s="86"/>
      <c r="T2950" s="86"/>
      <c r="U2950" s="86"/>
      <c r="V2950" s="48"/>
      <c r="W2950" s="48"/>
      <c r="X2950" s="48"/>
      <c r="Y2950" s="48"/>
      <c r="Z2950" s="48"/>
      <c r="AA2950" s="48"/>
      <c r="AB2950" s="48"/>
      <c r="AC2950" s="48"/>
      <c r="AD2950" s="48"/>
      <c r="AE2950" s="48"/>
      <c r="AF2950" s="48"/>
      <c r="AG2950" s="48"/>
      <c r="AH2950" s="48"/>
      <c r="AI2950" s="48"/>
      <c r="AJ2950" s="48"/>
      <c r="AK2950" s="48"/>
      <c r="AL2950" s="48"/>
      <c r="AM2950" s="48"/>
      <c r="AN2950" s="48"/>
      <c r="AO2950" s="48"/>
      <c r="AP2950" s="48"/>
      <c r="AQ2950" s="48"/>
      <c r="AR2950" s="48"/>
      <c r="AS2950" s="48"/>
      <c r="AT2950" s="48"/>
      <c r="AU2950" s="48"/>
      <c r="AV2950" s="48"/>
      <c r="AW2950" s="48"/>
      <c r="AX2950" s="48"/>
      <c r="AY2950" s="48"/>
      <c r="AZ2950" s="48"/>
      <c r="BA2950" s="48"/>
      <c r="BB2950" s="48"/>
      <c r="BC2950" s="48"/>
      <c r="BD2950" s="48"/>
    </row>
    <row r="2951" spans="1:56">
      <c r="A2951" s="48"/>
      <c r="B2951" s="48"/>
      <c r="C2951" s="49"/>
      <c r="D2951" s="48"/>
      <c r="E2951" s="48"/>
      <c r="F2951" s="48"/>
      <c r="G2951" s="48"/>
      <c r="H2951" s="48"/>
      <c r="I2951" s="48"/>
      <c r="J2951" s="86"/>
      <c r="K2951" s="86"/>
      <c r="L2951" s="86"/>
      <c r="M2951" s="86"/>
      <c r="N2951" s="86"/>
      <c r="O2951" s="86"/>
      <c r="P2951" s="86"/>
      <c r="Q2951" s="86"/>
      <c r="R2951" s="86"/>
      <c r="S2951" s="86"/>
      <c r="T2951" s="86"/>
      <c r="U2951" s="86"/>
      <c r="V2951" s="48"/>
      <c r="W2951" s="48"/>
      <c r="X2951" s="48"/>
      <c r="Y2951" s="48"/>
      <c r="Z2951" s="48"/>
      <c r="AA2951" s="48"/>
      <c r="AB2951" s="48"/>
      <c r="AC2951" s="48"/>
      <c r="AD2951" s="48"/>
      <c r="AE2951" s="48"/>
      <c r="AF2951" s="48"/>
      <c r="AG2951" s="48"/>
      <c r="AH2951" s="48"/>
      <c r="AI2951" s="48"/>
      <c r="AJ2951" s="48"/>
      <c r="AK2951" s="48"/>
      <c r="AL2951" s="48"/>
      <c r="AM2951" s="48"/>
      <c r="AN2951" s="48"/>
      <c r="AO2951" s="48"/>
      <c r="AP2951" s="48"/>
      <c r="AQ2951" s="48"/>
      <c r="AR2951" s="48"/>
      <c r="AS2951" s="48"/>
      <c r="AT2951" s="48"/>
      <c r="AU2951" s="48"/>
      <c r="AV2951" s="48"/>
      <c r="AW2951" s="48"/>
      <c r="AX2951" s="48"/>
      <c r="AY2951" s="48"/>
      <c r="AZ2951" s="48"/>
      <c r="BA2951" s="48"/>
      <c r="BB2951" s="48"/>
      <c r="BC2951" s="48"/>
      <c r="BD2951" s="48"/>
    </row>
    <row r="2952" spans="1:56">
      <c r="A2952" s="48"/>
      <c r="B2952" s="48"/>
      <c r="C2952" s="49"/>
      <c r="D2952" s="48"/>
      <c r="E2952" s="48"/>
      <c r="F2952" s="48"/>
      <c r="G2952" s="48"/>
      <c r="H2952" s="48"/>
      <c r="I2952" s="48"/>
      <c r="J2952" s="86"/>
      <c r="K2952" s="86"/>
      <c r="L2952" s="86"/>
      <c r="M2952" s="86"/>
      <c r="N2952" s="86"/>
      <c r="O2952" s="86"/>
      <c r="P2952" s="86"/>
      <c r="Q2952" s="86"/>
      <c r="R2952" s="86"/>
      <c r="S2952" s="86"/>
      <c r="T2952" s="86"/>
      <c r="U2952" s="86"/>
      <c r="V2952" s="48"/>
      <c r="W2952" s="48"/>
      <c r="X2952" s="48"/>
      <c r="Y2952" s="48"/>
      <c r="Z2952" s="48"/>
      <c r="AA2952" s="48"/>
      <c r="AB2952" s="48"/>
      <c r="AC2952" s="48"/>
      <c r="AD2952" s="48"/>
      <c r="AE2952" s="48"/>
      <c r="AF2952" s="48"/>
      <c r="AG2952" s="48"/>
      <c r="AH2952" s="48"/>
      <c r="AI2952" s="48"/>
      <c r="AJ2952" s="48"/>
      <c r="AK2952" s="48"/>
      <c r="AL2952" s="48"/>
      <c r="AM2952" s="48"/>
      <c r="AN2952" s="48"/>
      <c r="AO2952" s="48"/>
      <c r="AP2952" s="48"/>
      <c r="AQ2952" s="48"/>
      <c r="AR2952" s="48"/>
      <c r="AS2952" s="48"/>
      <c r="AT2952" s="48"/>
      <c r="AU2952" s="48"/>
      <c r="AV2952" s="48"/>
      <c r="AW2952" s="48"/>
      <c r="AX2952" s="48"/>
      <c r="AY2952" s="48"/>
      <c r="AZ2952" s="48"/>
      <c r="BA2952" s="48"/>
      <c r="BB2952" s="48"/>
      <c r="BC2952" s="48"/>
      <c r="BD2952" s="48"/>
    </row>
    <row r="2953" spans="1:56">
      <c r="A2953" s="48"/>
      <c r="B2953" s="48"/>
      <c r="C2953" s="49"/>
      <c r="D2953" s="48"/>
      <c r="E2953" s="48"/>
      <c r="F2953" s="48"/>
      <c r="G2953" s="48"/>
      <c r="H2953" s="48"/>
      <c r="I2953" s="48"/>
      <c r="J2953" s="86"/>
      <c r="K2953" s="86"/>
      <c r="L2953" s="86"/>
      <c r="M2953" s="86"/>
      <c r="N2953" s="86"/>
      <c r="O2953" s="86"/>
      <c r="P2953" s="86"/>
      <c r="Q2953" s="86"/>
      <c r="R2953" s="86"/>
      <c r="S2953" s="86"/>
      <c r="T2953" s="86"/>
      <c r="U2953" s="86"/>
      <c r="V2953" s="48"/>
      <c r="W2953" s="48"/>
      <c r="X2953" s="48"/>
      <c r="Y2953" s="48"/>
      <c r="Z2953" s="48"/>
      <c r="AA2953" s="48"/>
      <c r="AB2953" s="48"/>
      <c r="AC2953" s="48"/>
      <c r="AD2953" s="48"/>
      <c r="AE2953" s="48"/>
      <c r="AF2953" s="48"/>
      <c r="AG2953" s="48"/>
      <c r="AH2953" s="48"/>
      <c r="AI2953" s="48"/>
      <c r="AJ2953" s="48"/>
      <c r="AK2953" s="48"/>
      <c r="AL2953" s="48"/>
      <c r="AM2953" s="48"/>
      <c r="AN2953" s="48"/>
      <c r="AO2953" s="48"/>
      <c r="AP2953" s="48"/>
      <c r="AQ2953" s="48"/>
      <c r="AR2953" s="48"/>
      <c r="AS2953" s="48"/>
      <c r="AT2953" s="48"/>
      <c r="AU2953" s="48"/>
      <c r="AV2953" s="48"/>
      <c r="AW2953" s="48"/>
      <c r="AX2953" s="48"/>
      <c r="AY2953" s="48"/>
      <c r="AZ2953" s="48"/>
      <c r="BA2953" s="48"/>
      <c r="BB2953" s="48"/>
      <c r="BC2953" s="48"/>
      <c r="BD2953" s="48"/>
    </row>
    <row r="2954" spans="1:56">
      <c r="A2954" s="48"/>
      <c r="B2954" s="48"/>
      <c r="C2954" s="49"/>
      <c r="D2954" s="48"/>
      <c r="E2954" s="48"/>
      <c r="F2954" s="48"/>
      <c r="G2954" s="48"/>
      <c r="H2954" s="48"/>
      <c r="I2954" s="48"/>
      <c r="J2954" s="86"/>
      <c r="K2954" s="86"/>
      <c r="L2954" s="86"/>
      <c r="M2954" s="86"/>
      <c r="N2954" s="86"/>
      <c r="O2954" s="86"/>
      <c r="P2954" s="86"/>
      <c r="Q2954" s="86"/>
      <c r="R2954" s="86"/>
      <c r="S2954" s="86"/>
      <c r="T2954" s="86"/>
      <c r="U2954" s="86"/>
      <c r="V2954" s="48"/>
      <c r="W2954" s="48"/>
      <c r="X2954" s="48"/>
      <c r="Y2954" s="48"/>
      <c r="Z2954" s="48"/>
      <c r="AA2954" s="48"/>
      <c r="AB2954" s="48"/>
      <c r="AC2954" s="48"/>
      <c r="AD2954" s="48"/>
      <c r="AE2954" s="48"/>
      <c r="AF2954" s="48"/>
      <c r="AG2954" s="48"/>
      <c r="AH2954" s="48"/>
      <c r="AI2954" s="48"/>
      <c r="AJ2954" s="48"/>
      <c r="AK2954" s="48"/>
      <c r="AL2954" s="48"/>
      <c r="AM2954" s="48"/>
      <c r="AN2954" s="48"/>
      <c r="AO2954" s="48"/>
      <c r="AP2954" s="48"/>
      <c r="AQ2954" s="48"/>
      <c r="AR2954" s="48"/>
      <c r="AS2954" s="48"/>
      <c r="AT2954" s="48"/>
      <c r="AU2954" s="48"/>
      <c r="AV2954" s="48"/>
      <c r="AW2954" s="48"/>
      <c r="AX2954" s="48"/>
      <c r="AY2954" s="48"/>
      <c r="AZ2954" s="48"/>
      <c r="BA2954" s="48"/>
      <c r="BB2954" s="48"/>
      <c r="BC2954" s="48"/>
      <c r="BD2954" s="48"/>
    </row>
    <row r="2955" spans="1:56">
      <c r="A2955" s="48"/>
      <c r="B2955" s="48"/>
      <c r="C2955" s="49"/>
      <c r="D2955" s="48"/>
      <c r="E2955" s="48"/>
      <c r="F2955" s="48"/>
      <c r="G2955" s="48"/>
      <c r="H2955" s="48"/>
      <c r="I2955" s="48"/>
      <c r="J2955" s="86"/>
      <c r="K2955" s="86"/>
      <c r="L2955" s="86"/>
      <c r="M2955" s="86"/>
      <c r="N2955" s="86"/>
      <c r="O2955" s="86"/>
      <c r="P2955" s="86"/>
      <c r="Q2955" s="86"/>
      <c r="R2955" s="86"/>
      <c r="S2955" s="86"/>
      <c r="T2955" s="86"/>
      <c r="U2955" s="86"/>
      <c r="V2955" s="48"/>
      <c r="W2955" s="48"/>
      <c r="X2955" s="48"/>
      <c r="Y2955" s="48"/>
      <c r="Z2955" s="48"/>
      <c r="AA2955" s="48"/>
      <c r="AB2955" s="48"/>
      <c r="AC2955" s="48"/>
      <c r="AD2955" s="48"/>
      <c r="AE2955" s="48"/>
      <c r="AF2955" s="48"/>
      <c r="AG2955" s="48"/>
      <c r="AH2955" s="48"/>
      <c r="AI2955" s="48"/>
      <c r="AJ2955" s="48"/>
      <c r="AK2955" s="48"/>
      <c r="AL2955" s="48"/>
      <c r="AM2955" s="48"/>
      <c r="AN2955" s="48"/>
      <c r="AO2955" s="48"/>
      <c r="AP2955" s="48"/>
      <c r="AQ2955" s="48"/>
      <c r="AR2955" s="48"/>
      <c r="AS2955" s="48"/>
      <c r="AT2955" s="48"/>
      <c r="AU2955" s="48"/>
      <c r="AV2955" s="48"/>
      <c r="AW2955" s="48"/>
      <c r="AX2955" s="48"/>
      <c r="AY2955" s="48"/>
      <c r="AZ2955" s="48"/>
      <c r="BA2955" s="48"/>
      <c r="BB2955" s="48"/>
      <c r="BC2955" s="48"/>
      <c r="BD2955" s="48"/>
    </row>
    <row r="2956" spans="1:56">
      <c r="A2956" s="48"/>
      <c r="B2956" s="48"/>
      <c r="C2956" s="49"/>
      <c r="D2956" s="48"/>
      <c r="E2956" s="48"/>
      <c r="F2956" s="48"/>
      <c r="G2956" s="48"/>
      <c r="H2956" s="48"/>
      <c r="I2956" s="48"/>
      <c r="J2956" s="86"/>
      <c r="K2956" s="86"/>
      <c r="L2956" s="86"/>
      <c r="M2956" s="86"/>
      <c r="N2956" s="86"/>
      <c r="O2956" s="86"/>
      <c r="P2956" s="86"/>
      <c r="Q2956" s="86"/>
      <c r="R2956" s="86"/>
      <c r="S2956" s="86"/>
      <c r="T2956" s="86"/>
      <c r="U2956" s="86"/>
      <c r="V2956" s="48"/>
      <c r="W2956" s="48"/>
      <c r="X2956" s="48"/>
      <c r="Y2956" s="48"/>
      <c r="Z2956" s="48"/>
      <c r="AA2956" s="48"/>
      <c r="AB2956" s="48"/>
      <c r="AC2956" s="48"/>
      <c r="AD2956" s="48"/>
      <c r="AE2956" s="48"/>
      <c r="AF2956" s="48"/>
      <c r="AG2956" s="48"/>
      <c r="AH2956" s="48"/>
      <c r="AI2956" s="48"/>
      <c r="AJ2956" s="48"/>
      <c r="AK2956" s="48"/>
      <c r="AL2956" s="48"/>
      <c r="AM2956" s="48"/>
      <c r="AN2956" s="48"/>
      <c r="AO2956" s="48"/>
      <c r="AP2956" s="48"/>
      <c r="AQ2956" s="48"/>
      <c r="AR2956" s="48"/>
      <c r="AS2956" s="48"/>
      <c r="AT2956" s="48"/>
      <c r="AU2956" s="48"/>
      <c r="AV2956" s="48"/>
      <c r="AW2956" s="48"/>
      <c r="AX2956" s="48"/>
      <c r="AY2956" s="48"/>
      <c r="AZ2956" s="48"/>
      <c r="BA2956" s="48"/>
      <c r="BB2956" s="48"/>
      <c r="BC2956" s="48"/>
      <c r="BD2956" s="48"/>
    </row>
    <row r="2957" spans="1:56">
      <c r="A2957" s="48"/>
      <c r="B2957" s="48"/>
      <c r="C2957" s="49"/>
      <c r="D2957" s="48"/>
      <c r="E2957" s="48"/>
      <c r="F2957" s="48"/>
      <c r="G2957" s="48"/>
      <c r="H2957" s="48"/>
      <c r="I2957" s="48"/>
      <c r="J2957" s="86"/>
      <c r="K2957" s="86"/>
      <c r="L2957" s="86"/>
      <c r="M2957" s="86"/>
      <c r="N2957" s="86"/>
      <c r="O2957" s="86"/>
      <c r="P2957" s="86"/>
      <c r="Q2957" s="86"/>
      <c r="R2957" s="86"/>
      <c r="S2957" s="86"/>
      <c r="T2957" s="86"/>
      <c r="U2957" s="86"/>
      <c r="V2957" s="48"/>
      <c r="W2957" s="48"/>
      <c r="X2957" s="48"/>
      <c r="Y2957" s="48"/>
      <c r="Z2957" s="48"/>
      <c r="AA2957" s="48"/>
      <c r="AB2957" s="48"/>
      <c r="AC2957" s="48"/>
      <c r="AD2957" s="48"/>
      <c r="AE2957" s="48"/>
      <c r="AF2957" s="48"/>
      <c r="AG2957" s="48"/>
      <c r="AH2957" s="48"/>
      <c r="AI2957" s="48"/>
      <c r="AJ2957" s="48"/>
      <c r="AK2957" s="48"/>
      <c r="AL2957" s="48"/>
      <c r="AM2957" s="48"/>
      <c r="AN2957" s="48"/>
      <c r="AO2957" s="48"/>
      <c r="AP2957" s="48"/>
      <c r="AQ2957" s="48"/>
      <c r="AR2957" s="48"/>
      <c r="AS2957" s="48"/>
      <c r="AT2957" s="48"/>
      <c r="AU2957" s="48"/>
      <c r="AV2957" s="48"/>
      <c r="AW2957" s="48"/>
      <c r="AX2957" s="48"/>
      <c r="AY2957" s="48"/>
      <c r="AZ2957" s="48"/>
      <c r="BA2957" s="48"/>
      <c r="BB2957" s="48"/>
      <c r="BC2957" s="48"/>
      <c r="BD2957" s="48"/>
    </row>
    <row r="2958" spans="1:56">
      <c r="A2958" s="48"/>
      <c r="B2958" s="48"/>
      <c r="C2958" s="49"/>
      <c r="D2958" s="48"/>
      <c r="E2958" s="48"/>
      <c r="F2958" s="48"/>
      <c r="G2958" s="48"/>
      <c r="H2958" s="48"/>
      <c r="I2958" s="48"/>
      <c r="J2958" s="86"/>
      <c r="K2958" s="86"/>
      <c r="L2958" s="86"/>
      <c r="M2958" s="86"/>
      <c r="N2958" s="86"/>
      <c r="O2958" s="86"/>
      <c r="P2958" s="86"/>
      <c r="Q2958" s="86"/>
      <c r="R2958" s="86"/>
      <c r="S2958" s="86"/>
      <c r="T2958" s="86"/>
      <c r="U2958" s="86"/>
      <c r="V2958" s="48"/>
      <c r="W2958" s="48"/>
      <c r="X2958" s="48"/>
      <c r="Y2958" s="48"/>
      <c r="Z2958" s="48"/>
      <c r="AA2958" s="48"/>
      <c r="AB2958" s="48"/>
      <c r="AC2958" s="48"/>
      <c r="AD2958" s="48"/>
      <c r="AE2958" s="48"/>
      <c r="AF2958" s="48"/>
      <c r="AG2958" s="48"/>
      <c r="AH2958" s="48"/>
      <c r="AI2958" s="48"/>
      <c r="AJ2958" s="48"/>
      <c r="AK2958" s="48"/>
      <c r="AL2958" s="48"/>
      <c r="AM2958" s="48"/>
      <c r="AN2958" s="48"/>
      <c r="AO2958" s="48"/>
      <c r="AP2958" s="48"/>
      <c r="AQ2958" s="48"/>
      <c r="AR2958" s="48"/>
      <c r="AS2958" s="48"/>
      <c r="AT2958" s="48"/>
      <c r="AU2958" s="48"/>
      <c r="AV2958" s="48"/>
      <c r="AW2958" s="48"/>
      <c r="AX2958" s="48"/>
      <c r="AY2958" s="48"/>
      <c r="AZ2958" s="48"/>
      <c r="BA2958" s="48"/>
      <c r="BB2958" s="48"/>
      <c r="BC2958" s="48"/>
      <c r="BD2958" s="48"/>
    </row>
    <row r="2959" spans="1:56">
      <c r="A2959" s="48"/>
      <c r="B2959" s="48"/>
      <c r="C2959" s="49"/>
      <c r="D2959" s="48"/>
      <c r="E2959" s="48"/>
      <c r="F2959" s="48"/>
      <c r="G2959" s="48"/>
      <c r="H2959" s="48"/>
      <c r="I2959" s="48"/>
      <c r="J2959" s="86"/>
      <c r="K2959" s="86"/>
      <c r="L2959" s="86"/>
      <c r="M2959" s="86"/>
      <c r="N2959" s="86"/>
      <c r="O2959" s="86"/>
      <c r="P2959" s="86"/>
      <c r="Q2959" s="86"/>
      <c r="R2959" s="86"/>
      <c r="S2959" s="86"/>
      <c r="T2959" s="86"/>
      <c r="U2959" s="86"/>
      <c r="V2959" s="48"/>
      <c r="W2959" s="48"/>
      <c r="X2959" s="48"/>
      <c r="Y2959" s="48"/>
      <c r="Z2959" s="48"/>
      <c r="AA2959" s="48"/>
      <c r="AB2959" s="48"/>
      <c r="AC2959" s="48"/>
      <c r="AD2959" s="48"/>
      <c r="AE2959" s="48"/>
      <c r="AF2959" s="48"/>
      <c r="AG2959" s="48"/>
      <c r="AH2959" s="48"/>
      <c r="AI2959" s="48"/>
      <c r="AJ2959" s="48"/>
      <c r="AK2959" s="48"/>
      <c r="AL2959" s="48"/>
      <c r="AM2959" s="48"/>
      <c r="AN2959" s="48"/>
      <c r="AO2959" s="48"/>
      <c r="AP2959" s="48"/>
      <c r="AQ2959" s="48"/>
      <c r="AR2959" s="48"/>
      <c r="AS2959" s="48"/>
      <c r="AT2959" s="48"/>
      <c r="AU2959" s="48"/>
      <c r="AV2959" s="48"/>
      <c r="AW2959" s="48"/>
      <c r="AX2959" s="48"/>
      <c r="AY2959" s="48"/>
      <c r="AZ2959" s="48"/>
      <c r="BA2959" s="48"/>
      <c r="BB2959" s="48"/>
      <c r="BC2959" s="48"/>
      <c r="BD2959" s="48"/>
    </row>
    <row r="2960" spans="1:56">
      <c r="A2960" s="48"/>
      <c r="B2960" s="48"/>
      <c r="C2960" s="49"/>
      <c r="D2960" s="48"/>
      <c r="E2960" s="48"/>
      <c r="F2960" s="48"/>
      <c r="G2960" s="48"/>
      <c r="H2960" s="48"/>
      <c r="I2960" s="48"/>
      <c r="J2960" s="86"/>
      <c r="K2960" s="86"/>
      <c r="L2960" s="86"/>
      <c r="M2960" s="86"/>
      <c r="N2960" s="86"/>
      <c r="O2960" s="86"/>
      <c r="P2960" s="86"/>
      <c r="Q2960" s="86"/>
      <c r="R2960" s="86"/>
      <c r="S2960" s="86"/>
      <c r="T2960" s="86"/>
      <c r="U2960" s="86"/>
      <c r="V2960" s="48"/>
      <c r="W2960" s="48"/>
      <c r="X2960" s="48"/>
      <c r="Y2960" s="48"/>
      <c r="Z2960" s="48"/>
      <c r="AA2960" s="48"/>
      <c r="AB2960" s="48"/>
      <c r="AC2960" s="48"/>
      <c r="AD2960" s="48"/>
      <c r="AE2960" s="48"/>
      <c r="AF2960" s="48"/>
      <c r="AG2960" s="48"/>
      <c r="AH2960" s="48"/>
      <c r="AI2960" s="48"/>
      <c r="AJ2960" s="48"/>
      <c r="AK2960" s="48"/>
      <c r="AL2960" s="48"/>
      <c r="AM2960" s="48"/>
      <c r="AN2960" s="48"/>
      <c r="AO2960" s="48"/>
      <c r="AP2960" s="48"/>
      <c r="AQ2960" s="48"/>
      <c r="AR2960" s="48"/>
      <c r="AS2960" s="48"/>
      <c r="AT2960" s="48"/>
      <c r="AU2960" s="48"/>
      <c r="AV2960" s="48"/>
      <c r="AW2960" s="48"/>
      <c r="AX2960" s="48"/>
      <c r="AY2960" s="48"/>
      <c r="AZ2960" s="48"/>
      <c r="BA2960" s="48"/>
      <c r="BB2960" s="48"/>
      <c r="BC2960" s="48"/>
      <c r="BD2960" s="48"/>
    </row>
    <row r="2961" spans="1:56">
      <c r="A2961" s="48"/>
      <c r="B2961" s="48"/>
      <c r="C2961" s="49"/>
      <c r="D2961" s="48"/>
      <c r="E2961" s="48"/>
      <c r="F2961" s="48"/>
      <c r="G2961" s="48"/>
      <c r="H2961" s="48"/>
      <c r="I2961" s="48"/>
      <c r="J2961" s="86"/>
      <c r="K2961" s="86"/>
      <c r="L2961" s="86"/>
      <c r="M2961" s="86"/>
      <c r="N2961" s="86"/>
      <c r="O2961" s="86"/>
      <c r="P2961" s="86"/>
      <c r="Q2961" s="86"/>
      <c r="R2961" s="86"/>
      <c r="S2961" s="86"/>
      <c r="T2961" s="86"/>
      <c r="U2961" s="86"/>
      <c r="V2961" s="48"/>
      <c r="W2961" s="48"/>
      <c r="X2961" s="48"/>
      <c r="Y2961" s="48"/>
      <c r="Z2961" s="48"/>
      <c r="AA2961" s="48"/>
      <c r="AB2961" s="48"/>
      <c r="AC2961" s="48"/>
      <c r="AD2961" s="48"/>
      <c r="AE2961" s="48"/>
      <c r="AF2961" s="48"/>
      <c r="AG2961" s="48"/>
      <c r="AH2961" s="48"/>
      <c r="AI2961" s="48"/>
      <c r="AJ2961" s="48"/>
      <c r="AK2961" s="48"/>
      <c r="AL2961" s="48"/>
      <c r="AM2961" s="48"/>
      <c r="AN2961" s="48"/>
      <c r="AO2961" s="48"/>
      <c r="AP2961" s="48"/>
      <c r="AQ2961" s="48"/>
      <c r="AR2961" s="48"/>
      <c r="AS2961" s="48"/>
      <c r="AT2961" s="48"/>
      <c r="AU2961" s="48"/>
      <c r="AV2961" s="48"/>
      <c r="AW2961" s="48"/>
      <c r="AX2961" s="48"/>
      <c r="AY2961" s="48"/>
      <c r="AZ2961" s="48"/>
      <c r="BA2961" s="48"/>
      <c r="BB2961" s="48"/>
      <c r="BC2961" s="48"/>
      <c r="BD2961" s="48"/>
    </row>
    <row r="2962" spans="1:56">
      <c r="A2962" s="48"/>
      <c r="B2962" s="48"/>
      <c r="C2962" s="49"/>
      <c r="D2962" s="48"/>
      <c r="E2962" s="48"/>
      <c r="F2962" s="48"/>
      <c r="G2962" s="48"/>
      <c r="H2962" s="48"/>
      <c r="I2962" s="48"/>
      <c r="J2962" s="86"/>
      <c r="K2962" s="86"/>
      <c r="L2962" s="86"/>
      <c r="M2962" s="86"/>
      <c r="N2962" s="86"/>
      <c r="O2962" s="86"/>
      <c r="P2962" s="86"/>
      <c r="Q2962" s="86"/>
      <c r="R2962" s="86"/>
      <c r="S2962" s="86"/>
      <c r="T2962" s="86"/>
      <c r="U2962" s="86"/>
      <c r="V2962" s="48"/>
      <c r="W2962" s="48"/>
      <c r="X2962" s="48"/>
      <c r="Y2962" s="48"/>
      <c r="Z2962" s="48"/>
      <c r="AA2962" s="48"/>
      <c r="AB2962" s="48"/>
      <c r="AC2962" s="48"/>
      <c r="AD2962" s="48"/>
      <c r="AE2962" s="48"/>
      <c r="AF2962" s="48"/>
      <c r="AG2962" s="48"/>
      <c r="AH2962" s="48"/>
      <c r="AI2962" s="48"/>
      <c r="AJ2962" s="48"/>
      <c r="AK2962" s="48"/>
      <c r="AL2962" s="48"/>
      <c r="AM2962" s="48"/>
      <c r="AN2962" s="48"/>
      <c r="AO2962" s="48"/>
      <c r="AP2962" s="48"/>
      <c r="AQ2962" s="48"/>
      <c r="AR2962" s="48"/>
      <c r="AS2962" s="48"/>
      <c r="AT2962" s="48"/>
      <c r="AU2962" s="48"/>
      <c r="AV2962" s="48"/>
      <c r="AW2962" s="48"/>
      <c r="AX2962" s="48"/>
      <c r="AY2962" s="48"/>
      <c r="AZ2962" s="48"/>
      <c r="BA2962" s="48"/>
      <c r="BB2962" s="48"/>
      <c r="BC2962" s="48"/>
      <c r="BD2962" s="48"/>
    </row>
    <row r="2963" spans="1:56">
      <c r="A2963" s="48"/>
      <c r="B2963" s="48"/>
      <c r="C2963" s="49"/>
      <c r="D2963" s="48"/>
      <c r="E2963" s="48"/>
      <c r="F2963" s="48"/>
      <c r="G2963" s="48"/>
      <c r="H2963" s="48"/>
      <c r="I2963" s="48"/>
      <c r="J2963" s="86"/>
      <c r="K2963" s="86"/>
      <c r="L2963" s="86"/>
      <c r="M2963" s="86"/>
      <c r="N2963" s="86"/>
      <c r="O2963" s="86"/>
      <c r="P2963" s="86"/>
      <c r="Q2963" s="86"/>
      <c r="R2963" s="86"/>
      <c r="S2963" s="86"/>
      <c r="T2963" s="86"/>
      <c r="U2963" s="86"/>
      <c r="V2963" s="48"/>
      <c r="W2963" s="48"/>
      <c r="X2963" s="48"/>
      <c r="Y2963" s="48"/>
      <c r="Z2963" s="48"/>
      <c r="AA2963" s="48"/>
      <c r="AB2963" s="48"/>
      <c r="AC2963" s="48"/>
      <c r="AD2963" s="48"/>
      <c r="AE2963" s="48"/>
      <c r="AF2963" s="48"/>
      <c r="AG2963" s="48"/>
      <c r="AH2963" s="48"/>
      <c r="AI2963" s="48"/>
      <c r="AJ2963" s="48"/>
      <c r="AK2963" s="48"/>
      <c r="AL2963" s="48"/>
      <c r="AM2963" s="48"/>
      <c r="AN2963" s="48"/>
      <c r="AO2963" s="48"/>
      <c r="AP2963" s="48"/>
      <c r="AQ2963" s="48"/>
      <c r="AR2963" s="48"/>
      <c r="AS2963" s="48"/>
      <c r="AT2963" s="48"/>
      <c r="AU2963" s="48"/>
      <c r="AV2963" s="48"/>
      <c r="AW2963" s="48"/>
      <c r="AX2963" s="48"/>
      <c r="AY2963" s="48"/>
      <c r="AZ2963" s="48"/>
      <c r="BA2963" s="48"/>
      <c r="BB2963" s="48"/>
      <c r="BC2963" s="48"/>
      <c r="BD2963" s="48"/>
    </row>
    <row r="2964" spans="1:56">
      <c r="A2964" s="48"/>
      <c r="B2964" s="48"/>
      <c r="C2964" s="49"/>
      <c r="D2964" s="48"/>
      <c r="E2964" s="48"/>
      <c r="F2964" s="48"/>
      <c r="G2964" s="48"/>
      <c r="H2964" s="48"/>
      <c r="I2964" s="48"/>
      <c r="J2964" s="86"/>
      <c r="K2964" s="86"/>
      <c r="L2964" s="86"/>
      <c r="M2964" s="86"/>
      <c r="N2964" s="86"/>
      <c r="O2964" s="86"/>
      <c r="P2964" s="86"/>
      <c r="Q2964" s="86"/>
      <c r="R2964" s="86"/>
      <c r="S2964" s="86"/>
      <c r="T2964" s="86"/>
      <c r="U2964" s="86"/>
      <c r="V2964" s="48"/>
      <c r="W2964" s="48"/>
      <c r="X2964" s="48"/>
      <c r="Y2964" s="48"/>
      <c r="Z2964" s="48"/>
      <c r="AA2964" s="48"/>
      <c r="AB2964" s="48"/>
      <c r="AC2964" s="48"/>
      <c r="AD2964" s="48"/>
      <c r="AE2964" s="48"/>
      <c r="AF2964" s="48"/>
      <c r="AG2964" s="48"/>
      <c r="AH2964" s="48"/>
      <c r="AI2964" s="48"/>
      <c r="AJ2964" s="48"/>
      <c r="AK2964" s="48"/>
      <c r="AL2964" s="48"/>
      <c r="AM2964" s="48"/>
      <c r="AN2964" s="48"/>
      <c r="AO2964" s="48"/>
      <c r="AP2964" s="48"/>
      <c r="AQ2964" s="48"/>
      <c r="AR2964" s="48"/>
      <c r="AS2964" s="48"/>
      <c r="AT2964" s="48"/>
      <c r="AU2964" s="48"/>
      <c r="AV2964" s="48"/>
      <c r="AW2964" s="48"/>
      <c r="AX2964" s="48"/>
      <c r="AY2964" s="48"/>
      <c r="AZ2964" s="48"/>
      <c r="BA2964" s="48"/>
      <c r="BB2964" s="48"/>
      <c r="BC2964" s="48"/>
      <c r="BD2964" s="48"/>
    </row>
    <row r="2965" spans="1:56">
      <c r="A2965" s="48"/>
      <c r="B2965" s="48"/>
      <c r="C2965" s="49"/>
      <c r="D2965" s="48"/>
      <c r="E2965" s="48"/>
      <c r="F2965" s="48"/>
      <c r="G2965" s="48"/>
      <c r="H2965" s="48"/>
      <c r="I2965" s="48"/>
      <c r="J2965" s="86"/>
      <c r="K2965" s="86"/>
      <c r="L2965" s="86"/>
      <c r="M2965" s="86"/>
      <c r="N2965" s="86"/>
      <c r="O2965" s="86"/>
      <c r="P2965" s="86"/>
      <c r="Q2965" s="86"/>
      <c r="R2965" s="86"/>
      <c r="S2965" s="86"/>
      <c r="T2965" s="86"/>
      <c r="U2965" s="86"/>
      <c r="V2965" s="48"/>
      <c r="W2965" s="48"/>
      <c r="X2965" s="48"/>
      <c r="Y2965" s="48"/>
      <c r="Z2965" s="48"/>
      <c r="AA2965" s="48"/>
      <c r="AB2965" s="48"/>
      <c r="AC2965" s="48"/>
      <c r="AD2965" s="48"/>
      <c r="AE2965" s="48"/>
      <c r="AF2965" s="48"/>
      <c r="AG2965" s="48"/>
      <c r="AH2965" s="48"/>
      <c r="AI2965" s="48"/>
      <c r="AJ2965" s="48"/>
      <c r="AK2965" s="48"/>
      <c r="AL2965" s="48"/>
      <c r="AM2965" s="48"/>
      <c r="AN2965" s="48"/>
      <c r="AO2965" s="48"/>
      <c r="AP2965" s="48"/>
      <c r="AQ2965" s="48"/>
      <c r="AR2965" s="48"/>
      <c r="AS2965" s="48"/>
      <c r="AT2965" s="48"/>
      <c r="AU2965" s="48"/>
      <c r="AV2965" s="48"/>
      <c r="AW2965" s="48"/>
      <c r="AX2965" s="48"/>
      <c r="AY2965" s="48"/>
      <c r="AZ2965" s="48"/>
      <c r="BA2965" s="48"/>
      <c r="BB2965" s="48"/>
      <c r="BC2965" s="48"/>
      <c r="BD2965" s="48"/>
    </row>
    <row r="2966" spans="1:56">
      <c r="A2966" s="48"/>
      <c r="B2966" s="48"/>
      <c r="C2966" s="49"/>
      <c r="D2966" s="48"/>
      <c r="E2966" s="48"/>
      <c r="F2966" s="48"/>
      <c r="G2966" s="48"/>
      <c r="H2966" s="48"/>
      <c r="I2966" s="48"/>
      <c r="J2966" s="86"/>
      <c r="K2966" s="86"/>
      <c r="L2966" s="86"/>
      <c r="M2966" s="86"/>
      <c r="N2966" s="86"/>
      <c r="O2966" s="86"/>
      <c r="P2966" s="86"/>
      <c r="Q2966" s="86"/>
      <c r="R2966" s="86"/>
      <c r="S2966" s="86"/>
      <c r="T2966" s="86"/>
      <c r="U2966" s="86"/>
      <c r="V2966" s="48"/>
      <c r="W2966" s="48"/>
      <c r="X2966" s="48"/>
      <c r="Y2966" s="48"/>
      <c r="Z2966" s="48"/>
      <c r="AA2966" s="48"/>
      <c r="AB2966" s="48"/>
      <c r="AC2966" s="48"/>
      <c r="AD2966" s="48"/>
      <c r="AE2966" s="48"/>
      <c r="AF2966" s="48"/>
      <c r="AG2966" s="48"/>
      <c r="AH2966" s="48"/>
      <c r="AI2966" s="48"/>
      <c r="AJ2966" s="48"/>
      <c r="AK2966" s="48"/>
      <c r="AL2966" s="48"/>
      <c r="AM2966" s="48"/>
      <c r="AN2966" s="48"/>
      <c r="AO2966" s="48"/>
      <c r="AP2966" s="48"/>
      <c r="AQ2966" s="48"/>
      <c r="AR2966" s="48"/>
      <c r="AS2966" s="48"/>
      <c r="AT2966" s="48"/>
      <c r="AU2966" s="48"/>
      <c r="AV2966" s="48"/>
      <c r="AW2966" s="48"/>
      <c r="AX2966" s="48"/>
      <c r="AY2966" s="48"/>
      <c r="AZ2966" s="48"/>
      <c r="BA2966" s="48"/>
      <c r="BB2966" s="48"/>
      <c r="BC2966" s="48"/>
      <c r="BD2966" s="48"/>
    </row>
    <row r="2967" spans="1:56">
      <c r="A2967" s="48"/>
      <c r="B2967" s="48"/>
      <c r="C2967" s="49"/>
      <c r="D2967" s="48"/>
      <c r="E2967" s="48"/>
      <c r="F2967" s="48"/>
      <c r="G2967" s="48"/>
      <c r="H2967" s="48"/>
      <c r="I2967" s="48"/>
      <c r="J2967" s="86"/>
      <c r="K2967" s="86"/>
      <c r="L2967" s="86"/>
      <c r="M2967" s="86"/>
      <c r="N2967" s="86"/>
      <c r="O2967" s="86"/>
      <c r="P2967" s="86"/>
      <c r="Q2967" s="86"/>
      <c r="R2967" s="86"/>
      <c r="S2967" s="86"/>
      <c r="T2967" s="86"/>
      <c r="U2967" s="86"/>
      <c r="V2967" s="48"/>
      <c r="W2967" s="48"/>
      <c r="X2967" s="48"/>
      <c r="Y2967" s="48"/>
      <c r="Z2967" s="48"/>
      <c r="AA2967" s="48"/>
      <c r="AB2967" s="48"/>
      <c r="AC2967" s="48"/>
      <c r="AD2967" s="48"/>
      <c r="AE2967" s="48"/>
      <c r="AF2967" s="48"/>
      <c r="AG2967" s="48"/>
      <c r="AH2967" s="48"/>
      <c r="AI2967" s="48"/>
      <c r="AJ2967" s="48"/>
      <c r="AK2967" s="48"/>
      <c r="AL2967" s="48"/>
      <c r="AM2967" s="48"/>
      <c r="AN2967" s="48"/>
      <c r="AO2967" s="48"/>
      <c r="AP2967" s="48"/>
      <c r="AQ2967" s="48"/>
      <c r="AR2967" s="48"/>
      <c r="AS2967" s="48"/>
      <c r="AT2967" s="48"/>
      <c r="AU2967" s="48"/>
      <c r="AV2967" s="48"/>
      <c r="AW2967" s="48"/>
      <c r="AX2967" s="48"/>
      <c r="AY2967" s="48"/>
      <c r="AZ2967" s="48"/>
      <c r="BA2967" s="48"/>
      <c r="BB2967" s="48"/>
      <c r="BC2967" s="48"/>
      <c r="BD2967" s="48"/>
    </row>
    <row r="2968" spans="1:56">
      <c r="A2968" s="48"/>
      <c r="B2968" s="48"/>
      <c r="C2968" s="49"/>
      <c r="D2968" s="48"/>
      <c r="E2968" s="48"/>
      <c r="F2968" s="48"/>
      <c r="G2968" s="48"/>
      <c r="H2968" s="48"/>
      <c r="I2968" s="48"/>
      <c r="J2968" s="86"/>
      <c r="K2968" s="86"/>
      <c r="L2968" s="86"/>
      <c r="M2968" s="86"/>
      <c r="N2968" s="86"/>
      <c r="O2968" s="86"/>
      <c r="P2968" s="86"/>
      <c r="Q2968" s="86"/>
      <c r="R2968" s="86"/>
      <c r="S2968" s="86"/>
      <c r="T2968" s="86"/>
      <c r="U2968" s="86"/>
      <c r="V2968" s="48"/>
      <c r="W2968" s="48"/>
      <c r="X2968" s="48"/>
      <c r="Y2968" s="48"/>
      <c r="Z2968" s="48"/>
      <c r="AA2968" s="48"/>
      <c r="AB2968" s="48"/>
      <c r="AC2968" s="48"/>
      <c r="AD2968" s="48"/>
      <c r="AE2968" s="48"/>
      <c r="AF2968" s="48"/>
      <c r="AG2968" s="48"/>
      <c r="AH2968" s="48"/>
      <c r="AI2968" s="48"/>
      <c r="AJ2968" s="48"/>
      <c r="AK2968" s="48"/>
      <c r="AL2968" s="48"/>
      <c r="AM2968" s="48"/>
      <c r="AN2968" s="48"/>
      <c r="AO2968" s="48"/>
      <c r="AP2968" s="48"/>
      <c r="AQ2968" s="48"/>
      <c r="AR2968" s="48"/>
      <c r="AS2968" s="48"/>
      <c r="AT2968" s="48"/>
      <c r="AU2968" s="48"/>
      <c r="AV2968" s="48"/>
      <c r="AW2968" s="48"/>
      <c r="AX2968" s="48"/>
      <c r="AY2968" s="48"/>
      <c r="AZ2968" s="48"/>
      <c r="BA2968" s="48"/>
      <c r="BB2968" s="48"/>
      <c r="BC2968" s="48"/>
      <c r="BD2968" s="48"/>
    </row>
    <row r="2969" spans="1:56">
      <c r="A2969" s="48"/>
      <c r="B2969" s="48"/>
      <c r="C2969" s="49"/>
      <c r="D2969" s="48"/>
      <c r="E2969" s="48"/>
      <c r="F2969" s="48"/>
      <c r="G2969" s="48"/>
      <c r="H2969" s="48"/>
      <c r="I2969" s="48"/>
      <c r="J2969" s="86"/>
      <c r="K2969" s="86"/>
      <c r="L2969" s="86"/>
      <c r="M2969" s="86"/>
      <c r="N2969" s="86"/>
      <c r="O2969" s="86"/>
      <c r="P2969" s="86"/>
      <c r="Q2969" s="86"/>
      <c r="R2969" s="86"/>
      <c r="S2969" s="86"/>
      <c r="T2969" s="86"/>
      <c r="U2969" s="86"/>
      <c r="V2969" s="48"/>
      <c r="W2969" s="48"/>
      <c r="X2969" s="48"/>
      <c r="Y2969" s="48"/>
      <c r="Z2969" s="48"/>
      <c r="AA2969" s="48"/>
      <c r="AB2969" s="48"/>
      <c r="AC2969" s="48"/>
      <c r="AD2969" s="48"/>
      <c r="AE2969" s="48"/>
      <c r="AF2969" s="48"/>
      <c r="AG2969" s="48"/>
      <c r="AH2969" s="48"/>
      <c r="AI2969" s="48"/>
      <c r="AJ2969" s="48"/>
      <c r="AK2969" s="48"/>
      <c r="AL2969" s="48"/>
      <c r="AM2969" s="48"/>
      <c r="AN2969" s="48"/>
      <c r="AO2969" s="48"/>
      <c r="AP2969" s="48"/>
      <c r="AQ2969" s="48"/>
      <c r="AR2969" s="48"/>
      <c r="AS2969" s="48"/>
      <c r="AT2969" s="48"/>
      <c r="AU2969" s="48"/>
      <c r="AV2969" s="48"/>
      <c r="AW2969" s="48"/>
      <c r="AX2969" s="48"/>
      <c r="AY2969" s="48"/>
      <c r="AZ2969" s="48"/>
      <c r="BA2969" s="48"/>
      <c r="BB2969" s="48"/>
      <c r="BC2969" s="48"/>
      <c r="BD2969" s="48"/>
    </row>
    <row r="2970" spans="1:56">
      <c r="A2970" s="48"/>
      <c r="B2970" s="48"/>
      <c r="C2970" s="49"/>
      <c r="D2970" s="48"/>
      <c r="E2970" s="48"/>
      <c r="F2970" s="48"/>
      <c r="G2970" s="48"/>
      <c r="H2970" s="48"/>
      <c r="I2970" s="48"/>
      <c r="J2970" s="86"/>
      <c r="K2970" s="86"/>
      <c r="L2970" s="86"/>
      <c r="M2970" s="86"/>
      <c r="N2970" s="86"/>
      <c r="O2970" s="86"/>
      <c r="P2970" s="86"/>
      <c r="Q2970" s="86"/>
      <c r="R2970" s="86"/>
      <c r="S2970" s="86"/>
      <c r="T2970" s="86"/>
      <c r="U2970" s="86"/>
      <c r="V2970" s="48"/>
      <c r="W2970" s="48"/>
      <c r="X2970" s="48"/>
      <c r="Y2970" s="48"/>
      <c r="Z2970" s="48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48"/>
      <c r="AN2970" s="48"/>
      <c r="AO2970" s="48"/>
      <c r="AP2970" s="48"/>
      <c r="AQ2970" s="48"/>
      <c r="AR2970" s="48"/>
      <c r="AS2970" s="48"/>
      <c r="AT2970" s="48"/>
      <c r="AU2970" s="48"/>
      <c r="AV2970" s="48"/>
      <c r="AW2970" s="48"/>
      <c r="AX2970" s="48"/>
      <c r="AY2970" s="48"/>
      <c r="AZ2970" s="48"/>
      <c r="BA2970" s="48"/>
      <c r="BB2970" s="48"/>
      <c r="BC2970" s="48"/>
      <c r="BD2970" s="48"/>
    </row>
    <row r="2971" spans="1:56">
      <c r="A2971" s="48"/>
      <c r="B2971" s="48"/>
      <c r="C2971" s="49"/>
      <c r="D2971" s="48"/>
      <c r="E2971" s="48"/>
      <c r="F2971" s="48"/>
      <c r="G2971" s="48"/>
      <c r="H2971" s="48"/>
      <c r="I2971" s="48"/>
      <c r="J2971" s="86"/>
      <c r="K2971" s="86"/>
      <c r="L2971" s="86"/>
      <c r="M2971" s="86"/>
      <c r="N2971" s="86"/>
      <c r="O2971" s="86"/>
      <c r="P2971" s="86"/>
      <c r="Q2971" s="86"/>
      <c r="R2971" s="86"/>
      <c r="S2971" s="86"/>
      <c r="T2971" s="86"/>
      <c r="U2971" s="86"/>
      <c r="V2971" s="48"/>
      <c r="W2971" s="48"/>
      <c r="X2971" s="48"/>
      <c r="Y2971" s="48"/>
      <c r="Z2971" s="48"/>
      <c r="AA2971" s="48"/>
      <c r="AB2971" s="48"/>
      <c r="AC2971" s="48"/>
      <c r="AD2971" s="48"/>
      <c r="AE2971" s="48"/>
      <c r="AF2971" s="48"/>
      <c r="AG2971" s="48"/>
      <c r="AH2971" s="48"/>
      <c r="AI2971" s="48"/>
      <c r="AJ2971" s="48"/>
      <c r="AK2971" s="48"/>
      <c r="AL2971" s="48"/>
      <c r="AM2971" s="48"/>
      <c r="AN2971" s="48"/>
      <c r="AO2971" s="48"/>
      <c r="AP2971" s="48"/>
      <c r="AQ2971" s="48"/>
      <c r="AR2971" s="48"/>
      <c r="AS2971" s="48"/>
      <c r="AT2971" s="48"/>
      <c r="AU2971" s="48"/>
      <c r="AV2971" s="48"/>
      <c r="AW2971" s="48"/>
      <c r="AX2971" s="48"/>
      <c r="AY2971" s="48"/>
      <c r="AZ2971" s="48"/>
      <c r="BA2971" s="48"/>
      <c r="BB2971" s="48"/>
      <c r="BC2971" s="48"/>
      <c r="BD2971" s="48"/>
    </row>
    <row r="2972" spans="1:56">
      <c r="A2972" s="48"/>
      <c r="B2972" s="48"/>
      <c r="C2972" s="49"/>
      <c r="D2972" s="48"/>
      <c r="E2972" s="48"/>
      <c r="F2972" s="48"/>
      <c r="G2972" s="48"/>
      <c r="H2972" s="48"/>
      <c r="I2972" s="48"/>
      <c r="J2972" s="86"/>
      <c r="K2972" s="86"/>
      <c r="L2972" s="86"/>
      <c r="M2972" s="86"/>
      <c r="N2972" s="86"/>
      <c r="O2972" s="86"/>
      <c r="P2972" s="86"/>
      <c r="Q2972" s="86"/>
      <c r="R2972" s="86"/>
      <c r="S2972" s="86"/>
      <c r="T2972" s="86"/>
      <c r="U2972" s="86"/>
      <c r="V2972" s="48"/>
      <c r="W2972" s="48"/>
      <c r="X2972" s="48"/>
      <c r="Y2972" s="48"/>
      <c r="Z2972" s="48"/>
      <c r="AA2972" s="48"/>
      <c r="AB2972" s="48"/>
      <c r="AC2972" s="48"/>
      <c r="AD2972" s="48"/>
      <c r="AE2972" s="48"/>
      <c r="AF2972" s="48"/>
      <c r="AG2972" s="48"/>
      <c r="AH2972" s="48"/>
      <c r="AI2972" s="48"/>
      <c r="AJ2972" s="48"/>
      <c r="AK2972" s="48"/>
      <c r="AL2972" s="48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48"/>
      <c r="BB2972" s="48"/>
      <c r="BC2972" s="48"/>
      <c r="BD2972" s="48"/>
    </row>
    <row r="2973" spans="1:56">
      <c r="A2973" s="48"/>
      <c r="B2973" s="48"/>
      <c r="C2973" s="49"/>
      <c r="D2973" s="48"/>
      <c r="E2973" s="48"/>
      <c r="F2973" s="48"/>
      <c r="G2973" s="48"/>
      <c r="H2973" s="48"/>
      <c r="I2973" s="48"/>
      <c r="J2973" s="86"/>
      <c r="K2973" s="86"/>
      <c r="L2973" s="86"/>
      <c r="M2973" s="86"/>
      <c r="N2973" s="86"/>
      <c r="O2973" s="86"/>
      <c r="P2973" s="86"/>
      <c r="Q2973" s="86"/>
      <c r="R2973" s="86"/>
      <c r="S2973" s="86"/>
      <c r="T2973" s="86"/>
      <c r="U2973" s="86"/>
      <c r="V2973" s="48"/>
      <c r="W2973" s="48"/>
      <c r="X2973" s="48"/>
      <c r="Y2973" s="48"/>
      <c r="Z2973" s="48"/>
      <c r="AA2973" s="48"/>
      <c r="AB2973" s="48"/>
      <c r="AC2973" s="48"/>
      <c r="AD2973" s="48"/>
      <c r="AE2973" s="48"/>
      <c r="AF2973" s="48"/>
      <c r="AG2973" s="48"/>
      <c r="AH2973" s="48"/>
      <c r="AI2973" s="48"/>
      <c r="AJ2973" s="48"/>
      <c r="AK2973" s="48"/>
      <c r="AL2973" s="48"/>
      <c r="AM2973" s="48"/>
      <c r="AN2973" s="48"/>
      <c r="AO2973" s="48"/>
      <c r="AP2973" s="48"/>
      <c r="AQ2973" s="48"/>
      <c r="AR2973" s="48"/>
      <c r="AS2973" s="48"/>
      <c r="AT2973" s="48"/>
      <c r="AU2973" s="48"/>
      <c r="AV2973" s="48"/>
      <c r="AW2973" s="48"/>
      <c r="AX2973" s="48"/>
      <c r="AY2973" s="48"/>
      <c r="AZ2973" s="48"/>
      <c r="BA2973" s="48"/>
      <c r="BB2973" s="48"/>
      <c r="BC2973" s="48"/>
      <c r="BD2973" s="48"/>
    </row>
    <row r="2974" spans="1:56">
      <c r="A2974" s="48"/>
      <c r="B2974" s="48"/>
      <c r="C2974" s="49"/>
      <c r="D2974" s="48"/>
      <c r="E2974" s="48"/>
      <c r="F2974" s="48"/>
      <c r="G2974" s="48"/>
      <c r="H2974" s="48"/>
      <c r="I2974" s="48"/>
      <c r="J2974" s="86"/>
      <c r="K2974" s="86"/>
      <c r="L2974" s="86"/>
      <c r="M2974" s="86"/>
      <c r="N2974" s="86"/>
      <c r="O2974" s="86"/>
      <c r="P2974" s="86"/>
      <c r="Q2974" s="86"/>
      <c r="R2974" s="86"/>
      <c r="S2974" s="86"/>
      <c r="T2974" s="86"/>
      <c r="U2974" s="86"/>
      <c r="V2974" s="48"/>
      <c r="W2974" s="48"/>
      <c r="X2974" s="48"/>
      <c r="Y2974" s="48"/>
      <c r="Z2974" s="48"/>
      <c r="AA2974" s="48"/>
      <c r="AB2974" s="48"/>
      <c r="AC2974" s="48"/>
      <c r="AD2974" s="48"/>
      <c r="AE2974" s="48"/>
      <c r="AF2974" s="48"/>
      <c r="AG2974" s="48"/>
      <c r="AH2974" s="48"/>
      <c r="AI2974" s="48"/>
      <c r="AJ2974" s="48"/>
      <c r="AK2974" s="48"/>
      <c r="AL2974" s="48"/>
      <c r="AM2974" s="48"/>
      <c r="AN2974" s="48"/>
      <c r="AO2974" s="48"/>
      <c r="AP2974" s="48"/>
      <c r="AQ2974" s="48"/>
      <c r="AR2974" s="48"/>
      <c r="AS2974" s="48"/>
      <c r="AT2974" s="48"/>
      <c r="AU2974" s="48"/>
      <c r="AV2974" s="48"/>
      <c r="AW2974" s="48"/>
      <c r="AX2974" s="48"/>
      <c r="AY2974" s="48"/>
      <c r="AZ2974" s="48"/>
      <c r="BA2974" s="48"/>
      <c r="BB2974" s="48"/>
      <c r="BC2974" s="48"/>
      <c r="BD2974" s="48"/>
    </row>
    <row r="2975" spans="1:56">
      <c r="A2975" s="48"/>
      <c r="B2975" s="48"/>
      <c r="C2975" s="49"/>
      <c r="D2975" s="48"/>
      <c r="E2975" s="48"/>
      <c r="F2975" s="48"/>
      <c r="G2975" s="48"/>
      <c r="H2975" s="48"/>
      <c r="I2975" s="48"/>
      <c r="J2975" s="86"/>
      <c r="K2975" s="86"/>
      <c r="L2975" s="86"/>
      <c r="M2975" s="86"/>
      <c r="N2975" s="86"/>
      <c r="O2975" s="86"/>
      <c r="P2975" s="86"/>
      <c r="Q2975" s="86"/>
      <c r="R2975" s="86"/>
      <c r="S2975" s="86"/>
      <c r="T2975" s="86"/>
      <c r="U2975" s="86"/>
      <c r="V2975" s="48"/>
      <c r="W2975" s="48"/>
      <c r="X2975" s="48"/>
      <c r="Y2975" s="48"/>
      <c r="Z2975" s="48"/>
      <c r="AA2975" s="48"/>
      <c r="AB2975" s="48"/>
      <c r="AC2975" s="48"/>
      <c r="AD2975" s="48"/>
      <c r="AE2975" s="48"/>
      <c r="AF2975" s="48"/>
      <c r="AG2975" s="48"/>
      <c r="AH2975" s="48"/>
      <c r="AI2975" s="48"/>
      <c r="AJ2975" s="48"/>
      <c r="AK2975" s="48"/>
      <c r="AL2975" s="48"/>
      <c r="AM2975" s="48"/>
      <c r="AN2975" s="48"/>
      <c r="AO2975" s="48"/>
      <c r="AP2975" s="48"/>
      <c r="AQ2975" s="48"/>
      <c r="AR2975" s="48"/>
      <c r="AS2975" s="48"/>
      <c r="AT2975" s="48"/>
      <c r="AU2975" s="48"/>
      <c r="AV2975" s="48"/>
      <c r="AW2975" s="48"/>
      <c r="AX2975" s="48"/>
      <c r="AY2975" s="48"/>
      <c r="AZ2975" s="48"/>
      <c r="BA2975" s="48"/>
      <c r="BB2975" s="48"/>
      <c r="BC2975" s="48"/>
      <c r="BD2975" s="48"/>
    </row>
    <row r="2976" spans="1:56">
      <c r="A2976" s="48"/>
      <c r="B2976" s="48"/>
      <c r="C2976" s="49"/>
      <c r="D2976" s="48"/>
      <c r="E2976" s="48"/>
      <c r="F2976" s="48"/>
      <c r="G2976" s="48"/>
      <c r="H2976" s="48"/>
      <c r="I2976" s="48"/>
      <c r="J2976" s="86"/>
      <c r="K2976" s="86"/>
      <c r="L2976" s="86"/>
      <c r="M2976" s="86"/>
      <c r="N2976" s="86"/>
      <c r="O2976" s="86"/>
      <c r="P2976" s="86"/>
      <c r="Q2976" s="86"/>
      <c r="R2976" s="86"/>
      <c r="S2976" s="86"/>
      <c r="T2976" s="86"/>
      <c r="U2976" s="86"/>
      <c r="V2976" s="48"/>
      <c r="W2976" s="48"/>
      <c r="X2976" s="48"/>
      <c r="Y2976" s="48"/>
      <c r="Z2976" s="48"/>
      <c r="AA2976" s="48"/>
      <c r="AB2976" s="48"/>
      <c r="AC2976" s="48"/>
      <c r="AD2976" s="48"/>
      <c r="AE2976" s="48"/>
      <c r="AF2976" s="48"/>
      <c r="AG2976" s="48"/>
      <c r="AH2976" s="48"/>
      <c r="AI2976" s="48"/>
      <c r="AJ2976" s="48"/>
      <c r="AK2976" s="48"/>
      <c r="AL2976" s="48"/>
      <c r="AM2976" s="48"/>
      <c r="AN2976" s="48"/>
      <c r="AO2976" s="48"/>
      <c r="AP2976" s="48"/>
      <c r="AQ2976" s="48"/>
      <c r="AR2976" s="48"/>
      <c r="AS2976" s="48"/>
      <c r="AT2976" s="48"/>
      <c r="AU2976" s="48"/>
      <c r="AV2976" s="48"/>
      <c r="AW2976" s="48"/>
      <c r="AX2976" s="48"/>
      <c r="AY2976" s="48"/>
      <c r="AZ2976" s="48"/>
      <c r="BA2976" s="48"/>
      <c r="BB2976" s="48"/>
      <c r="BC2976" s="48"/>
      <c r="BD2976" s="48"/>
    </row>
    <row r="2977" spans="1:56">
      <c r="A2977" s="48"/>
      <c r="B2977" s="48"/>
      <c r="C2977" s="49"/>
      <c r="D2977" s="48"/>
      <c r="E2977" s="48"/>
      <c r="F2977" s="48"/>
      <c r="G2977" s="48"/>
      <c r="H2977" s="48"/>
      <c r="I2977" s="48"/>
      <c r="J2977" s="86"/>
      <c r="K2977" s="86"/>
      <c r="L2977" s="86"/>
      <c r="M2977" s="86"/>
      <c r="N2977" s="86"/>
      <c r="O2977" s="86"/>
      <c r="P2977" s="86"/>
      <c r="Q2977" s="86"/>
      <c r="R2977" s="86"/>
      <c r="S2977" s="86"/>
      <c r="T2977" s="86"/>
      <c r="U2977" s="86"/>
      <c r="V2977" s="48"/>
      <c r="W2977" s="48"/>
      <c r="X2977" s="48"/>
      <c r="Y2977" s="48"/>
      <c r="Z2977" s="48"/>
      <c r="AA2977" s="48"/>
      <c r="AB2977" s="48"/>
      <c r="AC2977" s="48"/>
      <c r="AD2977" s="48"/>
      <c r="AE2977" s="48"/>
      <c r="AF2977" s="48"/>
      <c r="AG2977" s="48"/>
      <c r="AH2977" s="48"/>
      <c r="AI2977" s="48"/>
      <c r="AJ2977" s="48"/>
      <c r="AK2977" s="48"/>
      <c r="AL2977" s="48"/>
      <c r="AM2977" s="48"/>
      <c r="AN2977" s="48"/>
      <c r="AO2977" s="48"/>
      <c r="AP2977" s="48"/>
      <c r="AQ2977" s="48"/>
      <c r="AR2977" s="48"/>
      <c r="AS2977" s="48"/>
      <c r="AT2977" s="48"/>
      <c r="AU2977" s="48"/>
      <c r="AV2977" s="48"/>
      <c r="AW2977" s="48"/>
      <c r="AX2977" s="48"/>
      <c r="AY2977" s="48"/>
      <c r="AZ2977" s="48"/>
      <c r="BA2977" s="48"/>
      <c r="BB2977" s="48"/>
      <c r="BC2977" s="48"/>
      <c r="BD2977" s="48"/>
    </row>
    <row r="2978" spans="1:56">
      <c r="A2978" s="48"/>
      <c r="B2978" s="48"/>
      <c r="C2978" s="49"/>
      <c r="D2978" s="48"/>
      <c r="E2978" s="48"/>
      <c r="F2978" s="48"/>
      <c r="G2978" s="48"/>
      <c r="H2978" s="48"/>
      <c r="I2978" s="48"/>
      <c r="J2978" s="86"/>
      <c r="K2978" s="86"/>
      <c r="L2978" s="86"/>
      <c r="M2978" s="86"/>
      <c r="N2978" s="86"/>
      <c r="O2978" s="86"/>
      <c r="P2978" s="86"/>
      <c r="Q2978" s="86"/>
      <c r="R2978" s="86"/>
      <c r="S2978" s="86"/>
      <c r="T2978" s="86"/>
      <c r="U2978" s="86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48"/>
      <c r="AQ2978" s="48"/>
      <c r="AR2978" s="48"/>
      <c r="AS2978" s="48"/>
      <c r="AT2978" s="48"/>
      <c r="AU2978" s="48"/>
      <c r="AV2978" s="48"/>
      <c r="AW2978" s="48"/>
      <c r="AX2978" s="48"/>
      <c r="AY2978" s="48"/>
      <c r="AZ2978" s="48"/>
      <c r="BA2978" s="48"/>
      <c r="BB2978" s="48"/>
      <c r="BC2978" s="48"/>
      <c r="BD2978" s="48"/>
    </row>
    <row r="2979" spans="1:56">
      <c r="A2979" s="48"/>
      <c r="B2979" s="48"/>
      <c r="C2979" s="49"/>
      <c r="D2979" s="48"/>
      <c r="E2979" s="48"/>
      <c r="F2979" s="48"/>
      <c r="G2979" s="48"/>
      <c r="H2979" s="48"/>
      <c r="I2979" s="48"/>
      <c r="J2979" s="86"/>
      <c r="K2979" s="86"/>
      <c r="L2979" s="86"/>
      <c r="M2979" s="86"/>
      <c r="N2979" s="86"/>
      <c r="O2979" s="86"/>
      <c r="P2979" s="86"/>
      <c r="Q2979" s="86"/>
      <c r="R2979" s="86"/>
      <c r="S2979" s="86"/>
      <c r="T2979" s="86"/>
      <c r="U2979" s="86"/>
      <c r="V2979" s="48"/>
      <c r="W2979" s="48"/>
      <c r="X2979" s="48"/>
      <c r="Y2979" s="48"/>
      <c r="Z2979" s="48"/>
      <c r="AA2979" s="48"/>
      <c r="AB2979" s="48"/>
      <c r="AC2979" s="48"/>
      <c r="AD2979" s="48"/>
      <c r="AE2979" s="48"/>
      <c r="AF2979" s="48"/>
      <c r="AG2979" s="48"/>
      <c r="AH2979" s="48"/>
      <c r="AI2979" s="48"/>
      <c r="AJ2979" s="48"/>
      <c r="AK2979" s="48"/>
      <c r="AL2979" s="48"/>
      <c r="AM2979" s="48"/>
      <c r="AN2979" s="48"/>
      <c r="AO2979" s="48"/>
      <c r="AP2979" s="48"/>
      <c r="AQ2979" s="48"/>
      <c r="AR2979" s="48"/>
      <c r="AS2979" s="48"/>
      <c r="AT2979" s="48"/>
      <c r="AU2979" s="48"/>
      <c r="AV2979" s="48"/>
      <c r="AW2979" s="48"/>
      <c r="AX2979" s="48"/>
      <c r="AY2979" s="48"/>
      <c r="AZ2979" s="48"/>
      <c r="BA2979" s="48"/>
      <c r="BB2979" s="48"/>
      <c r="BC2979" s="48"/>
      <c r="BD2979" s="48"/>
    </row>
    <row r="2980" spans="1:56">
      <c r="A2980" s="48"/>
      <c r="B2980" s="48"/>
      <c r="C2980" s="49"/>
      <c r="D2980" s="48"/>
      <c r="E2980" s="48"/>
      <c r="F2980" s="48"/>
      <c r="G2980" s="48"/>
      <c r="H2980" s="48"/>
      <c r="I2980" s="48"/>
      <c r="J2980" s="86"/>
      <c r="K2980" s="86"/>
      <c r="L2980" s="86"/>
      <c r="M2980" s="86"/>
      <c r="N2980" s="86"/>
      <c r="O2980" s="86"/>
      <c r="P2980" s="86"/>
      <c r="Q2980" s="86"/>
      <c r="R2980" s="86"/>
      <c r="S2980" s="86"/>
      <c r="T2980" s="86"/>
      <c r="U2980" s="86"/>
      <c r="V2980" s="48"/>
      <c r="W2980" s="48"/>
      <c r="X2980" s="48"/>
      <c r="Y2980" s="48"/>
      <c r="Z2980" s="48"/>
      <c r="AA2980" s="48"/>
      <c r="AB2980" s="48"/>
      <c r="AC2980" s="48"/>
      <c r="AD2980" s="48"/>
      <c r="AE2980" s="48"/>
      <c r="AF2980" s="48"/>
      <c r="AG2980" s="48"/>
      <c r="AH2980" s="48"/>
      <c r="AI2980" s="48"/>
      <c r="AJ2980" s="48"/>
      <c r="AK2980" s="48"/>
      <c r="AL2980" s="48"/>
      <c r="AM2980" s="48"/>
      <c r="AN2980" s="48"/>
      <c r="AO2980" s="48"/>
      <c r="AP2980" s="48"/>
      <c r="AQ2980" s="48"/>
      <c r="AR2980" s="48"/>
      <c r="AS2980" s="48"/>
      <c r="AT2980" s="48"/>
      <c r="AU2980" s="48"/>
      <c r="AV2980" s="48"/>
      <c r="AW2980" s="48"/>
      <c r="AX2980" s="48"/>
      <c r="AY2980" s="48"/>
      <c r="AZ2980" s="48"/>
      <c r="BA2980" s="48"/>
      <c r="BB2980" s="48"/>
      <c r="BC2980" s="48"/>
      <c r="BD2980" s="48"/>
    </row>
    <row r="2981" spans="1:56">
      <c r="A2981" s="48"/>
      <c r="B2981" s="48"/>
      <c r="C2981" s="49"/>
      <c r="D2981" s="48"/>
      <c r="E2981" s="48"/>
      <c r="F2981" s="48"/>
      <c r="G2981" s="48"/>
      <c r="H2981" s="48"/>
      <c r="I2981" s="48"/>
      <c r="J2981" s="86"/>
      <c r="K2981" s="86"/>
      <c r="L2981" s="86"/>
      <c r="M2981" s="86"/>
      <c r="N2981" s="86"/>
      <c r="O2981" s="86"/>
      <c r="P2981" s="86"/>
      <c r="Q2981" s="86"/>
      <c r="R2981" s="86"/>
      <c r="S2981" s="86"/>
      <c r="T2981" s="86"/>
      <c r="U2981" s="86"/>
      <c r="V2981" s="48"/>
      <c r="W2981" s="48"/>
      <c r="X2981" s="48"/>
      <c r="Y2981" s="48"/>
      <c r="Z2981" s="48"/>
      <c r="AA2981" s="48"/>
      <c r="AB2981" s="48"/>
      <c r="AC2981" s="48"/>
      <c r="AD2981" s="48"/>
      <c r="AE2981" s="48"/>
      <c r="AF2981" s="48"/>
      <c r="AG2981" s="48"/>
      <c r="AH2981" s="48"/>
      <c r="AI2981" s="48"/>
      <c r="AJ2981" s="48"/>
      <c r="AK2981" s="48"/>
      <c r="AL2981" s="48"/>
      <c r="AM2981" s="48"/>
      <c r="AN2981" s="48"/>
      <c r="AO2981" s="48"/>
      <c r="AP2981" s="48"/>
      <c r="AQ2981" s="48"/>
      <c r="AR2981" s="48"/>
      <c r="AS2981" s="48"/>
      <c r="AT2981" s="48"/>
      <c r="AU2981" s="48"/>
      <c r="AV2981" s="48"/>
      <c r="AW2981" s="48"/>
      <c r="AX2981" s="48"/>
      <c r="AY2981" s="48"/>
      <c r="AZ2981" s="48"/>
      <c r="BA2981" s="48"/>
      <c r="BB2981" s="48"/>
      <c r="BC2981" s="48"/>
      <c r="BD2981" s="48"/>
    </row>
    <row r="2982" spans="1:56">
      <c r="A2982" s="48"/>
      <c r="B2982" s="48"/>
      <c r="C2982" s="49"/>
      <c r="D2982" s="48"/>
      <c r="E2982" s="48"/>
      <c r="F2982" s="48"/>
      <c r="G2982" s="48"/>
      <c r="H2982" s="48"/>
      <c r="I2982" s="48"/>
      <c r="J2982" s="86"/>
      <c r="K2982" s="86"/>
      <c r="L2982" s="86"/>
      <c r="M2982" s="86"/>
      <c r="N2982" s="86"/>
      <c r="O2982" s="86"/>
      <c r="P2982" s="86"/>
      <c r="Q2982" s="86"/>
      <c r="R2982" s="86"/>
      <c r="S2982" s="86"/>
      <c r="T2982" s="86"/>
      <c r="U2982" s="86"/>
      <c r="V2982" s="48"/>
      <c r="W2982" s="48"/>
      <c r="X2982" s="48"/>
      <c r="Y2982" s="48"/>
      <c r="Z2982" s="48"/>
      <c r="AA2982" s="48"/>
      <c r="AB2982" s="48"/>
      <c r="AC2982" s="48"/>
      <c r="AD2982" s="48"/>
      <c r="AE2982" s="48"/>
      <c r="AF2982" s="48"/>
      <c r="AG2982" s="48"/>
      <c r="AH2982" s="48"/>
      <c r="AI2982" s="48"/>
      <c r="AJ2982" s="48"/>
      <c r="AK2982" s="48"/>
      <c r="AL2982" s="48"/>
      <c r="AM2982" s="48"/>
      <c r="AN2982" s="48"/>
      <c r="AO2982" s="48"/>
      <c r="AP2982" s="48"/>
      <c r="AQ2982" s="48"/>
      <c r="AR2982" s="48"/>
      <c r="AS2982" s="48"/>
      <c r="AT2982" s="48"/>
      <c r="AU2982" s="48"/>
      <c r="AV2982" s="48"/>
      <c r="AW2982" s="48"/>
      <c r="AX2982" s="48"/>
      <c r="AY2982" s="48"/>
      <c r="AZ2982" s="48"/>
      <c r="BA2982" s="48"/>
      <c r="BB2982" s="48"/>
      <c r="BC2982" s="48"/>
      <c r="BD2982" s="48"/>
    </row>
    <row r="2983" spans="1:56">
      <c r="A2983" s="48"/>
      <c r="B2983" s="48"/>
      <c r="C2983" s="49"/>
      <c r="D2983" s="48"/>
      <c r="E2983" s="48"/>
      <c r="F2983" s="48"/>
      <c r="G2983" s="48"/>
      <c r="H2983" s="48"/>
      <c r="I2983" s="48"/>
      <c r="J2983" s="86"/>
      <c r="K2983" s="86"/>
      <c r="L2983" s="86"/>
      <c r="M2983" s="86"/>
      <c r="N2983" s="86"/>
      <c r="O2983" s="86"/>
      <c r="P2983" s="86"/>
      <c r="Q2983" s="86"/>
      <c r="R2983" s="86"/>
      <c r="S2983" s="86"/>
      <c r="T2983" s="86"/>
      <c r="U2983" s="86"/>
      <c r="V2983" s="48"/>
      <c r="W2983" s="48"/>
      <c r="X2983" s="48"/>
      <c r="Y2983" s="48"/>
      <c r="Z2983" s="48"/>
      <c r="AA2983" s="48"/>
      <c r="AB2983" s="48"/>
      <c r="AC2983" s="48"/>
      <c r="AD2983" s="48"/>
      <c r="AE2983" s="48"/>
      <c r="AF2983" s="48"/>
      <c r="AG2983" s="48"/>
      <c r="AH2983" s="48"/>
      <c r="AI2983" s="48"/>
      <c r="AJ2983" s="48"/>
      <c r="AK2983" s="48"/>
      <c r="AL2983" s="48"/>
      <c r="AM2983" s="48"/>
      <c r="AN2983" s="48"/>
      <c r="AO2983" s="48"/>
      <c r="AP2983" s="48"/>
      <c r="AQ2983" s="48"/>
      <c r="AR2983" s="48"/>
      <c r="AS2983" s="48"/>
      <c r="AT2983" s="48"/>
      <c r="AU2983" s="48"/>
      <c r="AV2983" s="48"/>
      <c r="AW2983" s="48"/>
      <c r="AX2983" s="48"/>
      <c r="AY2983" s="48"/>
      <c r="AZ2983" s="48"/>
      <c r="BA2983" s="48"/>
      <c r="BB2983" s="48"/>
      <c r="BC2983" s="48"/>
      <c r="BD2983" s="48"/>
    </row>
    <row r="2984" spans="1:56">
      <c r="A2984" s="48"/>
      <c r="B2984" s="48"/>
      <c r="C2984" s="49"/>
      <c r="D2984" s="48"/>
      <c r="E2984" s="48"/>
      <c r="F2984" s="48"/>
      <c r="G2984" s="48"/>
      <c r="H2984" s="48"/>
      <c r="I2984" s="48"/>
      <c r="J2984" s="86"/>
      <c r="K2984" s="86"/>
      <c r="L2984" s="86"/>
      <c r="M2984" s="86"/>
      <c r="N2984" s="86"/>
      <c r="O2984" s="86"/>
      <c r="P2984" s="86"/>
      <c r="Q2984" s="86"/>
      <c r="R2984" s="86"/>
      <c r="S2984" s="86"/>
      <c r="T2984" s="86"/>
      <c r="U2984" s="86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48"/>
      <c r="AO2984" s="48"/>
      <c r="AP2984" s="48"/>
      <c r="AQ2984" s="48"/>
      <c r="AR2984" s="48"/>
      <c r="AS2984" s="48"/>
      <c r="AT2984" s="48"/>
      <c r="AU2984" s="48"/>
      <c r="AV2984" s="48"/>
      <c r="AW2984" s="48"/>
      <c r="AX2984" s="48"/>
      <c r="AY2984" s="48"/>
      <c r="AZ2984" s="48"/>
      <c r="BA2984" s="48"/>
      <c r="BB2984" s="48"/>
      <c r="BC2984" s="48"/>
      <c r="BD2984" s="48"/>
    </row>
    <row r="2985" spans="1:56">
      <c r="A2985" s="48"/>
      <c r="B2985" s="48"/>
      <c r="C2985" s="49"/>
      <c r="D2985" s="48"/>
      <c r="E2985" s="48"/>
      <c r="F2985" s="48"/>
      <c r="G2985" s="48"/>
      <c r="H2985" s="48"/>
      <c r="I2985" s="48"/>
      <c r="J2985" s="86"/>
      <c r="K2985" s="86"/>
      <c r="L2985" s="86"/>
      <c r="M2985" s="86"/>
      <c r="N2985" s="86"/>
      <c r="O2985" s="86"/>
      <c r="P2985" s="86"/>
      <c r="Q2985" s="86"/>
      <c r="R2985" s="86"/>
      <c r="S2985" s="86"/>
      <c r="T2985" s="86"/>
      <c r="U2985" s="86"/>
      <c r="V2985" s="48"/>
      <c r="W2985" s="48"/>
      <c r="X2985" s="48"/>
      <c r="Y2985" s="48"/>
      <c r="Z2985" s="48"/>
      <c r="AA2985" s="48"/>
      <c r="AB2985" s="48"/>
      <c r="AC2985" s="48"/>
      <c r="AD2985" s="48"/>
      <c r="AE2985" s="48"/>
      <c r="AF2985" s="48"/>
      <c r="AG2985" s="48"/>
      <c r="AH2985" s="48"/>
      <c r="AI2985" s="48"/>
      <c r="AJ2985" s="48"/>
      <c r="AK2985" s="48"/>
      <c r="AL2985" s="48"/>
      <c r="AM2985" s="48"/>
      <c r="AN2985" s="48"/>
      <c r="AO2985" s="48"/>
      <c r="AP2985" s="48"/>
      <c r="AQ2985" s="48"/>
      <c r="AR2985" s="48"/>
      <c r="AS2985" s="48"/>
      <c r="AT2985" s="48"/>
      <c r="AU2985" s="48"/>
      <c r="AV2985" s="48"/>
      <c r="AW2985" s="48"/>
      <c r="AX2985" s="48"/>
      <c r="AY2985" s="48"/>
      <c r="AZ2985" s="48"/>
      <c r="BA2985" s="48"/>
      <c r="BB2985" s="48"/>
      <c r="BC2985" s="48"/>
      <c r="BD2985" s="48"/>
    </row>
    <row r="2986" spans="1:56">
      <c r="A2986" s="48"/>
      <c r="B2986" s="48"/>
      <c r="C2986" s="49"/>
      <c r="D2986" s="48"/>
      <c r="E2986" s="48"/>
      <c r="F2986" s="48"/>
      <c r="G2986" s="48"/>
      <c r="H2986" s="48"/>
      <c r="I2986" s="48"/>
      <c r="J2986" s="86"/>
      <c r="K2986" s="86"/>
      <c r="L2986" s="86"/>
      <c r="M2986" s="86"/>
      <c r="N2986" s="86"/>
      <c r="O2986" s="86"/>
      <c r="P2986" s="86"/>
      <c r="Q2986" s="86"/>
      <c r="R2986" s="86"/>
      <c r="S2986" s="86"/>
      <c r="T2986" s="86"/>
      <c r="U2986" s="86"/>
      <c r="V2986" s="48"/>
      <c r="W2986" s="48"/>
      <c r="X2986" s="48"/>
      <c r="Y2986" s="48"/>
      <c r="Z2986" s="48"/>
      <c r="AA2986" s="48"/>
      <c r="AB2986" s="48"/>
      <c r="AC2986" s="48"/>
      <c r="AD2986" s="48"/>
      <c r="AE2986" s="48"/>
      <c r="AF2986" s="48"/>
      <c r="AG2986" s="48"/>
      <c r="AH2986" s="48"/>
      <c r="AI2986" s="48"/>
      <c r="AJ2986" s="48"/>
      <c r="AK2986" s="48"/>
      <c r="AL2986" s="48"/>
      <c r="AM2986" s="48"/>
      <c r="AN2986" s="48"/>
      <c r="AO2986" s="48"/>
      <c r="AP2986" s="48"/>
      <c r="AQ2986" s="48"/>
      <c r="AR2986" s="48"/>
      <c r="AS2986" s="48"/>
      <c r="AT2986" s="48"/>
      <c r="AU2986" s="48"/>
      <c r="AV2986" s="48"/>
      <c r="AW2986" s="48"/>
      <c r="AX2986" s="48"/>
      <c r="AY2986" s="48"/>
      <c r="AZ2986" s="48"/>
      <c r="BA2986" s="48"/>
      <c r="BB2986" s="48"/>
      <c r="BC2986" s="48"/>
      <c r="BD2986" s="48"/>
    </row>
    <row r="2987" spans="1:56">
      <c r="A2987" s="48"/>
      <c r="B2987" s="48"/>
      <c r="C2987" s="49"/>
      <c r="D2987" s="48"/>
      <c r="E2987" s="48"/>
      <c r="F2987" s="48"/>
      <c r="G2987" s="48"/>
      <c r="H2987" s="48"/>
      <c r="I2987" s="48"/>
      <c r="J2987" s="86"/>
      <c r="K2987" s="86"/>
      <c r="L2987" s="86"/>
      <c r="M2987" s="86"/>
      <c r="N2987" s="86"/>
      <c r="O2987" s="86"/>
      <c r="P2987" s="86"/>
      <c r="Q2987" s="86"/>
      <c r="R2987" s="86"/>
      <c r="S2987" s="86"/>
      <c r="T2987" s="86"/>
      <c r="U2987" s="86"/>
      <c r="V2987" s="48"/>
      <c r="W2987" s="48"/>
      <c r="X2987" s="48"/>
      <c r="Y2987" s="48"/>
      <c r="Z2987" s="48"/>
      <c r="AA2987" s="48"/>
      <c r="AB2987" s="48"/>
      <c r="AC2987" s="48"/>
      <c r="AD2987" s="48"/>
      <c r="AE2987" s="48"/>
      <c r="AF2987" s="48"/>
      <c r="AG2987" s="48"/>
      <c r="AH2987" s="48"/>
      <c r="AI2987" s="48"/>
      <c r="AJ2987" s="48"/>
      <c r="AK2987" s="48"/>
      <c r="AL2987" s="48"/>
      <c r="AM2987" s="48"/>
      <c r="AN2987" s="48"/>
      <c r="AO2987" s="48"/>
      <c r="AP2987" s="48"/>
      <c r="AQ2987" s="48"/>
      <c r="AR2987" s="48"/>
      <c r="AS2987" s="48"/>
      <c r="AT2987" s="48"/>
      <c r="AU2987" s="48"/>
      <c r="AV2987" s="48"/>
      <c r="AW2987" s="48"/>
      <c r="AX2987" s="48"/>
      <c r="AY2987" s="48"/>
      <c r="AZ2987" s="48"/>
      <c r="BA2987" s="48"/>
      <c r="BB2987" s="48"/>
      <c r="BC2987" s="48"/>
      <c r="BD2987" s="48"/>
    </row>
    <row r="2988" spans="1:56">
      <c r="A2988" s="48"/>
      <c r="B2988" s="48"/>
      <c r="C2988" s="49"/>
      <c r="D2988" s="48"/>
      <c r="E2988" s="48"/>
      <c r="F2988" s="48"/>
      <c r="G2988" s="48"/>
      <c r="H2988" s="48"/>
      <c r="I2988" s="48"/>
      <c r="J2988" s="86"/>
      <c r="K2988" s="86"/>
      <c r="L2988" s="86"/>
      <c r="M2988" s="86"/>
      <c r="N2988" s="86"/>
      <c r="O2988" s="86"/>
      <c r="P2988" s="86"/>
      <c r="Q2988" s="86"/>
      <c r="R2988" s="86"/>
      <c r="S2988" s="86"/>
      <c r="T2988" s="86"/>
      <c r="U2988" s="86"/>
      <c r="V2988" s="48"/>
      <c r="W2988" s="48"/>
      <c r="X2988" s="48"/>
      <c r="Y2988" s="48"/>
      <c r="Z2988" s="48"/>
      <c r="AA2988" s="48"/>
      <c r="AB2988" s="48"/>
      <c r="AC2988" s="48"/>
      <c r="AD2988" s="48"/>
      <c r="AE2988" s="48"/>
      <c r="AF2988" s="48"/>
      <c r="AG2988" s="48"/>
      <c r="AH2988" s="48"/>
      <c r="AI2988" s="48"/>
      <c r="AJ2988" s="48"/>
      <c r="AK2988" s="48"/>
      <c r="AL2988" s="48"/>
      <c r="AM2988" s="48"/>
      <c r="AN2988" s="48"/>
      <c r="AO2988" s="48"/>
      <c r="AP2988" s="48"/>
      <c r="AQ2988" s="48"/>
      <c r="AR2988" s="48"/>
      <c r="AS2988" s="48"/>
      <c r="AT2988" s="48"/>
      <c r="AU2988" s="48"/>
      <c r="AV2988" s="48"/>
      <c r="AW2988" s="48"/>
      <c r="AX2988" s="48"/>
      <c r="AY2988" s="48"/>
      <c r="AZ2988" s="48"/>
      <c r="BA2988" s="48"/>
      <c r="BB2988" s="48"/>
      <c r="BC2988" s="48"/>
      <c r="BD2988" s="48"/>
    </row>
    <row r="2989" spans="1:56">
      <c r="A2989" s="48"/>
      <c r="B2989" s="48"/>
      <c r="C2989" s="49"/>
      <c r="D2989" s="48"/>
      <c r="E2989" s="48"/>
      <c r="F2989" s="48"/>
      <c r="G2989" s="48"/>
      <c r="H2989" s="48"/>
      <c r="I2989" s="48"/>
      <c r="J2989" s="86"/>
      <c r="K2989" s="86"/>
      <c r="L2989" s="86"/>
      <c r="M2989" s="86"/>
      <c r="N2989" s="86"/>
      <c r="O2989" s="86"/>
      <c r="P2989" s="86"/>
      <c r="Q2989" s="86"/>
      <c r="R2989" s="86"/>
      <c r="S2989" s="86"/>
      <c r="T2989" s="86"/>
      <c r="U2989" s="86"/>
      <c r="V2989" s="48"/>
      <c r="W2989" s="48"/>
      <c r="X2989" s="48"/>
      <c r="Y2989" s="48"/>
      <c r="Z2989" s="48"/>
      <c r="AA2989" s="48"/>
      <c r="AB2989" s="48"/>
      <c r="AC2989" s="48"/>
      <c r="AD2989" s="48"/>
      <c r="AE2989" s="48"/>
      <c r="AF2989" s="48"/>
      <c r="AG2989" s="48"/>
      <c r="AH2989" s="48"/>
      <c r="AI2989" s="48"/>
      <c r="AJ2989" s="48"/>
      <c r="AK2989" s="48"/>
      <c r="AL2989" s="48"/>
      <c r="AM2989" s="48"/>
      <c r="AN2989" s="48"/>
      <c r="AO2989" s="48"/>
      <c r="AP2989" s="48"/>
      <c r="AQ2989" s="48"/>
      <c r="AR2989" s="48"/>
      <c r="AS2989" s="48"/>
      <c r="AT2989" s="48"/>
      <c r="AU2989" s="48"/>
      <c r="AV2989" s="48"/>
      <c r="AW2989" s="48"/>
      <c r="AX2989" s="48"/>
      <c r="AY2989" s="48"/>
      <c r="AZ2989" s="48"/>
      <c r="BA2989" s="48"/>
      <c r="BB2989" s="48"/>
      <c r="BC2989" s="48"/>
      <c r="BD2989" s="48"/>
    </row>
    <row r="2990" spans="1:56">
      <c r="A2990" s="48"/>
      <c r="B2990" s="48"/>
      <c r="C2990" s="49"/>
      <c r="D2990" s="48"/>
      <c r="E2990" s="48"/>
      <c r="F2990" s="48"/>
      <c r="G2990" s="48"/>
      <c r="H2990" s="48"/>
      <c r="I2990" s="48"/>
      <c r="J2990" s="86"/>
      <c r="K2990" s="86"/>
      <c r="L2990" s="86"/>
      <c r="M2990" s="86"/>
      <c r="N2990" s="86"/>
      <c r="O2990" s="86"/>
      <c r="P2990" s="86"/>
      <c r="Q2990" s="86"/>
      <c r="R2990" s="86"/>
      <c r="S2990" s="86"/>
      <c r="T2990" s="86"/>
      <c r="U2990" s="86"/>
      <c r="V2990" s="48"/>
      <c r="W2990" s="48"/>
      <c r="X2990" s="48"/>
      <c r="Y2990" s="48"/>
      <c r="Z2990" s="48"/>
      <c r="AA2990" s="48"/>
      <c r="AB2990" s="48"/>
      <c r="AC2990" s="48"/>
      <c r="AD2990" s="48"/>
      <c r="AE2990" s="48"/>
      <c r="AF2990" s="48"/>
      <c r="AG2990" s="48"/>
      <c r="AH2990" s="48"/>
      <c r="AI2990" s="48"/>
      <c r="AJ2990" s="48"/>
      <c r="AK2990" s="48"/>
      <c r="AL2990" s="48"/>
      <c r="AM2990" s="48"/>
      <c r="AN2990" s="48"/>
      <c r="AO2990" s="48"/>
      <c r="AP2990" s="48"/>
      <c r="AQ2990" s="48"/>
      <c r="AR2990" s="48"/>
      <c r="AS2990" s="48"/>
      <c r="AT2990" s="48"/>
      <c r="AU2990" s="48"/>
      <c r="AV2990" s="48"/>
      <c r="AW2990" s="48"/>
      <c r="AX2990" s="48"/>
      <c r="AY2990" s="48"/>
      <c r="AZ2990" s="48"/>
      <c r="BA2990" s="48"/>
      <c r="BB2990" s="48"/>
      <c r="BC2990" s="48"/>
      <c r="BD2990" s="48"/>
    </row>
    <row r="2991" spans="1:56">
      <c r="A2991" s="48"/>
      <c r="B2991" s="48"/>
      <c r="C2991" s="49"/>
      <c r="D2991" s="48"/>
      <c r="E2991" s="48"/>
      <c r="F2991" s="48"/>
      <c r="G2991" s="48"/>
      <c r="H2991" s="48"/>
      <c r="I2991" s="48"/>
      <c r="J2991" s="86"/>
      <c r="K2991" s="86"/>
      <c r="L2991" s="86"/>
      <c r="M2991" s="86"/>
      <c r="N2991" s="86"/>
      <c r="O2991" s="86"/>
      <c r="P2991" s="86"/>
      <c r="Q2991" s="86"/>
      <c r="R2991" s="86"/>
      <c r="S2991" s="86"/>
      <c r="T2991" s="86"/>
      <c r="U2991" s="86"/>
      <c r="V2991" s="48"/>
      <c r="W2991" s="48"/>
      <c r="X2991" s="48"/>
      <c r="Y2991" s="48"/>
      <c r="Z2991" s="48"/>
      <c r="AA2991" s="48"/>
      <c r="AB2991" s="48"/>
      <c r="AC2991" s="48"/>
      <c r="AD2991" s="48"/>
      <c r="AE2991" s="48"/>
      <c r="AF2991" s="48"/>
      <c r="AG2991" s="48"/>
      <c r="AH2991" s="48"/>
      <c r="AI2991" s="48"/>
      <c r="AJ2991" s="48"/>
      <c r="AK2991" s="48"/>
      <c r="AL2991" s="48"/>
      <c r="AM2991" s="48"/>
      <c r="AN2991" s="48"/>
      <c r="AO2991" s="48"/>
      <c r="AP2991" s="48"/>
      <c r="AQ2991" s="48"/>
      <c r="AR2991" s="48"/>
      <c r="AS2991" s="48"/>
      <c r="AT2991" s="48"/>
      <c r="AU2991" s="48"/>
      <c r="AV2991" s="48"/>
      <c r="AW2991" s="48"/>
      <c r="AX2991" s="48"/>
      <c r="AY2991" s="48"/>
      <c r="AZ2991" s="48"/>
      <c r="BA2991" s="48"/>
      <c r="BB2991" s="48"/>
      <c r="BC2991" s="48"/>
      <c r="BD2991" s="48"/>
    </row>
    <row r="2992" spans="1:56">
      <c r="A2992" s="48"/>
      <c r="B2992" s="48"/>
      <c r="C2992" s="49"/>
      <c r="D2992" s="48"/>
      <c r="E2992" s="48"/>
      <c r="F2992" s="48"/>
      <c r="G2992" s="48"/>
      <c r="H2992" s="48"/>
      <c r="I2992" s="48"/>
      <c r="J2992" s="86"/>
      <c r="K2992" s="86"/>
      <c r="L2992" s="86"/>
      <c r="M2992" s="86"/>
      <c r="N2992" s="86"/>
      <c r="O2992" s="86"/>
      <c r="P2992" s="86"/>
      <c r="Q2992" s="86"/>
      <c r="R2992" s="86"/>
      <c r="S2992" s="86"/>
      <c r="T2992" s="86"/>
      <c r="U2992" s="86"/>
      <c r="V2992" s="48"/>
      <c r="W2992" s="48"/>
      <c r="X2992" s="48"/>
      <c r="Y2992" s="48"/>
      <c r="Z2992" s="48"/>
      <c r="AA2992" s="48"/>
      <c r="AB2992" s="48"/>
      <c r="AC2992" s="48"/>
      <c r="AD2992" s="48"/>
      <c r="AE2992" s="48"/>
      <c r="AF2992" s="48"/>
      <c r="AG2992" s="48"/>
      <c r="AH2992" s="48"/>
      <c r="AI2992" s="48"/>
      <c r="AJ2992" s="48"/>
      <c r="AK2992" s="48"/>
      <c r="AL2992" s="48"/>
      <c r="AM2992" s="48"/>
      <c r="AN2992" s="48"/>
      <c r="AO2992" s="48"/>
      <c r="AP2992" s="48"/>
      <c r="AQ2992" s="48"/>
      <c r="AR2992" s="48"/>
      <c r="AS2992" s="48"/>
      <c r="AT2992" s="48"/>
      <c r="AU2992" s="48"/>
      <c r="AV2992" s="48"/>
      <c r="AW2992" s="48"/>
      <c r="AX2992" s="48"/>
      <c r="AY2992" s="48"/>
      <c r="AZ2992" s="48"/>
      <c r="BA2992" s="48"/>
      <c r="BB2992" s="48"/>
      <c r="BC2992" s="48"/>
      <c r="BD2992" s="48"/>
    </row>
    <row r="2993" spans="1:56">
      <c r="A2993" s="48"/>
      <c r="B2993" s="48"/>
      <c r="C2993" s="49"/>
      <c r="D2993" s="48"/>
      <c r="E2993" s="48"/>
      <c r="F2993" s="48"/>
      <c r="G2993" s="48"/>
      <c r="H2993" s="48"/>
      <c r="I2993" s="48"/>
      <c r="J2993" s="86"/>
      <c r="K2993" s="86"/>
      <c r="L2993" s="86"/>
      <c r="M2993" s="86"/>
      <c r="N2993" s="86"/>
      <c r="O2993" s="86"/>
      <c r="P2993" s="86"/>
      <c r="Q2993" s="86"/>
      <c r="R2993" s="86"/>
      <c r="S2993" s="86"/>
      <c r="T2993" s="86"/>
      <c r="U2993" s="86"/>
      <c r="V2993" s="48"/>
      <c r="W2993" s="48"/>
      <c r="X2993" s="48"/>
      <c r="Y2993" s="48"/>
      <c r="Z2993" s="48"/>
      <c r="AA2993" s="48"/>
      <c r="AB2993" s="48"/>
      <c r="AC2993" s="48"/>
      <c r="AD2993" s="48"/>
      <c r="AE2993" s="48"/>
      <c r="AF2993" s="48"/>
      <c r="AG2993" s="48"/>
      <c r="AH2993" s="48"/>
      <c r="AI2993" s="48"/>
      <c r="AJ2993" s="48"/>
      <c r="AK2993" s="48"/>
      <c r="AL2993" s="48"/>
      <c r="AM2993" s="48"/>
      <c r="AN2993" s="48"/>
      <c r="AO2993" s="48"/>
      <c r="AP2993" s="48"/>
      <c r="AQ2993" s="48"/>
      <c r="AR2993" s="48"/>
      <c r="AS2993" s="48"/>
      <c r="AT2993" s="48"/>
      <c r="AU2993" s="48"/>
      <c r="AV2993" s="48"/>
      <c r="AW2993" s="48"/>
      <c r="AX2993" s="48"/>
      <c r="AY2993" s="48"/>
      <c r="AZ2993" s="48"/>
      <c r="BA2993" s="48"/>
      <c r="BB2993" s="48"/>
      <c r="BC2993" s="48"/>
      <c r="BD2993" s="48"/>
    </row>
    <row r="2994" spans="1:56">
      <c r="A2994" s="48"/>
      <c r="B2994" s="48"/>
      <c r="C2994" s="49"/>
      <c r="D2994" s="48"/>
      <c r="E2994" s="48"/>
      <c r="F2994" s="48"/>
      <c r="G2994" s="48"/>
      <c r="H2994" s="48"/>
      <c r="I2994" s="48"/>
      <c r="J2994" s="86"/>
      <c r="K2994" s="86"/>
      <c r="L2994" s="86"/>
      <c r="M2994" s="86"/>
      <c r="N2994" s="86"/>
      <c r="O2994" s="86"/>
      <c r="P2994" s="86"/>
      <c r="Q2994" s="86"/>
      <c r="R2994" s="86"/>
      <c r="S2994" s="86"/>
      <c r="T2994" s="86"/>
      <c r="U2994" s="86"/>
      <c r="V2994" s="48"/>
      <c r="W2994" s="48"/>
      <c r="X2994" s="48"/>
      <c r="Y2994" s="48"/>
      <c r="Z2994" s="48"/>
      <c r="AA2994" s="48"/>
      <c r="AB2994" s="48"/>
      <c r="AC2994" s="48"/>
      <c r="AD2994" s="48"/>
      <c r="AE2994" s="48"/>
      <c r="AF2994" s="48"/>
      <c r="AG2994" s="48"/>
      <c r="AH2994" s="48"/>
      <c r="AI2994" s="48"/>
      <c r="AJ2994" s="48"/>
      <c r="AK2994" s="48"/>
      <c r="AL2994" s="48"/>
      <c r="AM2994" s="48"/>
      <c r="AN2994" s="48"/>
      <c r="AO2994" s="48"/>
      <c r="AP2994" s="48"/>
      <c r="AQ2994" s="48"/>
      <c r="AR2994" s="48"/>
      <c r="AS2994" s="48"/>
      <c r="AT2994" s="48"/>
      <c r="AU2994" s="48"/>
      <c r="AV2994" s="48"/>
      <c r="AW2994" s="48"/>
      <c r="AX2994" s="48"/>
      <c r="AY2994" s="48"/>
      <c r="AZ2994" s="48"/>
      <c r="BA2994" s="48"/>
      <c r="BB2994" s="48"/>
      <c r="BC2994" s="48"/>
      <c r="BD2994" s="48"/>
    </row>
    <row r="2995" spans="1:56">
      <c r="A2995" s="48"/>
      <c r="B2995" s="48"/>
      <c r="C2995" s="49"/>
      <c r="D2995" s="48"/>
      <c r="E2995" s="48"/>
      <c r="F2995" s="48"/>
      <c r="G2995" s="48"/>
      <c r="H2995" s="48"/>
      <c r="I2995" s="48"/>
      <c r="J2995" s="86"/>
      <c r="K2995" s="86"/>
      <c r="L2995" s="86"/>
      <c r="M2995" s="86"/>
      <c r="N2995" s="86"/>
      <c r="O2995" s="86"/>
      <c r="P2995" s="86"/>
      <c r="Q2995" s="86"/>
      <c r="R2995" s="86"/>
      <c r="S2995" s="86"/>
      <c r="T2995" s="86"/>
      <c r="U2995" s="86"/>
      <c r="V2995" s="48"/>
      <c r="W2995" s="48"/>
      <c r="X2995" s="48"/>
      <c r="Y2995" s="48"/>
      <c r="Z2995" s="48"/>
      <c r="AA2995" s="48"/>
      <c r="AB2995" s="48"/>
      <c r="AC2995" s="48"/>
      <c r="AD2995" s="48"/>
      <c r="AE2995" s="48"/>
      <c r="AF2995" s="48"/>
      <c r="AG2995" s="48"/>
      <c r="AH2995" s="48"/>
      <c r="AI2995" s="48"/>
      <c r="AJ2995" s="48"/>
      <c r="AK2995" s="48"/>
      <c r="AL2995" s="48"/>
      <c r="AM2995" s="48"/>
      <c r="AN2995" s="48"/>
      <c r="AO2995" s="48"/>
      <c r="AP2995" s="48"/>
      <c r="AQ2995" s="48"/>
      <c r="AR2995" s="48"/>
      <c r="AS2995" s="48"/>
      <c r="AT2995" s="48"/>
      <c r="AU2995" s="48"/>
      <c r="AV2995" s="48"/>
      <c r="AW2995" s="48"/>
      <c r="AX2995" s="48"/>
      <c r="AY2995" s="48"/>
      <c r="AZ2995" s="48"/>
      <c r="BA2995" s="48"/>
      <c r="BB2995" s="48"/>
      <c r="BC2995" s="48"/>
      <c r="BD2995" s="48"/>
    </row>
    <row r="2996" spans="1:56">
      <c r="A2996" s="48"/>
      <c r="B2996" s="48"/>
      <c r="C2996" s="49"/>
      <c r="D2996" s="48"/>
      <c r="E2996" s="48"/>
      <c r="F2996" s="48"/>
      <c r="G2996" s="48"/>
      <c r="H2996" s="48"/>
      <c r="I2996" s="48"/>
      <c r="J2996" s="86"/>
      <c r="K2996" s="86"/>
      <c r="L2996" s="86"/>
      <c r="M2996" s="86"/>
      <c r="N2996" s="86"/>
      <c r="O2996" s="86"/>
      <c r="P2996" s="86"/>
      <c r="Q2996" s="86"/>
      <c r="R2996" s="86"/>
      <c r="S2996" s="86"/>
      <c r="T2996" s="86"/>
      <c r="U2996" s="86"/>
      <c r="V2996" s="48"/>
      <c r="W2996" s="48"/>
      <c r="X2996" s="48"/>
      <c r="Y2996" s="48"/>
      <c r="Z2996" s="48"/>
      <c r="AA2996" s="48"/>
      <c r="AB2996" s="48"/>
      <c r="AC2996" s="48"/>
      <c r="AD2996" s="48"/>
      <c r="AE2996" s="48"/>
      <c r="AF2996" s="48"/>
      <c r="AG2996" s="48"/>
      <c r="AH2996" s="48"/>
      <c r="AI2996" s="48"/>
      <c r="AJ2996" s="48"/>
      <c r="AK2996" s="48"/>
      <c r="AL2996" s="48"/>
      <c r="AM2996" s="48"/>
      <c r="AN2996" s="48"/>
      <c r="AO2996" s="48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48"/>
      <c r="BB2996" s="48"/>
      <c r="BC2996" s="48"/>
      <c r="BD2996" s="48"/>
    </row>
    <row r="2997" spans="1:56">
      <c r="A2997" s="48"/>
      <c r="B2997" s="48"/>
      <c r="C2997" s="49"/>
      <c r="D2997" s="48"/>
      <c r="E2997" s="48"/>
      <c r="F2997" s="48"/>
      <c r="G2997" s="48"/>
      <c r="H2997" s="48"/>
      <c r="I2997" s="48"/>
      <c r="J2997" s="86"/>
      <c r="K2997" s="86"/>
      <c r="L2997" s="86"/>
      <c r="M2997" s="86"/>
      <c r="N2997" s="86"/>
      <c r="O2997" s="86"/>
      <c r="P2997" s="86"/>
      <c r="Q2997" s="86"/>
      <c r="R2997" s="86"/>
      <c r="S2997" s="86"/>
      <c r="T2997" s="86"/>
      <c r="U2997" s="86"/>
      <c r="V2997" s="48"/>
      <c r="W2997" s="48"/>
      <c r="X2997" s="48"/>
      <c r="Y2997" s="48"/>
      <c r="Z2997" s="48"/>
      <c r="AA2997" s="48"/>
      <c r="AB2997" s="48"/>
      <c r="AC2997" s="48"/>
      <c r="AD2997" s="48"/>
      <c r="AE2997" s="48"/>
      <c r="AF2997" s="48"/>
      <c r="AG2997" s="48"/>
      <c r="AH2997" s="48"/>
      <c r="AI2997" s="48"/>
      <c r="AJ2997" s="48"/>
      <c r="AK2997" s="48"/>
      <c r="AL2997" s="48"/>
      <c r="AM2997" s="48"/>
      <c r="AN2997" s="48"/>
      <c r="AO2997" s="48"/>
      <c r="AP2997" s="48"/>
      <c r="AQ2997" s="48"/>
      <c r="AR2997" s="48"/>
      <c r="AS2997" s="48"/>
      <c r="AT2997" s="48"/>
      <c r="AU2997" s="48"/>
      <c r="AV2997" s="48"/>
      <c r="AW2997" s="48"/>
      <c r="AX2997" s="48"/>
      <c r="AY2997" s="48"/>
      <c r="AZ2997" s="48"/>
      <c r="BA2997" s="48"/>
      <c r="BB2997" s="48"/>
      <c r="BC2997" s="48"/>
      <c r="BD2997" s="48"/>
    </row>
    <row r="2998" spans="1:56">
      <c r="A2998" s="48"/>
      <c r="B2998" s="48"/>
      <c r="C2998" s="49"/>
      <c r="D2998" s="48"/>
      <c r="E2998" s="48"/>
      <c r="F2998" s="48"/>
      <c r="G2998" s="48"/>
      <c r="H2998" s="48"/>
      <c r="I2998" s="48"/>
      <c r="J2998" s="86"/>
      <c r="K2998" s="86"/>
      <c r="L2998" s="86"/>
      <c r="M2998" s="86"/>
      <c r="N2998" s="86"/>
      <c r="O2998" s="86"/>
      <c r="P2998" s="86"/>
      <c r="Q2998" s="86"/>
      <c r="R2998" s="86"/>
      <c r="S2998" s="86"/>
      <c r="T2998" s="86"/>
      <c r="U2998" s="86"/>
      <c r="V2998" s="48"/>
      <c r="W2998" s="48"/>
      <c r="X2998" s="48"/>
      <c r="Y2998" s="48"/>
      <c r="Z2998" s="48"/>
      <c r="AA2998" s="48"/>
      <c r="AB2998" s="48"/>
      <c r="AC2998" s="48"/>
      <c r="AD2998" s="48"/>
      <c r="AE2998" s="48"/>
      <c r="AF2998" s="48"/>
      <c r="AG2998" s="48"/>
      <c r="AH2998" s="48"/>
      <c r="AI2998" s="48"/>
      <c r="AJ2998" s="48"/>
      <c r="AK2998" s="48"/>
      <c r="AL2998" s="48"/>
      <c r="AM2998" s="48"/>
      <c r="AN2998" s="48"/>
      <c r="AO2998" s="48"/>
      <c r="AP2998" s="48"/>
      <c r="AQ2998" s="48"/>
      <c r="AR2998" s="48"/>
      <c r="AS2998" s="48"/>
      <c r="AT2998" s="48"/>
      <c r="AU2998" s="48"/>
      <c r="AV2998" s="48"/>
      <c r="AW2998" s="48"/>
      <c r="AX2998" s="48"/>
      <c r="AY2998" s="48"/>
      <c r="AZ2998" s="48"/>
      <c r="BA2998" s="48"/>
      <c r="BB2998" s="48"/>
      <c r="BC2998" s="48"/>
      <c r="BD2998" s="48"/>
    </row>
    <row r="2999" spans="1:56">
      <c r="A2999" s="48"/>
      <c r="B2999" s="48"/>
      <c r="C2999" s="49"/>
      <c r="D2999" s="48"/>
      <c r="E2999" s="48"/>
      <c r="F2999" s="48"/>
      <c r="G2999" s="48"/>
      <c r="H2999" s="48"/>
      <c r="I2999" s="48"/>
      <c r="J2999" s="86"/>
      <c r="K2999" s="86"/>
      <c r="L2999" s="86"/>
      <c r="M2999" s="86"/>
      <c r="N2999" s="86"/>
      <c r="O2999" s="86"/>
      <c r="P2999" s="86"/>
      <c r="Q2999" s="86"/>
      <c r="R2999" s="86"/>
      <c r="S2999" s="86"/>
      <c r="T2999" s="86"/>
      <c r="U2999" s="86"/>
      <c r="V2999" s="48"/>
      <c r="W2999" s="48"/>
      <c r="X2999" s="48"/>
      <c r="Y2999" s="48"/>
      <c r="Z2999" s="48"/>
      <c r="AA2999" s="48"/>
      <c r="AB2999" s="48"/>
      <c r="AC2999" s="48"/>
      <c r="AD2999" s="48"/>
      <c r="AE2999" s="48"/>
      <c r="AF2999" s="48"/>
      <c r="AG2999" s="48"/>
      <c r="AH2999" s="48"/>
      <c r="AI2999" s="48"/>
      <c r="AJ2999" s="48"/>
      <c r="AK2999" s="48"/>
      <c r="AL2999" s="48"/>
      <c r="AM2999" s="48"/>
      <c r="AN2999" s="48"/>
      <c r="AO2999" s="48"/>
      <c r="AP2999" s="48"/>
      <c r="AQ2999" s="48"/>
      <c r="AR2999" s="48"/>
      <c r="AS2999" s="48"/>
      <c r="AT2999" s="48"/>
      <c r="AU2999" s="48"/>
      <c r="AV2999" s="48"/>
      <c r="AW2999" s="48"/>
      <c r="AX2999" s="48"/>
      <c r="AY2999" s="48"/>
      <c r="AZ2999" s="48"/>
      <c r="BA2999" s="48"/>
      <c r="BB2999" s="48"/>
      <c r="BC2999" s="48"/>
      <c r="BD2999" s="48"/>
    </row>
    <row r="3000" spans="1:56">
      <c r="A3000" s="48"/>
      <c r="B3000" s="48"/>
      <c r="C3000" s="49"/>
      <c r="D3000" s="48"/>
      <c r="E3000" s="48"/>
      <c r="F3000" s="48"/>
      <c r="G3000" s="48"/>
      <c r="H3000" s="48"/>
      <c r="I3000" s="48"/>
      <c r="J3000" s="86"/>
      <c r="K3000" s="86"/>
      <c r="L3000" s="86"/>
      <c r="M3000" s="86"/>
      <c r="N3000" s="86"/>
      <c r="O3000" s="86"/>
      <c r="P3000" s="86"/>
      <c r="Q3000" s="86"/>
      <c r="R3000" s="86"/>
      <c r="S3000" s="86"/>
      <c r="T3000" s="86"/>
      <c r="U3000" s="86"/>
      <c r="V3000" s="48"/>
      <c r="W3000" s="48"/>
      <c r="X3000" s="48"/>
      <c r="Y3000" s="48"/>
      <c r="Z3000" s="48"/>
      <c r="AA3000" s="48"/>
      <c r="AB3000" s="48"/>
      <c r="AC3000" s="48"/>
      <c r="AD3000" s="48"/>
      <c r="AE3000" s="48"/>
      <c r="AF3000" s="48"/>
      <c r="AG3000" s="48"/>
      <c r="AH3000" s="48"/>
      <c r="AI3000" s="48"/>
      <c r="AJ3000" s="48"/>
      <c r="AK3000" s="48"/>
      <c r="AL3000" s="48"/>
      <c r="AM3000" s="48"/>
      <c r="AN3000" s="48"/>
      <c r="AO3000" s="48"/>
      <c r="AP3000" s="48"/>
      <c r="AQ3000" s="48"/>
      <c r="AR3000" s="48"/>
      <c r="AS3000" s="48"/>
      <c r="AT3000" s="48"/>
      <c r="AU3000" s="48"/>
      <c r="AV3000" s="48"/>
      <c r="AW3000" s="48"/>
      <c r="AX3000" s="48"/>
      <c r="AY3000" s="48"/>
      <c r="AZ3000" s="48"/>
      <c r="BA3000" s="48"/>
      <c r="BB3000" s="48"/>
      <c r="BC3000" s="48"/>
      <c r="BD3000" s="48"/>
    </row>
    <row r="3001" spans="1:56">
      <c r="A3001" s="48"/>
      <c r="B3001" s="48"/>
      <c r="C3001" s="49"/>
      <c r="D3001" s="48"/>
      <c r="E3001" s="48"/>
      <c r="F3001" s="48"/>
      <c r="G3001" s="48"/>
      <c r="H3001" s="48"/>
      <c r="I3001" s="48"/>
      <c r="J3001" s="86"/>
      <c r="K3001" s="86"/>
      <c r="L3001" s="86"/>
      <c r="M3001" s="86"/>
      <c r="N3001" s="86"/>
      <c r="O3001" s="86"/>
      <c r="P3001" s="86"/>
      <c r="Q3001" s="86"/>
      <c r="R3001" s="86"/>
      <c r="S3001" s="86"/>
      <c r="T3001" s="86"/>
      <c r="U3001" s="86"/>
      <c r="V3001" s="48"/>
      <c r="W3001" s="48"/>
      <c r="X3001" s="48"/>
      <c r="Y3001" s="48"/>
      <c r="Z3001" s="48"/>
      <c r="AA3001" s="48"/>
      <c r="AB3001" s="48"/>
      <c r="AC3001" s="48"/>
      <c r="AD3001" s="48"/>
      <c r="AE3001" s="48"/>
      <c r="AF3001" s="48"/>
      <c r="AG3001" s="48"/>
      <c r="AH3001" s="48"/>
      <c r="AI3001" s="48"/>
      <c r="AJ3001" s="48"/>
      <c r="AK3001" s="48"/>
      <c r="AL3001" s="48"/>
      <c r="AM3001" s="48"/>
      <c r="AN3001" s="48"/>
      <c r="AO3001" s="48"/>
      <c r="AP3001" s="48"/>
      <c r="AQ3001" s="48"/>
      <c r="AR3001" s="48"/>
      <c r="AS3001" s="48"/>
      <c r="AT3001" s="48"/>
      <c r="AU3001" s="48"/>
      <c r="AV3001" s="48"/>
      <c r="AW3001" s="48"/>
      <c r="AX3001" s="48"/>
      <c r="AY3001" s="48"/>
      <c r="AZ3001" s="48"/>
      <c r="BA3001" s="48"/>
      <c r="BB3001" s="48"/>
      <c r="BC3001" s="48"/>
      <c r="BD3001" s="48"/>
    </row>
    <row r="3002" spans="1:56">
      <c r="A3002" s="48"/>
      <c r="B3002" s="48"/>
      <c r="C3002" s="49"/>
      <c r="D3002" s="48"/>
      <c r="E3002" s="48"/>
      <c r="F3002" s="48"/>
      <c r="G3002" s="48"/>
      <c r="H3002" s="48"/>
      <c r="I3002" s="48"/>
      <c r="J3002" s="86"/>
      <c r="K3002" s="86"/>
      <c r="L3002" s="86"/>
      <c r="M3002" s="86"/>
      <c r="N3002" s="86"/>
      <c r="O3002" s="86"/>
      <c r="P3002" s="86"/>
      <c r="Q3002" s="86"/>
      <c r="R3002" s="86"/>
      <c r="S3002" s="86"/>
      <c r="T3002" s="86"/>
      <c r="U3002" s="86"/>
      <c r="V3002" s="48"/>
      <c r="W3002" s="48"/>
      <c r="X3002" s="48"/>
      <c r="Y3002" s="48"/>
      <c r="Z3002" s="48"/>
      <c r="AA3002" s="48"/>
      <c r="AB3002" s="48"/>
      <c r="AC3002" s="48"/>
      <c r="AD3002" s="48"/>
      <c r="AE3002" s="48"/>
      <c r="AF3002" s="48"/>
      <c r="AG3002" s="48"/>
      <c r="AH3002" s="48"/>
      <c r="AI3002" s="48"/>
      <c r="AJ3002" s="48"/>
      <c r="AK3002" s="48"/>
      <c r="AL3002" s="48"/>
      <c r="AM3002" s="48"/>
      <c r="AN3002" s="48"/>
      <c r="AO3002" s="48"/>
      <c r="AP3002" s="48"/>
      <c r="AQ3002" s="48"/>
      <c r="AR3002" s="48"/>
      <c r="AS3002" s="48"/>
      <c r="AT3002" s="48"/>
      <c r="AU3002" s="48"/>
      <c r="AV3002" s="48"/>
      <c r="AW3002" s="48"/>
      <c r="AX3002" s="48"/>
      <c r="AY3002" s="48"/>
      <c r="AZ3002" s="48"/>
      <c r="BA3002" s="48"/>
      <c r="BB3002" s="48"/>
      <c r="BC3002" s="48"/>
      <c r="BD3002" s="48"/>
    </row>
    <row r="3003" spans="1:56">
      <c r="A3003" s="48"/>
      <c r="B3003" s="48"/>
      <c r="C3003" s="49"/>
      <c r="D3003" s="48"/>
      <c r="E3003" s="48"/>
      <c r="F3003" s="48"/>
      <c r="G3003" s="48"/>
      <c r="H3003" s="48"/>
      <c r="I3003" s="48"/>
      <c r="J3003" s="86"/>
      <c r="K3003" s="86"/>
      <c r="L3003" s="86"/>
      <c r="M3003" s="86"/>
      <c r="N3003" s="86"/>
      <c r="O3003" s="86"/>
      <c r="P3003" s="86"/>
      <c r="Q3003" s="86"/>
      <c r="R3003" s="86"/>
      <c r="S3003" s="86"/>
      <c r="T3003" s="86"/>
      <c r="U3003" s="86"/>
      <c r="V3003" s="48"/>
      <c r="W3003" s="48"/>
      <c r="X3003" s="48"/>
      <c r="Y3003" s="48"/>
      <c r="Z3003" s="48"/>
      <c r="AA3003" s="48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48"/>
      <c r="AQ3003" s="48"/>
      <c r="AR3003" s="48"/>
      <c r="AS3003" s="48"/>
      <c r="AT3003" s="48"/>
      <c r="AU3003" s="48"/>
      <c r="AV3003" s="48"/>
      <c r="AW3003" s="48"/>
      <c r="AX3003" s="48"/>
      <c r="AY3003" s="48"/>
      <c r="AZ3003" s="48"/>
      <c r="BA3003" s="48"/>
      <c r="BB3003" s="48"/>
      <c r="BC3003" s="48"/>
      <c r="BD3003" s="48"/>
    </row>
    <row r="3004" spans="1:56">
      <c r="A3004" s="48"/>
      <c r="B3004" s="48"/>
      <c r="C3004" s="49"/>
      <c r="D3004" s="48"/>
      <c r="E3004" s="48"/>
      <c r="F3004" s="48"/>
      <c r="G3004" s="48"/>
      <c r="H3004" s="48"/>
      <c r="I3004" s="48"/>
      <c r="J3004" s="86"/>
      <c r="K3004" s="86"/>
      <c r="L3004" s="86"/>
      <c r="M3004" s="86"/>
      <c r="N3004" s="86"/>
      <c r="O3004" s="86"/>
      <c r="P3004" s="86"/>
      <c r="Q3004" s="86"/>
      <c r="R3004" s="86"/>
      <c r="S3004" s="86"/>
      <c r="T3004" s="86"/>
      <c r="U3004" s="86"/>
      <c r="V3004" s="48"/>
      <c r="W3004" s="48"/>
      <c r="X3004" s="48"/>
      <c r="Y3004" s="48"/>
      <c r="Z3004" s="48"/>
      <c r="AA3004" s="48"/>
      <c r="AB3004" s="48"/>
      <c r="AC3004" s="48"/>
      <c r="AD3004" s="48"/>
      <c r="AE3004" s="48"/>
      <c r="AF3004" s="48"/>
      <c r="AG3004" s="48"/>
      <c r="AH3004" s="48"/>
      <c r="AI3004" s="48"/>
      <c r="AJ3004" s="48"/>
      <c r="AK3004" s="48"/>
      <c r="AL3004" s="48"/>
      <c r="AM3004" s="48"/>
      <c r="AN3004" s="48"/>
      <c r="AO3004" s="48"/>
      <c r="AP3004" s="48"/>
      <c r="AQ3004" s="48"/>
      <c r="AR3004" s="48"/>
      <c r="AS3004" s="48"/>
      <c r="AT3004" s="48"/>
      <c r="AU3004" s="48"/>
      <c r="AV3004" s="48"/>
      <c r="AW3004" s="48"/>
      <c r="AX3004" s="48"/>
      <c r="AY3004" s="48"/>
      <c r="AZ3004" s="48"/>
      <c r="BA3004" s="48"/>
      <c r="BB3004" s="48"/>
      <c r="BC3004" s="48"/>
      <c r="BD3004" s="48"/>
    </row>
    <row r="3005" spans="1:56">
      <c r="A3005" s="48"/>
      <c r="B3005" s="48"/>
      <c r="C3005" s="49"/>
      <c r="D3005" s="48"/>
      <c r="E3005" s="48"/>
      <c r="F3005" s="48"/>
      <c r="G3005" s="48"/>
      <c r="H3005" s="48"/>
      <c r="I3005" s="48"/>
      <c r="J3005" s="86"/>
      <c r="K3005" s="86"/>
      <c r="L3005" s="86"/>
      <c r="M3005" s="86"/>
      <c r="N3005" s="86"/>
      <c r="O3005" s="86"/>
      <c r="P3005" s="86"/>
      <c r="Q3005" s="86"/>
      <c r="R3005" s="86"/>
      <c r="S3005" s="86"/>
      <c r="T3005" s="86"/>
      <c r="U3005" s="86"/>
      <c r="V3005" s="48"/>
      <c r="W3005" s="48"/>
      <c r="X3005" s="48"/>
      <c r="Y3005" s="48"/>
      <c r="Z3005" s="48"/>
      <c r="AA3005" s="48"/>
      <c r="AB3005" s="48"/>
      <c r="AC3005" s="48"/>
      <c r="AD3005" s="48"/>
      <c r="AE3005" s="48"/>
      <c r="AF3005" s="48"/>
      <c r="AG3005" s="48"/>
      <c r="AH3005" s="48"/>
      <c r="AI3005" s="48"/>
      <c r="AJ3005" s="48"/>
      <c r="AK3005" s="48"/>
      <c r="AL3005" s="48"/>
      <c r="AM3005" s="48"/>
      <c r="AN3005" s="48"/>
      <c r="AO3005" s="48"/>
      <c r="AP3005" s="48"/>
      <c r="AQ3005" s="48"/>
      <c r="AR3005" s="48"/>
      <c r="AS3005" s="48"/>
      <c r="AT3005" s="48"/>
      <c r="AU3005" s="48"/>
      <c r="AV3005" s="48"/>
      <c r="AW3005" s="48"/>
      <c r="AX3005" s="48"/>
      <c r="AY3005" s="48"/>
      <c r="AZ3005" s="48"/>
      <c r="BA3005" s="48"/>
      <c r="BB3005" s="48"/>
      <c r="BC3005" s="48"/>
      <c r="BD3005" s="48"/>
    </row>
    <row r="3006" spans="1:56">
      <c r="A3006" s="48"/>
      <c r="B3006" s="48"/>
      <c r="C3006" s="49"/>
      <c r="D3006" s="48"/>
      <c r="E3006" s="48"/>
      <c r="F3006" s="48"/>
      <c r="G3006" s="48"/>
      <c r="H3006" s="48"/>
      <c r="I3006" s="48"/>
      <c r="J3006" s="86"/>
      <c r="K3006" s="86"/>
      <c r="L3006" s="86"/>
      <c r="M3006" s="86"/>
      <c r="N3006" s="86"/>
      <c r="O3006" s="86"/>
      <c r="P3006" s="86"/>
      <c r="Q3006" s="86"/>
      <c r="R3006" s="86"/>
      <c r="S3006" s="86"/>
      <c r="T3006" s="86"/>
      <c r="U3006" s="86"/>
      <c r="V3006" s="48"/>
      <c r="W3006" s="48"/>
      <c r="X3006" s="48"/>
      <c r="Y3006" s="48"/>
      <c r="Z3006" s="48"/>
      <c r="AA3006" s="48"/>
      <c r="AB3006" s="48"/>
      <c r="AC3006" s="48"/>
      <c r="AD3006" s="48"/>
      <c r="AE3006" s="48"/>
      <c r="AF3006" s="48"/>
      <c r="AG3006" s="48"/>
      <c r="AH3006" s="48"/>
      <c r="AI3006" s="48"/>
      <c r="AJ3006" s="48"/>
      <c r="AK3006" s="48"/>
      <c r="AL3006" s="48"/>
      <c r="AM3006" s="48"/>
      <c r="AN3006" s="48"/>
      <c r="AO3006" s="48"/>
      <c r="AP3006" s="48"/>
      <c r="AQ3006" s="48"/>
      <c r="AR3006" s="48"/>
      <c r="AS3006" s="48"/>
      <c r="AT3006" s="48"/>
      <c r="AU3006" s="48"/>
      <c r="AV3006" s="48"/>
      <c r="AW3006" s="48"/>
      <c r="AX3006" s="48"/>
      <c r="AY3006" s="48"/>
      <c r="AZ3006" s="48"/>
      <c r="BA3006" s="48"/>
      <c r="BB3006" s="48"/>
      <c r="BC3006" s="48"/>
      <c r="BD3006" s="48"/>
    </row>
    <row r="3007" spans="1:56">
      <c r="A3007" s="48"/>
      <c r="B3007" s="48"/>
      <c r="C3007" s="49"/>
      <c r="D3007" s="48"/>
      <c r="E3007" s="48"/>
      <c r="F3007" s="48"/>
      <c r="G3007" s="48"/>
      <c r="H3007" s="48"/>
      <c r="I3007" s="48"/>
      <c r="J3007" s="86"/>
      <c r="K3007" s="86"/>
      <c r="L3007" s="86"/>
      <c r="M3007" s="86"/>
      <c r="N3007" s="86"/>
      <c r="O3007" s="86"/>
      <c r="P3007" s="86"/>
      <c r="Q3007" s="86"/>
      <c r="R3007" s="86"/>
      <c r="S3007" s="86"/>
      <c r="T3007" s="86"/>
      <c r="U3007" s="86"/>
      <c r="V3007" s="48"/>
      <c r="W3007" s="48"/>
      <c r="X3007" s="48"/>
      <c r="Y3007" s="48"/>
      <c r="Z3007" s="48"/>
      <c r="AA3007" s="48"/>
      <c r="AB3007" s="48"/>
      <c r="AC3007" s="48"/>
      <c r="AD3007" s="48"/>
      <c r="AE3007" s="48"/>
      <c r="AF3007" s="48"/>
      <c r="AG3007" s="48"/>
      <c r="AH3007" s="48"/>
      <c r="AI3007" s="48"/>
      <c r="AJ3007" s="48"/>
      <c r="AK3007" s="48"/>
      <c r="AL3007" s="48"/>
      <c r="AM3007" s="48"/>
      <c r="AN3007" s="48"/>
      <c r="AO3007" s="48"/>
      <c r="AP3007" s="48"/>
      <c r="AQ3007" s="48"/>
      <c r="AR3007" s="48"/>
      <c r="AS3007" s="48"/>
      <c r="AT3007" s="48"/>
      <c r="AU3007" s="48"/>
      <c r="AV3007" s="48"/>
      <c r="AW3007" s="48"/>
      <c r="AX3007" s="48"/>
      <c r="AY3007" s="48"/>
      <c r="AZ3007" s="48"/>
      <c r="BA3007" s="48"/>
      <c r="BB3007" s="48"/>
      <c r="BC3007" s="48"/>
      <c r="BD3007" s="48"/>
    </row>
    <row r="3008" spans="1:56">
      <c r="A3008" s="48"/>
      <c r="B3008" s="48"/>
      <c r="C3008" s="49"/>
      <c r="D3008" s="48"/>
      <c r="E3008" s="48"/>
      <c r="F3008" s="48"/>
      <c r="G3008" s="48"/>
      <c r="H3008" s="48"/>
      <c r="I3008" s="48"/>
      <c r="J3008" s="86"/>
      <c r="K3008" s="86"/>
      <c r="L3008" s="86"/>
      <c r="M3008" s="86"/>
      <c r="N3008" s="86"/>
      <c r="O3008" s="86"/>
      <c r="P3008" s="86"/>
      <c r="Q3008" s="86"/>
      <c r="R3008" s="86"/>
      <c r="S3008" s="86"/>
      <c r="T3008" s="86"/>
      <c r="U3008" s="86"/>
      <c r="V3008" s="48"/>
      <c r="W3008" s="48"/>
      <c r="X3008" s="48"/>
      <c r="Y3008" s="48"/>
      <c r="Z3008" s="48"/>
      <c r="AA3008" s="48"/>
      <c r="AB3008" s="48"/>
      <c r="AC3008" s="48"/>
      <c r="AD3008" s="48"/>
      <c r="AE3008" s="48"/>
      <c r="AF3008" s="48"/>
      <c r="AG3008" s="48"/>
      <c r="AH3008" s="48"/>
      <c r="AI3008" s="48"/>
      <c r="AJ3008" s="48"/>
      <c r="AK3008" s="48"/>
      <c r="AL3008" s="48"/>
      <c r="AM3008" s="48"/>
      <c r="AN3008" s="48"/>
      <c r="AO3008" s="48"/>
      <c r="AP3008" s="48"/>
      <c r="AQ3008" s="48"/>
      <c r="AR3008" s="48"/>
      <c r="AS3008" s="48"/>
      <c r="AT3008" s="48"/>
      <c r="AU3008" s="48"/>
      <c r="AV3008" s="48"/>
      <c r="AW3008" s="48"/>
      <c r="AX3008" s="48"/>
      <c r="AY3008" s="48"/>
      <c r="AZ3008" s="48"/>
      <c r="BA3008" s="48"/>
      <c r="BB3008" s="48"/>
      <c r="BC3008" s="48"/>
      <c r="BD3008" s="48"/>
    </row>
    <row r="3009" spans="1:56">
      <c r="A3009" s="48"/>
      <c r="B3009" s="48"/>
      <c r="C3009" s="49"/>
      <c r="D3009" s="48"/>
      <c r="E3009" s="48"/>
      <c r="F3009" s="48"/>
      <c r="G3009" s="48"/>
      <c r="H3009" s="48"/>
      <c r="I3009" s="48"/>
      <c r="J3009" s="86"/>
      <c r="K3009" s="86"/>
      <c r="L3009" s="86"/>
      <c r="M3009" s="86"/>
      <c r="N3009" s="86"/>
      <c r="O3009" s="86"/>
      <c r="P3009" s="86"/>
      <c r="Q3009" s="86"/>
      <c r="R3009" s="86"/>
      <c r="S3009" s="86"/>
      <c r="T3009" s="86"/>
      <c r="U3009" s="86"/>
      <c r="V3009" s="48"/>
      <c r="W3009" s="48"/>
      <c r="X3009" s="48"/>
      <c r="Y3009" s="48"/>
      <c r="Z3009" s="48"/>
      <c r="AA3009" s="48"/>
      <c r="AB3009" s="48"/>
      <c r="AC3009" s="48"/>
      <c r="AD3009" s="48"/>
      <c r="AE3009" s="48"/>
      <c r="AF3009" s="48"/>
      <c r="AG3009" s="48"/>
      <c r="AH3009" s="48"/>
      <c r="AI3009" s="48"/>
      <c r="AJ3009" s="48"/>
      <c r="AK3009" s="48"/>
      <c r="AL3009" s="48"/>
      <c r="AM3009" s="48"/>
      <c r="AN3009" s="48"/>
      <c r="AO3009" s="48"/>
      <c r="AP3009" s="48"/>
      <c r="AQ3009" s="48"/>
      <c r="AR3009" s="48"/>
      <c r="AS3009" s="48"/>
      <c r="AT3009" s="48"/>
      <c r="AU3009" s="48"/>
      <c r="AV3009" s="48"/>
      <c r="AW3009" s="48"/>
      <c r="AX3009" s="48"/>
      <c r="AY3009" s="48"/>
      <c r="AZ3009" s="48"/>
      <c r="BA3009" s="48"/>
      <c r="BB3009" s="48"/>
      <c r="BC3009" s="48"/>
      <c r="BD3009" s="48"/>
    </row>
    <row r="3010" spans="1:56">
      <c r="A3010" s="48"/>
      <c r="B3010" s="48"/>
      <c r="C3010" s="49"/>
      <c r="D3010" s="48"/>
      <c r="E3010" s="48"/>
      <c r="F3010" s="48"/>
      <c r="G3010" s="48"/>
      <c r="H3010" s="48"/>
      <c r="I3010" s="48"/>
      <c r="J3010" s="86"/>
      <c r="K3010" s="86"/>
      <c r="L3010" s="86"/>
      <c r="M3010" s="86"/>
      <c r="N3010" s="86"/>
      <c r="O3010" s="86"/>
      <c r="P3010" s="86"/>
      <c r="Q3010" s="86"/>
      <c r="R3010" s="86"/>
      <c r="S3010" s="86"/>
      <c r="T3010" s="86"/>
      <c r="U3010" s="86"/>
      <c r="V3010" s="48"/>
      <c r="W3010" s="48"/>
      <c r="X3010" s="48"/>
      <c r="Y3010" s="48"/>
      <c r="Z3010" s="48"/>
      <c r="AA3010" s="48"/>
      <c r="AB3010" s="48"/>
      <c r="AC3010" s="48"/>
      <c r="AD3010" s="48"/>
      <c r="AE3010" s="48"/>
      <c r="AF3010" s="48"/>
      <c r="AG3010" s="48"/>
      <c r="AH3010" s="48"/>
      <c r="AI3010" s="48"/>
      <c r="AJ3010" s="48"/>
      <c r="AK3010" s="48"/>
      <c r="AL3010" s="48"/>
      <c r="AM3010" s="48"/>
      <c r="AN3010" s="48"/>
      <c r="AO3010" s="48"/>
      <c r="AP3010" s="48"/>
      <c r="AQ3010" s="48"/>
      <c r="AR3010" s="48"/>
      <c r="AS3010" s="48"/>
      <c r="AT3010" s="48"/>
      <c r="AU3010" s="48"/>
      <c r="AV3010" s="48"/>
      <c r="AW3010" s="48"/>
      <c r="AX3010" s="48"/>
      <c r="AY3010" s="48"/>
      <c r="AZ3010" s="48"/>
      <c r="BA3010" s="48"/>
      <c r="BB3010" s="48"/>
      <c r="BC3010" s="48"/>
      <c r="BD3010" s="48"/>
    </row>
    <row r="3011" spans="1:56">
      <c r="A3011" s="48"/>
      <c r="B3011" s="48"/>
      <c r="C3011" s="49"/>
      <c r="D3011" s="48"/>
      <c r="E3011" s="48"/>
      <c r="F3011" s="48"/>
      <c r="G3011" s="48"/>
      <c r="H3011" s="48"/>
      <c r="I3011" s="48"/>
      <c r="J3011" s="86"/>
      <c r="K3011" s="86"/>
      <c r="L3011" s="86"/>
      <c r="M3011" s="86"/>
      <c r="N3011" s="86"/>
      <c r="O3011" s="86"/>
      <c r="P3011" s="86"/>
      <c r="Q3011" s="86"/>
      <c r="R3011" s="86"/>
      <c r="S3011" s="86"/>
      <c r="T3011" s="86"/>
      <c r="U3011" s="86"/>
      <c r="V3011" s="48"/>
      <c r="W3011" s="48"/>
      <c r="X3011" s="48"/>
      <c r="Y3011" s="48"/>
      <c r="Z3011" s="48"/>
      <c r="AA3011" s="48"/>
      <c r="AB3011" s="48"/>
      <c r="AC3011" s="48"/>
      <c r="AD3011" s="48"/>
      <c r="AE3011" s="48"/>
      <c r="AF3011" s="48"/>
      <c r="AG3011" s="48"/>
      <c r="AH3011" s="48"/>
      <c r="AI3011" s="48"/>
      <c r="AJ3011" s="48"/>
      <c r="AK3011" s="48"/>
      <c r="AL3011" s="48"/>
      <c r="AM3011" s="48"/>
      <c r="AN3011" s="48"/>
      <c r="AO3011" s="48"/>
      <c r="AP3011" s="48"/>
      <c r="AQ3011" s="48"/>
      <c r="AR3011" s="48"/>
      <c r="AS3011" s="48"/>
      <c r="AT3011" s="48"/>
      <c r="AU3011" s="48"/>
      <c r="AV3011" s="48"/>
      <c r="AW3011" s="48"/>
      <c r="AX3011" s="48"/>
      <c r="AY3011" s="48"/>
      <c r="AZ3011" s="48"/>
      <c r="BA3011" s="48"/>
      <c r="BB3011" s="48"/>
      <c r="BC3011" s="48"/>
      <c r="BD3011" s="48"/>
    </row>
    <row r="3012" spans="1:56">
      <c r="A3012" s="48"/>
      <c r="B3012" s="48"/>
      <c r="C3012" s="49"/>
      <c r="D3012" s="48"/>
      <c r="E3012" s="48"/>
      <c r="F3012" s="48"/>
      <c r="G3012" s="48"/>
      <c r="H3012" s="48"/>
      <c r="I3012" s="48"/>
      <c r="J3012" s="86"/>
      <c r="K3012" s="86"/>
      <c r="L3012" s="86"/>
      <c r="M3012" s="86"/>
      <c r="N3012" s="86"/>
      <c r="O3012" s="86"/>
      <c r="P3012" s="86"/>
      <c r="Q3012" s="86"/>
      <c r="R3012" s="86"/>
      <c r="S3012" s="86"/>
      <c r="T3012" s="86"/>
      <c r="U3012" s="86"/>
      <c r="V3012" s="48"/>
      <c r="W3012" s="48"/>
      <c r="X3012" s="48"/>
      <c r="Y3012" s="48"/>
      <c r="Z3012" s="48"/>
      <c r="AA3012" s="48"/>
      <c r="AB3012" s="48"/>
      <c r="AC3012" s="48"/>
      <c r="AD3012" s="48"/>
      <c r="AE3012" s="48"/>
      <c r="AF3012" s="48"/>
      <c r="AG3012" s="48"/>
      <c r="AH3012" s="48"/>
      <c r="AI3012" s="48"/>
      <c r="AJ3012" s="48"/>
      <c r="AK3012" s="48"/>
      <c r="AL3012" s="48"/>
      <c r="AM3012" s="48"/>
      <c r="AN3012" s="48"/>
      <c r="AO3012" s="48"/>
      <c r="AP3012" s="48"/>
      <c r="AQ3012" s="48"/>
      <c r="AR3012" s="48"/>
      <c r="AS3012" s="48"/>
      <c r="AT3012" s="48"/>
      <c r="AU3012" s="48"/>
      <c r="AV3012" s="48"/>
      <c r="AW3012" s="48"/>
      <c r="AX3012" s="48"/>
      <c r="AY3012" s="48"/>
      <c r="AZ3012" s="48"/>
      <c r="BA3012" s="48"/>
      <c r="BB3012" s="48"/>
      <c r="BC3012" s="48"/>
      <c r="BD3012" s="48"/>
    </row>
    <row r="3013" spans="1:56">
      <c r="A3013" s="48"/>
      <c r="B3013" s="48"/>
      <c r="C3013" s="49"/>
      <c r="D3013" s="48"/>
      <c r="E3013" s="48"/>
      <c r="F3013" s="48"/>
      <c r="G3013" s="48"/>
      <c r="H3013" s="48"/>
      <c r="I3013" s="48"/>
      <c r="J3013" s="86"/>
      <c r="K3013" s="86"/>
      <c r="L3013" s="86"/>
      <c r="M3013" s="86"/>
      <c r="N3013" s="86"/>
      <c r="O3013" s="86"/>
      <c r="P3013" s="86"/>
      <c r="Q3013" s="86"/>
      <c r="R3013" s="86"/>
      <c r="S3013" s="86"/>
      <c r="T3013" s="86"/>
      <c r="U3013" s="86"/>
      <c r="V3013" s="48"/>
      <c r="W3013" s="48"/>
      <c r="X3013" s="48"/>
      <c r="Y3013" s="48"/>
      <c r="Z3013" s="48"/>
      <c r="AA3013" s="48"/>
      <c r="AB3013" s="48"/>
      <c r="AC3013" s="48"/>
      <c r="AD3013" s="48"/>
      <c r="AE3013" s="48"/>
      <c r="AF3013" s="48"/>
      <c r="AG3013" s="48"/>
      <c r="AH3013" s="48"/>
      <c r="AI3013" s="48"/>
      <c r="AJ3013" s="48"/>
      <c r="AK3013" s="48"/>
      <c r="AL3013" s="48"/>
      <c r="AM3013" s="48"/>
      <c r="AN3013" s="48"/>
      <c r="AO3013" s="48"/>
      <c r="AP3013" s="48"/>
      <c r="AQ3013" s="48"/>
      <c r="AR3013" s="48"/>
      <c r="AS3013" s="48"/>
      <c r="AT3013" s="48"/>
      <c r="AU3013" s="48"/>
      <c r="AV3013" s="48"/>
      <c r="AW3013" s="48"/>
      <c r="AX3013" s="48"/>
      <c r="AY3013" s="48"/>
      <c r="AZ3013" s="48"/>
      <c r="BA3013" s="48"/>
      <c r="BB3013" s="48"/>
      <c r="BC3013" s="48"/>
      <c r="BD3013" s="48"/>
    </row>
    <row r="3014" spans="1:56">
      <c r="A3014" s="48"/>
      <c r="B3014" s="48"/>
      <c r="C3014" s="49"/>
      <c r="D3014" s="48"/>
      <c r="E3014" s="48"/>
      <c r="F3014" s="48"/>
      <c r="G3014" s="48"/>
      <c r="H3014" s="48"/>
      <c r="I3014" s="48"/>
      <c r="J3014" s="86"/>
      <c r="K3014" s="86"/>
      <c r="L3014" s="86"/>
      <c r="M3014" s="86"/>
      <c r="N3014" s="86"/>
      <c r="O3014" s="86"/>
      <c r="P3014" s="86"/>
      <c r="Q3014" s="86"/>
      <c r="R3014" s="86"/>
      <c r="S3014" s="86"/>
      <c r="T3014" s="86"/>
      <c r="U3014" s="86"/>
      <c r="V3014" s="48"/>
      <c r="W3014" s="48"/>
      <c r="X3014" s="48"/>
      <c r="Y3014" s="48"/>
      <c r="Z3014" s="48"/>
      <c r="AA3014" s="48"/>
      <c r="AB3014" s="48"/>
      <c r="AC3014" s="48"/>
      <c r="AD3014" s="48"/>
      <c r="AE3014" s="48"/>
      <c r="AF3014" s="48"/>
      <c r="AG3014" s="48"/>
      <c r="AH3014" s="48"/>
      <c r="AI3014" s="48"/>
      <c r="AJ3014" s="48"/>
      <c r="AK3014" s="48"/>
      <c r="AL3014" s="48"/>
      <c r="AM3014" s="48"/>
      <c r="AN3014" s="48"/>
      <c r="AO3014" s="48"/>
      <c r="AP3014" s="48"/>
      <c r="AQ3014" s="48"/>
      <c r="AR3014" s="48"/>
      <c r="AS3014" s="48"/>
      <c r="AT3014" s="48"/>
      <c r="AU3014" s="48"/>
      <c r="AV3014" s="48"/>
      <c r="AW3014" s="48"/>
      <c r="AX3014" s="48"/>
      <c r="AY3014" s="48"/>
      <c r="AZ3014" s="48"/>
      <c r="BA3014" s="48"/>
      <c r="BB3014" s="48"/>
      <c r="BC3014" s="48"/>
      <c r="BD3014" s="48"/>
    </row>
    <row r="3015" spans="1:56">
      <c r="A3015" s="48"/>
      <c r="B3015" s="48"/>
      <c r="C3015" s="49"/>
      <c r="D3015" s="48"/>
      <c r="E3015" s="48"/>
      <c r="F3015" s="48"/>
      <c r="G3015" s="48"/>
      <c r="H3015" s="48"/>
      <c r="I3015" s="48"/>
      <c r="J3015" s="86"/>
      <c r="K3015" s="86"/>
      <c r="L3015" s="86"/>
      <c r="M3015" s="86"/>
      <c r="N3015" s="86"/>
      <c r="O3015" s="86"/>
      <c r="P3015" s="86"/>
      <c r="Q3015" s="86"/>
      <c r="R3015" s="86"/>
      <c r="S3015" s="86"/>
      <c r="T3015" s="86"/>
      <c r="U3015" s="86"/>
      <c r="V3015" s="48"/>
      <c r="W3015" s="48"/>
      <c r="X3015" s="48"/>
      <c r="Y3015" s="48"/>
      <c r="Z3015" s="48"/>
      <c r="AA3015" s="48"/>
      <c r="AB3015" s="48"/>
      <c r="AC3015" s="48"/>
      <c r="AD3015" s="48"/>
      <c r="AE3015" s="48"/>
      <c r="AF3015" s="48"/>
      <c r="AG3015" s="48"/>
      <c r="AH3015" s="48"/>
      <c r="AI3015" s="48"/>
      <c r="AJ3015" s="48"/>
      <c r="AK3015" s="48"/>
      <c r="AL3015" s="48"/>
      <c r="AM3015" s="48"/>
      <c r="AN3015" s="48"/>
      <c r="AO3015" s="48"/>
      <c r="AP3015" s="48"/>
      <c r="AQ3015" s="48"/>
      <c r="AR3015" s="48"/>
      <c r="AS3015" s="48"/>
      <c r="AT3015" s="48"/>
      <c r="AU3015" s="48"/>
      <c r="AV3015" s="48"/>
      <c r="AW3015" s="48"/>
      <c r="AX3015" s="48"/>
      <c r="AY3015" s="48"/>
      <c r="AZ3015" s="48"/>
      <c r="BA3015" s="48"/>
      <c r="BB3015" s="48"/>
      <c r="BC3015" s="48"/>
      <c r="BD3015" s="48"/>
    </row>
    <row r="3016" spans="1:56">
      <c r="A3016" s="48"/>
      <c r="B3016" s="48"/>
      <c r="C3016" s="49"/>
      <c r="D3016" s="48"/>
      <c r="E3016" s="48"/>
      <c r="F3016" s="48"/>
      <c r="G3016" s="48"/>
      <c r="H3016" s="48"/>
      <c r="I3016" s="48"/>
      <c r="J3016" s="86"/>
      <c r="K3016" s="86"/>
      <c r="L3016" s="86"/>
      <c r="M3016" s="86"/>
      <c r="N3016" s="86"/>
      <c r="O3016" s="86"/>
      <c r="P3016" s="86"/>
      <c r="Q3016" s="86"/>
      <c r="R3016" s="86"/>
      <c r="S3016" s="86"/>
      <c r="T3016" s="86"/>
      <c r="U3016" s="86"/>
      <c r="V3016" s="48"/>
      <c r="W3016" s="48"/>
      <c r="X3016" s="48"/>
      <c r="Y3016" s="48"/>
      <c r="Z3016" s="48"/>
      <c r="AA3016" s="48"/>
      <c r="AB3016" s="48"/>
      <c r="AC3016" s="48"/>
      <c r="AD3016" s="48"/>
      <c r="AE3016" s="48"/>
      <c r="AF3016" s="48"/>
      <c r="AG3016" s="48"/>
      <c r="AH3016" s="48"/>
      <c r="AI3016" s="48"/>
      <c r="AJ3016" s="48"/>
      <c r="AK3016" s="48"/>
      <c r="AL3016" s="48"/>
      <c r="AM3016" s="48"/>
      <c r="AN3016" s="48"/>
      <c r="AO3016" s="48"/>
      <c r="AP3016" s="48"/>
      <c r="AQ3016" s="48"/>
      <c r="AR3016" s="48"/>
      <c r="AS3016" s="48"/>
      <c r="AT3016" s="48"/>
      <c r="AU3016" s="48"/>
      <c r="AV3016" s="48"/>
      <c r="AW3016" s="48"/>
      <c r="AX3016" s="48"/>
      <c r="AY3016" s="48"/>
      <c r="AZ3016" s="48"/>
      <c r="BA3016" s="48"/>
      <c r="BB3016" s="48"/>
      <c r="BC3016" s="48"/>
      <c r="BD3016" s="48"/>
    </row>
    <row r="3017" spans="1:56">
      <c r="A3017" s="48"/>
      <c r="B3017" s="48"/>
      <c r="C3017" s="49"/>
      <c r="D3017" s="48"/>
      <c r="E3017" s="48"/>
      <c r="F3017" s="48"/>
      <c r="G3017" s="48"/>
      <c r="H3017" s="48"/>
      <c r="I3017" s="48"/>
      <c r="J3017" s="86"/>
      <c r="K3017" s="86"/>
      <c r="L3017" s="86"/>
      <c r="M3017" s="86"/>
      <c r="N3017" s="86"/>
      <c r="O3017" s="86"/>
      <c r="P3017" s="86"/>
      <c r="Q3017" s="86"/>
      <c r="R3017" s="86"/>
      <c r="S3017" s="86"/>
      <c r="T3017" s="86"/>
      <c r="U3017" s="86"/>
      <c r="V3017" s="48"/>
      <c r="W3017" s="48"/>
      <c r="X3017" s="48"/>
      <c r="Y3017" s="48"/>
      <c r="Z3017" s="48"/>
      <c r="AA3017" s="48"/>
      <c r="AB3017" s="48"/>
      <c r="AC3017" s="48"/>
      <c r="AD3017" s="48"/>
      <c r="AE3017" s="48"/>
      <c r="AF3017" s="48"/>
      <c r="AG3017" s="48"/>
      <c r="AH3017" s="48"/>
      <c r="AI3017" s="48"/>
      <c r="AJ3017" s="48"/>
      <c r="AK3017" s="48"/>
      <c r="AL3017" s="48"/>
      <c r="AM3017" s="48"/>
      <c r="AN3017" s="48"/>
      <c r="AO3017" s="48"/>
      <c r="AP3017" s="48"/>
      <c r="AQ3017" s="48"/>
      <c r="AR3017" s="48"/>
      <c r="AS3017" s="48"/>
      <c r="AT3017" s="48"/>
      <c r="AU3017" s="48"/>
      <c r="AV3017" s="48"/>
      <c r="AW3017" s="48"/>
      <c r="AX3017" s="48"/>
      <c r="AY3017" s="48"/>
      <c r="AZ3017" s="48"/>
      <c r="BA3017" s="48"/>
      <c r="BB3017" s="48"/>
      <c r="BC3017" s="48"/>
      <c r="BD3017" s="48"/>
    </row>
    <row r="3018" spans="1:56">
      <c r="A3018" s="48"/>
      <c r="B3018" s="48"/>
      <c r="C3018" s="49"/>
      <c r="D3018" s="48"/>
      <c r="E3018" s="48"/>
      <c r="F3018" s="48"/>
      <c r="G3018" s="48"/>
      <c r="H3018" s="48"/>
      <c r="I3018" s="48"/>
      <c r="J3018" s="86"/>
      <c r="K3018" s="86"/>
      <c r="L3018" s="86"/>
      <c r="M3018" s="86"/>
      <c r="N3018" s="86"/>
      <c r="O3018" s="86"/>
      <c r="P3018" s="86"/>
      <c r="Q3018" s="86"/>
      <c r="R3018" s="86"/>
      <c r="S3018" s="86"/>
      <c r="T3018" s="86"/>
      <c r="U3018" s="86"/>
      <c r="V3018" s="48"/>
      <c r="W3018" s="48"/>
      <c r="X3018" s="48"/>
      <c r="Y3018" s="48"/>
      <c r="Z3018" s="48"/>
      <c r="AA3018" s="48"/>
      <c r="AB3018" s="48"/>
      <c r="AC3018" s="48"/>
      <c r="AD3018" s="48"/>
      <c r="AE3018" s="48"/>
      <c r="AF3018" s="48"/>
      <c r="AG3018" s="48"/>
      <c r="AH3018" s="48"/>
      <c r="AI3018" s="48"/>
      <c r="AJ3018" s="48"/>
      <c r="AK3018" s="48"/>
      <c r="AL3018" s="48"/>
      <c r="AM3018" s="48"/>
      <c r="AN3018" s="48"/>
      <c r="AO3018" s="48"/>
      <c r="AP3018" s="48"/>
      <c r="AQ3018" s="48"/>
      <c r="AR3018" s="48"/>
      <c r="AS3018" s="48"/>
      <c r="AT3018" s="48"/>
      <c r="AU3018" s="48"/>
      <c r="AV3018" s="48"/>
      <c r="AW3018" s="48"/>
      <c r="AX3018" s="48"/>
      <c r="AY3018" s="48"/>
      <c r="AZ3018" s="48"/>
      <c r="BA3018" s="48"/>
      <c r="BB3018" s="48"/>
      <c r="BC3018" s="48"/>
      <c r="BD3018" s="48"/>
    </row>
    <row r="3019" spans="1:56">
      <c r="A3019" s="48"/>
      <c r="B3019" s="48"/>
      <c r="C3019" s="49"/>
      <c r="D3019" s="48"/>
      <c r="E3019" s="48"/>
      <c r="F3019" s="48"/>
      <c r="G3019" s="48"/>
      <c r="H3019" s="48"/>
      <c r="I3019" s="48"/>
      <c r="J3019" s="86"/>
      <c r="K3019" s="86"/>
      <c r="L3019" s="86"/>
      <c r="M3019" s="86"/>
      <c r="N3019" s="86"/>
      <c r="O3019" s="86"/>
      <c r="P3019" s="86"/>
      <c r="Q3019" s="86"/>
      <c r="R3019" s="86"/>
      <c r="S3019" s="86"/>
      <c r="T3019" s="86"/>
      <c r="U3019" s="86"/>
      <c r="V3019" s="48"/>
      <c r="W3019" s="48"/>
      <c r="X3019" s="48"/>
      <c r="Y3019" s="48"/>
      <c r="Z3019" s="48"/>
      <c r="AA3019" s="48"/>
      <c r="AB3019" s="48"/>
      <c r="AC3019" s="48"/>
      <c r="AD3019" s="48"/>
      <c r="AE3019" s="48"/>
      <c r="AF3019" s="48"/>
      <c r="AG3019" s="48"/>
      <c r="AH3019" s="48"/>
      <c r="AI3019" s="48"/>
      <c r="AJ3019" s="48"/>
      <c r="AK3019" s="48"/>
      <c r="AL3019" s="48"/>
      <c r="AM3019" s="48"/>
      <c r="AN3019" s="48"/>
      <c r="AO3019" s="48"/>
      <c r="AP3019" s="48"/>
      <c r="AQ3019" s="48"/>
      <c r="AR3019" s="48"/>
      <c r="AS3019" s="48"/>
      <c r="AT3019" s="48"/>
      <c r="AU3019" s="48"/>
      <c r="AV3019" s="48"/>
      <c r="AW3019" s="48"/>
      <c r="AX3019" s="48"/>
      <c r="AY3019" s="48"/>
      <c r="AZ3019" s="48"/>
      <c r="BA3019" s="48"/>
      <c r="BB3019" s="48"/>
      <c r="BC3019" s="48"/>
      <c r="BD3019" s="48"/>
    </row>
    <row r="3020" spans="1:56">
      <c r="A3020" s="48"/>
      <c r="B3020" s="48"/>
      <c r="C3020" s="49"/>
      <c r="D3020" s="48"/>
      <c r="E3020" s="48"/>
      <c r="F3020" s="48"/>
      <c r="G3020" s="48"/>
      <c r="H3020" s="48"/>
      <c r="I3020" s="48"/>
      <c r="J3020" s="86"/>
      <c r="K3020" s="86"/>
      <c r="L3020" s="86"/>
      <c r="M3020" s="86"/>
      <c r="N3020" s="86"/>
      <c r="O3020" s="86"/>
      <c r="P3020" s="86"/>
      <c r="Q3020" s="86"/>
      <c r="R3020" s="86"/>
      <c r="S3020" s="86"/>
      <c r="T3020" s="86"/>
      <c r="U3020" s="86"/>
      <c r="V3020" s="48"/>
      <c r="W3020" s="48"/>
      <c r="X3020" s="48"/>
      <c r="Y3020" s="48"/>
      <c r="Z3020" s="48"/>
      <c r="AA3020" s="48"/>
      <c r="AB3020" s="48"/>
      <c r="AC3020" s="48"/>
      <c r="AD3020" s="48"/>
      <c r="AE3020" s="48"/>
      <c r="AF3020" s="48"/>
      <c r="AG3020" s="48"/>
      <c r="AH3020" s="48"/>
      <c r="AI3020" s="48"/>
      <c r="AJ3020" s="48"/>
      <c r="AK3020" s="48"/>
      <c r="AL3020" s="48"/>
      <c r="AM3020" s="48"/>
      <c r="AN3020" s="48"/>
      <c r="AO3020" s="48"/>
      <c r="AP3020" s="48"/>
      <c r="AQ3020" s="48"/>
      <c r="AR3020" s="48"/>
      <c r="AS3020" s="48"/>
      <c r="AT3020" s="48"/>
      <c r="AU3020" s="48"/>
      <c r="AV3020" s="48"/>
      <c r="AW3020" s="48"/>
      <c r="AX3020" s="48"/>
      <c r="AY3020" s="48"/>
      <c r="AZ3020" s="48"/>
      <c r="BA3020" s="48"/>
      <c r="BB3020" s="48"/>
      <c r="BC3020" s="48"/>
      <c r="BD3020" s="48"/>
    </row>
    <row r="3021" spans="1:56">
      <c r="A3021" s="48"/>
      <c r="B3021" s="48"/>
      <c r="C3021" s="49"/>
      <c r="D3021" s="48"/>
      <c r="E3021" s="48"/>
      <c r="F3021" s="48"/>
      <c r="G3021" s="48"/>
      <c r="H3021" s="48"/>
      <c r="I3021" s="48"/>
      <c r="J3021" s="86"/>
      <c r="K3021" s="86"/>
      <c r="L3021" s="86"/>
      <c r="M3021" s="86"/>
      <c r="N3021" s="86"/>
      <c r="O3021" s="86"/>
      <c r="P3021" s="86"/>
      <c r="Q3021" s="86"/>
      <c r="R3021" s="86"/>
      <c r="S3021" s="86"/>
      <c r="T3021" s="86"/>
      <c r="U3021" s="86"/>
      <c r="V3021" s="48"/>
      <c r="W3021" s="48"/>
      <c r="X3021" s="48"/>
      <c r="Y3021" s="48"/>
      <c r="Z3021" s="48"/>
      <c r="AA3021" s="48"/>
      <c r="AB3021" s="48"/>
      <c r="AC3021" s="48"/>
      <c r="AD3021" s="48"/>
      <c r="AE3021" s="48"/>
      <c r="AF3021" s="48"/>
      <c r="AG3021" s="48"/>
      <c r="AH3021" s="48"/>
      <c r="AI3021" s="48"/>
      <c r="AJ3021" s="48"/>
      <c r="AK3021" s="48"/>
      <c r="AL3021" s="48"/>
      <c r="AM3021" s="48"/>
      <c r="AN3021" s="48"/>
      <c r="AO3021" s="48"/>
      <c r="AP3021" s="48"/>
      <c r="AQ3021" s="48"/>
      <c r="AR3021" s="48"/>
      <c r="AS3021" s="48"/>
      <c r="AT3021" s="48"/>
      <c r="AU3021" s="48"/>
      <c r="AV3021" s="48"/>
      <c r="AW3021" s="48"/>
      <c r="AX3021" s="48"/>
      <c r="AY3021" s="48"/>
      <c r="AZ3021" s="48"/>
      <c r="BA3021" s="48"/>
      <c r="BB3021" s="48"/>
      <c r="BC3021" s="48"/>
      <c r="BD3021" s="48"/>
    </row>
    <row r="3022" spans="1:56">
      <c r="A3022" s="48"/>
      <c r="B3022" s="48"/>
      <c r="C3022" s="49"/>
      <c r="D3022" s="48"/>
      <c r="E3022" s="48"/>
      <c r="F3022" s="48"/>
      <c r="G3022" s="48"/>
      <c r="H3022" s="48"/>
      <c r="I3022" s="48"/>
      <c r="J3022" s="86"/>
      <c r="K3022" s="86"/>
      <c r="L3022" s="86"/>
      <c r="M3022" s="86"/>
      <c r="N3022" s="86"/>
      <c r="O3022" s="86"/>
      <c r="P3022" s="86"/>
      <c r="Q3022" s="86"/>
      <c r="R3022" s="86"/>
      <c r="S3022" s="86"/>
      <c r="T3022" s="86"/>
      <c r="U3022" s="86"/>
      <c r="V3022" s="48"/>
      <c r="W3022" s="48"/>
      <c r="X3022" s="48"/>
      <c r="Y3022" s="48"/>
      <c r="Z3022" s="48"/>
      <c r="AA3022" s="48"/>
      <c r="AB3022" s="48"/>
      <c r="AC3022" s="48"/>
      <c r="AD3022" s="48"/>
      <c r="AE3022" s="48"/>
      <c r="AF3022" s="48"/>
      <c r="AG3022" s="48"/>
      <c r="AH3022" s="48"/>
      <c r="AI3022" s="48"/>
      <c r="AJ3022" s="48"/>
      <c r="AK3022" s="48"/>
      <c r="AL3022" s="48"/>
      <c r="AM3022" s="48"/>
      <c r="AN3022" s="48"/>
      <c r="AO3022" s="48"/>
      <c r="AP3022" s="48"/>
      <c r="AQ3022" s="48"/>
      <c r="AR3022" s="48"/>
      <c r="AS3022" s="48"/>
      <c r="AT3022" s="48"/>
      <c r="AU3022" s="48"/>
      <c r="AV3022" s="48"/>
      <c r="AW3022" s="48"/>
      <c r="AX3022" s="48"/>
      <c r="AY3022" s="48"/>
      <c r="AZ3022" s="48"/>
      <c r="BA3022" s="48"/>
      <c r="BB3022" s="48"/>
      <c r="BC3022" s="48"/>
      <c r="BD3022" s="48"/>
    </row>
    <row r="3023" spans="1:56">
      <c r="A3023" s="48"/>
      <c r="B3023" s="48"/>
      <c r="C3023" s="49"/>
      <c r="D3023" s="48"/>
      <c r="E3023" s="48"/>
      <c r="F3023" s="48"/>
      <c r="G3023" s="48"/>
      <c r="H3023" s="48"/>
      <c r="I3023" s="48"/>
      <c r="J3023" s="86"/>
      <c r="K3023" s="86"/>
      <c r="L3023" s="86"/>
      <c r="M3023" s="86"/>
      <c r="N3023" s="86"/>
      <c r="O3023" s="86"/>
      <c r="P3023" s="86"/>
      <c r="Q3023" s="86"/>
      <c r="R3023" s="86"/>
      <c r="S3023" s="86"/>
      <c r="T3023" s="86"/>
      <c r="U3023" s="86"/>
      <c r="V3023" s="48"/>
      <c r="W3023" s="48"/>
      <c r="X3023" s="48"/>
      <c r="Y3023" s="48"/>
      <c r="Z3023" s="48"/>
      <c r="AA3023" s="48"/>
      <c r="AB3023" s="48"/>
      <c r="AC3023" s="48"/>
      <c r="AD3023" s="48"/>
      <c r="AE3023" s="48"/>
      <c r="AF3023" s="48"/>
      <c r="AG3023" s="48"/>
      <c r="AH3023" s="48"/>
      <c r="AI3023" s="48"/>
      <c r="AJ3023" s="48"/>
      <c r="AK3023" s="48"/>
      <c r="AL3023" s="48"/>
      <c r="AM3023" s="48"/>
      <c r="AN3023" s="48"/>
      <c r="AO3023" s="48"/>
      <c r="AP3023" s="48"/>
      <c r="AQ3023" s="48"/>
      <c r="AR3023" s="48"/>
      <c r="AS3023" s="48"/>
      <c r="AT3023" s="48"/>
      <c r="AU3023" s="48"/>
      <c r="AV3023" s="48"/>
      <c r="AW3023" s="48"/>
      <c r="AX3023" s="48"/>
      <c r="AY3023" s="48"/>
      <c r="AZ3023" s="48"/>
      <c r="BA3023" s="48"/>
      <c r="BB3023" s="48"/>
      <c r="BC3023" s="48"/>
      <c r="BD3023" s="48"/>
    </row>
    <row r="3024" spans="1:56">
      <c r="A3024" s="48"/>
      <c r="B3024" s="48"/>
      <c r="C3024" s="49"/>
      <c r="D3024" s="48"/>
      <c r="E3024" s="48"/>
      <c r="F3024" s="48"/>
      <c r="G3024" s="48"/>
      <c r="H3024" s="48"/>
      <c r="I3024" s="48"/>
      <c r="J3024" s="86"/>
      <c r="K3024" s="86"/>
      <c r="L3024" s="86"/>
      <c r="M3024" s="86"/>
      <c r="N3024" s="86"/>
      <c r="O3024" s="86"/>
      <c r="P3024" s="86"/>
      <c r="Q3024" s="86"/>
      <c r="R3024" s="86"/>
      <c r="S3024" s="86"/>
      <c r="T3024" s="86"/>
      <c r="U3024" s="86"/>
      <c r="V3024" s="48"/>
      <c r="W3024" s="48"/>
      <c r="X3024" s="48"/>
      <c r="Y3024" s="48"/>
      <c r="Z3024" s="48"/>
      <c r="AA3024" s="48"/>
      <c r="AB3024" s="48"/>
      <c r="AC3024" s="48"/>
      <c r="AD3024" s="48"/>
      <c r="AE3024" s="48"/>
      <c r="AF3024" s="48"/>
      <c r="AG3024" s="48"/>
      <c r="AH3024" s="48"/>
      <c r="AI3024" s="48"/>
      <c r="AJ3024" s="48"/>
      <c r="AK3024" s="48"/>
      <c r="AL3024" s="48"/>
      <c r="AM3024" s="48"/>
      <c r="AN3024" s="48"/>
      <c r="AO3024" s="48"/>
      <c r="AP3024" s="48"/>
      <c r="AQ3024" s="48"/>
      <c r="AR3024" s="48"/>
      <c r="AS3024" s="48"/>
      <c r="AT3024" s="48"/>
      <c r="AU3024" s="48"/>
      <c r="AV3024" s="48"/>
      <c r="AW3024" s="48"/>
      <c r="AX3024" s="48"/>
      <c r="AY3024" s="48"/>
      <c r="AZ3024" s="48"/>
      <c r="BA3024" s="48"/>
      <c r="BB3024" s="48"/>
      <c r="BC3024" s="48"/>
      <c r="BD3024" s="48"/>
    </row>
    <row r="3025" spans="1:56">
      <c r="A3025" s="48"/>
      <c r="B3025" s="48"/>
      <c r="C3025" s="49"/>
      <c r="D3025" s="48"/>
      <c r="E3025" s="48"/>
      <c r="F3025" s="48"/>
      <c r="G3025" s="48"/>
      <c r="H3025" s="48"/>
      <c r="I3025" s="48"/>
      <c r="J3025" s="86"/>
      <c r="K3025" s="86"/>
      <c r="L3025" s="86"/>
      <c r="M3025" s="86"/>
      <c r="N3025" s="86"/>
      <c r="O3025" s="86"/>
      <c r="P3025" s="86"/>
      <c r="Q3025" s="86"/>
      <c r="R3025" s="86"/>
      <c r="S3025" s="86"/>
      <c r="T3025" s="86"/>
      <c r="U3025" s="86"/>
      <c r="V3025" s="48"/>
      <c r="W3025" s="48"/>
      <c r="X3025" s="48"/>
      <c r="Y3025" s="48"/>
      <c r="Z3025" s="48"/>
      <c r="AA3025" s="48"/>
      <c r="AB3025" s="48"/>
      <c r="AC3025" s="48"/>
      <c r="AD3025" s="48"/>
      <c r="AE3025" s="48"/>
      <c r="AF3025" s="48"/>
      <c r="AG3025" s="48"/>
      <c r="AH3025" s="48"/>
      <c r="AI3025" s="48"/>
      <c r="AJ3025" s="48"/>
      <c r="AK3025" s="48"/>
      <c r="AL3025" s="48"/>
      <c r="AM3025" s="48"/>
      <c r="AN3025" s="48"/>
      <c r="AO3025" s="48"/>
      <c r="AP3025" s="48"/>
      <c r="AQ3025" s="48"/>
      <c r="AR3025" s="48"/>
      <c r="AS3025" s="48"/>
      <c r="AT3025" s="48"/>
      <c r="AU3025" s="48"/>
      <c r="AV3025" s="48"/>
      <c r="AW3025" s="48"/>
      <c r="AX3025" s="48"/>
      <c r="AY3025" s="48"/>
      <c r="AZ3025" s="48"/>
      <c r="BA3025" s="48"/>
      <c r="BB3025" s="48"/>
      <c r="BC3025" s="48"/>
      <c r="BD3025" s="48"/>
    </row>
    <row r="3026" spans="1:56">
      <c r="A3026" s="48"/>
      <c r="B3026" s="48"/>
      <c r="C3026" s="49"/>
      <c r="D3026" s="48"/>
      <c r="E3026" s="48"/>
      <c r="F3026" s="48"/>
      <c r="G3026" s="48"/>
      <c r="H3026" s="48"/>
      <c r="I3026" s="48"/>
      <c r="J3026" s="86"/>
      <c r="K3026" s="86"/>
      <c r="L3026" s="86"/>
      <c r="M3026" s="86"/>
      <c r="N3026" s="86"/>
      <c r="O3026" s="86"/>
      <c r="P3026" s="86"/>
      <c r="Q3026" s="86"/>
      <c r="R3026" s="86"/>
      <c r="S3026" s="86"/>
      <c r="T3026" s="86"/>
      <c r="U3026" s="86"/>
      <c r="V3026" s="48"/>
      <c r="W3026" s="48"/>
      <c r="X3026" s="48"/>
      <c r="Y3026" s="48"/>
      <c r="Z3026" s="48"/>
      <c r="AA3026" s="48"/>
      <c r="AB3026" s="48"/>
      <c r="AC3026" s="48"/>
      <c r="AD3026" s="48"/>
      <c r="AE3026" s="48"/>
      <c r="AF3026" s="48"/>
      <c r="AG3026" s="48"/>
      <c r="AH3026" s="48"/>
      <c r="AI3026" s="48"/>
      <c r="AJ3026" s="48"/>
      <c r="AK3026" s="48"/>
      <c r="AL3026" s="48"/>
      <c r="AM3026" s="48"/>
      <c r="AN3026" s="48"/>
      <c r="AO3026" s="48"/>
      <c r="AP3026" s="48"/>
      <c r="AQ3026" s="48"/>
      <c r="AR3026" s="48"/>
      <c r="AS3026" s="48"/>
      <c r="AT3026" s="48"/>
      <c r="AU3026" s="48"/>
      <c r="AV3026" s="48"/>
      <c r="AW3026" s="48"/>
      <c r="AX3026" s="48"/>
      <c r="AY3026" s="48"/>
      <c r="AZ3026" s="48"/>
      <c r="BA3026" s="48"/>
      <c r="BB3026" s="48"/>
      <c r="BC3026" s="48"/>
      <c r="BD3026" s="48"/>
    </row>
    <row r="3027" spans="1:56">
      <c r="A3027" s="48"/>
      <c r="B3027" s="48"/>
      <c r="C3027" s="49"/>
      <c r="D3027" s="48"/>
      <c r="E3027" s="48"/>
      <c r="F3027" s="48"/>
      <c r="G3027" s="48"/>
      <c r="H3027" s="48"/>
      <c r="I3027" s="48"/>
      <c r="J3027" s="86"/>
      <c r="K3027" s="86"/>
      <c r="L3027" s="86"/>
      <c r="M3027" s="86"/>
      <c r="N3027" s="86"/>
      <c r="O3027" s="86"/>
      <c r="P3027" s="86"/>
      <c r="Q3027" s="86"/>
      <c r="R3027" s="86"/>
      <c r="S3027" s="86"/>
      <c r="T3027" s="86"/>
      <c r="U3027" s="86"/>
      <c r="V3027" s="48"/>
      <c r="W3027" s="48"/>
      <c r="X3027" s="48"/>
      <c r="Y3027" s="48"/>
      <c r="Z3027" s="48"/>
      <c r="AA3027" s="48"/>
      <c r="AB3027" s="48"/>
      <c r="AC3027" s="48"/>
      <c r="AD3027" s="48"/>
      <c r="AE3027" s="48"/>
      <c r="AF3027" s="48"/>
      <c r="AG3027" s="48"/>
      <c r="AH3027" s="48"/>
      <c r="AI3027" s="48"/>
      <c r="AJ3027" s="48"/>
      <c r="AK3027" s="48"/>
      <c r="AL3027" s="48"/>
      <c r="AM3027" s="48"/>
      <c r="AN3027" s="48"/>
      <c r="AO3027" s="48"/>
      <c r="AP3027" s="48"/>
      <c r="AQ3027" s="48"/>
      <c r="AR3027" s="48"/>
      <c r="AS3027" s="48"/>
      <c r="AT3027" s="48"/>
      <c r="AU3027" s="48"/>
      <c r="AV3027" s="48"/>
      <c r="AW3027" s="48"/>
      <c r="AX3027" s="48"/>
      <c r="AY3027" s="48"/>
      <c r="AZ3027" s="48"/>
      <c r="BA3027" s="48"/>
      <c r="BB3027" s="48"/>
      <c r="BC3027" s="48"/>
      <c r="BD3027" s="48"/>
    </row>
    <row r="3028" spans="1:56">
      <c r="A3028" s="48"/>
      <c r="B3028" s="48"/>
      <c r="C3028" s="49"/>
      <c r="D3028" s="48"/>
      <c r="E3028" s="48"/>
      <c r="F3028" s="48"/>
      <c r="G3028" s="48"/>
      <c r="H3028" s="48"/>
      <c r="I3028" s="48"/>
      <c r="J3028" s="86"/>
      <c r="K3028" s="86"/>
      <c r="L3028" s="86"/>
      <c r="M3028" s="86"/>
      <c r="N3028" s="86"/>
      <c r="O3028" s="86"/>
      <c r="P3028" s="86"/>
      <c r="Q3028" s="86"/>
      <c r="R3028" s="86"/>
      <c r="S3028" s="86"/>
      <c r="T3028" s="86"/>
      <c r="U3028" s="86"/>
      <c r="V3028" s="48"/>
      <c r="W3028" s="48"/>
      <c r="X3028" s="48"/>
      <c r="Y3028" s="48"/>
      <c r="Z3028" s="48"/>
      <c r="AA3028" s="48"/>
      <c r="AB3028" s="48"/>
      <c r="AC3028" s="48"/>
      <c r="AD3028" s="48"/>
      <c r="AE3028" s="48"/>
      <c r="AF3028" s="48"/>
      <c r="AG3028" s="48"/>
      <c r="AH3028" s="48"/>
      <c r="AI3028" s="48"/>
      <c r="AJ3028" s="48"/>
      <c r="AK3028" s="48"/>
      <c r="AL3028" s="48"/>
      <c r="AM3028" s="48"/>
      <c r="AN3028" s="48"/>
      <c r="AO3028" s="48"/>
      <c r="AP3028" s="48"/>
      <c r="AQ3028" s="48"/>
      <c r="AR3028" s="48"/>
      <c r="AS3028" s="48"/>
      <c r="AT3028" s="48"/>
      <c r="AU3028" s="48"/>
      <c r="AV3028" s="48"/>
      <c r="AW3028" s="48"/>
      <c r="AX3028" s="48"/>
      <c r="AY3028" s="48"/>
      <c r="AZ3028" s="48"/>
      <c r="BA3028" s="48"/>
      <c r="BB3028" s="48"/>
      <c r="BC3028" s="48"/>
      <c r="BD3028" s="48"/>
    </row>
    <row r="3029" spans="1:56">
      <c r="A3029" s="48"/>
      <c r="B3029" s="48"/>
      <c r="C3029" s="49"/>
      <c r="D3029" s="48"/>
      <c r="E3029" s="48"/>
      <c r="F3029" s="48"/>
      <c r="G3029" s="48"/>
      <c r="H3029" s="48"/>
      <c r="I3029" s="48"/>
      <c r="J3029" s="86"/>
      <c r="K3029" s="86"/>
      <c r="L3029" s="86"/>
      <c r="M3029" s="86"/>
      <c r="N3029" s="86"/>
      <c r="O3029" s="86"/>
      <c r="P3029" s="86"/>
      <c r="Q3029" s="86"/>
      <c r="R3029" s="86"/>
      <c r="S3029" s="86"/>
      <c r="T3029" s="86"/>
      <c r="U3029" s="86"/>
      <c r="V3029" s="48"/>
      <c r="W3029" s="48"/>
      <c r="X3029" s="48"/>
      <c r="Y3029" s="48"/>
      <c r="Z3029" s="48"/>
      <c r="AA3029" s="48"/>
      <c r="AB3029" s="48"/>
      <c r="AC3029" s="48"/>
      <c r="AD3029" s="48"/>
      <c r="AE3029" s="48"/>
      <c r="AF3029" s="48"/>
      <c r="AG3029" s="48"/>
      <c r="AH3029" s="48"/>
      <c r="AI3029" s="48"/>
      <c r="AJ3029" s="48"/>
      <c r="AK3029" s="48"/>
      <c r="AL3029" s="48"/>
      <c r="AM3029" s="48"/>
      <c r="AN3029" s="48"/>
      <c r="AO3029" s="48"/>
      <c r="AP3029" s="48"/>
      <c r="AQ3029" s="48"/>
      <c r="AR3029" s="48"/>
      <c r="AS3029" s="48"/>
      <c r="AT3029" s="48"/>
      <c r="AU3029" s="48"/>
      <c r="AV3029" s="48"/>
      <c r="AW3029" s="48"/>
      <c r="AX3029" s="48"/>
      <c r="AY3029" s="48"/>
      <c r="AZ3029" s="48"/>
      <c r="BA3029" s="48"/>
      <c r="BB3029" s="48"/>
      <c r="BC3029" s="48"/>
      <c r="BD3029" s="48"/>
    </row>
    <row r="3030" spans="1:56">
      <c r="A3030" s="48"/>
      <c r="B3030" s="48"/>
      <c r="C3030" s="49"/>
      <c r="D3030" s="48"/>
      <c r="E3030" s="48"/>
      <c r="F3030" s="48"/>
      <c r="G3030" s="48"/>
      <c r="H3030" s="48"/>
      <c r="I3030" s="48"/>
      <c r="J3030" s="86"/>
      <c r="K3030" s="86"/>
      <c r="L3030" s="86"/>
      <c r="M3030" s="86"/>
      <c r="N3030" s="86"/>
      <c r="O3030" s="86"/>
      <c r="P3030" s="86"/>
      <c r="Q3030" s="86"/>
      <c r="R3030" s="86"/>
      <c r="S3030" s="86"/>
      <c r="T3030" s="86"/>
      <c r="U3030" s="86"/>
      <c r="V3030" s="48"/>
      <c r="W3030" s="48"/>
      <c r="X3030" s="48"/>
      <c r="Y3030" s="48"/>
      <c r="Z3030" s="48"/>
      <c r="AA3030" s="48"/>
      <c r="AB3030" s="48"/>
      <c r="AC3030" s="48"/>
      <c r="AD3030" s="48"/>
      <c r="AE3030" s="48"/>
      <c r="AF3030" s="48"/>
      <c r="AG3030" s="48"/>
      <c r="AH3030" s="48"/>
      <c r="AI3030" s="48"/>
      <c r="AJ3030" s="48"/>
      <c r="AK3030" s="48"/>
      <c r="AL3030" s="48"/>
      <c r="AM3030" s="48"/>
      <c r="AN3030" s="48"/>
      <c r="AO3030" s="48"/>
      <c r="AP3030" s="48"/>
      <c r="AQ3030" s="48"/>
      <c r="AR3030" s="48"/>
      <c r="AS3030" s="48"/>
      <c r="AT3030" s="48"/>
      <c r="AU3030" s="48"/>
      <c r="AV3030" s="48"/>
      <c r="AW3030" s="48"/>
      <c r="AX3030" s="48"/>
      <c r="AY3030" s="48"/>
      <c r="AZ3030" s="48"/>
      <c r="BA3030" s="48"/>
      <c r="BB3030" s="48"/>
      <c r="BC3030" s="48"/>
      <c r="BD3030" s="48"/>
    </row>
    <row r="3031" spans="1:56">
      <c r="A3031" s="48"/>
      <c r="B3031" s="48"/>
      <c r="C3031" s="49"/>
      <c r="D3031" s="48"/>
      <c r="E3031" s="48"/>
      <c r="F3031" s="48"/>
      <c r="G3031" s="48"/>
      <c r="H3031" s="48"/>
      <c r="I3031" s="48"/>
      <c r="J3031" s="86"/>
      <c r="K3031" s="86"/>
      <c r="L3031" s="86"/>
      <c r="M3031" s="86"/>
      <c r="N3031" s="86"/>
      <c r="O3031" s="86"/>
      <c r="P3031" s="86"/>
      <c r="Q3031" s="86"/>
      <c r="R3031" s="86"/>
      <c r="S3031" s="86"/>
      <c r="T3031" s="86"/>
      <c r="U3031" s="86"/>
      <c r="V3031" s="48"/>
      <c r="W3031" s="48"/>
      <c r="X3031" s="48"/>
      <c r="Y3031" s="48"/>
      <c r="Z3031" s="48"/>
      <c r="AA3031" s="48"/>
      <c r="AB3031" s="48"/>
      <c r="AC3031" s="48"/>
      <c r="AD3031" s="48"/>
      <c r="AE3031" s="48"/>
      <c r="AF3031" s="48"/>
      <c r="AG3031" s="48"/>
      <c r="AH3031" s="48"/>
      <c r="AI3031" s="48"/>
      <c r="AJ3031" s="48"/>
      <c r="AK3031" s="48"/>
      <c r="AL3031" s="48"/>
      <c r="AM3031" s="48"/>
      <c r="AN3031" s="48"/>
      <c r="AO3031" s="48"/>
      <c r="AP3031" s="48"/>
      <c r="AQ3031" s="48"/>
      <c r="AR3031" s="48"/>
      <c r="AS3031" s="48"/>
      <c r="AT3031" s="48"/>
      <c r="AU3031" s="48"/>
      <c r="AV3031" s="48"/>
      <c r="AW3031" s="48"/>
      <c r="AX3031" s="48"/>
      <c r="AY3031" s="48"/>
      <c r="AZ3031" s="48"/>
      <c r="BA3031" s="48"/>
      <c r="BB3031" s="48"/>
      <c r="BC3031" s="48"/>
      <c r="BD3031" s="48"/>
    </row>
    <row r="3032" spans="1:56">
      <c r="A3032" s="48"/>
      <c r="B3032" s="48"/>
      <c r="C3032" s="49"/>
      <c r="D3032" s="48"/>
      <c r="E3032" s="48"/>
      <c r="F3032" s="48"/>
      <c r="G3032" s="48"/>
      <c r="H3032" s="48"/>
      <c r="I3032" s="48"/>
      <c r="J3032" s="86"/>
      <c r="K3032" s="86"/>
      <c r="L3032" s="86"/>
      <c r="M3032" s="86"/>
      <c r="N3032" s="86"/>
      <c r="O3032" s="86"/>
      <c r="P3032" s="86"/>
      <c r="Q3032" s="86"/>
      <c r="R3032" s="86"/>
      <c r="S3032" s="86"/>
      <c r="T3032" s="86"/>
      <c r="U3032" s="86"/>
      <c r="V3032" s="48"/>
      <c r="W3032" s="48"/>
      <c r="X3032" s="48"/>
      <c r="Y3032" s="48"/>
      <c r="Z3032" s="48"/>
      <c r="AA3032" s="48"/>
      <c r="AB3032" s="48"/>
      <c r="AC3032" s="48"/>
      <c r="AD3032" s="48"/>
      <c r="AE3032" s="48"/>
      <c r="AF3032" s="48"/>
      <c r="AG3032" s="48"/>
      <c r="AH3032" s="48"/>
      <c r="AI3032" s="48"/>
      <c r="AJ3032" s="48"/>
      <c r="AK3032" s="48"/>
      <c r="AL3032" s="48"/>
      <c r="AM3032" s="48"/>
      <c r="AN3032" s="48"/>
      <c r="AO3032" s="48"/>
      <c r="AP3032" s="48"/>
      <c r="AQ3032" s="48"/>
      <c r="AR3032" s="48"/>
      <c r="AS3032" s="48"/>
      <c r="AT3032" s="48"/>
      <c r="AU3032" s="48"/>
      <c r="AV3032" s="48"/>
      <c r="AW3032" s="48"/>
      <c r="AX3032" s="48"/>
      <c r="AY3032" s="48"/>
      <c r="AZ3032" s="48"/>
      <c r="BA3032" s="48"/>
      <c r="BB3032" s="48"/>
      <c r="BC3032" s="48"/>
      <c r="BD3032" s="48"/>
    </row>
    <row r="3033" spans="1:56">
      <c r="A3033" s="48"/>
      <c r="B3033" s="48"/>
      <c r="C3033" s="49"/>
      <c r="D3033" s="48"/>
      <c r="E3033" s="48"/>
      <c r="F3033" s="48"/>
      <c r="G3033" s="48"/>
      <c r="H3033" s="48"/>
      <c r="I3033" s="48"/>
      <c r="J3033" s="86"/>
      <c r="K3033" s="86"/>
      <c r="L3033" s="86"/>
      <c r="M3033" s="86"/>
      <c r="N3033" s="86"/>
      <c r="O3033" s="86"/>
      <c r="P3033" s="86"/>
      <c r="Q3033" s="86"/>
      <c r="R3033" s="86"/>
      <c r="S3033" s="86"/>
      <c r="T3033" s="86"/>
      <c r="U3033" s="86"/>
      <c r="V3033" s="48"/>
      <c r="W3033" s="48"/>
      <c r="X3033" s="48"/>
      <c r="Y3033" s="48"/>
      <c r="Z3033" s="48"/>
      <c r="AA3033" s="48"/>
      <c r="AB3033" s="48"/>
      <c r="AC3033" s="48"/>
      <c r="AD3033" s="48"/>
      <c r="AE3033" s="48"/>
      <c r="AF3033" s="48"/>
      <c r="AG3033" s="48"/>
      <c r="AH3033" s="48"/>
      <c r="AI3033" s="48"/>
      <c r="AJ3033" s="48"/>
      <c r="AK3033" s="48"/>
      <c r="AL3033" s="48"/>
      <c r="AM3033" s="48"/>
      <c r="AN3033" s="48"/>
      <c r="AO3033" s="48"/>
      <c r="AP3033" s="48"/>
      <c r="AQ3033" s="48"/>
      <c r="AR3033" s="48"/>
      <c r="AS3033" s="48"/>
      <c r="AT3033" s="48"/>
      <c r="AU3033" s="48"/>
      <c r="AV3033" s="48"/>
      <c r="AW3033" s="48"/>
      <c r="AX3033" s="48"/>
      <c r="AY3033" s="48"/>
      <c r="AZ3033" s="48"/>
      <c r="BA3033" s="48"/>
      <c r="BB3033" s="48"/>
      <c r="BC3033" s="48"/>
      <c r="BD3033" s="48"/>
    </row>
    <row r="3034" spans="1:56">
      <c r="A3034" s="48"/>
      <c r="B3034" s="48"/>
      <c r="C3034" s="49"/>
      <c r="D3034" s="48"/>
      <c r="E3034" s="48"/>
      <c r="F3034" s="48"/>
      <c r="G3034" s="48"/>
      <c r="H3034" s="48"/>
      <c r="I3034" s="48"/>
      <c r="J3034" s="86"/>
      <c r="K3034" s="86"/>
      <c r="L3034" s="86"/>
      <c r="M3034" s="86"/>
      <c r="N3034" s="86"/>
      <c r="O3034" s="86"/>
      <c r="P3034" s="86"/>
      <c r="Q3034" s="86"/>
      <c r="R3034" s="86"/>
      <c r="S3034" s="86"/>
      <c r="T3034" s="86"/>
      <c r="U3034" s="86"/>
      <c r="V3034" s="48"/>
      <c r="W3034" s="48"/>
      <c r="X3034" s="48"/>
      <c r="Y3034" s="48"/>
      <c r="Z3034" s="48"/>
      <c r="AA3034" s="48"/>
      <c r="AB3034" s="48"/>
      <c r="AC3034" s="48"/>
      <c r="AD3034" s="48"/>
      <c r="AE3034" s="48"/>
      <c r="AF3034" s="48"/>
      <c r="AG3034" s="48"/>
      <c r="AH3034" s="48"/>
      <c r="AI3034" s="48"/>
      <c r="AJ3034" s="48"/>
      <c r="AK3034" s="48"/>
      <c r="AL3034" s="48"/>
      <c r="AM3034" s="48"/>
      <c r="AN3034" s="48"/>
      <c r="AO3034" s="48"/>
      <c r="AP3034" s="48"/>
      <c r="AQ3034" s="48"/>
      <c r="AR3034" s="48"/>
      <c r="AS3034" s="48"/>
      <c r="AT3034" s="48"/>
      <c r="AU3034" s="48"/>
      <c r="AV3034" s="48"/>
      <c r="AW3034" s="48"/>
      <c r="AX3034" s="48"/>
      <c r="AY3034" s="48"/>
      <c r="AZ3034" s="48"/>
      <c r="BA3034" s="48"/>
      <c r="BB3034" s="48"/>
      <c r="BC3034" s="48"/>
      <c r="BD3034" s="48"/>
    </row>
    <row r="3035" spans="1:56">
      <c r="A3035" s="48"/>
      <c r="B3035" s="48"/>
      <c r="C3035" s="49"/>
      <c r="D3035" s="48"/>
      <c r="E3035" s="48"/>
      <c r="F3035" s="48"/>
      <c r="G3035" s="48"/>
      <c r="H3035" s="48"/>
      <c r="I3035" s="48"/>
      <c r="J3035" s="86"/>
      <c r="K3035" s="86"/>
      <c r="L3035" s="86"/>
      <c r="M3035" s="86"/>
      <c r="N3035" s="86"/>
      <c r="O3035" s="86"/>
      <c r="P3035" s="86"/>
      <c r="Q3035" s="86"/>
      <c r="R3035" s="86"/>
      <c r="S3035" s="86"/>
      <c r="T3035" s="86"/>
      <c r="U3035" s="86"/>
      <c r="V3035" s="48"/>
      <c r="W3035" s="48"/>
      <c r="X3035" s="48"/>
      <c r="Y3035" s="48"/>
      <c r="Z3035" s="48"/>
      <c r="AA3035" s="48"/>
      <c r="AB3035" s="48"/>
      <c r="AC3035" s="48"/>
      <c r="AD3035" s="48"/>
      <c r="AE3035" s="48"/>
      <c r="AF3035" s="48"/>
      <c r="AG3035" s="48"/>
      <c r="AH3035" s="48"/>
      <c r="AI3035" s="48"/>
      <c r="AJ3035" s="48"/>
      <c r="AK3035" s="48"/>
      <c r="AL3035" s="48"/>
      <c r="AM3035" s="48"/>
      <c r="AN3035" s="48"/>
      <c r="AO3035" s="48"/>
      <c r="AP3035" s="48"/>
      <c r="AQ3035" s="48"/>
      <c r="AR3035" s="48"/>
      <c r="AS3035" s="48"/>
      <c r="AT3035" s="48"/>
      <c r="AU3035" s="48"/>
      <c r="AV3035" s="48"/>
      <c r="AW3035" s="48"/>
      <c r="AX3035" s="48"/>
      <c r="AY3035" s="48"/>
      <c r="AZ3035" s="48"/>
      <c r="BA3035" s="48"/>
      <c r="BB3035" s="48"/>
      <c r="BC3035" s="48"/>
      <c r="BD3035" s="48"/>
    </row>
    <row r="3036" spans="1:56">
      <c r="A3036" s="48"/>
      <c r="B3036" s="48"/>
      <c r="C3036" s="49"/>
      <c r="D3036" s="48"/>
      <c r="E3036" s="48"/>
      <c r="F3036" s="48"/>
      <c r="G3036" s="48"/>
      <c r="H3036" s="48"/>
      <c r="I3036" s="48"/>
      <c r="J3036" s="86"/>
      <c r="K3036" s="86"/>
      <c r="L3036" s="86"/>
      <c r="M3036" s="86"/>
      <c r="N3036" s="86"/>
      <c r="O3036" s="86"/>
      <c r="P3036" s="86"/>
      <c r="Q3036" s="86"/>
      <c r="R3036" s="86"/>
      <c r="S3036" s="86"/>
      <c r="T3036" s="86"/>
      <c r="U3036" s="86"/>
      <c r="V3036" s="48"/>
      <c r="W3036" s="48"/>
      <c r="X3036" s="48"/>
      <c r="Y3036" s="48"/>
      <c r="Z3036" s="48"/>
      <c r="AA3036" s="48"/>
      <c r="AB3036" s="48"/>
      <c r="AC3036" s="48"/>
      <c r="AD3036" s="48"/>
      <c r="AE3036" s="48"/>
      <c r="AF3036" s="48"/>
      <c r="AG3036" s="48"/>
      <c r="AH3036" s="48"/>
      <c r="AI3036" s="48"/>
      <c r="AJ3036" s="48"/>
      <c r="AK3036" s="48"/>
      <c r="AL3036" s="48"/>
      <c r="AM3036" s="48"/>
      <c r="AN3036" s="48"/>
      <c r="AO3036" s="48"/>
      <c r="AP3036" s="48"/>
      <c r="AQ3036" s="48"/>
      <c r="AR3036" s="48"/>
      <c r="AS3036" s="48"/>
      <c r="AT3036" s="48"/>
      <c r="AU3036" s="48"/>
      <c r="AV3036" s="48"/>
      <c r="AW3036" s="48"/>
      <c r="AX3036" s="48"/>
      <c r="AY3036" s="48"/>
      <c r="AZ3036" s="48"/>
      <c r="BA3036" s="48"/>
      <c r="BB3036" s="48"/>
      <c r="BC3036" s="48"/>
      <c r="BD3036" s="48"/>
    </row>
    <row r="3037" spans="1:56">
      <c r="A3037" s="48"/>
      <c r="B3037" s="48"/>
      <c r="C3037" s="49"/>
      <c r="D3037" s="48"/>
      <c r="E3037" s="48"/>
      <c r="F3037" s="48"/>
      <c r="G3037" s="48"/>
      <c r="H3037" s="48"/>
      <c r="I3037" s="48"/>
      <c r="J3037" s="86"/>
      <c r="K3037" s="86"/>
      <c r="L3037" s="86"/>
      <c r="M3037" s="86"/>
      <c r="N3037" s="86"/>
      <c r="O3037" s="86"/>
      <c r="P3037" s="86"/>
      <c r="Q3037" s="86"/>
      <c r="R3037" s="86"/>
      <c r="S3037" s="86"/>
      <c r="T3037" s="86"/>
      <c r="U3037" s="86"/>
      <c r="V3037" s="48"/>
      <c r="W3037" s="48"/>
      <c r="X3037" s="48"/>
      <c r="Y3037" s="48"/>
      <c r="Z3037" s="48"/>
      <c r="AA3037" s="48"/>
      <c r="AB3037" s="48"/>
      <c r="AC3037" s="48"/>
      <c r="AD3037" s="48"/>
      <c r="AE3037" s="48"/>
      <c r="AF3037" s="48"/>
      <c r="AG3037" s="48"/>
      <c r="AH3037" s="48"/>
      <c r="AI3037" s="48"/>
      <c r="AJ3037" s="48"/>
      <c r="AK3037" s="48"/>
      <c r="AL3037" s="48"/>
      <c r="AM3037" s="48"/>
      <c r="AN3037" s="48"/>
      <c r="AO3037" s="48"/>
      <c r="AP3037" s="48"/>
      <c r="AQ3037" s="48"/>
      <c r="AR3037" s="48"/>
      <c r="AS3037" s="48"/>
      <c r="AT3037" s="48"/>
      <c r="AU3037" s="48"/>
      <c r="AV3037" s="48"/>
      <c r="AW3037" s="48"/>
      <c r="AX3037" s="48"/>
      <c r="AY3037" s="48"/>
      <c r="AZ3037" s="48"/>
      <c r="BA3037" s="48"/>
      <c r="BB3037" s="48"/>
      <c r="BC3037" s="48"/>
      <c r="BD3037" s="48"/>
    </row>
    <row r="3038" spans="1:56">
      <c r="A3038" s="48"/>
      <c r="B3038" s="48"/>
      <c r="C3038" s="49"/>
      <c r="D3038" s="48"/>
      <c r="E3038" s="48"/>
      <c r="F3038" s="48"/>
      <c r="G3038" s="48"/>
      <c r="H3038" s="48"/>
      <c r="I3038" s="48"/>
      <c r="J3038" s="86"/>
      <c r="K3038" s="86"/>
      <c r="L3038" s="86"/>
      <c r="M3038" s="86"/>
      <c r="N3038" s="86"/>
      <c r="O3038" s="86"/>
      <c r="P3038" s="86"/>
      <c r="Q3038" s="86"/>
      <c r="R3038" s="86"/>
      <c r="S3038" s="86"/>
      <c r="T3038" s="86"/>
      <c r="U3038" s="86"/>
      <c r="V3038" s="48"/>
      <c r="W3038" s="48"/>
      <c r="X3038" s="48"/>
      <c r="Y3038" s="48"/>
      <c r="Z3038" s="48"/>
      <c r="AA3038" s="48"/>
      <c r="AB3038" s="48"/>
      <c r="AC3038" s="48"/>
      <c r="AD3038" s="48"/>
      <c r="AE3038" s="48"/>
      <c r="AF3038" s="48"/>
      <c r="AG3038" s="48"/>
      <c r="AH3038" s="48"/>
      <c r="AI3038" s="48"/>
      <c r="AJ3038" s="48"/>
      <c r="AK3038" s="48"/>
      <c r="AL3038" s="48"/>
      <c r="AM3038" s="48"/>
      <c r="AN3038" s="48"/>
      <c r="AO3038" s="48"/>
      <c r="AP3038" s="48"/>
      <c r="AQ3038" s="48"/>
      <c r="AR3038" s="48"/>
      <c r="AS3038" s="48"/>
      <c r="AT3038" s="48"/>
      <c r="AU3038" s="48"/>
      <c r="AV3038" s="48"/>
      <c r="AW3038" s="48"/>
      <c r="AX3038" s="48"/>
      <c r="AY3038" s="48"/>
      <c r="AZ3038" s="48"/>
      <c r="BA3038" s="48"/>
      <c r="BB3038" s="48"/>
      <c r="BC3038" s="48"/>
      <c r="BD3038" s="48"/>
    </row>
    <row r="3039" spans="1:56">
      <c r="A3039" s="48"/>
      <c r="B3039" s="48"/>
      <c r="C3039" s="49"/>
      <c r="D3039" s="48"/>
      <c r="E3039" s="48"/>
      <c r="F3039" s="48"/>
      <c r="G3039" s="48"/>
      <c r="H3039" s="48"/>
      <c r="I3039" s="48"/>
      <c r="J3039" s="86"/>
      <c r="K3039" s="86"/>
      <c r="L3039" s="86"/>
      <c r="M3039" s="86"/>
      <c r="N3039" s="86"/>
      <c r="O3039" s="86"/>
      <c r="P3039" s="86"/>
      <c r="Q3039" s="86"/>
      <c r="R3039" s="86"/>
      <c r="S3039" s="86"/>
      <c r="T3039" s="86"/>
      <c r="U3039" s="86"/>
      <c r="V3039" s="48"/>
      <c r="W3039" s="48"/>
      <c r="X3039" s="48"/>
      <c r="Y3039" s="48"/>
      <c r="Z3039" s="48"/>
      <c r="AA3039" s="48"/>
      <c r="AB3039" s="48"/>
      <c r="AC3039" s="48"/>
      <c r="AD3039" s="48"/>
      <c r="AE3039" s="48"/>
      <c r="AF3039" s="48"/>
      <c r="AG3039" s="48"/>
      <c r="AH3039" s="48"/>
      <c r="AI3039" s="48"/>
      <c r="AJ3039" s="48"/>
      <c r="AK3039" s="48"/>
      <c r="AL3039" s="48"/>
      <c r="AM3039" s="48"/>
      <c r="AN3039" s="48"/>
      <c r="AO3039" s="48"/>
      <c r="AP3039" s="48"/>
      <c r="AQ3039" s="48"/>
      <c r="AR3039" s="48"/>
      <c r="AS3039" s="48"/>
      <c r="AT3039" s="48"/>
      <c r="AU3039" s="48"/>
      <c r="AV3039" s="48"/>
      <c r="AW3039" s="48"/>
      <c r="AX3039" s="48"/>
      <c r="AY3039" s="48"/>
      <c r="AZ3039" s="48"/>
      <c r="BA3039" s="48"/>
      <c r="BB3039" s="48"/>
      <c r="BC3039" s="48"/>
      <c r="BD3039" s="48"/>
    </row>
    <row r="3040" spans="1:56">
      <c r="A3040" s="48"/>
      <c r="B3040" s="48"/>
      <c r="C3040" s="49"/>
      <c r="D3040" s="48"/>
      <c r="E3040" s="48"/>
      <c r="F3040" s="48"/>
      <c r="G3040" s="48"/>
      <c r="H3040" s="48"/>
      <c r="I3040" s="48"/>
      <c r="J3040" s="86"/>
      <c r="K3040" s="86"/>
      <c r="L3040" s="86"/>
      <c r="M3040" s="86"/>
      <c r="N3040" s="86"/>
      <c r="O3040" s="86"/>
      <c r="P3040" s="86"/>
      <c r="Q3040" s="86"/>
      <c r="R3040" s="86"/>
      <c r="S3040" s="86"/>
      <c r="T3040" s="86"/>
      <c r="U3040" s="86"/>
      <c r="V3040" s="48"/>
      <c r="W3040" s="48"/>
      <c r="X3040" s="48"/>
      <c r="Y3040" s="48"/>
      <c r="Z3040" s="48"/>
      <c r="AA3040" s="48"/>
      <c r="AB3040" s="48"/>
      <c r="AC3040" s="48"/>
      <c r="AD3040" s="48"/>
      <c r="AE3040" s="48"/>
      <c r="AF3040" s="48"/>
      <c r="AG3040" s="48"/>
      <c r="AH3040" s="48"/>
      <c r="AI3040" s="48"/>
      <c r="AJ3040" s="48"/>
      <c r="AK3040" s="48"/>
      <c r="AL3040" s="48"/>
      <c r="AM3040" s="48"/>
      <c r="AN3040" s="48"/>
      <c r="AO3040" s="48"/>
      <c r="AP3040" s="48"/>
      <c r="AQ3040" s="48"/>
      <c r="AR3040" s="48"/>
      <c r="AS3040" s="48"/>
      <c r="AT3040" s="48"/>
      <c r="AU3040" s="48"/>
      <c r="AV3040" s="48"/>
      <c r="AW3040" s="48"/>
      <c r="AX3040" s="48"/>
      <c r="AY3040" s="48"/>
      <c r="AZ3040" s="48"/>
      <c r="BA3040" s="48"/>
      <c r="BB3040" s="48"/>
      <c r="BC3040" s="48"/>
      <c r="BD3040" s="48"/>
    </row>
    <row r="3041" spans="1:56">
      <c r="A3041" s="48"/>
      <c r="B3041" s="48"/>
      <c r="C3041" s="49"/>
      <c r="D3041" s="48"/>
      <c r="E3041" s="48"/>
      <c r="F3041" s="48"/>
      <c r="G3041" s="48"/>
      <c r="H3041" s="48"/>
      <c r="I3041" s="48"/>
      <c r="J3041" s="86"/>
      <c r="K3041" s="86"/>
      <c r="L3041" s="86"/>
      <c r="M3041" s="86"/>
      <c r="N3041" s="86"/>
      <c r="O3041" s="86"/>
      <c r="P3041" s="86"/>
      <c r="Q3041" s="86"/>
      <c r="R3041" s="86"/>
      <c r="S3041" s="86"/>
      <c r="T3041" s="86"/>
      <c r="U3041" s="86"/>
      <c r="V3041" s="48"/>
      <c r="W3041" s="48"/>
      <c r="X3041" s="48"/>
      <c r="Y3041" s="48"/>
      <c r="Z3041" s="48"/>
      <c r="AA3041" s="48"/>
      <c r="AB3041" s="48"/>
      <c r="AC3041" s="48"/>
      <c r="AD3041" s="48"/>
      <c r="AE3041" s="48"/>
      <c r="AF3041" s="48"/>
      <c r="AG3041" s="48"/>
      <c r="AH3041" s="48"/>
      <c r="AI3041" s="48"/>
      <c r="AJ3041" s="48"/>
      <c r="AK3041" s="48"/>
      <c r="AL3041" s="48"/>
      <c r="AM3041" s="48"/>
      <c r="AN3041" s="48"/>
      <c r="AO3041" s="48"/>
      <c r="AP3041" s="48"/>
      <c r="AQ3041" s="48"/>
      <c r="AR3041" s="48"/>
      <c r="AS3041" s="48"/>
      <c r="AT3041" s="48"/>
      <c r="AU3041" s="48"/>
      <c r="AV3041" s="48"/>
      <c r="AW3041" s="48"/>
      <c r="AX3041" s="48"/>
      <c r="AY3041" s="48"/>
      <c r="AZ3041" s="48"/>
      <c r="BA3041" s="48"/>
      <c r="BB3041" s="48"/>
      <c r="BC3041" s="48"/>
      <c r="BD3041" s="48"/>
    </row>
    <row r="3042" spans="1:56">
      <c r="A3042" s="48"/>
      <c r="B3042" s="48"/>
      <c r="C3042" s="49"/>
      <c r="D3042" s="48"/>
      <c r="E3042" s="48"/>
      <c r="F3042" s="48"/>
      <c r="G3042" s="48"/>
      <c r="H3042" s="48"/>
      <c r="I3042" s="48"/>
      <c r="J3042" s="86"/>
      <c r="K3042" s="86"/>
      <c r="L3042" s="86"/>
      <c r="M3042" s="86"/>
      <c r="N3042" s="86"/>
      <c r="O3042" s="86"/>
      <c r="P3042" s="86"/>
      <c r="Q3042" s="86"/>
      <c r="R3042" s="86"/>
      <c r="S3042" s="86"/>
      <c r="T3042" s="86"/>
      <c r="U3042" s="86"/>
      <c r="V3042" s="48"/>
      <c r="W3042" s="48"/>
      <c r="X3042" s="48"/>
      <c r="Y3042" s="48"/>
      <c r="Z3042" s="48"/>
      <c r="AA3042" s="48"/>
      <c r="AB3042" s="48"/>
      <c r="AC3042" s="48"/>
      <c r="AD3042" s="48"/>
      <c r="AE3042" s="48"/>
      <c r="AF3042" s="48"/>
      <c r="AG3042" s="48"/>
      <c r="AH3042" s="48"/>
      <c r="AI3042" s="48"/>
      <c r="AJ3042" s="48"/>
      <c r="AK3042" s="48"/>
      <c r="AL3042" s="48"/>
      <c r="AM3042" s="48"/>
      <c r="AN3042" s="48"/>
      <c r="AO3042" s="48"/>
      <c r="AP3042" s="48"/>
      <c r="AQ3042" s="48"/>
      <c r="AR3042" s="48"/>
      <c r="AS3042" s="48"/>
      <c r="AT3042" s="48"/>
      <c r="AU3042" s="48"/>
      <c r="AV3042" s="48"/>
      <c r="AW3042" s="48"/>
      <c r="AX3042" s="48"/>
      <c r="AY3042" s="48"/>
      <c r="AZ3042" s="48"/>
      <c r="BA3042" s="48"/>
      <c r="BB3042" s="48"/>
      <c r="BC3042" s="48"/>
      <c r="BD3042" s="48"/>
    </row>
    <row r="3043" spans="1:56">
      <c r="A3043" s="48"/>
      <c r="B3043" s="48"/>
      <c r="C3043" s="49"/>
      <c r="D3043" s="48"/>
      <c r="E3043" s="48"/>
      <c r="F3043" s="48"/>
      <c r="G3043" s="48"/>
      <c r="H3043" s="48"/>
      <c r="I3043" s="48"/>
      <c r="J3043" s="86"/>
      <c r="K3043" s="86"/>
      <c r="L3043" s="86"/>
      <c r="M3043" s="86"/>
      <c r="N3043" s="86"/>
      <c r="O3043" s="86"/>
      <c r="P3043" s="86"/>
      <c r="Q3043" s="86"/>
      <c r="R3043" s="86"/>
      <c r="S3043" s="86"/>
      <c r="T3043" s="86"/>
      <c r="U3043" s="86"/>
      <c r="V3043" s="48"/>
      <c r="W3043" s="48"/>
      <c r="X3043" s="48"/>
      <c r="Y3043" s="48"/>
      <c r="Z3043" s="48"/>
      <c r="AA3043" s="48"/>
      <c r="AB3043" s="48"/>
      <c r="AC3043" s="48"/>
      <c r="AD3043" s="48"/>
      <c r="AE3043" s="48"/>
      <c r="AF3043" s="48"/>
      <c r="AG3043" s="48"/>
      <c r="AH3043" s="48"/>
      <c r="AI3043" s="48"/>
      <c r="AJ3043" s="48"/>
      <c r="AK3043" s="48"/>
      <c r="AL3043" s="48"/>
      <c r="AM3043" s="48"/>
      <c r="AN3043" s="48"/>
      <c r="AO3043" s="48"/>
      <c r="AP3043" s="48"/>
      <c r="AQ3043" s="48"/>
      <c r="AR3043" s="48"/>
      <c r="AS3043" s="48"/>
      <c r="AT3043" s="48"/>
      <c r="AU3043" s="48"/>
      <c r="AV3043" s="48"/>
      <c r="AW3043" s="48"/>
      <c r="AX3043" s="48"/>
      <c r="AY3043" s="48"/>
      <c r="AZ3043" s="48"/>
      <c r="BA3043" s="48"/>
      <c r="BB3043" s="48"/>
      <c r="BC3043" s="48"/>
      <c r="BD3043" s="48"/>
    </row>
    <row r="3044" spans="1:56">
      <c r="A3044" s="48"/>
      <c r="B3044" s="48"/>
      <c r="C3044" s="49"/>
      <c r="D3044" s="48"/>
      <c r="E3044" s="48"/>
      <c r="F3044" s="48"/>
      <c r="G3044" s="48"/>
      <c r="H3044" s="48"/>
      <c r="I3044" s="48"/>
      <c r="J3044" s="86"/>
      <c r="K3044" s="86"/>
      <c r="L3044" s="86"/>
      <c r="M3044" s="86"/>
      <c r="N3044" s="86"/>
      <c r="O3044" s="86"/>
      <c r="P3044" s="86"/>
      <c r="Q3044" s="86"/>
      <c r="R3044" s="86"/>
      <c r="S3044" s="86"/>
      <c r="T3044" s="86"/>
      <c r="U3044" s="86"/>
      <c r="V3044" s="48"/>
      <c r="W3044" s="48"/>
      <c r="X3044" s="48"/>
      <c r="Y3044" s="48"/>
      <c r="Z3044" s="48"/>
      <c r="AA3044" s="48"/>
      <c r="AB3044" s="48"/>
      <c r="AC3044" s="48"/>
      <c r="AD3044" s="48"/>
      <c r="AE3044" s="48"/>
      <c r="AF3044" s="48"/>
      <c r="AG3044" s="48"/>
      <c r="AH3044" s="48"/>
      <c r="AI3044" s="48"/>
      <c r="AJ3044" s="48"/>
      <c r="AK3044" s="48"/>
      <c r="AL3044" s="48"/>
      <c r="AM3044" s="48"/>
      <c r="AN3044" s="48"/>
      <c r="AO3044" s="48"/>
      <c r="AP3044" s="48"/>
      <c r="AQ3044" s="48"/>
      <c r="AR3044" s="48"/>
      <c r="AS3044" s="48"/>
      <c r="AT3044" s="48"/>
      <c r="AU3044" s="48"/>
      <c r="AV3044" s="48"/>
      <c r="AW3044" s="48"/>
      <c r="AX3044" s="48"/>
      <c r="AY3044" s="48"/>
      <c r="AZ3044" s="48"/>
      <c r="BA3044" s="48"/>
      <c r="BB3044" s="48"/>
      <c r="BC3044" s="48"/>
      <c r="BD3044" s="48"/>
    </row>
    <row r="3045" spans="1:56">
      <c r="A3045" s="48"/>
      <c r="B3045" s="48"/>
      <c r="C3045" s="49"/>
      <c r="D3045" s="48"/>
      <c r="E3045" s="48"/>
      <c r="F3045" s="48"/>
      <c r="G3045" s="48"/>
      <c r="H3045" s="48"/>
      <c r="I3045" s="48"/>
      <c r="J3045" s="86"/>
      <c r="K3045" s="86"/>
      <c r="L3045" s="86"/>
      <c r="M3045" s="86"/>
      <c r="N3045" s="86"/>
      <c r="O3045" s="86"/>
      <c r="P3045" s="86"/>
      <c r="Q3045" s="86"/>
      <c r="R3045" s="86"/>
      <c r="S3045" s="86"/>
      <c r="T3045" s="86"/>
      <c r="U3045" s="86"/>
      <c r="V3045" s="48"/>
      <c r="W3045" s="48"/>
      <c r="X3045" s="48"/>
      <c r="Y3045" s="48"/>
      <c r="Z3045" s="48"/>
      <c r="AA3045" s="48"/>
      <c r="AB3045" s="48"/>
      <c r="AC3045" s="48"/>
      <c r="AD3045" s="48"/>
      <c r="AE3045" s="48"/>
      <c r="AF3045" s="48"/>
      <c r="AG3045" s="48"/>
      <c r="AH3045" s="48"/>
      <c r="AI3045" s="48"/>
      <c r="AJ3045" s="48"/>
      <c r="AK3045" s="48"/>
      <c r="AL3045" s="48"/>
      <c r="AM3045" s="48"/>
      <c r="AN3045" s="48"/>
      <c r="AO3045" s="48"/>
      <c r="AP3045" s="48"/>
      <c r="AQ3045" s="48"/>
      <c r="AR3045" s="48"/>
      <c r="AS3045" s="48"/>
      <c r="AT3045" s="48"/>
      <c r="AU3045" s="48"/>
      <c r="AV3045" s="48"/>
      <c r="AW3045" s="48"/>
      <c r="AX3045" s="48"/>
      <c r="AY3045" s="48"/>
      <c r="AZ3045" s="48"/>
      <c r="BA3045" s="48"/>
      <c r="BB3045" s="48"/>
      <c r="BC3045" s="48"/>
      <c r="BD3045" s="48"/>
    </row>
    <row r="3046" spans="1:56">
      <c r="A3046" s="48"/>
      <c r="B3046" s="48"/>
      <c r="C3046" s="49"/>
      <c r="D3046" s="48"/>
      <c r="E3046" s="48"/>
      <c r="F3046" s="48"/>
      <c r="G3046" s="48"/>
      <c r="H3046" s="48"/>
      <c r="I3046" s="48"/>
      <c r="J3046" s="86"/>
      <c r="K3046" s="86"/>
      <c r="L3046" s="86"/>
      <c r="M3046" s="86"/>
      <c r="N3046" s="86"/>
      <c r="O3046" s="86"/>
      <c r="P3046" s="86"/>
      <c r="Q3046" s="86"/>
      <c r="R3046" s="86"/>
      <c r="S3046" s="86"/>
      <c r="T3046" s="86"/>
      <c r="U3046" s="86"/>
      <c r="V3046" s="48"/>
      <c r="W3046" s="48"/>
      <c r="X3046" s="48"/>
      <c r="Y3046" s="48"/>
      <c r="Z3046" s="48"/>
      <c r="AA3046" s="48"/>
      <c r="AB3046" s="48"/>
      <c r="AC3046" s="48"/>
      <c r="AD3046" s="48"/>
      <c r="AE3046" s="48"/>
      <c r="AF3046" s="48"/>
      <c r="AG3046" s="48"/>
      <c r="AH3046" s="48"/>
      <c r="AI3046" s="48"/>
      <c r="AJ3046" s="48"/>
      <c r="AK3046" s="48"/>
      <c r="AL3046" s="48"/>
      <c r="AM3046" s="48"/>
      <c r="AN3046" s="48"/>
      <c r="AO3046" s="48"/>
      <c r="AP3046" s="48"/>
      <c r="AQ3046" s="48"/>
      <c r="AR3046" s="48"/>
      <c r="AS3046" s="48"/>
      <c r="AT3046" s="48"/>
      <c r="AU3046" s="48"/>
      <c r="AV3046" s="48"/>
      <c r="AW3046" s="48"/>
      <c r="AX3046" s="48"/>
      <c r="AY3046" s="48"/>
      <c r="AZ3046" s="48"/>
      <c r="BA3046" s="48"/>
      <c r="BB3046" s="48"/>
      <c r="BC3046" s="48"/>
      <c r="BD3046" s="48"/>
    </row>
    <row r="3047" spans="1:56">
      <c r="A3047" s="48"/>
      <c r="B3047" s="48"/>
      <c r="C3047" s="49"/>
      <c r="D3047" s="48"/>
      <c r="E3047" s="48"/>
      <c r="F3047" s="48"/>
      <c r="G3047" s="48"/>
      <c r="H3047" s="48"/>
      <c r="I3047" s="48"/>
      <c r="J3047" s="86"/>
      <c r="K3047" s="86"/>
      <c r="L3047" s="86"/>
      <c r="M3047" s="86"/>
      <c r="N3047" s="86"/>
      <c r="O3047" s="86"/>
      <c r="P3047" s="86"/>
      <c r="Q3047" s="86"/>
      <c r="R3047" s="86"/>
      <c r="S3047" s="86"/>
      <c r="T3047" s="86"/>
      <c r="U3047" s="86"/>
      <c r="V3047" s="48"/>
      <c r="W3047" s="48"/>
      <c r="X3047" s="48"/>
      <c r="Y3047" s="48"/>
      <c r="Z3047" s="48"/>
      <c r="AA3047" s="48"/>
      <c r="AB3047" s="48"/>
      <c r="AC3047" s="48"/>
      <c r="AD3047" s="48"/>
      <c r="AE3047" s="48"/>
      <c r="AF3047" s="48"/>
      <c r="AG3047" s="48"/>
      <c r="AH3047" s="48"/>
      <c r="AI3047" s="48"/>
      <c r="AJ3047" s="48"/>
      <c r="AK3047" s="48"/>
      <c r="AL3047" s="48"/>
      <c r="AM3047" s="48"/>
      <c r="AN3047" s="48"/>
      <c r="AO3047" s="48"/>
      <c r="AP3047" s="48"/>
      <c r="AQ3047" s="48"/>
      <c r="AR3047" s="48"/>
      <c r="AS3047" s="48"/>
      <c r="AT3047" s="48"/>
      <c r="AU3047" s="48"/>
      <c r="AV3047" s="48"/>
      <c r="AW3047" s="48"/>
      <c r="AX3047" s="48"/>
      <c r="AY3047" s="48"/>
      <c r="AZ3047" s="48"/>
      <c r="BA3047" s="48"/>
      <c r="BB3047" s="48"/>
      <c r="BC3047" s="48"/>
      <c r="BD3047" s="48"/>
    </row>
    <row r="3048" spans="1:56">
      <c r="A3048" s="48"/>
      <c r="B3048" s="48"/>
      <c r="C3048" s="49"/>
      <c r="D3048" s="48"/>
      <c r="E3048" s="48"/>
      <c r="F3048" s="48"/>
      <c r="G3048" s="48"/>
      <c r="H3048" s="48"/>
      <c r="I3048" s="48"/>
      <c r="J3048" s="86"/>
      <c r="K3048" s="86"/>
      <c r="L3048" s="86"/>
      <c r="M3048" s="86"/>
      <c r="N3048" s="86"/>
      <c r="O3048" s="86"/>
      <c r="P3048" s="86"/>
      <c r="Q3048" s="86"/>
      <c r="R3048" s="86"/>
      <c r="S3048" s="86"/>
      <c r="T3048" s="86"/>
      <c r="U3048" s="86"/>
      <c r="V3048" s="48"/>
      <c r="W3048" s="48"/>
      <c r="X3048" s="48"/>
      <c r="Y3048" s="48"/>
      <c r="Z3048" s="48"/>
      <c r="AA3048" s="48"/>
      <c r="AB3048" s="48"/>
      <c r="AC3048" s="48"/>
      <c r="AD3048" s="48"/>
      <c r="AE3048" s="48"/>
      <c r="AF3048" s="48"/>
      <c r="AG3048" s="48"/>
      <c r="AH3048" s="48"/>
      <c r="AI3048" s="48"/>
      <c r="AJ3048" s="48"/>
      <c r="AK3048" s="48"/>
      <c r="AL3048" s="48"/>
      <c r="AM3048" s="48"/>
      <c r="AN3048" s="48"/>
      <c r="AO3048" s="48"/>
      <c r="AP3048" s="48"/>
      <c r="AQ3048" s="48"/>
      <c r="AR3048" s="48"/>
      <c r="AS3048" s="48"/>
      <c r="AT3048" s="48"/>
      <c r="AU3048" s="48"/>
      <c r="AV3048" s="48"/>
      <c r="AW3048" s="48"/>
      <c r="AX3048" s="48"/>
      <c r="AY3048" s="48"/>
      <c r="AZ3048" s="48"/>
      <c r="BA3048" s="48"/>
      <c r="BB3048" s="48"/>
      <c r="BC3048" s="48"/>
      <c r="BD3048" s="48"/>
    </row>
    <row r="3049" spans="1:56">
      <c r="A3049" s="48"/>
      <c r="B3049" s="48"/>
      <c r="C3049" s="49"/>
      <c r="D3049" s="48"/>
      <c r="E3049" s="48"/>
      <c r="F3049" s="48"/>
      <c r="G3049" s="48"/>
      <c r="H3049" s="48"/>
      <c r="I3049" s="48"/>
      <c r="J3049" s="86"/>
      <c r="K3049" s="86"/>
      <c r="L3049" s="86"/>
      <c r="M3049" s="86"/>
      <c r="N3049" s="86"/>
      <c r="O3049" s="86"/>
      <c r="P3049" s="86"/>
      <c r="Q3049" s="86"/>
      <c r="R3049" s="86"/>
      <c r="S3049" s="86"/>
      <c r="T3049" s="86"/>
      <c r="U3049" s="86"/>
      <c r="V3049" s="48"/>
      <c r="W3049" s="48"/>
      <c r="X3049" s="48"/>
      <c r="Y3049" s="48"/>
      <c r="Z3049" s="48"/>
      <c r="AA3049" s="48"/>
      <c r="AB3049" s="48"/>
      <c r="AC3049" s="48"/>
      <c r="AD3049" s="48"/>
      <c r="AE3049" s="48"/>
      <c r="AF3049" s="48"/>
      <c r="AG3049" s="48"/>
      <c r="AH3049" s="48"/>
      <c r="AI3049" s="48"/>
      <c r="AJ3049" s="48"/>
      <c r="AK3049" s="48"/>
      <c r="AL3049" s="48"/>
      <c r="AM3049" s="48"/>
      <c r="AN3049" s="48"/>
      <c r="AO3049" s="48"/>
      <c r="AP3049" s="48"/>
      <c r="AQ3049" s="48"/>
      <c r="AR3049" s="48"/>
      <c r="AS3049" s="48"/>
      <c r="AT3049" s="48"/>
      <c r="AU3049" s="48"/>
      <c r="AV3049" s="48"/>
      <c r="AW3049" s="48"/>
      <c r="AX3049" s="48"/>
      <c r="AY3049" s="48"/>
      <c r="AZ3049" s="48"/>
      <c r="BA3049" s="48"/>
      <c r="BB3049" s="48"/>
      <c r="BC3049" s="48"/>
      <c r="BD3049" s="48"/>
    </row>
    <row r="3050" spans="1:56">
      <c r="A3050" s="48"/>
      <c r="B3050" s="48"/>
      <c r="C3050" s="49"/>
      <c r="D3050" s="48"/>
      <c r="E3050" s="48"/>
      <c r="F3050" s="48"/>
      <c r="G3050" s="48"/>
      <c r="H3050" s="48"/>
      <c r="I3050" s="48"/>
      <c r="J3050" s="86"/>
      <c r="K3050" s="86"/>
      <c r="L3050" s="86"/>
      <c r="M3050" s="86"/>
      <c r="N3050" s="86"/>
      <c r="O3050" s="86"/>
      <c r="P3050" s="86"/>
      <c r="Q3050" s="86"/>
      <c r="R3050" s="86"/>
      <c r="S3050" s="86"/>
      <c r="T3050" s="86"/>
      <c r="U3050" s="86"/>
      <c r="V3050" s="48"/>
      <c r="W3050" s="48"/>
      <c r="X3050" s="48"/>
      <c r="Y3050" s="48"/>
      <c r="Z3050" s="48"/>
      <c r="AA3050" s="48"/>
      <c r="AB3050" s="48"/>
      <c r="AC3050" s="48"/>
      <c r="AD3050" s="48"/>
      <c r="AE3050" s="48"/>
      <c r="AF3050" s="48"/>
      <c r="AG3050" s="48"/>
      <c r="AH3050" s="48"/>
      <c r="AI3050" s="48"/>
      <c r="AJ3050" s="48"/>
      <c r="AK3050" s="48"/>
      <c r="AL3050" s="48"/>
      <c r="AM3050" s="48"/>
      <c r="AN3050" s="48"/>
      <c r="AO3050" s="48"/>
      <c r="AP3050" s="48"/>
      <c r="AQ3050" s="48"/>
      <c r="AR3050" s="48"/>
      <c r="AS3050" s="48"/>
      <c r="AT3050" s="48"/>
      <c r="AU3050" s="48"/>
      <c r="AV3050" s="48"/>
      <c r="AW3050" s="48"/>
      <c r="AX3050" s="48"/>
      <c r="AY3050" s="48"/>
      <c r="AZ3050" s="48"/>
      <c r="BA3050" s="48"/>
      <c r="BB3050" s="48"/>
      <c r="BC3050" s="48"/>
      <c r="BD3050" s="48"/>
    </row>
    <row r="3051" spans="1:56">
      <c r="A3051" s="48"/>
      <c r="B3051" s="48"/>
      <c r="C3051" s="49"/>
      <c r="D3051" s="48"/>
      <c r="E3051" s="48"/>
      <c r="F3051" s="48"/>
      <c r="G3051" s="48"/>
      <c r="H3051" s="48"/>
      <c r="I3051" s="48"/>
      <c r="J3051" s="86"/>
      <c r="K3051" s="86"/>
      <c r="L3051" s="86"/>
      <c r="M3051" s="86"/>
      <c r="N3051" s="86"/>
      <c r="O3051" s="86"/>
      <c r="P3051" s="86"/>
      <c r="Q3051" s="86"/>
      <c r="R3051" s="86"/>
      <c r="S3051" s="86"/>
      <c r="T3051" s="86"/>
      <c r="U3051" s="86"/>
      <c r="V3051" s="48"/>
      <c r="W3051" s="48"/>
      <c r="X3051" s="48"/>
      <c r="Y3051" s="48"/>
      <c r="Z3051" s="48"/>
      <c r="AA3051" s="48"/>
      <c r="AB3051" s="48"/>
      <c r="AC3051" s="48"/>
      <c r="AD3051" s="48"/>
      <c r="AE3051" s="48"/>
      <c r="AF3051" s="48"/>
      <c r="AG3051" s="48"/>
      <c r="AH3051" s="48"/>
      <c r="AI3051" s="48"/>
      <c r="AJ3051" s="48"/>
      <c r="AK3051" s="48"/>
      <c r="AL3051" s="48"/>
      <c r="AM3051" s="48"/>
      <c r="AN3051" s="48"/>
      <c r="AO3051" s="48"/>
      <c r="AP3051" s="48"/>
      <c r="AQ3051" s="48"/>
      <c r="AR3051" s="48"/>
      <c r="AS3051" s="48"/>
      <c r="AT3051" s="48"/>
      <c r="AU3051" s="48"/>
      <c r="AV3051" s="48"/>
      <c r="AW3051" s="48"/>
      <c r="AX3051" s="48"/>
      <c r="AY3051" s="48"/>
      <c r="AZ3051" s="48"/>
      <c r="BA3051" s="48"/>
      <c r="BB3051" s="48"/>
      <c r="BC3051" s="48"/>
      <c r="BD3051" s="48"/>
    </row>
    <row r="3052" spans="1:56">
      <c r="A3052" s="48"/>
      <c r="B3052" s="48"/>
      <c r="C3052" s="49"/>
      <c r="D3052" s="48"/>
      <c r="E3052" s="48"/>
      <c r="F3052" s="48"/>
      <c r="G3052" s="48"/>
      <c r="H3052" s="48"/>
      <c r="I3052" s="48"/>
      <c r="J3052" s="86"/>
      <c r="K3052" s="86"/>
      <c r="L3052" s="86"/>
      <c r="M3052" s="86"/>
      <c r="N3052" s="86"/>
      <c r="O3052" s="86"/>
      <c r="P3052" s="86"/>
      <c r="Q3052" s="86"/>
      <c r="R3052" s="86"/>
      <c r="S3052" s="86"/>
      <c r="T3052" s="86"/>
      <c r="U3052" s="86"/>
      <c r="V3052" s="48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48"/>
      <c r="AP3052" s="48"/>
      <c r="AQ3052" s="48"/>
      <c r="AR3052" s="48"/>
      <c r="AS3052" s="48"/>
      <c r="AT3052" s="48"/>
      <c r="AU3052" s="48"/>
      <c r="AV3052" s="48"/>
      <c r="AW3052" s="48"/>
      <c r="AX3052" s="48"/>
      <c r="AY3052" s="48"/>
      <c r="AZ3052" s="48"/>
      <c r="BA3052" s="48"/>
      <c r="BB3052" s="48"/>
      <c r="BC3052" s="48"/>
      <c r="BD3052" s="48"/>
    </row>
    <row r="3053" spans="1:56">
      <c r="A3053" s="48"/>
      <c r="B3053" s="48"/>
      <c r="C3053" s="49"/>
      <c r="D3053" s="48"/>
      <c r="E3053" s="48"/>
      <c r="F3053" s="48"/>
      <c r="G3053" s="48"/>
      <c r="H3053" s="48"/>
      <c r="I3053" s="48"/>
      <c r="J3053" s="86"/>
      <c r="K3053" s="86"/>
      <c r="L3053" s="86"/>
      <c r="M3053" s="86"/>
      <c r="N3053" s="86"/>
      <c r="O3053" s="86"/>
      <c r="P3053" s="86"/>
      <c r="Q3053" s="86"/>
      <c r="R3053" s="86"/>
      <c r="S3053" s="86"/>
      <c r="T3053" s="86"/>
      <c r="U3053" s="86"/>
      <c r="V3053" s="48"/>
      <c r="W3053" s="48"/>
      <c r="X3053" s="48"/>
      <c r="Y3053" s="48"/>
      <c r="Z3053" s="48"/>
      <c r="AA3053" s="48"/>
      <c r="AB3053" s="48"/>
      <c r="AC3053" s="48"/>
      <c r="AD3053" s="48"/>
      <c r="AE3053" s="48"/>
      <c r="AF3053" s="48"/>
      <c r="AG3053" s="48"/>
      <c r="AH3053" s="48"/>
      <c r="AI3053" s="48"/>
      <c r="AJ3053" s="48"/>
      <c r="AK3053" s="48"/>
      <c r="AL3053" s="48"/>
      <c r="AM3053" s="48"/>
      <c r="AN3053" s="48"/>
      <c r="AO3053" s="48"/>
      <c r="AP3053" s="48"/>
      <c r="AQ3053" s="48"/>
      <c r="AR3053" s="48"/>
      <c r="AS3053" s="48"/>
      <c r="AT3053" s="48"/>
      <c r="AU3053" s="48"/>
      <c r="AV3053" s="48"/>
      <c r="AW3053" s="48"/>
      <c r="AX3053" s="48"/>
      <c r="AY3053" s="48"/>
      <c r="AZ3053" s="48"/>
      <c r="BA3053" s="48"/>
      <c r="BB3053" s="48"/>
      <c r="BC3053" s="48"/>
      <c r="BD3053" s="48"/>
    </row>
    <row r="3054" spans="1:56">
      <c r="A3054" s="48"/>
      <c r="B3054" s="48"/>
      <c r="C3054" s="49"/>
      <c r="D3054" s="48"/>
      <c r="E3054" s="48"/>
      <c r="F3054" s="48"/>
      <c r="G3054" s="48"/>
      <c r="H3054" s="48"/>
      <c r="I3054" s="48"/>
      <c r="J3054" s="86"/>
      <c r="K3054" s="86"/>
      <c r="L3054" s="86"/>
      <c r="M3054" s="86"/>
      <c r="N3054" s="86"/>
      <c r="O3054" s="86"/>
      <c r="P3054" s="86"/>
      <c r="Q3054" s="86"/>
      <c r="R3054" s="86"/>
      <c r="S3054" s="86"/>
      <c r="T3054" s="86"/>
      <c r="U3054" s="86"/>
      <c r="V3054" s="48"/>
      <c r="W3054" s="48"/>
      <c r="X3054" s="48"/>
      <c r="Y3054" s="48"/>
      <c r="Z3054" s="48"/>
      <c r="AA3054" s="48"/>
      <c r="AB3054" s="48"/>
      <c r="AC3054" s="48"/>
      <c r="AD3054" s="48"/>
      <c r="AE3054" s="48"/>
      <c r="AF3054" s="48"/>
      <c r="AG3054" s="48"/>
      <c r="AH3054" s="48"/>
      <c r="AI3054" s="48"/>
      <c r="AJ3054" s="48"/>
      <c r="AK3054" s="48"/>
      <c r="AL3054" s="48"/>
      <c r="AM3054" s="48"/>
      <c r="AN3054" s="48"/>
      <c r="AO3054" s="48"/>
      <c r="AP3054" s="48"/>
      <c r="AQ3054" s="48"/>
      <c r="AR3054" s="48"/>
      <c r="AS3054" s="48"/>
      <c r="AT3054" s="48"/>
      <c r="AU3054" s="48"/>
      <c r="AV3054" s="48"/>
      <c r="AW3054" s="48"/>
      <c r="AX3054" s="48"/>
      <c r="AY3054" s="48"/>
      <c r="AZ3054" s="48"/>
      <c r="BA3054" s="48"/>
      <c r="BB3054" s="48"/>
      <c r="BC3054" s="48"/>
      <c r="BD3054" s="48"/>
    </row>
    <row r="3055" spans="1:56">
      <c r="A3055" s="48"/>
      <c r="B3055" s="48"/>
      <c r="C3055" s="49"/>
      <c r="D3055" s="48"/>
      <c r="E3055" s="48"/>
      <c r="F3055" s="48"/>
      <c r="G3055" s="48"/>
      <c r="H3055" s="48"/>
      <c r="I3055" s="48"/>
      <c r="J3055" s="86"/>
      <c r="K3055" s="86"/>
      <c r="L3055" s="86"/>
      <c r="M3055" s="86"/>
      <c r="N3055" s="86"/>
      <c r="O3055" s="86"/>
      <c r="P3055" s="86"/>
      <c r="Q3055" s="86"/>
      <c r="R3055" s="86"/>
      <c r="S3055" s="86"/>
      <c r="T3055" s="86"/>
      <c r="U3055" s="86"/>
      <c r="V3055" s="48"/>
      <c r="W3055" s="48"/>
      <c r="X3055" s="48"/>
      <c r="Y3055" s="48"/>
      <c r="Z3055" s="48"/>
      <c r="AA3055" s="48"/>
      <c r="AB3055" s="48"/>
      <c r="AC3055" s="48"/>
      <c r="AD3055" s="48"/>
      <c r="AE3055" s="48"/>
      <c r="AF3055" s="48"/>
      <c r="AG3055" s="48"/>
      <c r="AH3055" s="48"/>
      <c r="AI3055" s="48"/>
      <c r="AJ3055" s="48"/>
      <c r="AK3055" s="48"/>
      <c r="AL3055" s="48"/>
      <c r="AM3055" s="48"/>
      <c r="AN3055" s="48"/>
      <c r="AO3055" s="48"/>
      <c r="AP3055" s="48"/>
      <c r="AQ3055" s="48"/>
      <c r="AR3055" s="48"/>
      <c r="AS3055" s="48"/>
      <c r="AT3055" s="48"/>
      <c r="AU3055" s="48"/>
      <c r="AV3055" s="48"/>
      <c r="AW3055" s="48"/>
      <c r="AX3055" s="48"/>
      <c r="AY3055" s="48"/>
      <c r="AZ3055" s="48"/>
      <c r="BA3055" s="48"/>
      <c r="BB3055" s="48"/>
      <c r="BC3055" s="48"/>
      <c r="BD3055" s="48"/>
    </row>
    <row r="3056" spans="1:56">
      <c r="A3056" s="48"/>
      <c r="B3056" s="48"/>
      <c r="C3056" s="49"/>
      <c r="D3056" s="48"/>
      <c r="E3056" s="48"/>
      <c r="F3056" s="48"/>
      <c r="G3056" s="48"/>
      <c r="H3056" s="48"/>
      <c r="I3056" s="48"/>
      <c r="J3056" s="86"/>
      <c r="K3056" s="86"/>
      <c r="L3056" s="86"/>
      <c r="M3056" s="86"/>
      <c r="N3056" s="86"/>
      <c r="O3056" s="86"/>
      <c r="P3056" s="86"/>
      <c r="Q3056" s="86"/>
      <c r="R3056" s="86"/>
      <c r="S3056" s="86"/>
      <c r="T3056" s="86"/>
      <c r="U3056" s="86"/>
      <c r="V3056" s="48"/>
      <c r="W3056" s="48"/>
      <c r="X3056" s="48"/>
      <c r="Y3056" s="48"/>
      <c r="Z3056" s="48"/>
      <c r="AA3056" s="48"/>
      <c r="AB3056" s="48"/>
      <c r="AC3056" s="48"/>
      <c r="AD3056" s="48"/>
      <c r="AE3056" s="48"/>
      <c r="AF3056" s="48"/>
      <c r="AG3056" s="48"/>
      <c r="AH3056" s="48"/>
      <c r="AI3056" s="48"/>
      <c r="AJ3056" s="48"/>
      <c r="AK3056" s="48"/>
      <c r="AL3056" s="48"/>
      <c r="AM3056" s="48"/>
      <c r="AN3056" s="48"/>
      <c r="AO3056" s="48"/>
      <c r="AP3056" s="48"/>
      <c r="AQ3056" s="48"/>
      <c r="AR3056" s="48"/>
      <c r="AS3056" s="48"/>
      <c r="AT3056" s="48"/>
      <c r="AU3056" s="48"/>
      <c r="AV3056" s="48"/>
      <c r="AW3056" s="48"/>
      <c r="AX3056" s="48"/>
      <c r="AY3056" s="48"/>
      <c r="AZ3056" s="48"/>
      <c r="BA3056" s="48"/>
      <c r="BB3056" s="48"/>
      <c r="BC3056" s="48"/>
      <c r="BD3056" s="48"/>
    </row>
    <row r="3057" spans="1:56">
      <c r="A3057" s="48"/>
      <c r="B3057" s="48"/>
      <c r="C3057" s="49"/>
      <c r="D3057" s="48"/>
      <c r="E3057" s="48"/>
      <c r="F3057" s="48"/>
      <c r="G3057" s="48"/>
      <c r="H3057" s="48"/>
      <c r="I3057" s="48"/>
      <c r="J3057" s="86"/>
      <c r="K3057" s="86"/>
      <c r="L3057" s="86"/>
      <c r="M3057" s="86"/>
      <c r="N3057" s="86"/>
      <c r="O3057" s="86"/>
      <c r="P3057" s="86"/>
      <c r="Q3057" s="86"/>
      <c r="R3057" s="86"/>
      <c r="S3057" s="86"/>
      <c r="T3057" s="86"/>
      <c r="U3057" s="86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48"/>
      <c r="AI3057" s="48"/>
      <c r="AJ3057" s="48"/>
      <c r="AK3057" s="48"/>
      <c r="AL3057" s="48"/>
      <c r="AM3057" s="48"/>
      <c r="AN3057" s="48"/>
      <c r="AO3057" s="48"/>
      <c r="AP3057" s="48"/>
      <c r="AQ3057" s="48"/>
      <c r="AR3057" s="48"/>
      <c r="AS3057" s="48"/>
      <c r="AT3057" s="48"/>
      <c r="AU3057" s="48"/>
      <c r="AV3057" s="48"/>
      <c r="AW3057" s="48"/>
      <c r="AX3057" s="48"/>
      <c r="AY3057" s="48"/>
      <c r="AZ3057" s="48"/>
      <c r="BA3057" s="48"/>
      <c r="BB3057" s="48"/>
      <c r="BC3057" s="48"/>
      <c r="BD3057" s="48"/>
    </row>
    <row r="3058" spans="1:56">
      <c r="A3058" s="48"/>
      <c r="B3058" s="48"/>
      <c r="C3058" s="49"/>
      <c r="D3058" s="48"/>
      <c r="E3058" s="48"/>
      <c r="F3058" s="48"/>
      <c r="G3058" s="48"/>
      <c r="H3058" s="48"/>
      <c r="I3058" s="48"/>
      <c r="J3058" s="86"/>
      <c r="K3058" s="86"/>
      <c r="L3058" s="86"/>
      <c r="M3058" s="86"/>
      <c r="N3058" s="86"/>
      <c r="O3058" s="86"/>
      <c r="P3058" s="86"/>
      <c r="Q3058" s="86"/>
      <c r="R3058" s="86"/>
      <c r="S3058" s="86"/>
      <c r="T3058" s="86"/>
      <c r="U3058" s="86"/>
      <c r="V3058" s="48"/>
      <c r="W3058" s="48"/>
      <c r="X3058" s="48"/>
      <c r="Y3058" s="48"/>
      <c r="Z3058" s="48"/>
      <c r="AA3058" s="48"/>
      <c r="AB3058" s="48"/>
      <c r="AC3058" s="48"/>
      <c r="AD3058" s="48"/>
      <c r="AE3058" s="48"/>
      <c r="AF3058" s="48"/>
      <c r="AG3058" s="48"/>
      <c r="AH3058" s="48"/>
      <c r="AI3058" s="48"/>
      <c r="AJ3058" s="48"/>
      <c r="AK3058" s="48"/>
      <c r="AL3058" s="48"/>
      <c r="AM3058" s="48"/>
      <c r="AN3058" s="48"/>
      <c r="AO3058" s="48"/>
      <c r="AP3058" s="48"/>
      <c r="AQ3058" s="48"/>
      <c r="AR3058" s="48"/>
      <c r="AS3058" s="48"/>
      <c r="AT3058" s="48"/>
      <c r="AU3058" s="48"/>
      <c r="AV3058" s="48"/>
      <c r="AW3058" s="48"/>
      <c r="AX3058" s="48"/>
      <c r="AY3058" s="48"/>
      <c r="AZ3058" s="48"/>
      <c r="BA3058" s="48"/>
      <c r="BB3058" s="48"/>
      <c r="BC3058" s="48"/>
      <c r="BD3058" s="48"/>
    </row>
    <row r="3059" spans="1:56">
      <c r="A3059" s="48"/>
      <c r="B3059" s="48"/>
      <c r="C3059" s="49"/>
      <c r="D3059" s="48"/>
      <c r="E3059" s="48"/>
      <c r="F3059" s="48"/>
      <c r="G3059" s="48"/>
      <c r="H3059" s="48"/>
      <c r="I3059" s="48"/>
      <c r="J3059" s="86"/>
      <c r="K3059" s="86"/>
      <c r="L3059" s="86"/>
      <c r="M3059" s="86"/>
      <c r="N3059" s="86"/>
      <c r="O3059" s="86"/>
      <c r="P3059" s="86"/>
      <c r="Q3059" s="86"/>
      <c r="R3059" s="86"/>
      <c r="S3059" s="86"/>
      <c r="T3059" s="86"/>
      <c r="U3059" s="86"/>
      <c r="V3059" s="48"/>
      <c r="W3059" s="48"/>
      <c r="X3059" s="48"/>
      <c r="Y3059" s="48"/>
      <c r="Z3059" s="48"/>
      <c r="AA3059" s="48"/>
      <c r="AB3059" s="48"/>
      <c r="AC3059" s="48"/>
      <c r="AD3059" s="48"/>
      <c r="AE3059" s="48"/>
      <c r="AF3059" s="48"/>
      <c r="AG3059" s="48"/>
      <c r="AH3059" s="48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48"/>
      <c r="AS3059" s="48"/>
      <c r="AT3059" s="48"/>
      <c r="AU3059" s="48"/>
      <c r="AV3059" s="48"/>
      <c r="AW3059" s="48"/>
      <c r="AX3059" s="48"/>
      <c r="AY3059" s="48"/>
      <c r="AZ3059" s="48"/>
      <c r="BA3059" s="48"/>
      <c r="BB3059" s="48"/>
      <c r="BC3059" s="48"/>
      <c r="BD3059" s="48"/>
    </row>
    <row r="3060" spans="1:56">
      <c r="A3060" s="48"/>
      <c r="B3060" s="48"/>
      <c r="C3060" s="49"/>
      <c r="D3060" s="48"/>
      <c r="E3060" s="48"/>
      <c r="F3060" s="48"/>
      <c r="G3060" s="48"/>
      <c r="H3060" s="48"/>
      <c r="I3060" s="48"/>
      <c r="J3060" s="86"/>
      <c r="K3060" s="86"/>
      <c r="L3060" s="86"/>
      <c r="M3060" s="86"/>
      <c r="N3060" s="86"/>
      <c r="O3060" s="86"/>
      <c r="P3060" s="86"/>
      <c r="Q3060" s="86"/>
      <c r="R3060" s="86"/>
      <c r="S3060" s="86"/>
      <c r="T3060" s="86"/>
      <c r="U3060" s="86"/>
      <c r="V3060" s="48"/>
      <c r="W3060" s="48"/>
      <c r="X3060" s="48"/>
      <c r="Y3060" s="48"/>
      <c r="Z3060" s="48"/>
      <c r="AA3060" s="48"/>
      <c r="AB3060" s="48"/>
      <c r="AC3060" s="48"/>
      <c r="AD3060" s="48"/>
      <c r="AE3060" s="48"/>
      <c r="AF3060" s="48"/>
      <c r="AG3060" s="48"/>
      <c r="AH3060" s="48"/>
      <c r="AI3060" s="48"/>
      <c r="AJ3060" s="48"/>
      <c r="AK3060" s="48"/>
      <c r="AL3060" s="48"/>
      <c r="AM3060" s="48"/>
      <c r="AN3060" s="48"/>
      <c r="AO3060" s="48"/>
      <c r="AP3060" s="48"/>
      <c r="AQ3060" s="48"/>
      <c r="AR3060" s="48"/>
      <c r="AS3060" s="48"/>
      <c r="AT3060" s="48"/>
      <c r="AU3060" s="48"/>
      <c r="AV3060" s="48"/>
      <c r="AW3060" s="48"/>
      <c r="AX3060" s="48"/>
      <c r="AY3060" s="48"/>
      <c r="AZ3060" s="48"/>
      <c r="BA3060" s="48"/>
      <c r="BB3060" s="48"/>
      <c r="BC3060" s="48"/>
      <c r="BD3060" s="48"/>
    </row>
    <row r="3061" spans="1:56">
      <c r="A3061" s="48"/>
      <c r="B3061" s="48"/>
      <c r="C3061" s="49"/>
      <c r="D3061" s="48"/>
      <c r="E3061" s="48"/>
      <c r="F3061" s="48"/>
      <c r="G3061" s="48"/>
      <c r="H3061" s="48"/>
      <c r="I3061" s="48"/>
      <c r="J3061" s="86"/>
      <c r="K3061" s="86"/>
      <c r="L3061" s="86"/>
      <c r="M3061" s="86"/>
      <c r="N3061" s="86"/>
      <c r="O3061" s="86"/>
      <c r="P3061" s="86"/>
      <c r="Q3061" s="86"/>
      <c r="R3061" s="86"/>
      <c r="S3061" s="86"/>
      <c r="T3061" s="86"/>
      <c r="U3061" s="86"/>
      <c r="V3061" s="48"/>
      <c r="W3061" s="48"/>
      <c r="X3061" s="48"/>
      <c r="Y3061" s="48"/>
      <c r="Z3061" s="48"/>
      <c r="AA3061" s="48"/>
      <c r="AB3061" s="48"/>
      <c r="AC3061" s="48"/>
      <c r="AD3061" s="48"/>
      <c r="AE3061" s="48"/>
      <c r="AF3061" s="48"/>
      <c r="AG3061" s="48"/>
      <c r="AH3061" s="48"/>
      <c r="AI3061" s="48"/>
      <c r="AJ3061" s="48"/>
      <c r="AK3061" s="48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48"/>
      <c r="BB3061" s="48"/>
      <c r="BC3061" s="48"/>
      <c r="BD3061" s="48"/>
    </row>
    <row r="3062" spans="1:56">
      <c r="A3062" s="48"/>
      <c r="B3062" s="48"/>
      <c r="C3062" s="49"/>
      <c r="D3062" s="48"/>
      <c r="E3062" s="48"/>
      <c r="F3062" s="48"/>
      <c r="G3062" s="48"/>
      <c r="H3062" s="48"/>
      <c r="I3062" s="48"/>
      <c r="J3062" s="86"/>
      <c r="K3062" s="86"/>
      <c r="L3062" s="86"/>
      <c r="M3062" s="86"/>
      <c r="N3062" s="86"/>
      <c r="O3062" s="86"/>
      <c r="P3062" s="86"/>
      <c r="Q3062" s="86"/>
      <c r="R3062" s="86"/>
      <c r="S3062" s="86"/>
      <c r="T3062" s="86"/>
      <c r="U3062" s="86"/>
      <c r="V3062" s="48"/>
      <c r="W3062" s="48"/>
      <c r="X3062" s="48"/>
      <c r="Y3062" s="48"/>
      <c r="Z3062" s="48"/>
      <c r="AA3062" s="48"/>
      <c r="AB3062" s="48"/>
      <c r="AC3062" s="48"/>
      <c r="AD3062" s="48"/>
      <c r="AE3062" s="48"/>
      <c r="AF3062" s="48"/>
      <c r="AG3062" s="48"/>
      <c r="AH3062" s="48"/>
      <c r="AI3062" s="48"/>
      <c r="AJ3062" s="48"/>
      <c r="AK3062" s="48"/>
      <c r="AL3062" s="48"/>
      <c r="AM3062" s="48"/>
      <c r="AN3062" s="48"/>
      <c r="AO3062" s="48"/>
      <c r="AP3062" s="48"/>
      <c r="AQ3062" s="48"/>
      <c r="AR3062" s="48"/>
      <c r="AS3062" s="48"/>
      <c r="AT3062" s="48"/>
      <c r="AU3062" s="48"/>
      <c r="AV3062" s="48"/>
      <c r="AW3062" s="48"/>
      <c r="AX3062" s="48"/>
      <c r="AY3062" s="48"/>
      <c r="AZ3062" s="48"/>
      <c r="BA3062" s="48"/>
      <c r="BB3062" s="48"/>
      <c r="BC3062" s="48"/>
      <c r="BD3062" s="48"/>
    </row>
    <row r="3063" spans="1:56">
      <c r="A3063" s="48"/>
      <c r="B3063" s="48"/>
      <c r="C3063" s="49"/>
      <c r="D3063" s="48"/>
      <c r="E3063" s="48"/>
      <c r="F3063" s="48"/>
      <c r="G3063" s="48"/>
      <c r="H3063" s="48"/>
      <c r="I3063" s="48"/>
      <c r="J3063" s="86"/>
      <c r="K3063" s="86"/>
      <c r="L3063" s="86"/>
      <c r="M3063" s="86"/>
      <c r="N3063" s="86"/>
      <c r="O3063" s="86"/>
      <c r="P3063" s="86"/>
      <c r="Q3063" s="86"/>
      <c r="R3063" s="86"/>
      <c r="S3063" s="86"/>
      <c r="T3063" s="86"/>
      <c r="U3063" s="86"/>
      <c r="V3063" s="48"/>
      <c r="W3063" s="48"/>
      <c r="X3063" s="48"/>
      <c r="Y3063" s="48"/>
      <c r="Z3063" s="48"/>
      <c r="AA3063" s="48"/>
      <c r="AB3063" s="48"/>
      <c r="AC3063" s="48"/>
      <c r="AD3063" s="48"/>
      <c r="AE3063" s="48"/>
      <c r="AF3063" s="48"/>
      <c r="AG3063" s="48"/>
      <c r="AH3063" s="48"/>
      <c r="AI3063" s="48"/>
      <c r="AJ3063" s="48"/>
      <c r="AK3063" s="48"/>
      <c r="AL3063" s="48"/>
      <c r="AM3063" s="48"/>
      <c r="AN3063" s="48"/>
      <c r="AO3063" s="48"/>
      <c r="AP3063" s="48"/>
      <c r="AQ3063" s="48"/>
      <c r="AR3063" s="48"/>
      <c r="AS3063" s="48"/>
      <c r="AT3063" s="48"/>
      <c r="AU3063" s="48"/>
      <c r="AV3063" s="48"/>
      <c r="AW3063" s="48"/>
      <c r="AX3063" s="48"/>
      <c r="AY3063" s="48"/>
      <c r="AZ3063" s="48"/>
      <c r="BA3063" s="48"/>
      <c r="BB3063" s="48"/>
      <c r="BC3063" s="48"/>
      <c r="BD3063" s="48"/>
    </row>
    <row r="3064" spans="1:56">
      <c r="A3064" s="48"/>
      <c r="B3064" s="48"/>
      <c r="C3064" s="49"/>
      <c r="D3064" s="48"/>
      <c r="E3064" s="48"/>
      <c r="F3064" s="48"/>
      <c r="G3064" s="48"/>
      <c r="H3064" s="48"/>
      <c r="I3064" s="48"/>
      <c r="J3064" s="86"/>
      <c r="K3064" s="86"/>
      <c r="L3064" s="86"/>
      <c r="M3064" s="86"/>
      <c r="N3064" s="86"/>
      <c r="O3064" s="86"/>
      <c r="P3064" s="86"/>
      <c r="Q3064" s="86"/>
      <c r="R3064" s="86"/>
      <c r="S3064" s="86"/>
      <c r="T3064" s="86"/>
      <c r="U3064" s="86"/>
      <c r="V3064" s="48"/>
      <c r="W3064" s="48"/>
      <c r="X3064" s="48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48"/>
      <c r="AK3064" s="48"/>
      <c r="AL3064" s="48"/>
      <c r="AM3064" s="48"/>
      <c r="AN3064" s="48"/>
      <c r="AO3064" s="48"/>
      <c r="AP3064" s="48"/>
      <c r="AQ3064" s="48"/>
      <c r="AR3064" s="48"/>
      <c r="AS3064" s="48"/>
      <c r="AT3064" s="48"/>
      <c r="AU3064" s="48"/>
      <c r="AV3064" s="48"/>
      <c r="AW3064" s="48"/>
      <c r="AX3064" s="48"/>
      <c r="AY3064" s="48"/>
      <c r="AZ3064" s="48"/>
      <c r="BA3064" s="48"/>
      <c r="BB3064" s="48"/>
      <c r="BC3064" s="48"/>
      <c r="BD3064" s="48"/>
    </row>
    <row r="3065" spans="1:56">
      <c r="A3065" s="48"/>
      <c r="B3065" s="48"/>
      <c r="C3065" s="49"/>
      <c r="D3065" s="48"/>
      <c r="E3065" s="48"/>
      <c r="F3065" s="48"/>
      <c r="G3065" s="48"/>
      <c r="H3065" s="48"/>
      <c r="I3065" s="48"/>
      <c r="J3065" s="86"/>
      <c r="K3065" s="86"/>
      <c r="L3065" s="86"/>
      <c r="M3065" s="86"/>
      <c r="N3065" s="86"/>
      <c r="O3065" s="86"/>
      <c r="P3065" s="86"/>
      <c r="Q3065" s="86"/>
      <c r="R3065" s="86"/>
      <c r="S3065" s="86"/>
      <c r="T3065" s="86"/>
      <c r="U3065" s="86"/>
      <c r="V3065" s="48"/>
      <c r="W3065" s="48"/>
      <c r="X3065" s="48"/>
      <c r="Y3065" s="48"/>
      <c r="Z3065" s="48"/>
      <c r="AA3065" s="48"/>
      <c r="AB3065" s="48"/>
      <c r="AC3065" s="48"/>
      <c r="AD3065" s="48"/>
      <c r="AE3065" s="48"/>
      <c r="AF3065" s="48"/>
      <c r="AG3065" s="48"/>
      <c r="AH3065" s="48"/>
      <c r="AI3065" s="48"/>
      <c r="AJ3065" s="48"/>
      <c r="AK3065" s="48"/>
      <c r="AL3065" s="48"/>
      <c r="AM3065" s="48"/>
      <c r="AN3065" s="48"/>
      <c r="AO3065" s="48"/>
      <c r="AP3065" s="48"/>
      <c r="AQ3065" s="48"/>
      <c r="AR3065" s="48"/>
      <c r="AS3065" s="48"/>
      <c r="AT3065" s="48"/>
      <c r="AU3065" s="48"/>
      <c r="AV3065" s="48"/>
      <c r="AW3065" s="48"/>
      <c r="AX3065" s="48"/>
      <c r="AY3065" s="48"/>
      <c r="AZ3065" s="48"/>
      <c r="BA3065" s="48"/>
      <c r="BB3065" s="48"/>
      <c r="BC3065" s="48"/>
      <c r="BD3065" s="48"/>
    </row>
    <row r="3066" spans="1:56">
      <c r="A3066" s="48"/>
      <c r="B3066" s="48"/>
      <c r="C3066" s="49"/>
      <c r="D3066" s="48"/>
      <c r="E3066" s="48"/>
      <c r="F3066" s="48"/>
      <c r="G3066" s="48"/>
      <c r="H3066" s="48"/>
      <c r="I3066" s="48"/>
      <c r="J3066" s="86"/>
      <c r="K3066" s="86"/>
      <c r="L3066" s="86"/>
      <c r="M3066" s="86"/>
      <c r="N3066" s="86"/>
      <c r="O3066" s="86"/>
      <c r="P3066" s="86"/>
      <c r="Q3066" s="86"/>
      <c r="R3066" s="86"/>
      <c r="S3066" s="86"/>
      <c r="T3066" s="86"/>
      <c r="U3066" s="86"/>
      <c r="V3066" s="48"/>
      <c r="W3066" s="48"/>
      <c r="X3066" s="48"/>
      <c r="Y3066" s="48"/>
      <c r="Z3066" s="48"/>
      <c r="AA3066" s="48"/>
      <c r="AB3066" s="48"/>
      <c r="AC3066" s="48"/>
      <c r="AD3066" s="48"/>
      <c r="AE3066" s="48"/>
      <c r="AF3066" s="48"/>
      <c r="AG3066" s="48"/>
      <c r="AH3066" s="48"/>
      <c r="AI3066" s="48"/>
      <c r="AJ3066" s="48"/>
      <c r="AK3066" s="48"/>
      <c r="AL3066" s="48"/>
      <c r="AM3066" s="48"/>
      <c r="AN3066" s="48"/>
      <c r="AO3066" s="48"/>
      <c r="AP3066" s="48"/>
      <c r="AQ3066" s="48"/>
      <c r="AR3066" s="48"/>
      <c r="AS3066" s="48"/>
      <c r="AT3066" s="48"/>
      <c r="AU3066" s="48"/>
      <c r="AV3066" s="48"/>
      <c r="AW3066" s="48"/>
      <c r="AX3066" s="48"/>
      <c r="AY3066" s="48"/>
      <c r="AZ3066" s="48"/>
      <c r="BA3066" s="48"/>
      <c r="BB3066" s="48"/>
      <c r="BC3066" s="48"/>
      <c r="BD3066" s="48"/>
    </row>
    <row r="3067" spans="1:56">
      <c r="A3067" s="48"/>
      <c r="B3067" s="48"/>
      <c r="C3067" s="49"/>
      <c r="D3067" s="48"/>
      <c r="E3067" s="48"/>
      <c r="F3067" s="48"/>
      <c r="G3067" s="48"/>
      <c r="H3067" s="48"/>
      <c r="I3067" s="48"/>
      <c r="J3067" s="86"/>
      <c r="K3067" s="86"/>
      <c r="L3067" s="86"/>
      <c r="M3067" s="86"/>
      <c r="N3067" s="86"/>
      <c r="O3067" s="86"/>
      <c r="P3067" s="86"/>
      <c r="Q3067" s="86"/>
      <c r="R3067" s="86"/>
      <c r="S3067" s="86"/>
      <c r="T3067" s="86"/>
      <c r="U3067" s="86"/>
      <c r="V3067" s="48"/>
      <c r="W3067" s="48"/>
      <c r="X3067" s="48"/>
      <c r="Y3067" s="48"/>
      <c r="Z3067" s="48"/>
      <c r="AA3067" s="48"/>
      <c r="AB3067" s="48"/>
      <c r="AC3067" s="48"/>
      <c r="AD3067" s="48"/>
      <c r="AE3067" s="48"/>
      <c r="AF3067" s="48"/>
      <c r="AG3067" s="48"/>
      <c r="AH3067" s="48"/>
      <c r="AI3067" s="48"/>
      <c r="AJ3067" s="48"/>
      <c r="AK3067" s="48"/>
      <c r="AL3067" s="48"/>
      <c r="AM3067" s="48"/>
      <c r="AN3067" s="48"/>
      <c r="AO3067" s="48"/>
      <c r="AP3067" s="48"/>
      <c r="AQ3067" s="48"/>
      <c r="AR3067" s="48"/>
      <c r="AS3067" s="48"/>
      <c r="AT3067" s="48"/>
      <c r="AU3067" s="48"/>
      <c r="AV3067" s="48"/>
      <c r="AW3067" s="48"/>
      <c r="AX3067" s="48"/>
      <c r="AY3067" s="48"/>
      <c r="AZ3067" s="48"/>
      <c r="BA3067" s="48"/>
      <c r="BB3067" s="48"/>
      <c r="BC3067" s="48"/>
      <c r="BD3067" s="48"/>
    </row>
    <row r="3068" spans="1:56">
      <c r="A3068" s="48"/>
      <c r="B3068" s="48"/>
      <c r="C3068" s="49"/>
      <c r="D3068" s="48"/>
      <c r="E3068" s="48"/>
      <c r="F3068" s="48"/>
      <c r="G3068" s="48"/>
      <c r="H3068" s="48"/>
      <c r="I3068" s="48"/>
      <c r="J3068" s="86"/>
      <c r="K3068" s="86"/>
      <c r="L3068" s="86"/>
      <c r="M3068" s="86"/>
      <c r="N3068" s="86"/>
      <c r="O3068" s="86"/>
      <c r="P3068" s="86"/>
      <c r="Q3068" s="86"/>
      <c r="R3068" s="86"/>
      <c r="S3068" s="86"/>
      <c r="T3068" s="86"/>
      <c r="U3068" s="86"/>
      <c r="V3068" s="48"/>
      <c r="W3068" s="48"/>
      <c r="X3068" s="48"/>
      <c r="Y3068" s="48"/>
      <c r="Z3068" s="48"/>
      <c r="AA3068" s="48"/>
      <c r="AB3068" s="48"/>
      <c r="AC3068" s="48"/>
      <c r="AD3068" s="48"/>
      <c r="AE3068" s="48"/>
      <c r="AF3068" s="48"/>
      <c r="AG3068" s="48"/>
      <c r="AH3068" s="48"/>
      <c r="AI3068" s="48"/>
      <c r="AJ3068" s="48"/>
      <c r="AK3068" s="48"/>
      <c r="AL3068" s="48"/>
      <c r="AM3068" s="48"/>
      <c r="AN3068" s="48"/>
      <c r="AO3068" s="48"/>
      <c r="AP3068" s="48"/>
      <c r="AQ3068" s="48"/>
      <c r="AR3068" s="48"/>
      <c r="AS3068" s="48"/>
      <c r="AT3068" s="48"/>
      <c r="AU3068" s="48"/>
      <c r="AV3068" s="48"/>
      <c r="AW3068" s="48"/>
      <c r="AX3068" s="48"/>
      <c r="AY3068" s="48"/>
      <c r="AZ3068" s="48"/>
      <c r="BA3068" s="48"/>
      <c r="BB3068" s="48"/>
      <c r="BC3068" s="48"/>
      <c r="BD3068" s="48"/>
    </row>
    <row r="3069" spans="1:56">
      <c r="A3069" s="48"/>
      <c r="B3069" s="48"/>
      <c r="C3069" s="49"/>
      <c r="D3069" s="48"/>
      <c r="E3069" s="48"/>
      <c r="F3069" s="48"/>
      <c r="G3069" s="48"/>
      <c r="H3069" s="48"/>
      <c r="I3069" s="48"/>
      <c r="J3069" s="86"/>
      <c r="K3069" s="86"/>
      <c r="L3069" s="86"/>
      <c r="M3069" s="86"/>
      <c r="N3069" s="86"/>
      <c r="O3069" s="86"/>
      <c r="P3069" s="86"/>
      <c r="Q3069" s="86"/>
      <c r="R3069" s="86"/>
      <c r="S3069" s="86"/>
      <c r="T3069" s="86"/>
      <c r="U3069" s="86"/>
      <c r="V3069" s="48"/>
      <c r="W3069" s="48"/>
      <c r="X3069" s="48"/>
      <c r="Y3069" s="48"/>
      <c r="Z3069" s="48"/>
      <c r="AA3069" s="48"/>
      <c r="AB3069" s="48"/>
      <c r="AC3069" s="48"/>
      <c r="AD3069" s="48"/>
      <c r="AE3069" s="48"/>
      <c r="AF3069" s="48"/>
      <c r="AG3069" s="48"/>
      <c r="AH3069" s="48"/>
      <c r="AI3069" s="48"/>
      <c r="AJ3069" s="48"/>
      <c r="AK3069" s="48"/>
      <c r="AL3069" s="48"/>
      <c r="AM3069" s="48"/>
      <c r="AN3069" s="48"/>
      <c r="AO3069" s="48"/>
      <c r="AP3069" s="48"/>
      <c r="AQ3069" s="48"/>
      <c r="AR3069" s="48"/>
      <c r="AS3069" s="48"/>
      <c r="AT3069" s="48"/>
      <c r="AU3069" s="48"/>
      <c r="AV3069" s="48"/>
      <c r="AW3069" s="48"/>
      <c r="AX3069" s="48"/>
      <c r="AY3069" s="48"/>
      <c r="AZ3069" s="48"/>
      <c r="BA3069" s="48"/>
      <c r="BB3069" s="48"/>
      <c r="BC3069" s="48"/>
      <c r="BD3069" s="48"/>
    </row>
    <row r="3070" spans="1:56">
      <c r="A3070" s="48"/>
      <c r="B3070" s="48"/>
      <c r="C3070" s="49"/>
      <c r="D3070" s="48"/>
      <c r="E3070" s="48"/>
      <c r="F3070" s="48"/>
      <c r="G3070" s="48"/>
      <c r="H3070" s="48"/>
      <c r="I3070" s="48"/>
      <c r="J3070" s="86"/>
      <c r="K3070" s="86"/>
      <c r="L3070" s="86"/>
      <c r="M3070" s="86"/>
      <c r="N3070" s="86"/>
      <c r="O3070" s="86"/>
      <c r="P3070" s="86"/>
      <c r="Q3070" s="86"/>
      <c r="R3070" s="86"/>
      <c r="S3070" s="86"/>
      <c r="T3070" s="86"/>
      <c r="U3070" s="86"/>
      <c r="V3070" s="48"/>
      <c r="W3070" s="48"/>
      <c r="X3070" s="48"/>
      <c r="Y3070" s="48"/>
      <c r="Z3070" s="48"/>
      <c r="AA3070" s="48"/>
      <c r="AB3070" s="48"/>
      <c r="AC3070" s="48"/>
      <c r="AD3070" s="48"/>
      <c r="AE3070" s="48"/>
      <c r="AF3070" s="48"/>
      <c r="AG3070" s="48"/>
      <c r="AH3070" s="48"/>
      <c r="AI3070" s="48"/>
      <c r="AJ3070" s="48"/>
      <c r="AK3070" s="48"/>
      <c r="AL3070" s="48"/>
      <c r="AM3070" s="48"/>
      <c r="AN3070" s="48"/>
      <c r="AO3070" s="48"/>
      <c r="AP3070" s="48"/>
      <c r="AQ3070" s="48"/>
      <c r="AR3070" s="48"/>
      <c r="AS3070" s="48"/>
      <c r="AT3070" s="48"/>
      <c r="AU3070" s="48"/>
      <c r="AV3070" s="48"/>
      <c r="AW3070" s="48"/>
      <c r="AX3070" s="48"/>
      <c r="AY3070" s="48"/>
      <c r="AZ3070" s="48"/>
      <c r="BA3070" s="48"/>
      <c r="BB3070" s="48"/>
      <c r="BC3070" s="48"/>
      <c r="BD3070" s="48"/>
    </row>
    <row r="3071" spans="1:56">
      <c r="A3071" s="48"/>
      <c r="B3071" s="48"/>
      <c r="C3071" s="49"/>
      <c r="D3071" s="48"/>
      <c r="E3071" s="48"/>
      <c r="F3071" s="48"/>
      <c r="G3071" s="48"/>
      <c r="H3071" s="48"/>
      <c r="I3071" s="48"/>
      <c r="J3071" s="86"/>
      <c r="K3071" s="86"/>
      <c r="L3071" s="86"/>
      <c r="M3071" s="86"/>
      <c r="N3071" s="86"/>
      <c r="O3071" s="86"/>
      <c r="P3071" s="86"/>
      <c r="Q3071" s="86"/>
      <c r="R3071" s="86"/>
      <c r="S3071" s="86"/>
      <c r="T3071" s="86"/>
      <c r="U3071" s="86"/>
      <c r="V3071" s="48"/>
      <c r="W3071" s="48"/>
      <c r="X3071" s="48"/>
      <c r="Y3071" s="48"/>
      <c r="Z3071" s="48"/>
      <c r="AA3071" s="48"/>
      <c r="AB3071" s="48"/>
      <c r="AC3071" s="48"/>
      <c r="AD3071" s="48"/>
      <c r="AE3071" s="48"/>
      <c r="AF3071" s="48"/>
      <c r="AG3071" s="48"/>
      <c r="AH3071" s="48"/>
      <c r="AI3071" s="48"/>
      <c r="AJ3071" s="48"/>
      <c r="AK3071" s="48"/>
      <c r="AL3071" s="48"/>
      <c r="AM3071" s="48"/>
      <c r="AN3071" s="48"/>
      <c r="AO3071" s="48"/>
      <c r="AP3071" s="48"/>
      <c r="AQ3071" s="48"/>
      <c r="AR3071" s="48"/>
      <c r="AS3071" s="48"/>
      <c r="AT3071" s="48"/>
      <c r="AU3071" s="48"/>
      <c r="AV3071" s="48"/>
      <c r="AW3071" s="48"/>
      <c r="AX3071" s="48"/>
      <c r="AY3071" s="48"/>
      <c r="AZ3071" s="48"/>
      <c r="BA3071" s="48"/>
      <c r="BB3071" s="48"/>
      <c r="BC3071" s="48"/>
      <c r="BD3071" s="48"/>
    </row>
    <row r="3072" spans="1:56">
      <c r="A3072" s="48"/>
      <c r="B3072" s="48"/>
      <c r="C3072" s="49"/>
      <c r="D3072" s="48"/>
      <c r="E3072" s="48"/>
      <c r="F3072" s="48"/>
      <c r="G3072" s="48"/>
      <c r="H3072" s="48"/>
      <c r="I3072" s="48"/>
      <c r="J3072" s="86"/>
      <c r="K3072" s="86"/>
      <c r="L3072" s="86"/>
      <c r="M3072" s="86"/>
      <c r="N3072" s="86"/>
      <c r="O3072" s="86"/>
      <c r="P3072" s="86"/>
      <c r="Q3072" s="86"/>
      <c r="R3072" s="86"/>
      <c r="S3072" s="86"/>
      <c r="T3072" s="86"/>
      <c r="U3072" s="86"/>
      <c r="V3072" s="48"/>
      <c r="W3072" s="48"/>
      <c r="X3072" s="48"/>
      <c r="Y3072" s="48"/>
      <c r="Z3072" s="48"/>
      <c r="AA3072" s="48"/>
      <c r="AB3072" s="48"/>
      <c r="AC3072" s="48"/>
      <c r="AD3072" s="48"/>
      <c r="AE3072" s="48"/>
      <c r="AF3072" s="48"/>
      <c r="AG3072" s="48"/>
      <c r="AH3072" s="48"/>
      <c r="AI3072" s="48"/>
      <c r="AJ3072" s="48"/>
      <c r="AK3072" s="48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48"/>
      <c r="BB3072" s="48"/>
      <c r="BC3072" s="48"/>
      <c r="BD3072" s="48"/>
    </row>
    <row r="3073" spans="1:56">
      <c r="A3073" s="48"/>
      <c r="B3073" s="48"/>
      <c r="C3073" s="49"/>
      <c r="D3073" s="48"/>
      <c r="E3073" s="48"/>
      <c r="F3073" s="48"/>
      <c r="G3073" s="48"/>
      <c r="H3073" s="48"/>
      <c r="I3073" s="48"/>
      <c r="J3073" s="86"/>
      <c r="K3073" s="86"/>
      <c r="L3073" s="86"/>
      <c r="M3073" s="86"/>
      <c r="N3073" s="86"/>
      <c r="O3073" s="86"/>
      <c r="P3073" s="86"/>
      <c r="Q3073" s="86"/>
      <c r="R3073" s="86"/>
      <c r="S3073" s="86"/>
      <c r="T3073" s="86"/>
      <c r="U3073" s="86"/>
      <c r="V3073" s="48"/>
      <c r="W3073" s="48"/>
      <c r="X3073" s="48"/>
      <c r="Y3073" s="48"/>
      <c r="Z3073" s="48"/>
      <c r="AA3073" s="48"/>
      <c r="AB3073" s="48"/>
      <c r="AC3073" s="48"/>
      <c r="AD3073" s="48"/>
      <c r="AE3073" s="48"/>
      <c r="AF3073" s="48"/>
      <c r="AG3073" s="48"/>
      <c r="AH3073" s="48"/>
      <c r="AI3073" s="48"/>
      <c r="AJ3073" s="48"/>
      <c r="AK3073" s="48"/>
      <c r="AL3073" s="48"/>
      <c r="AM3073" s="48"/>
      <c r="AN3073" s="48"/>
      <c r="AO3073" s="48"/>
      <c r="AP3073" s="48"/>
      <c r="AQ3073" s="48"/>
      <c r="AR3073" s="48"/>
      <c r="AS3073" s="48"/>
      <c r="AT3073" s="48"/>
      <c r="AU3073" s="48"/>
      <c r="AV3073" s="48"/>
      <c r="AW3073" s="48"/>
      <c r="AX3073" s="48"/>
      <c r="AY3073" s="48"/>
      <c r="AZ3073" s="48"/>
      <c r="BA3073" s="48"/>
      <c r="BB3073" s="48"/>
      <c r="BC3073" s="48"/>
      <c r="BD3073" s="48"/>
    </row>
    <row r="3074" spans="1:56">
      <c r="A3074" s="48"/>
      <c r="B3074" s="48"/>
      <c r="C3074" s="49"/>
      <c r="D3074" s="48"/>
      <c r="E3074" s="48"/>
      <c r="F3074" s="48"/>
      <c r="G3074" s="48"/>
      <c r="H3074" s="48"/>
      <c r="I3074" s="48"/>
      <c r="J3074" s="86"/>
      <c r="K3074" s="86"/>
      <c r="L3074" s="86"/>
      <c r="M3074" s="86"/>
      <c r="N3074" s="86"/>
      <c r="O3074" s="86"/>
      <c r="P3074" s="86"/>
      <c r="Q3074" s="86"/>
      <c r="R3074" s="86"/>
      <c r="S3074" s="86"/>
      <c r="T3074" s="86"/>
      <c r="U3074" s="86"/>
      <c r="V3074" s="48"/>
      <c r="W3074" s="48"/>
      <c r="X3074" s="48"/>
      <c r="Y3074" s="48"/>
      <c r="Z3074" s="48"/>
      <c r="AA3074" s="48"/>
      <c r="AB3074" s="48"/>
      <c r="AC3074" s="48"/>
      <c r="AD3074" s="48"/>
      <c r="AE3074" s="48"/>
      <c r="AF3074" s="48"/>
      <c r="AG3074" s="48"/>
      <c r="AH3074" s="48"/>
      <c r="AI3074" s="48"/>
      <c r="AJ3074" s="48"/>
      <c r="AK3074" s="48"/>
      <c r="AL3074" s="48"/>
      <c r="AM3074" s="48"/>
      <c r="AN3074" s="48"/>
      <c r="AO3074" s="48"/>
      <c r="AP3074" s="48"/>
      <c r="AQ3074" s="48"/>
      <c r="AR3074" s="48"/>
      <c r="AS3074" s="48"/>
      <c r="AT3074" s="48"/>
      <c r="AU3074" s="48"/>
      <c r="AV3074" s="48"/>
      <c r="AW3074" s="48"/>
      <c r="AX3074" s="48"/>
      <c r="AY3074" s="48"/>
      <c r="AZ3074" s="48"/>
      <c r="BA3074" s="48"/>
      <c r="BB3074" s="48"/>
      <c r="BC3074" s="48"/>
      <c r="BD3074" s="48"/>
    </row>
    <row r="3075" spans="1:56">
      <c r="A3075" s="48"/>
      <c r="B3075" s="48"/>
      <c r="C3075" s="49"/>
      <c r="D3075" s="48"/>
      <c r="E3075" s="48"/>
      <c r="F3075" s="48"/>
      <c r="G3075" s="48"/>
      <c r="H3075" s="48"/>
      <c r="I3075" s="48"/>
      <c r="J3075" s="86"/>
      <c r="K3075" s="86"/>
      <c r="L3075" s="86"/>
      <c r="M3075" s="86"/>
      <c r="N3075" s="86"/>
      <c r="O3075" s="86"/>
      <c r="P3075" s="86"/>
      <c r="Q3075" s="86"/>
      <c r="R3075" s="86"/>
      <c r="S3075" s="86"/>
      <c r="T3075" s="86"/>
      <c r="U3075" s="86"/>
      <c r="V3075" s="48"/>
      <c r="W3075" s="48"/>
      <c r="X3075" s="48"/>
      <c r="Y3075" s="48"/>
      <c r="Z3075" s="48"/>
      <c r="AA3075" s="48"/>
      <c r="AB3075" s="48"/>
      <c r="AC3075" s="48"/>
      <c r="AD3075" s="48"/>
      <c r="AE3075" s="48"/>
      <c r="AF3075" s="48"/>
      <c r="AG3075" s="48"/>
      <c r="AH3075" s="48"/>
      <c r="AI3075" s="48"/>
      <c r="AJ3075" s="48"/>
      <c r="AK3075" s="48"/>
      <c r="AL3075" s="48"/>
      <c r="AM3075" s="48"/>
      <c r="AN3075" s="48"/>
      <c r="AO3075" s="48"/>
      <c r="AP3075" s="48"/>
      <c r="AQ3075" s="48"/>
      <c r="AR3075" s="48"/>
      <c r="AS3075" s="48"/>
      <c r="AT3075" s="48"/>
      <c r="AU3075" s="48"/>
      <c r="AV3075" s="48"/>
      <c r="AW3075" s="48"/>
      <c r="AX3075" s="48"/>
      <c r="AY3075" s="48"/>
      <c r="AZ3075" s="48"/>
      <c r="BA3075" s="48"/>
      <c r="BB3075" s="48"/>
      <c r="BC3075" s="48"/>
      <c r="BD3075" s="48"/>
    </row>
    <row r="3076" spans="1:56">
      <c r="A3076" s="48"/>
      <c r="B3076" s="48"/>
      <c r="C3076" s="49"/>
      <c r="D3076" s="48"/>
      <c r="E3076" s="48"/>
      <c r="F3076" s="48"/>
      <c r="G3076" s="48"/>
      <c r="H3076" s="48"/>
      <c r="I3076" s="48"/>
      <c r="J3076" s="86"/>
      <c r="K3076" s="86"/>
      <c r="L3076" s="86"/>
      <c r="M3076" s="86"/>
      <c r="N3076" s="86"/>
      <c r="O3076" s="86"/>
      <c r="P3076" s="86"/>
      <c r="Q3076" s="86"/>
      <c r="R3076" s="86"/>
      <c r="S3076" s="86"/>
      <c r="T3076" s="86"/>
      <c r="U3076" s="86"/>
      <c r="V3076" s="48"/>
      <c r="W3076" s="48"/>
      <c r="X3076" s="48"/>
      <c r="Y3076" s="48"/>
      <c r="Z3076" s="48"/>
      <c r="AA3076" s="48"/>
      <c r="AB3076" s="48"/>
      <c r="AC3076" s="48"/>
      <c r="AD3076" s="48"/>
      <c r="AE3076" s="48"/>
      <c r="AF3076" s="48"/>
      <c r="AG3076" s="48"/>
      <c r="AH3076" s="48"/>
      <c r="AI3076" s="48"/>
      <c r="AJ3076" s="48"/>
      <c r="AK3076" s="48"/>
      <c r="AL3076" s="48"/>
      <c r="AM3076" s="48"/>
      <c r="AN3076" s="48"/>
      <c r="AO3076" s="48"/>
      <c r="AP3076" s="48"/>
      <c r="AQ3076" s="48"/>
      <c r="AR3076" s="48"/>
      <c r="AS3076" s="48"/>
      <c r="AT3076" s="48"/>
      <c r="AU3076" s="48"/>
      <c r="AV3076" s="48"/>
      <c r="AW3076" s="48"/>
      <c r="AX3076" s="48"/>
      <c r="AY3076" s="48"/>
      <c r="AZ3076" s="48"/>
      <c r="BA3076" s="48"/>
      <c r="BB3076" s="48"/>
      <c r="BC3076" s="48"/>
      <c r="BD3076" s="48"/>
    </row>
    <row r="3077" spans="1:56">
      <c r="A3077" s="48"/>
      <c r="B3077" s="48"/>
      <c r="C3077" s="49"/>
      <c r="D3077" s="48"/>
      <c r="E3077" s="48"/>
      <c r="F3077" s="48"/>
      <c r="G3077" s="48"/>
      <c r="H3077" s="48"/>
      <c r="I3077" s="48"/>
      <c r="J3077" s="86"/>
      <c r="K3077" s="86"/>
      <c r="L3077" s="86"/>
      <c r="M3077" s="86"/>
      <c r="N3077" s="86"/>
      <c r="O3077" s="86"/>
      <c r="P3077" s="86"/>
      <c r="Q3077" s="86"/>
      <c r="R3077" s="86"/>
      <c r="S3077" s="86"/>
      <c r="T3077" s="86"/>
      <c r="U3077" s="86"/>
      <c r="V3077" s="48"/>
      <c r="W3077" s="48"/>
      <c r="X3077" s="48"/>
      <c r="Y3077" s="48"/>
      <c r="Z3077" s="48"/>
      <c r="AA3077" s="48"/>
      <c r="AB3077" s="48"/>
      <c r="AC3077" s="48"/>
      <c r="AD3077" s="48"/>
      <c r="AE3077" s="48"/>
      <c r="AF3077" s="48"/>
      <c r="AG3077" s="48"/>
      <c r="AH3077" s="48"/>
      <c r="AI3077" s="48"/>
      <c r="AJ3077" s="48"/>
      <c r="AK3077" s="48"/>
      <c r="AL3077" s="48"/>
      <c r="AM3077" s="48"/>
      <c r="AN3077" s="48"/>
      <c r="AO3077" s="48"/>
      <c r="AP3077" s="48"/>
      <c r="AQ3077" s="48"/>
      <c r="AR3077" s="48"/>
      <c r="AS3077" s="48"/>
      <c r="AT3077" s="48"/>
      <c r="AU3077" s="48"/>
      <c r="AV3077" s="48"/>
      <c r="AW3077" s="48"/>
      <c r="AX3077" s="48"/>
      <c r="AY3077" s="48"/>
      <c r="AZ3077" s="48"/>
      <c r="BA3077" s="48"/>
      <c r="BB3077" s="48"/>
      <c r="BC3077" s="48"/>
      <c r="BD3077" s="48"/>
    </row>
    <row r="3078" spans="1:56">
      <c r="A3078" s="48"/>
      <c r="B3078" s="48"/>
      <c r="C3078" s="49"/>
      <c r="D3078" s="48"/>
      <c r="E3078" s="48"/>
      <c r="F3078" s="48"/>
      <c r="G3078" s="48"/>
      <c r="H3078" s="48"/>
      <c r="I3078" s="48"/>
      <c r="J3078" s="86"/>
      <c r="K3078" s="86"/>
      <c r="L3078" s="86"/>
      <c r="M3078" s="86"/>
      <c r="N3078" s="86"/>
      <c r="O3078" s="86"/>
      <c r="P3078" s="86"/>
      <c r="Q3078" s="86"/>
      <c r="R3078" s="86"/>
      <c r="S3078" s="86"/>
      <c r="T3078" s="86"/>
      <c r="U3078" s="86"/>
      <c r="V3078" s="48"/>
      <c r="W3078" s="48"/>
      <c r="X3078" s="48"/>
      <c r="Y3078" s="48"/>
      <c r="Z3078" s="48"/>
      <c r="AA3078" s="48"/>
      <c r="AB3078" s="48"/>
      <c r="AC3078" s="48"/>
      <c r="AD3078" s="48"/>
      <c r="AE3078" s="48"/>
      <c r="AF3078" s="48"/>
      <c r="AG3078" s="48"/>
      <c r="AH3078" s="48"/>
      <c r="AI3078" s="48"/>
      <c r="AJ3078" s="48"/>
      <c r="AK3078" s="48"/>
      <c r="AL3078" s="48"/>
      <c r="AM3078" s="48"/>
      <c r="AN3078" s="48"/>
      <c r="AO3078" s="48"/>
      <c r="AP3078" s="48"/>
      <c r="AQ3078" s="48"/>
      <c r="AR3078" s="48"/>
      <c r="AS3078" s="48"/>
      <c r="AT3078" s="48"/>
      <c r="AU3078" s="48"/>
      <c r="AV3078" s="48"/>
      <c r="AW3078" s="48"/>
      <c r="AX3078" s="48"/>
      <c r="AY3078" s="48"/>
      <c r="AZ3078" s="48"/>
      <c r="BA3078" s="48"/>
      <c r="BB3078" s="48"/>
      <c r="BC3078" s="48"/>
      <c r="BD3078" s="48"/>
    </row>
    <row r="3079" spans="1:56">
      <c r="A3079" s="48"/>
      <c r="B3079" s="48"/>
      <c r="C3079" s="49"/>
      <c r="D3079" s="48"/>
      <c r="E3079" s="48"/>
      <c r="F3079" s="48"/>
      <c r="G3079" s="48"/>
      <c r="H3079" s="48"/>
      <c r="I3079" s="48"/>
      <c r="J3079" s="86"/>
      <c r="K3079" s="86"/>
      <c r="L3079" s="86"/>
      <c r="M3079" s="86"/>
      <c r="N3079" s="86"/>
      <c r="O3079" s="86"/>
      <c r="P3079" s="86"/>
      <c r="Q3079" s="86"/>
      <c r="R3079" s="86"/>
      <c r="S3079" s="86"/>
      <c r="T3079" s="86"/>
      <c r="U3079" s="86"/>
      <c r="V3079" s="48"/>
      <c r="W3079" s="48"/>
      <c r="X3079" s="48"/>
      <c r="Y3079" s="48"/>
      <c r="Z3079" s="48"/>
      <c r="AA3079" s="48"/>
      <c r="AB3079" s="48"/>
      <c r="AC3079" s="48"/>
      <c r="AD3079" s="48"/>
      <c r="AE3079" s="48"/>
      <c r="AF3079" s="48"/>
      <c r="AG3079" s="48"/>
      <c r="AH3079" s="48"/>
      <c r="AI3079" s="48"/>
      <c r="AJ3079" s="48"/>
      <c r="AK3079" s="48"/>
      <c r="AL3079" s="48"/>
      <c r="AM3079" s="48"/>
      <c r="AN3079" s="48"/>
      <c r="AO3079" s="48"/>
      <c r="AP3079" s="48"/>
      <c r="AQ3079" s="48"/>
      <c r="AR3079" s="48"/>
      <c r="AS3079" s="48"/>
      <c r="AT3079" s="48"/>
      <c r="AU3079" s="48"/>
      <c r="AV3079" s="48"/>
      <c r="AW3079" s="48"/>
      <c r="AX3079" s="48"/>
      <c r="AY3079" s="48"/>
      <c r="AZ3079" s="48"/>
      <c r="BA3079" s="48"/>
      <c r="BB3079" s="48"/>
      <c r="BC3079" s="48"/>
      <c r="BD3079" s="48"/>
    </row>
    <row r="3080" spans="1:56">
      <c r="A3080" s="48"/>
      <c r="B3080" s="48"/>
      <c r="C3080" s="49"/>
      <c r="D3080" s="48"/>
      <c r="E3080" s="48"/>
      <c r="F3080" s="48"/>
      <c r="G3080" s="48"/>
      <c r="H3080" s="48"/>
      <c r="I3080" s="48"/>
      <c r="J3080" s="86"/>
      <c r="K3080" s="86"/>
      <c r="L3080" s="86"/>
      <c r="M3080" s="86"/>
      <c r="N3080" s="86"/>
      <c r="O3080" s="86"/>
      <c r="P3080" s="86"/>
      <c r="Q3080" s="86"/>
      <c r="R3080" s="86"/>
      <c r="S3080" s="86"/>
      <c r="T3080" s="86"/>
      <c r="U3080" s="86"/>
      <c r="V3080" s="48"/>
      <c r="W3080" s="48"/>
      <c r="X3080" s="48"/>
      <c r="Y3080" s="48"/>
      <c r="Z3080" s="48"/>
      <c r="AA3080" s="48"/>
      <c r="AB3080" s="48"/>
      <c r="AC3080" s="48"/>
      <c r="AD3080" s="48"/>
      <c r="AE3080" s="48"/>
      <c r="AF3080" s="48"/>
      <c r="AG3080" s="48"/>
      <c r="AH3080" s="48"/>
      <c r="AI3080" s="48"/>
      <c r="AJ3080" s="48"/>
      <c r="AK3080" s="48"/>
      <c r="AL3080" s="48"/>
      <c r="AM3080" s="48"/>
      <c r="AN3080" s="48"/>
      <c r="AO3080" s="48"/>
      <c r="AP3080" s="48"/>
      <c r="AQ3080" s="48"/>
      <c r="AR3080" s="48"/>
      <c r="AS3080" s="48"/>
      <c r="AT3080" s="48"/>
      <c r="AU3080" s="48"/>
      <c r="AV3080" s="48"/>
      <c r="AW3080" s="48"/>
      <c r="AX3080" s="48"/>
      <c r="AY3080" s="48"/>
      <c r="AZ3080" s="48"/>
      <c r="BA3080" s="48"/>
      <c r="BB3080" s="48"/>
      <c r="BC3080" s="48"/>
      <c r="BD3080" s="48"/>
    </row>
    <row r="3081" spans="1:56">
      <c r="A3081" s="48"/>
      <c r="B3081" s="48"/>
      <c r="C3081" s="49"/>
      <c r="D3081" s="48"/>
      <c r="E3081" s="48"/>
      <c r="F3081" s="48"/>
      <c r="G3081" s="48"/>
      <c r="H3081" s="48"/>
      <c r="I3081" s="48"/>
      <c r="J3081" s="86"/>
      <c r="K3081" s="86"/>
      <c r="L3081" s="86"/>
      <c r="M3081" s="86"/>
      <c r="N3081" s="86"/>
      <c r="O3081" s="86"/>
      <c r="P3081" s="86"/>
      <c r="Q3081" s="86"/>
      <c r="R3081" s="86"/>
      <c r="S3081" s="86"/>
      <c r="T3081" s="86"/>
      <c r="U3081" s="86"/>
      <c r="V3081" s="48"/>
      <c r="W3081" s="48"/>
      <c r="X3081" s="48"/>
      <c r="Y3081" s="48"/>
      <c r="Z3081" s="48"/>
      <c r="AA3081" s="48"/>
      <c r="AB3081" s="48"/>
      <c r="AC3081" s="48"/>
      <c r="AD3081" s="48"/>
      <c r="AE3081" s="48"/>
      <c r="AF3081" s="48"/>
      <c r="AG3081" s="48"/>
      <c r="AH3081" s="48"/>
      <c r="AI3081" s="48"/>
      <c r="AJ3081" s="48"/>
      <c r="AK3081" s="48"/>
      <c r="AL3081" s="48"/>
      <c r="AM3081" s="48"/>
      <c r="AN3081" s="48"/>
      <c r="AO3081" s="48"/>
      <c r="AP3081" s="48"/>
      <c r="AQ3081" s="48"/>
      <c r="AR3081" s="48"/>
      <c r="AS3081" s="48"/>
      <c r="AT3081" s="48"/>
      <c r="AU3081" s="48"/>
      <c r="AV3081" s="48"/>
      <c r="AW3081" s="48"/>
      <c r="AX3081" s="48"/>
      <c r="AY3081" s="48"/>
      <c r="AZ3081" s="48"/>
      <c r="BA3081" s="48"/>
      <c r="BB3081" s="48"/>
      <c r="BC3081" s="48"/>
      <c r="BD3081" s="48"/>
    </row>
    <row r="3082" spans="1:56">
      <c r="A3082" s="48"/>
      <c r="B3082" s="48"/>
      <c r="C3082" s="49"/>
      <c r="D3082" s="48"/>
      <c r="E3082" s="48"/>
      <c r="F3082" s="48"/>
      <c r="G3082" s="48"/>
      <c r="H3082" s="48"/>
      <c r="I3082" s="48"/>
      <c r="J3082" s="86"/>
      <c r="K3082" s="86"/>
      <c r="L3082" s="86"/>
      <c r="M3082" s="86"/>
      <c r="N3082" s="86"/>
      <c r="O3082" s="86"/>
      <c r="P3082" s="86"/>
      <c r="Q3082" s="86"/>
      <c r="R3082" s="86"/>
      <c r="S3082" s="86"/>
      <c r="T3082" s="86"/>
      <c r="U3082" s="86"/>
      <c r="V3082" s="48"/>
      <c r="W3082" s="48"/>
      <c r="X3082" s="48"/>
      <c r="Y3082" s="48"/>
      <c r="Z3082" s="48"/>
      <c r="AA3082" s="48"/>
      <c r="AB3082" s="48"/>
      <c r="AC3082" s="48"/>
      <c r="AD3082" s="48"/>
      <c r="AE3082" s="48"/>
      <c r="AF3082" s="48"/>
      <c r="AG3082" s="48"/>
      <c r="AH3082" s="48"/>
      <c r="AI3082" s="48"/>
      <c r="AJ3082" s="48"/>
      <c r="AK3082" s="48"/>
      <c r="AL3082" s="48"/>
      <c r="AM3082" s="48"/>
      <c r="AN3082" s="48"/>
      <c r="AO3082" s="48"/>
      <c r="AP3082" s="48"/>
      <c r="AQ3082" s="48"/>
      <c r="AR3082" s="48"/>
      <c r="AS3082" s="48"/>
      <c r="AT3082" s="48"/>
      <c r="AU3082" s="48"/>
      <c r="AV3082" s="48"/>
      <c r="AW3082" s="48"/>
      <c r="AX3082" s="48"/>
      <c r="AY3082" s="48"/>
      <c r="AZ3082" s="48"/>
      <c r="BA3082" s="48"/>
      <c r="BB3082" s="48"/>
      <c r="BC3082" s="48"/>
      <c r="BD3082" s="48"/>
    </row>
    <row r="3083" spans="1:56">
      <c r="A3083" s="48"/>
      <c r="B3083" s="48"/>
      <c r="C3083" s="49"/>
      <c r="D3083" s="48"/>
      <c r="E3083" s="48"/>
      <c r="F3083" s="48"/>
      <c r="G3083" s="48"/>
      <c r="H3083" s="48"/>
      <c r="I3083" s="48"/>
      <c r="J3083" s="86"/>
      <c r="K3083" s="86"/>
      <c r="L3083" s="86"/>
      <c r="M3083" s="86"/>
      <c r="N3083" s="86"/>
      <c r="O3083" s="86"/>
      <c r="P3083" s="86"/>
      <c r="Q3083" s="86"/>
      <c r="R3083" s="86"/>
      <c r="S3083" s="86"/>
      <c r="T3083" s="86"/>
      <c r="U3083" s="86"/>
      <c r="V3083" s="48"/>
      <c r="W3083" s="48"/>
      <c r="X3083" s="48"/>
      <c r="Y3083" s="48"/>
      <c r="Z3083" s="48"/>
      <c r="AA3083" s="48"/>
      <c r="AB3083" s="48"/>
      <c r="AC3083" s="48"/>
      <c r="AD3083" s="48"/>
      <c r="AE3083" s="48"/>
      <c r="AF3083" s="48"/>
      <c r="AG3083" s="48"/>
      <c r="AH3083" s="48"/>
      <c r="AI3083" s="48"/>
      <c r="AJ3083" s="48"/>
      <c r="AK3083" s="48"/>
      <c r="AL3083" s="48"/>
      <c r="AM3083" s="48"/>
      <c r="AN3083" s="48"/>
      <c r="AO3083" s="48"/>
      <c r="AP3083" s="48"/>
      <c r="AQ3083" s="48"/>
      <c r="AR3083" s="48"/>
      <c r="AS3083" s="48"/>
      <c r="AT3083" s="48"/>
      <c r="AU3083" s="48"/>
      <c r="AV3083" s="48"/>
      <c r="AW3083" s="48"/>
      <c r="AX3083" s="48"/>
      <c r="AY3083" s="48"/>
      <c r="AZ3083" s="48"/>
      <c r="BA3083" s="48"/>
      <c r="BB3083" s="48"/>
      <c r="BC3083" s="48"/>
      <c r="BD3083" s="48"/>
    </row>
    <row r="3084" spans="1:56">
      <c r="A3084" s="48"/>
      <c r="B3084" s="48"/>
      <c r="C3084" s="49"/>
      <c r="D3084" s="48"/>
      <c r="E3084" s="48"/>
      <c r="F3084" s="48"/>
      <c r="G3084" s="48"/>
      <c r="H3084" s="48"/>
      <c r="I3084" s="48"/>
      <c r="J3084" s="86"/>
      <c r="K3084" s="86"/>
      <c r="L3084" s="86"/>
      <c r="M3084" s="86"/>
      <c r="N3084" s="86"/>
      <c r="O3084" s="86"/>
      <c r="P3084" s="86"/>
      <c r="Q3084" s="86"/>
      <c r="R3084" s="86"/>
      <c r="S3084" s="86"/>
      <c r="T3084" s="86"/>
      <c r="U3084" s="86"/>
      <c r="V3084" s="48"/>
      <c r="W3084" s="48"/>
      <c r="X3084" s="48"/>
      <c r="Y3084" s="48"/>
      <c r="Z3084" s="48"/>
      <c r="AA3084" s="48"/>
      <c r="AB3084" s="48"/>
      <c r="AC3084" s="48"/>
      <c r="AD3084" s="48"/>
      <c r="AE3084" s="48"/>
      <c r="AF3084" s="48"/>
      <c r="AG3084" s="48"/>
      <c r="AH3084" s="48"/>
      <c r="AI3084" s="48"/>
      <c r="AJ3084" s="48"/>
      <c r="AK3084" s="48"/>
      <c r="AL3084" s="48"/>
      <c r="AM3084" s="48"/>
      <c r="AN3084" s="48"/>
      <c r="AO3084" s="48"/>
      <c r="AP3084" s="48"/>
      <c r="AQ3084" s="48"/>
      <c r="AR3084" s="48"/>
      <c r="AS3084" s="48"/>
      <c r="AT3084" s="48"/>
      <c r="AU3084" s="48"/>
      <c r="AV3084" s="48"/>
      <c r="AW3084" s="48"/>
      <c r="AX3084" s="48"/>
      <c r="AY3084" s="48"/>
      <c r="AZ3084" s="48"/>
      <c r="BA3084" s="48"/>
      <c r="BB3084" s="48"/>
      <c r="BC3084" s="48"/>
      <c r="BD3084" s="48"/>
    </row>
    <row r="3085" spans="1:56">
      <c r="A3085" s="48"/>
      <c r="B3085" s="48"/>
      <c r="C3085" s="49"/>
      <c r="D3085" s="48"/>
      <c r="E3085" s="48"/>
      <c r="F3085" s="48"/>
      <c r="G3085" s="48"/>
      <c r="H3085" s="48"/>
      <c r="I3085" s="48"/>
      <c r="J3085" s="86"/>
      <c r="K3085" s="86"/>
      <c r="L3085" s="86"/>
      <c r="M3085" s="86"/>
      <c r="N3085" s="86"/>
      <c r="O3085" s="86"/>
      <c r="P3085" s="86"/>
      <c r="Q3085" s="86"/>
      <c r="R3085" s="86"/>
      <c r="S3085" s="86"/>
      <c r="T3085" s="86"/>
      <c r="U3085" s="86"/>
      <c r="V3085" s="48"/>
      <c r="W3085" s="48"/>
      <c r="X3085" s="48"/>
      <c r="Y3085" s="48"/>
      <c r="Z3085" s="48"/>
      <c r="AA3085" s="48"/>
      <c r="AB3085" s="48"/>
      <c r="AC3085" s="48"/>
      <c r="AD3085" s="48"/>
      <c r="AE3085" s="48"/>
      <c r="AF3085" s="48"/>
      <c r="AG3085" s="48"/>
      <c r="AH3085" s="48"/>
      <c r="AI3085" s="48"/>
      <c r="AJ3085" s="48"/>
      <c r="AK3085" s="48"/>
      <c r="AL3085" s="48"/>
      <c r="AM3085" s="48"/>
      <c r="AN3085" s="48"/>
      <c r="AO3085" s="48"/>
      <c r="AP3085" s="48"/>
      <c r="AQ3085" s="48"/>
      <c r="AR3085" s="48"/>
      <c r="AS3085" s="48"/>
      <c r="AT3085" s="48"/>
      <c r="AU3085" s="48"/>
      <c r="AV3085" s="48"/>
      <c r="AW3085" s="48"/>
      <c r="AX3085" s="48"/>
      <c r="AY3085" s="48"/>
      <c r="AZ3085" s="48"/>
      <c r="BA3085" s="48"/>
      <c r="BB3085" s="48"/>
      <c r="BC3085" s="48"/>
      <c r="BD3085" s="48"/>
    </row>
    <row r="3086" spans="1:56">
      <c r="A3086" s="48"/>
      <c r="B3086" s="48"/>
      <c r="C3086" s="49"/>
      <c r="D3086" s="48"/>
      <c r="E3086" s="48"/>
      <c r="F3086" s="48"/>
      <c r="G3086" s="48"/>
      <c r="H3086" s="48"/>
      <c r="I3086" s="48"/>
      <c r="J3086" s="86"/>
      <c r="K3086" s="86"/>
      <c r="L3086" s="86"/>
      <c r="M3086" s="86"/>
      <c r="N3086" s="86"/>
      <c r="O3086" s="86"/>
      <c r="P3086" s="86"/>
      <c r="Q3086" s="86"/>
      <c r="R3086" s="86"/>
      <c r="S3086" s="86"/>
      <c r="T3086" s="86"/>
      <c r="U3086" s="86"/>
      <c r="V3086" s="48"/>
      <c r="W3086" s="48"/>
      <c r="X3086" s="48"/>
      <c r="Y3086" s="48"/>
      <c r="Z3086" s="48"/>
      <c r="AA3086" s="48"/>
      <c r="AB3086" s="48"/>
      <c r="AC3086" s="48"/>
      <c r="AD3086" s="48"/>
      <c r="AE3086" s="48"/>
      <c r="AF3086" s="48"/>
      <c r="AG3086" s="48"/>
      <c r="AH3086" s="48"/>
      <c r="AI3086" s="48"/>
      <c r="AJ3086" s="48"/>
      <c r="AK3086" s="48"/>
      <c r="AL3086" s="48"/>
      <c r="AM3086" s="48"/>
      <c r="AN3086" s="48"/>
      <c r="AO3086" s="48"/>
      <c r="AP3086" s="48"/>
      <c r="AQ3086" s="48"/>
      <c r="AR3086" s="48"/>
      <c r="AS3086" s="48"/>
      <c r="AT3086" s="48"/>
      <c r="AU3086" s="48"/>
      <c r="AV3086" s="48"/>
      <c r="AW3086" s="48"/>
      <c r="AX3086" s="48"/>
      <c r="AY3086" s="48"/>
      <c r="AZ3086" s="48"/>
      <c r="BA3086" s="48"/>
      <c r="BB3086" s="48"/>
      <c r="BC3086" s="48"/>
      <c r="BD3086" s="48"/>
    </row>
    <row r="3087" spans="1:56">
      <c r="A3087" s="48"/>
      <c r="B3087" s="48"/>
      <c r="C3087" s="49"/>
      <c r="D3087" s="48"/>
      <c r="E3087" s="48"/>
      <c r="F3087" s="48"/>
      <c r="G3087" s="48"/>
      <c r="H3087" s="48"/>
      <c r="I3087" s="48"/>
      <c r="J3087" s="86"/>
      <c r="K3087" s="86"/>
      <c r="L3087" s="86"/>
      <c r="M3087" s="86"/>
      <c r="N3087" s="86"/>
      <c r="O3087" s="86"/>
      <c r="P3087" s="86"/>
      <c r="Q3087" s="86"/>
      <c r="R3087" s="86"/>
      <c r="S3087" s="86"/>
      <c r="T3087" s="86"/>
      <c r="U3087" s="86"/>
      <c r="V3087" s="48"/>
      <c r="W3087" s="48"/>
      <c r="X3087" s="48"/>
      <c r="Y3087" s="48"/>
      <c r="Z3087" s="48"/>
      <c r="AA3087" s="48"/>
      <c r="AB3087" s="48"/>
      <c r="AC3087" s="48"/>
      <c r="AD3087" s="48"/>
      <c r="AE3087" s="48"/>
      <c r="AF3087" s="48"/>
      <c r="AG3087" s="48"/>
      <c r="AH3087" s="48"/>
      <c r="AI3087" s="48"/>
      <c r="AJ3087" s="48"/>
      <c r="AK3087" s="48"/>
      <c r="AL3087" s="48"/>
      <c r="AM3087" s="48"/>
      <c r="AN3087" s="48"/>
      <c r="AO3087" s="48"/>
      <c r="AP3087" s="48"/>
      <c r="AQ3087" s="48"/>
      <c r="AR3087" s="48"/>
      <c r="AS3087" s="48"/>
      <c r="AT3087" s="48"/>
      <c r="AU3087" s="48"/>
      <c r="AV3087" s="48"/>
      <c r="AW3087" s="48"/>
      <c r="AX3087" s="48"/>
      <c r="AY3087" s="48"/>
      <c r="AZ3087" s="48"/>
      <c r="BA3087" s="48"/>
      <c r="BB3087" s="48"/>
      <c r="BC3087" s="48"/>
      <c r="BD3087" s="48"/>
    </row>
    <row r="3088" spans="1:56">
      <c r="A3088" s="48"/>
      <c r="B3088" s="48"/>
      <c r="C3088" s="49"/>
      <c r="D3088" s="48"/>
      <c r="E3088" s="48"/>
      <c r="F3088" s="48"/>
      <c r="G3088" s="48"/>
      <c r="H3088" s="48"/>
      <c r="I3088" s="48"/>
      <c r="J3088" s="86"/>
      <c r="K3088" s="86"/>
      <c r="L3088" s="86"/>
      <c r="M3088" s="86"/>
      <c r="N3088" s="86"/>
      <c r="O3088" s="86"/>
      <c r="P3088" s="86"/>
      <c r="Q3088" s="86"/>
      <c r="R3088" s="86"/>
      <c r="S3088" s="86"/>
      <c r="T3088" s="86"/>
      <c r="U3088" s="86"/>
      <c r="V3088" s="48"/>
      <c r="W3088" s="48"/>
      <c r="X3088" s="48"/>
      <c r="Y3088" s="48"/>
      <c r="Z3088" s="48"/>
      <c r="AA3088" s="48"/>
      <c r="AB3088" s="48"/>
      <c r="AC3088" s="48"/>
      <c r="AD3088" s="48"/>
      <c r="AE3088" s="48"/>
      <c r="AF3088" s="48"/>
      <c r="AG3088" s="48"/>
      <c r="AH3088" s="48"/>
      <c r="AI3088" s="48"/>
      <c r="AJ3088" s="48"/>
      <c r="AK3088" s="48"/>
      <c r="AL3088" s="48"/>
      <c r="AM3088" s="48"/>
      <c r="AN3088" s="48"/>
      <c r="AO3088" s="48"/>
      <c r="AP3088" s="48"/>
      <c r="AQ3088" s="48"/>
      <c r="AR3088" s="48"/>
      <c r="AS3088" s="48"/>
      <c r="AT3088" s="48"/>
      <c r="AU3088" s="48"/>
      <c r="AV3088" s="48"/>
      <c r="AW3088" s="48"/>
      <c r="AX3088" s="48"/>
      <c r="AY3088" s="48"/>
      <c r="AZ3088" s="48"/>
      <c r="BA3088" s="48"/>
      <c r="BB3088" s="48"/>
      <c r="BC3088" s="48"/>
      <c r="BD3088" s="48"/>
    </row>
    <row r="3089" spans="1:56">
      <c r="A3089" s="48"/>
      <c r="B3089" s="48"/>
      <c r="C3089" s="49"/>
      <c r="D3089" s="48"/>
      <c r="E3089" s="48"/>
      <c r="F3089" s="48"/>
      <c r="G3089" s="48"/>
      <c r="H3089" s="48"/>
      <c r="I3089" s="48"/>
      <c r="J3089" s="86"/>
      <c r="K3089" s="86"/>
      <c r="L3089" s="86"/>
      <c r="M3089" s="86"/>
      <c r="N3089" s="86"/>
      <c r="O3089" s="86"/>
      <c r="P3089" s="86"/>
      <c r="Q3089" s="86"/>
      <c r="R3089" s="86"/>
      <c r="S3089" s="86"/>
      <c r="T3089" s="86"/>
      <c r="U3089" s="86"/>
      <c r="V3089" s="48"/>
      <c r="W3089" s="48"/>
      <c r="X3089" s="48"/>
      <c r="Y3089" s="48"/>
      <c r="Z3089" s="48"/>
      <c r="AA3089" s="48"/>
      <c r="AB3089" s="48"/>
      <c r="AC3089" s="48"/>
      <c r="AD3089" s="48"/>
      <c r="AE3089" s="48"/>
      <c r="AF3089" s="48"/>
      <c r="AG3089" s="48"/>
      <c r="AH3089" s="48"/>
      <c r="AI3089" s="48"/>
      <c r="AJ3089" s="48"/>
      <c r="AK3089" s="48"/>
      <c r="AL3089" s="48"/>
      <c r="AM3089" s="48"/>
      <c r="AN3089" s="48"/>
      <c r="AO3089" s="48"/>
      <c r="AP3089" s="48"/>
      <c r="AQ3089" s="48"/>
      <c r="AR3089" s="48"/>
      <c r="AS3089" s="48"/>
      <c r="AT3089" s="48"/>
      <c r="AU3089" s="48"/>
      <c r="AV3089" s="48"/>
      <c r="AW3089" s="48"/>
      <c r="AX3089" s="48"/>
      <c r="AY3089" s="48"/>
      <c r="AZ3089" s="48"/>
      <c r="BA3089" s="48"/>
      <c r="BB3089" s="48"/>
      <c r="BC3089" s="48"/>
      <c r="BD3089" s="48"/>
    </row>
    <row r="3090" spans="1:56">
      <c r="A3090" s="48"/>
      <c r="B3090" s="48"/>
      <c r="C3090" s="49"/>
      <c r="D3090" s="48"/>
      <c r="E3090" s="48"/>
      <c r="F3090" s="48"/>
      <c r="G3090" s="48"/>
      <c r="H3090" s="48"/>
      <c r="I3090" s="48"/>
      <c r="J3090" s="86"/>
      <c r="K3090" s="86"/>
      <c r="L3090" s="86"/>
      <c r="M3090" s="86"/>
      <c r="N3090" s="86"/>
      <c r="O3090" s="86"/>
      <c r="P3090" s="86"/>
      <c r="Q3090" s="86"/>
      <c r="R3090" s="86"/>
      <c r="S3090" s="86"/>
      <c r="T3090" s="86"/>
      <c r="U3090" s="86"/>
      <c r="V3090" s="48"/>
      <c r="W3090" s="48"/>
      <c r="X3090" s="48"/>
      <c r="Y3090" s="48"/>
      <c r="Z3090" s="48"/>
      <c r="AA3090" s="48"/>
      <c r="AB3090" s="48"/>
      <c r="AC3090" s="48"/>
      <c r="AD3090" s="48"/>
      <c r="AE3090" s="48"/>
      <c r="AF3090" s="48"/>
      <c r="AG3090" s="48"/>
      <c r="AH3090" s="48"/>
      <c r="AI3090" s="48"/>
      <c r="AJ3090" s="48"/>
      <c r="AK3090" s="48"/>
      <c r="AL3090" s="48"/>
      <c r="AM3090" s="48"/>
      <c r="AN3090" s="48"/>
      <c r="AO3090" s="48"/>
      <c r="AP3090" s="48"/>
      <c r="AQ3090" s="48"/>
      <c r="AR3090" s="48"/>
      <c r="AS3090" s="48"/>
      <c r="AT3090" s="48"/>
      <c r="AU3090" s="48"/>
      <c r="AV3090" s="48"/>
      <c r="AW3090" s="48"/>
      <c r="AX3090" s="48"/>
      <c r="AY3090" s="48"/>
      <c r="AZ3090" s="48"/>
      <c r="BA3090" s="48"/>
      <c r="BB3090" s="48"/>
      <c r="BC3090" s="48"/>
      <c r="BD3090" s="48"/>
    </row>
    <row r="3091" spans="1:56">
      <c r="A3091" s="48"/>
      <c r="B3091" s="48"/>
      <c r="C3091" s="49"/>
      <c r="D3091" s="48"/>
      <c r="E3091" s="48"/>
      <c r="F3091" s="48"/>
      <c r="G3091" s="48"/>
      <c r="H3091" s="48"/>
      <c r="I3091" s="48"/>
      <c r="J3091" s="86"/>
      <c r="K3091" s="86"/>
      <c r="L3091" s="86"/>
      <c r="M3091" s="86"/>
      <c r="N3091" s="86"/>
      <c r="O3091" s="86"/>
      <c r="P3091" s="86"/>
      <c r="Q3091" s="86"/>
      <c r="R3091" s="86"/>
      <c r="S3091" s="86"/>
      <c r="T3091" s="86"/>
      <c r="U3091" s="86"/>
      <c r="V3091" s="48"/>
      <c r="W3091" s="48"/>
      <c r="X3091" s="48"/>
      <c r="Y3091" s="48"/>
      <c r="Z3091" s="48"/>
      <c r="AA3091" s="48"/>
      <c r="AB3091" s="48"/>
      <c r="AC3091" s="48"/>
      <c r="AD3091" s="48"/>
      <c r="AE3091" s="48"/>
      <c r="AF3091" s="48"/>
      <c r="AG3091" s="48"/>
      <c r="AH3091" s="48"/>
      <c r="AI3091" s="48"/>
      <c r="AJ3091" s="48"/>
      <c r="AK3091" s="48"/>
      <c r="AL3091" s="48"/>
      <c r="AM3091" s="48"/>
      <c r="AN3091" s="48"/>
      <c r="AO3091" s="48"/>
      <c r="AP3091" s="48"/>
      <c r="AQ3091" s="48"/>
      <c r="AR3091" s="48"/>
      <c r="AS3091" s="48"/>
      <c r="AT3091" s="48"/>
      <c r="AU3091" s="48"/>
      <c r="AV3091" s="48"/>
      <c r="AW3091" s="48"/>
      <c r="AX3091" s="48"/>
      <c r="AY3091" s="48"/>
      <c r="AZ3091" s="48"/>
      <c r="BA3091" s="48"/>
      <c r="BB3091" s="48"/>
      <c r="BC3091" s="48"/>
      <c r="BD3091" s="48"/>
    </row>
    <row r="3092" spans="1:56">
      <c r="A3092" s="48"/>
      <c r="B3092" s="48"/>
      <c r="C3092" s="49"/>
      <c r="D3092" s="48"/>
      <c r="E3092" s="48"/>
      <c r="F3092" s="48"/>
      <c r="G3092" s="48"/>
      <c r="H3092" s="48"/>
      <c r="I3092" s="48"/>
      <c r="J3092" s="86"/>
      <c r="K3092" s="86"/>
      <c r="L3092" s="86"/>
      <c r="M3092" s="86"/>
      <c r="N3092" s="86"/>
      <c r="O3092" s="86"/>
      <c r="P3092" s="86"/>
      <c r="Q3092" s="86"/>
      <c r="R3092" s="86"/>
      <c r="S3092" s="86"/>
      <c r="T3092" s="86"/>
      <c r="U3092" s="86"/>
      <c r="V3092" s="48"/>
      <c r="W3092" s="48"/>
      <c r="X3092" s="48"/>
      <c r="Y3092" s="48"/>
      <c r="Z3092" s="48"/>
      <c r="AA3092" s="48"/>
      <c r="AB3092" s="48"/>
      <c r="AC3092" s="48"/>
      <c r="AD3092" s="48"/>
      <c r="AE3092" s="48"/>
      <c r="AF3092" s="48"/>
      <c r="AG3092" s="48"/>
      <c r="AH3092" s="48"/>
      <c r="AI3092" s="48"/>
      <c r="AJ3092" s="48"/>
      <c r="AK3092" s="48"/>
      <c r="AL3092" s="48"/>
      <c r="AM3092" s="48"/>
      <c r="AN3092" s="48"/>
      <c r="AO3092" s="48"/>
      <c r="AP3092" s="48"/>
      <c r="AQ3092" s="48"/>
      <c r="AR3092" s="48"/>
      <c r="AS3092" s="48"/>
      <c r="AT3092" s="48"/>
      <c r="AU3092" s="48"/>
      <c r="AV3092" s="48"/>
      <c r="AW3092" s="48"/>
      <c r="AX3092" s="48"/>
      <c r="AY3092" s="48"/>
      <c r="AZ3092" s="48"/>
      <c r="BA3092" s="48"/>
      <c r="BB3092" s="48"/>
      <c r="BC3092" s="48"/>
      <c r="BD3092" s="48"/>
    </row>
    <row r="3093" spans="1:56">
      <c r="A3093" s="48"/>
      <c r="B3093" s="48"/>
      <c r="C3093" s="49"/>
      <c r="D3093" s="48"/>
      <c r="E3093" s="48"/>
      <c r="F3093" s="48"/>
      <c r="G3093" s="48"/>
      <c r="H3093" s="48"/>
      <c r="I3093" s="48"/>
      <c r="J3093" s="86"/>
      <c r="K3093" s="86"/>
      <c r="L3093" s="86"/>
      <c r="M3093" s="86"/>
      <c r="N3093" s="86"/>
      <c r="O3093" s="86"/>
      <c r="P3093" s="86"/>
      <c r="Q3093" s="86"/>
      <c r="R3093" s="86"/>
      <c r="S3093" s="86"/>
      <c r="T3093" s="86"/>
      <c r="U3093" s="86"/>
      <c r="V3093" s="48"/>
      <c r="W3093" s="48"/>
      <c r="X3093" s="48"/>
      <c r="Y3093" s="48"/>
      <c r="Z3093" s="48"/>
      <c r="AA3093" s="48"/>
      <c r="AB3093" s="48"/>
      <c r="AC3093" s="48"/>
      <c r="AD3093" s="48"/>
      <c r="AE3093" s="48"/>
      <c r="AF3093" s="48"/>
      <c r="AG3093" s="48"/>
      <c r="AH3093" s="48"/>
      <c r="AI3093" s="48"/>
      <c r="AJ3093" s="48"/>
      <c r="AK3093" s="48"/>
      <c r="AL3093" s="48"/>
      <c r="AM3093" s="48"/>
      <c r="AN3093" s="48"/>
      <c r="AO3093" s="48"/>
      <c r="AP3093" s="48"/>
      <c r="AQ3093" s="48"/>
      <c r="AR3093" s="48"/>
      <c r="AS3093" s="48"/>
      <c r="AT3093" s="48"/>
      <c r="AU3093" s="48"/>
      <c r="AV3093" s="48"/>
      <c r="AW3093" s="48"/>
      <c r="AX3093" s="48"/>
      <c r="AY3093" s="48"/>
      <c r="AZ3093" s="48"/>
      <c r="BA3093" s="48"/>
      <c r="BB3093" s="48"/>
      <c r="BC3093" s="48"/>
      <c r="BD3093" s="48"/>
    </row>
    <row r="3094" spans="1:56">
      <c r="A3094" s="48"/>
      <c r="B3094" s="48"/>
      <c r="C3094" s="49"/>
      <c r="D3094" s="48"/>
      <c r="E3094" s="48"/>
      <c r="F3094" s="48"/>
      <c r="G3094" s="48"/>
      <c r="H3094" s="48"/>
      <c r="I3094" s="48"/>
      <c r="J3094" s="86"/>
      <c r="K3094" s="86"/>
      <c r="L3094" s="86"/>
      <c r="M3094" s="86"/>
      <c r="N3094" s="86"/>
      <c r="O3094" s="86"/>
      <c r="P3094" s="86"/>
      <c r="Q3094" s="86"/>
      <c r="R3094" s="86"/>
      <c r="S3094" s="86"/>
      <c r="T3094" s="86"/>
      <c r="U3094" s="86"/>
      <c r="V3094" s="48"/>
      <c r="W3094" s="48"/>
      <c r="X3094" s="48"/>
      <c r="Y3094" s="48"/>
      <c r="Z3094" s="48"/>
      <c r="AA3094" s="48"/>
      <c r="AB3094" s="48"/>
      <c r="AC3094" s="48"/>
      <c r="AD3094" s="48"/>
      <c r="AE3094" s="48"/>
      <c r="AF3094" s="48"/>
      <c r="AG3094" s="48"/>
      <c r="AH3094" s="48"/>
      <c r="AI3094" s="48"/>
      <c r="AJ3094" s="48"/>
      <c r="AK3094" s="48"/>
      <c r="AL3094" s="48"/>
      <c r="AM3094" s="48"/>
      <c r="AN3094" s="48"/>
      <c r="AO3094" s="48"/>
      <c r="AP3094" s="48"/>
      <c r="AQ3094" s="48"/>
      <c r="AR3094" s="48"/>
      <c r="AS3094" s="48"/>
      <c r="AT3094" s="48"/>
      <c r="AU3094" s="48"/>
      <c r="AV3094" s="48"/>
      <c r="AW3094" s="48"/>
      <c r="AX3094" s="48"/>
      <c r="AY3094" s="48"/>
      <c r="AZ3094" s="48"/>
      <c r="BA3094" s="48"/>
      <c r="BB3094" s="48"/>
      <c r="BC3094" s="48"/>
      <c r="BD3094" s="48"/>
    </row>
    <row r="3095" spans="1:56">
      <c r="A3095" s="48"/>
      <c r="B3095" s="48"/>
      <c r="C3095" s="49"/>
      <c r="D3095" s="48"/>
      <c r="E3095" s="48"/>
      <c r="F3095" s="48"/>
      <c r="G3095" s="48"/>
      <c r="H3095" s="48"/>
      <c r="I3095" s="48"/>
      <c r="J3095" s="86"/>
      <c r="K3095" s="86"/>
      <c r="L3095" s="86"/>
      <c r="M3095" s="86"/>
      <c r="N3095" s="86"/>
      <c r="O3095" s="86"/>
      <c r="P3095" s="86"/>
      <c r="Q3095" s="86"/>
      <c r="R3095" s="86"/>
      <c r="S3095" s="86"/>
      <c r="T3095" s="86"/>
      <c r="U3095" s="86"/>
      <c r="V3095" s="48"/>
      <c r="W3095" s="48"/>
      <c r="X3095" s="48"/>
      <c r="Y3095" s="48"/>
      <c r="Z3095" s="48"/>
      <c r="AA3095" s="48"/>
      <c r="AB3095" s="48"/>
      <c r="AC3095" s="48"/>
      <c r="AD3095" s="48"/>
      <c r="AE3095" s="48"/>
      <c r="AF3095" s="48"/>
      <c r="AG3095" s="48"/>
      <c r="AH3095" s="48"/>
      <c r="AI3095" s="48"/>
      <c r="AJ3095" s="48"/>
      <c r="AK3095" s="48"/>
      <c r="AL3095" s="48"/>
      <c r="AM3095" s="48"/>
      <c r="AN3095" s="48"/>
      <c r="AO3095" s="48"/>
      <c r="AP3095" s="48"/>
      <c r="AQ3095" s="48"/>
      <c r="AR3095" s="48"/>
      <c r="AS3095" s="48"/>
      <c r="AT3095" s="48"/>
      <c r="AU3095" s="48"/>
      <c r="AV3095" s="48"/>
      <c r="AW3095" s="48"/>
      <c r="AX3095" s="48"/>
      <c r="AY3095" s="48"/>
      <c r="AZ3095" s="48"/>
      <c r="BA3095" s="48"/>
      <c r="BB3095" s="48"/>
      <c r="BC3095" s="48"/>
      <c r="BD3095" s="48"/>
    </row>
    <row r="3096" spans="1:56">
      <c r="A3096" s="48"/>
      <c r="B3096" s="48"/>
      <c r="C3096" s="49"/>
      <c r="D3096" s="48"/>
      <c r="E3096" s="48"/>
      <c r="F3096" s="48"/>
      <c r="G3096" s="48"/>
      <c r="H3096" s="48"/>
      <c r="I3096" s="48"/>
      <c r="J3096" s="86"/>
      <c r="K3096" s="86"/>
      <c r="L3096" s="86"/>
      <c r="M3096" s="86"/>
      <c r="N3096" s="86"/>
      <c r="O3096" s="86"/>
      <c r="P3096" s="86"/>
      <c r="Q3096" s="86"/>
      <c r="R3096" s="86"/>
      <c r="S3096" s="86"/>
      <c r="T3096" s="86"/>
      <c r="U3096" s="86"/>
      <c r="V3096" s="48"/>
      <c r="W3096" s="48"/>
      <c r="X3096" s="48"/>
      <c r="Y3096" s="48"/>
      <c r="Z3096" s="48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48"/>
      <c r="BB3096" s="48"/>
      <c r="BC3096" s="48"/>
      <c r="BD3096" s="48"/>
    </row>
    <row r="3097" spans="1:56">
      <c r="A3097" s="48"/>
      <c r="B3097" s="48"/>
      <c r="C3097" s="49"/>
      <c r="D3097" s="48"/>
      <c r="E3097" s="48"/>
      <c r="F3097" s="48"/>
      <c r="G3097" s="48"/>
      <c r="H3097" s="48"/>
      <c r="I3097" s="48"/>
      <c r="J3097" s="86"/>
      <c r="K3097" s="86"/>
      <c r="L3097" s="86"/>
      <c r="M3097" s="86"/>
      <c r="N3097" s="86"/>
      <c r="O3097" s="86"/>
      <c r="P3097" s="86"/>
      <c r="Q3097" s="86"/>
      <c r="R3097" s="86"/>
      <c r="S3097" s="86"/>
      <c r="T3097" s="86"/>
      <c r="U3097" s="86"/>
      <c r="V3097" s="48"/>
      <c r="W3097" s="48"/>
      <c r="X3097" s="48"/>
      <c r="Y3097" s="48"/>
      <c r="Z3097" s="48"/>
      <c r="AA3097" s="48"/>
      <c r="AB3097" s="48"/>
      <c r="AC3097" s="48"/>
      <c r="AD3097" s="48"/>
      <c r="AE3097" s="48"/>
      <c r="AF3097" s="48"/>
      <c r="AG3097" s="48"/>
      <c r="AH3097" s="48"/>
      <c r="AI3097" s="48"/>
      <c r="AJ3097" s="48"/>
      <c r="AK3097" s="48"/>
      <c r="AL3097" s="48"/>
      <c r="AM3097" s="48"/>
      <c r="AN3097" s="48"/>
      <c r="AO3097" s="48"/>
      <c r="AP3097" s="48"/>
      <c r="AQ3097" s="48"/>
      <c r="AR3097" s="48"/>
      <c r="AS3097" s="48"/>
      <c r="AT3097" s="48"/>
      <c r="AU3097" s="48"/>
      <c r="AV3097" s="48"/>
      <c r="AW3097" s="48"/>
      <c r="AX3097" s="48"/>
      <c r="AY3097" s="48"/>
      <c r="AZ3097" s="48"/>
      <c r="BA3097" s="48"/>
      <c r="BB3097" s="48"/>
      <c r="BC3097" s="48"/>
      <c r="BD3097" s="48"/>
    </row>
    <row r="3098" spans="1:56">
      <c r="A3098" s="48"/>
      <c r="B3098" s="48"/>
      <c r="C3098" s="49"/>
      <c r="D3098" s="48"/>
      <c r="E3098" s="48"/>
      <c r="F3098" s="48"/>
      <c r="G3098" s="48"/>
      <c r="H3098" s="48"/>
      <c r="I3098" s="48"/>
      <c r="J3098" s="86"/>
      <c r="K3098" s="86"/>
      <c r="L3098" s="86"/>
      <c r="M3098" s="86"/>
      <c r="N3098" s="86"/>
      <c r="O3098" s="86"/>
      <c r="P3098" s="86"/>
      <c r="Q3098" s="86"/>
      <c r="R3098" s="86"/>
      <c r="S3098" s="86"/>
      <c r="T3098" s="86"/>
      <c r="U3098" s="86"/>
      <c r="V3098" s="48"/>
      <c r="W3098" s="48"/>
      <c r="X3098" s="48"/>
      <c r="Y3098" s="48"/>
      <c r="Z3098" s="48"/>
      <c r="AA3098" s="48"/>
      <c r="AB3098" s="48"/>
      <c r="AC3098" s="48"/>
      <c r="AD3098" s="48"/>
      <c r="AE3098" s="48"/>
      <c r="AF3098" s="48"/>
      <c r="AG3098" s="48"/>
      <c r="AH3098" s="48"/>
      <c r="AI3098" s="48"/>
      <c r="AJ3098" s="48"/>
      <c r="AK3098" s="48"/>
      <c r="AL3098" s="48"/>
      <c r="AM3098" s="48"/>
      <c r="AN3098" s="48"/>
      <c r="AO3098" s="48"/>
      <c r="AP3098" s="48"/>
      <c r="AQ3098" s="48"/>
      <c r="AR3098" s="48"/>
      <c r="AS3098" s="48"/>
      <c r="AT3098" s="48"/>
      <c r="AU3098" s="48"/>
      <c r="AV3098" s="48"/>
      <c r="AW3098" s="48"/>
      <c r="AX3098" s="48"/>
      <c r="AY3098" s="48"/>
      <c r="AZ3098" s="48"/>
      <c r="BA3098" s="48"/>
      <c r="BB3098" s="48"/>
      <c r="BC3098" s="48"/>
      <c r="BD3098" s="48"/>
    </row>
    <row r="3099" spans="1:56">
      <c r="A3099" s="48"/>
      <c r="B3099" s="48"/>
      <c r="C3099" s="49"/>
      <c r="D3099" s="48"/>
      <c r="E3099" s="48"/>
      <c r="F3099" s="48"/>
      <c r="G3099" s="48"/>
      <c r="H3099" s="48"/>
      <c r="I3099" s="48"/>
      <c r="J3099" s="86"/>
      <c r="K3099" s="86"/>
      <c r="L3099" s="86"/>
      <c r="M3099" s="86"/>
      <c r="N3099" s="86"/>
      <c r="O3099" s="86"/>
      <c r="P3099" s="86"/>
      <c r="Q3099" s="86"/>
      <c r="R3099" s="86"/>
      <c r="S3099" s="86"/>
      <c r="T3099" s="86"/>
      <c r="U3099" s="86"/>
      <c r="V3099" s="48"/>
      <c r="W3099" s="48"/>
      <c r="X3099" s="48"/>
      <c r="Y3099" s="48"/>
      <c r="Z3099" s="48"/>
      <c r="AA3099" s="48"/>
      <c r="AB3099" s="48"/>
      <c r="AC3099" s="48"/>
      <c r="AD3099" s="48"/>
      <c r="AE3099" s="48"/>
      <c r="AF3099" s="48"/>
      <c r="AG3099" s="48"/>
      <c r="AH3099" s="48"/>
      <c r="AI3099" s="48"/>
      <c r="AJ3099" s="48"/>
      <c r="AK3099" s="48"/>
      <c r="AL3099" s="48"/>
      <c r="AM3099" s="48"/>
      <c r="AN3099" s="48"/>
      <c r="AO3099" s="48"/>
      <c r="AP3099" s="48"/>
      <c r="AQ3099" s="48"/>
      <c r="AR3099" s="48"/>
      <c r="AS3099" s="48"/>
      <c r="AT3099" s="48"/>
      <c r="AU3099" s="48"/>
      <c r="AV3099" s="48"/>
      <c r="AW3099" s="48"/>
      <c r="AX3099" s="48"/>
      <c r="AY3099" s="48"/>
      <c r="AZ3099" s="48"/>
      <c r="BA3099" s="48"/>
      <c r="BB3099" s="48"/>
      <c r="BC3099" s="48"/>
      <c r="BD3099" s="48"/>
    </row>
    <row r="3100" spans="1:56">
      <c r="A3100" s="48"/>
      <c r="B3100" s="48"/>
      <c r="C3100" s="49"/>
      <c r="D3100" s="48"/>
      <c r="E3100" s="48"/>
      <c r="F3100" s="48"/>
      <c r="G3100" s="48"/>
      <c r="H3100" s="48"/>
      <c r="I3100" s="48"/>
      <c r="J3100" s="86"/>
      <c r="K3100" s="86"/>
      <c r="L3100" s="86"/>
      <c r="M3100" s="86"/>
      <c r="N3100" s="86"/>
      <c r="O3100" s="86"/>
      <c r="P3100" s="86"/>
      <c r="Q3100" s="86"/>
      <c r="R3100" s="86"/>
      <c r="S3100" s="86"/>
      <c r="T3100" s="86"/>
      <c r="U3100" s="86"/>
      <c r="V3100" s="48"/>
      <c r="W3100" s="48"/>
      <c r="X3100" s="48"/>
      <c r="Y3100" s="48"/>
      <c r="Z3100" s="48"/>
      <c r="AA3100" s="48"/>
      <c r="AB3100" s="48"/>
      <c r="AC3100" s="48"/>
      <c r="AD3100" s="48"/>
      <c r="AE3100" s="48"/>
      <c r="AF3100" s="48"/>
      <c r="AG3100" s="48"/>
      <c r="AH3100" s="48"/>
      <c r="AI3100" s="48"/>
      <c r="AJ3100" s="48"/>
      <c r="AK3100" s="48"/>
      <c r="AL3100" s="48"/>
      <c r="AM3100" s="48"/>
      <c r="AN3100" s="48"/>
      <c r="AO3100" s="48"/>
      <c r="AP3100" s="48"/>
      <c r="AQ3100" s="48"/>
      <c r="AR3100" s="48"/>
      <c r="AS3100" s="48"/>
      <c r="AT3100" s="48"/>
      <c r="AU3100" s="48"/>
      <c r="AV3100" s="48"/>
      <c r="AW3100" s="48"/>
      <c r="AX3100" s="48"/>
      <c r="AY3100" s="48"/>
      <c r="AZ3100" s="48"/>
      <c r="BA3100" s="48"/>
      <c r="BB3100" s="48"/>
      <c r="BC3100" s="48"/>
      <c r="BD3100" s="48"/>
    </row>
    <row r="3101" spans="1:56">
      <c r="A3101" s="48"/>
      <c r="B3101" s="48"/>
      <c r="C3101" s="49"/>
      <c r="D3101" s="48"/>
      <c r="E3101" s="48"/>
      <c r="F3101" s="48"/>
      <c r="G3101" s="48"/>
      <c r="H3101" s="48"/>
      <c r="I3101" s="48"/>
      <c r="J3101" s="86"/>
      <c r="K3101" s="86"/>
      <c r="L3101" s="86"/>
      <c r="M3101" s="86"/>
      <c r="N3101" s="86"/>
      <c r="O3101" s="86"/>
      <c r="P3101" s="86"/>
      <c r="Q3101" s="86"/>
      <c r="R3101" s="86"/>
      <c r="S3101" s="86"/>
      <c r="T3101" s="86"/>
      <c r="U3101" s="86"/>
      <c r="V3101" s="48"/>
      <c r="W3101" s="48"/>
      <c r="X3101" s="48"/>
      <c r="Y3101" s="48"/>
      <c r="Z3101" s="48"/>
      <c r="AA3101" s="48"/>
      <c r="AB3101" s="48"/>
      <c r="AC3101" s="48"/>
      <c r="AD3101" s="48"/>
      <c r="AE3101" s="48"/>
      <c r="AF3101" s="48"/>
      <c r="AG3101" s="48"/>
      <c r="AH3101" s="48"/>
      <c r="AI3101" s="48"/>
      <c r="AJ3101" s="48"/>
      <c r="AK3101" s="48"/>
      <c r="AL3101" s="48"/>
      <c r="AM3101" s="48"/>
      <c r="AN3101" s="48"/>
      <c r="AO3101" s="48"/>
      <c r="AP3101" s="48"/>
      <c r="AQ3101" s="48"/>
      <c r="AR3101" s="48"/>
      <c r="AS3101" s="48"/>
      <c r="AT3101" s="48"/>
      <c r="AU3101" s="48"/>
      <c r="AV3101" s="48"/>
      <c r="AW3101" s="48"/>
      <c r="AX3101" s="48"/>
      <c r="AY3101" s="48"/>
      <c r="AZ3101" s="48"/>
      <c r="BA3101" s="48"/>
      <c r="BB3101" s="48"/>
      <c r="BC3101" s="48"/>
      <c r="BD3101" s="48"/>
    </row>
    <row r="3102" spans="1:56">
      <c r="A3102" s="48"/>
      <c r="B3102" s="48"/>
      <c r="C3102" s="49"/>
      <c r="D3102" s="48"/>
      <c r="E3102" s="48"/>
      <c r="F3102" s="48"/>
      <c r="G3102" s="48"/>
      <c r="H3102" s="48"/>
      <c r="I3102" s="48"/>
      <c r="J3102" s="86"/>
      <c r="K3102" s="86"/>
      <c r="L3102" s="86"/>
      <c r="M3102" s="86"/>
      <c r="N3102" s="86"/>
      <c r="O3102" s="86"/>
      <c r="P3102" s="86"/>
      <c r="Q3102" s="86"/>
      <c r="R3102" s="86"/>
      <c r="S3102" s="86"/>
      <c r="T3102" s="86"/>
      <c r="U3102" s="86"/>
      <c r="V3102" s="48"/>
      <c r="W3102" s="48"/>
      <c r="X3102" s="48"/>
      <c r="Y3102" s="48"/>
      <c r="Z3102" s="48"/>
      <c r="AA3102" s="48"/>
      <c r="AB3102" s="48"/>
      <c r="AC3102" s="48"/>
      <c r="AD3102" s="48"/>
      <c r="AE3102" s="48"/>
      <c r="AF3102" s="48"/>
      <c r="AG3102" s="48"/>
      <c r="AH3102" s="48"/>
      <c r="AI3102" s="48"/>
      <c r="AJ3102" s="48"/>
      <c r="AK3102" s="48"/>
      <c r="AL3102" s="48"/>
      <c r="AM3102" s="48"/>
      <c r="AN3102" s="48"/>
      <c r="AO3102" s="48"/>
      <c r="AP3102" s="48"/>
      <c r="AQ3102" s="48"/>
      <c r="AR3102" s="48"/>
      <c r="AS3102" s="48"/>
      <c r="AT3102" s="48"/>
      <c r="AU3102" s="48"/>
      <c r="AV3102" s="48"/>
      <c r="AW3102" s="48"/>
      <c r="AX3102" s="48"/>
      <c r="AY3102" s="48"/>
      <c r="AZ3102" s="48"/>
      <c r="BA3102" s="48"/>
      <c r="BB3102" s="48"/>
      <c r="BC3102" s="48"/>
      <c r="BD3102" s="48"/>
    </row>
    <row r="3103" spans="1:56">
      <c r="A3103" s="48"/>
      <c r="B3103" s="48"/>
      <c r="C3103" s="49"/>
      <c r="D3103" s="48"/>
      <c r="E3103" s="48"/>
      <c r="F3103" s="48"/>
      <c r="G3103" s="48"/>
      <c r="H3103" s="48"/>
      <c r="I3103" s="48"/>
      <c r="J3103" s="86"/>
      <c r="K3103" s="86"/>
      <c r="L3103" s="86"/>
      <c r="M3103" s="86"/>
      <c r="N3103" s="86"/>
      <c r="O3103" s="86"/>
      <c r="P3103" s="86"/>
      <c r="Q3103" s="86"/>
      <c r="R3103" s="86"/>
      <c r="S3103" s="86"/>
      <c r="T3103" s="86"/>
      <c r="U3103" s="86"/>
      <c r="V3103" s="48"/>
      <c r="W3103" s="48"/>
      <c r="X3103" s="48"/>
      <c r="Y3103" s="48"/>
      <c r="Z3103" s="48"/>
      <c r="AA3103" s="48"/>
      <c r="AB3103" s="48"/>
      <c r="AC3103" s="48"/>
      <c r="AD3103" s="48"/>
      <c r="AE3103" s="48"/>
      <c r="AF3103" s="48"/>
      <c r="AG3103" s="48"/>
      <c r="AH3103" s="48"/>
      <c r="AI3103" s="48"/>
      <c r="AJ3103" s="48"/>
      <c r="AK3103" s="48"/>
      <c r="AL3103" s="48"/>
      <c r="AM3103" s="48"/>
      <c r="AN3103" s="48"/>
      <c r="AO3103" s="48"/>
      <c r="AP3103" s="48"/>
      <c r="AQ3103" s="48"/>
      <c r="AR3103" s="48"/>
      <c r="AS3103" s="48"/>
      <c r="AT3103" s="48"/>
      <c r="AU3103" s="48"/>
      <c r="AV3103" s="48"/>
      <c r="AW3103" s="48"/>
      <c r="AX3103" s="48"/>
      <c r="AY3103" s="48"/>
      <c r="AZ3103" s="48"/>
      <c r="BA3103" s="48"/>
      <c r="BB3103" s="48"/>
      <c r="BC3103" s="48"/>
      <c r="BD3103" s="48"/>
    </row>
    <row r="3104" spans="1:56">
      <c r="A3104" s="48"/>
      <c r="B3104" s="48"/>
      <c r="C3104" s="49"/>
      <c r="D3104" s="48"/>
      <c r="E3104" s="48"/>
      <c r="F3104" s="48"/>
      <c r="G3104" s="48"/>
      <c r="H3104" s="48"/>
      <c r="I3104" s="48"/>
      <c r="J3104" s="86"/>
      <c r="K3104" s="86"/>
      <c r="L3104" s="86"/>
      <c r="M3104" s="86"/>
      <c r="N3104" s="86"/>
      <c r="O3104" s="86"/>
      <c r="P3104" s="86"/>
      <c r="Q3104" s="86"/>
      <c r="R3104" s="86"/>
      <c r="S3104" s="86"/>
      <c r="T3104" s="86"/>
      <c r="U3104" s="86"/>
      <c r="V3104" s="48"/>
      <c r="W3104" s="48"/>
      <c r="X3104" s="48"/>
      <c r="Y3104" s="48"/>
      <c r="Z3104" s="48"/>
      <c r="AA3104" s="48"/>
      <c r="AB3104" s="48"/>
      <c r="AC3104" s="48"/>
      <c r="AD3104" s="48"/>
      <c r="AE3104" s="48"/>
      <c r="AF3104" s="48"/>
      <c r="AG3104" s="48"/>
      <c r="AH3104" s="48"/>
      <c r="AI3104" s="48"/>
      <c r="AJ3104" s="48"/>
      <c r="AK3104" s="48"/>
      <c r="AL3104" s="48"/>
      <c r="AM3104" s="48"/>
      <c r="AN3104" s="48"/>
      <c r="AO3104" s="48"/>
      <c r="AP3104" s="48"/>
      <c r="AQ3104" s="48"/>
      <c r="AR3104" s="48"/>
      <c r="AS3104" s="48"/>
      <c r="AT3104" s="48"/>
      <c r="AU3104" s="48"/>
      <c r="AV3104" s="48"/>
      <c r="AW3104" s="48"/>
      <c r="AX3104" s="48"/>
      <c r="AY3104" s="48"/>
      <c r="AZ3104" s="48"/>
      <c r="BA3104" s="48"/>
      <c r="BB3104" s="48"/>
      <c r="BC3104" s="48"/>
      <c r="BD3104" s="48"/>
    </row>
    <row r="3105" spans="1:56">
      <c r="A3105" s="48"/>
      <c r="B3105" s="48"/>
      <c r="C3105" s="49"/>
      <c r="D3105" s="48"/>
      <c r="E3105" s="48"/>
      <c r="F3105" s="48"/>
      <c r="G3105" s="48"/>
      <c r="H3105" s="48"/>
      <c r="I3105" s="48"/>
      <c r="J3105" s="86"/>
      <c r="K3105" s="86"/>
      <c r="L3105" s="86"/>
      <c r="M3105" s="86"/>
      <c r="N3105" s="86"/>
      <c r="O3105" s="86"/>
      <c r="P3105" s="86"/>
      <c r="Q3105" s="86"/>
      <c r="R3105" s="86"/>
      <c r="S3105" s="86"/>
      <c r="T3105" s="86"/>
      <c r="U3105" s="86"/>
      <c r="V3105" s="48"/>
      <c r="W3105" s="48"/>
      <c r="X3105" s="48"/>
      <c r="Y3105" s="48"/>
      <c r="Z3105" s="48"/>
      <c r="AA3105" s="48"/>
      <c r="AB3105" s="48"/>
      <c r="AC3105" s="48"/>
      <c r="AD3105" s="48"/>
      <c r="AE3105" s="48"/>
      <c r="AF3105" s="48"/>
      <c r="AG3105" s="48"/>
      <c r="AH3105" s="48"/>
      <c r="AI3105" s="48"/>
      <c r="AJ3105" s="48"/>
      <c r="AK3105" s="48"/>
      <c r="AL3105" s="48"/>
      <c r="AM3105" s="48"/>
      <c r="AN3105" s="48"/>
      <c r="AO3105" s="48"/>
      <c r="AP3105" s="48"/>
      <c r="AQ3105" s="48"/>
      <c r="AR3105" s="48"/>
      <c r="AS3105" s="48"/>
      <c r="AT3105" s="48"/>
      <c r="AU3105" s="48"/>
      <c r="AV3105" s="48"/>
      <c r="AW3105" s="48"/>
      <c r="AX3105" s="48"/>
      <c r="AY3105" s="48"/>
      <c r="AZ3105" s="48"/>
      <c r="BA3105" s="48"/>
      <c r="BB3105" s="48"/>
      <c r="BC3105" s="48"/>
      <c r="BD3105" s="48"/>
    </row>
    <row r="3106" spans="1:56">
      <c r="A3106" s="48"/>
      <c r="B3106" s="48"/>
      <c r="C3106" s="49"/>
      <c r="D3106" s="48"/>
      <c r="E3106" s="48"/>
      <c r="F3106" s="48"/>
      <c r="G3106" s="48"/>
      <c r="H3106" s="48"/>
      <c r="I3106" s="48"/>
      <c r="J3106" s="86"/>
      <c r="K3106" s="86"/>
      <c r="L3106" s="86"/>
      <c r="M3106" s="86"/>
      <c r="N3106" s="86"/>
      <c r="O3106" s="86"/>
      <c r="P3106" s="86"/>
      <c r="Q3106" s="86"/>
      <c r="R3106" s="86"/>
      <c r="S3106" s="86"/>
      <c r="T3106" s="86"/>
      <c r="U3106" s="86"/>
      <c r="V3106" s="48"/>
      <c r="W3106" s="48"/>
      <c r="X3106" s="48"/>
      <c r="Y3106" s="48"/>
      <c r="Z3106" s="48"/>
      <c r="AA3106" s="48"/>
      <c r="AB3106" s="48"/>
      <c r="AC3106" s="48"/>
      <c r="AD3106" s="48"/>
      <c r="AE3106" s="48"/>
      <c r="AF3106" s="48"/>
      <c r="AG3106" s="48"/>
      <c r="AH3106" s="48"/>
      <c r="AI3106" s="48"/>
      <c r="AJ3106" s="48"/>
      <c r="AK3106" s="48"/>
      <c r="AL3106" s="48"/>
      <c r="AM3106" s="48"/>
      <c r="AN3106" s="48"/>
      <c r="AO3106" s="48"/>
      <c r="AP3106" s="48"/>
      <c r="AQ3106" s="48"/>
      <c r="AR3106" s="48"/>
      <c r="AS3106" s="48"/>
      <c r="AT3106" s="48"/>
      <c r="AU3106" s="48"/>
      <c r="AV3106" s="48"/>
      <c r="AW3106" s="48"/>
      <c r="AX3106" s="48"/>
      <c r="AY3106" s="48"/>
      <c r="AZ3106" s="48"/>
      <c r="BA3106" s="48"/>
      <c r="BB3106" s="48"/>
      <c r="BC3106" s="48"/>
      <c r="BD3106" s="48"/>
    </row>
    <row r="3107" spans="1:56">
      <c r="A3107" s="48"/>
      <c r="B3107" s="48"/>
      <c r="C3107" s="49"/>
      <c r="D3107" s="48"/>
      <c r="E3107" s="48"/>
      <c r="F3107" s="48"/>
      <c r="G3107" s="48"/>
      <c r="H3107" s="48"/>
      <c r="I3107" s="48"/>
      <c r="J3107" s="86"/>
      <c r="K3107" s="86"/>
      <c r="L3107" s="86"/>
      <c r="M3107" s="86"/>
      <c r="N3107" s="86"/>
      <c r="O3107" s="86"/>
      <c r="P3107" s="86"/>
      <c r="Q3107" s="86"/>
      <c r="R3107" s="86"/>
      <c r="S3107" s="86"/>
      <c r="T3107" s="86"/>
      <c r="U3107" s="86"/>
      <c r="V3107" s="48"/>
      <c r="W3107" s="48"/>
      <c r="X3107" s="48"/>
      <c r="Y3107" s="48"/>
      <c r="Z3107" s="48"/>
      <c r="AA3107" s="48"/>
      <c r="AB3107" s="48"/>
      <c r="AC3107" s="48"/>
      <c r="AD3107" s="48"/>
      <c r="AE3107" s="48"/>
      <c r="AF3107" s="48"/>
      <c r="AG3107" s="48"/>
      <c r="AH3107" s="48"/>
      <c r="AI3107" s="48"/>
      <c r="AJ3107" s="48"/>
      <c r="AK3107" s="48"/>
      <c r="AL3107" s="48"/>
      <c r="AM3107" s="48"/>
      <c r="AN3107" s="48"/>
      <c r="AO3107" s="48"/>
      <c r="AP3107" s="48"/>
      <c r="AQ3107" s="48"/>
      <c r="AR3107" s="48"/>
      <c r="AS3107" s="48"/>
      <c r="AT3107" s="48"/>
      <c r="AU3107" s="48"/>
      <c r="AV3107" s="48"/>
      <c r="AW3107" s="48"/>
      <c r="AX3107" s="48"/>
      <c r="AY3107" s="48"/>
      <c r="AZ3107" s="48"/>
      <c r="BA3107" s="48"/>
      <c r="BB3107" s="48"/>
      <c r="BC3107" s="48"/>
      <c r="BD3107" s="48"/>
    </row>
    <row r="3108" spans="1:56">
      <c r="A3108" s="48"/>
      <c r="B3108" s="48"/>
      <c r="C3108" s="49"/>
      <c r="D3108" s="48"/>
      <c r="E3108" s="48"/>
      <c r="F3108" s="48"/>
      <c r="G3108" s="48"/>
      <c r="H3108" s="48"/>
      <c r="I3108" s="48"/>
      <c r="J3108" s="86"/>
      <c r="K3108" s="86"/>
      <c r="L3108" s="86"/>
      <c r="M3108" s="86"/>
      <c r="N3108" s="86"/>
      <c r="O3108" s="86"/>
      <c r="P3108" s="86"/>
      <c r="Q3108" s="86"/>
      <c r="R3108" s="86"/>
      <c r="S3108" s="86"/>
      <c r="T3108" s="86"/>
      <c r="U3108" s="86"/>
      <c r="V3108" s="48"/>
      <c r="W3108" s="48"/>
      <c r="X3108" s="48"/>
      <c r="Y3108" s="48"/>
      <c r="Z3108" s="48"/>
      <c r="AA3108" s="48"/>
      <c r="AB3108" s="48"/>
      <c r="AC3108" s="48"/>
      <c r="AD3108" s="48"/>
      <c r="AE3108" s="48"/>
      <c r="AF3108" s="48"/>
      <c r="AG3108" s="48"/>
      <c r="AH3108" s="48"/>
      <c r="AI3108" s="48"/>
      <c r="AJ3108" s="48"/>
      <c r="AK3108" s="48"/>
      <c r="AL3108" s="48"/>
      <c r="AM3108" s="48"/>
      <c r="AN3108" s="48"/>
      <c r="AO3108" s="48"/>
      <c r="AP3108" s="48"/>
      <c r="AQ3108" s="48"/>
      <c r="AR3108" s="48"/>
      <c r="AS3108" s="48"/>
      <c r="AT3108" s="48"/>
      <c r="AU3108" s="48"/>
      <c r="AV3108" s="48"/>
      <c r="AW3108" s="48"/>
      <c r="AX3108" s="48"/>
      <c r="AY3108" s="48"/>
      <c r="AZ3108" s="48"/>
      <c r="BA3108" s="48"/>
      <c r="BB3108" s="48"/>
      <c r="BC3108" s="48"/>
      <c r="BD3108" s="48"/>
    </row>
    <row r="3109" spans="1:56">
      <c r="A3109" s="48"/>
      <c r="B3109" s="48"/>
      <c r="C3109" s="49"/>
      <c r="D3109" s="48"/>
      <c r="E3109" s="48"/>
      <c r="F3109" s="48"/>
      <c r="G3109" s="48"/>
      <c r="H3109" s="48"/>
      <c r="I3109" s="48"/>
      <c r="J3109" s="86"/>
      <c r="K3109" s="86"/>
      <c r="L3109" s="86"/>
      <c r="M3109" s="86"/>
      <c r="N3109" s="86"/>
      <c r="O3109" s="86"/>
      <c r="P3109" s="86"/>
      <c r="Q3109" s="86"/>
      <c r="R3109" s="86"/>
      <c r="S3109" s="86"/>
      <c r="T3109" s="86"/>
      <c r="U3109" s="86"/>
      <c r="V3109" s="48"/>
      <c r="W3109" s="48"/>
      <c r="X3109" s="48"/>
      <c r="Y3109" s="48"/>
      <c r="Z3109" s="48"/>
      <c r="AA3109" s="48"/>
      <c r="AB3109" s="48"/>
      <c r="AC3109" s="48"/>
      <c r="AD3109" s="48"/>
      <c r="AE3109" s="48"/>
      <c r="AF3109" s="48"/>
      <c r="AG3109" s="48"/>
      <c r="AH3109" s="48"/>
      <c r="AI3109" s="48"/>
      <c r="AJ3109" s="48"/>
      <c r="AK3109" s="48"/>
      <c r="AL3109" s="48"/>
      <c r="AM3109" s="48"/>
      <c r="AN3109" s="48"/>
      <c r="AO3109" s="48"/>
      <c r="AP3109" s="48"/>
      <c r="AQ3109" s="48"/>
      <c r="AR3109" s="48"/>
      <c r="AS3109" s="48"/>
      <c r="AT3109" s="48"/>
      <c r="AU3109" s="48"/>
      <c r="AV3109" s="48"/>
      <c r="AW3109" s="48"/>
      <c r="AX3109" s="48"/>
      <c r="AY3109" s="48"/>
      <c r="AZ3109" s="48"/>
      <c r="BA3109" s="48"/>
      <c r="BB3109" s="48"/>
      <c r="BC3109" s="48"/>
      <c r="BD3109" s="48"/>
    </row>
    <row r="3110" spans="1:56">
      <c r="A3110" s="48"/>
      <c r="B3110" s="48"/>
      <c r="C3110" s="49"/>
      <c r="D3110" s="48"/>
      <c r="E3110" s="48"/>
      <c r="F3110" s="48"/>
      <c r="G3110" s="48"/>
      <c r="H3110" s="48"/>
      <c r="I3110" s="48"/>
      <c r="J3110" s="86"/>
      <c r="K3110" s="86"/>
      <c r="L3110" s="86"/>
      <c r="M3110" s="86"/>
      <c r="N3110" s="86"/>
      <c r="O3110" s="86"/>
      <c r="P3110" s="86"/>
      <c r="Q3110" s="86"/>
      <c r="R3110" s="86"/>
      <c r="S3110" s="86"/>
      <c r="T3110" s="86"/>
      <c r="U3110" s="86"/>
      <c r="V3110" s="48"/>
      <c r="W3110" s="48"/>
      <c r="X3110" s="48"/>
      <c r="Y3110" s="48"/>
      <c r="Z3110" s="48"/>
      <c r="AA3110" s="48"/>
      <c r="AB3110" s="48"/>
      <c r="AC3110" s="48"/>
      <c r="AD3110" s="48"/>
      <c r="AE3110" s="48"/>
      <c r="AF3110" s="48"/>
      <c r="AG3110" s="48"/>
      <c r="AH3110" s="48"/>
      <c r="AI3110" s="48"/>
      <c r="AJ3110" s="48"/>
      <c r="AK3110" s="48"/>
      <c r="AL3110" s="48"/>
      <c r="AM3110" s="48"/>
      <c r="AN3110" s="48"/>
      <c r="AO3110" s="48"/>
      <c r="AP3110" s="48"/>
      <c r="AQ3110" s="48"/>
      <c r="AR3110" s="48"/>
      <c r="AS3110" s="48"/>
      <c r="AT3110" s="48"/>
      <c r="AU3110" s="48"/>
      <c r="AV3110" s="48"/>
      <c r="AW3110" s="48"/>
      <c r="AX3110" s="48"/>
      <c r="AY3110" s="48"/>
      <c r="AZ3110" s="48"/>
      <c r="BA3110" s="48"/>
      <c r="BB3110" s="48"/>
      <c r="BC3110" s="48"/>
      <c r="BD3110" s="48"/>
    </row>
    <row r="3111" spans="1:56">
      <c r="A3111" s="48"/>
      <c r="B3111" s="48"/>
      <c r="C3111" s="49"/>
      <c r="D3111" s="48"/>
      <c r="E3111" s="48"/>
      <c r="F3111" s="48"/>
      <c r="G3111" s="48"/>
      <c r="H3111" s="48"/>
      <c r="I3111" s="48"/>
      <c r="J3111" s="86"/>
      <c r="K3111" s="86"/>
      <c r="L3111" s="86"/>
      <c r="M3111" s="86"/>
      <c r="N3111" s="86"/>
      <c r="O3111" s="86"/>
      <c r="P3111" s="86"/>
      <c r="Q3111" s="86"/>
      <c r="R3111" s="86"/>
      <c r="S3111" s="86"/>
      <c r="T3111" s="86"/>
      <c r="U3111" s="86"/>
      <c r="V3111" s="48"/>
      <c r="W3111" s="48"/>
      <c r="X3111" s="48"/>
      <c r="Y3111" s="48"/>
      <c r="Z3111" s="48"/>
      <c r="AA3111" s="48"/>
      <c r="AB3111" s="48"/>
      <c r="AC3111" s="48"/>
      <c r="AD3111" s="48"/>
      <c r="AE3111" s="48"/>
      <c r="AF3111" s="48"/>
      <c r="AG3111" s="48"/>
      <c r="AH3111" s="48"/>
      <c r="AI3111" s="48"/>
      <c r="AJ3111" s="48"/>
      <c r="AK3111" s="48"/>
      <c r="AL3111" s="48"/>
      <c r="AM3111" s="48"/>
      <c r="AN3111" s="48"/>
      <c r="AO3111" s="48"/>
      <c r="AP3111" s="48"/>
      <c r="AQ3111" s="48"/>
      <c r="AR3111" s="48"/>
      <c r="AS3111" s="48"/>
      <c r="AT3111" s="48"/>
      <c r="AU3111" s="48"/>
      <c r="AV3111" s="48"/>
      <c r="AW3111" s="48"/>
      <c r="AX3111" s="48"/>
      <c r="AY3111" s="48"/>
      <c r="AZ3111" s="48"/>
      <c r="BA3111" s="48"/>
      <c r="BB3111" s="48"/>
      <c r="BC3111" s="48"/>
      <c r="BD3111" s="48"/>
    </row>
    <row r="3112" spans="1:56">
      <c r="A3112" s="48"/>
      <c r="B3112" s="48"/>
      <c r="C3112" s="49"/>
      <c r="D3112" s="48"/>
      <c r="E3112" s="48"/>
      <c r="F3112" s="48"/>
      <c r="G3112" s="48"/>
      <c r="H3112" s="48"/>
      <c r="I3112" s="48"/>
      <c r="J3112" s="86"/>
      <c r="K3112" s="86"/>
      <c r="L3112" s="86"/>
      <c r="M3112" s="86"/>
      <c r="N3112" s="86"/>
      <c r="O3112" s="86"/>
      <c r="P3112" s="86"/>
      <c r="Q3112" s="86"/>
      <c r="R3112" s="86"/>
      <c r="S3112" s="86"/>
      <c r="T3112" s="86"/>
      <c r="U3112" s="86"/>
      <c r="V3112" s="48"/>
      <c r="W3112" s="48"/>
      <c r="X3112" s="48"/>
      <c r="Y3112" s="48"/>
      <c r="Z3112" s="48"/>
      <c r="AA3112" s="48"/>
      <c r="AB3112" s="48"/>
      <c r="AC3112" s="48"/>
      <c r="AD3112" s="48"/>
      <c r="AE3112" s="48"/>
      <c r="AF3112" s="48"/>
      <c r="AG3112" s="48"/>
      <c r="AH3112" s="48"/>
      <c r="AI3112" s="48"/>
      <c r="AJ3112" s="48"/>
      <c r="AK3112" s="48"/>
      <c r="AL3112" s="48"/>
      <c r="AM3112" s="48"/>
      <c r="AN3112" s="48"/>
      <c r="AO3112" s="48"/>
      <c r="AP3112" s="48"/>
      <c r="AQ3112" s="48"/>
      <c r="AR3112" s="48"/>
      <c r="AS3112" s="48"/>
      <c r="AT3112" s="48"/>
      <c r="AU3112" s="48"/>
      <c r="AV3112" s="48"/>
      <c r="AW3112" s="48"/>
      <c r="AX3112" s="48"/>
      <c r="AY3112" s="48"/>
      <c r="AZ3112" s="48"/>
      <c r="BA3112" s="48"/>
      <c r="BB3112" s="48"/>
      <c r="BC3112" s="48"/>
      <c r="BD3112" s="48"/>
    </row>
    <row r="3113" spans="1:56">
      <c r="A3113" s="48"/>
      <c r="B3113" s="48"/>
      <c r="C3113" s="49"/>
      <c r="D3113" s="48"/>
      <c r="E3113" s="48"/>
      <c r="F3113" s="48"/>
      <c r="G3113" s="48"/>
      <c r="H3113" s="48"/>
      <c r="I3113" s="48"/>
      <c r="J3113" s="86"/>
      <c r="K3113" s="86"/>
      <c r="L3113" s="86"/>
      <c r="M3113" s="86"/>
      <c r="N3113" s="86"/>
      <c r="O3113" s="86"/>
      <c r="P3113" s="86"/>
      <c r="Q3113" s="86"/>
      <c r="R3113" s="86"/>
      <c r="S3113" s="86"/>
      <c r="T3113" s="86"/>
      <c r="U3113" s="86"/>
      <c r="V3113" s="48"/>
      <c r="W3113" s="48"/>
      <c r="X3113" s="48"/>
      <c r="Y3113" s="48"/>
      <c r="Z3113" s="48"/>
      <c r="AA3113" s="48"/>
      <c r="AB3113" s="48"/>
      <c r="AC3113" s="48"/>
      <c r="AD3113" s="48"/>
      <c r="AE3113" s="48"/>
      <c r="AF3113" s="48"/>
      <c r="AG3113" s="48"/>
      <c r="AH3113" s="48"/>
      <c r="AI3113" s="48"/>
      <c r="AJ3113" s="48"/>
      <c r="AK3113" s="48"/>
      <c r="AL3113" s="48"/>
      <c r="AM3113" s="48"/>
      <c r="AN3113" s="48"/>
      <c r="AO3113" s="48"/>
      <c r="AP3113" s="48"/>
      <c r="AQ3113" s="48"/>
      <c r="AR3113" s="48"/>
      <c r="AS3113" s="48"/>
      <c r="AT3113" s="48"/>
      <c r="AU3113" s="48"/>
      <c r="AV3113" s="48"/>
      <c r="AW3113" s="48"/>
      <c r="AX3113" s="48"/>
      <c r="AY3113" s="48"/>
      <c r="AZ3113" s="48"/>
      <c r="BA3113" s="48"/>
      <c r="BB3113" s="48"/>
      <c r="BC3113" s="48"/>
      <c r="BD3113" s="48"/>
    </row>
    <row r="3114" spans="1:56">
      <c r="A3114" s="48"/>
      <c r="B3114" s="48"/>
      <c r="C3114" s="49"/>
      <c r="D3114" s="48"/>
      <c r="E3114" s="48"/>
      <c r="F3114" s="48"/>
      <c r="G3114" s="48"/>
      <c r="H3114" s="48"/>
      <c r="I3114" s="48"/>
      <c r="J3114" s="86"/>
      <c r="K3114" s="86"/>
      <c r="L3114" s="86"/>
      <c r="M3114" s="86"/>
      <c r="N3114" s="86"/>
      <c r="O3114" s="86"/>
      <c r="P3114" s="86"/>
      <c r="Q3114" s="86"/>
      <c r="R3114" s="86"/>
      <c r="S3114" s="86"/>
      <c r="T3114" s="86"/>
      <c r="U3114" s="86"/>
      <c r="V3114" s="48"/>
      <c r="W3114" s="48"/>
      <c r="X3114" s="48"/>
      <c r="Y3114" s="48"/>
      <c r="Z3114" s="48"/>
      <c r="AA3114" s="48"/>
      <c r="AB3114" s="48"/>
      <c r="AC3114" s="48"/>
      <c r="AD3114" s="48"/>
      <c r="AE3114" s="48"/>
      <c r="AF3114" s="48"/>
      <c r="AG3114" s="48"/>
      <c r="AH3114" s="48"/>
      <c r="AI3114" s="48"/>
      <c r="AJ3114" s="48"/>
      <c r="AK3114" s="48"/>
      <c r="AL3114" s="48"/>
      <c r="AM3114" s="48"/>
      <c r="AN3114" s="48"/>
      <c r="AO3114" s="48"/>
      <c r="AP3114" s="48"/>
      <c r="AQ3114" s="48"/>
      <c r="AR3114" s="48"/>
      <c r="AS3114" s="48"/>
      <c r="AT3114" s="48"/>
      <c r="AU3114" s="48"/>
      <c r="AV3114" s="48"/>
      <c r="AW3114" s="48"/>
      <c r="AX3114" s="48"/>
      <c r="AY3114" s="48"/>
      <c r="AZ3114" s="48"/>
      <c r="BA3114" s="48"/>
      <c r="BB3114" s="48"/>
      <c r="BC3114" s="48"/>
      <c r="BD3114" s="48"/>
    </row>
    <row r="3115" spans="1:56">
      <c r="A3115" s="48"/>
      <c r="B3115" s="48"/>
      <c r="C3115" s="49"/>
      <c r="D3115" s="48"/>
      <c r="E3115" s="48"/>
      <c r="F3115" s="48"/>
      <c r="G3115" s="48"/>
      <c r="H3115" s="48"/>
      <c r="I3115" s="48"/>
      <c r="J3115" s="86"/>
      <c r="K3115" s="86"/>
      <c r="L3115" s="86"/>
      <c r="M3115" s="86"/>
      <c r="N3115" s="86"/>
      <c r="O3115" s="86"/>
      <c r="P3115" s="86"/>
      <c r="Q3115" s="86"/>
      <c r="R3115" s="86"/>
      <c r="S3115" s="86"/>
      <c r="T3115" s="86"/>
      <c r="U3115" s="86"/>
      <c r="V3115" s="48"/>
      <c r="W3115" s="48"/>
      <c r="X3115" s="48"/>
      <c r="Y3115" s="48"/>
      <c r="Z3115" s="48"/>
      <c r="AA3115" s="48"/>
      <c r="AB3115" s="48"/>
      <c r="AC3115" s="48"/>
      <c r="AD3115" s="48"/>
      <c r="AE3115" s="48"/>
      <c r="AF3115" s="48"/>
      <c r="AG3115" s="48"/>
      <c r="AH3115" s="48"/>
      <c r="AI3115" s="48"/>
      <c r="AJ3115" s="48"/>
      <c r="AK3115" s="48"/>
      <c r="AL3115" s="48"/>
      <c r="AM3115" s="48"/>
      <c r="AN3115" s="48"/>
      <c r="AO3115" s="48"/>
      <c r="AP3115" s="48"/>
      <c r="AQ3115" s="48"/>
      <c r="AR3115" s="48"/>
      <c r="AS3115" s="48"/>
      <c r="AT3115" s="48"/>
      <c r="AU3115" s="48"/>
      <c r="AV3115" s="48"/>
      <c r="AW3115" s="48"/>
      <c r="AX3115" s="48"/>
      <c r="AY3115" s="48"/>
      <c r="AZ3115" s="48"/>
      <c r="BA3115" s="48"/>
      <c r="BB3115" s="48"/>
      <c r="BC3115" s="48"/>
      <c r="BD3115" s="48"/>
    </row>
    <row r="3116" spans="1:56">
      <c r="A3116" s="48"/>
      <c r="B3116" s="48"/>
      <c r="C3116" s="49"/>
      <c r="D3116" s="48"/>
      <c r="E3116" s="48"/>
      <c r="F3116" s="48"/>
      <c r="G3116" s="48"/>
      <c r="H3116" s="48"/>
      <c r="I3116" s="48"/>
      <c r="J3116" s="86"/>
      <c r="K3116" s="86"/>
      <c r="L3116" s="86"/>
      <c r="M3116" s="86"/>
      <c r="N3116" s="86"/>
      <c r="O3116" s="86"/>
      <c r="P3116" s="86"/>
      <c r="Q3116" s="86"/>
      <c r="R3116" s="86"/>
      <c r="S3116" s="86"/>
      <c r="T3116" s="86"/>
      <c r="U3116" s="86"/>
      <c r="V3116" s="48"/>
      <c r="W3116" s="48"/>
      <c r="X3116" s="48"/>
      <c r="Y3116" s="48"/>
      <c r="Z3116" s="48"/>
      <c r="AA3116" s="48"/>
      <c r="AB3116" s="48"/>
      <c r="AC3116" s="48"/>
      <c r="AD3116" s="48"/>
      <c r="AE3116" s="48"/>
      <c r="AF3116" s="48"/>
      <c r="AG3116" s="48"/>
      <c r="AH3116" s="48"/>
      <c r="AI3116" s="48"/>
      <c r="AJ3116" s="48"/>
      <c r="AK3116" s="48"/>
      <c r="AL3116" s="48"/>
      <c r="AM3116" s="48"/>
      <c r="AN3116" s="48"/>
      <c r="AO3116" s="48"/>
      <c r="AP3116" s="48"/>
      <c r="AQ3116" s="48"/>
      <c r="AR3116" s="48"/>
      <c r="AS3116" s="48"/>
      <c r="AT3116" s="48"/>
      <c r="AU3116" s="48"/>
      <c r="AV3116" s="48"/>
      <c r="AW3116" s="48"/>
      <c r="AX3116" s="48"/>
      <c r="AY3116" s="48"/>
      <c r="AZ3116" s="48"/>
      <c r="BA3116" s="48"/>
      <c r="BB3116" s="48"/>
      <c r="BC3116" s="48"/>
      <c r="BD3116" s="48"/>
    </row>
    <row r="3117" spans="1:56">
      <c r="A3117" s="48"/>
      <c r="B3117" s="48"/>
      <c r="C3117" s="49"/>
      <c r="D3117" s="48"/>
      <c r="E3117" s="48"/>
      <c r="F3117" s="48"/>
      <c r="G3117" s="48"/>
      <c r="H3117" s="48"/>
      <c r="I3117" s="48"/>
      <c r="J3117" s="86"/>
      <c r="K3117" s="86"/>
      <c r="L3117" s="86"/>
      <c r="M3117" s="86"/>
      <c r="N3117" s="86"/>
      <c r="O3117" s="86"/>
      <c r="P3117" s="86"/>
      <c r="Q3117" s="86"/>
      <c r="R3117" s="86"/>
      <c r="S3117" s="86"/>
      <c r="T3117" s="86"/>
      <c r="U3117" s="86"/>
      <c r="V3117" s="48"/>
      <c r="W3117" s="48"/>
      <c r="X3117" s="48"/>
      <c r="Y3117" s="48"/>
      <c r="Z3117" s="48"/>
      <c r="AA3117" s="48"/>
      <c r="AB3117" s="48"/>
      <c r="AC3117" s="48"/>
      <c r="AD3117" s="48"/>
      <c r="AE3117" s="48"/>
      <c r="AF3117" s="48"/>
      <c r="AG3117" s="48"/>
      <c r="AH3117" s="48"/>
      <c r="AI3117" s="48"/>
      <c r="AJ3117" s="48"/>
      <c r="AK3117" s="48"/>
      <c r="AL3117" s="48"/>
      <c r="AM3117" s="48"/>
      <c r="AN3117" s="48"/>
      <c r="AO3117" s="48"/>
      <c r="AP3117" s="48"/>
      <c r="AQ3117" s="48"/>
      <c r="AR3117" s="48"/>
      <c r="AS3117" s="48"/>
      <c r="AT3117" s="48"/>
      <c r="AU3117" s="48"/>
      <c r="AV3117" s="48"/>
      <c r="AW3117" s="48"/>
      <c r="AX3117" s="48"/>
      <c r="AY3117" s="48"/>
      <c r="AZ3117" s="48"/>
      <c r="BA3117" s="48"/>
      <c r="BB3117" s="48"/>
      <c r="BC3117" s="48"/>
      <c r="BD3117" s="48"/>
    </row>
    <row r="3118" spans="1:56">
      <c r="A3118" s="48"/>
      <c r="B3118" s="48"/>
      <c r="C3118" s="49"/>
      <c r="D3118" s="48"/>
      <c r="E3118" s="48"/>
      <c r="F3118" s="48"/>
      <c r="G3118" s="48"/>
      <c r="H3118" s="48"/>
      <c r="I3118" s="48"/>
      <c r="J3118" s="86"/>
      <c r="K3118" s="86"/>
      <c r="L3118" s="86"/>
      <c r="M3118" s="86"/>
      <c r="N3118" s="86"/>
      <c r="O3118" s="86"/>
      <c r="P3118" s="86"/>
      <c r="Q3118" s="86"/>
      <c r="R3118" s="86"/>
      <c r="S3118" s="86"/>
      <c r="T3118" s="86"/>
      <c r="U3118" s="86"/>
      <c r="V3118" s="48"/>
      <c r="W3118" s="48"/>
      <c r="X3118" s="48"/>
      <c r="Y3118" s="48"/>
      <c r="Z3118" s="48"/>
      <c r="AA3118" s="48"/>
      <c r="AB3118" s="48"/>
      <c r="AC3118" s="48"/>
      <c r="AD3118" s="48"/>
      <c r="AE3118" s="48"/>
      <c r="AF3118" s="48"/>
      <c r="AG3118" s="48"/>
      <c r="AH3118" s="48"/>
      <c r="AI3118" s="48"/>
      <c r="AJ3118" s="48"/>
      <c r="AK3118" s="48"/>
      <c r="AL3118" s="48"/>
      <c r="AM3118" s="48"/>
      <c r="AN3118" s="48"/>
      <c r="AO3118" s="48"/>
      <c r="AP3118" s="48"/>
      <c r="AQ3118" s="48"/>
      <c r="AR3118" s="48"/>
      <c r="AS3118" s="48"/>
      <c r="AT3118" s="48"/>
      <c r="AU3118" s="48"/>
      <c r="AV3118" s="48"/>
      <c r="AW3118" s="48"/>
      <c r="AX3118" s="48"/>
      <c r="AY3118" s="48"/>
      <c r="AZ3118" s="48"/>
      <c r="BA3118" s="48"/>
      <c r="BB3118" s="48"/>
      <c r="BC3118" s="48"/>
      <c r="BD3118" s="48"/>
    </row>
    <row r="3119" spans="1:56">
      <c r="A3119" s="48"/>
      <c r="B3119" s="48"/>
      <c r="C3119" s="49"/>
      <c r="D3119" s="48"/>
      <c r="E3119" s="48"/>
      <c r="F3119" s="48"/>
      <c r="G3119" s="48"/>
      <c r="H3119" s="48"/>
      <c r="I3119" s="48"/>
      <c r="J3119" s="86"/>
      <c r="K3119" s="86"/>
      <c r="L3119" s="86"/>
      <c r="M3119" s="86"/>
      <c r="N3119" s="86"/>
      <c r="O3119" s="86"/>
      <c r="P3119" s="86"/>
      <c r="Q3119" s="86"/>
      <c r="R3119" s="86"/>
      <c r="S3119" s="86"/>
      <c r="T3119" s="86"/>
      <c r="U3119" s="86"/>
      <c r="V3119" s="48"/>
      <c r="W3119" s="48"/>
      <c r="X3119" s="48"/>
      <c r="Y3119" s="48"/>
      <c r="Z3119" s="48"/>
      <c r="AA3119" s="48"/>
      <c r="AB3119" s="48"/>
      <c r="AC3119" s="48"/>
      <c r="AD3119" s="48"/>
      <c r="AE3119" s="48"/>
      <c r="AF3119" s="48"/>
      <c r="AG3119" s="48"/>
      <c r="AH3119" s="48"/>
      <c r="AI3119" s="48"/>
      <c r="AJ3119" s="48"/>
      <c r="AK3119" s="48"/>
      <c r="AL3119" s="48"/>
      <c r="AM3119" s="48"/>
      <c r="AN3119" s="48"/>
      <c r="AO3119" s="48"/>
      <c r="AP3119" s="48"/>
      <c r="AQ3119" s="48"/>
      <c r="AR3119" s="48"/>
      <c r="AS3119" s="48"/>
      <c r="AT3119" s="48"/>
      <c r="AU3119" s="48"/>
      <c r="AV3119" s="48"/>
      <c r="AW3119" s="48"/>
      <c r="AX3119" s="48"/>
      <c r="AY3119" s="48"/>
      <c r="AZ3119" s="48"/>
      <c r="BA3119" s="48"/>
      <c r="BB3119" s="48"/>
      <c r="BC3119" s="48"/>
      <c r="BD3119" s="48"/>
    </row>
    <row r="3120" spans="1:56">
      <c r="A3120" s="48"/>
      <c r="B3120" s="48"/>
      <c r="C3120" s="49"/>
      <c r="D3120" s="48"/>
      <c r="E3120" s="48"/>
      <c r="F3120" s="48"/>
      <c r="G3120" s="48"/>
      <c r="H3120" s="48"/>
      <c r="I3120" s="48"/>
      <c r="J3120" s="86"/>
      <c r="K3120" s="86"/>
      <c r="L3120" s="86"/>
      <c r="M3120" s="86"/>
      <c r="N3120" s="86"/>
      <c r="O3120" s="86"/>
      <c r="P3120" s="86"/>
      <c r="Q3120" s="86"/>
      <c r="R3120" s="86"/>
      <c r="S3120" s="86"/>
      <c r="T3120" s="86"/>
      <c r="U3120" s="86"/>
      <c r="V3120" s="48"/>
      <c r="W3120" s="48"/>
      <c r="X3120" s="48"/>
      <c r="Y3120" s="48"/>
      <c r="Z3120" s="48"/>
      <c r="AA3120" s="48"/>
      <c r="AB3120" s="48"/>
      <c r="AC3120" s="48"/>
      <c r="AD3120" s="48"/>
      <c r="AE3120" s="48"/>
      <c r="AF3120" s="48"/>
      <c r="AG3120" s="48"/>
      <c r="AH3120" s="48"/>
      <c r="AI3120" s="48"/>
      <c r="AJ3120" s="48"/>
      <c r="AK3120" s="48"/>
      <c r="AL3120" s="48"/>
      <c r="AM3120" s="48"/>
      <c r="AN3120" s="48"/>
      <c r="AO3120" s="48"/>
      <c r="AP3120" s="48"/>
      <c r="AQ3120" s="48"/>
      <c r="AR3120" s="48"/>
      <c r="AS3120" s="48"/>
      <c r="AT3120" s="48"/>
      <c r="AU3120" s="48"/>
      <c r="AV3120" s="48"/>
      <c r="AW3120" s="48"/>
      <c r="AX3120" s="48"/>
      <c r="AY3120" s="48"/>
      <c r="AZ3120" s="48"/>
      <c r="BA3120" s="48"/>
      <c r="BB3120" s="48"/>
      <c r="BC3120" s="48"/>
      <c r="BD3120" s="48"/>
    </row>
    <row r="3121" spans="1:56">
      <c r="A3121" s="48"/>
      <c r="B3121" s="48"/>
      <c r="C3121" s="49"/>
      <c r="D3121" s="48"/>
      <c r="E3121" s="48"/>
      <c r="F3121" s="48"/>
      <c r="G3121" s="48"/>
      <c r="H3121" s="48"/>
      <c r="I3121" s="48"/>
      <c r="J3121" s="86"/>
      <c r="K3121" s="86"/>
      <c r="L3121" s="86"/>
      <c r="M3121" s="86"/>
      <c r="N3121" s="86"/>
      <c r="O3121" s="86"/>
      <c r="P3121" s="86"/>
      <c r="Q3121" s="86"/>
      <c r="R3121" s="86"/>
      <c r="S3121" s="86"/>
      <c r="T3121" s="86"/>
      <c r="U3121" s="86"/>
      <c r="V3121" s="48"/>
      <c r="W3121" s="48"/>
      <c r="X3121" s="48"/>
      <c r="Y3121" s="48"/>
      <c r="Z3121" s="48"/>
      <c r="AA3121" s="48"/>
      <c r="AB3121" s="48"/>
      <c r="AC3121" s="48"/>
      <c r="AD3121" s="48"/>
      <c r="AE3121" s="48"/>
      <c r="AF3121" s="48"/>
      <c r="AG3121" s="48"/>
      <c r="AH3121" s="48"/>
      <c r="AI3121" s="48"/>
      <c r="AJ3121" s="48"/>
      <c r="AK3121" s="48"/>
      <c r="AL3121" s="48"/>
      <c r="AM3121" s="48"/>
      <c r="AN3121" s="48"/>
      <c r="AO3121" s="48"/>
      <c r="AP3121" s="48"/>
      <c r="AQ3121" s="48"/>
      <c r="AR3121" s="48"/>
      <c r="AS3121" s="48"/>
      <c r="AT3121" s="48"/>
      <c r="AU3121" s="48"/>
      <c r="AV3121" s="48"/>
      <c r="AW3121" s="48"/>
      <c r="AX3121" s="48"/>
      <c r="AY3121" s="48"/>
      <c r="AZ3121" s="48"/>
      <c r="BA3121" s="48"/>
      <c r="BB3121" s="48"/>
      <c r="BC3121" s="48"/>
      <c r="BD3121" s="48"/>
    </row>
    <row r="3122" spans="1:56">
      <c r="A3122" s="48"/>
      <c r="B3122" s="48"/>
      <c r="C3122" s="49"/>
      <c r="D3122" s="48"/>
      <c r="E3122" s="48"/>
      <c r="F3122" s="48"/>
      <c r="G3122" s="48"/>
      <c r="H3122" s="48"/>
      <c r="I3122" s="48"/>
      <c r="J3122" s="86"/>
      <c r="K3122" s="86"/>
      <c r="L3122" s="86"/>
      <c r="M3122" s="86"/>
      <c r="N3122" s="86"/>
      <c r="O3122" s="86"/>
      <c r="P3122" s="86"/>
      <c r="Q3122" s="86"/>
      <c r="R3122" s="86"/>
      <c r="S3122" s="86"/>
      <c r="T3122" s="86"/>
      <c r="U3122" s="86"/>
      <c r="V3122" s="48"/>
      <c r="W3122" s="48"/>
      <c r="X3122" s="48"/>
      <c r="Y3122" s="48"/>
      <c r="Z3122" s="48"/>
      <c r="AA3122" s="48"/>
      <c r="AB3122" s="48"/>
      <c r="AC3122" s="48"/>
      <c r="AD3122" s="48"/>
      <c r="AE3122" s="48"/>
      <c r="AF3122" s="48"/>
      <c r="AG3122" s="48"/>
      <c r="AH3122" s="48"/>
      <c r="AI3122" s="48"/>
      <c r="AJ3122" s="48"/>
      <c r="AK3122" s="48"/>
      <c r="AL3122" s="48"/>
      <c r="AM3122" s="48"/>
      <c r="AN3122" s="48"/>
      <c r="AO3122" s="48"/>
      <c r="AP3122" s="48"/>
      <c r="AQ3122" s="48"/>
      <c r="AR3122" s="48"/>
      <c r="AS3122" s="48"/>
      <c r="AT3122" s="48"/>
      <c r="AU3122" s="48"/>
      <c r="AV3122" s="48"/>
      <c r="AW3122" s="48"/>
      <c r="AX3122" s="48"/>
      <c r="AY3122" s="48"/>
      <c r="AZ3122" s="48"/>
      <c r="BA3122" s="48"/>
      <c r="BB3122" s="48"/>
      <c r="BC3122" s="48"/>
      <c r="BD3122" s="48"/>
    </row>
    <row r="3123" spans="1:56">
      <c r="A3123" s="48"/>
      <c r="B3123" s="48"/>
      <c r="C3123" s="49"/>
      <c r="D3123" s="48"/>
      <c r="E3123" s="48"/>
      <c r="F3123" s="48"/>
      <c r="G3123" s="48"/>
      <c r="H3123" s="48"/>
      <c r="I3123" s="48"/>
      <c r="J3123" s="86"/>
      <c r="K3123" s="86"/>
      <c r="L3123" s="86"/>
      <c r="M3123" s="86"/>
      <c r="N3123" s="86"/>
      <c r="O3123" s="86"/>
      <c r="P3123" s="86"/>
      <c r="Q3123" s="86"/>
      <c r="R3123" s="86"/>
      <c r="S3123" s="86"/>
      <c r="T3123" s="86"/>
      <c r="U3123" s="86"/>
      <c r="V3123" s="48"/>
      <c r="W3123" s="48"/>
      <c r="X3123" s="48"/>
      <c r="Y3123" s="48"/>
      <c r="Z3123" s="48"/>
      <c r="AA3123" s="48"/>
      <c r="AB3123" s="48"/>
      <c r="AC3123" s="48"/>
      <c r="AD3123" s="48"/>
      <c r="AE3123" s="48"/>
      <c r="AF3123" s="48"/>
      <c r="AG3123" s="48"/>
      <c r="AH3123" s="48"/>
      <c r="AI3123" s="48"/>
      <c r="AJ3123" s="48"/>
      <c r="AK3123" s="48"/>
      <c r="AL3123" s="48"/>
      <c r="AM3123" s="48"/>
      <c r="AN3123" s="48"/>
      <c r="AO3123" s="48"/>
      <c r="AP3123" s="48"/>
      <c r="AQ3123" s="48"/>
      <c r="AR3123" s="48"/>
      <c r="AS3123" s="48"/>
      <c r="AT3123" s="48"/>
      <c r="AU3123" s="48"/>
      <c r="AV3123" s="48"/>
      <c r="AW3123" s="48"/>
      <c r="AX3123" s="48"/>
      <c r="AY3123" s="48"/>
      <c r="AZ3123" s="48"/>
      <c r="BA3123" s="48"/>
      <c r="BB3123" s="48"/>
      <c r="BC3123" s="48"/>
      <c r="BD3123" s="48"/>
    </row>
    <row r="3124" spans="1:56">
      <c r="A3124" s="48"/>
      <c r="B3124" s="48"/>
      <c r="C3124" s="49"/>
      <c r="D3124" s="48"/>
      <c r="E3124" s="48"/>
      <c r="F3124" s="48"/>
      <c r="G3124" s="48"/>
      <c r="H3124" s="48"/>
      <c r="I3124" s="48"/>
      <c r="J3124" s="86"/>
      <c r="K3124" s="86"/>
      <c r="L3124" s="86"/>
      <c r="M3124" s="86"/>
      <c r="N3124" s="86"/>
      <c r="O3124" s="86"/>
      <c r="P3124" s="86"/>
      <c r="Q3124" s="86"/>
      <c r="R3124" s="86"/>
      <c r="S3124" s="86"/>
      <c r="T3124" s="86"/>
      <c r="U3124" s="86"/>
      <c r="V3124" s="48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48"/>
      <c r="AH3124" s="48"/>
      <c r="AI3124" s="48"/>
      <c r="AJ3124" s="48"/>
      <c r="AK3124" s="48"/>
      <c r="AL3124" s="48"/>
      <c r="AM3124" s="48"/>
      <c r="AN3124" s="48"/>
      <c r="AO3124" s="48"/>
      <c r="AP3124" s="48"/>
      <c r="AQ3124" s="48"/>
      <c r="AR3124" s="48"/>
      <c r="AS3124" s="48"/>
      <c r="AT3124" s="48"/>
      <c r="AU3124" s="48"/>
      <c r="AV3124" s="48"/>
      <c r="AW3124" s="48"/>
      <c r="AX3124" s="48"/>
      <c r="AY3124" s="48"/>
      <c r="AZ3124" s="48"/>
      <c r="BA3124" s="48"/>
      <c r="BB3124" s="48"/>
      <c r="BC3124" s="48"/>
      <c r="BD3124" s="48"/>
    </row>
    <row r="3125" spans="1:56">
      <c r="A3125" s="48"/>
      <c r="B3125" s="48"/>
      <c r="C3125" s="49"/>
      <c r="D3125" s="48"/>
      <c r="E3125" s="48"/>
      <c r="F3125" s="48"/>
      <c r="G3125" s="48"/>
      <c r="H3125" s="48"/>
      <c r="I3125" s="48"/>
      <c r="J3125" s="86"/>
      <c r="K3125" s="86"/>
      <c r="L3125" s="86"/>
      <c r="M3125" s="86"/>
      <c r="N3125" s="86"/>
      <c r="O3125" s="86"/>
      <c r="P3125" s="86"/>
      <c r="Q3125" s="86"/>
      <c r="R3125" s="86"/>
      <c r="S3125" s="86"/>
      <c r="T3125" s="86"/>
      <c r="U3125" s="86"/>
      <c r="V3125" s="48"/>
      <c r="W3125" s="48"/>
      <c r="X3125" s="48"/>
      <c r="Y3125" s="48"/>
      <c r="Z3125" s="48"/>
      <c r="AA3125" s="48"/>
      <c r="AB3125" s="48"/>
      <c r="AC3125" s="48"/>
      <c r="AD3125" s="48"/>
      <c r="AE3125" s="48"/>
      <c r="AF3125" s="48"/>
      <c r="AG3125" s="48"/>
      <c r="AH3125" s="48"/>
      <c r="AI3125" s="48"/>
      <c r="AJ3125" s="48"/>
      <c r="AK3125" s="48"/>
      <c r="AL3125" s="48"/>
      <c r="AM3125" s="48"/>
      <c r="AN3125" s="48"/>
      <c r="AO3125" s="48"/>
      <c r="AP3125" s="48"/>
      <c r="AQ3125" s="48"/>
      <c r="AR3125" s="48"/>
      <c r="AS3125" s="48"/>
      <c r="AT3125" s="48"/>
      <c r="AU3125" s="48"/>
      <c r="AV3125" s="48"/>
      <c r="AW3125" s="48"/>
      <c r="AX3125" s="48"/>
      <c r="AY3125" s="48"/>
      <c r="AZ3125" s="48"/>
      <c r="BA3125" s="48"/>
      <c r="BB3125" s="48"/>
      <c r="BC3125" s="48"/>
      <c r="BD3125" s="48"/>
    </row>
    <row r="3126" spans="1:56">
      <c r="A3126" s="48"/>
      <c r="B3126" s="48"/>
      <c r="C3126" s="49"/>
      <c r="D3126" s="48"/>
      <c r="E3126" s="48"/>
      <c r="F3126" s="48"/>
      <c r="G3126" s="48"/>
      <c r="H3126" s="48"/>
      <c r="I3126" s="48"/>
      <c r="J3126" s="86"/>
      <c r="K3126" s="86"/>
      <c r="L3126" s="86"/>
      <c r="M3126" s="86"/>
      <c r="N3126" s="86"/>
      <c r="O3126" s="86"/>
      <c r="P3126" s="86"/>
      <c r="Q3126" s="86"/>
      <c r="R3126" s="86"/>
      <c r="S3126" s="86"/>
      <c r="T3126" s="86"/>
      <c r="U3126" s="86"/>
      <c r="V3126" s="48"/>
      <c r="W3126" s="48"/>
      <c r="X3126" s="48"/>
      <c r="Y3126" s="48"/>
      <c r="Z3126" s="48"/>
      <c r="AA3126" s="48"/>
      <c r="AB3126" s="48"/>
      <c r="AC3126" s="48"/>
      <c r="AD3126" s="48"/>
      <c r="AE3126" s="48"/>
      <c r="AF3126" s="48"/>
      <c r="AG3126" s="48"/>
      <c r="AH3126" s="48"/>
      <c r="AI3126" s="48"/>
      <c r="AJ3126" s="48"/>
      <c r="AK3126" s="48"/>
      <c r="AL3126" s="48"/>
      <c r="AM3126" s="48"/>
      <c r="AN3126" s="48"/>
      <c r="AO3126" s="48"/>
      <c r="AP3126" s="48"/>
      <c r="AQ3126" s="48"/>
      <c r="AR3126" s="48"/>
      <c r="AS3126" s="48"/>
      <c r="AT3126" s="48"/>
      <c r="AU3126" s="48"/>
      <c r="AV3126" s="48"/>
      <c r="AW3126" s="48"/>
      <c r="AX3126" s="48"/>
      <c r="AY3126" s="48"/>
      <c r="AZ3126" s="48"/>
      <c r="BA3126" s="48"/>
      <c r="BB3126" s="48"/>
      <c r="BC3126" s="48"/>
      <c r="BD3126" s="48"/>
    </row>
    <row r="3127" spans="1:56">
      <c r="A3127" s="48"/>
      <c r="B3127" s="48"/>
      <c r="C3127" s="49"/>
      <c r="D3127" s="48"/>
      <c r="E3127" s="48"/>
      <c r="F3127" s="48"/>
      <c r="G3127" s="48"/>
      <c r="H3127" s="48"/>
      <c r="I3127" s="48"/>
      <c r="J3127" s="86"/>
      <c r="K3127" s="86"/>
      <c r="L3127" s="86"/>
      <c r="M3127" s="86"/>
      <c r="N3127" s="86"/>
      <c r="O3127" s="86"/>
      <c r="P3127" s="86"/>
      <c r="Q3127" s="86"/>
      <c r="R3127" s="86"/>
      <c r="S3127" s="86"/>
      <c r="T3127" s="86"/>
      <c r="U3127" s="86"/>
      <c r="V3127" s="48"/>
      <c r="W3127" s="48"/>
      <c r="X3127" s="48"/>
      <c r="Y3127" s="48"/>
      <c r="Z3127" s="48"/>
      <c r="AA3127" s="48"/>
      <c r="AB3127" s="48"/>
      <c r="AC3127" s="48"/>
      <c r="AD3127" s="48"/>
      <c r="AE3127" s="48"/>
      <c r="AF3127" s="48"/>
      <c r="AG3127" s="48"/>
      <c r="AH3127" s="48"/>
      <c r="AI3127" s="48"/>
      <c r="AJ3127" s="48"/>
      <c r="AK3127" s="48"/>
      <c r="AL3127" s="48"/>
      <c r="AM3127" s="48"/>
      <c r="AN3127" s="48"/>
      <c r="AO3127" s="48"/>
      <c r="AP3127" s="48"/>
      <c r="AQ3127" s="48"/>
      <c r="AR3127" s="48"/>
      <c r="AS3127" s="48"/>
      <c r="AT3127" s="48"/>
      <c r="AU3127" s="48"/>
      <c r="AV3127" s="48"/>
      <c r="AW3127" s="48"/>
      <c r="AX3127" s="48"/>
      <c r="AY3127" s="48"/>
      <c r="AZ3127" s="48"/>
      <c r="BA3127" s="48"/>
      <c r="BB3127" s="48"/>
      <c r="BC3127" s="48"/>
      <c r="BD3127" s="48"/>
    </row>
    <row r="3128" spans="1:56">
      <c r="A3128" s="48"/>
      <c r="B3128" s="48"/>
      <c r="C3128" s="49"/>
      <c r="D3128" s="48"/>
      <c r="E3128" s="48"/>
      <c r="F3128" s="48"/>
      <c r="G3128" s="48"/>
      <c r="H3128" s="48"/>
      <c r="I3128" s="48"/>
      <c r="J3128" s="86"/>
      <c r="K3128" s="86"/>
      <c r="L3128" s="86"/>
      <c r="M3128" s="86"/>
      <c r="N3128" s="86"/>
      <c r="O3128" s="86"/>
      <c r="P3128" s="86"/>
      <c r="Q3128" s="86"/>
      <c r="R3128" s="86"/>
      <c r="S3128" s="86"/>
      <c r="T3128" s="86"/>
      <c r="U3128" s="86"/>
      <c r="V3128" s="48"/>
      <c r="W3128" s="48"/>
      <c r="X3128" s="48"/>
      <c r="Y3128" s="48"/>
      <c r="Z3128" s="48"/>
      <c r="AA3128" s="48"/>
      <c r="AB3128" s="48"/>
      <c r="AC3128" s="48"/>
      <c r="AD3128" s="48"/>
      <c r="AE3128" s="48"/>
      <c r="AF3128" s="48"/>
      <c r="AG3128" s="48"/>
      <c r="AH3128" s="48"/>
      <c r="AI3128" s="48"/>
      <c r="AJ3128" s="48"/>
      <c r="AK3128" s="48"/>
      <c r="AL3128" s="48"/>
      <c r="AM3128" s="48"/>
      <c r="AN3128" s="48"/>
      <c r="AO3128" s="48"/>
      <c r="AP3128" s="48"/>
      <c r="AQ3128" s="48"/>
      <c r="AR3128" s="48"/>
      <c r="AS3128" s="48"/>
      <c r="AT3128" s="48"/>
      <c r="AU3128" s="48"/>
      <c r="AV3128" s="48"/>
      <c r="AW3128" s="48"/>
      <c r="AX3128" s="48"/>
      <c r="AY3128" s="48"/>
      <c r="AZ3128" s="48"/>
      <c r="BA3128" s="48"/>
      <c r="BB3128" s="48"/>
      <c r="BC3128" s="48"/>
      <c r="BD3128" s="48"/>
    </row>
    <row r="3129" spans="1:56">
      <c r="A3129" s="48"/>
      <c r="B3129" s="48"/>
      <c r="C3129" s="49"/>
      <c r="D3129" s="48"/>
      <c r="E3129" s="48"/>
      <c r="F3129" s="48"/>
      <c r="G3129" s="48"/>
      <c r="H3129" s="48"/>
      <c r="I3129" s="48"/>
      <c r="J3129" s="86"/>
      <c r="K3129" s="86"/>
      <c r="L3129" s="86"/>
      <c r="M3129" s="86"/>
      <c r="N3129" s="86"/>
      <c r="O3129" s="86"/>
      <c r="P3129" s="86"/>
      <c r="Q3129" s="86"/>
      <c r="R3129" s="86"/>
      <c r="S3129" s="86"/>
      <c r="T3129" s="86"/>
      <c r="U3129" s="86"/>
      <c r="V3129" s="48"/>
      <c r="W3129" s="48"/>
      <c r="X3129" s="48"/>
      <c r="Y3129" s="48"/>
      <c r="Z3129" s="48"/>
      <c r="AA3129" s="48"/>
      <c r="AB3129" s="48"/>
      <c r="AC3129" s="48"/>
      <c r="AD3129" s="48"/>
      <c r="AE3129" s="48"/>
      <c r="AF3129" s="48"/>
      <c r="AG3129" s="48"/>
      <c r="AH3129" s="48"/>
      <c r="AI3129" s="48"/>
      <c r="AJ3129" s="48"/>
      <c r="AK3129" s="48"/>
      <c r="AL3129" s="48"/>
      <c r="AM3129" s="48"/>
      <c r="AN3129" s="48"/>
      <c r="AO3129" s="48"/>
      <c r="AP3129" s="48"/>
      <c r="AQ3129" s="48"/>
      <c r="AR3129" s="48"/>
      <c r="AS3129" s="48"/>
      <c r="AT3129" s="48"/>
      <c r="AU3129" s="48"/>
      <c r="AV3129" s="48"/>
      <c r="AW3129" s="48"/>
      <c r="AX3129" s="48"/>
      <c r="AY3129" s="48"/>
      <c r="AZ3129" s="48"/>
      <c r="BA3129" s="48"/>
      <c r="BB3129" s="48"/>
      <c r="BC3129" s="48"/>
      <c r="BD3129" s="48"/>
    </row>
    <row r="3130" spans="1:56">
      <c r="A3130" s="48"/>
      <c r="B3130" s="48"/>
      <c r="C3130" s="49"/>
      <c r="D3130" s="48"/>
      <c r="E3130" s="48"/>
      <c r="F3130" s="48"/>
      <c r="G3130" s="48"/>
      <c r="H3130" s="48"/>
      <c r="I3130" s="48"/>
      <c r="J3130" s="86"/>
      <c r="K3130" s="86"/>
      <c r="L3130" s="86"/>
      <c r="M3130" s="86"/>
      <c r="N3130" s="86"/>
      <c r="O3130" s="86"/>
      <c r="P3130" s="86"/>
      <c r="Q3130" s="86"/>
      <c r="R3130" s="86"/>
      <c r="S3130" s="86"/>
      <c r="T3130" s="86"/>
      <c r="U3130" s="86"/>
      <c r="V3130" s="48"/>
      <c r="W3130" s="48"/>
      <c r="X3130" s="48"/>
      <c r="Y3130" s="48"/>
      <c r="Z3130" s="48"/>
      <c r="AA3130" s="48"/>
      <c r="AB3130" s="48"/>
      <c r="AC3130" s="48"/>
      <c r="AD3130" s="48"/>
      <c r="AE3130" s="48"/>
      <c r="AF3130" s="48"/>
      <c r="AG3130" s="48"/>
      <c r="AH3130" s="48"/>
      <c r="AI3130" s="48"/>
      <c r="AJ3130" s="48"/>
      <c r="AK3130" s="48"/>
      <c r="AL3130" s="48"/>
      <c r="AM3130" s="48"/>
      <c r="AN3130" s="48"/>
      <c r="AO3130" s="48"/>
      <c r="AP3130" s="48"/>
      <c r="AQ3130" s="48"/>
      <c r="AR3130" s="48"/>
      <c r="AS3130" s="48"/>
      <c r="AT3130" s="48"/>
      <c r="AU3130" s="48"/>
      <c r="AV3130" s="48"/>
      <c r="AW3130" s="48"/>
      <c r="AX3130" s="48"/>
      <c r="AY3130" s="48"/>
      <c r="AZ3130" s="48"/>
      <c r="BA3130" s="48"/>
      <c r="BB3130" s="48"/>
      <c r="BC3130" s="48"/>
      <c r="BD3130" s="48"/>
    </row>
    <row r="3131" spans="1:56">
      <c r="A3131" s="48"/>
      <c r="B3131" s="48"/>
      <c r="C3131" s="49"/>
      <c r="D3131" s="48"/>
      <c r="E3131" s="48"/>
      <c r="F3131" s="48"/>
      <c r="G3131" s="48"/>
      <c r="H3131" s="48"/>
      <c r="I3131" s="48"/>
      <c r="J3131" s="86"/>
      <c r="K3131" s="86"/>
      <c r="L3131" s="86"/>
      <c r="M3131" s="86"/>
      <c r="N3131" s="86"/>
      <c r="O3131" s="86"/>
      <c r="P3131" s="86"/>
      <c r="Q3131" s="86"/>
      <c r="R3131" s="86"/>
      <c r="S3131" s="86"/>
      <c r="T3131" s="86"/>
      <c r="U3131" s="86"/>
      <c r="V3131" s="48"/>
      <c r="W3131" s="48"/>
      <c r="X3131" s="48"/>
      <c r="Y3131" s="48"/>
      <c r="Z3131" s="48"/>
      <c r="AA3131" s="48"/>
      <c r="AB3131" s="48"/>
      <c r="AC3131" s="48"/>
      <c r="AD3131" s="48"/>
      <c r="AE3131" s="48"/>
      <c r="AF3131" s="48"/>
      <c r="AG3131" s="48"/>
      <c r="AH3131" s="48"/>
      <c r="AI3131" s="48"/>
      <c r="AJ3131" s="48"/>
      <c r="AK3131" s="48"/>
      <c r="AL3131" s="48"/>
      <c r="AM3131" s="48"/>
      <c r="AN3131" s="48"/>
      <c r="AO3131" s="48"/>
      <c r="AP3131" s="48"/>
      <c r="AQ3131" s="48"/>
      <c r="AR3131" s="48"/>
      <c r="AS3131" s="48"/>
      <c r="AT3131" s="48"/>
      <c r="AU3131" s="48"/>
      <c r="AV3131" s="48"/>
      <c r="AW3131" s="48"/>
      <c r="AX3131" s="48"/>
      <c r="AY3131" s="48"/>
      <c r="AZ3131" s="48"/>
      <c r="BA3131" s="48"/>
      <c r="BB3131" s="48"/>
      <c r="BC3131" s="48"/>
      <c r="BD3131" s="48"/>
    </row>
    <row r="3132" spans="1:56">
      <c r="A3132" s="48"/>
      <c r="B3132" s="48"/>
      <c r="C3132" s="49"/>
      <c r="D3132" s="48"/>
      <c r="E3132" s="48"/>
      <c r="F3132" s="48"/>
      <c r="G3132" s="48"/>
      <c r="H3132" s="48"/>
      <c r="I3132" s="48"/>
      <c r="J3132" s="86"/>
      <c r="K3132" s="86"/>
      <c r="L3132" s="86"/>
      <c r="M3132" s="86"/>
      <c r="N3132" s="86"/>
      <c r="O3132" s="86"/>
      <c r="P3132" s="86"/>
      <c r="Q3132" s="86"/>
      <c r="R3132" s="86"/>
      <c r="S3132" s="86"/>
      <c r="T3132" s="86"/>
      <c r="U3132" s="86"/>
      <c r="V3132" s="48"/>
      <c r="W3132" s="48"/>
      <c r="X3132" s="48"/>
      <c r="Y3132" s="48"/>
      <c r="Z3132" s="48"/>
      <c r="AA3132" s="48"/>
      <c r="AB3132" s="48"/>
      <c r="AC3132" s="48"/>
      <c r="AD3132" s="48"/>
      <c r="AE3132" s="48"/>
      <c r="AF3132" s="48"/>
      <c r="AG3132" s="48"/>
      <c r="AH3132" s="48"/>
      <c r="AI3132" s="48"/>
      <c r="AJ3132" s="48"/>
      <c r="AK3132" s="48"/>
      <c r="AL3132" s="48"/>
      <c r="AM3132" s="48"/>
      <c r="AN3132" s="48"/>
      <c r="AO3132" s="48"/>
      <c r="AP3132" s="48"/>
      <c r="AQ3132" s="48"/>
      <c r="AR3132" s="48"/>
      <c r="AS3132" s="48"/>
      <c r="AT3132" s="48"/>
      <c r="AU3132" s="48"/>
      <c r="AV3132" s="48"/>
      <c r="AW3132" s="48"/>
      <c r="AX3132" s="48"/>
      <c r="AY3132" s="48"/>
      <c r="AZ3132" s="48"/>
      <c r="BA3132" s="48"/>
      <c r="BB3132" s="48"/>
      <c r="BC3132" s="48"/>
      <c r="BD3132" s="48"/>
    </row>
    <row r="3133" spans="1:56">
      <c r="A3133" s="48"/>
      <c r="B3133" s="48"/>
      <c r="C3133" s="49"/>
      <c r="D3133" s="48"/>
      <c r="E3133" s="48"/>
      <c r="F3133" s="48"/>
      <c r="G3133" s="48"/>
      <c r="H3133" s="48"/>
      <c r="I3133" s="48"/>
      <c r="J3133" s="86"/>
      <c r="K3133" s="86"/>
      <c r="L3133" s="86"/>
      <c r="M3133" s="86"/>
      <c r="N3133" s="86"/>
      <c r="O3133" s="86"/>
      <c r="P3133" s="86"/>
      <c r="Q3133" s="86"/>
      <c r="R3133" s="86"/>
      <c r="S3133" s="86"/>
      <c r="T3133" s="86"/>
      <c r="U3133" s="86"/>
      <c r="V3133" s="48"/>
      <c r="W3133" s="48"/>
      <c r="X3133" s="48"/>
      <c r="Y3133" s="48"/>
      <c r="Z3133" s="48"/>
      <c r="AA3133" s="48"/>
      <c r="AB3133" s="48"/>
      <c r="AC3133" s="48"/>
      <c r="AD3133" s="48"/>
      <c r="AE3133" s="48"/>
      <c r="AF3133" s="48"/>
      <c r="AG3133" s="48"/>
      <c r="AH3133" s="48"/>
      <c r="AI3133" s="48"/>
      <c r="AJ3133" s="48"/>
      <c r="AK3133" s="48"/>
      <c r="AL3133" s="48"/>
      <c r="AM3133" s="48"/>
      <c r="AN3133" s="48"/>
      <c r="AO3133" s="48"/>
      <c r="AP3133" s="48"/>
      <c r="AQ3133" s="48"/>
      <c r="AR3133" s="48"/>
      <c r="AS3133" s="48"/>
      <c r="AT3133" s="48"/>
      <c r="AU3133" s="48"/>
      <c r="AV3133" s="48"/>
      <c r="AW3133" s="48"/>
      <c r="AX3133" s="48"/>
      <c r="AY3133" s="48"/>
      <c r="AZ3133" s="48"/>
      <c r="BA3133" s="48"/>
      <c r="BB3133" s="48"/>
      <c r="BC3133" s="48"/>
      <c r="BD3133" s="48"/>
    </row>
    <row r="3134" spans="1:56">
      <c r="A3134" s="48"/>
      <c r="B3134" s="48"/>
      <c r="C3134" s="49"/>
      <c r="D3134" s="48"/>
      <c r="E3134" s="48"/>
      <c r="F3134" s="48"/>
      <c r="G3134" s="48"/>
      <c r="H3134" s="48"/>
      <c r="I3134" s="48"/>
      <c r="J3134" s="86"/>
      <c r="K3134" s="86"/>
      <c r="L3134" s="86"/>
      <c r="M3134" s="86"/>
      <c r="N3134" s="86"/>
      <c r="O3134" s="86"/>
      <c r="P3134" s="86"/>
      <c r="Q3134" s="86"/>
      <c r="R3134" s="86"/>
      <c r="S3134" s="86"/>
      <c r="T3134" s="86"/>
      <c r="U3134" s="86"/>
      <c r="V3134" s="48"/>
      <c r="W3134" s="48"/>
      <c r="X3134" s="48"/>
      <c r="Y3134" s="48"/>
      <c r="Z3134" s="48"/>
      <c r="AA3134" s="48"/>
      <c r="AB3134" s="48"/>
      <c r="AC3134" s="48"/>
      <c r="AD3134" s="48"/>
      <c r="AE3134" s="48"/>
      <c r="AF3134" s="48"/>
      <c r="AG3134" s="48"/>
      <c r="AH3134" s="48"/>
      <c r="AI3134" s="48"/>
      <c r="AJ3134" s="48"/>
      <c r="AK3134" s="48"/>
      <c r="AL3134" s="48"/>
      <c r="AM3134" s="48"/>
      <c r="AN3134" s="48"/>
      <c r="AO3134" s="48"/>
      <c r="AP3134" s="48"/>
      <c r="AQ3134" s="48"/>
      <c r="AR3134" s="48"/>
      <c r="AS3134" s="48"/>
      <c r="AT3134" s="48"/>
      <c r="AU3134" s="48"/>
      <c r="AV3134" s="48"/>
      <c r="AW3134" s="48"/>
      <c r="AX3134" s="48"/>
      <c r="AY3134" s="48"/>
      <c r="AZ3134" s="48"/>
      <c r="BA3134" s="48"/>
      <c r="BB3134" s="48"/>
      <c r="BC3134" s="48"/>
      <c r="BD3134" s="48"/>
    </row>
    <row r="3135" spans="1:56">
      <c r="A3135" s="48"/>
      <c r="B3135" s="48"/>
      <c r="C3135" s="49"/>
      <c r="D3135" s="48"/>
      <c r="E3135" s="48"/>
      <c r="F3135" s="48"/>
      <c r="G3135" s="48"/>
      <c r="H3135" s="48"/>
      <c r="I3135" s="48"/>
      <c r="J3135" s="86"/>
      <c r="K3135" s="86"/>
      <c r="L3135" s="86"/>
      <c r="M3135" s="86"/>
      <c r="N3135" s="86"/>
      <c r="O3135" s="86"/>
      <c r="P3135" s="86"/>
      <c r="Q3135" s="86"/>
      <c r="R3135" s="86"/>
      <c r="S3135" s="86"/>
      <c r="T3135" s="86"/>
      <c r="U3135" s="86"/>
      <c r="V3135" s="48"/>
      <c r="W3135" s="48"/>
      <c r="X3135" s="48"/>
      <c r="Y3135" s="48"/>
      <c r="Z3135" s="48"/>
      <c r="AA3135" s="48"/>
      <c r="AB3135" s="48"/>
      <c r="AC3135" s="48"/>
      <c r="AD3135" s="48"/>
      <c r="AE3135" s="48"/>
      <c r="AF3135" s="48"/>
      <c r="AG3135" s="48"/>
      <c r="AH3135" s="48"/>
      <c r="AI3135" s="48"/>
      <c r="AJ3135" s="48"/>
      <c r="AK3135" s="48"/>
      <c r="AL3135" s="48"/>
      <c r="AM3135" s="48"/>
      <c r="AN3135" s="48"/>
      <c r="AO3135" s="48"/>
      <c r="AP3135" s="48"/>
      <c r="AQ3135" s="48"/>
      <c r="AR3135" s="48"/>
      <c r="AS3135" s="48"/>
      <c r="AT3135" s="48"/>
      <c r="AU3135" s="48"/>
      <c r="AV3135" s="48"/>
      <c r="AW3135" s="48"/>
      <c r="AX3135" s="48"/>
      <c r="AY3135" s="48"/>
      <c r="AZ3135" s="48"/>
      <c r="BA3135" s="48"/>
      <c r="BB3135" s="48"/>
      <c r="BC3135" s="48"/>
      <c r="BD3135" s="48"/>
    </row>
    <row r="3136" spans="1:56">
      <c r="A3136" s="48"/>
      <c r="B3136" s="48"/>
      <c r="C3136" s="49"/>
      <c r="D3136" s="48"/>
      <c r="E3136" s="48"/>
      <c r="F3136" s="48"/>
      <c r="G3136" s="48"/>
      <c r="H3136" s="48"/>
      <c r="I3136" s="48"/>
      <c r="J3136" s="86"/>
      <c r="K3136" s="86"/>
      <c r="L3136" s="86"/>
      <c r="M3136" s="86"/>
      <c r="N3136" s="86"/>
      <c r="O3136" s="86"/>
      <c r="P3136" s="86"/>
      <c r="Q3136" s="86"/>
      <c r="R3136" s="86"/>
      <c r="S3136" s="86"/>
      <c r="T3136" s="86"/>
      <c r="U3136" s="86"/>
      <c r="V3136" s="48"/>
      <c r="W3136" s="48"/>
      <c r="X3136" s="48"/>
      <c r="Y3136" s="48"/>
      <c r="Z3136" s="48"/>
      <c r="AA3136" s="48"/>
      <c r="AB3136" s="48"/>
      <c r="AC3136" s="48"/>
      <c r="AD3136" s="48"/>
      <c r="AE3136" s="48"/>
      <c r="AF3136" s="48"/>
      <c r="AG3136" s="48"/>
      <c r="AH3136" s="48"/>
      <c r="AI3136" s="48"/>
      <c r="AJ3136" s="48"/>
      <c r="AK3136" s="48"/>
      <c r="AL3136" s="48"/>
      <c r="AM3136" s="48"/>
      <c r="AN3136" s="48"/>
      <c r="AO3136" s="48"/>
      <c r="AP3136" s="48"/>
      <c r="AQ3136" s="48"/>
      <c r="AR3136" s="48"/>
      <c r="AS3136" s="48"/>
      <c r="AT3136" s="48"/>
      <c r="AU3136" s="48"/>
      <c r="AV3136" s="48"/>
      <c r="AW3136" s="48"/>
      <c r="AX3136" s="48"/>
      <c r="AY3136" s="48"/>
      <c r="AZ3136" s="48"/>
      <c r="BA3136" s="48"/>
      <c r="BB3136" s="48"/>
      <c r="BC3136" s="48"/>
      <c r="BD3136" s="48"/>
    </row>
    <row r="3137" spans="1:56">
      <c r="A3137" s="48"/>
      <c r="B3137" s="48"/>
      <c r="C3137" s="49"/>
      <c r="D3137" s="48"/>
      <c r="E3137" s="48"/>
      <c r="F3137" s="48"/>
      <c r="G3137" s="48"/>
      <c r="H3137" s="48"/>
      <c r="I3137" s="48"/>
      <c r="J3137" s="86"/>
      <c r="K3137" s="86"/>
      <c r="L3137" s="86"/>
      <c r="M3137" s="86"/>
      <c r="N3137" s="86"/>
      <c r="O3137" s="86"/>
      <c r="P3137" s="86"/>
      <c r="Q3137" s="86"/>
      <c r="R3137" s="86"/>
      <c r="S3137" s="86"/>
      <c r="T3137" s="86"/>
      <c r="U3137" s="86"/>
      <c r="V3137" s="48"/>
      <c r="W3137" s="48"/>
      <c r="X3137" s="48"/>
      <c r="Y3137" s="48"/>
      <c r="Z3137" s="48"/>
      <c r="AA3137" s="48"/>
      <c r="AB3137" s="48"/>
      <c r="AC3137" s="48"/>
      <c r="AD3137" s="48"/>
      <c r="AE3137" s="48"/>
      <c r="AF3137" s="48"/>
      <c r="AG3137" s="48"/>
      <c r="AH3137" s="48"/>
      <c r="AI3137" s="48"/>
      <c r="AJ3137" s="48"/>
      <c r="AK3137" s="48"/>
      <c r="AL3137" s="48"/>
      <c r="AM3137" s="48"/>
      <c r="AN3137" s="48"/>
      <c r="AO3137" s="48"/>
      <c r="AP3137" s="48"/>
      <c r="AQ3137" s="48"/>
      <c r="AR3137" s="48"/>
      <c r="AS3137" s="48"/>
      <c r="AT3137" s="48"/>
      <c r="AU3137" s="48"/>
      <c r="AV3137" s="48"/>
      <c r="AW3137" s="48"/>
      <c r="AX3137" s="48"/>
      <c r="AY3137" s="48"/>
      <c r="AZ3137" s="48"/>
      <c r="BA3137" s="48"/>
      <c r="BB3137" s="48"/>
      <c r="BC3137" s="48"/>
      <c r="BD3137" s="48"/>
    </row>
    <row r="3138" spans="1:56">
      <c r="A3138" s="48"/>
      <c r="B3138" s="48"/>
      <c r="C3138" s="49"/>
      <c r="D3138" s="48"/>
      <c r="E3138" s="48"/>
      <c r="F3138" s="48"/>
      <c r="G3138" s="48"/>
      <c r="H3138" s="48"/>
      <c r="I3138" s="48"/>
      <c r="J3138" s="86"/>
      <c r="K3138" s="86"/>
      <c r="L3138" s="86"/>
      <c r="M3138" s="86"/>
      <c r="N3138" s="86"/>
      <c r="O3138" s="86"/>
      <c r="P3138" s="86"/>
      <c r="Q3138" s="86"/>
      <c r="R3138" s="86"/>
      <c r="S3138" s="86"/>
      <c r="T3138" s="86"/>
      <c r="U3138" s="86"/>
      <c r="V3138" s="48"/>
      <c r="W3138" s="48"/>
      <c r="X3138" s="48"/>
      <c r="Y3138" s="48"/>
      <c r="Z3138" s="48"/>
      <c r="AA3138" s="48"/>
      <c r="AB3138" s="48"/>
      <c r="AC3138" s="48"/>
      <c r="AD3138" s="48"/>
      <c r="AE3138" s="48"/>
      <c r="AF3138" s="48"/>
      <c r="AG3138" s="48"/>
      <c r="AH3138" s="48"/>
      <c r="AI3138" s="48"/>
      <c r="AJ3138" s="48"/>
      <c r="AK3138" s="48"/>
      <c r="AL3138" s="48"/>
      <c r="AM3138" s="48"/>
      <c r="AN3138" s="48"/>
      <c r="AO3138" s="48"/>
      <c r="AP3138" s="48"/>
      <c r="AQ3138" s="48"/>
      <c r="AR3138" s="48"/>
      <c r="AS3138" s="48"/>
      <c r="AT3138" s="48"/>
      <c r="AU3138" s="48"/>
      <c r="AV3138" s="48"/>
      <c r="AW3138" s="48"/>
      <c r="AX3138" s="48"/>
      <c r="AY3138" s="48"/>
      <c r="AZ3138" s="48"/>
      <c r="BA3138" s="48"/>
      <c r="BB3138" s="48"/>
      <c r="BC3138" s="48"/>
      <c r="BD3138" s="48"/>
    </row>
    <row r="3139" spans="1:56">
      <c r="A3139" s="48"/>
      <c r="B3139" s="48"/>
      <c r="C3139" s="49"/>
      <c r="D3139" s="48"/>
      <c r="E3139" s="48"/>
      <c r="F3139" s="48"/>
      <c r="G3139" s="48"/>
      <c r="H3139" s="48"/>
      <c r="I3139" s="48"/>
      <c r="J3139" s="86"/>
      <c r="K3139" s="86"/>
      <c r="L3139" s="86"/>
      <c r="M3139" s="86"/>
      <c r="N3139" s="86"/>
      <c r="O3139" s="86"/>
      <c r="P3139" s="86"/>
      <c r="Q3139" s="86"/>
      <c r="R3139" s="86"/>
      <c r="S3139" s="86"/>
      <c r="T3139" s="86"/>
      <c r="U3139" s="86"/>
      <c r="V3139" s="48"/>
      <c r="W3139" s="48"/>
      <c r="X3139" s="48"/>
      <c r="Y3139" s="48"/>
      <c r="Z3139" s="48"/>
      <c r="AA3139" s="48"/>
      <c r="AB3139" s="48"/>
      <c r="AC3139" s="48"/>
      <c r="AD3139" s="48"/>
      <c r="AE3139" s="48"/>
      <c r="AF3139" s="48"/>
      <c r="AG3139" s="48"/>
      <c r="AH3139" s="48"/>
      <c r="AI3139" s="48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48"/>
      <c r="AU3139" s="48"/>
      <c r="AV3139" s="48"/>
      <c r="AW3139" s="48"/>
      <c r="AX3139" s="48"/>
      <c r="AY3139" s="48"/>
      <c r="AZ3139" s="48"/>
      <c r="BA3139" s="48"/>
      <c r="BB3139" s="48"/>
      <c r="BC3139" s="48"/>
      <c r="BD3139" s="48"/>
    </row>
    <row r="3140" spans="1:56">
      <c r="A3140" s="48"/>
      <c r="B3140" s="48"/>
      <c r="C3140" s="49"/>
      <c r="D3140" s="48"/>
      <c r="E3140" s="48"/>
      <c r="F3140" s="48"/>
      <c r="G3140" s="48"/>
      <c r="H3140" s="48"/>
      <c r="I3140" s="48"/>
      <c r="J3140" s="86"/>
      <c r="K3140" s="86"/>
      <c r="L3140" s="86"/>
      <c r="M3140" s="86"/>
      <c r="N3140" s="86"/>
      <c r="O3140" s="86"/>
      <c r="P3140" s="86"/>
      <c r="Q3140" s="86"/>
      <c r="R3140" s="86"/>
      <c r="S3140" s="86"/>
      <c r="T3140" s="86"/>
      <c r="U3140" s="86"/>
      <c r="V3140" s="48"/>
      <c r="W3140" s="48"/>
      <c r="X3140" s="48"/>
      <c r="Y3140" s="48"/>
      <c r="Z3140" s="48"/>
      <c r="AA3140" s="48"/>
      <c r="AB3140" s="48"/>
      <c r="AC3140" s="48"/>
      <c r="AD3140" s="48"/>
      <c r="AE3140" s="48"/>
      <c r="AF3140" s="48"/>
      <c r="AG3140" s="48"/>
      <c r="AH3140" s="48"/>
      <c r="AI3140" s="48"/>
      <c r="AJ3140" s="48"/>
      <c r="AK3140" s="48"/>
      <c r="AL3140" s="48"/>
      <c r="AM3140" s="48"/>
      <c r="AN3140" s="48"/>
      <c r="AO3140" s="48"/>
      <c r="AP3140" s="48"/>
      <c r="AQ3140" s="48"/>
      <c r="AR3140" s="48"/>
      <c r="AS3140" s="48"/>
      <c r="AT3140" s="48"/>
      <c r="AU3140" s="48"/>
      <c r="AV3140" s="48"/>
      <c r="AW3140" s="48"/>
      <c r="AX3140" s="48"/>
      <c r="AY3140" s="48"/>
      <c r="AZ3140" s="48"/>
      <c r="BA3140" s="48"/>
      <c r="BB3140" s="48"/>
      <c r="BC3140" s="48"/>
      <c r="BD3140" s="48"/>
    </row>
    <row r="3141" spans="1:56">
      <c r="A3141" s="48"/>
      <c r="B3141" s="48"/>
      <c r="C3141" s="49"/>
      <c r="D3141" s="48"/>
      <c r="E3141" s="48"/>
      <c r="F3141" s="48"/>
      <c r="G3141" s="48"/>
      <c r="H3141" s="48"/>
      <c r="I3141" s="48"/>
      <c r="J3141" s="86"/>
      <c r="K3141" s="86"/>
      <c r="L3141" s="86"/>
      <c r="M3141" s="86"/>
      <c r="N3141" s="86"/>
      <c r="O3141" s="86"/>
      <c r="P3141" s="86"/>
      <c r="Q3141" s="86"/>
      <c r="R3141" s="86"/>
      <c r="S3141" s="86"/>
      <c r="T3141" s="86"/>
      <c r="U3141" s="86"/>
      <c r="V3141" s="48"/>
      <c r="W3141" s="48"/>
      <c r="X3141" s="48"/>
      <c r="Y3141" s="48"/>
      <c r="Z3141" s="48"/>
      <c r="AA3141" s="48"/>
      <c r="AB3141" s="48"/>
      <c r="AC3141" s="48"/>
      <c r="AD3141" s="48"/>
      <c r="AE3141" s="48"/>
      <c r="AF3141" s="48"/>
      <c r="AG3141" s="48"/>
      <c r="AH3141" s="48"/>
      <c r="AI3141" s="48"/>
      <c r="AJ3141" s="48"/>
      <c r="AK3141" s="48"/>
      <c r="AL3141" s="48"/>
      <c r="AM3141" s="48"/>
      <c r="AN3141" s="48"/>
      <c r="AO3141" s="48"/>
      <c r="AP3141" s="48"/>
      <c r="AQ3141" s="48"/>
      <c r="AR3141" s="48"/>
      <c r="AS3141" s="48"/>
      <c r="AT3141" s="48"/>
      <c r="AU3141" s="48"/>
      <c r="AV3141" s="48"/>
      <c r="AW3141" s="48"/>
      <c r="AX3141" s="48"/>
      <c r="AY3141" s="48"/>
      <c r="AZ3141" s="48"/>
      <c r="BA3141" s="48"/>
      <c r="BB3141" s="48"/>
      <c r="BC3141" s="48"/>
      <c r="BD3141" s="48"/>
    </row>
    <row r="3142" spans="1:56">
      <c r="A3142" s="48"/>
      <c r="B3142" s="48"/>
      <c r="C3142" s="49"/>
      <c r="D3142" s="48"/>
      <c r="E3142" s="48"/>
      <c r="F3142" s="48"/>
      <c r="G3142" s="48"/>
      <c r="H3142" s="48"/>
      <c r="I3142" s="48"/>
      <c r="J3142" s="86"/>
      <c r="K3142" s="86"/>
      <c r="L3142" s="86"/>
      <c r="M3142" s="86"/>
      <c r="N3142" s="86"/>
      <c r="O3142" s="86"/>
      <c r="P3142" s="86"/>
      <c r="Q3142" s="86"/>
      <c r="R3142" s="86"/>
      <c r="S3142" s="86"/>
      <c r="T3142" s="86"/>
      <c r="U3142" s="86"/>
      <c r="V3142" s="48"/>
      <c r="W3142" s="48"/>
      <c r="X3142" s="48"/>
      <c r="Y3142" s="48"/>
      <c r="Z3142" s="48"/>
      <c r="AA3142" s="48"/>
      <c r="AB3142" s="48"/>
      <c r="AC3142" s="48"/>
      <c r="AD3142" s="48"/>
      <c r="AE3142" s="48"/>
      <c r="AF3142" s="48"/>
      <c r="AG3142" s="48"/>
      <c r="AH3142" s="48"/>
      <c r="AI3142" s="48"/>
      <c r="AJ3142" s="48"/>
      <c r="AK3142" s="48"/>
      <c r="AL3142" s="48"/>
      <c r="AM3142" s="48"/>
      <c r="AN3142" s="48"/>
      <c r="AO3142" s="48"/>
      <c r="AP3142" s="48"/>
      <c r="AQ3142" s="48"/>
      <c r="AR3142" s="48"/>
      <c r="AS3142" s="48"/>
      <c r="AT3142" s="48"/>
      <c r="AU3142" s="48"/>
      <c r="AV3142" s="48"/>
      <c r="AW3142" s="48"/>
      <c r="AX3142" s="48"/>
      <c r="AY3142" s="48"/>
      <c r="AZ3142" s="48"/>
      <c r="BA3142" s="48"/>
      <c r="BB3142" s="48"/>
      <c r="BC3142" s="48"/>
      <c r="BD3142" s="48"/>
    </row>
    <row r="3143" spans="1:56">
      <c r="A3143" s="48"/>
      <c r="B3143" s="48"/>
      <c r="C3143" s="49"/>
      <c r="D3143" s="48"/>
      <c r="E3143" s="48"/>
      <c r="F3143" s="48"/>
      <c r="G3143" s="48"/>
      <c r="H3143" s="48"/>
      <c r="I3143" s="48"/>
      <c r="J3143" s="86"/>
      <c r="K3143" s="86"/>
      <c r="L3143" s="86"/>
      <c r="M3143" s="86"/>
      <c r="N3143" s="86"/>
      <c r="O3143" s="86"/>
      <c r="P3143" s="86"/>
      <c r="Q3143" s="86"/>
      <c r="R3143" s="86"/>
      <c r="S3143" s="86"/>
      <c r="T3143" s="86"/>
      <c r="U3143" s="86"/>
      <c r="V3143" s="48"/>
      <c r="W3143" s="48"/>
      <c r="X3143" s="48"/>
      <c r="Y3143" s="48"/>
      <c r="Z3143" s="48"/>
      <c r="AA3143" s="48"/>
      <c r="AB3143" s="48"/>
      <c r="AC3143" s="48"/>
      <c r="AD3143" s="48"/>
      <c r="AE3143" s="48"/>
      <c r="AF3143" s="48"/>
      <c r="AG3143" s="48"/>
      <c r="AH3143" s="48"/>
      <c r="AI3143" s="48"/>
      <c r="AJ3143" s="48"/>
      <c r="AK3143" s="48"/>
      <c r="AL3143" s="48"/>
      <c r="AM3143" s="48"/>
      <c r="AN3143" s="48"/>
      <c r="AO3143" s="48"/>
      <c r="AP3143" s="48"/>
      <c r="AQ3143" s="48"/>
      <c r="AR3143" s="48"/>
      <c r="AS3143" s="48"/>
      <c r="AT3143" s="48"/>
      <c r="AU3143" s="48"/>
      <c r="AV3143" s="48"/>
      <c r="AW3143" s="48"/>
      <c r="AX3143" s="48"/>
      <c r="AY3143" s="48"/>
      <c r="AZ3143" s="48"/>
      <c r="BA3143" s="48"/>
      <c r="BB3143" s="48"/>
      <c r="BC3143" s="48"/>
      <c r="BD3143" s="48"/>
    </row>
    <row r="3144" spans="1:56">
      <c r="A3144" s="48"/>
      <c r="B3144" s="48"/>
      <c r="C3144" s="49"/>
      <c r="D3144" s="48"/>
      <c r="E3144" s="48"/>
      <c r="F3144" s="48"/>
      <c r="G3144" s="48"/>
      <c r="H3144" s="48"/>
      <c r="I3144" s="48"/>
      <c r="J3144" s="86"/>
      <c r="K3144" s="86"/>
      <c r="L3144" s="86"/>
      <c r="M3144" s="86"/>
      <c r="N3144" s="86"/>
      <c r="O3144" s="86"/>
      <c r="P3144" s="86"/>
      <c r="Q3144" s="86"/>
      <c r="R3144" s="86"/>
      <c r="S3144" s="86"/>
      <c r="T3144" s="86"/>
      <c r="U3144" s="86"/>
      <c r="V3144" s="48"/>
      <c r="W3144" s="48"/>
      <c r="X3144" s="48"/>
      <c r="Y3144" s="48"/>
      <c r="Z3144" s="48"/>
      <c r="AA3144" s="48"/>
      <c r="AB3144" s="48"/>
      <c r="AC3144" s="48"/>
      <c r="AD3144" s="48"/>
      <c r="AE3144" s="48"/>
      <c r="AF3144" s="48"/>
      <c r="AG3144" s="48"/>
      <c r="AH3144" s="48"/>
      <c r="AI3144" s="48"/>
      <c r="AJ3144" s="48"/>
      <c r="AK3144" s="48"/>
      <c r="AL3144" s="48"/>
      <c r="AM3144" s="48"/>
      <c r="AN3144" s="48"/>
      <c r="AO3144" s="48"/>
      <c r="AP3144" s="48"/>
      <c r="AQ3144" s="48"/>
      <c r="AR3144" s="48"/>
      <c r="AS3144" s="48"/>
      <c r="AT3144" s="48"/>
      <c r="AU3144" s="48"/>
      <c r="AV3144" s="48"/>
      <c r="AW3144" s="48"/>
      <c r="AX3144" s="48"/>
      <c r="AY3144" s="48"/>
      <c r="AZ3144" s="48"/>
      <c r="BA3144" s="48"/>
      <c r="BB3144" s="48"/>
      <c r="BC3144" s="48"/>
      <c r="BD3144" s="48"/>
    </row>
    <row r="3145" spans="1:56">
      <c r="A3145" s="48"/>
      <c r="B3145" s="48"/>
      <c r="C3145" s="49"/>
      <c r="D3145" s="48"/>
      <c r="E3145" s="48"/>
      <c r="F3145" s="48"/>
      <c r="G3145" s="48"/>
      <c r="H3145" s="48"/>
      <c r="I3145" s="48"/>
      <c r="J3145" s="86"/>
      <c r="K3145" s="86"/>
      <c r="L3145" s="86"/>
      <c r="M3145" s="86"/>
      <c r="N3145" s="86"/>
      <c r="O3145" s="86"/>
      <c r="P3145" s="86"/>
      <c r="Q3145" s="86"/>
      <c r="R3145" s="86"/>
      <c r="S3145" s="86"/>
      <c r="T3145" s="86"/>
      <c r="U3145" s="86"/>
      <c r="V3145" s="48"/>
      <c r="W3145" s="48"/>
      <c r="X3145" s="48"/>
      <c r="Y3145" s="48"/>
      <c r="Z3145" s="48"/>
      <c r="AA3145" s="48"/>
      <c r="AB3145" s="48"/>
      <c r="AC3145" s="48"/>
      <c r="AD3145" s="48"/>
      <c r="AE3145" s="48"/>
      <c r="AF3145" s="48"/>
      <c r="AG3145" s="48"/>
      <c r="AH3145" s="48"/>
      <c r="AI3145" s="48"/>
      <c r="AJ3145" s="48"/>
      <c r="AK3145" s="48"/>
      <c r="AL3145" s="48"/>
      <c r="AM3145" s="48"/>
      <c r="AN3145" s="48"/>
      <c r="AO3145" s="48"/>
      <c r="AP3145" s="48"/>
      <c r="AQ3145" s="48"/>
      <c r="AR3145" s="48"/>
      <c r="AS3145" s="48"/>
      <c r="AT3145" s="48"/>
      <c r="AU3145" s="48"/>
      <c r="AV3145" s="48"/>
      <c r="AW3145" s="48"/>
      <c r="AX3145" s="48"/>
      <c r="AY3145" s="48"/>
      <c r="AZ3145" s="48"/>
      <c r="BA3145" s="48"/>
      <c r="BB3145" s="48"/>
      <c r="BC3145" s="48"/>
      <c r="BD3145" s="48"/>
    </row>
    <row r="3146" spans="1:56">
      <c r="A3146" s="48"/>
      <c r="B3146" s="48"/>
      <c r="C3146" s="49"/>
      <c r="D3146" s="48"/>
      <c r="E3146" s="48"/>
      <c r="F3146" s="48"/>
      <c r="G3146" s="48"/>
      <c r="H3146" s="48"/>
      <c r="I3146" s="48"/>
      <c r="J3146" s="86"/>
      <c r="K3146" s="86"/>
      <c r="L3146" s="86"/>
      <c r="M3146" s="86"/>
      <c r="N3146" s="86"/>
      <c r="O3146" s="86"/>
      <c r="P3146" s="86"/>
      <c r="Q3146" s="86"/>
      <c r="R3146" s="86"/>
      <c r="S3146" s="86"/>
      <c r="T3146" s="86"/>
      <c r="U3146" s="86"/>
      <c r="V3146" s="48"/>
      <c r="W3146" s="48"/>
      <c r="X3146" s="48"/>
      <c r="Y3146" s="48"/>
      <c r="Z3146" s="48"/>
      <c r="AA3146" s="48"/>
      <c r="AB3146" s="48"/>
      <c r="AC3146" s="48"/>
      <c r="AD3146" s="48"/>
      <c r="AE3146" s="48"/>
      <c r="AF3146" s="48"/>
      <c r="AG3146" s="48"/>
      <c r="AH3146" s="48"/>
      <c r="AI3146" s="48"/>
      <c r="AJ3146" s="48"/>
      <c r="AK3146" s="48"/>
      <c r="AL3146" s="48"/>
      <c r="AM3146" s="48"/>
      <c r="AN3146" s="48"/>
      <c r="AO3146" s="48"/>
      <c r="AP3146" s="48"/>
      <c r="AQ3146" s="48"/>
      <c r="AR3146" s="48"/>
      <c r="AS3146" s="48"/>
      <c r="AT3146" s="48"/>
      <c r="AU3146" s="48"/>
      <c r="AV3146" s="48"/>
      <c r="AW3146" s="48"/>
      <c r="AX3146" s="48"/>
      <c r="AY3146" s="48"/>
      <c r="AZ3146" s="48"/>
      <c r="BA3146" s="48"/>
      <c r="BB3146" s="48"/>
      <c r="BC3146" s="48"/>
      <c r="BD3146" s="48"/>
    </row>
    <row r="3147" spans="1:56">
      <c r="A3147" s="48"/>
      <c r="B3147" s="48"/>
      <c r="C3147" s="49"/>
      <c r="D3147" s="48"/>
      <c r="E3147" s="48"/>
      <c r="F3147" s="48"/>
      <c r="G3147" s="48"/>
      <c r="H3147" s="48"/>
      <c r="I3147" s="48"/>
      <c r="J3147" s="86"/>
      <c r="K3147" s="86"/>
      <c r="L3147" s="86"/>
      <c r="M3147" s="86"/>
      <c r="N3147" s="86"/>
      <c r="O3147" s="86"/>
      <c r="P3147" s="86"/>
      <c r="Q3147" s="86"/>
      <c r="R3147" s="86"/>
      <c r="S3147" s="86"/>
      <c r="T3147" s="86"/>
      <c r="U3147" s="86"/>
      <c r="V3147" s="48"/>
      <c r="W3147" s="48"/>
      <c r="X3147" s="48"/>
      <c r="Y3147" s="48"/>
      <c r="Z3147" s="48"/>
      <c r="AA3147" s="48"/>
      <c r="AB3147" s="48"/>
      <c r="AC3147" s="48"/>
      <c r="AD3147" s="48"/>
      <c r="AE3147" s="48"/>
      <c r="AF3147" s="48"/>
      <c r="AG3147" s="48"/>
      <c r="AH3147" s="48"/>
      <c r="AI3147" s="48"/>
      <c r="AJ3147" s="48"/>
      <c r="AK3147" s="48"/>
      <c r="AL3147" s="48"/>
      <c r="AM3147" s="48"/>
      <c r="AN3147" s="48"/>
      <c r="AO3147" s="48"/>
      <c r="AP3147" s="48"/>
      <c r="AQ3147" s="48"/>
      <c r="AR3147" s="48"/>
      <c r="AS3147" s="48"/>
      <c r="AT3147" s="48"/>
      <c r="AU3147" s="48"/>
      <c r="AV3147" s="48"/>
      <c r="AW3147" s="48"/>
      <c r="AX3147" s="48"/>
      <c r="AY3147" s="48"/>
      <c r="AZ3147" s="48"/>
      <c r="BA3147" s="48"/>
      <c r="BB3147" s="48"/>
      <c r="BC3147" s="48"/>
      <c r="BD3147" s="48"/>
    </row>
    <row r="3148" spans="1:56">
      <c r="A3148" s="48"/>
      <c r="B3148" s="48"/>
      <c r="C3148" s="49"/>
      <c r="D3148" s="48"/>
      <c r="E3148" s="48"/>
      <c r="F3148" s="48"/>
      <c r="G3148" s="48"/>
      <c r="H3148" s="48"/>
      <c r="I3148" s="48"/>
      <c r="J3148" s="86"/>
      <c r="K3148" s="86"/>
      <c r="L3148" s="86"/>
      <c r="M3148" s="86"/>
      <c r="N3148" s="86"/>
      <c r="O3148" s="86"/>
      <c r="P3148" s="86"/>
      <c r="Q3148" s="86"/>
      <c r="R3148" s="86"/>
      <c r="S3148" s="86"/>
      <c r="T3148" s="86"/>
      <c r="U3148" s="86"/>
      <c r="V3148" s="48"/>
      <c r="W3148" s="48"/>
      <c r="X3148" s="48"/>
      <c r="Y3148" s="48"/>
      <c r="Z3148" s="48"/>
      <c r="AA3148" s="48"/>
      <c r="AB3148" s="48"/>
      <c r="AC3148" s="48"/>
      <c r="AD3148" s="48"/>
      <c r="AE3148" s="48"/>
      <c r="AF3148" s="48"/>
      <c r="AG3148" s="48"/>
      <c r="AH3148" s="48"/>
      <c r="AI3148" s="48"/>
      <c r="AJ3148" s="48"/>
      <c r="AK3148" s="48"/>
      <c r="AL3148" s="48"/>
      <c r="AM3148" s="48"/>
      <c r="AN3148" s="48"/>
      <c r="AO3148" s="48"/>
      <c r="AP3148" s="48"/>
      <c r="AQ3148" s="48"/>
      <c r="AR3148" s="48"/>
      <c r="AS3148" s="48"/>
      <c r="AT3148" s="48"/>
      <c r="AU3148" s="48"/>
      <c r="AV3148" s="48"/>
      <c r="AW3148" s="48"/>
      <c r="AX3148" s="48"/>
      <c r="AY3148" s="48"/>
      <c r="AZ3148" s="48"/>
      <c r="BA3148" s="48"/>
      <c r="BB3148" s="48"/>
      <c r="BC3148" s="48"/>
      <c r="BD3148" s="48"/>
    </row>
    <row r="3149" spans="1:56">
      <c r="A3149" s="48"/>
      <c r="B3149" s="48"/>
      <c r="C3149" s="49"/>
      <c r="D3149" s="48"/>
      <c r="E3149" s="48"/>
      <c r="F3149" s="48"/>
      <c r="G3149" s="48"/>
      <c r="H3149" s="48"/>
      <c r="I3149" s="48"/>
      <c r="J3149" s="86"/>
      <c r="K3149" s="86"/>
      <c r="L3149" s="86"/>
      <c r="M3149" s="86"/>
      <c r="N3149" s="86"/>
      <c r="O3149" s="86"/>
      <c r="P3149" s="86"/>
      <c r="Q3149" s="86"/>
      <c r="R3149" s="86"/>
      <c r="S3149" s="86"/>
      <c r="T3149" s="86"/>
      <c r="U3149" s="86"/>
      <c r="V3149" s="48"/>
      <c r="W3149" s="48"/>
      <c r="X3149" s="48"/>
      <c r="Y3149" s="48"/>
      <c r="Z3149" s="48"/>
      <c r="AA3149" s="48"/>
      <c r="AB3149" s="48"/>
      <c r="AC3149" s="48"/>
      <c r="AD3149" s="48"/>
      <c r="AE3149" s="48"/>
      <c r="AF3149" s="48"/>
      <c r="AG3149" s="48"/>
      <c r="AH3149" s="48"/>
      <c r="AI3149" s="48"/>
      <c r="AJ3149" s="48"/>
      <c r="AK3149" s="48"/>
      <c r="AL3149" s="48"/>
      <c r="AM3149" s="48"/>
      <c r="AN3149" s="48"/>
      <c r="AO3149" s="48"/>
      <c r="AP3149" s="48"/>
      <c r="AQ3149" s="48"/>
      <c r="AR3149" s="48"/>
      <c r="AS3149" s="48"/>
      <c r="AT3149" s="48"/>
      <c r="AU3149" s="48"/>
      <c r="AV3149" s="48"/>
      <c r="AW3149" s="48"/>
      <c r="AX3149" s="48"/>
      <c r="AY3149" s="48"/>
      <c r="AZ3149" s="48"/>
      <c r="BA3149" s="48"/>
      <c r="BB3149" s="48"/>
      <c r="BC3149" s="48"/>
      <c r="BD3149" s="48"/>
    </row>
    <row r="3150" spans="1:56">
      <c r="A3150" s="48"/>
      <c r="B3150" s="48"/>
      <c r="C3150" s="49"/>
      <c r="D3150" s="48"/>
      <c r="E3150" s="48"/>
      <c r="F3150" s="48"/>
      <c r="G3150" s="48"/>
      <c r="H3150" s="48"/>
      <c r="I3150" s="48"/>
      <c r="J3150" s="86"/>
      <c r="K3150" s="86"/>
      <c r="L3150" s="86"/>
      <c r="M3150" s="86"/>
      <c r="N3150" s="86"/>
      <c r="O3150" s="86"/>
      <c r="P3150" s="86"/>
      <c r="Q3150" s="86"/>
      <c r="R3150" s="86"/>
      <c r="S3150" s="86"/>
      <c r="T3150" s="86"/>
      <c r="U3150" s="86"/>
      <c r="V3150" s="48"/>
      <c r="W3150" s="48"/>
      <c r="X3150" s="48"/>
      <c r="Y3150" s="48"/>
      <c r="Z3150" s="48"/>
      <c r="AA3150" s="48"/>
      <c r="AB3150" s="48"/>
      <c r="AC3150" s="48"/>
      <c r="AD3150" s="48"/>
      <c r="AE3150" s="48"/>
      <c r="AF3150" s="48"/>
      <c r="AG3150" s="48"/>
      <c r="AH3150" s="48"/>
      <c r="AI3150" s="48"/>
      <c r="AJ3150" s="48"/>
      <c r="AK3150" s="48"/>
      <c r="AL3150" s="48"/>
      <c r="AM3150" s="48"/>
      <c r="AN3150" s="48"/>
      <c r="AO3150" s="48"/>
      <c r="AP3150" s="48"/>
      <c r="AQ3150" s="48"/>
      <c r="AR3150" s="48"/>
      <c r="AS3150" s="48"/>
      <c r="AT3150" s="48"/>
      <c r="AU3150" s="48"/>
      <c r="AV3150" s="48"/>
      <c r="AW3150" s="48"/>
      <c r="AX3150" s="48"/>
      <c r="AY3150" s="48"/>
      <c r="AZ3150" s="48"/>
      <c r="BA3150" s="48"/>
      <c r="BB3150" s="48"/>
      <c r="BC3150" s="48"/>
      <c r="BD3150" s="48"/>
    </row>
    <row r="3151" spans="1:56">
      <c r="A3151" s="48"/>
      <c r="B3151" s="48"/>
      <c r="C3151" s="49"/>
      <c r="D3151" s="48"/>
      <c r="E3151" s="48"/>
      <c r="F3151" s="48"/>
      <c r="G3151" s="48"/>
      <c r="H3151" s="48"/>
      <c r="I3151" s="48"/>
      <c r="J3151" s="86"/>
      <c r="K3151" s="86"/>
      <c r="L3151" s="86"/>
      <c r="M3151" s="86"/>
      <c r="N3151" s="86"/>
      <c r="O3151" s="86"/>
      <c r="P3151" s="86"/>
      <c r="Q3151" s="86"/>
      <c r="R3151" s="86"/>
      <c r="S3151" s="86"/>
      <c r="T3151" s="86"/>
      <c r="U3151" s="86"/>
      <c r="V3151" s="48"/>
      <c r="W3151" s="48"/>
      <c r="X3151" s="48"/>
      <c r="Y3151" s="48"/>
      <c r="Z3151" s="48"/>
      <c r="AA3151" s="48"/>
      <c r="AB3151" s="48"/>
      <c r="AC3151" s="48"/>
      <c r="AD3151" s="48"/>
      <c r="AE3151" s="48"/>
      <c r="AF3151" s="48"/>
      <c r="AG3151" s="48"/>
      <c r="AH3151" s="48"/>
      <c r="AI3151" s="48"/>
      <c r="AJ3151" s="48"/>
      <c r="AK3151" s="48"/>
      <c r="AL3151" s="48"/>
      <c r="AM3151" s="48"/>
      <c r="AN3151" s="48"/>
      <c r="AO3151" s="48"/>
      <c r="AP3151" s="48"/>
      <c r="AQ3151" s="48"/>
      <c r="AR3151" s="48"/>
      <c r="AS3151" s="48"/>
      <c r="AT3151" s="48"/>
      <c r="AU3151" s="48"/>
      <c r="AV3151" s="48"/>
      <c r="AW3151" s="48"/>
      <c r="AX3151" s="48"/>
      <c r="AY3151" s="48"/>
      <c r="AZ3151" s="48"/>
      <c r="BA3151" s="48"/>
      <c r="BB3151" s="48"/>
      <c r="BC3151" s="48"/>
      <c r="BD3151" s="48"/>
    </row>
    <row r="3152" spans="1:56">
      <c r="A3152" s="48"/>
      <c r="B3152" s="48"/>
      <c r="C3152" s="49"/>
      <c r="D3152" s="48"/>
      <c r="E3152" s="48"/>
      <c r="F3152" s="48"/>
      <c r="G3152" s="48"/>
      <c r="H3152" s="48"/>
      <c r="I3152" s="48"/>
      <c r="J3152" s="86"/>
      <c r="K3152" s="86"/>
      <c r="L3152" s="86"/>
      <c r="M3152" s="86"/>
      <c r="N3152" s="86"/>
      <c r="O3152" s="86"/>
      <c r="P3152" s="86"/>
      <c r="Q3152" s="86"/>
      <c r="R3152" s="86"/>
      <c r="S3152" s="86"/>
      <c r="T3152" s="86"/>
      <c r="U3152" s="86"/>
      <c r="V3152" s="48"/>
      <c r="W3152" s="48"/>
      <c r="X3152" s="48"/>
      <c r="Y3152" s="48"/>
      <c r="Z3152" s="48"/>
      <c r="AA3152" s="48"/>
      <c r="AB3152" s="48"/>
      <c r="AC3152" s="48"/>
      <c r="AD3152" s="48"/>
      <c r="AE3152" s="48"/>
      <c r="AF3152" s="48"/>
      <c r="AG3152" s="48"/>
      <c r="AH3152" s="48"/>
      <c r="AI3152" s="48"/>
      <c r="AJ3152" s="48"/>
      <c r="AK3152" s="48"/>
      <c r="AL3152" s="48"/>
      <c r="AM3152" s="48"/>
      <c r="AN3152" s="48"/>
      <c r="AO3152" s="48"/>
      <c r="AP3152" s="48"/>
      <c r="AQ3152" s="48"/>
      <c r="AR3152" s="48"/>
      <c r="AS3152" s="48"/>
      <c r="AT3152" s="48"/>
      <c r="AU3152" s="48"/>
      <c r="AV3152" s="48"/>
      <c r="AW3152" s="48"/>
      <c r="AX3152" s="48"/>
      <c r="AY3152" s="48"/>
      <c r="AZ3152" s="48"/>
      <c r="BA3152" s="48"/>
      <c r="BB3152" s="48"/>
      <c r="BC3152" s="48"/>
      <c r="BD3152" s="48"/>
    </row>
    <row r="3153" spans="1:56">
      <c r="A3153" s="48"/>
      <c r="B3153" s="48"/>
      <c r="C3153" s="49"/>
      <c r="D3153" s="48"/>
      <c r="E3153" s="48"/>
      <c r="F3153" s="48"/>
      <c r="G3153" s="48"/>
      <c r="H3153" s="48"/>
      <c r="I3153" s="48"/>
      <c r="J3153" s="86"/>
      <c r="K3153" s="86"/>
      <c r="L3153" s="86"/>
      <c r="M3153" s="86"/>
      <c r="N3153" s="86"/>
      <c r="O3153" s="86"/>
      <c r="P3153" s="86"/>
      <c r="Q3153" s="86"/>
      <c r="R3153" s="86"/>
      <c r="S3153" s="86"/>
      <c r="T3153" s="86"/>
      <c r="U3153" s="86"/>
      <c r="V3153" s="48"/>
      <c r="W3153" s="48"/>
      <c r="X3153" s="48"/>
      <c r="Y3153" s="48"/>
      <c r="Z3153" s="48"/>
      <c r="AA3153" s="48"/>
      <c r="AB3153" s="48"/>
      <c r="AC3153" s="48"/>
      <c r="AD3153" s="48"/>
      <c r="AE3153" s="48"/>
      <c r="AF3153" s="48"/>
      <c r="AG3153" s="48"/>
      <c r="AH3153" s="48"/>
      <c r="AI3153" s="48"/>
      <c r="AJ3153" s="48"/>
      <c r="AK3153" s="48"/>
      <c r="AL3153" s="48"/>
      <c r="AM3153" s="48"/>
      <c r="AN3153" s="48"/>
      <c r="AO3153" s="48"/>
      <c r="AP3153" s="48"/>
      <c r="AQ3153" s="48"/>
      <c r="AR3153" s="48"/>
      <c r="AS3153" s="48"/>
      <c r="AT3153" s="48"/>
      <c r="AU3153" s="48"/>
      <c r="AV3153" s="48"/>
      <c r="AW3153" s="48"/>
      <c r="AX3153" s="48"/>
      <c r="AY3153" s="48"/>
      <c r="AZ3153" s="48"/>
      <c r="BA3153" s="48"/>
      <c r="BB3153" s="48"/>
      <c r="BC3153" s="48"/>
      <c r="BD3153" s="48"/>
    </row>
    <row r="3154" spans="1:56">
      <c r="A3154" s="48"/>
      <c r="B3154" s="48"/>
      <c r="C3154" s="49"/>
      <c r="D3154" s="48"/>
      <c r="E3154" s="48"/>
      <c r="F3154" s="48"/>
      <c r="G3154" s="48"/>
      <c r="H3154" s="48"/>
      <c r="I3154" s="48"/>
      <c r="J3154" s="86"/>
      <c r="K3154" s="86"/>
      <c r="L3154" s="86"/>
      <c r="M3154" s="86"/>
      <c r="N3154" s="86"/>
      <c r="O3154" s="86"/>
      <c r="P3154" s="86"/>
      <c r="Q3154" s="86"/>
      <c r="R3154" s="86"/>
      <c r="S3154" s="86"/>
      <c r="T3154" s="86"/>
      <c r="U3154" s="86"/>
      <c r="V3154" s="48"/>
      <c r="W3154" s="48"/>
      <c r="X3154" s="48"/>
      <c r="Y3154" s="48"/>
      <c r="Z3154" s="48"/>
      <c r="AA3154" s="48"/>
      <c r="AB3154" s="48"/>
      <c r="AC3154" s="48"/>
      <c r="AD3154" s="48"/>
      <c r="AE3154" s="48"/>
      <c r="AF3154" s="48"/>
      <c r="AG3154" s="48"/>
      <c r="AH3154" s="48"/>
      <c r="AI3154" s="48"/>
      <c r="AJ3154" s="48"/>
      <c r="AK3154" s="48"/>
      <c r="AL3154" s="48"/>
      <c r="AM3154" s="48"/>
      <c r="AN3154" s="48"/>
      <c r="AO3154" s="48"/>
      <c r="AP3154" s="48"/>
      <c r="AQ3154" s="48"/>
      <c r="AR3154" s="48"/>
      <c r="AS3154" s="48"/>
      <c r="AT3154" s="48"/>
      <c r="AU3154" s="48"/>
      <c r="AV3154" s="48"/>
      <c r="AW3154" s="48"/>
      <c r="AX3154" s="48"/>
      <c r="AY3154" s="48"/>
      <c r="AZ3154" s="48"/>
      <c r="BA3154" s="48"/>
      <c r="BB3154" s="48"/>
      <c r="BC3154" s="48"/>
      <c r="BD3154" s="48"/>
    </row>
    <row r="3155" spans="1:56">
      <c r="A3155" s="48"/>
      <c r="B3155" s="48"/>
      <c r="C3155" s="49"/>
      <c r="D3155" s="48"/>
      <c r="E3155" s="48"/>
      <c r="F3155" s="48"/>
      <c r="G3155" s="48"/>
      <c r="H3155" s="48"/>
      <c r="I3155" s="48"/>
      <c r="J3155" s="86"/>
      <c r="K3155" s="86"/>
      <c r="L3155" s="86"/>
      <c r="M3155" s="86"/>
      <c r="N3155" s="86"/>
      <c r="O3155" s="86"/>
      <c r="P3155" s="86"/>
      <c r="Q3155" s="86"/>
      <c r="R3155" s="86"/>
      <c r="S3155" s="86"/>
      <c r="T3155" s="86"/>
      <c r="U3155" s="86"/>
      <c r="V3155" s="48"/>
      <c r="W3155" s="48"/>
      <c r="X3155" s="48"/>
      <c r="Y3155" s="48"/>
      <c r="Z3155" s="48"/>
      <c r="AA3155" s="48"/>
      <c r="AB3155" s="48"/>
      <c r="AC3155" s="48"/>
      <c r="AD3155" s="48"/>
      <c r="AE3155" s="48"/>
      <c r="AF3155" s="48"/>
      <c r="AG3155" s="48"/>
      <c r="AH3155" s="48"/>
      <c r="AI3155" s="48"/>
      <c r="AJ3155" s="48"/>
      <c r="AK3155" s="48"/>
      <c r="AL3155" s="48"/>
      <c r="AM3155" s="48"/>
      <c r="AN3155" s="48"/>
      <c r="AO3155" s="48"/>
      <c r="AP3155" s="48"/>
      <c r="AQ3155" s="48"/>
      <c r="AR3155" s="48"/>
      <c r="AS3155" s="48"/>
      <c r="AT3155" s="48"/>
      <c r="AU3155" s="48"/>
      <c r="AV3155" s="48"/>
      <c r="AW3155" s="48"/>
      <c r="AX3155" s="48"/>
      <c r="AY3155" s="48"/>
      <c r="AZ3155" s="48"/>
      <c r="BA3155" s="48"/>
      <c r="BB3155" s="48"/>
      <c r="BC3155" s="48"/>
      <c r="BD3155" s="48"/>
    </row>
    <row r="3156" spans="1:56">
      <c r="A3156" s="48"/>
      <c r="B3156" s="48"/>
      <c r="C3156" s="49"/>
      <c r="D3156" s="48"/>
      <c r="E3156" s="48"/>
      <c r="F3156" s="48"/>
      <c r="G3156" s="48"/>
      <c r="H3156" s="48"/>
      <c r="I3156" s="48"/>
      <c r="J3156" s="86"/>
      <c r="K3156" s="86"/>
      <c r="L3156" s="86"/>
      <c r="M3156" s="86"/>
      <c r="N3156" s="86"/>
      <c r="O3156" s="86"/>
      <c r="P3156" s="86"/>
      <c r="Q3156" s="86"/>
      <c r="R3156" s="86"/>
      <c r="S3156" s="86"/>
      <c r="T3156" s="86"/>
      <c r="U3156" s="86"/>
      <c r="V3156" s="48"/>
      <c r="W3156" s="48"/>
      <c r="X3156" s="48"/>
      <c r="Y3156" s="48"/>
      <c r="Z3156" s="48"/>
      <c r="AA3156" s="48"/>
      <c r="AB3156" s="48"/>
      <c r="AC3156" s="48"/>
      <c r="AD3156" s="48"/>
      <c r="AE3156" s="48"/>
      <c r="AF3156" s="48"/>
      <c r="AG3156" s="48"/>
      <c r="AH3156" s="48"/>
      <c r="AI3156" s="48"/>
      <c r="AJ3156" s="48"/>
      <c r="AK3156" s="48"/>
      <c r="AL3156" s="48"/>
      <c r="AM3156" s="48"/>
      <c r="AN3156" s="48"/>
      <c r="AO3156" s="48"/>
      <c r="AP3156" s="48"/>
      <c r="AQ3156" s="48"/>
      <c r="AR3156" s="48"/>
      <c r="AS3156" s="48"/>
      <c r="AT3156" s="48"/>
      <c r="AU3156" s="48"/>
      <c r="AV3156" s="48"/>
      <c r="AW3156" s="48"/>
      <c r="AX3156" s="48"/>
      <c r="AY3156" s="48"/>
      <c r="AZ3156" s="48"/>
      <c r="BA3156" s="48"/>
      <c r="BB3156" s="48"/>
      <c r="BC3156" s="48"/>
      <c r="BD3156" s="48"/>
    </row>
    <row r="3157" spans="1:56">
      <c r="A3157" s="48"/>
      <c r="B3157" s="48"/>
      <c r="C3157" s="49"/>
      <c r="D3157" s="48"/>
      <c r="E3157" s="48"/>
      <c r="F3157" s="48"/>
      <c r="G3157" s="48"/>
      <c r="H3157" s="48"/>
      <c r="I3157" s="48"/>
      <c r="J3157" s="86"/>
      <c r="K3157" s="86"/>
      <c r="L3157" s="86"/>
      <c r="M3157" s="86"/>
      <c r="N3157" s="86"/>
      <c r="O3157" s="86"/>
      <c r="P3157" s="86"/>
      <c r="Q3157" s="86"/>
      <c r="R3157" s="86"/>
      <c r="S3157" s="86"/>
      <c r="T3157" s="86"/>
      <c r="U3157" s="86"/>
      <c r="V3157" s="48"/>
      <c r="W3157" s="48"/>
      <c r="X3157" s="48"/>
      <c r="Y3157" s="48"/>
      <c r="Z3157" s="48"/>
      <c r="AA3157" s="48"/>
      <c r="AB3157" s="48"/>
      <c r="AC3157" s="48"/>
      <c r="AD3157" s="48"/>
      <c r="AE3157" s="48"/>
      <c r="AF3157" s="48"/>
      <c r="AG3157" s="48"/>
      <c r="AH3157" s="48"/>
      <c r="AI3157" s="48"/>
      <c r="AJ3157" s="48"/>
      <c r="AK3157" s="48"/>
      <c r="AL3157" s="48"/>
      <c r="AM3157" s="48"/>
      <c r="AN3157" s="48"/>
      <c r="AO3157" s="48"/>
      <c r="AP3157" s="48"/>
      <c r="AQ3157" s="48"/>
      <c r="AR3157" s="48"/>
      <c r="AS3157" s="48"/>
      <c r="AT3157" s="48"/>
      <c r="AU3157" s="48"/>
      <c r="AV3157" s="48"/>
      <c r="AW3157" s="48"/>
      <c r="AX3157" s="48"/>
      <c r="AY3157" s="48"/>
      <c r="AZ3157" s="48"/>
      <c r="BA3157" s="48"/>
      <c r="BB3157" s="48"/>
      <c r="BC3157" s="48"/>
      <c r="BD3157" s="48"/>
    </row>
    <row r="3158" spans="1:56">
      <c r="A3158" s="48"/>
      <c r="B3158" s="48"/>
      <c r="C3158" s="49"/>
      <c r="D3158" s="48"/>
      <c r="E3158" s="48"/>
      <c r="F3158" s="48"/>
      <c r="G3158" s="48"/>
      <c r="H3158" s="48"/>
      <c r="I3158" s="48"/>
      <c r="J3158" s="86"/>
      <c r="K3158" s="86"/>
      <c r="L3158" s="86"/>
      <c r="M3158" s="86"/>
      <c r="N3158" s="86"/>
      <c r="O3158" s="86"/>
      <c r="P3158" s="86"/>
      <c r="Q3158" s="86"/>
      <c r="R3158" s="86"/>
      <c r="S3158" s="86"/>
      <c r="T3158" s="86"/>
      <c r="U3158" s="86"/>
      <c r="V3158" s="48"/>
      <c r="W3158" s="48"/>
      <c r="X3158" s="48"/>
      <c r="Y3158" s="48"/>
      <c r="Z3158" s="48"/>
      <c r="AA3158" s="48"/>
      <c r="AB3158" s="48"/>
      <c r="AC3158" s="48"/>
      <c r="AD3158" s="48"/>
      <c r="AE3158" s="48"/>
      <c r="AF3158" s="48"/>
      <c r="AG3158" s="48"/>
      <c r="AH3158" s="48"/>
      <c r="AI3158" s="48"/>
      <c r="AJ3158" s="48"/>
      <c r="AK3158" s="48"/>
      <c r="AL3158" s="48"/>
      <c r="AM3158" s="48"/>
      <c r="AN3158" s="48"/>
      <c r="AO3158" s="48"/>
      <c r="AP3158" s="48"/>
      <c r="AQ3158" s="48"/>
      <c r="AR3158" s="48"/>
      <c r="AS3158" s="48"/>
      <c r="AT3158" s="48"/>
      <c r="AU3158" s="48"/>
      <c r="AV3158" s="48"/>
      <c r="AW3158" s="48"/>
      <c r="AX3158" s="48"/>
      <c r="AY3158" s="48"/>
      <c r="AZ3158" s="48"/>
      <c r="BA3158" s="48"/>
      <c r="BB3158" s="48"/>
      <c r="BC3158" s="48"/>
      <c r="BD3158" s="48"/>
    </row>
    <row r="3159" spans="1:56">
      <c r="A3159" s="48"/>
      <c r="B3159" s="48"/>
      <c r="C3159" s="49"/>
      <c r="D3159" s="48"/>
      <c r="E3159" s="48"/>
      <c r="F3159" s="48"/>
      <c r="G3159" s="48"/>
      <c r="H3159" s="48"/>
      <c r="I3159" s="48"/>
      <c r="J3159" s="86"/>
      <c r="K3159" s="86"/>
      <c r="L3159" s="86"/>
      <c r="M3159" s="86"/>
      <c r="N3159" s="86"/>
      <c r="O3159" s="86"/>
      <c r="P3159" s="86"/>
      <c r="Q3159" s="86"/>
      <c r="R3159" s="86"/>
      <c r="S3159" s="86"/>
      <c r="T3159" s="86"/>
      <c r="U3159" s="86"/>
      <c r="V3159" s="48"/>
      <c r="W3159" s="48"/>
      <c r="X3159" s="48"/>
      <c r="Y3159" s="48"/>
      <c r="Z3159" s="48"/>
      <c r="AA3159" s="48"/>
      <c r="AB3159" s="48"/>
      <c r="AC3159" s="48"/>
      <c r="AD3159" s="48"/>
      <c r="AE3159" s="48"/>
      <c r="AF3159" s="48"/>
      <c r="AG3159" s="48"/>
      <c r="AH3159" s="48"/>
      <c r="AI3159" s="48"/>
      <c r="AJ3159" s="48"/>
      <c r="AK3159" s="48"/>
      <c r="AL3159" s="48"/>
      <c r="AM3159" s="48"/>
      <c r="AN3159" s="48"/>
      <c r="AO3159" s="48"/>
      <c r="AP3159" s="48"/>
      <c r="AQ3159" s="48"/>
      <c r="AR3159" s="48"/>
      <c r="AS3159" s="48"/>
      <c r="AT3159" s="48"/>
      <c r="AU3159" s="48"/>
      <c r="AV3159" s="48"/>
      <c r="AW3159" s="48"/>
      <c r="AX3159" s="48"/>
      <c r="AY3159" s="48"/>
      <c r="AZ3159" s="48"/>
      <c r="BA3159" s="48"/>
      <c r="BB3159" s="48"/>
      <c r="BC3159" s="48"/>
      <c r="BD3159" s="48"/>
    </row>
    <row r="3160" spans="1:56">
      <c r="A3160" s="48"/>
      <c r="B3160" s="48"/>
      <c r="C3160" s="49"/>
      <c r="D3160" s="48"/>
      <c r="E3160" s="48"/>
      <c r="F3160" s="48"/>
      <c r="G3160" s="48"/>
      <c r="H3160" s="48"/>
      <c r="I3160" s="48"/>
      <c r="J3160" s="86"/>
      <c r="K3160" s="86"/>
      <c r="L3160" s="86"/>
      <c r="M3160" s="86"/>
      <c r="N3160" s="86"/>
      <c r="O3160" s="86"/>
      <c r="P3160" s="86"/>
      <c r="Q3160" s="86"/>
      <c r="R3160" s="86"/>
      <c r="S3160" s="86"/>
      <c r="T3160" s="86"/>
      <c r="U3160" s="86"/>
      <c r="V3160" s="48"/>
      <c r="W3160" s="48"/>
      <c r="X3160" s="48"/>
      <c r="Y3160" s="48"/>
      <c r="Z3160" s="48"/>
      <c r="AA3160" s="48"/>
      <c r="AB3160" s="48"/>
      <c r="AC3160" s="48"/>
      <c r="AD3160" s="48"/>
      <c r="AE3160" s="48"/>
      <c r="AF3160" s="48"/>
      <c r="AG3160" s="48"/>
      <c r="AH3160" s="48"/>
      <c r="AI3160" s="48"/>
      <c r="AJ3160" s="48"/>
      <c r="AK3160" s="48"/>
      <c r="AL3160" s="48"/>
      <c r="AM3160" s="48"/>
      <c r="AN3160" s="48"/>
      <c r="AO3160" s="48"/>
      <c r="AP3160" s="48"/>
      <c r="AQ3160" s="48"/>
      <c r="AR3160" s="48"/>
      <c r="AS3160" s="48"/>
      <c r="AT3160" s="48"/>
      <c r="AU3160" s="48"/>
      <c r="AV3160" s="48"/>
      <c r="AW3160" s="48"/>
      <c r="AX3160" s="48"/>
      <c r="AY3160" s="48"/>
      <c r="AZ3160" s="48"/>
      <c r="BA3160" s="48"/>
      <c r="BB3160" s="48"/>
      <c r="BC3160" s="48"/>
      <c r="BD3160" s="48"/>
    </row>
    <row r="3161" spans="1:56">
      <c r="A3161" s="48"/>
      <c r="B3161" s="48"/>
      <c r="C3161" s="49"/>
      <c r="D3161" s="48"/>
      <c r="E3161" s="48"/>
      <c r="F3161" s="48"/>
      <c r="G3161" s="48"/>
      <c r="H3161" s="48"/>
      <c r="I3161" s="48"/>
      <c r="J3161" s="86"/>
      <c r="K3161" s="86"/>
      <c r="L3161" s="86"/>
      <c r="M3161" s="86"/>
      <c r="N3161" s="86"/>
      <c r="O3161" s="86"/>
      <c r="P3161" s="86"/>
      <c r="Q3161" s="86"/>
      <c r="R3161" s="86"/>
      <c r="S3161" s="86"/>
      <c r="T3161" s="86"/>
      <c r="U3161" s="86"/>
      <c r="V3161" s="48"/>
      <c r="W3161" s="48"/>
      <c r="X3161" s="48"/>
      <c r="Y3161" s="48"/>
      <c r="Z3161" s="48"/>
      <c r="AA3161" s="48"/>
      <c r="AB3161" s="48"/>
      <c r="AC3161" s="48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48"/>
      <c r="AP3161" s="48"/>
      <c r="AQ3161" s="48"/>
      <c r="AR3161" s="48"/>
      <c r="AS3161" s="48"/>
      <c r="AT3161" s="48"/>
      <c r="AU3161" s="48"/>
      <c r="AV3161" s="48"/>
      <c r="AW3161" s="48"/>
      <c r="AX3161" s="48"/>
      <c r="AY3161" s="48"/>
      <c r="AZ3161" s="48"/>
      <c r="BA3161" s="48"/>
      <c r="BB3161" s="48"/>
      <c r="BC3161" s="48"/>
      <c r="BD3161" s="48"/>
    </row>
    <row r="3162" spans="1:56">
      <c r="A3162" s="48"/>
      <c r="B3162" s="48"/>
      <c r="C3162" s="49"/>
      <c r="D3162" s="48"/>
      <c r="E3162" s="48"/>
      <c r="F3162" s="48"/>
      <c r="G3162" s="48"/>
      <c r="H3162" s="48"/>
      <c r="I3162" s="48"/>
      <c r="J3162" s="86"/>
      <c r="K3162" s="86"/>
      <c r="L3162" s="86"/>
      <c r="M3162" s="86"/>
      <c r="N3162" s="86"/>
      <c r="O3162" s="86"/>
      <c r="P3162" s="86"/>
      <c r="Q3162" s="86"/>
      <c r="R3162" s="86"/>
      <c r="S3162" s="86"/>
      <c r="T3162" s="86"/>
      <c r="U3162" s="86"/>
      <c r="V3162" s="48"/>
      <c r="W3162" s="48"/>
      <c r="X3162" s="48"/>
      <c r="Y3162" s="48"/>
      <c r="Z3162" s="48"/>
      <c r="AA3162" s="48"/>
      <c r="AB3162" s="48"/>
      <c r="AC3162" s="48"/>
      <c r="AD3162" s="48"/>
      <c r="AE3162" s="48"/>
      <c r="AF3162" s="48"/>
      <c r="AG3162" s="48"/>
      <c r="AH3162" s="48"/>
      <c r="AI3162" s="48"/>
      <c r="AJ3162" s="48"/>
      <c r="AK3162" s="48"/>
      <c r="AL3162" s="48"/>
      <c r="AM3162" s="48"/>
      <c r="AN3162" s="48"/>
      <c r="AO3162" s="48"/>
      <c r="AP3162" s="48"/>
      <c r="AQ3162" s="48"/>
      <c r="AR3162" s="48"/>
      <c r="AS3162" s="48"/>
      <c r="AT3162" s="48"/>
      <c r="AU3162" s="48"/>
      <c r="AV3162" s="48"/>
      <c r="AW3162" s="48"/>
      <c r="AX3162" s="48"/>
      <c r="AY3162" s="48"/>
      <c r="AZ3162" s="48"/>
      <c r="BA3162" s="48"/>
      <c r="BB3162" s="48"/>
      <c r="BC3162" s="48"/>
      <c r="BD3162" s="48"/>
    </row>
    <row r="3163" spans="1:56">
      <c r="A3163" s="48"/>
      <c r="B3163" s="48"/>
      <c r="C3163" s="49"/>
      <c r="D3163" s="48"/>
      <c r="E3163" s="48"/>
      <c r="F3163" s="48"/>
      <c r="G3163" s="48"/>
      <c r="H3163" s="48"/>
      <c r="I3163" s="48"/>
      <c r="J3163" s="86"/>
      <c r="K3163" s="86"/>
      <c r="L3163" s="86"/>
      <c r="M3163" s="86"/>
      <c r="N3163" s="86"/>
      <c r="O3163" s="86"/>
      <c r="P3163" s="86"/>
      <c r="Q3163" s="86"/>
      <c r="R3163" s="86"/>
      <c r="S3163" s="86"/>
      <c r="T3163" s="86"/>
      <c r="U3163" s="86"/>
      <c r="V3163" s="48"/>
      <c r="W3163" s="48"/>
      <c r="X3163" s="48"/>
      <c r="Y3163" s="48"/>
      <c r="Z3163" s="48"/>
      <c r="AA3163" s="48"/>
      <c r="AB3163" s="48"/>
      <c r="AC3163" s="48"/>
      <c r="AD3163" s="48"/>
      <c r="AE3163" s="48"/>
      <c r="AF3163" s="48"/>
      <c r="AG3163" s="48"/>
      <c r="AH3163" s="48"/>
      <c r="AI3163" s="48"/>
      <c r="AJ3163" s="48"/>
      <c r="AK3163" s="48"/>
      <c r="AL3163" s="48"/>
      <c r="AM3163" s="48"/>
      <c r="AN3163" s="48"/>
      <c r="AO3163" s="48"/>
      <c r="AP3163" s="48"/>
      <c r="AQ3163" s="48"/>
      <c r="AR3163" s="48"/>
      <c r="AS3163" s="48"/>
      <c r="AT3163" s="48"/>
      <c r="AU3163" s="48"/>
      <c r="AV3163" s="48"/>
      <c r="AW3163" s="48"/>
      <c r="AX3163" s="48"/>
      <c r="AY3163" s="48"/>
      <c r="AZ3163" s="48"/>
      <c r="BA3163" s="48"/>
      <c r="BB3163" s="48"/>
      <c r="BC3163" s="48"/>
      <c r="BD3163" s="48"/>
    </row>
    <row r="3164" spans="1:56">
      <c r="A3164" s="48"/>
      <c r="B3164" s="48"/>
      <c r="C3164" s="49"/>
      <c r="D3164" s="48"/>
      <c r="E3164" s="48"/>
      <c r="F3164" s="48"/>
      <c r="G3164" s="48"/>
      <c r="H3164" s="48"/>
      <c r="I3164" s="48"/>
      <c r="J3164" s="86"/>
      <c r="K3164" s="86"/>
      <c r="L3164" s="86"/>
      <c r="M3164" s="86"/>
      <c r="N3164" s="86"/>
      <c r="O3164" s="86"/>
      <c r="P3164" s="86"/>
      <c r="Q3164" s="86"/>
      <c r="R3164" s="86"/>
      <c r="S3164" s="86"/>
      <c r="T3164" s="86"/>
      <c r="U3164" s="86"/>
      <c r="V3164" s="48"/>
      <c r="W3164" s="48"/>
      <c r="X3164" s="48"/>
      <c r="Y3164" s="48"/>
      <c r="Z3164" s="48"/>
      <c r="AA3164" s="48"/>
      <c r="AB3164" s="48"/>
      <c r="AC3164" s="48"/>
      <c r="AD3164" s="48"/>
      <c r="AE3164" s="48"/>
      <c r="AF3164" s="48"/>
      <c r="AG3164" s="48"/>
      <c r="AH3164" s="48"/>
      <c r="AI3164" s="48"/>
      <c r="AJ3164" s="48"/>
      <c r="AK3164" s="48"/>
      <c r="AL3164" s="48"/>
      <c r="AM3164" s="48"/>
      <c r="AN3164" s="48"/>
      <c r="AO3164" s="48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48"/>
      <c r="BB3164" s="48"/>
      <c r="BC3164" s="48"/>
      <c r="BD3164" s="48"/>
    </row>
    <row r="3165" spans="1:56">
      <c r="A3165" s="48"/>
      <c r="B3165" s="48"/>
      <c r="C3165" s="49"/>
      <c r="D3165" s="48"/>
      <c r="E3165" s="48"/>
      <c r="F3165" s="48"/>
      <c r="G3165" s="48"/>
      <c r="H3165" s="48"/>
      <c r="I3165" s="48"/>
      <c r="J3165" s="86"/>
      <c r="K3165" s="86"/>
      <c r="L3165" s="86"/>
      <c r="M3165" s="86"/>
      <c r="N3165" s="86"/>
      <c r="O3165" s="86"/>
      <c r="P3165" s="86"/>
      <c r="Q3165" s="86"/>
      <c r="R3165" s="86"/>
      <c r="S3165" s="86"/>
      <c r="T3165" s="86"/>
      <c r="U3165" s="86"/>
      <c r="V3165" s="48"/>
      <c r="W3165" s="48"/>
      <c r="X3165" s="48"/>
      <c r="Y3165" s="48"/>
      <c r="Z3165" s="48"/>
      <c r="AA3165" s="48"/>
      <c r="AB3165" s="48"/>
      <c r="AC3165" s="48"/>
      <c r="AD3165" s="48"/>
      <c r="AE3165" s="48"/>
      <c r="AF3165" s="48"/>
      <c r="AG3165" s="48"/>
      <c r="AH3165" s="48"/>
      <c r="AI3165" s="48"/>
      <c r="AJ3165" s="48"/>
      <c r="AK3165" s="48"/>
      <c r="AL3165" s="48"/>
      <c r="AM3165" s="48"/>
      <c r="AN3165" s="48"/>
      <c r="AO3165" s="48"/>
      <c r="AP3165" s="48"/>
      <c r="AQ3165" s="48"/>
      <c r="AR3165" s="48"/>
      <c r="AS3165" s="48"/>
      <c r="AT3165" s="48"/>
      <c r="AU3165" s="48"/>
      <c r="AV3165" s="48"/>
      <c r="AW3165" s="48"/>
      <c r="AX3165" s="48"/>
      <c r="AY3165" s="48"/>
      <c r="AZ3165" s="48"/>
      <c r="BA3165" s="48"/>
      <c r="BB3165" s="48"/>
      <c r="BC3165" s="48"/>
      <c r="BD3165" s="48"/>
    </row>
    <row r="3166" spans="1:56">
      <c r="A3166" s="48"/>
      <c r="B3166" s="48"/>
      <c r="C3166" s="49"/>
      <c r="D3166" s="48"/>
      <c r="E3166" s="48"/>
      <c r="F3166" s="48"/>
      <c r="G3166" s="48"/>
      <c r="H3166" s="48"/>
      <c r="I3166" s="48"/>
      <c r="J3166" s="86"/>
      <c r="K3166" s="86"/>
      <c r="L3166" s="86"/>
      <c r="M3166" s="86"/>
      <c r="N3166" s="86"/>
      <c r="O3166" s="86"/>
      <c r="P3166" s="86"/>
      <c r="Q3166" s="86"/>
      <c r="R3166" s="86"/>
      <c r="S3166" s="86"/>
      <c r="T3166" s="86"/>
      <c r="U3166" s="86"/>
      <c r="V3166" s="48"/>
      <c r="W3166" s="48"/>
      <c r="X3166" s="48"/>
      <c r="Y3166" s="48"/>
      <c r="Z3166" s="48"/>
      <c r="AA3166" s="48"/>
      <c r="AB3166" s="48"/>
      <c r="AC3166" s="48"/>
      <c r="AD3166" s="48"/>
      <c r="AE3166" s="48"/>
      <c r="AF3166" s="48"/>
      <c r="AG3166" s="48"/>
      <c r="AH3166" s="48"/>
      <c r="AI3166" s="48"/>
      <c r="AJ3166" s="48"/>
      <c r="AK3166" s="48"/>
      <c r="AL3166" s="48"/>
      <c r="AM3166" s="48"/>
      <c r="AN3166" s="48"/>
      <c r="AO3166" s="48"/>
      <c r="AP3166" s="48"/>
      <c r="AQ3166" s="48"/>
      <c r="AR3166" s="48"/>
      <c r="AS3166" s="48"/>
      <c r="AT3166" s="48"/>
      <c r="AU3166" s="48"/>
      <c r="AV3166" s="48"/>
      <c r="AW3166" s="48"/>
      <c r="AX3166" s="48"/>
      <c r="AY3166" s="48"/>
      <c r="AZ3166" s="48"/>
      <c r="BA3166" s="48"/>
      <c r="BB3166" s="48"/>
      <c r="BC3166" s="48"/>
      <c r="BD3166" s="48"/>
    </row>
    <row r="3167" spans="1:56">
      <c r="A3167" s="48"/>
      <c r="B3167" s="48"/>
      <c r="C3167" s="49"/>
      <c r="D3167" s="48"/>
      <c r="E3167" s="48"/>
      <c r="F3167" s="48"/>
      <c r="G3167" s="48"/>
      <c r="H3167" s="48"/>
      <c r="I3167" s="48"/>
      <c r="J3167" s="86"/>
      <c r="K3167" s="86"/>
      <c r="L3167" s="86"/>
      <c r="M3167" s="86"/>
      <c r="N3167" s="86"/>
      <c r="O3167" s="86"/>
      <c r="P3167" s="86"/>
      <c r="Q3167" s="86"/>
      <c r="R3167" s="86"/>
      <c r="S3167" s="86"/>
      <c r="T3167" s="86"/>
      <c r="U3167" s="86"/>
      <c r="V3167" s="48"/>
      <c r="W3167" s="48"/>
      <c r="X3167" s="48"/>
      <c r="Y3167" s="48"/>
      <c r="Z3167" s="48"/>
      <c r="AA3167" s="48"/>
      <c r="AB3167" s="48"/>
      <c r="AC3167" s="48"/>
      <c r="AD3167" s="48"/>
      <c r="AE3167" s="48"/>
      <c r="AF3167" s="48"/>
      <c r="AG3167" s="48"/>
      <c r="AH3167" s="48"/>
      <c r="AI3167" s="48"/>
      <c r="AJ3167" s="48"/>
      <c r="AK3167" s="48"/>
      <c r="AL3167" s="48"/>
      <c r="AM3167" s="48"/>
      <c r="AN3167" s="48"/>
      <c r="AO3167" s="48"/>
      <c r="AP3167" s="48"/>
      <c r="AQ3167" s="48"/>
      <c r="AR3167" s="48"/>
      <c r="AS3167" s="48"/>
      <c r="AT3167" s="48"/>
      <c r="AU3167" s="48"/>
      <c r="AV3167" s="48"/>
      <c r="AW3167" s="48"/>
      <c r="AX3167" s="48"/>
      <c r="AY3167" s="48"/>
      <c r="AZ3167" s="48"/>
      <c r="BA3167" s="48"/>
      <c r="BB3167" s="48"/>
      <c r="BC3167" s="48"/>
      <c r="BD3167" s="48"/>
    </row>
    <row r="3168" spans="1:56">
      <c r="A3168" s="48"/>
      <c r="B3168" s="48"/>
      <c r="C3168" s="49"/>
      <c r="D3168" s="48"/>
      <c r="E3168" s="48"/>
      <c r="F3168" s="48"/>
      <c r="G3168" s="48"/>
      <c r="H3168" s="48"/>
      <c r="I3168" s="48"/>
      <c r="J3168" s="86"/>
      <c r="K3168" s="86"/>
      <c r="L3168" s="86"/>
      <c r="M3168" s="86"/>
      <c r="N3168" s="86"/>
      <c r="O3168" s="86"/>
      <c r="P3168" s="86"/>
      <c r="Q3168" s="86"/>
      <c r="R3168" s="86"/>
      <c r="S3168" s="86"/>
      <c r="T3168" s="86"/>
      <c r="U3168" s="86"/>
      <c r="V3168" s="48"/>
      <c r="W3168" s="48"/>
      <c r="X3168" s="48"/>
      <c r="Y3168" s="48"/>
      <c r="Z3168" s="48"/>
      <c r="AA3168" s="48"/>
      <c r="AB3168" s="48"/>
      <c r="AC3168" s="48"/>
      <c r="AD3168" s="48"/>
      <c r="AE3168" s="48"/>
      <c r="AF3168" s="48"/>
      <c r="AG3168" s="48"/>
      <c r="AH3168" s="48"/>
      <c r="AI3168" s="48"/>
      <c r="AJ3168" s="48"/>
      <c r="AK3168" s="48"/>
      <c r="AL3168" s="48"/>
      <c r="AM3168" s="48"/>
      <c r="AN3168" s="48"/>
      <c r="AO3168" s="48"/>
      <c r="AP3168" s="48"/>
      <c r="AQ3168" s="48"/>
      <c r="AR3168" s="48"/>
      <c r="AS3168" s="48"/>
      <c r="AT3168" s="48"/>
      <c r="AU3168" s="48"/>
      <c r="AV3168" s="48"/>
      <c r="AW3168" s="48"/>
      <c r="AX3168" s="48"/>
      <c r="AY3168" s="48"/>
      <c r="AZ3168" s="48"/>
      <c r="BA3168" s="48"/>
      <c r="BB3168" s="48"/>
      <c r="BC3168" s="48"/>
      <c r="BD3168" s="48"/>
    </row>
    <row r="3169" spans="1:56">
      <c r="A3169" s="48"/>
      <c r="B3169" s="48"/>
      <c r="C3169" s="49"/>
      <c r="D3169" s="48"/>
      <c r="E3169" s="48"/>
      <c r="F3169" s="48"/>
      <c r="G3169" s="48"/>
      <c r="H3169" s="48"/>
      <c r="I3169" s="48"/>
      <c r="J3169" s="86"/>
      <c r="K3169" s="86"/>
      <c r="L3169" s="86"/>
      <c r="M3169" s="86"/>
      <c r="N3169" s="86"/>
      <c r="O3169" s="86"/>
      <c r="P3169" s="86"/>
      <c r="Q3169" s="86"/>
      <c r="R3169" s="86"/>
      <c r="S3169" s="86"/>
      <c r="T3169" s="86"/>
      <c r="U3169" s="86"/>
      <c r="V3169" s="48"/>
      <c r="W3169" s="48"/>
      <c r="X3169" s="48"/>
      <c r="Y3169" s="48"/>
      <c r="Z3169" s="48"/>
      <c r="AA3169" s="48"/>
      <c r="AB3169" s="48"/>
      <c r="AC3169" s="48"/>
      <c r="AD3169" s="48"/>
      <c r="AE3169" s="48"/>
      <c r="AF3169" s="48"/>
      <c r="AG3169" s="48"/>
      <c r="AH3169" s="48"/>
      <c r="AI3169" s="48"/>
      <c r="AJ3169" s="48"/>
      <c r="AK3169" s="48"/>
      <c r="AL3169" s="48"/>
      <c r="AM3169" s="48"/>
      <c r="AN3169" s="48"/>
      <c r="AO3169" s="48"/>
      <c r="AP3169" s="48"/>
      <c r="AQ3169" s="48"/>
      <c r="AR3169" s="48"/>
      <c r="AS3169" s="48"/>
      <c r="AT3169" s="48"/>
      <c r="AU3169" s="48"/>
      <c r="AV3169" s="48"/>
      <c r="AW3169" s="48"/>
      <c r="AX3169" s="48"/>
      <c r="AY3169" s="48"/>
      <c r="AZ3169" s="48"/>
      <c r="BA3169" s="48"/>
      <c r="BB3169" s="48"/>
      <c r="BC3169" s="48"/>
      <c r="BD3169" s="48"/>
    </row>
    <row r="3170" spans="1:56">
      <c r="A3170" s="48"/>
      <c r="B3170" s="48"/>
      <c r="C3170" s="49"/>
      <c r="D3170" s="48"/>
      <c r="E3170" s="48"/>
      <c r="F3170" s="48"/>
      <c r="G3170" s="48"/>
      <c r="H3170" s="48"/>
      <c r="I3170" s="48"/>
      <c r="J3170" s="86"/>
      <c r="K3170" s="86"/>
      <c r="L3170" s="86"/>
      <c r="M3170" s="86"/>
      <c r="N3170" s="86"/>
      <c r="O3170" s="86"/>
      <c r="P3170" s="86"/>
      <c r="Q3170" s="86"/>
      <c r="R3170" s="86"/>
      <c r="S3170" s="86"/>
      <c r="T3170" s="86"/>
      <c r="U3170" s="86"/>
      <c r="V3170" s="48"/>
      <c r="W3170" s="48"/>
      <c r="X3170" s="48"/>
      <c r="Y3170" s="48"/>
      <c r="Z3170" s="48"/>
      <c r="AA3170" s="48"/>
      <c r="AB3170" s="48"/>
      <c r="AC3170" s="48"/>
      <c r="AD3170" s="48"/>
      <c r="AE3170" s="48"/>
      <c r="AF3170" s="48"/>
      <c r="AG3170" s="48"/>
      <c r="AH3170" s="48"/>
      <c r="AI3170" s="48"/>
      <c r="AJ3170" s="48"/>
      <c r="AK3170" s="48"/>
      <c r="AL3170" s="48"/>
      <c r="AM3170" s="48"/>
      <c r="AN3170" s="48"/>
      <c r="AO3170" s="48"/>
      <c r="AP3170" s="48"/>
      <c r="AQ3170" s="48"/>
      <c r="AR3170" s="48"/>
      <c r="AS3170" s="48"/>
      <c r="AT3170" s="48"/>
      <c r="AU3170" s="48"/>
      <c r="AV3170" s="48"/>
      <c r="AW3170" s="48"/>
      <c r="AX3170" s="48"/>
      <c r="AY3170" s="48"/>
      <c r="AZ3170" s="48"/>
      <c r="BA3170" s="48"/>
      <c r="BB3170" s="48"/>
      <c r="BC3170" s="48"/>
      <c r="BD3170" s="48"/>
    </row>
    <row r="3171" spans="1:56">
      <c r="A3171" s="48"/>
      <c r="B3171" s="48"/>
      <c r="C3171" s="49"/>
      <c r="D3171" s="48"/>
      <c r="E3171" s="48"/>
      <c r="F3171" s="48"/>
      <c r="G3171" s="48"/>
      <c r="H3171" s="48"/>
      <c r="I3171" s="48"/>
      <c r="J3171" s="86"/>
      <c r="K3171" s="86"/>
      <c r="L3171" s="86"/>
      <c r="M3171" s="86"/>
      <c r="N3171" s="86"/>
      <c r="O3171" s="86"/>
      <c r="P3171" s="86"/>
      <c r="Q3171" s="86"/>
      <c r="R3171" s="86"/>
      <c r="S3171" s="86"/>
      <c r="T3171" s="86"/>
      <c r="U3171" s="86"/>
      <c r="V3171" s="48"/>
      <c r="W3171" s="48"/>
      <c r="X3171" s="48"/>
      <c r="Y3171" s="48"/>
      <c r="Z3171" s="48"/>
      <c r="AA3171" s="48"/>
      <c r="AB3171" s="48"/>
      <c r="AC3171" s="48"/>
      <c r="AD3171" s="48"/>
      <c r="AE3171" s="48"/>
      <c r="AF3171" s="48"/>
      <c r="AG3171" s="48"/>
      <c r="AH3171" s="48"/>
      <c r="AI3171" s="48"/>
      <c r="AJ3171" s="48"/>
      <c r="AK3171" s="48"/>
      <c r="AL3171" s="48"/>
      <c r="AM3171" s="48"/>
      <c r="AN3171" s="48"/>
      <c r="AO3171" s="48"/>
      <c r="AP3171" s="48"/>
      <c r="AQ3171" s="48"/>
      <c r="AR3171" s="48"/>
      <c r="AS3171" s="48"/>
      <c r="AT3171" s="48"/>
      <c r="AU3171" s="48"/>
      <c r="AV3171" s="48"/>
      <c r="AW3171" s="48"/>
      <c r="AX3171" s="48"/>
      <c r="AY3171" s="48"/>
      <c r="AZ3171" s="48"/>
      <c r="BA3171" s="48"/>
      <c r="BB3171" s="48"/>
      <c r="BC3171" s="48"/>
      <c r="BD3171" s="48"/>
    </row>
    <row r="3172" spans="1:56">
      <c r="A3172" s="48"/>
      <c r="B3172" s="48"/>
      <c r="C3172" s="49"/>
      <c r="D3172" s="48"/>
      <c r="E3172" s="48"/>
      <c r="F3172" s="48"/>
      <c r="G3172" s="48"/>
      <c r="H3172" s="48"/>
      <c r="I3172" s="48"/>
      <c r="J3172" s="86"/>
      <c r="K3172" s="86"/>
      <c r="L3172" s="86"/>
      <c r="M3172" s="86"/>
      <c r="N3172" s="86"/>
      <c r="O3172" s="86"/>
      <c r="P3172" s="86"/>
      <c r="Q3172" s="86"/>
      <c r="R3172" s="86"/>
      <c r="S3172" s="86"/>
      <c r="T3172" s="86"/>
      <c r="U3172" s="86"/>
      <c r="V3172" s="48"/>
      <c r="W3172" s="48"/>
      <c r="X3172" s="48"/>
      <c r="Y3172" s="48"/>
      <c r="Z3172" s="48"/>
      <c r="AA3172" s="48"/>
      <c r="AB3172" s="48"/>
      <c r="AC3172" s="48"/>
      <c r="AD3172" s="48"/>
      <c r="AE3172" s="48"/>
      <c r="AF3172" s="48"/>
      <c r="AG3172" s="48"/>
      <c r="AH3172" s="48"/>
      <c r="AI3172" s="48"/>
      <c r="AJ3172" s="48"/>
      <c r="AK3172" s="48"/>
      <c r="AL3172" s="48"/>
      <c r="AM3172" s="48"/>
      <c r="AN3172" s="48"/>
      <c r="AO3172" s="48"/>
      <c r="AP3172" s="48"/>
      <c r="AQ3172" s="48"/>
      <c r="AR3172" s="48"/>
      <c r="AS3172" s="48"/>
      <c r="AT3172" s="48"/>
      <c r="AU3172" s="48"/>
      <c r="AV3172" s="48"/>
      <c r="AW3172" s="48"/>
      <c r="AX3172" s="48"/>
      <c r="AY3172" s="48"/>
      <c r="AZ3172" s="48"/>
      <c r="BA3172" s="48"/>
      <c r="BB3172" s="48"/>
      <c r="BC3172" s="48"/>
      <c r="BD3172" s="48"/>
    </row>
    <row r="3173" spans="1:56">
      <c r="A3173" s="48"/>
      <c r="B3173" s="48"/>
      <c r="C3173" s="49"/>
      <c r="D3173" s="48"/>
      <c r="E3173" s="48"/>
      <c r="F3173" s="48"/>
      <c r="G3173" s="48"/>
      <c r="H3173" s="48"/>
      <c r="I3173" s="48"/>
      <c r="J3173" s="86"/>
      <c r="K3173" s="86"/>
      <c r="L3173" s="86"/>
      <c r="M3173" s="86"/>
      <c r="N3173" s="86"/>
      <c r="O3173" s="86"/>
      <c r="P3173" s="86"/>
      <c r="Q3173" s="86"/>
      <c r="R3173" s="86"/>
      <c r="S3173" s="86"/>
      <c r="T3173" s="86"/>
      <c r="U3173" s="86"/>
      <c r="V3173" s="48"/>
      <c r="W3173" s="48"/>
      <c r="X3173" s="48"/>
      <c r="Y3173" s="48"/>
      <c r="Z3173" s="48"/>
      <c r="AA3173" s="48"/>
      <c r="AB3173" s="48"/>
      <c r="AC3173" s="48"/>
      <c r="AD3173" s="48"/>
      <c r="AE3173" s="48"/>
      <c r="AF3173" s="48"/>
      <c r="AG3173" s="48"/>
      <c r="AH3173" s="48"/>
      <c r="AI3173" s="48"/>
      <c r="AJ3173" s="48"/>
      <c r="AK3173" s="48"/>
      <c r="AL3173" s="48"/>
      <c r="AM3173" s="48"/>
      <c r="AN3173" s="48"/>
      <c r="AO3173" s="48"/>
      <c r="AP3173" s="48"/>
      <c r="AQ3173" s="48"/>
      <c r="AR3173" s="48"/>
      <c r="AS3173" s="48"/>
      <c r="AT3173" s="48"/>
      <c r="AU3173" s="48"/>
      <c r="AV3173" s="48"/>
      <c r="AW3173" s="48"/>
      <c r="AX3173" s="48"/>
      <c r="AY3173" s="48"/>
      <c r="AZ3173" s="48"/>
      <c r="BA3173" s="48"/>
      <c r="BB3173" s="48"/>
      <c r="BC3173" s="48"/>
      <c r="BD3173" s="48"/>
    </row>
    <row r="3174" spans="1:56">
      <c r="A3174" s="48"/>
      <c r="B3174" s="48"/>
      <c r="C3174" s="49"/>
      <c r="D3174" s="48"/>
      <c r="E3174" s="48"/>
      <c r="F3174" s="48"/>
      <c r="G3174" s="48"/>
      <c r="H3174" s="48"/>
      <c r="I3174" s="48"/>
      <c r="J3174" s="86"/>
      <c r="K3174" s="86"/>
      <c r="L3174" s="86"/>
      <c r="M3174" s="86"/>
      <c r="N3174" s="86"/>
      <c r="O3174" s="86"/>
      <c r="P3174" s="86"/>
      <c r="Q3174" s="86"/>
      <c r="R3174" s="86"/>
      <c r="S3174" s="86"/>
      <c r="T3174" s="86"/>
      <c r="U3174" s="86"/>
      <c r="V3174" s="48"/>
      <c r="W3174" s="48"/>
      <c r="X3174" s="48"/>
      <c r="Y3174" s="48"/>
      <c r="Z3174" s="48"/>
      <c r="AA3174" s="48"/>
      <c r="AB3174" s="48"/>
      <c r="AC3174" s="48"/>
      <c r="AD3174" s="48"/>
      <c r="AE3174" s="48"/>
      <c r="AF3174" s="48"/>
      <c r="AG3174" s="48"/>
      <c r="AH3174" s="48"/>
      <c r="AI3174" s="48"/>
      <c r="AJ3174" s="48"/>
      <c r="AK3174" s="48"/>
      <c r="AL3174" s="48"/>
      <c r="AM3174" s="48"/>
      <c r="AN3174" s="48"/>
      <c r="AO3174" s="48"/>
      <c r="AP3174" s="48"/>
      <c r="AQ3174" s="48"/>
      <c r="AR3174" s="48"/>
      <c r="AS3174" s="48"/>
      <c r="AT3174" s="48"/>
      <c r="AU3174" s="48"/>
      <c r="AV3174" s="48"/>
      <c r="AW3174" s="48"/>
      <c r="AX3174" s="48"/>
      <c r="AY3174" s="48"/>
      <c r="AZ3174" s="48"/>
      <c r="BA3174" s="48"/>
      <c r="BB3174" s="48"/>
      <c r="BC3174" s="48"/>
      <c r="BD3174" s="48"/>
    </row>
    <row r="3175" spans="1:56">
      <c r="A3175" s="48"/>
      <c r="B3175" s="48"/>
      <c r="C3175" s="49"/>
      <c r="D3175" s="48"/>
      <c r="E3175" s="48"/>
      <c r="F3175" s="48"/>
      <c r="G3175" s="48"/>
      <c r="H3175" s="48"/>
      <c r="I3175" s="48"/>
      <c r="J3175" s="86"/>
      <c r="K3175" s="86"/>
      <c r="L3175" s="86"/>
      <c r="M3175" s="86"/>
      <c r="N3175" s="86"/>
      <c r="O3175" s="86"/>
      <c r="P3175" s="86"/>
      <c r="Q3175" s="86"/>
      <c r="R3175" s="86"/>
      <c r="S3175" s="86"/>
      <c r="T3175" s="86"/>
      <c r="U3175" s="86"/>
      <c r="V3175" s="48"/>
      <c r="W3175" s="48"/>
      <c r="X3175" s="48"/>
      <c r="Y3175" s="48"/>
      <c r="Z3175" s="48"/>
      <c r="AA3175" s="48"/>
      <c r="AB3175" s="48"/>
      <c r="AC3175" s="48"/>
      <c r="AD3175" s="48"/>
      <c r="AE3175" s="48"/>
      <c r="AF3175" s="48"/>
      <c r="AG3175" s="48"/>
      <c r="AH3175" s="48"/>
      <c r="AI3175" s="48"/>
      <c r="AJ3175" s="48"/>
      <c r="AK3175" s="48"/>
      <c r="AL3175" s="48"/>
      <c r="AM3175" s="48"/>
      <c r="AN3175" s="48"/>
      <c r="AO3175" s="48"/>
      <c r="AP3175" s="48"/>
      <c r="AQ3175" s="48"/>
      <c r="AR3175" s="48"/>
      <c r="AS3175" s="48"/>
      <c r="AT3175" s="48"/>
      <c r="AU3175" s="48"/>
      <c r="AV3175" s="48"/>
      <c r="AW3175" s="48"/>
      <c r="AX3175" s="48"/>
      <c r="AY3175" s="48"/>
      <c r="AZ3175" s="48"/>
      <c r="BA3175" s="48"/>
      <c r="BB3175" s="48"/>
      <c r="BC3175" s="48"/>
      <c r="BD3175" s="48"/>
    </row>
    <row r="3176" spans="1:56">
      <c r="A3176" s="48"/>
      <c r="B3176" s="48"/>
      <c r="C3176" s="49"/>
      <c r="D3176" s="48"/>
      <c r="E3176" s="48"/>
      <c r="F3176" s="48"/>
      <c r="G3176" s="48"/>
      <c r="H3176" s="48"/>
      <c r="I3176" s="48"/>
      <c r="J3176" s="86"/>
      <c r="K3176" s="86"/>
      <c r="L3176" s="86"/>
      <c r="M3176" s="86"/>
      <c r="N3176" s="86"/>
      <c r="O3176" s="86"/>
      <c r="P3176" s="86"/>
      <c r="Q3176" s="86"/>
      <c r="R3176" s="86"/>
      <c r="S3176" s="86"/>
      <c r="T3176" s="86"/>
      <c r="U3176" s="86"/>
      <c r="V3176" s="48"/>
      <c r="W3176" s="48"/>
      <c r="X3176" s="48"/>
      <c r="Y3176" s="48"/>
      <c r="Z3176" s="48"/>
      <c r="AA3176" s="48"/>
      <c r="AB3176" s="48"/>
      <c r="AC3176" s="48"/>
      <c r="AD3176" s="48"/>
      <c r="AE3176" s="48"/>
      <c r="AF3176" s="48"/>
      <c r="AG3176" s="48"/>
      <c r="AH3176" s="48"/>
      <c r="AI3176" s="48"/>
      <c r="AJ3176" s="48"/>
      <c r="AK3176" s="48"/>
      <c r="AL3176" s="48"/>
      <c r="AM3176" s="48"/>
      <c r="AN3176" s="48"/>
      <c r="AO3176" s="48"/>
      <c r="AP3176" s="48"/>
      <c r="AQ3176" s="48"/>
      <c r="AR3176" s="48"/>
      <c r="AS3176" s="48"/>
      <c r="AT3176" s="48"/>
      <c r="AU3176" s="48"/>
      <c r="AV3176" s="48"/>
      <c r="AW3176" s="48"/>
      <c r="AX3176" s="48"/>
      <c r="AY3176" s="48"/>
      <c r="AZ3176" s="48"/>
      <c r="BA3176" s="48"/>
      <c r="BB3176" s="48"/>
      <c r="BC3176" s="48"/>
      <c r="BD3176" s="48"/>
    </row>
    <row r="3177" spans="1:56">
      <c r="A3177" s="48"/>
      <c r="B3177" s="48"/>
      <c r="C3177" s="49"/>
      <c r="D3177" s="48"/>
      <c r="E3177" s="48"/>
      <c r="F3177" s="48"/>
      <c r="G3177" s="48"/>
      <c r="H3177" s="48"/>
      <c r="I3177" s="48"/>
      <c r="J3177" s="86"/>
      <c r="K3177" s="86"/>
      <c r="L3177" s="86"/>
      <c r="M3177" s="86"/>
      <c r="N3177" s="86"/>
      <c r="O3177" s="86"/>
      <c r="P3177" s="86"/>
      <c r="Q3177" s="86"/>
      <c r="R3177" s="86"/>
      <c r="S3177" s="86"/>
      <c r="T3177" s="86"/>
      <c r="U3177" s="86"/>
      <c r="V3177" s="48"/>
      <c r="W3177" s="48"/>
      <c r="X3177" s="48"/>
      <c r="Y3177" s="48"/>
      <c r="Z3177" s="48"/>
      <c r="AA3177" s="48"/>
      <c r="AB3177" s="48"/>
      <c r="AC3177" s="48"/>
      <c r="AD3177" s="48"/>
      <c r="AE3177" s="48"/>
      <c r="AF3177" s="48"/>
      <c r="AG3177" s="48"/>
      <c r="AH3177" s="48"/>
      <c r="AI3177" s="48"/>
      <c r="AJ3177" s="48"/>
      <c r="AK3177" s="48"/>
      <c r="AL3177" s="48"/>
      <c r="AM3177" s="48"/>
      <c r="AN3177" s="48"/>
      <c r="AO3177" s="48"/>
      <c r="AP3177" s="48"/>
      <c r="AQ3177" s="48"/>
      <c r="AR3177" s="48"/>
      <c r="AS3177" s="48"/>
      <c r="AT3177" s="48"/>
      <c r="AU3177" s="48"/>
      <c r="AV3177" s="48"/>
      <c r="AW3177" s="48"/>
      <c r="AX3177" s="48"/>
      <c r="AY3177" s="48"/>
      <c r="AZ3177" s="48"/>
      <c r="BA3177" s="48"/>
      <c r="BB3177" s="48"/>
      <c r="BC3177" s="48"/>
      <c r="BD3177" s="48"/>
    </row>
    <row r="3178" spans="1:56">
      <c r="A3178" s="48"/>
      <c r="B3178" s="48"/>
      <c r="C3178" s="49"/>
      <c r="D3178" s="48"/>
      <c r="E3178" s="48"/>
      <c r="F3178" s="48"/>
      <c r="G3178" s="48"/>
      <c r="H3178" s="48"/>
      <c r="I3178" s="48"/>
      <c r="J3178" s="86"/>
      <c r="K3178" s="86"/>
      <c r="L3178" s="86"/>
      <c r="M3178" s="86"/>
      <c r="N3178" s="86"/>
      <c r="O3178" s="86"/>
      <c r="P3178" s="86"/>
      <c r="Q3178" s="86"/>
      <c r="R3178" s="86"/>
      <c r="S3178" s="86"/>
      <c r="T3178" s="86"/>
      <c r="U3178" s="86"/>
      <c r="V3178" s="48"/>
      <c r="W3178" s="48"/>
      <c r="X3178" s="48"/>
      <c r="Y3178" s="48"/>
      <c r="Z3178" s="48"/>
      <c r="AA3178" s="48"/>
      <c r="AB3178" s="48"/>
      <c r="AC3178" s="48"/>
      <c r="AD3178" s="48"/>
      <c r="AE3178" s="48"/>
      <c r="AF3178" s="48"/>
      <c r="AG3178" s="48"/>
      <c r="AH3178" s="48"/>
      <c r="AI3178" s="48"/>
      <c r="AJ3178" s="48"/>
      <c r="AK3178" s="48"/>
      <c r="AL3178" s="48"/>
      <c r="AM3178" s="48"/>
      <c r="AN3178" s="48"/>
      <c r="AO3178" s="48"/>
      <c r="AP3178" s="48"/>
      <c r="AQ3178" s="48"/>
      <c r="AR3178" s="48"/>
      <c r="AS3178" s="48"/>
      <c r="AT3178" s="48"/>
      <c r="AU3178" s="48"/>
      <c r="AV3178" s="48"/>
      <c r="AW3178" s="48"/>
      <c r="AX3178" s="48"/>
      <c r="AY3178" s="48"/>
      <c r="AZ3178" s="48"/>
      <c r="BA3178" s="48"/>
      <c r="BB3178" s="48"/>
      <c r="BC3178" s="48"/>
      <c r="BD3178" s="48"/>
    </row>
    <row r="3179" spans="1:56">
      <c r="A3179" s="48"/>
      <c r="B3179" s="48"/>
      <c r="C3179" s="49"/>
      <c r="D3179" s="48"/>
      <c r="E3179" s="48"/>
      <c r="F3179" s="48"/>
      <c r="G3179" s="48"/>
      <c r="H3179" s="48"/>
      <c r="I3179" s="48"/>
      <c r="J3179" s="86"/>
      <c r="K3179" s="86"/>
      <c r="L3179" s="86"/>
      <c r="M3179" s="86"/>
      <c r="N3179" s="86"/>
      <c r="O3179" s="86"/>
      <c r="P3179" s="86"/>
      <c r="Q3179" s="86"/>
      <c r="R3179" s="86"/>
      <c r="S3179" s="86"/>
      <c r="T3179" s="86"/>
      <c r="U3179" s="86"/>
      <c r="V3179" s="48"/>
      <c r="W3179" s="48"/>
      <c r="X3179" s="48"/>
      <c r="Y3179" s="48"/>
      <c r="Z3179" s="48"/>
      <c r="AA3179" s="48"/>
      <c r="AB3179" s="48"/>
      <c r="AC3179" s="48"/>
      <c r="AD3179" s="48"/>
      <c r="AE3179" s="48"/>
      <c r="AF3179" s="48"/>
      <c r="AG3179" s="48"/>
      <c r="AH3179" s="48"/>
      <c r="AI3179" s="48"/>
      <c r="AJ3179" s="48"/>
      <c r="AK3179" s="48"/>
      <c r="AL3179" s="48"/>
      <c r="AM3179" s="48"/>
      <c r="AN3179" s="48"/>
      <c r="AO3179" s="48"/>
      <c r="AP3179" s="48"/>
      <c r="AQ3179" s="48"/>
      <c r="AR3179" s="48"/>
      <c r="AS3179" s="48"/>
      <c r="AT3179" s="48"/>
      <c r="AU3179" s="48"/>
      <c r="AV3179" s="48"/>
      <c r="AW3179" s="48"/>
      <c r="AX3179" s="48"/>
      <c r="AY3179" s="48"/>
      <c r="AZ3179" s="48"/>
      <c r="BA3179" s="48"/>
      <c r="BB3179" s="48"/>
      <c r="BC3179" s="48"/>
      <c r="BD3179" s="48"/>
    </row>
    <row r="3180" spans="1:56">
      <c r="A3180" s="48"/>
      <c r="B3180" s="48"/>
      <c r="C3180" s="49"/>
      <c r="D3180" s="48"/>
      <c r="E3180" s="48"/>
      <c r="F3180" s="48"/>
      <c r="G3180" s="48"/>
      <c r="H3180" s="48"/>
      <c r="I3180" s="48"/>
      <c r="J3180" s="86"/>
      <c r="K3180" s="86"/>
      <c r="L3180" s="86"/>
      <c r="M3180" s="86"/>
      <c r="N3180" s="86"/>
      <c r="O3180" s="86"/>
      <c r="P3180" s="86"/>
      <c r="Q3180" s="86"/>
      <c r="R3180" s="86"/>
      <c r="S3180" s="86"/>
      <c r="T3180" s="86"/>
      <c r="U3180" s="86"/>
      <c r="V3180" s="48"/>
      <c r="W3180" s="48"/>
      <c r="X3180" s="48"/>
      <c r="Y3180" s="48"/>
      <c r="Z3180" s="48"/>
      <c r="AA3180" s="48"/>
      <c r="AB3180" s="48"/>
      <c r="AC3180" s="48"/>
      <c r="AD3180" s="48"/>
      <c r="AE3180" s="48"/>
      <c r="AF3180" s="48"/>
      <c r="AG3180" s="48"/>
      <c r="AH3180" s="48"/>
      <c r="AI3180" s="48"/>
      <c r="AJ3180" s="48"/>
      <c r="AK3180" s="48"/>
      <c r="AL3180" s="48"/>
      <c r="AM3180" s="48"/>
      <c r="AN3180" s="48"/>
      <c r="AO3180" s="48"/>
      <c r="AP3180" s="48"/>
      <c r="AQ3180" s="48"/>
      <c r="AR3180" s="48"/>
      <c r="AS3180" s="48"/>
      <c r="AT3180" s="48"/>
      <c r="AU3180" s="48"/>
      <c r="AV3180" s="48"/>
      <c r="AW3180" s="48"/>
      <c r="AX3180" s="48"/>
      <c r="AY3180" s="48"/>
      <c r="AZ3180" s="48"/>
      <c r="BA3180" s="48"/>
      <c r="BB3180" s="48"/>
      <c r="BC3180" s="48"/>
      <c r="BD3180" s="48"/>
    </row>
    <row r="3181" spans="1:56">
      <c r="A3181" s="48"/>
      <c r="B3181" s="48"/>
      <c r="C3181" s="49"/>
      <c r="D3181" s="48"/>
      <c r="E3181" s="48"/>
      <c r="F3181" s="48"/>
      <c r="G3181" s="48"/>
      <c r="H3181" s="48"/>
      <c r="I3181" s="48"/>
      <c r="J3181" s="86"/>
      <c r="K3181" s="86"/>
      <c r="L3181" s="86"/>
      <c r="M3181" s="86"/>
      <c r="N3181" s="86"/>
      <c r="O3181" s="86"/>
      <c r="P3181" s="86"/>
      <c r="Q3181" s="86"/>
      <c r="R3181" s="86"/>
      <c r="S3181" s="86"/>
      <c r="T3181" s="86"/>
      <c r="U3181" s="86"/>
      <c r="V3181" s="48"/>
      <c r="W3181" s="48"/>
      <c r="X3181" s="48"/>
      <c r="Y3181" s="48"/>
      <c r="Z3181" s="48"/>
      <c r="AA3181" s="48"/>
      <c r="AB3181" s="48"/>
      <c r="AC3181" s="48"/>
      <c r="AD3181" s="48"/>
      <c r="AE3181" s="48"/>
      <c r="AF3181" s="48"/>
      <c r="AG3181" s="48"/>
      <c r="AH3181" s="48"/>
      <c r="AI3181" s="48"/>
      <c r="AJ3181" s="48"/>
      <c r="AK3181" s="48"/>
      <c r="AL3181" s="48"/>
      <c r="AM3181" s="48"/>
      <c r="AN3181" s="48"/>
      <c r="AO3181" s="48"/>
      <c r="AP3181" s="48"/>
      <c r="AQ3181" s="48"/>
      <c r="AR3181" s="48"/>
      <c r="AS3181" s="48"/>
      <c r="AT3181" s="48"/>
      <c r="AU3181" s="48"/>
      <c r="AV3181" s="48"/>
      <c r="AW3181" s="48"/>
      <c r="AX3181" s="48"/>
      <c r="AY3181" s="48"/>
      <c r="AZ3181" s="48"/>
      <c r="BA3181" s="48"/>
      <c r="BB3181" s="48"/>
      <c r="BC3181" s="48"/>
      <c r="BD3181" s="48"/>
    </row>
    <row r="3182" spans="1:56">
      <c r="A3182" s="48"/>
      <c r="B3182" s="48"/>
      <c r="C3182" s="49"/>
      <c r="D3182" s="48"/>
      <c r="E3182" s="48"/>
      <c r="F3182" s="48"/>
      <c r="G3182" s="48"/>
      <c r="H3182" s="48"/>
      <c r="I3182" s="48"/>
      <c r="J3182" s="86"/>
      <c r="K3182" s="86"/>
      <c r="L3182" s="86"/>
      <c r="M3182" s="86"/>
      <c r="N3182" s="86"/>
      <c r="O3182" s="86"/>
      <c r="P3182" s="86"/>
      <c r="Q3182" s="86"/>
      <c r="R3182" s="86"/>
      <c r="S3182" s="86"/>
      <c r="T3182" s="86"/>
      <c r="U3182" s="86"/>
      <c r="V3182" s="48"/>
      <c r="W3182" s="48"/>
      <c r="X3182" s="48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48"/>
      <c r="AL3182" s="48"/>
      <c r="AM3182" s="48"/>
      <c r="AN3182" s="48"/>
      <c r="AO3182" s="48"/>
      <c r="AP3182" s="48"/>
      <c r="AQ3182" s="48"/>
      <c r="AR3182" s="48"/>
      <c r="AS3182" s="48"/>
      <c r="AT3182" s="48"/>
      <c r="AU3182" s="48"/>
      <c r="AV3182" s="48"/>
      <c r="AW3182" s="48"/>
      <c r="AX3182" s="48"/>
      <c r="AY3182" s="48"/>
      <c r="AZ3182" s="48"/>
      <c r="BA3182" s="48"/>
      <c r="BB3182" s="48"/>
      <c r="BC3182" s="48"/>
      <c r="BD3182" s="48"/>
    </row>
    <row r="3183" spans="1:56">
      <c r="A3183" s="48"/>
      <c r="B3183" s="48"/>
      <c r="C3183" s="49"/>
      <c r="D3183" s="48"/>
      <c r="E3183" s="48"/>
      <c r="F3183" s="48"/>
      <c r="G3183" s="48"/>
      <c r="H3183" s="48"/>
      <c r="I3183" s="48"/>
      <c r="J3183" s="86"/>
      <c r="K3183" s="86"/>
      <c r="L3183" s="86"/>
      <c r="M3183" s="86"/>
      <c r="N3183" s="86"/>
      <c r="O3183" s="86"/>
      <c r="P3183" s="86"/>
      <c r="Q3183" s="86"/>
      <c r="R3183" s="86"/>
      <c r="S3183" s="86"/>
      <c r="T3183" s="86"/>
      <c r="U3183" s="86"/>
      <c r="V3183" s="48"/>
      <c r="W3183" s="48"/>
      <c r="X3183" s="48"/>
      <c r="Y3183" s="48"/>
      <c r="Z3183" s="48"/>
      <c r="AA3183" s="48"/>
      <c r="AB3183" s="48"/>
      <c r="AC3183" s="48"/>
      <c r="AD3183" s="48"/>
      <c r="AE3183" s="48"/>
      <c r="AF3183" s="48"/>
      <c r="AG3183" s="48"/>
      <c r="AH3183" s="48"/>
      <c r="AI3183" s="48"/>
      <c r="AJ3183" s="48"/>
      <c r="AK3183" s="48"/>
      <c r="AL3183" s="48"/>
      <c r="AM3183" s="48"/>
      <c r="AN3183" s="48"/>
      <c r="AO3183" s="48"/>
      <c r="AP3183" s="48"/>
      <c r="AQ3183" s="48"/>
      <c r="AR3183" s="48"/>
      <c r="AS3183" s="48"/>
      <c r="AT3183" s="48"/>
      <c r="AU3183" s="48"/>
      <c r="AV3183" s="48"/>
      <c r="AW3183" s="48"/>
      <c r="AX3183" s="48"/>
      <c r="AY3183" s="48"/>
      <c r="AZ3183" s="48"/>
      <c r="BA3183" s="48"/>
      <c r="BB3183" s="48"/>
      <c r="BC3183" s="48"/>
      <c r="BD3183" s="48"/>
    </row>
    <row r="3184" spans="1:56">
      <c r="A3184" s="48"/>
      <c r="B3184" s="48"/>
      <c r="C3184" s="49"/>
      <c r="D3184" s="48"/>
      <c r="E3184" s="48"/>
      <c r="F3184" s="48"/>
      <c r="G3184" s="48"/>
      <c r="H3184" s="48"/>
      <c r="I3184" s="48"/>
      <c r="J3184" s="86"/>
      <c r="K3184" s="86"/>
      <c r="L3184" s="86"/>
      <c r="M3184" s="86"/>
      <c r="N3184" s="86"/>
      <c r="O3184" s="86"/>
      <c r="P3184" s="86"/>
      <c r="Q3184" s="86"/>
      <c r="R3184" s="86"/>
      <c r="S3184" s="86"/>
      <c r="T3184" s="86"/>
      <c r="U3184" s="86"/>
      <c r="V3184" s="48"/>
      <c r="W3184" s="48"/>
      <c r="X3184" s="48"/>
      <c r="Y3184" s="48"/>
      <c r="Z3184" s="48"/>
      <c r="AA3184" s="48"/>
      <c r="AB3184" s="48"/>
      <c r="AC3184" s="48"/>
      <c r="AD3184" s="48"/>
      <c r="AE3184" s="48"/>
      <c r="AF3184" s="48"/>
      <c r="AG3184" s="48"/>
      <c r="AH3184" s="48"/>
      <c r="AI3184" s="48"/>
      <c r="AJ3184" s="48"/>
      <c r="AK3184" s="48"/>
      <c r="AL3184" s="48"/>
      <c r="AM3184" s="48"/>
      <c r="AN3184" s="48"/>
      <c r="AO3184" s="48"/>
      <c r="AP3184" s="48"/>
      <c r="AQ3184" s="48"/>
      <c r="AR3184" s="48"/>
      <c r="AS3184" s="48"/>
      <c r="AT3184" s="48"/>
      <c r="AU3184" s="48"/>
      <c r="AV3184" s="48"/>
      <c r="AW3184" s="48"/>
      <c r="AX3184" s="48"/>
      <c r="AY3184" s="48"/>
      <c r="AZ3184" s="48"/>
      <c r="BA3184" s="48"/>
      <c r="BB3184" s="48"/>
      <c r="BC3184" s="48"/>
      <c r="BD3184" s="48"/>
    </row>
    <row r="3185" spans="1:56">
      <c r="A3185" s="48"/>
      <c r="B3185" s="48"/>
      <c r="C3185" s="49"/>
      <c r="D3185" s="48"/>
      <c r="E3185" s="48"/>
      <c r="F3185" s="48"/>
      <c r="G3185" s="48"/>
      <c r="H3185" s="48"/>
      <c r="I3185" s="48"/>
      <c r="J3185" s="86"/>
      <c r="K3185" s="86"/>
      <c r="L3185" s="86"/>
      <c r="M3185" s="86"/>
      <c r="N3185" s="86"/>
      <c r="O3185" s="86"/>
      <c r="P3185" s="86"/>
      <c r="Q3185" s="86"/>
      <c r="R3185" s="86"/>
      <c r="S3185" s="86"/>
      <c r="T3185" s="86"/>
      <c r="U3185" s="86"/>
      <c r="V3185" s="48"/>
      <c r="W3185" s="48"/>
      <c r="X3185" s="48"/>
      <c r="Y3185" s="48"/>
      <c r="Z3185" s="48"/>
      <c r="AA3185" s="48"/>
      <c r="AB3185" s="48"/>
      <c r="AC3185" s="48"/>
      <c r="AD3185" s="48"/>
      <c r="AE3185" s="48"/>
      <c r="AF3185" s="48"/>
      <c r="AG3185" s="48"/>
      <c r="AH3185" s="48"/>
      <c r="AI3185" s="48"/>
      <c r="AJ3185" s="48"/>
      <c r="AK3185" s="48"/>
      <c r="AL3185" s="48"/>
      <c r="AM3185" s="48"/>
      <c r="AN3185" s="48"/>
      <c r="AO3185" s="48"/>
      <c r="AP3185" s="48"/>
      <c r="AQ3185" s="48"/>
      <c r="AR3185" s="48"/>
      <c r="AS3185" s="48"/>
      <c r="AT3185" s="48"/>
      <c r="AU3185" s="48"/>
      <c r="AV3185" s="48"/>
      <c r="AW3185" s="48"/>
      <c r="AX3185" s="48"/>
      <c r="AY3185" s="48"/>
      <c r="AZ3185" s="48"/>
      <c r="BA3185" s="48"/>
      <c r="BB3185" s="48"/>
      <c r="BC3185" s="48"/>
      <c r="BD3185" s="48"/>
    </row>
    <row r="3186" spans="1:56">
      <c r="A3186" s="48"/>
      <c r="B3186" s="48"/>
      <c r="C3186" s="49"/>
      <c r="D3186" s="48"/>
      <c r="E3186" s="48"/>
      <c r="F3186" s="48"/>
      <c r="G3186" s="48"/>
      <c r="H3186" s="48"/>
      <c r="I3186" s="48"/>
      <c r="J3186" s="86"/>
      <c r="K3186" s="86"/>
      <c r="L3186" s="86"/>
      <c r="M3186" s="86"/>
      <c r="N3186" s="86"/>
      <c r="O3186" s="86"/>
      <c r="P3186" s="86"/>
      <c r="Q3186" s="86"/>
      <c r="R3186" s="86"/>
      <c r="S3186" s="86"/>
      <c r="T3186" s="86"/>
      <c r="U3186" s="86"/>
      <c r="V3186" s="48"/>
      <c r="W3186" s="48"/>
      <c r="X3186" s="48"/>
      <c r="Y3186" s="48"/>
      <c r="Z3186" s="48"/>
      <c r="AA3186" s="48"/>
      <c r="AB3186" s="48"/>
      <c r="AC3186" s="48"/>
      <c r="AD3186" s="48"/>
      <c r="AE3186" s="48"/>
      <c r="AF3186" s="48"/>
      <c r="AG3186" s="48"/>
      <c r="AH3186" s="48"/>
      <c r="AI3186" s="48"/>
      <c r="AJ3186" s="48"/>
      <c r="AK3186" s="48"/>
      <c r="AL3186" s="48"/>
      <c r="AM3186" s="48"/>
      <c r="AN3186" s="48"/>
      <c r="AO3186" s="48"/>
      <c r="AP3186" s="48"/>
      <c r="AQ3186" s="48"/>
      <c r="AR3186" s="48"/>
      <c r="AS3186" s="48"/>
      <c r="AT3186" s="48"/>
      <c r="AU3186" s="48"/>
      <c r="AV3186" s="48"/>
      <c r="AW3186" s="48"/>
      <c r="AX3186" s="48"/>
      <c r="AY3186" s="48"/>
      <c r="AZ3186" s="48"/>
      <c r="BA3186" s="48"/>
      <c r="BB3186" s="48"/>
      <c r="BC3186" s="48"/>
      <c r="BD3186" s="48"/>
    </row>
    <row r="3187" spans="1:56">
      <c r="A3187" s="48"/>
      <c r="B3187" s="48"/>
      <c r="C3187" s="49"/>
      <c r="D3187" s="48"/>
      <c r="E3187" s="48"/>
      <c r="F3187" s="48"/>
      <c r="G3187" s="48"/>
      <c r="H3187" s="48"/>
      <c r="I3187" s="48"/>
      <c r="J3187" s="86"/>
      <c r="K3187" s="86"/>
      <c r="L3187" s="86"/>
      <c r="M3187" s="86"/>
      <c r="N3187" s="86"/>
      <c r="O3187" s="86"/>
      <c r="P3187" s="86"/>
      <c r="Q3187" s="86"/>
      <c r="R3187" s="86"/>
      <c r="S3187" s="86"/>
      <c r="T3187" s="86"/>
      <c r="U3187" s="86"/>
      <c r="V3187" s="48"/>
      <c r="W3187" s="48"/>
      <c r="X3187" s="48"/>
      <c r="Y3187" s="48"/>
      <c r="Z3187" s="48"/>
      <c r="AA3187" s="48"/>
      <c r="AB3187" s="48"/>
      <c r="AC3187" s="48"/>
      <c r="AD3187" s="48"/>
      <c r="AE3187" s="48"/>
      <c r="AF3187" s="48"/>
      <c r="AG3187" s="48"/>
      <c r="AH3187" s="48"/>
      <c r="AI3187" s="48"/>
      <c r="AJ3187" s="48"/>
      <c r="AK3187" s="48"/>
      <c r="AL3187" s="48"/>
      <c r="AM3187" s="48"/>
      <c r="AN3187" s="48"/>
      <c r="AO3187" s="48"/>
      <c r="AP3187" s="48"/>
      <c r="AQ3187" s="48"/>
      <c r="AR3187" s="48"/>
      <c r="AS3187" s="48"/>
      <c r="AT3187" s="48"/>
      <c r="AU3187" s="48"/>
      <c r="AV3187" s="48"/>
      <c r="AW3187" s="48"/>
      <c r="AX3187" s="48"/>
      <c r="AY3187" s="48"/>
      <c r="AZ3187" s="48"/>
      <c r="BA3187" s="48"/>
      <c r="BB3187" s="48"/>
      <c r="BC3187" s="48"/>
      <c r="BD3187" s="48"/>
    </row>
    <row r="3188" spans="1:56">
      <c r="A3188" s="48"/>
      <c r="B3188" s="48"/>
      <c r="C3188" s="49"/>
      <c r="D3188" s="48"/>
      <c r="E3188" s="48"/>
      <c r="F3188" s="48"/>
      <c r="G3188" s="48"/>
      <c r="H3188" s="48"/>
      <c r="I3188" s="48"/>
      <c r="J3188" s="86"/>
      <c r="K3188" s="86"/>
      <c r="L3188" s="86"/>
      <c r="M3188" s="86"/>
      <c r="N3188" s="86"/>
      <c r="O3188" s="86"/>
      <c r="P3188" s="86"/>
      <c r="Q3188" s="86"/>
      <c r="R3188" s="86"/>
      <c r="S3188" s="86"/>
      <c r="T3188" s="86"/>
      <c r="U3188" s="86"/>
      <c r="V3188" s="48"/>
      <c r="W3188" s="48"/>
      <c r="X3188" s="48"/>
      <c r="Y3188" s="48"/>
      <c r="Z3188" s="48"/>
      <c r="AA3188" s="48"/>
      <c r="AB3188" s="48"/>
      <c r="AC3188" s="48"/>
      <c r="AD3188" s="48"/>
      <c r="AE3188" s="48"/>
      <c r="AF3188" s="48"/>
      <c r="AG3188" s="48"/>
      <c r="AH3188" s="48"/>
      <c r="AI3188" s="48"/>
      <c r="AJ3188" s="48"/>
      <c r="AK3188" s="48"/>
      <c r="AL3188" s="48"/>
      <c r="AM3188" s="48"/>
      <c r="AN3188" s="48"/>
      <c r="AO3188" s="48"/>
      <c r="AP3188" s="48"/>
      <c r="AQ3188" s="48"/>
      <c r="AR3188" s="48"/>
      <c r="AS3188" s="48"/>
      <c r="AT3188" s="48"/>
      <c r="AU3188" s="48"/>
      <c r="AV3188" s="48"/>
      <c r="AW3188" s="48"/>
      <c r="AX3188" s="48"/>
      <c r="AY3188" s="48"/>
      <c r="AZ3188" s="48"/>
      <c r="BA3188" s="48"/>
      <c r="BB3188" s="48"/>
      <c r="BC3188" s="48"/>
      <c r="BD3188" s="48"/>
    </row>
    <row r="3189" spans="1:56">
      <c r="A3189" s="48"/>
      <c r="B3189" s="48"/>
      <c r="C3189" s="49"/>
      <c r="D3189" s="48"/>
      <c r="E3189" s="48"/>
      <c r="F3189" s="48"/>
      <c r="G3189" s="48"/>
      <c r="H3189" s="48"/>
      <c r="I3189" s="48"/>
      <c r="J3189" s="86"/>
      <c r="K3189" s="86"/>
      <c r="L3189" s="86"/>
      <c r="M3189" s="86"/>
      <c r="N3189" s="86"/>
      <c r="O3189" s="86"/>
      <c r="P3189" s="86"/>
      <c r="Q3189" s="86"/>
      <c r="R3189" s="86"/>
      <c r="S3189" s="86"/>
      <c r="T3189" s="86"/>
      <c r="U3189" s="86"/>
      <c r="V3189" s="48"/>
      <c r="W3189" s="48"/>
      <c r="X3189" s="48"/>
      <c r="Y3189" s="48"/>
      <c r="Z3189" s="48"/>
      <c r="AA3189" s="48"/>
      <c r="AB3189" s="48"/>
      <c r="AC3189" s="48"/>
      <c r="AD3189" s="48"/>
      <c r="AE3189" s="48"/>
      <c r="AF3189" s="48"/>
      <c r="AG3189" s="48"/>
      <c r="AH3189" s="48"/>
      <c r="AI3189" s="48"/>
      <c r="AJ3189" s="48"/>
      <c r="AK3189" s="48"/>
      <c r="AL3189" s="48"/>
      <c r="AM3189" s="48"/>
      <c r="AN3189" s="48"/>
      <c r="AO3189" s="48"/>
      <c r="AP3189" s="48"/>
      <c r="AQ3189" s="48"/>
      <c r="AR3189" s="48"/>
      <c r="AS3189" s="48"/>
      <c r="AT3189" s="48"/>
      <c r="AU3189" s="48"/>
      <c r="AV3189" s="48"/>
      <c r="AW3189" s="48"/>
      <c r="AX3189" s="48"/>
      <c r="AY3189" s="48"/>
      <c r="AZ3189" s="48"/>
      <c r="BA3189" s="48"/>
      <c r="BB3189" s="48"/>
      <c r="BC3189" s="48"/>
      <c r="BD3189" s="48"/>
    </row>
    <row r="3190" spans="1:56">
      <c r="A3190" s="48"/>
      <c r="B3190" s="48"/>
      <c r="C3190" s="49"/>
      <c r="D3190" s="48"/>
      <c r="E3190" s="48"/>
      <c r="F3190" s="48"/>
      <c r="G3190" s="48"/>
      <c r="H3190" s="48"/>
      <c r="I3190" s="48"/>
      <c r="J3190" s="86"/>
      <c r="K3190" s="86"/>
      <c r="L3190" s="86"/>
      <c r="M3190" s="86"/>
      <c r="N3190" s="86"/>
      <c r="O3190" s="86"/>
      <c r="P3190" s="86"/>
      <c r="Q3190" s="86"/>
      <c r="R3190" s="86"/>
      <c r="S3190" s="86"/>
      <c r="T3190" s="86"/>
      <c r="U3190" s="86"/>
      <c r="V3190" s="48"/>
      <c r="W3190" s="48"/>
      <c r="X3190" s="48"/>
      <c r="Y3190" s="48"/>
      <c r="Z3190" s="48"/>
      <c r="AA3190" s="48"/>
      <c r="AB3190" s="48"/>
      <c r="AC3190" s="48"/>
      <c r="AD3190" s="48"/>
      <c r="AE3190" s="48"/>
      <c r="AF3190" s="48"/>
      <c r="AG3190" s="48"/>
      <c r="AH3190" s="48"/>
      <c r="AI3190" s="48"/>
      <c r="AJ3190" s="48"/>
      <c r="AK3190" s="48"/>
      <c r="AL3190" s="48"/>
      <c r="AM3190" s="48"/>
      <c r="AN3190" s="48"/>
      <c r="AO3190" s="48"/>
      <c r="AP3190" s="48"/>
      <c r="AQ3190" s="48"/>
      <c r="AR3190" s="48"/>
      <c r="AS3190" s="48"/>
      <c r="AT3190" s="48"/>
      <c r="AU3190" s="48"/>
      <c r="AV3190" s="48"/>
      <c r="AW3190" s="48"/>
      <c r="AX3190" s="48"/>
      <c r="AY3190" s="48"/>
      <c r="AZ3190" s="48"/>
      <c r="BA3190" s="48"/>
      <c r="BB3190" s="48"/>
      <c r="BC3190" s="48"/>
      <c r="BD3190" s="48"/>
    </row>
    <row r="3191" spans="1:56">
      <c r="A3191" s="48"/>
      <c r="B3191" s="48"/>
      <c r="C3191" s="49"/>
      <c r="D3191" s="48"/>
      <c r="E3191" s="48"/>
      <c r="F3191" s="48"/>
      <c r="G3191" s="48"/>
      <c r="H3191" s="48"/>
      <c r="I3191" s="48"/>
      <c r="J3191" s="86"/>
      <c r="K3191" s="86"/>
      <c r="L3191" s="86"/>
      <c r="M3191" s="86"/>
      <c r="N3191" s="86"/>
      <c r="O3191" s="86"/>
      <c r="P3191" s="86"/>
      <c r="Q3191" s="86"/>
      <c r="R3191" s="86"/>
      <c r="S3191" s="86"/>
      <c r="T3191" s="86"/>
      <c r="U3191" s="86"/>
      <c r="V3191" s="48"/>
      <c r="W3191" s="48"/>
      <c r="X3191" s="48"/>
      <c r="Y3191" s="48"/>
      <c r="Z3191" s="48"/>
      <c r="AA3191" s="48"/>
      <c r="AB3191" s="48"/>
      <c r="AC3191" s="48"/>
      <c r="AD3191" s="48"/>
      <c r="AE3191" s="48"/>
      <c r="AF3191" s="48"/>
      <c r="AG3191" s="48"/>
      <c r="AH3191" s="48"/>
      <c r="AI3191" s="48"/>
      <c r="AJ3191" s="48"/>
      <c r="AK3191" s="48"/>
      <c r="AL3191" s="48"/>
      <c r="AM3191" s="48"/>
      <c r="AN3191" s="48"/>
      <c r="AO3191" s="48"/>
      <c r="AP3191" s="48"/>
      <c r="AQ3191" s="48"/>
      <c r="AR3191" s="48"/>
      <c r="AS3191" s="48"/>
      <c r="AT3191" s="48"/>
      <c r="AU3191" s="48"/>
      <c r="AV3191" s="48"/>
      <c r="AW3191" s="48"/>
      <c r="AX3191" s="48"/>
      <c r="AY3191" s="48"/>
      <c r="AZ3191" s="48"/>
      <c r="BA3191" s="48"/>
      <c r="BB3191" s="48"/>
      <c r="BC3191" s="48"/>
      <c r="BD3191" s="48"/>
    </row>
    <row r="3192" spans="1:56">
      <c r="A3192" s="48"/>
      <c r="B3192" s="48"/>
      <c r="C3192" s="49"/>
      <c r="D3192" s="48"/>
      <c r="E3192" s="48"/>
      <c r="F3192" s="48"/>
      <c r="G3192" s="48"/>
      <c r="H3192" s="48"/>
      <c r="I3192" s="48"/>
      <c r="J3192" s="86"/>
      <c r="K3192" s="86"/>
      <c r="L3192" s="86"/>
      <c r="M3192" s="86"/>
      <c r="N3192" s="86"/>
      <c r="O3192" s="86"/>
      <c r="P3192" s="86"/>
      <c r="Q3192" s="86"/>
      <c r="R3192" s="86"/>
      <c r="S3192" s="86"/>
      <c r="T3192" s="86"/>
      <c r="U3192" s="86"/>
      <c r="V3192" s="48"/>
      <c r="W3192" s="48"/>
      <c r="X3192" s="48"/>
      <c r="Y3192" s="48"/>
      <c r="Z3192" s="48"/>
      <c r="AA3192" s="48"/>
      <c r="AB3192" s="48"/>
      <c r="AC3192" s="48"/>
      <c r="AD3192" s="48"/>
      <c r="AE3192" s="48"/>
      <c r="AF3192" s="48"/>
      <c r="AG3192" s="48"/>
      <c r="AH3192" s="48"/>
      <c r="AI3192" s="48"/>
      <c r="AJ3192" s="48"/>
      <c r="AK3192" s="48"/>
      <c r="AL3192" s="48"/>
      <c r="AM3192" s="48"/>
      <c r="AN3192" s="48"/>
      <c r="AO3192" s="48"/>
      <c r="AP3192" s="48"/>
      <c r="AQ3192" s="48"/>
      <c r="AR3192" s="48"/>
      <c r="AS3192" s="48"/>
      <c r="AT3192" s="48"/>
      <c r="AU3192" s="48"/>
      <c r="AV3192" s="48"/>
      <c r="AW3192" s="48"/>
      <c r="AX3192" s="48"/>
      <c r="AY3192" s="48"/>
      <c r="AZ3192" s="48"/>
      <c r="BA3192" s="48"/>
      <c r="BB3192" s="48"/>
      <c r="BC3192" s="48"/>
      <c r="BD3192" s="48"/>
    </row>
    <row r="3193" spans="1:56">
      <c r="A3193" s="48"/>
      <c r="B3193" s="48"/>
      <c r="C3193" s="49"/>
      <c r="D3193" s="48"/>
      <c r="E3193" s="48"/>
      <c r="F3193" s="48"/>
      <c r="G3193" s="48"/>
      <c r="H3193" s="48"/>
      <c r="I3193" s="48"/>
      <c r="J3193" s="86"/>
      <c r="K3193" s="86"/>
      <c r="L3193" s="86"/>
      <c r="M3193" s="86"/>
      <c r="N3193" s="86"/>
      <c r="O3193" s="86"/>
      <c r="P3193" s="86"/>
      <c r="Q3193" s="86"/>
      <c r="R3193" s="86"/>
      <c r="S3193" s="86"/>
      <c r="T3193" s="86"/>
      <c r="U3193" s="86"/>
      <c r="V3193" s="48"/>
      <c r="W3193" s="48"/>
      <c r="X3193" s="48"/>
      <c r="Y3193" s="48"/>
      <c r="Z3193" s="48"/>
      <c r="AA3193" s="48"/>
      <c r="AB3193" s="48"/>
      <c r="AC3193" s="48"/>
      <c r="AD3193" s="48"/>
      <c r="AE3193" s="48"/>
      <c r="AF3193" s="48"/>
      <c r="AG3193" s="48"/>
      <c r="AH3193" s="48"/>
      <c r="AI3193" s="48"/>
      <c r="AJ3193" s="48"/>
      <c r="AK3193" s="48"/>
      <c r="AL3193" s="48"/>
      <c r="AM3193" s="48"/>
      <c r="AN3193" s="48"/>
      <c r="AO3193" s="48"/>
      <c r="AP3193" s="48"/>
      <c r="AQ3193" s="48"/>
      <c r="AR3193" s="48"/>
      <c r="AS3193" s="48"/>
      <c r="AT3193" s="48"/>
      <c r="AU3193" s="48"/>
      <c r="AV3193" s="48"/>
      <c r="AW3193" s="48"/>
      <c r="AX3193" s="48"/>
      <c r="AY3193" s="48"/>
      <c r="AZ3193" s="48"/>
      <c r="BA3193" s="48"/>
      <c r="BB3193" s="48"/>
      <c r="BC3193" s="48"/>
      <c r="BD3193" s="48"/>
    </row>
    <row r="3194" spans="1:56">
      <c r="A3194" s="48"/>
      <c r="B3194" s="48"/>
      <c r="C3194" s="49"/>
      <c r="D3194" s="48"/>
      <c r="E3194" s="48"/>
      <c r="F3194" s="48"/>
      <c r="G3194" s="48"/>
      <c r="H3194" s="48"/>
      <c r="I3194" s="48"/>
      <c r="J3194" s="86"/>
      <c r="K3194" s="86"/>
      <c r="L3194" s="86"/>
      <c r="M3194" s="86"/>
      <c r="N3194" s="86"/>
      <c r="O3194" s="86"/>
      <c r="P3194" s="86"/>
      <c r="Q3194" s="86"/>
      <c r="R3194" s="86"/>
      <c r="S3194" s="86"/>
      <c r="T3194" s="86"/>
      <c r="U3194" s="86"/>
      <c r="V3194" s="48"/>
      <c r="W3194" s="48"/>
      <c r="X3194" s="48"/>
      <c r="Y3194" s="48"/>
      <c r="Z3194" s="48"/>
      <c r="AA3194" s="48"/>
      <c r="AB3194" s="48"/>
      <c r="AC3194" s="48"/>
      <c r="AD3194" s="48"/>
      <c r="AE3194" s="48"/>
      <c r="AF3194" s="48"/>
      <c r="AG3194" s="48"/>
      <c r="AH3194" s="48"/>
      <c r="AI3194" s="48"/>
      <c r="AJ3194" s="48"/>
      <c r="AK3194" s="48"/>
      <c r="AL3194" s="48"/>
      <c r="AM3194" s="48"/>
      <c r="AN3194" s="48"/>
      <c r="AO3194" s="48"/>
      <c r="AP3194" s="48"/>
      <c r="AQ3194" s="48"/>
      <c r="AR3194" s="48"/>
      <c r="AS3194" s="48"/>
      <c r="AT3194" s="48"/>
      <c r="AU3194" s="48"/>
      <c r="AV3194" s="48"/>
      <c r="AW3194" s="48"/>
      <c r="AX3194" s="48"/>
      <c r="AY3194" s="48"/>
      <c r="AZ3194" s="48"/>
      <c r="BA3194" s="48"/>
      <c r="BB3194" s="48"/>
      <c r="BC3194" s="48"/>
      <c r="BD3194" s="48"/>
    </row>
    <row r="3195" spans="1:56">
      <c r="A3195" s="48"/>
      <c r="B3195" s="48"/>
      <c r="C3195" s="49"/>
      <c r="D3195" s="48"/>
      <c r="E3195" s="48"/>
      <c r="F3195" s="48"/>
      <c r="G3195" s="48"/>
      <c r="H3195" s="48"/>
      <c r="I3195" s="48"/>
      <c r="J3195" s="86"/>
      <c r="K3195" s="86"/>
      <c r="L3195" s="86"/>
      <c r="M3195" s="86"/>
      <c r="N3195" s="86"/>
      <c r="O3195" s="86"/>
      <c r="P3195" s="86"/>
      <c r="Q3195" s="86"/>
      <c r="R3195" s="86"/>
      <c r="S3195" s="86"/>
      <c r="T3195" s="86"/>
      <c r="U3195" s="86"/>
      <c r="V3195" s="48"/>
      <c r="W3195" s="48"/>
      <c r="X3195" s="48"/>
      <c r="Y3195" s="48"/>
      <c r="Z3195" s="48"/>
      <c r="AA3195" s="48"/>
      <c r="AB3195" s="48"/>
      <c r="AC3195" s="48"/>
      <c r="AD3195" s="48"/>
      <c r="AE3195" s="48"/>
      <c r="AF3195" s="48"/>
      <c r="AG3195" s="48"/>
      <c r="AH3195" s="48"/>
      <c r="AI3195" s="48"/>
      <c r="AJ3195" s="48"/>
      <c r="AK3195" s="48"/>
      <c r="AL3195" s="48"/>
      <c r="AM3195" s="48"/>
      <c r="AN3195" s="48"/>
      <c r="AO3195" s="48"/>
      <c r="AP3195" s="48"/>
      <c r="AQ3195" s="48"/>
      <c r="AR3195" s="48"/>
      <c r="AS3195" s="48"/>
      <c r="AT3195" s="48"/>
      <c r="AU3195" s="48"/>
      <c r="AV3195" s="48"/>
      <c r="AW3195" s="48"/>
      <c r="AX3195" s="48"/>
      <c r="AY3195" s="48"/>
      <c r="AZ3195" s="48"/>
      <c r="BA3195" s="48"/>
      <c r="BB3195" s="48"/>
      <c r="BC3195" s="48"/>
      <c r="BD3195" s="48"/>
    </row>
    <row r="3196" spans="1:56">
      <c r="A3196" s="48"/>
      <c r="B3196" s="48"/>
      <c r="C3196" s="49"/>
      <c r="D3196" s="48"/>
      <c r="E3196" s="48"/>
      <c r="F3196" s="48"/>
      <c r="G3196" s="48"/>
      <c r="H3196" s="48"/>
      <c r="I3196" s="48"/>
      <c r="J3196" s="86"/>
      <c r="K3196" s="86"/>
      <c r="L3196" s="86"/>
      <c r="M3196" s="86"/>
      <c r="N3196" s="86"/>
      <c r="O3196" s="86"/>
      <c r="P3196" s="86"/>
      <c r="Q3196" s="86"/>
      <c r="R3196" s="86"/>
      <c r="S3196" s="86"/>
      <c r="T3196" s="86"/>
      <c r="U3196" s="86"/>
      <c r="V3196" s="48"/>
      <c r="W3196" s="48"/>
      <c r="X3196" s="48"/>
      <c r="Y3196" s="48"/>
      <c r="Z3196" s="48"/>
      <c r="AA3196" s="48"/>
      <c r="AB3196" s="48"/>
      <c r="AC3196" s="48"/>
      <c r="AD3196" s="48"/>
      <c r="AE3196" s="48"/>
      <c r="AF3196" s="48"/>
      <c r="AG3196" s="48"/>
      <c r="AH3196" s="48"/>
      <c r="AI3196" s="48"/>
      <c r="AJ3196" s="48"/>
      <c r="AK3196" s="48"/>
      <c r="AL3196" s="48"/>
      <c r="AM3196" s="48"/>
      <c r="AN3196" s="48"/>
      <c r="AO3196" s="48"/>
      <c r="AP3196" s="48"/>
      <c r="AQ3196" s="48"/>
      <c r="AR3196" s="48"/>
      <c r="AS3196" s="48"/>
      <c r="AT3196" s="48"/>
      <c r="AU3196" s="48"/>
      <c r="AV3196" s="48"/>
      <c r="AW3196" s="48"/>
      <c r="AX3196" s="48"/>
      <c r="AY3196" s="48"/>
      <c r="AZ3196" s="48"/>
      <c r="BA3196" s="48"/>
      <c r="BB3196" s="48"/>
      <c r="BC3196" s="48"/>
      <c r="BD3196" s="48"/>
    </row>
    <row r="3197" spans="1:56">
      <c r="A3197" s="48"/>
      <c r="B3197" s="48"/>
      <c r="C3197" s="49"/>
      <c r="D3197" s="48"/>
      <c r="E3197" s="48"/>
      <c r="F3197" s="48"/>
      <c r="G3197" s="48"/>
      <c r="H3197" s="48"/>
      <c r="I3197" s="48"/>
      <c r="J3197" s="86"/>
      <c r="K3197" s="86"/>
      <c r="L3197" s="86"/>
      <c r="M3197" s="86"/>
      <c r="N3197" s="86"/>
      <c r="O3197" s="86"/>
      <c r="P3197" s="86"/>
      <c r="Q3197" s="86"/>
      <c r="R3197" s="86"/>
      <c r="S3197" s="86"/>
      <c r="T3197" s="86"/>
      <c r="U3197" s="86"/>
      <c r="V3197" s="48"/>
      <c r="W3197" s="48"/>
      <c r="X3197" s="48"/>
      <c r="Y3197" s="48"/>
      <c r="Z3197" s="48"/>
      <c r="AA3197" s="48"/>
      <c r="AB3197" s="48"/>
      <c r="AC3197" s="48"/>
      <c r="AD3197" s="48"/>
      <c r="AE3197" s="48"/>
      <c r="AF3197" s="48"/>
      <c r="AG3197" s="48"/>
      <c r="AH3197" s="48"/>
      <c r="AI3197" s="48"/>
      <c r="AJ3197" s="48"/>
      <c r="AK3197" s="48"/>
      <c r="AL3197" s="48"/>
      <c r="AM3197" s="48"/>
      <c r="AN3197" s="48"/>
      <c r="AO3197" s="48"/>
      <c r="AP3197" s="48"/>
      <c r="AQ3197" s="48"/>
      <c r="AR3197" s="48"/>
      <c r="AS3197" s="48"/>
      <c r="AT3197" s="48"/>
      <c r="AU3197" s="48"/>
      <c r="AV3197" s="48"/>
      <c r="AW3197" s="48"/>
      <c r="AX3197" s="48"/>
      <c r="AY3197" s="48"/>
      <c r="AZ3197" s="48"/>
      <c r="BA3197" s="48"/>
      <c r="BB3197" s="48"/>
      <c r="BC3197" s="48"/>
      <c r="BD3197" s="48"/>
    </row>
    <row r="3198" spans="1:56">
      <c r="A3198" s="48"/>
      <c r="B3198" s="48"/>
      <c r="C3198" s="49"/>
      <c r="D3198" s="48"/>
      <c r="E3198" s="48"/>
      <c r="F3198" s="48"/>
      <c r="G3198" s="48"/>
      <c r="H3198" s="48"/>
      <c r="I3198" s="48"/>
      <c r="J3198" s="86"/>
      <c r="K3198" s="86"/>
      <c r="L3198" s="86"/>
      <c r="M3198" s="86"/>
      <c r="N3198" s="86"/>
      <c r="O3198" s="86"/>
      <c r="P3198" s="86"/>
      <c r="Q3198" s="86"/>
      <c r="R3198" s="86"/>
      <c r="S3198" s="86"/>
      <c r="T3198" s="86"/>
      <c r="U3198" s="86"/>
      <c r="V3198" s="48"/>
      <c r="W3198" s="48"/>
      <c r="X3198" s="48"/>
      <c r="Y3198" s="48"/>
      <c r="Z3198" s="48"/>
      <c r="AA3198" s="48"/>
      <c r="AB3198" s="48"/>
      <c r="AC3198" s="48"/>
      <c r="AD3198" s="48"/>
      <c r="AE3198" s="48"/>
      <c r="AF3198" s="48"/>
      <c r="AG3198" s="48"/>
      <c r="AH3198" s="48"/>
      <c r="AI3198" s="48"/>
      <c r="AJ3198" s="48"/>
      <c r="AK3198" s="48"/>
      <c r="AL3198" s="48"/>
      <c r="AM3198" s="48"/>
      <c r="AN3198" s="48"/>
      <c r="AO3198" s="48"/>
      <c r="AP3198" s="48"/>
      <c r="AQ3198" s="48"/>
      <c r="AR3198" s="48"/>
      <c r="AS3198" s="48"/>
      <c r="AT3198" s="48"/>
      <c r="AU3198" s="48"/>
      <c r="AV3198" s="48"/>
      <c r="AW3198" s="48"/>
      <c r="AX3198" s="48"/>
      <c r="AY3198" s="48"/>
      <c r="AZ3198" s="48"/>
      <c r="BA3198" s="48"/>
      <c r="BB3198" s="48"/>
      <c r="BC3198" s="48"/>
      <c r="BD3198" s="48"/>
    </row>
    <row r="3199" spans="1:56">
      <c r="A3199" s="48"/>
      <c r="B3199" s="48"/>
      <c r="C3199" s="49"/>
      <c r="D3199" s="48"/>
      <c r="E3199" s="48"/>
      <c r="F3199" s="48"/>
      <c r="G3199" s="48"/>
      <c r="H3199" s="48"/>
      <c r="I3199" s="48"/>
      <c r="J3199" s="86"/>
      <c r="K3199" s="86"/>
      <c r="L3199" s="86"/>
      <c r="M3199" s="86"/>
      <c r="N3199" s="86"/>
      <c r="O3199" s="86"/>
      <c r="P3199" s="86"/>
      <c r="Q3199" s="86"/>
      <c r="R3199" s="86"/>
      <c r="S3199" s="86"/>
      <c r="T3199" s="86"/>
      <c r="U3199" s="86"/>
      <c r="V3199" s="48"/>
      <c r="W3199" s="48"/>
      <c r="X3199" s="48"/>
      <c r="Y3199" s="48"/>
      <c r="Z3199" s="48"/>
      <c r="AA3199" s="48"/>
      <c r="AB3199" s="48"/>
      <c r="AC3199" s="48"/>
      <c r="AD3199" s="48"/>
      <c r="AE3199" s="48"/>
      <c r="AF3199" s="48"/>
      <c r="AG3199" s="48"/>
      <c r="AH3199" s="48"/>
      <c r="AI3199" s="48"/>
      <c r="AJ3199" s="48"/>
      <c r="AK3199" s="48"/>
      <c r="AL3199" s="48"/>
      <c r="AM3199" s="48"/>
      <c r="AN3199" s="48"/>
      <c r="AO3199" s="48"/>
      <c r="AP3199" s="48"/>
      <c r="AQ3199" s="48"/>
      <c r="AR3199" s="48"/>
      <c r="AS3199" s="48"/>
      <c r="AT3199" s="48"/>
      <c r="AU3199" s="48"/>
      <c r="AV3199" s="48"/>
      <c r="AW3199" s="48"/>
      <c r="AX3199" s="48"/>
      <c r="AY3199" s="48"/>
      <c r="AZ3199" s="48"/>
      <c r="BA3199" s="48"/>
      <c r="BB3199" s="48"/>
      <c r="BC3199" s="48"/>
      <c r="BD3199" s="48"/>
    </row>
    <row r="3200" spans="1:56">
      <c r="A3200" s="48"/>
      <c r="B3200" s="48"/>
      <c r="C3200" s="49"/>
      <c r="D3200" s="48"/>
      <c r="E3200" s="48"/>
      <c r="F3200" s="48"/>
      <c r="G3200" s="48"/>
      <c r="H3200" s="48"/>
      <c r="I3200" s="48"/>
      <c r="J3200" s="86"/>
      <c r="K3200" s="86"/>
      <c r="L3200" s="86"/>
      <c r="M3200" s="86"/>
      <c r="N3200" s="86"/>
      <c r="O3200" s="86"/>
      <c r="P3200" s="86"/>
      <c r="Q3200" s="86"/>
      <c r="R3200" s="86"/>
      <c r="S3200" s="86"/>
      <c r="T3200" s="86"/>
      <c r="U3200" s="86"/>
      <c r="V3200" s="48"/>
      <c r="W3200" s="48"/>
      <c r="X3200" s="48"/>
      <c r="Y3200" s="48"/>
      <c r="Z3200" s="48"/>
      <c r="AA3200" s="48"/>
      <c r="AB3200" s="48"/>
      <c r="AC3200" s="48"/>
      <c r="AD3200" s="48"/>
      <c r="AE3200" s="48"/>
      <c r="AF3200" s="48"/>
      <c r="AG3200" s="48"/>
      <c r="AH3200" s="48"/>
      <c r="AI3200" s="48"/>
      <c r="AJ3200" s="48"/>
      <c r="AK3200" s="48"/>
      <c r="AL3200" s="48"/>
      <c r="AM3200" s="48"/>
      <c r="AN3200" s="48"/>
      <c r="AO3200" s="48"/>
      <c r="AP3200" s="48"/>
      <c r="AQ3200" s="48"/>
      <c r="AR3200" s="48"/>
      <c r="AS3200" s="48"/>
      <c r="AT3200" s="48"/>
      <c r="AU3200" s="48"/>
      <c r="AV3200" s="48"/>
      <c r="AW3200" s="48"/>
      <c r="AX3200" s="48"/>
      <c r="AY3200" s="48"/>
      <c r="AZ3200" s="48"/>
      <c r="BA3200" s="48"/>
      <c r="BB3200" s="48"/>
      <c r="BC3200" s="48"/>
      <c r="BD3200" s="48"/>
    </row>
    <row r="3201" spans="1:56">
      <c r="A3201" s="48"/>
      <c r="B3201" s="48"/>
      <c r="C3201" s="49"/>
      <c r="D3201" s="48"/>
      <c r="E3201" s="48"/>
      <c r="F3201" s="48"/>
      <c r="G3201" s="48"/>
      <c r="H3201" s="48"/>
      <c r="I3201" s="48"/>
      <c r="J3201" s="86"/>
      <c r="K3201" s="86"/>
      <c r="L3201" s="86"/>
      <c r="M3201" s="86"/>
      <c r="N3201" s="86"/>
      <c r="O3201" s="86"/>
      <c r="P3201" s="86"/>
      <c r="Q3201" s="86"/>
      <c r="R3201" s="86"/>
      <c r="S3201" s="86"/>
      <c r="T3201" s="86"/>
      <c r="U3201" s="86"/>
      <c r="V3201" s="48"/>
      <c r="W3201" s="48"/>
      <c r="X3201" s="48"/>
      <c r="Y3201" s="48"/>
      <c r="Z3201" s="48"/>
      <c r="AA3201" s="48"/>
      <c r="AB3201" s="48"/>
      <c r="AC3201" s="48"/>
      <c r="AD3201" s="48"/>
      <c r="AE3201" s="48"/>
      <c r="AF3201" s="48"/>
      <c r="AG3201" s="48"/>
      <c r="AH3201" s="48"/>
      <c r="AI3201" s="48"/>
      <c r="AJ3201" s="48"/>
      <c r="AK3201" s="48"/>
      <c r="AL3201" s="48"/>
      <c r="AM3201" s="48"/>
      <c r="AN3201" s="48"/>
      <c r="AO3201" s="48"/>
      <c r="AP3201" s="48"/>
      <c r="AQ3201" s="48"/>
      <c r="AR3201" s="48"/>
      <c r="AS3201" s="48"/>
      <c r="AT3201" s="48"/>
      <c r="AU3201" s="48"/>
      <c r="AV3201" s="48"/>
      <c r="AW3201" s="48"/>
      <c r="AX3201" s="48"/>
      <c r="AY3201" s="48"/>
      <c r="AZ3201" s="48"/>
      <c r="BA3201" s="48"/>
      <c r="BB3201" s="48"/>
      <c r="BC3201" s="48"/>
      <c r="BD3201" s="48"/>
    </row>
    <row r="3202" spans="1:56">
      <c r="A3202" s="48"/>
      <c r="B3202" s="48"/>
      <c r="C3202" s="49"/>
      <c r="D3202" s="48"/>
      <c r="E3202" s="48"/>
      <c r="F3202" s="48"/>
      <c r="G3202" s="48"/>
      <c r="H3202" s="48"/>
      <c r="I3202" s="48"/>
      <c r="J3202" s="86"/>
      <c r="K3202" s="86"/>
      <c r="L3202" s="86"/>
      <c r="M3202" s="86"/>
      <c r="N3202" s="86"/>
      <c r="O3202" s="86"/>
      <c r="P3202" s="86"/>
      <c r="Q3202" s="86"/>
      <c r="R3202" s="86"/>
      <c r="S3202" s="86"/>
      <c r="T3202" s="86"/>
      <c r="U3202" s="86"/>
      <c r="V3202" s="48"/>
      <c r="W3202" s="48"/>
      <c r="X3202" s="48"/>
      <c r="Y3202" s="48"/>
      <c r="Z3202" s="48"/>
      <c r="AA3202" s="48"/>
      <c r="AB3202" s="48"/>
      <c r="AC3202" s="48"/>
      <c r="AD3202" s="48"/>
      <c r="AE3202" s="48"/>
      <c r="AF3202" s="48"/>
      <c r="AG3202" s="48"/>
      <c r="AH3202" s="48"/>
      <c r="AI3202" s="48"/>
      <c r="AJ3202" s="48"/>
      <c r="AK3202" s="48"/>
      <c r="AL3202" s="48"/>
      <c r="AM3202" s="48"/>
      <c r="AN3202" s="48"/>
      <c r="AO3202" s="48"/>
      <c r="AP3202" s="48"/>
      <c r="AQ3202" s="48"/>
      <c r="AR3202" s="48"/>
      <c r="AS3202" s="48"/>
      <c r="AT3202" s="48"/>
      <c r="AU3202" s="48"/>
      <c r="AV3202" s="48"/>
      <c r="AW3202" s="48"/>
      <c r="AX3202" s="48"/>
      <c r="AY3202" s="48"/>
      <c r="AZ3202" s="48"/>
      <c r="BA3202" s="48"/>
      <c r="BB3202" s="48"/>
      <c r="BC3202" s="48"/>
      <c r="BD3202" s="48"/>
    </row>
    <row r="3203" spans="1:56">
      <c r="A3203" s="48"/>
      <c r="B3203" s="48"/>
      <c r="C3203" s="49"/>
      <c r="D3203" s="48"/>
      <c r="E3203" s="48"/>
      <c r="F3203" s="48"/>
      <c r="G3203" s="48"/>
      <c r="H3203" s="48"/>
      <c r="I3203" s="48"/>
      <c r="J3203" s="86"/>
      <c r="K3203" s="86"/>
      <c r="L3203" s="86"/>
      <c r="M3203" s="86"/>
      <c r="N3203" s="86"/>
      <c r="O3203" s="86"/>
      <c r="P3203" s="86"/>
      <c r="Q3203" s="86"/>
      <c r="R3203" s="86"/>
      <c r="S3203" s="86"/>
      <c r="T3203" s="86"/>
      <c r="U3203" s="86"/>
      <c r="V3203" s="48"/>
      <c r="W3203" s="48"/>
      <c r="X3203" s="48"/>
      <c r="Y3203" s="48"/>
      <c r="Z3203" s="48"/>
      <c r="AA3203" s="48"/>
      <c r="AB3203" s="48"/>
      <c r="AC3203" s="48"/>
      <c r="AD3203" s="48"/>
      <c r="AE3203" s="48"/>
      <c r="AF3203" s="48"/>
      <c r="AG3203" s="48"/>
      <c r="AH3203" s="48"/>
      <c r="AI3203" s="48"/>
      <c r="AJ3203" s="48"/>
      <c r="AK3203" s="48"/>
      <c r="AL3203" s="48"/>
      <c r="AM3203" s="48"/>
      <c r="AN3203" s="48"/>
      <c r="AO3203" s="48"/>
      <c r="AP3203" s="48"/>
      <c r="AQ3203" s="48"/>
      <c r="AR3203" s="48"/>
      <c r="AS3203" s="48"/>
      <c r="AT3203" s="48"/>
      <c r="AU3203" s="48"/>
      <c r="AV3203" s="48"/>
      <c r="AW3203" s="48"/>
      <c r="AX3203" s="48"/>
      <c r="AY3203" s="48"/>
      <c r="AZ3203" s="48"/>
      <c r="BA3203" s="48"/>
      <c r="BB3203" s="48"/>
      <c r="BC3203" s="48"/>
      <c r="BD3203" s="48"/>
    </row>
    <row r="3204" spans="1:56">
      <c r="A3204" s="48"/>
      <c r="B3204" s="48"/>
      <c r="C3204" s="49"/>
      <c r="D3204" s="48"/>
      <c r="E3204" s="48"/>
      <c r="F3204" s="48"/>
      <c r="G3204" s="48"/>
      <c r="H3204" s="48"/>
      <c r="I3204" s="48"/>
      <c r="J3204" s="86"/>
      <c r="K3204" s="86"/>
      <c r="L3204" s="86"/>
      <c r="M3204" s="86"/>
      <c r="N3204" s="86"/>
      <c r="O3204" s="86"/>
      <c r="P3204" s="86"/>
      <c r="Q3204" s="86"/>
      <c r="R3204" s="86"/>
      <c r="S3204" s="86"/>
      <c r="T3204" s="86"/>
      <c r="U3204" s="86"/>
      <c r="V3204" s="48"/>
      <c r="W3204" s="48"/>
      <c r="X3204" s="48"/>
      <c r="Y3204" s="48"/>
      <c r="Z3204" s="48"/>
      <c r="AA3204" s="48"/>
      <c r="AB3204" s="48"/>
      <c r="AC3204" s="48"/>
      <c r="AD3204" s="48"/>
      <c r="AE3204" s="48"/>
      <c r="AF3204" s="48"/>
      <c r="AG3204" s="48"/>
      <c r="AH3204" s="48"/>
      <c r="AI3204" s="48"/>
      <c r="AJ3204" s="48"/>
      <c r="AK3204" s="48"/>
      <c r="AL3204" s="48"/>
      <c r="AM3204" s="48"/>
      <c r="AN3204" s="48"/>
      <c r="AO3204" s="48"/>
      <c r="AP3204" s="48"/>
      <c r="AQ3204" s="48"/>
      <c r="AR3204" s="48"/>
      <c r="AS3204" s="48"/>
      <c r="AT3204" s="48"/>
      <c r="AU3204" s="48"/>
      <c r="AV3204" s="48"/>
      <c r="AW3204" s="48"/>
      <c r="AX3204" s="48"/>
      <c r="AY3204" s="48"/>
      <c r="AZ3204" s="48"/>
      <c r="BA3204" s="48"/>
      <c r="BB3204" s="48"/>
      <c r="BC3204" s="48"/>
      <c r="BD3204" s="48"/>
    </row>
    <row r="3205" spans="1:56">
      <c r="A3205" s="48"/>
      <c r="B3205" s="48"/>
      <c r="C3205" s="49"/>
      <c r="D3205" s="48"/>
      <c r="E3205" s="48"/>
      <c r="F3205" s="48"/>
      <c r="G3205" s="48"/>
      <c r="H3205" s="48"/>
      <c r="I3205" s="48"/>
      <c r="J3205" s="86"/>
      <c r="K3205" s="86"/>
      <c r="L3205" s="86"/>
      <c r="M3205" s="86"/>
      <c r="N3205" s="86"/>
      <c r="O3205" s="86"/>
      <c r="P3205" s="86"/>
      <c r="Q3205" s="86"/>
      <c r="R3205" s="86"/>
      <c r="S3205" s="86"/>
      <c r="T3205" s="86"/>
      <c r="U3205" s="86"/>
      <c r="V3205" s="48"/>
      <c r="W3205" s="48"/>
      <c r="X3205" s="48"/>
      <c r="Y3205" s="48"/>
      <c r="Z3205" s="48"/>
      <c r="AA3205" s="48"/>
      <c r="AB3205" s="48"/>
      <c r="AC3205" s="48"/>
      <c r="AD3205" s="48"/>
      <c r="AE3205" s="48"/>
      <c r="AF3205" s="48"/>
      <c r="AG3205" s="48"/>
      <c r="AH3205" s="48"/>
      <c r="AI3205" s="48"/>
      <c r="AJ3205" s="48"/>
      <c r="AK3205" s="48"/>
      <c r="AL3205" s="48"/>
      <c r="AM3205" s="48"/>
      <c r="AN3205" s="48"/>
      <c r="AO3205" s="48"/>
      <c r="AP3205" s="48"/>
      <c r="AQ3205" s="48"/>
      <c r="AR3205" s="48"/>
      <c r="AS3205" s="48"/>
      <c r="AT3205" s="48"/>
      <c r="AU3205" s="48"/>
      <c r="AV3205" s="48"/>
      <c r="AW3205" s="48"/>
      <c r="AX3205" s="48"/>
      <c r="AY3205" s="48"/>
      <c r="AZ3205" s="48"/>
      <c r="BA3205" s="48"/>
      <c r="BB3205" s="48"/>
      <c r="BC3205" s="48"/>
      <c r="BD3205" s="48"/>
    </row>
    <row r="3206" spans="1:56">
      <c r="A3206" s="48"/>
      <c r="B3206" s="48"/>
      <c r="C3206" s="49"/>
      <c r="D3206" s="48"/>
      <c r="E3206" s="48"/>
      <c r="F3206" s="48"/>
      <c r="G3206" s="48"/>
      <c r="H3206" s="48"/>
      <c r="I3206" s="48"/>
      <c r="J3206" s="86"/>
      <c r="K3206" s="86"/>
      <c r="L3206" s="86"/>
      <c r="M3206" s="86"/>
      <c r="N3206" s="86"/>
      <c r="O3206" s="86"/>
      <c r="P3206" s="86"/>
      <c r="Q3206" s="86"/>
      <c r="R3206" s="86"/>
      <c r="S3206" s="86"/>
      <c r="T3206" s="86"/>
      <c r="U3206" s="86"/>
      <c r="V3206" s="48"/>
      <c r="W3206" s="48"/>
      <c r="X3206" s="48"/>
      <c r="Y3206" s="48"/>
      <c r="Z3206" s="48"/>
      <c r="AA3206" s="48"/>
      <c r="AB3206" s="48"/>
      <c r="AC3206" s="48"/>
      <c r="AD3206" s="48"/>
      <c r="AE3206" s="48"/>
      <c r="AF3206" s="48"/>
      <c r="AG3206" s="48"/>
      <c r="AH3206" s="48"/>
      <c r="AI3206" s="48"/>
      <c r="AJ3206" s="48"/>
      <c r="AK3206" s="48"/>
      <c r="AL3206" s="48"/>
      <c r="AM3206" s="48"/>
      <c r="AN3206" s="48"/>
      <c r="AO3206" s="48"/>
      <c r="AP3206" s="48"/>
      <c r="AQ3206" s="48"/>
      <c r="AR3206" s="48"/>
      <c r="AS3206" s="48"/>
      <c r="AT3206" s="48"/>
      <c r="AU3206" s="48"/>
      <c r="AV3206" s="48"/>
      <c r="AW3206" s="48"/>
      <c r="AX3206" s="48"/>
      <c r="AY3206" s="48"/>
      <c r="AZ3206" s="48"/>
      <c r="BA3206" s="48"/>
      <c r="BB3206" s="48"/>
      <c r="BC3206" s="48"/>
      <c r="BD3206" s="48"/>
    </row>
    <row r="3207" spans="1:56">
      <c r="A3207" s="48"/>
      <c r="B3207" s="48"/>
      <c r="C3207" s="49"/>
      <c r="D3207" s="48"/>
      <c r="E3207" s="48"/>
      <c r="F3207" s="48"/>
      <c r="G3207" s="48"/>
      <c r="H3207" s="48"/>
      <c r="I3207" s="48"/>
      <c r="J3207" s="86"/>
      <c r="K3207" s="86"/>
      <c r="L3207" s="86"/>
      <c r="M3207" s="86"/>
      <c r="N3207" s="86"/>
      <c r="O3207" s="86"/>
      <c r="P3207" s="86"/>
      <c r="Q3207" s="86"/>
      <c r="R3207" s="86"/>
      <c r="S3207" s="86"/>
      <c r="T3207" s="86"/>
      <c r="U3207" s="86"/>
      <c r="V3207" s="48"/>
      <c r="W3207" s="48"/>
      <c r="X3207" s="48"/>
      <c r="Y3207" s="48"/>
      <c r="Z3207" s="48"/>
      <c r="AA3207" s="48"/>
      <c r="AB3207" s="48"/>
      <c r="AC3207" s="48"/>
      <c r="AD3207" s="48"/>
      <c r="AE3207" s="48"/>
      <c r="AF3207" s="48"/>
      <c r="AG3207" s="48"/>
      <c r="AH3207" s="48"/>
      <c r="AI3207" s="48"/>
      <c r="AJ3207" s="48"/>
      <c r="AK3207" s="48"/>
      <c r="AL3207" s="48"/>
      <c r="AM3207" s="48"/>
      <c r="AN3207" s="48"/>
      <c r="AO3207" s="48"/>
      <c r="AP3207" s="48"/>
      <c r="AQ3207" s="48"/>
      <c r="AR3207" s="48"/>
      <c r="AS3207" s="48"/>
      <c r="AT3207" s="48"/>
      <c r="AU3207" s="48"/>
      <c r="AV3207" s="48"/>
      <c r="AW3207" s="48"/>
      <c r="AX3207" s="48"/>
      <c r="AY3207" s="48"/>
      <c r="AZ3207" s="48"/>
      <c r="BA3207" s="48"/>
      <c r="BB3207" s="48"/>
      <c r="BC3207" s="48"/>
      <c r="BD3207" s="48"/>
    </row>
    <row r="3208" spans="1:56">
      <c r="A3208" s="48"/>
      <c r="B3208" s="48"/>
      <c r="C3208" s="49"/>
      <c r="D3208" s="48"/>
      <c r="E3208" s="48"/>
      <c r="F3208" s="48"/>
      <c r="G3208" s="48"/>
      <c r="H3208" s="48"/>
      <c r="I3208" s="48"/>
      <c r="J3208" s="86"/>
      <c r="K3208" s="86"/>
      <c r="L3208" s="86"/>
      <c r="M3208" s="86"/>
      <c r="N3208" s="86"/>
      <c r="O3208" s="86"/>
      <c r="P3208" s="86"/>
      <c r="Q3208" s="86"/>
      <c r="R3208" s="86"/>
      <c r="S3208" s="86"/>
      <c r="T3208" s="86"/>
      <c r="U3208" s="86"/>
      <c r="V3208" s="48"/>
      <c r="W3208" s="48"/>
      <c r="X3208" s="48"/>
      <c r="Y3208" s="48"/>
      <c r="Z3208" s="48"/>
      <c r="AA3208" s="48"/>
      <c r="AB3208" s="48"/>
      <c r="AC3208" s="48"/>
      <c r="AD3208" s="48"/>
      <c r="AE3208" s="48"/>
      <c r="AF3208" s="48"/>
      <c r="AG3208" s="48"/>
      <c r="AH3208" s="48"/>
      <c r="AI3208" s="48"/>
      <c r="AJ3208" s="48"/>
      <c r="AK3208" s="48"/>
      <c r="AL3208" s="48"/>
      <c r="AM3208" s="48"/>
      <c r="AN3208" s="48"/>
      <c r="AO3208" s="48"/>
      <c r="AP3208" s="48"/>
      <c r="AQ3208" s="48"/>
      <c r="AR3208" s="48"/>
      <c r="AS3208" s="48"/>
      <c r="AT3208" s="48"/>
      <c r="AU3208" s="48"/>
      <c r="AV3208" s="48"/>
      <c r="AW3208" s="48"/>
      <c r="AX3208" s="48"/>
      <c r="AY3208" s="48"/>
      <c r="AZ3208" s="48"/>
      <c r="BA3208" s="48"/>
      <c r="BB3208" s="48"/>
      <c r="BC3208" s="48"/>
      <c r="BD3208" s="48"/>
    </row>
    <row r="3209" spans="1:56">
      <c r="A3209" s="48"/>
      <c r="B3209" s="48"/>
      <c r="C3209" s="49"/>
      <c r="D3209" s="48"/>
      <c r="E3209" s="48"/>
      <c r="F3209" s="48"/>
      <c r="G3209" s="48"/>
      <c r="H3209" s="48"/>
      <c r="I3209" s="48"/>
      <c r="J3209" s="86"/>
      <c r="K3209" s="86"/>
      <c r="L3209" s="86"/>
      <c r="M3209" s="86"/>
      <c r="N3209" s="86"/>
      <c r="O3209" s="86"/>
      <c r="P3209" s="86"/>
      <c r="Q3209" s="86"/>
      <c r="R3209" s="86"/>
      <c r="S3209" s="86"/>
      <c r="T3209" s="86"/>
      <c r="U3209" s="86"/>
      <c r="V3209" s="48"/>
      <c r="W3209" s="48"/>
      <c r="X3209" s="48"/>
      <c r="Y3209" s="48"/>
      <c r="Z3209" s="48"/>
      <c r="AA3209" s="48"/>
      <c r="AB3209" s="48"/>
      <c r="AC3209" s="48"/>
      <c r="AD3209" s="48"/>
      <c r="AE3209" s="48"/>
      <c r="AF3209" s="48"/>
      <c r="AG3209" s="48"/>
      <c r="AH3209" s="48"/>
      <c r="AI3209" s="48"/>
      <c r="AJ3209" s="48"/>
      <c r="AK3209" s="48"/>
      <c r="AL3209" s="48"/>
      <c r="AM3209" s="48"/>
      <c r="AN3209" s="48"/>
      <c r="AO3209" s="48"/>
      <c r="AP3209" s="48"/>
      <c r="AQ3209" s="48"/>
      <c r="AR3209" s="48"/>
      <c r="AS3209" s="48"/>
      <c r="AT3209" s="48"/>
      <c r="AU3209" s="48"/>
      <c r="AV3209" s="48"/>
      <c r="AW3209" s="48"/>
      <c r="AX3209" s="48"/>
      <c r="AY3209" s="48"/>
      <c r="AZ3209" s="48"/>
      <c r="BA3209" s="48"/>
      <c r="BB3209" s="48"/>
      <c r="BC3209" s="48"/>
      <c r="BD3209" s="48"/>
    </row>
    <row r="3210" spans="1:56">
      <c r="A3210" s="48"/>
      <c r="B3210" s="48"/>
      <c r="C3210" s="49"/>
      <c r="D3210" s="48"/>
      <c r="E3210" s="48"/>
      <c r="F3210" s="48"/>
      <c r="G3210" s="48"/>
      <c r="H3210" s="48"/>
      <c r="I3210" s="48"/>
      <c r="J3210" s="86"/>
      <c r="K3210" s="86"/>
      <c r="L3210" s="86"/>
      <c r="M3210" s="86"/>
      <c r="N3210" s="86"/>
      <c r="O3210" s="86"/>
      <c r="P3210" s="86"/>
      <c r="Q3210" s="86"/>
      <c r="R3210" s="86"/>
      <c r="S3210" s="86"/>
      <c r="T3210" s="86"/>
      <c r="U3210" s="86"/>
      <c r="V3210" s="48"/>
      <c r="W3210" s="48"/>
      <c r="X3210" s="48"/>
      <c r="Y3210" s="48"/>
      <c r="Z3210" s="48"/>
      <c r="AA3210" s="48"/>
      <c r="AB3210" s="48"/>
      <c r="AC3210" s="48"/>
      <c r="AD3210" s="48"/>
      <c r="AE3210" s="48"/>
      <c r="AF3210" s="48"/>
      <c r="AG3210" s="48"/>
      <c r="AH3210" s="48"/>
      <c r="AI3210" s="48"/>
      <c r="AJ3210" s="48"/>
      <c r="AK3210" s="48"/>
      <c r="AL3210" s="48"/>
      <c r="AM3210" s="48"/>
      <c r="AN3210" s="48"/>
      <c r="AO3210" s="48"/>
      <c r="AP3210" s="48"/>
      <c r="AQ3210" s="48"/>
      <c r="AR3210" s="48"/>
      <c r="AS3210" s="48"/>
      <c r="AT3210" s="48"/>
      <c r="AU3210" s="48"/>
      <c r="AV3210" s="48"/>
      <c r="AW3210" s="48"/>
      <c r="AX3210" s="48"/>
      <c r="AY3210" s="48"/>
      <c r="AZ3210" s="48"/>
      <c r="BA3210" s="48"/>
      <c r="BB3210" s="48"/>
      <c r="BC3210" s="48"/>
      <c r="BD3210" s="48"/>
    </row>
    <row r="3211" spans="1:56">
      <c r="A3211" s="48"/>
      <c r="B3211" s="48"/>
      <c r="C3211" s="49"/>
      <c r="D3211" s="48"/>
      <c r="E3211" s="48"/>
      <c r="F3211" s="48"/>
      <c r="G3211" s="48"/>
      <c r="H3211" s="48"/>
      <c r="I3211" s="48"/>
      <c r="J3211" s="86"/>
      <c r="K3211" s="86"/>
      <c r="L3211" s="86"/>
      <c r="M3211" s="86"/>
      <c r="N3211" s="86"/>
      <c r="O3211" s="86"/>
      <c r="P3211" s="86"/>
      <c r="Q3211" s="86"/>
      <c r="R3211" s="86"/>
      <c r="S3211" s="86"/>
      <c r="T3211" s="86"/>
      <c r="U3211" s="86"/>
      <c r="V3211" s="48"/>
      <c r="W3211" s="48"/>
      <c r="X3211" s="48"/>
      <c r="Y3211" s="48"/>
      <c r="Z3211" s="48"/>
      <c r="AA3211" s="48"/>
      <c r="AB3211" s="48"/>
      <c r="AC3211" s="48"/>
      <c r="AD3211" s="48"/>
      <c r="AE3211" s="48"/>
      <c r="AF3211" s="48"/>
      <c r="AG3211" s="48"/>
      <c r="AH3211" s="48"/>
      <c r="AI3211" s="48"/>
      <c r="AJ3211" s="48"/>
      <c r="AK3211" s="48"/>
      <c r="AL3211" s="48"/>
      <c r="AM3211" s="48"/>
      <c r="AN3211" s="48"/>
      <c r="AO3211" s="48"/>
      <c r="AP3211" s="48"/>
      <c r="AQ3211" s="48"/>
      <c r="AR3211" s="48"/>
      <c r="AS3211" s="48"/>
      <c r="AT3211" s="48"/>
      <c r="AU3211" s="48"/>
      <c r="AV3211" s="48"/>
      <c r="AW3211" s="48"/>
      <c r="AX3211" s="48"/>
      <c r="AY3211" s="48"/>
      <c r="AZ3211" s="48"/>
      <c r="BA3211" s="48"/>
      <c r="BB3211" s="48"/>
      <c r="BC3211" s="48"/>
      <c r="BD3211" s="48"/>
    </row>
    <row r="3212" spans="1:56">
      <c r="A3212" s="48"/>
      <c r="B3212" s="48"/>
      <c r="C3212" s="49"/>
      <c r="D3212" s="48"/>
      <c r="E3212" s="48"/>
      <c r="F3212" s="48"/>
      <c r="G3212" s="48"/>
      <c r="H3212" s="48"/>
      <c r="I3212" s="48"/>
      <c r="J3212" s="86"/>
      <c r="K3212" s="86"/>
      <c r="L3212" s="86"/>
      <c r="M3212" s="86"/>
      <c r="N3212" s="86"/>
      <c r="O3212" s="86"/>
      <c r="P3212" s="86"/>
      <c r="Q3212" s="86"/>
      <c r="R3212" s="86"/>
      <c r="S3212" s="86"/>
      <c r="T3212" s="86"/>
      <c r="U3212" s="86"/>
      <c r="V3212" s="48"/>
      <c r="W3212" s="48"/>
      <c r="X3212" s="48"/>
      <c r="Y3212" s="48"/>
      <c r="Z3212" s="48"/>
      <c r="AA3212" s="48"/>
      <c r="AB3212" s="48"/>
      <c r="AC3212" s="48"/>
      <c r="AD3212" s="48"/>
      <c r="AE3212" s="48"/>
      <c r="AF3212" s="48"/>
      <c r="AG3212" s="48"/>
      <c r="AH3212" s="48"/>
      <c r="AI3212" s="48"/>
      <c r="AJ3212" s="48"/>
      <c r="AK3212" s="48"/>
      <c r="AL3212" s="48"/>
      <c r="AM3212" s="48"/>
      <c r="AN3212" s="48"/>
      <c r="AO3212" s="48"/>
      <c r="AP3212" s="48"/>
      <c r="AQ3212" s="48"/>
      <c r="AR3212" s="48"/>
      <c r="AS3212" s="48"/>
      <c r="AT3212" s="48"/>
      <c r="AU3212" s="48"/>
      <c r="AV3212" s="48"/>
      <c r="AW3212" s="48"/>
      <c r="AX3212" s="48"/>
      <c r="AY3212" s="48"/>
      <c r="AZ3212" s="48"/>
      <c r="BA3212" s="48"/>
      <c r="BB3212" s="48"/>
      <c r="BC3212" s="48"/>
      <c r="BD3212" s="48"/>
    </row>
    <row r="3213" spans="1:56">
      <c r="A3213" s="48"/>
      <c r="B3213" s="48"/>
      <c r="C3213" s="49"/>
      <c r="D3213" s="48"/>
      <c r="E3213" s="48"/>
      <c r="F3213" s="48"/>
      <c r="G3213" s="48"/>
      <c r="H3213" s="48"/>
      <c r="I3213" s="48"/>
      <c r="J3213" s="86"/>
      <c r="K3213" s="86"/>
      <c r="L3213" s="86"/>
      <c r="M3213" s="86"/>
      <c r="N3213" s="86"/>
      <c r="O3213" s="86"/>
      <c r="P3213" s="86"/>
      <c r="Q3213" s="86"/>
      <c r="R3213" s="86"/>
      <c r="S3213" s="86"/>
      <c r="T3213" s="86"/>
      <c r="U3213" s="86"/>
      <c r="V3213" s="48"/>
      <c r="W3213" s="48"/>
      <c r="X3213" s="48"/>
      <c r="Y3213" s="48"/>
      <c r="Z3213" s="48"/>
      <c r="AA3213" s="48"/>
      <c r="AB3213" s="48"/>
      <c r="AC3213" s="48"/>
      <c r="AD3213" s="48"/>
      <c r="AE3213" s="48"/>
      <c r="AF3213" s="48"/>
      <c r="AG3213" s="48"/>
      <c r="AH3213" s="48"/>
      <c r="AI3213" s="48"/>
      <c r="AJ3213" s="48"/>
      <c r="AK3213" s="48"/>
      <c r="AL3213" s="48"/>
      <c r="AM3213" s="48"/>
      <c r="AN3213" s="48"/>
      <c r="AO3213" s="48"/>
      <c r="AP3213" s="48"/>
      <c r="AQ3213" s="48"/>
      <c r="AR3213" s="48"/>
      <c r="AS3213" s="48"/>
      <c r="AT3213" s="48"/>
      <c r="AU3213" s="48"/>
      <c r="AV3213" s="48"/>
      <c r="AW3213" s="48"/>
      <c r="AX3213" s="48"/>
      <c r="AY3213" s="48"/>
      <c r="AZ3213" s="48"/>
      <c r="BA3213" s="48"/>
      <c r="BB3213" s="48"/>
      <c r="BC3213" s="48"/>
      <c r="BD3213" s="48"/>
    </row>
    <row r="3214" spans="1:56">
      <c r="A3214" s="48"/>
      <c r="B3214" s="48"/>
      <c r="C3214" s="49"/>
      <c r="D3214" s="48"/>
      <c r="E3214" s="48"/>
      <c r="F3214" s="48"/>
      <c r="G3214" s="48"/>
      <c r="H3214" s="48"/>
      <c r="I3214" s="48"/>
      <c r="J3214" s="86"/>
      <c r="K3214" s="86"/>
      <c r="L3214" s="86"/>
      <c r="M3214" s="86"/>
      <c r="N3214" s="86"/>
      <c r="O3214" s="86"/>
      <c r="P3214" s="86"/>
      <c r="Q3214" s="86"/>
      <c r="R3214" s="86"/>
      <c r="S3214" s="86"/>
      <c r="T3214" s="86"/>
      <c r="U3214" s="86"/>
      <c r="V3214" s="48"/>
      <c r="W3214" s="48"/>
      <c r="X3214" s="48"/>
      <c r="Y3214" s="48"/>
      <c r="Z3214" s="48"/>
      <c r="AA3214" s="48"/>
      <c r="AB3214" s="48"/>
      <c r="AC3214" s="48"/>
      <c r="AD3214" s="48"/>
      <c r="AE3214" s="48"/>
      <c r="AF3214" s="48"/>
      <c r="AG3214" s="48"/>
      <c r="AH3214" s="48"/>
      <c r="AI3214" s="48"/>
      <c r="AJ3214" s="48"/>
      <c r="AK3214" s="48"/>
      <c r="AL3214" s="48"/>
      <c r="AM3214" s="48"/>
      <c r="AN3214" s="48"/>
      <c r="AO3214" s="48"/>
      <c r="AP3214" s="48"/>
      <c r="AQ3214" s="48"/>
      <c r="AR3214" s="48"/>
      <c r="AS3214" s="48"/>
      <c r="AT3214" s="48"/>
      <c r="AU3214" s="48"/>
      <c r="AV3214" s="48"/>
      <c r="AW3214" s="48"/>
      <c r="AX3214" s="48"/>
      <c r="AY3214" s="48"/>
      <c r="AZ3214" s="48"/>
      <c r="BA3214" s="48"/>
      <c r="BB3214" s="48"/>
      <c r="BC3214" s="48"/>
      <c r="BD3214" s="48"/>
    </row>
    <row r="3215" spans="1:56">
      <c r="A3215" s="48"/>
      <c r="B3215" s="48"/>
      <c r="C3215" s="49"/>
      <c r="D3215" s="48"/>
      <c r="E3215" s="48"/>
      <c r="F3215" s="48"/>
      <c r="G3215" s="48"/>
      <c r="H3215" s="48"/>
      <c r="I3215" s="48"/>
      <c r="J3215" s="86"/>
      <c r="K3215" s="86"/>
      <c r="L3215" s="86"/>
      <c r="M3215" s="86"/>
      <c r="N3215" s="86"/>
      <c r="O3215" s="86"/>
      <c r="P3215" s="86"/>
      <c r="Q3215" s="86"/>
      <c r="R3215" s="86"/>
      <c r="S3215" s="86"/>
      <c r="T3215" s="86"/>
      <c r="U3215" s="86"/>
      <c r="V3215" s="48"/>
      <c r="W3215" s="48"/>
      <c r="X3215" s="48"/>
      <c r="Y3215" s="48"/>
      <c r="Z3215" s="48"/>
      <c r="AA3215" s="48"/>
      <c r="AB3215" s="48"/>
      <c r="AC3215" s="48"/>
      <c r="AD3215" s="48"/>
      <c r="AE3215" s="48"/>
      <c r="AF3215" s="48"/>
      <c r="AG3215" s="48"/>
      <c r="AH3215" s="48"/>
      <c r="AI3215" s="48"/>
      <c r="AJ3215" s="48"/>
      <c r="AK3215" s="48"/>
      <c r="AL3215" s="48"/>
      <c r="AM3215" s="48"/>
      <c r="AN3215" s="48"/>
      <c r="AO3215" s="48"/>
      <c r="AP3215" s="48"/>
      <c r="AQ3215" s="48"/>
      <c r="AR3215" s="48"/>
      <c r="AS3215" s="48"/>
      <c r="AT3215" s="48"/>
      <c r="AU3215" s="48"/>
      <c r="AV3215" s="48"/>
      <c r="AW3215" s="48"/>
      <c r="AX3215" s="48"/>
      <c r="AY3215" s="48"/>
      <c r="AZ3215" s="48"/>
      <c r="BA3215" s="48"/>
      <c r="BB3215" s="48"/>
      <c r="BC3215" s="48"/>
      <c r="BD3215" s="48"/>
    </row>
    <row r="3216" spans="1:56">
      <c r="A3216" s="48"/>
      <c r="B3216" s="48"/>
      <c r="C3216" s="49"/>
      <c r="D3216" s="48"/>
      <c r="E3216" s="48"/>
      <c r="F3216" s="48"/>
      <c r="G3216" s="48"/>
      <c r="H3216" s="48"/>
      <c r="I3216" s="48"/>
      <c r="J3216" s="86"/>
      <c r="K3216" s="86"/>
      <c r="L3216" s="86"/>
      <c r="M3216" s="86"/>
      <c r="N3216" s="86"/>
      <c r="O3216" s="86"/>
      <c r="P3216" s="86"/>
      <c r="Q3216" s="86"/>
      <c r="R3216" s="86"/>
      <c r="S3216" s="86"/>
      <c r="T3216" s="86"/>
      <c r="U3216" s="86"/>
      <c r="V3216" s="48"/>
      <c r="W3216" s="48"/>
      <c r="X3216" s="48"/>
      <c r="Y3216" s="48"/>
      <c r="Z3216" s="48"/>
      <c r="AA3216" s="48"/>
      <c r="AB3216" s="48"/>
      <c r="AC3216" s="48"/>
      <c r="AD3216" s="48"/>
      <c r="AE3216" s="48"/>
      <c r="AF3216" s="48"/>
      <c r="AG3216" s="48"/>
      <c r="AH3216" s="48"/>
      <c r="AI3216" s="48"/>
      <c r="AJ3216" s="48"/>
      <c r="AK3216" s="48"/>
      <c r="AL3216" s="48"/>
      <c r="AM3216" s="48"/>
      <c r="AN3216" s="48"/>
      <c r="AO3216" s="48"/>
      <c r="AP3216" s="48"/>
      <c r="AQ3216" s="48"/>
      <c r="AR3216" s="48"/>
      <c r="AS3216" s="48"/>
      <c r="AT3216" s="48"/>
      <c r="AU3216" s="48"/>
      <c r="AV3216" s="48"/>
      <c r="AW3216" s="48"/>
      <c r="AX3216" s="48"/>
      <c r="AY3216" s="48"/>
      <c r="AZ3216" s="48"/>
      <c r="BA3216" s="48"/>
      <c r="BB3216" s="48"/>
      <c r="BC3216" s="48"/>
      <c r="BD3216" s="48"/>
    </row>
    <row r="3217" spans="1:56">
      <c r="A3217" s="48"/>
      <c r="B3217" s="48"/>
      <c r="C3217" s="49"/>
      <c r="D3217" s="48"/>
      <c r="E3217" s="48"/>
      <c r="F3217" s="48"/>
      <c r="G3217" s="48"/>
      <c r="H3217" s="48"/>
      <c r="I3217" s="48"/>
      <c r="J3217" s="86"/>
      <c r="K3217" s="86"/>
      <c r="L3217" s="86"/>
      <c r="M3217" s="86"/>
      <c r="N3217" s="86"/>
      <c r="O3217" s="86"/>
      <c r="P3217" s="86"/>
      <c r="Q3217" s="86"/>
      <c r="R3217" s="86"/>
      <c r="S3217" s="86"/>
      <c r="T3217" s="86"/>
      <c r="U3217" s="86"/>
      <c r="V3217" s="48"/>
      <c r="W3217" s="48"/>
      <c r="X3217" s="48"/>
      <c r="Y3217" s="48"/>
      <c r="Z3217" s="48"/>
      <c r="AA3217" s="48"/>
      <c r="AB3217" s="48"/>
      <c r="AC3217" s="48"/>
      <c r="AD3217" s="48"/>
      <c r="AE3217" s="48"/>
      <c r="AF3217" s="48"/>
      <c r="AG3217" s="48"/>
      <c r="AH3217" s="48"/>
      <c r="AI3217" s="48"/>
      <c r="AJ3217" s="48"/>
      <c r="AK3217" s="48"/>
      <c r="AL3217" s="48"/>
      <c r="AM3217" s="48"/>
      <c r="AN3217" s="48"/>
      <c r="AO3217" s="48"/>
      <c r="AP3217" s="48"/>
      <c r="AQ3217" s="48"/>
      <c r="AR3217" s="48"/>
      <c r="AS3217" s="48"/>
      <c r="AT3217" s="48"/>
      <c r="AU3217" s="48"/>
      <c r="AV3217" s="48"/>
      <c r="AW3217" s="48"/>
      <c r="AX3217" s="48"/>
      <c r="AY3217" s="48"/>
      <c r="AZ3217" s="48"/>
      <c r="BA3217" s="48"/>
      <c r="BB3217" s="48"/>
      <c r="BC3217" s="48"/>
      <c r="BD3217" s="48"/>
    </row>
    <row r="3218" spans="1:56">
      <c r="A3218" s="48"/>
      <c r="B3218" s="48"/>
      <c r="C3218" s="49"/>
      <c r="D3218" s="48"/>
      <c r="E3218" s="48"/>
      <c r="F3218" s="48"/>
      <c r="G3218" s="48"/>
      <c r="H3218" s="48"/>
      <c r="I3218" s="48"/>
      <c r="J3218" s="86"/>
      <c r="K3218" s="86"/>
      <c r="L3218" s="86"/>
      <c r="M3218" s="86"/>
      <c r="N3218" s="86"/>
      <c r="O3218" s="86"/>
      <c r="P3218" s="86"/>
      <c r="Q3218" s="86"/>
      <c r="R3218" s="86"/>
      <c r="S3218" s="86"/>
      <c r="T3218" s="86"/>
      <c r="U3218" s="86"/>
      <c r="V3218" s="48"/>
      <c r="W3218" s="48"/>
      <c r="X3218" s="48"/>
      <c r="Y3218" s="48"/>
      <c r="Z3218" s="48"/>
      <c r="AA3218" s="48"/>
      <c r="AB3218" s="48"/>
      <c r="AC3218" s="48"/>
      <c r="AD3218" s="48"/>
      <c r="AE3218" s="48"/>
      <c r="AF3218" s="48"/>
      <c r="AG3218" s="48"/>
      <c r="AH3218" s="48"/>
      <c r="AI3218" s="48"/>
      <c r="AJ3218" s="48"/>
      <c r="AK3218" s="48"/>
      <c r="AL3218" s="48"/>
      <c r="AM3218" s="48"/>
      <c r="AN3218" s="48"/>
      <c r="AO3218" s="48"/>
      <c r="AP3218" s="48"/>
      <c r="AQ3218" s="48"/>
      <c r="AR3218" s="48"/>
      <c r="AS3218" s="48"/>
      <c r="AT3218" s="48"/>
      <c r="AU3218" s="48"/>
      <c r="AV3218" s="48"/>
      <c r="AW3218" s="48"/>
      <c r="AX3218" s="48"/>
      <c r="AY3218" s="48"/>
      <c r="AZ3218" s="48"/>
      <c r="BA3218" s="48"/>
      <c r="BB3218" s="48"/>
      <c r="BC3218" s="48"/>
      <c r="BD3218" s="48"/>
    </row>
    <row r="3219" spans="1:56">
      <c r="A3219" s="48"/>
      <c r="B3219" s="48"/>
      <c r="C3219" s="49"/>
      <c r="D3219" s="48"/>
      <c r="E3219" s="48"/>
      <c r="F3219" s="48"/>
      <c r="G3219" s="48"/>
      <c r="H3219" s="48"/>
      <c r="I3219" s="48"/>
      <c r="J3219" s="86"/>
      <c r="K3219" s="86"/>
      <c r="L3219" s="86"/>
      <c r="M3219" s="86"/>
      <c r="N3219" s="86"/>
      <c r="O3219" s="86"/>
      <c r="P3219" s="86"/>
      <c r="Q3219" s="86"/>
      <c r="R3219" s="86"/>
      <c r="S3219" s="86"/>
      <c r="T3219" s="86"/>
      <c r="U3219" s="86"/>
      <c r="V3219" s="48"/>
      <c r="W3219" s="48"/>
      <c r="X3219" s="48"/>
      <c r="Y3219" s="48"/>
      <c r="Z3219" s="48"/>
      <c r="AA3219" s="48"/>
      <c r="AB3219" s="48"/>
      <c r="AC3219" s="48"/>
      <c r="AD3219" s="48"/>
      <c r="AE3219" s="48"/>
      <c r="AF3219" s="48"/>
      <c r="AG3219" s="48"/>
      <c r="AH3219" s="48"/>
      <c r="AI3219" s="48"/>
      <c r="AJ3219" s="48"/>
      <c r="AK3219" s="48"/>
      <c r="AL3219" s="48"/>
      <c r="AM3219" s="48"/>
      <c r="AN3219" s="48"/>
      <c r="AO3219" s="48"/>
      <c r="AP3219" s="48"/>
      <c r="AQ3219" s="48"/>
      <c r="AR3219" s="48"/>
      <c r="AS3219" s="48"/>
      <c r="AT3219" s="48"/>
      <c r="AU3219" s="48"/>
      <c r="AV3219" s="48"/>
      <c r="AW3219" s="48"/>
      <c r="AX3219" s="48"/>
      <c r="AY3219" s="48"/>
      <c r="AZ3219" s="48"/>
      <c r="BA3219" s="48"/>
      <c r="BB3219" s="48"/>
      <c r="BC3219" s="48"/>
      <c r="BD3219" s="48"/>
    </row>
    <row r="3220" spans="1:56">
      <c r="A3220" s="48"/>
      <c r="B3220" s="48"/>
      <c r="C3220" s="49"/>
      <c r="D3220" s="48"/>
      <c r="E3220" s="48"/>
      <c r="F3220" s="48"/>
      <c r="G3220" s="48"/>
      <c r="H3220" s="48"/>
      <c r="I3220" s="48"/>
      <c r="J3220" s="86"/>
      <c r="K3220" s="86"/>
      <c r="L3220" s="86"/>
      <c r="M3220" s="86"/>
      <c r="N3220" s="86"/>
      <c r="O3220" s="86"/>
      <c r="P3220" s="86"/>
      <c r="Q3220" s="86"/>
      <c r="R3220" s="86"/>
      <c r="S3220" s="86"/>
      <c r="T3220" s="86"/>
      <c r="U3220" s="86"/>
      <c r="V3220" s="48"/>
      <c r="W3220" s="48"/>
      <c r="X3220" s="48"/>
      <c r="Y3220" s="48"/>
      <c r="Z3220" s="48"/>
      <c r="AA3220" s="48"/>
      <c r="AB3220" s="48"/>
      <c r="AC3220" s="48"/>
      <c r="AD3220" s="48"/>
      <c r="AE3220" s="48"/>
      <c r="AF3220" s="48"/>
      <c r="AG3220" s="48"/>
      <c r="AH3220" s="48"/>
      <c r="AI3220" s="48"/>
      <c r="AJ3220" s="48"/>
      <c r="AK3220" s="48"/>
      <c r="AL3220" s="48"/>
      <c r="AM3220" s="48"/>
      <c r="AN3220" s="48"/>
      <c r="AO3220" s="48"/>
      <c r="AP3220" s="48"/>
      <c r="AQ3220" s="48"/>
      <c r="AR3220" s="48"/>
      <c r="AS3220" s="48"/>
      <c r="AT3220" s="48"/>
      <c r="AU3220" s="48"/>
      <c r="AV3220" s="48"/>
      <c r="AW3220" s="48"/>
      <c r="AX3220" s="48"/>
      <c r="AY3220" s="48"/>
      <c r="AZ3220" s="48"/>
      <c r="BA3220" s="48"/>
      <c r="BB3220" s="48"/>
      <c r="BC3220" s="48"/>
      <c r="BD3220" s="48"/>
    </row>
    <row r="3221" spans="1:56">
      <c r="A3221" s="48"/>
      <c r="B3221" s="48"/>
      <c r="C3221" s="49"/>
      <c r="D3221" s="48"/>
      <c r="E3221" s="48"/>
      <c r="F3221" s="48"/>
      <c r="G3221" s="48"/>
      <c r="H3221" s="48"/>
      <c r="I3221" s="48"/>
      <c r="J3221" s="86"/>
      <c r="K3221" s="86"/>
      <c r="L3221" s="86"/>
      <c r="M3221" s="86"/>
      <c r="N3221" s="86"/>
      <c r="O3221" s="86"/>
      <c r="P3221" s="86"/>
      <c r="Q3221" s="86"/>
      <c r="R3221" s="86"/>
      <c r="S3221" s="86"/>
      <c r="T3221" s="86"/>
      <c r="U3221" s="86"/>
      <c r="V3221" s="48"/>
      <c r="W3221" s="48"/>
      <c r="X3221" s="48"/>
      <c r="Y3221" s="48"/>
      <c r="Z3221" s="48"/>
      <c r="AA3221" s="48"/>
      <c r="AB3221" s="48"/>
      <c r="AC3221" s="48"/>
      <c r="AD3221" s="48"/>
      <c r="AE3221" s="48"/>
      <c r="AF3221" s="48"/>
      <c r="AG3221" s="48"/>
      <c r="AH3221" s="48"/>
      <c r="AI3221" s="48"/>
      <c r="AJ3221" s="48"/>
      <c r="AK3221" s="48"/>
      <c r="AL3221" s="48"/>
      <c r="AM3221" s="48"/>
      <c r="AN3221" s="48"/>
      <c r="AO3221" s="48"/>
      <c r="AP3221" s="48"/>
      <c r="AQ3221" s="48"/>
      <c r="AR3221" s="48"/>
      <c r="AS3221" s="48"/>
      <c r="AT3221" s="48"/>
      <c r="AU3221" s="48"/>
      <c r="AV3221" s="48"/>
      <c r="AW3221" s="48"/>
      <c r="AX3221" s="48"/>
      <c r="AY3221" s="48"/>
      <c r="AZ3221" s="48"/>
      <c r="BA3221" s="48"/>
      <c r="BB3221" s="48"/>
      <c r="BC3221" s="48"/>
      <c r="BD3221" s="48"/>
    </row>
    <row r="3222" spans="1:56">
      <c r="A3222" s="48"/>
      <c r="B3222" s="48"/>
      <c r="C3222" s="49"/>
      <c r="D3222" s="48"/>
      <c r="E3222" s="48"/>
      <c r="F3222" s="48"/>
      <c r="G3222" s="48"/>
      <c r="H3222" s="48"/>
      <c r="I3222" s="48"/>
      <c r="J3222" s="86"/>
      <c r="K3222" s="86"/>
      <c r="L3222" s="86"/>
      <c r="M3222" s="86"/>
      <c r="N3222" s="86"/>
      <c r="O3222" s="86"/>
      <c r="P3222" s="86"/>
      <c r="Q3222" s="86"/>
      <c r="R3222" s="86"/>
      <c r="S3222" s="86"/>
      <c r="T3222" s="86"/>
      <c r="U3222" s="86"/>
      <c r="V3222" s="48"/>
      <c r="W3222" s="48"/>
      <c r="X3222" s="48"/>
      <c r="Y3222" s="48"/>
      <c r="Z3222" s="48"/>
      <c r="AA3222" s="48"/>
      <c r="AB3222" s="48"/>
      <c r="AC3222" s="48"/>
      <c r="AD3222" s="48"/>
      <c r="AE3222" s="48"/>
      <c r="AF3222" s="48"/>
      <c r="AG3222" s="48"/>
      <c r="AH3222" s="48"/>
      <c r="AI3222" s="48"/>
      <c r="AJ3222" s="48"/>
      <c r="AK3222" s="48"/>
      <c r="AL3222" s="48"/>
      <c r="AM3222" s="48"/>
      <c r="AN3222" s="48"/>
      <c r="AO3222" s="48"/>
      <c r="AP3222" s="48"/>
      <c r="AQ3222" s="48"/>
      <c r="AR3222" s="48"/>
      <c r="AS3222" s="48"/>
      <c r="AT3222" s="48"/>
      <c r="AU3222" s="48"/>
      <c r="AV3222" s="48"/>
      <c r="AW3222" s="48"/>
      <c r="AX3222" s="48"/>
      <c r="AY3222" s="48"/>
      <c r="AZ3222" s="48"/>
      <c r="BA3222" s="48"/>
      <c r="BB3222" s="48"/>
      <c r="BC3222" s="48"/>
      <c r="BD3222" s="48"/>
    </row>
    <row r="3223" spans="1:56">
      <c r="A3223" s="48"/>
      <c r="B3223" s="48"/>
      <c r="C3223" s="49"/>
      <c r="D3223" s="48"/>
      <c r="E3223" s="48"/>
      <c r="F3223" s="48"/>
      <c r="G3223" s="48"/>
      <c r="H3223" s="48"/>
      <c r="I3223" s="48"/>
      <c r="J3223" s="86"/>
      <c r="K3223" s="86"/>
      <c r="L3223" s="86"/>
      <c r="M3223" s="86"/>
      <c r="N3223" s="86"/>
      <c r="O3223" s="86"/>
      <c r="P3223" s="86"/>
      <c r="Q3223" s="86"/>
      <c r="R3223" s="86"/>
      <c r="S3223" s="86"/>
      <c r="T3223" s="86"/>
      <c r="U3223" s="86"/>
      <c r="V3223" s="48"/>
      <c r="W3223" s="48"/>
      <c r="X3223" s="48"/>
      <c r="Y3223" s="48"/>
      <c r="Z3223" s="48"/>
      <c r="AA3223" s="48"/>
      <c r="AB3223" s="48"/>
      <c r="AC3223" s="48"/>
      <c r="AD3223" s="48"/>
      <c r="AE3223" s="48"/>
      <c r="AF3223" s="48"/>
      <c r="AG3223" s="48"/>
      <c r="AH3223" s="48"/>
      <c r="AI3223" s="48"/>
      <c r="AJ3223" s="48"/>
      <c r="AK3223" s="48"/>
      <c r="AL3223" s="48"/>
      <c r="AM3223" s="48"/>
      <c r="AN3223" s="48"/>
      <c r="AO3223" s="48"/>
      <c r="AP3223" s="48"/>
      <c r="AQ3223" s="48"/>
      <c r="AR3223" s="48"/>
      <c r="AS3223" s="48"/>
      <c r="AT3223" s="48"/>
      <c r="AU3223" s="48"/>
      <c r="AV3223" s="48"/>
      <c r="AW3223" s="48"/>
      <c r="AX3223" s="48"/>
      <c r="AY3223" s="48"/>
      <c r="AZ3223" s="48"/>
      <c r="BA3223" s="48"/>
      <c r="BB3223" s="48"/>
      <c r="BC3223" s="48"/>
      <c r="BD3223" s="48"/>
    </row>
    <row r="3224" spans="1:56">
      <c r="A3224" s="48"/>
      <c r="B3224" s="48"/>
      <c r="C3224" s="49"/>
      <c r="D3224" s="48"/>
      <c r="E3224" s="48"/>
      <c r="F3224" s="48"/>
      <c r="G3224" s="48"/>
      <c r="H3224" s="48"/>
      <c r="I3224" s="48"/>
      <c r="J3224" s="86"/>
      <c r="K3224" s="86"/>
      <c r="L3224" s="86"/>
      <c r="M3224" s="86"/>
      <c r="N3224" s="86"/>
      <c r="O3224" s="86"/>
      <c r="P3224" s="86"/>
      <c r="Q3224" s="86"/>
      <c r="R3224" s="86"/>
      <c r="S3224" s="86"/>
      <c r="T3224" s="86"/>
      <c r="U3224" s="86"/>
      <c r="V3224" s="48"/>
      <c r="W3224" s="48"/>
      <c r="X3224" s="48"/>
      <c r="Y3224" s="48"/>
      <c r="Z3224" s="48"/>
      <c r="AA3224" s="48"/>
      <c r="AB3224" s="48"/>
      <c r="AC3224" s="48"/>
      <c r="AD3224" s="48"/>
      <c r="AE3224" s="48"/>
      <c r="AF3224" s="48"/>
      <c r="AG3224" s="48"/>
      <c r="AH3224" s="48"/>
      <c r="AI3224" s="48"/>
      <c r="AJ3224" s="48"/>
      <c r="AK3224" s="48"/>
      <c r="AL3224" s="48"/>
      <c r="AM3224" s="48"/>
      <c r="AN3224" s="48"/>
      <c r="AO3224" s="48"/>
      <c r="AP3224" s="48"/>
      <c r="AQ3224" s="48"/>
      <c r="AR3224" s="48"/>
      <c r="AS3224" s="48"/>
      <c r="AT3224" s="48"/>
      <c r="AU3224" s="48"/>
      <c r="AV3224" s="48"/>
      <c r="AW3224" s="48"/>
      <c r="AX3224" s="48"/>
      <c r="AY3224" s="48"/>
      <c r="AZ3224" s="48"/>
      <c r="BA3224" s="48"/>
      <c r="BB3224" s="48"/>
      <c r="BC3224" s="48"/>
      <c r="BD3224" s="48"/>
    </row>
    <row r="3225" spans="1:56">
      <c r="A3225" s="48"/>
      <c r="B3225" s="48"/>
      <c r="C3225" s="49"/>
      <c r="D3225" s="48"/>
      <c r="E3225" s="48"/>
      <c r="F3225" s="48"/>
      <c r="G3225" s="48"/>
      <c r="H3225" s="48"/>
      <c r="I3225" s="48"/>
      <c r="J3225" s="86"/>
      <c r="K3225" s="86"/>
      <c r="L3225" s="86"/>
      <c r="M3225" s="86"/>
      <c r="N3225" s="86"/>
      <c r="O3225" s="86"/>
      <c r="P3225" s="86"/>
      <c r="Q3225" s="86"/>
      <c r="R3225" s="86"/>
      <c r="S3225" s="86"/>
      <c r="T3225" s="86"/>
      <c r="U3225" s="86"/>
      <c r="V3225" s="48"/>
      <c r="W3225" s="48"/>
      <c r="X3225" s="48"/>
      <c r="Y3225" s="48"/>
      <c r="Z3225" s="48"/>
      <c r="AA3225" s="48"/>
      <c r="AB3225" s="48"/>
      <c r="AC3225" s="48"/>
      <c r="AD3225" s="48"/>
      <c r="AE3225" s="48"/>
      <c r="AF3225" s="48"/>
      <c r="AG3225" s="48"/>
      <c r="AH3225" s="48"/>
      <c r="AI3225" s="48"/>
      <c r="AJ3225" s="48"/>
      <c r="AK3225" s="48"/>
      <c r="AL3225" s="48"/>
      <c r="AM3225" s="48"/>
      <c r="AN3225" s="48"/>
      <c r="AO3225" s="48"/>
      <c r="AP3225" s="48"/>
      <c r="AQ3225" s="48"/>
      <c r="AR3225" s="48"/>
      <c r="AS3225" s="48"/>
      <c r="AT3225" s="48"/>
      <c r="AU3225" s="48"/>
      <c r="AV3225" s="48"/>
      <c r="AW3225" s="48"/>
      <c r="AX3225" s="48"/>
      <c r="AY3225" s="48"/>
      <c r="AZ3225" s="48"/>
      <c r="BA3225" s="48"/>
      <c r="BB3225" s="48"/>
      <c r="BC3225" s="48"/>
      <c r="BD3225" s="48"/>
    </row>
    <row r="3226" spans="1:56">
      <c r="A3226" s="48"/>
      <c r="B3226" s="48"/>
      <c r="C3226" s="49"/>
      <c r="D3226" s="48"/>
      <c r="E3226" s="48"/>
      <c r="F3226" s="48"/>
      <c r="G3226" s="48"/>
      <c r="H3226" s="48"/>
      <c r="I3226" s="48"/>
      <c r="J3226" s="86"/>
      <c r="K3226" s="86"/>
      <c r="L3226" s="86"/>
      <c r="M3226" s="86"/>
      <c r="N3226" s="86"/>
      <c r="O3226" s="86"/>
      <c r="P3226" s="86"/>
      <c r="Q3226" s="86"/>
      <c r="R3226" s="86"/>
      <c r="S3226" s="86"/>
      <c r="T3226" s="86"/>
      <c r="U3226" s="86"/>
      <c r="V3226" s="48"/>
      <c r="W3226" s="48"/>
      <c r="X3226" s="48"/>
      <c r="Y3226" s="48"/>
      <c r="Z3226" s="48"/>
      <c r="AA3226" s="48"/>
      <c r="AB3226" s="48"/>
      <c r="AC3226" s="48"/>
      <c r="AD3226" s="48"/>
      <c r="AE3226" s="48"/>
      <c r="AF3226" s="48"/>
      <c r="AG3226" s="48"/>
      <c r="AH3226" s="48"/>
      <c r="AI3226" s="48"/>
      <c r="AJ3226" s="48"/>
      <c r="AK3226" s="48"/>
      <c r="AL3226" s="48"/>
      <c r="AM3226" s="48"/>
      <c r="AN3226" s="48"/>
      <c r="AO3226" s="48"/>
      <c r="AP3226" s="48"/>
      <c r="AQ3226" s="48"/>
      <c r="AR3226" s="48"/>
      <c r="AS3226" s="48"/>
      <c r="AT3226" s="48"/>
      <c r="AU3226" s="48"/>
      <c r="AV3226" s="48"/>
      <c r="AW3226" s="48"/>
      <c r="AX3226" s="48"/>
      <c r="AY3226" s="48"/>
      <c r="AZ3226" s="48"/>
      <c r="BA3226" s="48"/>
      <c r="BB3226" s="48"/>
      <c r="BC3226" s="48"/>
      <c r="BD3226" s="48"/>
    </row>
    <row r="3227" spans="1:56">
      <c r="A3227" s="48"/>
      <c r="B3227" s="48"/>
      <c r="C3227" s="49"/>
      <c r="D3227" s="48"/>
      <c r="E3227" s="48"/>
      <c r="F3227" s="48"/>
      <c r="G3227" s="48"/>
      <c r="H3227" s="48"/>
      <c r="I3227" s="48"/>
      <c r="J3227" s="86"/>
      <c r="K3227" s="86"/>
      <c r="L3227" s="86"/>
      <c r="M3227" s="86"/>
      <c r="N3227" s="86"/>
      <c r="O3227" s="86"/>
      <c r="P3227" s="86"/>
      <c r="Q3227" s="86"/>
      <c r="R3227" s="86"/>
      <c r="S3227" s="86"/>
      <c r="T3227" s="86"/>
      <c r="U3227" s="86"/>
      <c r="V3227" s="48"/>
      <c r="W3227" s="48"/>
      <c r="X3227" s="48"/>
      <c r="Y3227" s="48"/>
      <c r="Z3227" s="48"/>
      <c r="AA3227" s="48"/>
      <c r="AB3227" s="48"/>
      <c r="AC3227" s="48"/>
      <c r="AD3227" s="48"/>
      <c r="AE3227" s="48"/>
      <c r="AF3227" s="48"/>
      <c r="AG3227" s="48"/>
      <c r="AH3227" s="48"/>
      <c r="AI3227" s="48"/>
      <c r="AJ3227" s="48"/>
      <c r="AK3227" s="48"/>
      <c r="AL3227" s="48"/>
      <c r="AM3227" s="48"/>
      <c r="AN3227" s="48"/>
      <c r="AO3227" s="48"/>
      <c r="AP3227" s="48"/>
      <c r="AQ3227" s="48"/>
      <c r="AR3227" s="48"/>
      <c r="AS3227" s="48"/>
      <c r="AT3227" s="48"/>
      <c r="AU3227" s="48"/>
      <c r="AV3227" s="48"/>
      <c r="AW3227" s="48"/>
      <c r="AX3227" s="48"/>
      <c r="AY3227" s="48"/>
      <c r="AZ3227" s="48"/>
      <c r="BA3227" s="48"/>
      <c r="BB3227" s="48"/>
      <c r="BC3227" s="48"/>
      <c r="BD3227" s="48"/>
    </row>
    <row r="3228" spans="1:56">
      <c r="A3228" s="48"/>
      <c r="B3228" s="48"/>
      <c r="C3228" s="49"/>
      <c r="D3228" s="48"/>
      <c r="E3228" s="48"/>
      <c r="F3228" s="48"/>
      <c r="G3228" s="48"/>
      <c r="H3228" s="48"/>
      <c r="I3228" s="48"/>
      <c r="J3228" s="86"/>
      <c r="K3228" s="86"/>
      <c r="L3228" s="86"/>
      <c r="M3228" s="86"/>
      <c r="N3228" s="86"/>
      <c r="O3228" s="86"/>
      <c r="P3228" s="86"/>
      <c r="Q3228" s="86"/>
      <c r="R3228" s="86"/>
      <c r="S3228" s="86"/>
      <c r="T3228" s="86"/>
      <c r="U3228" s="86"/>
      <c r="V3228" s="48"/>
      <c r="W3228" s="48"/>
      <c r="X3228" s="48"/>
      <c r="Y3228" s="48"/>
      <c r="Z3228" s="48"/>
      <c r="AA3228" s="48"/>
      <c r="AB3228" s="48"/>
      <c r="AC3228" s="48"/>
      <c r="AD3228" s="48"/>
      <c r="AE3228" s="48"/>
      <c r="AF3228" s="48"/>
      <c r="AG3228" s="48"/>
      <c r="AH3228" s="48"/>
      <c r="AI3228" s="48"/>
      <c r="AJ3228" s="48"/>
      <c r="AK3228" s="48"/>
      <c r="AL3228" s="48"/>
      <c r="AM3228" s="48"/>
      <c r="AN3228" s="48"/>
      <c r="AO3228" s="48"/>
      <c r="AP3228" s="48"/>
      <c r="AQ3228" s="48"/>
      <c r="AR3228" s="48"/>
      <c r="AS3228" s="48"/>
      <c r="AT3228" s="48"/>
      <c r="AU3228" s="48"/>
      <c r="AV3228" s="48"/>
      <c r="AW3228" s="48"/>
      <c r="AX3228" s="48"/>
      <c r="AY3228" s="48"/>
      <c r="AZ3228" s="48"/>
      <c r="BA3228" s="48"/>
      <c r="BB3228" s="48"/>
      <c r="BC3228" s="48"/>
      <c r="BD3228" s="48"/>
    </row>
    <row r="3229" spans="1:56">
      <c r="A3229" s="48"/>
      <c r="B3229" s="48"/>
      <c r="C3229" s="49"/>
      <c r="D3229" s="48"/>
      <c r="E3229" s="48"/>
      <c r="F3229" s="48"/>
      <c r="G3229" s="48"/>
      <c r="H3229" s="48"/>
      <c r="I3229" s="48"/>
      <c r="J3229" s="86"/>
      <c r="K3229" s="86"/>
      <c r="L3229" s="86"/>
      <c r="M3229" s="86"/>
      <c r="N3229" s="86"/>
      <c r="O3229" s="86"/>
      <c r="P3229" s="86"/>
      <c r="Q3229" s="86"/>
      <c r="R3229" s="86"/>
      <c r="S3229" s="86"/>
      <c r="T3229" s="86"/>
      <c r="U3229" s="86"/>
      <c r="V3229" s="48"/>
      <c r="W3229" s="48"/>
      <c r="X3229" s="48"/>
      <c r="Y3229" s="48"/>
      <c r="Z3229" s="48"/>
      <c r="AA3229" s="48"/>
      <c r="AB3229" s="48"/>
      <c r="AC3229" s="48"/>
      <c r="AD3229" s="48"/>
      <c r="AE3229" s="48"/>
      <c r="AF3229" s="48"/>
      <c r="AG3229" s="48"/>
      <c r="AH3229" s="48"/>
      <c r="AI3229" s="48"/>
      <c r="AJ3229" s="48"/>
      <c r="AK3229" s="48"/>
      <c r="AL3229" s="48"/>
      <c r="AM3229" s="48"/>
      <c r="AN3229" s="48"/>
      <c r="AO3229" s="48"/>
      <c r="AP3229" s="48"/>
      <c r="AQ3229" s="48"/>
      <c r="AR3229" s="48"/>
      <c r="AS3229" s="48"/>
      <c r="AT3229" s="48"/>
      <c r="AU3229" s="48"/>
      <c r="AV3229" s="48"/>
      <c r="AW3229" s="48"/>
      <c r="AX3229" s="48"/>
      <c r="AY3229" s="48"/>
      <c r="AZ3229" s="48"/>
      <c r="BA3229" s="48"/>
      <c r="BB3229" s="48"/>
      <c r="BC3229" s="48"/>
      <c r="BD3229" s="48"/>
    </row>
    <row r="3230" spans="1:56">
      <c r="A3230" s="48"/>
      <c r="B3230" s="48"/>
      <c r="C3230" s="49"/>
      <c r="D3230" s="48"/>
      <c r="E3230" s="48"/>
      <c r="F3230" s="48"/>
      <c r="G3230" s="48"/>
      <c r="H3230" s="48"/>
      <c r="I3230" s="48"/>
      <c r="J3230" s="86"/>
      <c r="K3230" s="86"/>
      <c r="L3230" s="86"/>
      <c r="M3230" s="86"/>
      <c r="N3230" s="86"/>
      <c r="O3230" s="86"/>
      <c r="P3230" s="86"/>
      <c r="Q3230" s="86"/>
      <c r="R3230" s="86"/>
      <c r="S3230" s="86"/>
      <c r="T3230" s="86"/>
      <c r="U3230" s="86"/>
      <c r="V3230" s="48"/>
      <c r="W3230" s="48"/>
      <c r="X3230" s="48"/>
      <c r="Y3230" s="48"/>
      <c r="Z3230" s="48"/>
      <c r="AA3230" s="48"/>
      <c r="AB3230" s="48"/>
      <c r="AC3230" s="48"/>
      <c r="AD3230" s="48"/>
      <c r="AE3230" s="48"/>
      <c r="AF3230" s="48"/>
      <c r="AG3230" s="48"/>
      <c r="AH3230" s="48"/>
      <c r="AI3230" s="48"/>
      <c r="AJ3230" s="48"/>
      <c r="AK3230" s="48"/>
      <c r="AL3230" s="48"/>
      <c r="AM3230" s="48"/>
      <c r="AN3230" s="48"/>
      <c r="AO3230" s="48"/>
      <c r="AP3230" s="48"/>
      <c r="AQ3230" s="48"/>
      <c r="AR3230" s="48"/>
      <c r="AS3230" s="48"/>
      <c r="AT3230" s="48"/>
      <c r="AU3230" s="48"/>
      <c r="AV3230" s="48"/>
      <c r="AW3230" s="48"/>
      <c r="AX3230" s="48"/>
      <c r="AY3230" s="48"/>
      <c r="AZ3230" s="48"/>
      <c r="BA3230" s="48"/>
      <c r="BB3230" s="48"/>
      <c r="BC3230" s="48"/>
      <c r="BD3230" s="48"/>
    </row>
    <row r="3231" spans="1:56">
      <c r="A3231" s="48"/>
      <c r="B3231" s="48"/>
      <c r="C3231" s="49"/>
      <c r="D3231" s="48"/>
      <c r="E3231" s="48"/>
      <c r="F3231" s="48"/>
      <c r="G3231" s="48"/>
      <c r="H3231" s="48"/>
      <c r="I3231" s="48"/>
      <c r="J3231" s="86"/>
      <c r="K3231" s="86"/>
      <c r="L3231" s="86"/>
      <c r="M3231" s="86"/>
      <c r="N3231" s="86"/>
      <c r="O3231" s="86"/>
      <c r="P3231" s="86"/>
      <c r="Q3231" s="86"/>
      <c r="R3231" s="86"/>
      <c r="S3231" s="86"/>
      <c r="T3231" s="86"/>
      <c r="U3231" s="86"/>
      <c r="V3231" s="48"/>
      <c r="W3231" s="48"/>
      <c r="X3231" s="48"/>
      <c r="Y3231" s="48"/>
      <c r="Z3231" s="48"/>
      <c r="AA3231" s="48"/>
      <c r="AB3231" s="48"/>
      <c r="AC3231" s="48"/>
      <c r="AD3231" s="48"/>
      <c r="AE3231" s="48"/>
      <c r="AF3231" s="48"/>
      <c r="AG3231" s="48"/>
      <c r="AH3231" s="48"/>
      <c r="AI3231" s="48"/>
      <c r="AJ3231" s="48"/>
      <c r="AK3231" s="48"/>
      <c r="AL3231" s="48"/>
      <c r="AM3231" s="48"/>
      <c r="AN3231" s="48"/>
      <c r="AO3231" s="48"/>
      <c r="AP3231" s="48"/>
      <c r="AQ3231" s="48"/>
      <c r="AR3231" s="48"/>
      <c r="AS3231" s="48"/>
      <c r="AT3231" s="48"/>
      <c r="AU3231" s="48"/>
      <c r="AV3231" s="48"/>
      <c r="AW3231" s="48"/>
      <c r="AX3231" s="48"/>
      <c r="AY3231" s="48"/>
      <c r="AZ3231" s="48"/>
      <c r="BA3231" s="48"/>
      <c r="BB3231" s="48"/>
      <c r="BC3231" s="48"/>
      <c r="BD3231" s="48"/>
    </row>
    <row r="3232" spans="1:56">
      <c r="A3232" s="48"/>
      <c r="B3232" s="48"/>
      <c r="C3232" s="49"/>
      <c r="D3232" s="48"/>
      <c r="E3232" s="48"/>
      <c r="F3232" s="48"/>
      <c r="G3232" s="48"/>
      <c r="H3232" s="48"/>
      <c r="I3232" s="48"/>
      <c r="J3232" s="86"/>
      <c r="K3232" s="86"/>
      <c r="L3232" s="86"/>
      <c r="M3232" s="86"/>
      <c r="N3232" s="86"/>
      <c r="O3232" s="86"/>
      <c r="P3232" s="86"/>
      <c r="Q3232" s="86"/>
      <c r="R3232" s="86"/>
      <c r="S3232" s="86"/>
      <c r="T3232" s="86"/>
      <c r="U3232" s="86"/>
      <c r="V3232" s="48"/>
      <c r="W3232" s="48"/>
      <c r="X3232" s="48"/>
      <c r="Y3232" s="48"/>
      <c r="Z3232" s="48"/>
      <c r="AA3232" s="48"/>
      <c r="AB3232" s="48"/>
      <c r="AC3232" s="48"/>
      <c r="AD3232" s="48"/>
      <c r="AE3232" s="48"/>
      <c r="AF3232" s="48"/>
      <c r="AG3232" s="48"/>
      <c r="AH3232" s="48"/>
      <c r="AI3232" s="48"/>
      <c r="AJ3232" s="48"/>
      <c r="AK3232" s="48"/>
      <c r="AL3232" s="48"/>
      <c r="AM3232" s="48"/>
      <c r="AN3232" s="48"/>
      <c r="AO3232" s="48"/>
      <c r="AP3232" s="48"/>
      <c r="AQ3232" s="48"/>
      <c r="AR3232" s="48"/>
      <c r="AS3232" s="48"/>
      <c r="AT3232" s="48"/>
      <c r="AU3232" s="48"/>
      <c r="AV3232" s="48"/>
      <c r="AW3232" s="48"/>
      <c r="AX3232" s="48"/>
      <c r="AY3232" s="48"/>
      <c r="AZ3232" s="48"/>
      <c r="BA3232" s="48"/>
      <c r="BB3232" s="48"/>
      <c r="BC3232" s="48"/>
      <c r="BD3232" s="48"/>
    </row>
    <row r="3233" spans="1:56">
      <c r="A3233" s="48"/>
      <c r="B3233" s="48"/>
      <c r="C3233" s="49"/>
      <c r="D3233" s="48"/>
      <c r="E3233" s="48"/>
      <c r="F3233" s="48"/>
      <c r="G3233" s="48"/>
      <c r="H3233" s="48"/>
      <c r="I3233" s="48"/>
      <c r="J3233" s="86"/>
      <c r="K3233" s="86"/>
      <c r="L3233" s="86"/>
      <c r="M3233" s="86"/>
      <c r="N3233" s="86"/>
      <c r="O3233" s="86"/>
      <c r="P3233" s="86"/>
      <c r="Q3233" s="86"/>
      <c r="R3233" s="86"/>
      <c r="S3233" s="86"/>
      <c r="T3233" s="86"/>
      <c r="U3233" s="86"/>
      <c r="V3233" s="48"/>
      <c r="W3233" s="48"/>
      <c r="X3233" s="48"/>
      <c r="Y3233" s="48"/>
      <c r="Z3233" s="48"/>
      <c r="AA3233" s="48"/>
      <c r="AB3233" s="48"/>
      <c r="AC3233" s="48"/>
      <c r="AD3233" s="48"/>
      <c r="AE3233" s="48"/>
      <c r="AF3233" s="48"/>
      <c r="AG3233" s="48"/>
      <c r="AH3233" s="48"/>
      <c r="AI3233" s="48"/>
      <c r="AJ3233" s="48"/>
      <c r="AK3233" s="48"/>
      <c r="AL3233" s="48"/>
      <c r="AM3233" s="48"/>
      <c r="AN3233" s="48"/>
      <c r="AO3233" s="48"/>
      <c r="AP3233" s="48"/>
      <c r="AQ3233" s="48"/>
      <c r="AR3233" s="48"/>
      <c r="AS3233" s="48"/>
      <c r="AT3233" s="48"/>
      <c r="AU3233" s="48"/>
      <c r="AV3233" s="48"/>
      <c r="AW3233" s="48"/>
      <c r="AX3233" s="48"/>
      <c r="AY3233" s="48"/>
      <c r="AZ3233" s="48"/>
      <c r="BA3233" s="48"/>
      <c r="BB3233" s="48"/>
      <c r="BC3233" s="48"/>
      <c r="BD3233" s="48"/>
    </row>
    <row r="3234" spans="1:56">
      <c r="A3234" s="48"/>
      <c r="B3234" s="48"/>
      <c r="C3234" s="49"/>
      <c r="D3234" s="48"/>
      <c r="E3234" s="48"/>
      <c r="F3234" s="48"/>
      <c r="G3234" s="48"/>
      <c r="H3234" s="48"/>
      <c r="I3234" s="48"/>
      <c r="J3234" s="86"/>
      <c r="K3234" s="86"/>
      <c r="L3234" s="86"/>
      <c r="M3234" s="86"/>
      <c r="N3234" s="86"/>
      <c r="O3234" s="86"/>
      <c r="P3234" s="86"/>
      <c r="Q3234" s="86"/>
      <c r="R3234" s="86"/>
      <c r="S3234" s="86"/>
      <c r="T3234" s="86"/>
      <c r="U3234" s="86"/>
      <c r="V3234" s="48"/>
      <c r="W3234" s="48"/>
      <c r="X3234" s="48"/>
      <c r="Y3234" s="48"/>
      <c r="Z3234" s="48"/>
      <c r="AA3234" s="48"/>
      <c r="AB3234" s="48"/>
      <c r="AC3234" s="48"/>
      <c r="AD3234" s="48"/>
      <c r="AE3234" s="48"/>
      <c r="AF3234" s="48"/>
      <c r="AG3234" s="48"/>
      <c r="AH3234" s="48"/>
      <c r="AI3234" s="48"/>
      <c r="AJ3234" s="48"/>
      <c r="AK3234" s="48"/>
      <c r="AL3234" s="48"/>
      <c r="AM3234" s="48"/>
      <c r="AN3234" s="48"/>
      <c r="AO3234" s="48"/>
      <c r="AP3234" s="48"/>
      <c r="AQ3234" s="48"/>
      <c r="AR3234" s="48"/>
      <c r="AS3234" s="48"/>
      <c r="AT3234" s="48"/>
      <c r="AU3234" s="48"/>
      <c r="AV3234" s="48"/>
      <c r="AW3234" s="48"/>
      <c r="AX3234" s="48"/>
      <c r="AY3234" s="48"/>
      <c r="AZ3234" s="48"/>
      <c r="BA3234" s="48"/>
      <c r="BB3234" s="48"/>
      <c r="BC3234" s="48"/>
      <c r="BD3234" s="48"/>
    </row>
    <row r="3235" spans="1:56">
      <c r="A3235" s="48"/>
      <c r="B3235" s="48"/>
      <c r="C3235" s="49"/>
      <c r="D3235" s="48"/>
      <c r="E3235" s="48"/>
      <c r="F3235" s="48"/>
      <c r="G3235" s="48"/>
      <c r="H3235" s="48"/>
      <c r="I3235" s="48"/>
      <c r="J3235" s="86"/>
      <c r="K3235" s="86"/>
      <c r="L3235" s="86"/>
      <c r="M3235" s="86"/>
      <c r="N3235" s="86"/>
      <c r="O3235" s="86"/>
      <c r="P3235" s="86"/>
      <c r="Q3235" s="86"/>
      <c r="R3235" s="86"/>
      <c r="S3235" s="86"/>
      <c r="T3235" s="86"/>
      <c r="U3235" s="86"/>
      <c r="V3235" s="48"/>
      <c r="W3235" s="48"/>
      <c r="X3235" s="48"/>
      <c r="Y3235" s="48"/>
      <c r="Z3235" s="48"/>
      <c r="AA3235" s="48"/>
      <c r="AB3235" s="48"/>
      <c r="AC3235" s="48"/>
      <c r="AD3235" s="48"/>
      <c r="AE3235" s="48"/>
      <c r="AF3235" s="48"/>
      <c r="AG3235" s="48"/>
      <c r="AH3235" s="48"/>
      <c r="AI3235" s="48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48"/>
      <c r="BB3235" s="48"/>
      <c r="BC3235" s="48"/>
      <c r="BD3235" s="48"/>
    </row>
    <row r="3236" spans="1:56">
      <c r="A3236" s="48"/>
      <c r="B3236" s="48"/>
      <c r="C3236" s="49"/>
      <c r="D3236" s="48"/>
      <c r="E3236" s="48"/>
      <c r="F3236" s="48"/>
      <c r="G3236" s="48"/>
      <c r="H3236" s="48"/>
      <c r="I3236" s="48"/>
      <c r="J3236" s="86"/>
      <c r="K3236" s="86"/>
      <c r="L3236" s="86"/>
      <c r="M3236" s="86"/>
      <c r="N3236" s="86"/>
      <c r="O3236" s="86"/>
      <c r="P3236" s="86"/>
      <c r="Q3236" s="86"/>
      <c r="R3236" s="86"/>
      <c r="S3236" s="86"/>
      <c r="T3236" s="86"/>
      <c r="U3236" s="86"/>
      <c r="V3236" s="48"/>
      <c r="W3236" s="48"/>
      <c r="X3236" s="48"/>
      <c r="Y3236" s="48"/>
      <c r="Z3236" s="48"/>
      <c r="AA3236" s="48"/>
      <c r="AB3236" s="48"/>
      <c r="AC3236" s="48"/>
      <c r="AD3236" s="48"/>
      <c r="AE3236" s="48"/>
      <c r="AF3236" s="48"/>
      <c r="AG3236" s="48"/>
      <c r="AH3236" s="48"/>
      <c r="AI3236" s="48"/>
      <c r="AJ3236" s="48"/>
      <c r="AK3236" s="48"/>
      <c r="AL3236" s="48"/>
      <c r="AM3236" s="48"/>
      <c r="AN3236" s="48"/>
      <c r="AO3236" s="48"/>
      <c r="AP3236" s="48"/>
      <c r="AQ3236" s="48"/>
      <c r="AR3236" s="48"/>
      <c r="AS3236" s="48"/>
      <c r="AT3236" s="48"/>
      <c r="AU3236" s="48"/>
      <c r="AV3236" s="48"/>
      <c r="AW3236" s="48"/>
      <c r="AX3236" s="48"/>
      <c r="AY3236" s="48"/>
      <c r="AZ3236" s="48"/>
      <c r="BA3236" s="48"/>
      <c r="BB3236" s="48"/>
      <c r="BC3236" s="48"/>
      <c r="BD3236" s="48"/>
    </row>
    <row r="3237" spans="1:56">
      <c r="A3237" s="48"/>
      <c r="B3237" s="48"/>
      <c r="C3237" s="49"/>
      <c r="D3237" s="48"/>
      <c r="E3237" s="48"/>
      <c r="F3237" s="48"/>
      <c r="G3237" s="48"/>
      <c r="H3237" s="48"/>
      <c r="I3237" s="48"/>
      <c r="J3237" s="86"/>
      <c r="K3237" s="86"/>
      <c r="L3237" s="86"/>
      <c r="M3237" s="86"/>
      <c r="N3237" s="86"/>
      <c r="O3237" s="86"/>
      <c r="P3237" s="86"/>
      <c r="Q3237" s="86"/>
      <c r="R3237" s="86"/>
      <c r="S3237" s="86"/>
      <c r="T3237" s="86"/>
      <c r="U3237" s="86"/>
      <c r="V3237" s="48"/>
      <c r="W3237" s="48"/>
      <c r="X3237" s="48"/>
      <c r="Y3237" s="48"/>
      <c r="Z3237" s="48"/>
      <c r="AA3237" s="48"/>
      <c r="AB3237" s="48"/>
      <c r="AC3237" s="48"/>
      <c r="AD3237" s="48"/>
      <c r="AE3237" s="48"/>
      <c r="AF3237" s="48"/>
      <c r="AG3237" s="48"/>
      <c r="AH3237" s="48"/>
      <c r="AI3237" s="48"/>
      <c r="AJ3237" s="48"/>
      <c r="AK3237" s="48"/>
      <c r="AL3237" s="48"/>
      <c r="AM3237" s="48"/>
      <c r="AN3237" s="48"/>
      <c r="AO3237" s="48"/>
      <c r="AP3237" s="48"/>
      <c r="AQ3237" s="48"/>
      <c r="AR3237" s="48"/>
      <c r="AS3237" s="48"/>
      <c r="AT3237" s="48"/>
      <c r="AU3237" s="48"/>
      <c r="AV3237" s="48"/>
      <c r="AW3237" s="48"/>
      <c r="AX3237" s="48"/>
      <c r="AY3237" s="48"/>
      <c r="AZ3237" s="48"/>
      <c r="BA3237" s="48"/>
      <c r="BB3237" s="48"/>
      <c r="BC3237" s="48"/>
      <c r="BD3237" s="48"/>
    </row>
    <row r="3238" spans="1:56">
      <c r="A3238" s="48"/>
      <c r="B3238" s="48"/>
      <c r="C3238" s="49"/>
      <c r="D3238" s="48"/>
      <c r="E3238" s="48"/>
      <c r="F3238" s="48"/>
      <c r="G3238" s="48"/>
      <c r="H3238" s="48"/>
      <c r="I3238" s="48"/>
      <c r="J3238" s="86"/>
      <c r="K3238" s="86"/>
      <c r="L3238" s="86"/>
      <c r="M3238" s="86"/>
      <c r="N3238" s="86"/>
      <c r="O3238" s="86"/>
      <c r="P3238" s="86"/>
      <c r="Q3238" s="86"/>
      <c r="R3238" s="86"/>
      <c r="S3238" s="86"/>
      <c r="T3238" s="86"/>
      <c r="U3238" s="86"/>
      <c r="V3238" s="48"/>
      <c r="W3238" s="48"/>
      <c r="X3238" s="48"/>
      <c r="Y3238" s="48"/>
      <c r="Z3238" s="48"/>
      <c r="AA3238" s="48"/>
      <c r="AB3238" s="48"/>
      <c r="AC3238" s="48"/>
      <c r="AD3238" s="48"/>
      <c r="AE3238" s="48"/>
      <c r="AF3238" s="48"/>
      <c r="AG3238" s="48"/>
      <c r="AH3238" s="48"/>
      <c r="AI3238" s="48"/>
      <c r="AJ3238" s="48"/>
      <c r="AK3238" s="48"/>
      <c r="AL3238" s="48"/>
      <c r="AM3238" s="48"/>
      <c r="AN3238" s="48"/>
      <c r="AO3238" s="48"/>
      <c r="AP3238" s="48"/>
      <c r="AQ3238" s="48"/>
      <c r="AR3238" s="48"/>
      <c r="AS3238" s="48"/>
      <c r="AT3238" s="48"/>
      <c r="AU3238" s="48"/>
      <c r="AV3238" s="48"/>
      <c r="AW3238" s="48"/>
      <c r="AX3238" s="48"/>
      <c r="AY3238" s="48"/>
      <c r="AZ3238" s="48"/>
      <c r="BA3238" s="48"/>
      <c r="BB3238" s="48"/>
      <c r="BC3238" s="48"/>
      <c r="BD3238" s="48"/>
    </row>
    <row r="3239" spans="1:56">
      <c r="A3239" s="48"/>
      <c r="B3239" s="48"/>
      <c r="C3239" s="49"/>
      <c r="D3239" s="48"/>
      <c r="E3239" s="48"/>
      <c r="F3239" s="48"/>
      <c r="G3239" s="48"/>
      <c r="H3239" s="48"/>
      <c r="I3239" s="48"/>
      <c r="J3239" s="86"/>
      <c r="K3239" s="86"/>
      <c r="L3239" s="86"/>
      <c r="M3239" s="86"/>
      <c r="N3239" s="86"/>
      <c r="O3239" s="86"/>
      <c r="P3239" s="86"/>
      <c r="Q3239" s="86"/>
      <c r="R3239" s="86"/>
      <c r="S3239" s="86"/>
      <c r="T3239" s="86"/>
      <c r="U3239" s="86"/>
      <c r="V3239" s="48"/>
      <c r="W3239" s="48"/>
      <c r="X3239" s="48"/>
      <c r="Y3239" s="48"/>
      <c r="Z3239" s="48"/>
      <c r="AA3239" s="48"/>
      <c r="AB3239" s="48"/>
      <c r="AC3239" s="48"/>
      <c r="AD3239" s="48"/>
      <c r="AE3239" s="48"/>
      <c r="AF3239" s="48"/>
      <c r="AG3239" s="48"/>
      <c r="AH3239" s="48"/>
      <c r="AI3239" s="48"/>
      <c r="AJ3239" s="48"/>
      <c r="AK3239" s="48"/>
      <c r="AL3239" s="48"/>
      <c r="AM3239" s="48"/>
      <c r="AN3239" s="48"/>
      <c r="AO3239" s="48"/>
      <c r="AP3239" s="48"/>
      <c r="AQ3239" s="48"/>
      <c r="AR3239" s="48"/>
      <c r="AS3239" s="48"/>
      <c r="AT3239" s="48"/>
      <c r="AU3239" s="48"/>
      <c r="AV3239" s="48"/>
      <c r="AW3239" s="48"/>
      <c r="AX3239" s="48"/>
      <c r="AY3239" s="48"/>
      <c r="AZ3239" s="48"/>
      <c r="BA3239" s="48"/>
      <c r="BB3239" s="48"/>
      <c r="BC3239" s="48"/>
      <c r="BD3239" s="48"/>
    </row>
    <row r="3240" spans="1:56">
      <c r="A3240" s="48"/>
      <c r="B3240" s="48"/>
      <c r="C3240" s="49"/>
      <c r="D3240" s="48"/>
      <c r="E3240" s="48"/>
      <c r="F3240" s="48"/>
      <c r="G3240" s="48"/>
      <c r="H3240" s="48"/>
      <c r="I3240" s="48"/>
      <c r="J3240" s="86"/>
      <c r="K3240" s="86"/>
      <c r="L3240" s="86"/>
      <c r="M3240" s="86"/>
      <c r="N3240" s="86"/>
      <c r="O3240" s="86"/>
      <c r="P3240" s="86"/>
      <c r="Q3240" s="86"/>
      <c r="R3240" s="86"/>
      <c r="S3240" s="86"/>
      <c r="T3240" s="86"/>
      <c r="U3240" s="86"/>
      <c r="V3240" s="48"/>
      <c r="W3240" s="48"/>
      <c r="X3240" s="48"/>
      <c r="Y3240" s="48"/>
      <c r="Z3240" s="48"/>
      <c r="AA3240" s="48"/>
      <c r="AB3240" s="48"/>
      <c r="AC3240" s="48"/>
      <c r="AD3240" s="48"/>
      <c r="AE3240" s="48"/>
      <c r="AF3240" s="48"/>
      <c r="AG3240" s="48"/>
      <c r="AH3240" s="48"/>
      <c r="AI3240" s="48"/>
      <c r="AJ3240" s="48"/>
      <c r="AK3240" s="48"/>
      <c r="AL3240" s="48"/>
      <c r="AM3240" s="48"/>
      <c r="AN3240" s="48"/>
      <c r="AO3240" s="48"/>
      <c r="AP3240" s="48"/>
      <c r="AQ3240" s="48"/>
      <c r="AR3240" s="48"/>
      <c r="AS3240" s="48"/>
      <c r="AT3240" s="48"/>
      <c r="AU3240" s="48"/>
      <c r="AV3240" s="48"/>
      <c r="AW3240" s="48"/>
      <c r="AX3240" s="48"/>
      <c r="AY3240" s="48"/>
      <c r="AZ3240" s="48"/>
      <c r="BA3240" s="48"/>
      <c r="BB3240" s="48"/>
      <c r="BC3240" s="48"/>
      <c r="BD3240" s="48"/>
    </row>
    <row r="3241" spans="1:56">
      <c r="A3241" s="48"/>
      <c r="B3241" s="48"/>
      <c r="C3241" s="49"/>
      <c r="D3241" s="48"/>
      <c r="E3241" s="48"/>
      <c r="F3241" s="48"/>
      <c r="G3241" s="48"/>
      <c r="H3241" s="48"/>
      <c r="I3241" s="48"/>
      <c r="J3241" s="86"/>
      <c r="K3241" s="86"/>
      <c r="L3241" s="86"/>
      <c r="M3241" s="86"/>
      <c r="N3241" s="86"/>
      <c r="O3241" s="86"/>
      <c r="P3241" s="86"/>
      <c r="Q3241" s="86"/>
      <c r="R3241" s="86"/>
      <c r="S3241" s="86"/>
      <c r="T3241" s="86"/>
      <c r="U3241" s="86"/>
      <c r="V3241" s="48"/>
      <c r="W3241" s="48"/>
      <c r="X3241" s="48"/>
      <c r="Y3241" s="48"/>
      <c r="Z3241" s="48"/>
      <c r="AA3241" s="48"/>
      <c r="AB3241" s="48"/>
      <c r="AC3241" s="48"/>
      <c r="AD3241" s="48"/>
      <c r="AE3241" s="48"/>
      <c r="AF3241" s="48"/>
      <c r="AG3241" s="48"/>
      <c r="AH3241" s="48"/>
      <c r="AI3241" s="48"/>
      <c r="AJ3241" s="48"/>
      <c r="AK3241" s="48"/>
      <c r="AL3241" s="48"/>
      <c r="AM3241" s="48"/>
      <c r="AN3241" s="48"/>
      <c r="AO3241" s="48"/>
      <c r="AP3241" s="48"/>
      <c r="AQ3241" s="48"/>
      <c r="AR3241" s="48"/>
      <c r="AS3241" s="48"/>
      <c r="AT3241" s="48"/>
      <c r="AU3241" s="48"/>
      <c r="AV3241" s="48"/>
      <c r="AW3241" s="48"/>
      <c r="AX3241" s="48"/>
      <c r="AY3241" s="48"/>
      <c r="AZ3241" s="48"/>
      <c r="BA3241" s="48"/>
      <c r="BB3241" s="48"/>
      <c r="BC3241" s="48"/>
      <c r="BD3241" s="48"/>
    </row>
    <row r="3242" spans="1:56">
      <c r="A3242" s="48"/>
      <c r="B3242" s="48"/>
      <c r="C3242" s="49"/>
      <c r="D3242" s="48"/>
      <c r="E3242" s="48"/>
      <c r="F3242" s="48"/>
      <c r="G3242" s="48"/>
      <c r="H3242" s="48"/>
      <c r="I3242" s="48"/>
      <c r="J3242" s="86"/>
      <c r="K3242" s="86"/>
      <c r="L3242" s="86"/>
      <c r="M3242" s="86"/>
      <c r="N3242" s="86"/>
      <c r="O3242" s="86"/>
      <c r="P3242" s="86"/>
      <c r="Q3242" s="86"/>
      <c r="R3242" s="86"/>
      <c r="S3242" s="86"/>
      <c r="T3242" s="86"/>
      <c r="U3242" s="86"/>
      <c r="V3242" s="48"/>
      <c r="W3242" s="48"/>
      <c r="X3242" s="48"/>
      <c r="Y3242" s="48"/>
      <c r="Z3242" s="48"/>
      <c r="AA3242" s="48"/>
      <c r="AB3242" s="48"/>
      <c r="AC3242" s="48"/>
      <c r="AD3242" s="48"/>
      <c r="AE3242" s="48"/>
      <c r="AF3242" s="48"/>
      <c r="AG3242" s="48"/>
      <c r="AH3242" s="48"/>
      <c r="AI3242" s="48"/>
      <c r="AJ3242" s="48"/>
      <c r="AK3242" s="48"/>
      <c r="AL3242" s="48"/>
      <c r="AM3242" s="48"/>
      <c r="AN3242" s="48"/>
      <c r="AO3242" s="48"/>
      <c r="AP3242" s="48"/>
      <c r="AQ3242" s="48"/>
      <c r="AR3242" s="48"/>
      <c r="AS3242" s="48"/>
      <c r="AT3242" s="48"/>
      <c r="AU3242" s="48"/>
      <c r="AV3242" s="48"/>
      <c r="AW3242" s="48"/>
      <c r="AX3242" s="48"/>
      <c r="AY3242" s="48"/>
      <c r="AZ3242" s="48"/>
      <c r="BA3242" s="48"/>
      <c r="BB3242" s="48"/>
      <c r="BC3242" s="48"/>
      <c r="BD3242" s="48"/>
    </row>
    <row r="3243" spans="1:56">
      <c r="A3243" s="48"/>
      <c r="B3243" s="48"/>
      <c r="C3243" s="49"/>
      <c r="D3243" s="48"/>
      <c r="E3243" s="48"/>
      <c r="F3243" s="48"/>
      <c r="G3243" s="48"/>
      <c r="H3243" s="48"/>
      <c r="I3243" s="48"/>
      <c r="J3243" s="86"/>
      <c r="K3243" s="86"/>
      <c r="L3243" s="86"/>
      <c r="M3243" s="86"/>
      <c r="N3243" s="86"/>
      <c r="O3243" s="86"/>
      <c r="P3243" s="86"/>
      <c r="Q3243" s="86"/>
      <c r="R3243" s="86"/>
      <c r="S3243" s="86"/>
      <c r="T3243" s="86"/>
      <c r="U3243" s="86"/>
      <c r="V3243" s="48"/>
      <c r="W3243" s="48"/>
      <c r="X3243" s="48"/>
      <c r="Y3243" s="48"/>
      <c r="Z3243" s="48"/>
      <c r="AA3243" s="48"/>
      <c r="AB3243" s="48"/>
      <c r="AC3243" s="48"/>
      <c r="AD3243" s="48"/>
      <c r="AE3243" s="48"/>
      <c r="AF3243" s="48"/>
      <c r="AG3243" s="48"/>
      <c r="AH3243" s="48"/>
      <c r="AI3243" s="48"/>
      <c r="AJ3243" s="48"/>
      <c r="AK3243" s="48"/>
      <c r="AL3243" s="48"/>
      <c r="AM3243" s="48"/>
      <c r="AN3243" s="48"/>
      <c r="AO3243" s="48"/>
      <c r="AP3243" s="48"/>
      <c r="AQ3243" s="48"/>
      <c r="AR3243" s="48"/>
      <c r="AS3243" s="48"/>
      <c r="AT3243" s="48"/>
      <c r="AU3243" s="48"/>
      <c r="AV3243" s="48"/>
      <c r="AW3243" s="48"/>
      <c r="AX3243" s="48"/>
      <c r="AY3243" s="48"/>
      <c r="AZ3243" s="48"/>
      <c r="BA3243" s="48"/>
      <c r="BB3243" s="48"/>
      <c r="BC3243" s="48"/>
      <c r="BD3243" s="48"/>
    </row>
    <row r="3244" spans="1:56">
      <c r="A3244" s="48"/>
      <c r="B3244" s="48"/>
      <c r="C3244" s="49"/>
      <c r="D3244" s="48"/>
      <c r="E3244" s="48"/>
      <c r="F3244" s="48"/>
      <c r="G3244" s="48"/>
      <c r="H3244" s="48"/>
      <c r="I3244" s="48"/>
      <c r="J3244" s="86"/>
      <c r="K3244" s="86"/>
      <c r="L3244" s="86"/>
      <c r="M3244" s="86"/>
      <c r="N3244" s="86"/>
      <c r="O3244" s="86"/>
      <c r="P3244" s="86"/>
      <c r="Q3244" s="86"/>
      <c r="R3244" s="86"/>
      <c r="S3244" s="86"/>
      <c r="T3244" s="86"/>
      <c r="U3244" s="86"/>
      <c r="V3244" s="48"/>
      <c r="W3244" s="48"/>
      <c r="X3244" s="48"/>
      <c r="Y3244" s="48"/>
      <c r="Z3244" s="48"/>
      <c r="AA3244" s="48"/>
      <c r="AB3244" s="48"/>
      <c r="AC3244" s="48"/>
      <c r="AD3244" s="48"/>
      <c r="AE3244" s="48"/>
      <c r="AF3244" s="48"/>
      <c r="AG3244" s="48"/>
      <c r="AH3244" s="48"/>
      <c r="AI3244" s="48"/>
      <c r="AJ3244" s="48"/>
      <c r="AK3244" s="48"/>
      <c r="AL3244" s="48"/>
      <c r="AM3244" s="48"/>
      <c r="AN3244" s="48"/>
      <c r="AO3244" s="48"/>
      <c r="AP3244" s="48"/>
      <c r="AQ3244" s="48"/>
      <c r="AR3244" s="48"/>
      <c r="AS3244" s="48"/>
      <c r="AT3244" s="48"/>
      <c r="AU3244" s="48"/>
      <c r="AV3244" s="48"/>
      <c r="AW3244" s="48"/>
      <c r="AX3244" s="48"/>
      <c r="AY3244" s="48"/>
      <c r="AZ3244" s="48"/>
      <c r="BA3244" s="48"/>
      <c r="BB3244" s="48"/>
      <c r="BC3244" s="48"/>
      <c r="BD3244" s="48"/>
    </row>
    <row r="3245" spans="1:56">
      <c r="A3245" s="48"/>
      <c r="B3245" s="48"/>
      <c r="C3245" s="49"/>
      <c r="D3245" s="48"/>
      <c r="E3245" s="48"/>
      <c r="F3245" s="48"/>
      <c r="G3245" s="48"/>
      <c r="H3245" s="48"/>
      <c r="I3245" s="48"/>
      <c r="J3245" s="86"/>
      <c r="K3245" s="86"/>
      <c r="L3245" s="86"/>
      <c r="M3245" s="86"/>
      <c r="N3245" s="86"/>
      <c r="O3245" s="86"/>
      <c r="P3245" s="86"/>
      <c r="Q3245" s="86"/>
      <c r="R3245" s="86"/>
      <c r="S3245" s="86"/>
      <c r="T3245" s="86"/>
      <c r="U3245" s="86"/>
      <c r="V3245" s="48"/>
      <c r="W3245" s="48"/>
      <c r="X3245" s="48"/>
      <c r="Y3245" s="48"/>
      <c r="Z3245" s="48"/>
      <c r="AA3245" s="48"/>
      <c r="AB3245" s="48"/>
      <c r="AC3245" s="48"/>
      <c r="AD3245" s="48"/>
      <c r="AE3245" s="48"/>
      <c r="AF3245" s="48"/>
      <c r="AG3245" s="48"/>
      <c r="AH3245" s="48"/>
      <c r="AI3245" s="48"/>
      <c r="AJ3245" s="48"/>
      <c r="AK3245" s="48"/>
      <c r="AL3245" s="48"/>
      <c r="AM3245" s="48"/>
      <c r="AN3245" s="48"/>
      <c r="AO3245" s="48"/>
      <c r="AP3245" s="48"/>
      <c r="AQ3245" s="48"/>
      <c r="AR3245" s="48"/>
      <c r="AS3245" s="48"/>
      <c r="AT3245" s="48"/>
      <c r="AU3245" s="48"/>
      <c r="AV3245" s="48"/>
      <c r="AW3245" s="48"/>
      <c r="AX3245" s="48"/>
      <c r="AY3245" s="48"/>
      <c r="AZ3245" s="48"/>
      <c r="BA3245" s="48"/>
      <c r="BB3245" s="48"/>
      <c r="BC3245" s="48"/>
      <c r="BD3245" s="48"/>
    </row>
    <row r="3246" spans="1:56">
      <c r="A3246" s="48"/>
      <c r="B3246" s="48"/>
      <c r="C3246" s="49"/>
      <c r="D3246" s="48"/>
      <c r="E3246" s="48"/>
      <c r="F3246" s="48"/>
      <c r="G3246" s="48"/>
      <c r="H3246" s="48"/>
      <c r="I3246" s="48"/>
      <c r="J3246" s="86"/>
      <c r="K3246" s="86"/>
      <c r="L3246" s="86"/>
      <c r="M3246" s="86"/>
      <c r="N3246" s="86"/>
      <c r="O3246" s="86"/>
      <c r="P3246" s="86"/>
      <c r="Q3246" s="86"/>
      <c r="R3246" s="86"/>
      <c r="S3246" s="86"/>
      <c r="T3246" s="86"/>
      <c r="U3246" s="86"/>
      <c r="V3246" s="48"/>
      <c r="W3246" s="48"/>
      <c r="X3246" s="48"/>
      <c r="Y3246" s="48"/>
      <c r="Z3246" s="48"/>
      <c r="AA3246" s="48"/>
      <c r="AB3246" s="48"/>
      <c r="AC3246" s="48"/>
      <c r="AD3246" s="48"/>
      <c r="AE3246" s="48"/>
      <c r="AF3246" s="48"/>
      <c r="AG3246" s="48"/>
      <c r="AH3246" s="48"/>
      <c r="AI3246" s="48"/>
      <c r="AJ3246" s="48"/>
      <c r="AK3246" s="48"/>
      <c r="AL3246" s="48"/>
      <c r="AM3246" s="48"/>
      <c r="AN3246" s="48"/>
      <c r="AO3246" s="48"/>
      <c r="AP3246" s="48"/>
      <c r="AQ3246" s="48"/>
      <c r="AR3246" s="48"/>
      <c r="AS3246" s="48"/>
      <c r="AT3246" s="48"/>
      <c r="AU3246" s="48"/>
      <c r="AV3246" s="48"/>
      <c r="AW3246" s="48"/>
      <c r="AX3246" s="48"/>
      <c r="AY3246" s="48"/>
      <c r="AZ3246" s="48"/>
      <c r="BA3246" s="48"/>
      <c r="BB3246" s="48"/>
      <c r="BC3246" s="48"/>
      <c r="BD3246" s="48"/>
    </row>
    <row r="3247" spans="1:56">
      <c r="A3247" s="48"/>
      <c r="B3247" s="48"/>
      <c r="C3247" s="49"/>
      <c r="D3247" s="48"/>
      <c r="E3247" s="48"/>
      <c r="F3247" s="48"/>
      <c r="G3247" s="48"/>
      <c r="H3247" s="48"/>
      <c r="I3247" s="48"/>
      <c r="J3247" s="86"/>
      <c r="K3247" s="86"/>
      <c r="L3247" s="86"/>
      <c r="M3247" s="86"/>
      <c r="N3247" s="86"/>
      <c r="O3247" s="86"/>
      <c r="P3247" s="86"/>
      <c r="Q3247" s="86"/>
      <c r="R3247" s="86"/>
      <c r="S3247" s="86"/>
      <c r="T3247" s="86"/>
      <c r="U3247" s="86"/>
      <c r="V3247" s="48"/>
      <c r="W3247" s="48"/>
      <c r="X3247" s="48"/>
      <c r="Y3247" s="48"/>
      <c r="Z3247" s="48"/>
      <c r="AA3247" s="48"/>
      <c r="AB3247" s="48"/>
      <c r="AC3247" s="48"/>
      <c r="AD3247" s="48"/>
      <c r="AE3247" s="48"/>
      <c r="AF3247" s="48"/>
      <c r="AG3247" s="48"/>
      <c r="AH3247" s="48"/>
      <c r="AI3247" s="48"/>
      <c r="AJ3247" s="48"/>
      <c r="AK3247" s="48"/>
      <c r="AL3247" s="48"/>
      <c r="AM3247" s="48"/>
      <c r="AN3247" s="48"/>
      <c r="AO3247" s="48"/>
      <c r="AP3247" s="48"/>
      <c r="AQ3247" s="48"/>
      <c r="AR3247" s="48"/>
      <c r="AS3247" s="48"/>
      <c r="AT3247" s="48"/>
      <c r="AU3247" s="48"/>
      <c r="AV3247" s="48"/>
      <c r="AW3247" s="48"/>
      <c r="AX3247" s="48"/>
      <c r="AY3247" s="48"/>
      <c r="AZ3247" s="48"/>
      <c r="BA3247" s="48"/>
      <c r="BB3247" s="48"/>
      <c r="BC3247" s="48"/>
      <c r="BD3247" s="48"/>
    </row>
    <row r="3248" spans="1:56">
      <c r="A3248" s="48"/>
      <c r="B3248" s="48"/>
      <c r="C3248" s="49"/>
      <c r="D3248" s="48"/>
      <c r="E3248" s="48"/>
      <c r="F3248" s="48"/>
      <c r="G3248" s="48"/>
      <c r="H3248" s="48"/>
      <c r="I3248" s="48"/>
      <c r="J3248" s="86"/>
      <c r="K3248" s="86"/>
      <c r="L3248" s="86"/>
      <c r="M3248" s="86"/>
      <c r="N3248" s="86"/>
      <c r="O3248" s="86"/>
      <c r="P3248" s="86"/>
      <c r="Q3248" s="86"/>
      <c r="R3248" s="86"/>
      <c r="S3248" s="86"/>
      <c r="T3248" s="86"/>
      <c r="U3248" s="86"/>
      <c r="V3248" s="48"/>
      <c r="W3248" s="48"/>
      <c r="X3248" s="48"/>
      <c r="Y3248" s="48"/>
      <c r="Z3248" s="48"/>
      <c r="AA3248" s="48"/>
      <c r="AB3248" s="48"/>
      <c r="AC3248" s="48"/>
      <c r="AD3248" s="48"/>
      <c r="AE3248" s="48"/>
      <c r="AF3248" s="48"/>
      <c r="AG3248" s="48"/>
      <c r="AH3248" s="48"/>
      <c r="AI3248" s="48"/>
      <c r="AJ3248" s="48"/>
      <c r="AK3248" s="48"/>
      <c r="AL3248" s="48"/>
      <c r="AM3248" s="48"/>
      <c r="AN3248" s="48"/>
      <c r="AO3248" s="48"/>
      <c r="AP3248" s="48"/>
      <c r="AQ3248" s="48"/>
      <c r="AR3248" s="48"/>
      <c r="AS3248" s="48"/>
      <c r="AT3248" s="48"/>
      <c r="AU3248" s="48"/>
      <c r="AV3248" s="48"/>
      <c r="AW3248" s="48"/>
      <c r="AX3248" s="48"/>
      <c r="AY3248" s="48"/>
      <c r="AZ3248" s="48"/>
      <c r="BA3248" s="48"/>
      <c r="BB3248" s="48"/>
      <c r="BC3248" s="48"/>
      <c r="BD3248" s="48"/>
    </row>
    <row r="3249" spans="1:56">
      <c r="A3249" s="48"/>
      <c r="B3249" s="48"/>
      <c r="C3249" s="49"/>
      <c r="D3249" s="48"/>
      <c r="E3249" s="48"/>
      <c r="F3249" s="48"/>
      <c r="G3249" s="48"/>
      <c r="H3249" s="48"/>
      <c r="I3249" s="48"/>
      <c r="J3249" s="86"/>
      <c r="K3249" s="86"/>
      <c r="L3249" s="86"/>
      <c r="M3249" s="86"/>
      <c r="N3249" s="86"/>
      <c r="O3249" s="86"/>
      <c r="P3249" s="86"/>
      <c r="Q3249" s="86"/>
      <c r="R3249" s="86"/>
      <c r="S3249" s="86"/>
      <c r="T3249" s="86"/>
      <c r="U3249" s="86"/>
      <c r="V3249" s="48"/>
      <c r="W3249" s="48"/>
      <c r="X3249" s="48"/>
      <c r="Y3249" s="48"/>
      <c r="Z3249" s="48"/>
      <c r="AA3249" s="48"/>
      <c r="AB3249" s="48"/>
      <c r="AC3249" s="48"/>
      <c r="AD3249" s="48"/>
      <c r="AE3249" s="48"/>
      <c r="AF3249" s="48"/>
      <c r="AG3249" s="48"/>
      <c r="AH3249" s="48"/>
      <c r="AI3249" s="48"/>
      <c r="AJ3249" s="48"/>
      <c r="AK3249" s="48"/>
      <c r="AL3249" s="48"/>
      <c r="AM3249" s="48"/>
      <c r="AN3249" s="48"/>
      <c r="AO3249" s="48"/>
      <c r="AP3249" s="48"/>
      <c r="AQ3249" s="48"/>
      <c r="AR3249" s="48"/>
      <c r="AS3249" s="48"/>
      <c r="AT3249" s="48"/>
      <c r="AU3249" s="48"/>
      <c r="AV3249" s="48"/>
      <c r="AW3249" s="48"/>
      <c r="AX3249" s="48"/>
      <c r="AY3249" s="48"/>
      <c r="AZ3249" s="48"/>
      <c r="BA3249" s="48"/>
      <c r="BB3249" s="48"/>
      <c r="BC3249" s="48"/>
      <c r="BD3249" s="48"/>
    </row>
    <row r="3250" spans="1:56">
      <c r="A3250" s="48"/>
      <c r="B3250" s="48"/>
      <c r="C3250" s="49"/>
      <c r="D3250" s="48"/>
      <c r="E3250" s="48"/>
      <c r="F3250" s="48"/>
      <c r="G3250" s="48"/>
      <c r="H3250" s="48"/>
      <c r="I3250" s="48"/>
      <c r="J3250" s="86"/>
      <c r="K3250" s="86"/>
      <c r="L3250" s="86"/>
      <c r="M3250" s="86"/>
      <c r="N3250" s="86"/>
      <c r="O3250" s="86"/>
      <c r="P3250" s="86"/>
      <c r="Q3250" s="86"/>
      <c r="R3250" s="86"/>
      <c r="S3250" s="86"/>
      <c r="T3250" s="86"/>
      <c r="U3250" s="86"/>
      <c r="V3250" s="48"/>
      <c r="W3250" s="48"/>
      <c r="X3250" s="48"/>
      <c r="Y3250" s="48"/>
      <c r="Z3250" s="48"/>
      <c r="AA3250" s="48"/>
      <c r="AB3250" s="48"/>
      <c r="AC3250" s="48"/>
      <c r="AD3250" s="48"/>
      <c r="AE3250" s="48"/>
      <c r="AF3250" s="48"/>
      <c r="AG3250" s="48"/>
      <c r="AH3250" s="48"/>
      <c r="AI3250" s="48"/>
      <c r="AJ3250" s="48"/>
      <c r="AK3250" s="48"/>
      <c r="AL3250" s="48"/>
      <c r="AM3250" s="48"/>
      <c r="AN3250" s="48"/>
      <c r="AO3250" s="48"/>
      <c r="AP3250" s="48"/>
      <c r="AQ3250" s="48"/>
      <c r="AR3250" s="48"/>
      <c r="AS3250" s="48"/>
      <c r="AT3250" s="48"/>
      <c r="AU3250" s="48"/>
      <c r="AV3250" s="48"/>
      <c r="AW3250" s="48"/>
      <c r="AX3250" s="48"/>
      <c r="AY3250" s="48"/>
      <c r="AZ3250" s="48"/>
      <c r="BA3250" s="48"/>
      <c r="BB3250" s="48"/>
      <c r="BC3250" s="48"/>
      <c r="BD3250" s="48"/>
    </row>
    <row r="3251" spans="1:56">
      <c r="A3251" s="48"/>
      <c r="B3251" s="48"/>
      <c r="C3251" s="49"/>
      <c r="D3251" s="48"/>
      <c r="E3251" s="48"/>
      <c r="F3251" s="48"/>
      <c r="G3251" s="48"/>
      <c r="H3251" s="48"/>
      <c r="I3251" s="48"/>
      <c r="J3251" s="86"/>
      <c r="K3251" s="86"/>
      <c r="L3251" s="86"/>
      <c r="M3251" s="86"/>
      <c r="N3251" s="86"/>
      <c r="O3251" s="86"/>
      <c r="P3251" s="86"/>
      <c r="Q3251" s="86"/>
      <c r="R3251" s="86"/>
      <c r="S3251" s="86"/>
      <c r="T3251" s="86"/>
      <c r="U3251" s="86"/>
      <c r="V3251" s="48"/>
      <c r="W3251" s="48"/>
      <c r="X3251" s="48"/>
      <c r="Y3251" s="48"/>
      <c r="Z3251" s="48"/>
      <c r="AA3251" s="48"/>
      <c r="AB3251" s="48"/>
      <c r="AC3251" s="48"/>
      <c r="AD3251" s="48"/>
      <c r="AE3251" s="48"/>
      <c r="AF3251" s="48"/>
      <c r="AG3251" s="48"/>
      <c r="AH3251" s="48"/>
      <c r="AI3251" s="48"/>
      <c r="AJ3251" s="48"/>
      <c r="AK3251" s="48"/>
      <c r="AL3251" s="48"/>
      <c r="AM3251" s="48"/>
      <c r="AN3251" s="48"/>
      <c r="AO3251" s="48"/>
      <c r="AP3251" s="48"/>
      <c r="AQ3251" s="48"/>
      <c r="AR3251" s="48"/>
      <c r="AS3251" s="48"/>
      <c r="AT3251" s="48"/>
      <c r="AU3251" s="48"/>
      <c r="AV3251" s="48"/>
      <c r="AW3251" s="48"/>
      <c r="AX3251" s="48"/>
      <c r="AY3251" s="48"/>
      <c r="AZ3251" s="48"/>
      <c r="BA3251" s="48"/>
      <c r="BB3251" s="48"/>
      <c r="BC3251" s="48"/>
      <c r="BD3251" s="48"/>
    </row>
    <row r="3252" spans="1:56">
      <c r="A3252" s="48"/>
      <c r="B3252" s="48"/>
      <c r="C3252" s="49"/>
      <c r="D3252" s="48"/>
      <c r="E3252" s="48"/>
      <c r="F3252" s="48"/>
      <c r="G3252" s="48"/>
      <c r="H3252" s="48"/>
      <c r="I3252" s="48"/>
      <c r="J3252" s="86"/>
      <c r="K3252" s="86"/>
      <c r="L3252" s="86"/>
      <c r="M3252" s="86"/>
      <c r="N3252" s="86"/>
      <c r="O3252" s="86"/>
      <c r="P3252" s="86"/>
      <c r="Q3252" s="86"/>
      <c r="R3252" s="86"/>
      <c r="S3252" s="86"/>
      <c r="T3252" s="86"/>
      <c r="U3252" s="86"/>
      <c r="V3252" s="48"/>
      <c r="W3252" s="48"/>
      <c r="X3252" s="48"/>
      <c r="Y3252" s="48"/>
      <c r="Z3252" s="48"/>
      <c r="AA3252" s="48"/>
      <c r="AB3252" s="48"/>
      <c r="AC3252" s="48"/>
      <c r="AD3252" s="48"/>
      <c r="AE3252" s="48"/>
      <c r="AF3252" s="48"/>
      <c r="AG3252" s="48"/>
      <c r="AH3252" s="48"/>
      <c r="AI3252" s="48"/>
      <c r="AJ3252" s="48"/>
      <c r="AK3252" s="48"/>
      <c r="AL3252" s="48"/>
      <c r="AM3252" s="48"/>
      <c r="AN3252" s="48"/>
      <c r="AO3252" s="48"/>
      <c r="AP3252" s="48"/>
      <c r="AQ3252" s="48"/>
      <c r="AR3252" s="48"/>
      <c r="AS3252" s="48"/>
      <c r="AT3252" s="48"/>
      <c r="AU3252" s="48"/>
      <c r="AV3252" s="48"/>
      <c r="AW3252" s="48"/>
      <c r="AX3252" s="48"/>
      <c r="AY3252" s="48"/>
      <c r="AZ3252" s="48"/>
      <c r="BA3252" s="48"/>
      <c r="BB3252" s="48"/>
      <c r="BC3252" s="48"/>
      <c r="BD3252" s="48"/>
    </row>
    <row r="3253" spans="1:56">
      <c r="A3253" s="48"/>
      <c r="B3253" s="48"/>
      <c r="C3253" s="49"/>
      <c r="D3253" s="48"/>
      <c r="E3253" s="48"/>
      <c r="F3253" s="48"/>
      <c r="G3253" s="48"/>
      <c r="H3253" s="48"/>
      <c r="I3253" s="48"/>
      <c r="J3253" s="86"/>
      <c r="K3253" s="86"/>
      <c r="L3253" s="86"/>
      <c r="M3253" s="86"/>
      <c r="N3253" s="86"/>
      <c r="O3253" s="86"/>
      <c r="P3253" s="86"/>
      <c r="Q3253" s="86"/>
      <c r="R3253" s="86"/>
      <c r="S3253" s="86"/>
      <c r="T3253" s="86"/>
      <c r="U3253" s="86"/>
      <c r="V3253" s="48"/>
      <c r="W3253" s="48"/>
      <c r="X3253" s="48"/>
      <c r="Y3253" s="48"/>
      <c r="Z3253" s="48"/>
      <c r="AA3253" s="48"/>
      <c r="AB3253" s="48"/>
      <c r="AC3253" s="48"/>
      <c r="AD3253" s="48"/>
      <c r="AE3253" s="48"/>
      <c r="AF3253" s="48"/>
      <c r="AG3253" s="48"/>
      <c r="AH3253" s="48"/>
      <c r="AI3253" s="48"/>
      <c r="AJ3253" s="48"/>
      <c r="AK3253" s="48"/>
      <c r="AL3253" s="48"/>
      <c r="AM3253" s="48"/>
      <c r="AN3253" s="48"/>
      <c r="AO3253" s="48"/>
      <c r="AP3253" s="48"/>
      <c r="AQ3253" s="48"/>
      <c r="AR3253" s="48"/>
      <c r="AS3253" s="48"/>
      <c r="AT3253" s="48"/>
      <c r="AU3253" s="48"/>
      <c r="AV3253" s="48"/>
      <c r="AW3253" s="48"/>
      <c r="AX3253" s="48"/>
      <c r="AY3253" s="48"/>
      <c r="AZ3253" s="48"/>
      <c r="BA3253" s="48"/>
      <c r="BB3253" s="48"/>
      <c r="BC3253" s="48"/>
      <c r="BD3253" s="48"/>
    </row>
    <row r="3254" spans="1:56">
      <c r="A3254" s="48"/>
      <c r="B3254" s="48"/>
      <c r="C3254" s="49"/>
      <c r="D3254" s="48"/>
      <c r="E3254" s="48"/>
      <c r="F3254" s="48"/>
      <c r="G3254" s="48"/>
      <c r="H3254" s="48"/>
      <c r="I3254" s="48"/>
      <c r="J3254" s="86"/>
      <c r="K3254" s="86"/>
      <c r="L3254" s="86"/>
      <c r="M3254" s="86"/>
      <c r="N3254" s="86"/>
      <c r="O3254" s="86"/>
      <c r="P3254" s="86"/>
      <c r="Q3254" s="86"/>
      <c r="R3254" s="86"/>
      <c r="S3254" s="86"/>
      <c r="T3254" s="86"/>
      <c r="U3254" s="86"/>
      <c r="V3254" s="48"/>
      <c r="W3254" s="48"/>
      <c r="X3254" s="48"/>
      <c r="Y3254" s="48"/>
      <c r="Z3254" s="48"/>
      <c r="AA3254" s="48"/>
      <c r="AB3254" s="48"/>
      <c r="AC3254" s="48"/>
      <c r="AD3254" s="48"/>
      <c r="AE3254" s="48"/>
      <c r="AF3254" s="48"/>
      <c r="AG3254" s="48"/>
      <c r="AH3254" s="48"/>
      <c r="AI3254" s="48"/>
      <c r="AJ3254" s="48"/>
      <c r="AK3254" s="48"/>
      <c r="AL3254" s="48"/>
      <c r="AM3254" s="48"/>
      <c r="AN3254" s="48"/>
      <c r="AO3254" s="48"/>
      <c r="AP3254" s="48"/>
      <c r="AQ3254" s="48"/>
      <c r="AR3254" s="48"/>
      <c r="AS3254" s="48"/>
      <c r="AT3254" s="48"/>
      <c r="AU3254" s="48"/>
      <c r="AV3254" s="48"/>
      <c r="AW3254" s="48"/>
      <c r="AX3254" s="48"/>
      <c r="AY3254" s="48"/>
      <c r="AZ3254" s="48"/>
      <c r="BA3254" s="48"/>
      <c r="BB3254" s="48"/>
      <c r="BC3254" s="48"/>
      <c r="BD3254" s="48"/>
    </row>
    <row r="3255" spans="1:56">
      <c r="A3255" s="48"/>
      <c r="B3255" s="48"/>
      <c r="C3255" s="49"/>
      <c r="D3255" s="48"/>
      <c r="E3255" s="48"/>
      <c r="F3255" s="48"/>
      <c r="G3255" s="48"/>
      <c r="H3255" s="48"/>
      <c r="I3255" s="48"/>
      <c r="J3255" s="86"/>
      <c r="K3255" s="86"/>
      <c r="L3255" s="86"/>
      <c r="M3255" s="86"/>
      <c r="N3255" s="86"/>
      <c r="O3255" s="86"/>
      <c r="P3255" s="86"/>
      <c r="Q3255" s="86"/>
      <c r="R3255" s="86"/>
      <c r="S3255" s="86"/>
      <c r="T3255" s="86"/>
      <c r="U3255" s="86"/>
      <c r="V3255" s="48"/>
      <c r="W3255" s="48"/>
      <c r="X3255" s="48"/>
      <c r="Y3255" s="48"/>
      <c r="Z3255" s="48"/>
      <c r="AA3255" s="48"/>
      <c r="AB3255" s="48"/>
      <c r="AC3255" s="48"/>
      <c r="AD3255" s="48"/>
      <c r="AE3255" s="48"/>
      <c r="AF3255" s="48"/>
      <c r="AG3255" s="48"/>
      <c r="AH3255" s="48"/>
      <c r="AI3255" s="48"/>
      <c r="AJ3255" s="48"/>
      <c r="AK3255" s="48"/>
      <c r="AL3255" s="48"/>
      <c r="AM3255" s="48"/>
      <c r="AN3255" s="48"/>
      <c r="AO3255" s="48"/>
      <c r="AP3255" s="48"/>
      <c r="AQ3255" s="48"/>
      <c r="AR3255" s="48"/>
      <c r="AS3255" s="48"/>
      <c r="AT3255" s="48"/>
      <c r="AU3255" s="48"/>
      <c r="AV3255" s="48"/>
      <c r="AW3255" s="48"/>
      <c r="AX3255" s="48"/>
      <c r="AY3255" s="48"/>
      <c r="AZ3255" s="48"/>
      <c r="BA3255" s="48"/>
      <c r="BB3255" s="48"/>
      <c r="BC3255" s="48"/>
      <c r="BD3255" s="48"/>
    </row>
    <row r="3256" spans="1:56">
      <c r="A3256" s="48"/>
      <c r="B3256" s="48"/>
      <c r="C3256" s="49"/>
      <c r="D3256" s="48"/>
      <c r="E3256" s="48"/>
      <c r="F3256" s="48"/>
      <c r="G3256" s="48"/>
      <c r="H3256" s="48"/>
      <c r="I3256" s="48"/>
      <c r="J3256" s="86"/>
      <c r="K3256" s="86"/>
      <c r="L3256" s="86"/>
      <c r="M3256" s="86"/>
      <c r="N3256" s="86"/>
      <c r="O3256" s="86"/>
      <c r="P3256" s="86"/>
      <c r="Q3256" s="86"/>
      <c r="R3256" s="86"/>
      <c r="S3256" s="86"/>
      <c r="T3256" s="86"/>
      <c r="U3256" s="86"/>
      <c r="V3256" s="48"/>
      <c r="W3256" s="48"/>
      <c r="X3256" s="48"/>
      <c r="Y3256" s="48"/>
      <c r="Z3256" s="48"/>
      <c r="AA3256" s="48"/>
      <c r="AB3256" s="48"/>
      <c r="AC3256" s="48"/>
      <c r="AD3256" s="48"/>
      <c r="AE3256" s="48"/>
      <c r="AF3256" s="48"/>
      <c r="AG3256" s="48"/>
      <c r="AH3256" s="48"/>
      <c r="AI3256" s="48"/>
      <c r="AJ3256" s="48"/>
      <c r="AK3256" s="48"/>
      <c r="AL3256" s="48"/>
      <c r="AM3256" s="48"/>
      <c r="AN3256" s="48"/>
      <c r="AO3256" s="48"/>
      <c r="AP3256" s="48"/>
      <c r="AQ3256" s="48"/>
      <c r="AR3256" s="48"/>
      <c r="AS3256" s="48"/>
      <c r="AT3256" s="48"/>
      <c r="AU3256" s="48"/>
      <c r="AV3256" s="48"/>
      <c r="AW3256" s="48"/>
      <c r="AX3256" s="48"/>
      <c r="AY3256" s="48"/>
      <c r="AZ3256" s="48"/>
      <c r="BA3256" s="48"/>
      <c r="BB3256" s="48"/>
      <c r="BC3256" s="48"/>
      <c r="BD3256" s="48"/>
    </row>
    <row r="3257" spans="1:56">
      <c r="A3257" s="48"/>
      <c r="B3257" s="48"/>
      <c r="C3257" s="49"/>
      <c r="D3257" s="48"/>
      <c r="E3257" s="48"/>
      <c r="F3257" s="48"/>
      <c r="G3257" s="48"/>
      <c r="H3257" s="48"/>
      <c r="I3257" s="48"/>
      <c r="J3257" s="86"/>
      <c r="K3257" s="86"/>
      <c r="L3257" s="86"/>
      <c r="M3257" s="86"/>
      <c r="N3257" s="86"/>
      <c r="O3257" s="86"/>
      <c r="P3257" s="86"/>
      <c r="Q3257" s="86"/>
      <c r="R3257" s="86"/>
      <c r="S3257" s="86"/>
      <c r="T3257" s="86"/>
      <c r="U3257" s="86"/>
      <c r="V3257" s="48"/>
      <c r="W3257" s="48"/>
      <c r="X3257" s="48"/>
      <c r="Y3257" s="48"/>
      <c r="Z3257" s="48"/>
      <c r="AA3257" s="48"/>
      <c r="AB3257" s="48"/>
      <c r="AC3257" s="48"/>
      <c r="AD3257" s="48"/>
      <c r="AE3257" s="48"/>
      <c r="AF3257" s="48"/>
      <c r="AG3257" s="48"/>
      <c r="AH3257" s="48"/>
      <c r="AI3257" s="48"/>
      <c r="AJ3257" s="48"/>
      <c r="AK3257" s="48"/>
      <c r="AL3257" s="48"/>
      <c r="AM3257" s="48"/>
      <c r="AN3257" s="48"/>
      <c r="AO3257" s="48"/>
      <c r="AP3257" s="48"/>
      <c r="AQ3257" s="48"/>
      <c r="AR3257" s="48"/>
      <c r="AS3257" s="48"/>
      <c r="AT3257" s="48"/>
      <c r="AU3257" s="48"/>
      <c r="AV3257" s="48"/>
      <c r="AW3257" s="48"/>
      <c r="AX3257" s="48"/>
      <c r="AY3257" s="48"/>
      <c r="AZ3257" s="48"/>
      <c r="BA3257" s="48"/>
      <c r="BB3257" s="48"/>
      <c r="BC3257" s="48"/>
      <c r="BD3257" s="48"/>
    </row>
    <row r="3258" spans="1:56">
      <c r="A3258" s="48"/>
      <c r="B3258" s="48"/>
      <c r="C3258" s="49"/>
      <c r="D3258" s="48"/>
      <c r="E3258" s="48"/>
      <c r="F3258" s="48"/>
      <c r="G3258" s="48"/>
      <c r="H3258" s="48"/>
      <c r="I3258" s="48"/>
      <c r="J3258" s="86"/>
      <c r="K3258" s="86"/>
      <c r="L3258" s="86"/>
      <c r="M3258" s="86"/>
      <c r="N3258" s="86"/>
      <c r="O3258" s="86"/>
      <c r="P3258" s="86"/>
      <c r="Q3258" s="86"/>
      <c r="R3258" s="86"/>
      <c r="S3258" s="86"/>
      <c r="T3258" s="86"/>
      <c r="U3258" s="86"/>
      <c r="V3258" s="48"/>
      <c r="W3258" s="48"/>
      <c r="X3258" s="48"/>
      <c r="Y3258" s="48"/>
      <c r="Z3258" s="48"/>
      <c r="AA3258" s="48"/>
      <c r="AB3258" s="48"/>
      <c r="AC3258" s="48"/>
      <c r="AD3258" s="48"/>
      <c r="AE3258" s="48"/>
      <c r="AF3258" s="48"/>
      <c r="AG3258" s="48"/>
      <c r="AH3258" s="48"/>
      <c r="AI3258" s="48"/>
      <c r="AJ3258" s="48"/>
      <c r="AK3258" s="48"/>
      <c r="AL3258" s="48"/>
      <c r="AM3258" s="48"/>
      <c r="AN3258" s="48"/>
      <c r="AO3258" s="48"/>
      <c r="AP3258" s="48"/>
      <c r="AQ3258" s="48"/>
      <c r="AR3258" s="48"/>
      <c r="AS3258" s="48"/>
      <c r="AT3258" s="48"/>
      <c r="AU3258" s="48"/>
      <c r="AV3258" s="48"/>
      <c r="AW3258" s="48"/>
      <c r="AX3258" s="48"/>
      <c r="AY3258" s="48"/>
      <c r="AZ3258" s="48"/>
      <c r="BA3258" s="48"/>
      <c r="BB3258" s="48"/>
      <c r="BC3258" s="48"/>
      <c r="BD3258" s="48"/>
    </row>
    <row r="3259" spans="1:56">
      <c r="A3259" s="48"/>
      <c r="B3259" s="48"/>
      <c r="C3259" s="49"/>
      <c r="D3259" s="48"/>
      <c r="E3259" s="48"/>
      <c r="F3259" s="48"/>
      <c r="G3259" s="48"/>
      <c r="H3259" s="48"/>
      <c r="I3259" s="48"/>
      <c r="J3259" s="86"/>
      <c r="K3259" s="86"/>
      <c r="L3259" s="86"/>
      <c r="M3259" s="86"/>
      <c r="N3259" s="86"/>
      <c r="O3259" s="86"/>
      <c r="P3259" s="86"/>
      <c r="Q3259" s="86"/>
      <c r="R3259" s="86"/>
      <c r="S3259" s="86"/>
      <c r="T3259" s="86"/>
      <c r="U3259" s="86"/>
      <c r="V3259" s="48"/>
      <c r="W3259" s="48"/>
      <c r="X3259" s="48"/>
      <c r="Y3259" s="48"/>
      <c r="Z3259" s="48"/>
      <c r="AA3259" s="48"/>
      <c r="AB3259" s="48"/>
      <c r="AC3259" s="48"/>
      <c r="AD3259" s="48"/>
      <c r="AE3259" s="48"/>
      <c r="AF3259" s="48"/>
      <c r="AG3259" s="48"/>
      <c r="AH3259" s="48"/>
      <c r="AI3259" s="48"/>
      <c r="AJ3259" s="48"/>
      <c r="AK3259" s="48"/>
      <c r="AL3259" s="48"/>
      <c r="AM3259" s="48"/>
      <c r="AN3259" s="48"/>
      <c r="AO3259" s="48"/>
      <c r="AP3259" s="48"/>
      <c r="AQ3259" s="48"/>
      <c r="AR3259" s="48"/>
      <c r="AS3259" s="48"/>
      <c r="AT3259" s="48"/>
      <c r="AU3259" s="48"/>
      <c r="AV3259" s="48"/>
      <c r="AW3259" s="48"/>
      <c r="AX3259" s="48"/>
      <c r="AY3259" s="48"/>
      <c r="AZ3259" s="48"/>
      <c r="BA3259" s="48"/>
      <c r="BB3259" s="48"/>
      <c r="BC3259" s="48"/>
      <c r="BD3259" s="48"/>
    </row>
    <row r="3260" spans="1:56">
      <c r="A3260" s="48"/>
      <c r="B3260" s="48"/>
      <c r="C3260" s="49"/>
      <c r="D3260" s="48"/>
      <c r="E3260" s="48"/>
      <c r="F3260" s="48"/>
      <c r="G3260" s="48"/>
      <c r="H3260" s="48"/>
      <c r="I3260" s="48"/>
      <c r="J3260" s="86"/>
      <c r="K3260" s="86"/>
      <c r="L3260" s="86"/>
      <c r="M3260" s="86"/>
      <c r="N3260" s="86"/>
      <c r="O3260" s="86"/>
      <c r="P3260" s="86"/>
      <c r="Q3260" s="86"/>
      <c r="R3260" s="86"/>
      <c r="S3260" s="86"/>
      <c r="T3260" s="86"/>
      <c r="U3260" s="86"/>
      <c r="V3260" s="48"/>
      <c r="W3260" s="48"/>
      <c r="X3260" s="48"/>
      <c r="Y3260" s="48"/>
      <c r="Z3260" s="48"/>
      <c r="AA3260" s="48"/>
      <c r="AB3260" s="48"/>
      <c r="AC3260" s="48"/>
      <c r="AD3260" s="48"/>
      <c r="AE3260" s="48"/>
      <c r="AF3260" s="48"/>
      <c r="AG3260" s="48"/>
      <c r="AH3260" s="48"/>
      <c r="AI3260" s="48"/>
      <c r="AJ3260" s="48"/>
      <c r="AK3260" s="48"/>
      <c r="AL3260" s="48"/>
      <c r="AM3260" s="48"/>
      <c r="AN3260" s="48"/>
      <c r="AO3260" s="48"/>
      <c r="AP3260" s="48"/>
      <c r="AQ3260" s="48"/>
      <c r="AR3260" s="48"/>
      <c r="AS3260" s="48"/>
      <c r="AT3260" s="48"/>
      <c r="AU3260" s="48"/>
      <c r="AV3260" s="48"/>
      <c r="AW3260" s="48"/>
      <c r="AX3260" s="48"/>
      <c r="AY3260" s="48"/>
      <c r="AZ3260" s="48"/>
      <c r="BA3260" s="48"/>
      <c r="BB3260" s="48"/>
      <c r="BC3260" s="48"/>
      <c r="BD3260" s="48"/>
    </row>
    <row r="3261" spans="1:56">
      <c r="A3261" s="48"/>
      <c r="B3261" s="48"/>
      <c r="C3261" s="49"/>
      <c r="D3261" s="48"/>
      <c r="E3261" s="48"/>
      <c r="F3261" s="48"/>
      <c r="G3261" s="48"/>
      <c r="H3261" s="48"/>
      <c r="I3261" s="48"/>
      <c r="J3261" s="86"/>
      <c r="K3261" s="86"/>
      <c r="L3261" s="86"/>
      <c r="M3261" s="86"/>
      <c r="N3261" s="86"/>
      <c r="O3261" s="86"/>
      <c r="P3261" s="86"/>
      <c r="Q3261" s="86"/>
      <c r="R3261" s="86"/>
      <c r="S3261" s="86"/>
      <c r="T3261" s="86"/>
      <c r="U3261" s="86"/>
      <c r="V3261" s="48"/>
      <c r="W3261" s="48"/>
      <c r="X3261" s="48"/>
      <c r="Y3261" s="48"/>
      <c r="Z3261" s="48"/>
      <c r="AA3261" s="48"/>
      <c r="AB3261" s="48"/>
      <c r="AC3261" s="48"/>
      <c r="AD3261" s="48"/>
      <c r="AE3261" s="48"/>
      <c r="AF3261" s="48"/>
      <c r="AG3261" s="48"/>
      <c r="AH3261" s="48"/>
      <c r="AI3261" s="48"/>
      <c r="AJ3261" s="48"/>
      <c r="AK3261" s="48"/>
      <c r="AL3261" s="48"/>
      <c r="AM3261" s="48"/>
      <c r="AN3261" s="48"/>
      <c r="AO3261" s="48"/>
      <c r="AP3261" s="48"/>
      <c r="AQ3261" s="48"/>
      <c r="AR3261" s="48"/>
      <c r="AS3261" s="48"/>
      <c r="AT3261" s="48"/>
      <c r="AU3261" s="48"/>
      <c r="AV3261" s="48"/>
      <c r="AW3261" s="48"/>
      <c r="AX3261" s="48"/>
      <c r="AY3261" s="48"/>
      <c r="AZ3261" s="48"/>
      <c r="BA3261" s="48"/>
      <c r="BB3261" s="48"/>
      <c r="BC3261" s="48"/>
      <c r="BD3261" s="48"/>
    </row>
    <row r="3262" spans="1:56">
      <c r="A3262" s="48"/>
      <c r="B3262" s="48"/>
      <c r="C3262" s="49"/>
      <c r="D3262" s="48"/>
      <c r="E3262" s="48"/>
      <c r="F3262" s="48"/>
      <c r="G3262" s="48"/>
      <c r="H3262" s="48"/>
      <c r="I3262" s="48"/>
      <c r="J3262" s="86"/>
      <c r="K3262" s="86"/>
      <c r="L3262" s="86"/>
      <c r="M3262" s="86"/>
      <c r="N3262" s="86"/>
      <c r="O3262" s="86"/>
      <c r="P3262" s="86"/>
      <c r="Q3262" s="86"/>
      <c r="R3262" s="86"/>
      <c r="S3262" s="86"/>
      <c r="T3262" s="86"/>
      <c r="U3262" s="86"/>
      <c r="V3262" s="48"/>
      <c r="W3262" s="48"/>
      <c r="X3262" s="48"/>
      <c r="Y3262" s="48"/>
      <c r="Z3262" s="48"/>
      <c r="AA3262" s="48"/>
      <c r="AB3262" s="48"/>
      <c r="AC3262" s="48"/>
      <c r="AD3262" s="48"/>
      <c r="AE3262" s="48"/>
      <c r="AF3262" s="48"/>
      <c r="AG3262" s="48"/>
      <c r="AH3262" s="48"/>
      <c r="AI3262" s="48"/>
      <c r="AJ3262" s="48"/>
      <c r="AK3262" s="48"/>
      <c r="AL3262" s="48"/>
      <c r="AM3262" s="48"/>
      <c r="AN3262" s="48"/>
      <c r="AO3262" s="48"/>
      <c r="AP3262" s="48"/>
      <c r="AQ3262" s="48"/>
      <c r="AR3262" s="48"/>
      <c r="AS3262" s="48"/>
      <c r="AT3262" s="48"/>
      <c r="AU3262" s="48"/>
      <c r="AV3262" s="48"/>
      <c r="AW3262" s="48"/>
      <c r="AX3262" s="48"/>
      <c r="AY3262" s="48"/>
      <c r="AZ3262" s="48"/>
      <c r="BA3262" s="48"/>
      <c r="BB3262" s="48"/>
      <c r="BC3262" s="48"/>
      <c r="BD3262" s="48"/>
    </row>
    <row r="3263" spans="1:56">
      <c r="A3263" s="48"/>
      <c r="B3263" s="48"/>
      <c r="C3263" s="49"/>
      <c r="D3263" s="48"/>
      <c r="E3263" s="48"/>
      <c r="F3263" s="48"/>
      <c r="G3263" s="48"/>
      <c r="H3263" s="48"/>
      <c r="I3263" s="48"/>
      <c r="J3263" s="86"/>
      <c r="K3263" s="86"/>
      <c r="L3263" s="86"/>
      <c r="M3263" s="86"/>
      <c r="N3263" s="86"/>
      <c r="O3263" s="86"/>
      <c r="P3263" s="86"/>
      <c r="Q3263" s="86"/>
      <c r="R3263" s="86"/>
      <c r="S3263" s="86"/>
      <c r="T3263" s="86"/>
      <c r="U3263" s="86"/>
      <c r="V3263" s="48"/>
      <c r="W3263" s="48"/>
      <c r="X3263" s="48"/>
      <c r="Y3263" s="48"/>
      <c r="Z3263" s="48"/>
      <c r="AA3263" s="48"/>
      <c r="AB3263" s="48"/>
      <c r="AC3263" s="48"/>
      <c r="AD3263" s="48"/>
      <c r="AE3263" s="48"/>
      <c r="AF3263" s="48"/>
      <c r="AG3263" s="48"/>
      <c r="AH3263" s="48"/>
      <c r="AI3263" s="48"/>
      <c r="AJ3263" s="48"/>
      <c r="AK3263" s="48"/>
      <c r="AL3263" s="48"/>
      <c r="AM3263" s="48"/>
      <c r="AN3263" s="48"/>
      <c r="AO3263" s="48"/>
      <c r="AP3263" s="48"/>
      <c r="AQ3263" s="48"/>
      <c r="AR3263" s="48"/>
      <c r="AS3263" s="48"/>
      <c r="AT3263" s="48"/>
      <c r="AU3263" s="48"/>
      <c r="AV3263" s="48"/>
      <c r="AW3263" s="48"/>
      <c r="AX3263" s="48"/>
      <c r="AY3263" s="48"/>
      <c r="AZ3263" s="48"/>
      <c r="BA3263" s="48"/>
      <c r="BB3263" s="48"/>
      <c r="BC3263" s="48"/>
      <c r="BD3263" s="48"/>
    </row>
    <row r="3264" spans="1:56">
      <c r="A3264" s="48"/>
      <c r="B3264" s="48"/>
      <c r="C3264" s="49"/>
      <c r="D3264" s="48"/>
      <c r="E3264" s="48"/>
      <c r="F3264" s="48"/>
      <c r="G3264" s="48"/>
      <c r="H3264" s="48"/>
      <c r="I3264" s="48"/>
      <c r="J3264" s="86"/>
      <c r="K3264" s="86"/>
      <c r="L3264" s="86"/>
      <c r="M3264" s="86"/>
      <c r="N3264" s="86"/>
      <c r="O3264" s="86"/>
      <c r="P3264" s="86"/>
      <c r="Q3264" s="86"/>
      <c r="R3264" s="86"/>
      <c r="S3264" s="86"/>
      <c r="T3264" s="86"/>
      <c r="U3264" s="86"/>
      <c r="V3264" s="48"/>
      <c r="W3264" s="48"/>
      <c r="X3264" s="48"/>
      <c r="Y3264" s="48"/>
      <c r="Z3264" s="48"/>
      <c r="AA3264" s="48"/>
      <c r="AB3264" s="48"/>
      <c r="AC3264" s="48"/>
      <c r="AD3264" s="48"/>
      <c r="AE3264" s="48"/>
      <c r="AF3264" s="48"/>
      <c r="AG3264" s="48"/>
      <c r="AH3264" s="48"/>
      <c r="AI3264" s="48"/>
      <c r="AJ3264" s="48"/>
      <c r="AK3264" s="48"/>
      <c r="AL3264" s="48"/>
      <c r="AM3264" s="48"/>
      <c r="AN3264" s="48"/>
      <c r="AO3264" s="48"/>
      <c r="AP3264" s="48"/>
      <c r="AQ3264" s="48"/>
      <c r="AR3264" s="48"/>
      <c r="AS3264" s="48"/>
      <c r="AT3264" s="48"/>
      <c r="AU3264" s="48"/>
      <c r="AV3264" s="48"/>
      <c r="AW3264" s="48"/>
      <c r="AX3264" s="48"/>
      <c r="AY3264" s="48"/>
      <c r="AZ3264" s="48"/>
      <c r="BA3264" s="48"/>
      <c r="BB3264" s="48"/>
      <c r="BC3264" s="48"/>
      <c r="BD3264" s="48"/>
    </row>
    <row r="3265" spans="1:56">
      <c r="A3265" s="48"/>
      <c r="B3265" s="48"/>
      <c r="C3265" s="49"/>
      <c r="D3265" s="48"/>
      <c r="E3265" s="48"/>
      <c r="F3265" s="48"/>
      <c r="G3265" s="48"/>
      <c r="H3265" s="48"/>
      <c r="I3265" s="48"/>
      <c r="J3265" s="86"/>
      <c r="K3265" s="86"/>
      <c r="L3265" s="86"/>
      <c r="M3265" s="86"/>
      <c r="N3265" s="86"/>
      <c r="O3265" s="86"/>
      <c r="P3265" s="86"/>
      <c r="Q3265" s="86"/>
      <c r="R3265" s="86"/>
      <c r="S3265" s="86"/>
      <c r="T3265" s="86"/>
      <c r="U3265" s="86"/>
      <c r="V3265" s="48"/>
      <c r="W3265" s="48"/>
      <c r="X3265" s="48"/>
      <c r="Y3265" s="48"/>
      <c r="Z3265" s="48"/>
      <c r="AA3265" s="48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48"/>
      <c r="AQ3265" s="48"/>
      <c r="AR3265" s="48"/>
      <c r="AS3265" s="48"/>
      <c r="AT3265" s="48"/>
      <c r="AU3265" s="48"/>
      <c r="AV3265" s="48"/>
      <c r="AW3265" s="48"/>
      <c r="AX3265" s="48"/>
      <c r="AY3265" s="48"/>
      <c r="AZ3265" s="48"/>
      <c r="BA3265" s="48"/>
      <c r="BB3265" s="48"/>
      <c r="BC3265" s="48"/>
      <c r="BD3265" s="48"/>
    </row>
    <row r="3266" spans="1:56">
      <c r="A3266" s="48"/>
      <c r="B3266" s="48"/>
      <c r="C3266" s="49"/>
      <c r="D3266" s="48"/>
      <c r="E3266" s="48"/>
      <c r="F3266" s="48"/>
      <c r="G3266" s="48"/>
      <c r="H3266" s="48"/>
      <c r="I3266" s="48"/>
      <c r="J3266" s="86"/>
      <c r="K3266" s="86"/>
      <c r="L3266" s="86"/>
      <c r="M3266" s="86"/>
      <c r="N3266" s="86"/>
      <c r="O3266" s="86"/>
      <c r="P3266" s="86"/>
      <c r="Q3266" s="86"/>
      <c r="R3266" s="86"/>
      <c r="S3266" s="86"/>
      <c r="T3266" s="86"/>
      <c r="U3266" s="86"/>
      <c r="V3266" s="48"/>
      <c r="W3266" s="48"/>
      <c r="X3266" s="48"/>
      <c r="Y3266" s="48"/>
      <c r="Z3266" s="48"/>
      <c r="AA3266" s="48"/>
      <c r="AB3266" s="48"/>
      <c r="AC3266" s="48"/>
      <c r="AD3266" s="48"/>
      <c r="AE3266" s="48"/>
      <c r="AF3266" s="48"/>
      <c r="AG3266" s="48"/>
      <c r="AH3266" s="48"/>
      <c r="AI3266" s="48"/>
      <c r="AJ3266" s="48"/>
      <c r="AK3266" s="48"/>
      <c r="AL3266" s="48"/>
      <c r="AM3266" s="48"/>
      <c r="AN3266" s="48"/>
      <c r="AO3266" s="48"/>
      <c r="AP3266" s="48"/>
      <c r="AQ3266" s="48"/>
      <c r="AR3266" s="48"/>
      <c r="AS3266" s="48"/>
      <c r="AT3266" s="48"/>
      <c r="AU3266" s="48"/>
      <c r="AV3266" s="48"/>
      <c r="AW3266" s="48"/>
      <c r="AX3266" s="48"/>
      <c r="AY3266" s="48"/>
      <c r="AZ3266" s="48"/>
      <c r="BA3266" s="48"/>
      <c r="BB3266" s="48"/>
      <c r="BC3266" s="48"/>
      <c r="BD3266" s="48"/>
    </row>
    <row r="3267" spans="1:56">
      <c r="A3267" s="48"/>
      <c r="B3267" s="48"/>
      <c r="C3267" s="49"/>
      <c r="D3267" s="48"/>
      <c r="E3267" s="48"/>
      <c r="F3267" s="48"/>
      <c r="G3267" s="48"/>
      <c r="H3267" s="48"/>
      <c r="I3267" s="48"/>
      <c r="J3267" s="86"/>
      <c r="K3267" s="86"/>
      <c r="L3267" s="86"/>
      <c r="M3267" s="86"/>
      <c r="N3267" s="86"/>
      <c r="O3267" s="86"/>
      <c r="P3267" s="86"/>
      <c r="Q3267" s="86"/>
      <c r="R3267" s="86"/>
      <c r="S3267" s="86"/>
      <c r="T3267" s="86"/>
      <c r="U3267" s="86"/>
      <c r="V3267" s="48"/>
      <c r="W3267" s="48"/>
      <c r="X3267" s="48"/>
      <c r="Y3267" s="48"/>
      <c r="Z3267" s="48"/>
      <c r="AA3267" s="48"/>
      <c r="AB3267" s="48"/>
      <c r="AC3267" s="48"/>
      <c r="AD3267" s="48"/>
      <c r="AE3267" s="48"/>
      <c r="AF3267" s="48"/>
      <c r="AG3267" s="48"/>
      <c r="AH3267" s="48"/>
      <c r="AI3267" s="48"/>
      <c r="AJ3267" s="48"/>
      <c r="AK3267" s="48"/>
      <c r="AL3267" s="48"/>
      <c r="AM3267" s="48"/>
      <c r="AN3267" s="48"/>
      <c r="AO3267" s="48"/>
      <c r="AP3267" s="48"/>
      <c r="AQ3267" s="48"/>
      <c r="AR3267" s="48"/>
      <c r="AS3267" s="48"/>
      <c r="AT3267" s="48"/>
      <c r="AU3267" s="48"/>
      <c r="AV3267" s="48"/>
      <c r="AW3267" s="48"/>
      <c r="AX3267" s="48"/>
      <c r="AY3267" s="48"/>
      <c r="AZ3267" s="48"/>
      <c r="BA3267" s="48"/>
      <c r="BB3267" s="48"/>
      <c r="BC3267" s="48"/>
      <c r="BD3267" s="48"/>
    </row>
    <row r="3268" spans="1:56">
      <c r="A3268" s="48"/>
      <c r="B3268" s="48"/>
      <c r="C3268" s="49"/>
      <c r="D3268" s="48"/>
      <c r="E3268" s="48"/>
      <c r="F3268" s="48"/>
      <c r="G3268" s="48"/>
      <c r="H3268" s="48"/>
      <c r="I3268" s="48"/>
      <c r="J3268" s="86"/>
      <c r="K3268" s="86"/>
      <c r="L3268" s="86"/>
      <c r="M3268" s="86"/>
      <c r="N3268" s="86"/>
      <c r="O3268" s="86"/>
      <c r="P3268" s="86"/>
      <c r="Q3268" s="86"/>
      <c r="R3268" s="86"/>
      <c r="S3268" s="86"/>
      <c r="T3268" s="86"/>
      <c r="U3268" s="86"/>
      <c r="V3268" s="48"/>
      <c r="W3268" s="48"/>
      <c r="X3268" s="48"/>
      <c r="Y3268" s="48"/>
      <c r="Z3268" s="48"/>
      <c r="AA3268" s="48"/>
      <c r="AB3268" s="48"/>
      <c r="AC3268" s="48"/>
      <c r="AD3268" s="48"/>
      <c r="AE3268" s="48"/>
      <c r="AF3268" s="48"/>
      <c r="AG3268" s="48"/>
      <c r="AH3268" s="48"/>
      <c r="AI3268" s="48"/>
      <c r="AJ3268" s="48"/>
      <c r="AK3268" s="48"/>
      <c r="AL3268" s="48"/>
      <c r="AM3268" s="48"/>
      <c r="AN3268" s="48"/>
      <c r="AO3268" s="48"/>
      <c r="AP3268" s="48"/>
      <c r="AQ3268" s="48"/>
      <c r="AR3268" s="48"/>
      <c r="AS3268" s="48"/>
      <c r="AT3268" s="48"/>
      <c r="AU3268" s="48"/>
      <c r="AV3268" s="48"/>
      <c r="AW3268" s="48"/>
      <c r="AX3268" s="48"/>
      <c r="AY3268" s="48"/>
      <c r="AZ3268" s="48"/>
      <c r="BA3268" s="48"/>
      <c r="BB3268" s="48"/>
      <c r="BC3268" s="48"/>
      <c r="BD3268" s="48"/>
    </row>
    <row r="3269" spans="1:56">
      <c r="A3269" s="48"/>
      <c r="B3269" s="48"/>
      <c r="C3269" s="49"/>
      <c r="D3269" s="48"/>
      <c r="E3269" s="48"/>
      <c r="F3269" s="48"/>
      <c r="G3269" s="48"/>
      <c r="H3269" s="48"/>
      <c r="I3269" s="48"/>
      <c r="J3269" s="86"/>
      <c r="K3269" s="86"/>
      <c r="L3269" s="86"/>
      <c r="M3269" s="86"/>
      <c r="N3269" s="86"/>
      <c r="O3269" s="86"/>
      <c r="P3269" s="86"/>
      <c r="Q3269" s="86"/>
      <c r="R3269" s="86"/>
      <c r="S3269" s="86"/>
      <c r="T3269" s="86"/>
      <c r="U3269" s="86"/>
      <c r="V3269" s="48"/>
      <c r="W3269" s="48"/>
      <c r="X3269" s="48"/>
      <c r="Y3269" s="48"/>
      <c r="Z3269" s="48"/>
      <c r="AA3269" s="48"/>
      <c r="AB3269" s="48"/>
      <c r="AC3269" s="48"/>
      <c r="AD3269" s="48"/>
      <c r="AE3269" s="48"/>
      <c r="AF3269" s="48"/>
      <c r="AG3269" s="48"/>
      <c r="AH3269" s="48"/>
      <c r="AI3269" s="48"/>
      <c r="AJ3269" s="48"/>
      <c r="AK3269" s="48"/>
      <c r="AL3269" s="48"/>
      <c r="AM3269" s="48"/>
      <c r="AN3269" s="48"/>
      <c r="AO3269" s="48"/>
      <c r="AP3269" s="48"/>
      <c r="AQ3269" s="48"/>
      <c r="AR3269" s="48"/>
      <c r="AS3269" s="48"/>
      <c r="AT3269" s="48"/>
      <c r="AU3269" s="48"/>
      <c r="AV3269" s="48"/>
      <c r="AW3269" s="48"/>
      <c r="AX3269" s="48"/>
      <c r="AY3269" s="48"/>
      <c r="AZ3269" s="48"/>
      <c r="BA3269" s="48"/>
      <c r="BB3269" s="48"/>
      <c r="BC3269" s="48"/>
      <c r="BD3269" s="48"/>
    </row>
    <row r="3270" spans="1:56">
      <c r="A3270" s="48"/>
      <c r="B3270" s="48"/>
      <c r="C3270" s="49"/>
      <c r="D3270" s="48"/>
      <c r="E3270" s="48"/>
      <c r="F3270" s="48"/>
      <c r="G3270" s="48"/>
      <c r="H3270" s="48"/>
      <c r="I3270" s="48"/>
      <c r="J3270" s="86"/>
      <c r="K3270" s="86"/>
      <c r="L3270" s="86"/>
      <c r="M3270" s="86"/>
      <c r="N3270" s="86"/>
      <c r="O3270" s="86"/>
      <c r="P3270" s="86"/>
      <c r="Q3270" s="86"/>
      <c r="R3270" s="86"/>
      <c r="S3270" s="86"/>
      <c r="T3270" s="86"/>
      <c r="U3270" s="86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48"/>
      <c r="AM3270" s="48"/>
      <c r="AN3270" s="48"/>
      <c r="AO3270" s="48"/>
      <c r="AP3270" s="48"/>
      <c r="AQ3270" s="48"/>
      <c r="AR3270" s="48"/>
      <c r="AS3270" s="48"/>
      <c r="AT3270" s="48"/>
      <c r="AU3270" s="48"/>
      <c r="AV3270" s="48"/>
      <c r="AW3270" s="48"/>
      <c r="AX3270" s="48"/>
      <c r="AY3270" s="48"/>
      <c r="AZ3270" s="48"/>
      <c r="BA3270" s="48"/>
      <c r="BB3270" s="48"/>
      <c r="BC3270" s="48"/>
      <c r="BD3270" s="48"/>
    </row>
    <row r="3271" spans="1:56">
      <c r="A3271" s="48"/>
      <c r="B3271" s="48"/>
      <c r="C3271" s="49"/>
      <c r="D3271" s="48"/>
      <c r="E3271" s="48"/>
      <c r="F3271" s="48"/>
      <c r="G3271" s="48"/>
      <c r="H3271" s="48"/>
      <c r="I3271" s="48"/>
      <c r="J3271" s="86"/>
      <c r="K3271" s="86"/>
      <c r="L3271" s="86"/>
      <c r="M3271" s="86"/>
      <c r="N3271" s="86"/>
      <c r="O3271" s="86"/>
      <c r="P3271" s="86"/>
      <c r="Q3271" s="86"/>
      <c r="R3271" s="86"/>
      <c r="S3271" s="86"/>
      <c r="T3271" s="86"/>
      <c r="U3271" s="86"/>
      <c r="V3271" s="48"/>
      <c r="W3271" s="48"/>
      <c r="X3271" s="48"/>
      <c r="Y3271" s="48"/>
      <c r="Z3271" s="48"/>
      <c r="AA3271" s="48"/>
      <c r="AB3271" s="48"/>
      <c r="AC3271" s="48"/>
      <c r="AD3271" s="48"/>
      <c r="AE3271" s="48"/>
      <c r="AF3271" s="48"/>
      <c r="AG3271" s="48"/>
      <c r="AH3271" s="48"/>
      <c r="AI3271" s="48"/>
      <c r="AJ3271" s="48"/>
      <c r="AK3271" s="48"/>
      <c r="AL3271" s="48"/>
      <c r="AM3271" s="48"/>
      <c r="AN3271" s="48"/>
      <c r="AO3271" s="48"/>
      <c r="AP3271" s="48"/>
      <c r="AQ3271" s="48"/>
      <c r="AR3271" s="48"/>
      <c r="AS3271" s="48"/>
      <c r="AT3271" s="48"/>
      <c r="AU3271" s="48"/>
      <c r="AV3271" s="48"/>
      <c r="AW3271" s="48"/>
      <c r="AX3271" s="48"/>
      <c r="AY3271" s="48"/>
      <c r="AZ3271" s="48"/>
      <c r="BA3271" s="48"/>
      <c r="BB3271" s="48"/>
      <c r="BC3271" s="48"/>
      <c r="BD3271" s="48"/>
    </row>
    <row r="3272" spans="1:56">
      <c r="A3272" s="48"/>
      <c r="B3272" s="48"/>
      <c r="C3272" s="49"/>
      <c r="D3272" s="48"/>
      <c r="E3272" s="48"/>
      <c r="F3272" s="48"/>
      <c r="G3272" s="48"/>
      <c r="H3272" s="48"/>
      <c r="I3272" s="48"/>
      <c r="J3272" s="86"/>
      <c r="K3272" s="86"/>
      <c r="L3272" s="86"/>
      <c r="M3272" s="86"/>
      <c r="N3272" s="86"/>
      <c r="O3272" s="86"/>
      <c r="P3272" s="86"/>
      <c r="Q3272" s="86"/>
      <c r="R3272" s="86"/>
      <c r="S3272" s="86"/>
      <c r="T3272" s="86"/>
      <c r="U3272" s="86"/>
      <c r="V3272" s="48"/>
      <c r="W3272" s="48"/>
      <c r="X3272" s="48"/>
      <c r="Y3272" s="48"/>
      <c r="Z3272" s="48"/>
      <c r="AA3272" s="48"/>
      <c r="AB3272" s="48"/>
      <c r="AC3272" s="48"/>
      <c r="AD3272" s="48"/>
      <c r="AE3272" s="48"/>
      <c r="AF3272" s="48"/>
      <c r="AG3272" s="48"/>
      <c r="AH3272" s="48"/>
      <c r="AI3272" s="48"/>
      <c r="AJ3272" s="48"/>
      <c r="AK3272" s="48"/>
      <c r="AL3272" s="48"/>
      <c r="AM3272" s="48"/>
      <c r="AN3272" s="48"/>
      <c r="AO3272" s="48"/>
      <c r="AP3272" s="48"/>
      <c r="AQ3272" s="48"/>
      <c r="AR3272" s="48"/>
      <c r="AS3272" s="48"/>
      <c r="AT3272" s="48"/>
      <c r="AU3272" s="48"/>
      <c r="AV3272" s="48"/>
      <c r="AW3272" s="48"/>
      <c r="AX3272" s="48"/>
      <c r="AY3272" s="48"/>
      <c r="AZ3272" s="48"/>
      <c r="BA3272" s="48"/>
      <c r="BB3272" s="48"/>
      <c r="BC3272" s="48"/>
      <c r="BD3272" s="48"/>
    </row>
    <row r="3273" spans="1:56">
      <c r="A3273" s="48"/>
      <c r="B3273" s="48"/>
      <c r="C3273" s="49"/>
      <c r="D3273" s="48"/>
      <c r="E3273" s="48"/>
      <c r="F3273" s="48"/>
      <c r="G3273" s="48"/>
      <c r="H3273" s="48"/>
      <c r="I3273" s="48"/>
      <c r="J3273" s="86"/>
      <c r="K3273" s="86"/>
      <c r="L3273" s="86"/>
      <c r="M3273" s="86"/>
      <c r="N3273" s="86"/>
      <c r="O3273" s="86"/>
      <c r="P3273" s="86"/>
      <c r="Q3273" s="86"/>
      <c r="R3273" s="86"/>
      <c r="S3273" s="86"/>
      <c r="T3273" s="86"/>
      <c r="U3273" s="86"/>
      <c r="V3273" s="48"/>
      <c r="W3273" s="48"/>
      <c r="X3273" s="48"/>
      <c r="Y3273" s="48"/>
      <c r="Z3273" s="48"/>
      <c r="AA3273" s="48"/>
      <c r="AB3273" s="48"/>
      <c r="AC3273" s="48"/>
      <c r="AD3273" s="48"/>
      <c r="AE3273" s="48"/>
      <c r="AF3273" s="48"/>
      <c r="AG3273" s="48"/>
      <c r="AH3273" s="48"/>
      <c r="AI3273" s="48"/>
      <c r="AJ3273" s="48"/>
      <c r="AK3273" s="48"/>
      <c r="AL3273" s="48"/>
      <c r="AM3273" s="48"/>
      <c r="AN3273" s="48"/>
      <c r="AO3273" s="48"/>
      <c r="AP3273" s="48"/>
      <c r="AQ3273" s="48"/>
      <c r="AR3273" s="48"/>
      <c r="AS3273" s="48"/>
      <c r="AT3273" s="48"/>
      <c r="AU3273" s="48"/>
      <c r="AV3273" s="48"/>
      <c r="AW3273" s="48"/>
      <c r="AX3273" s="48"/>
      <c r="AY3273" s="48"/>
      <c r="AZ3273" s="48"/>
      <c r="BA3273" s="48"/>
      <c r="BB3273" s="48"/>
      <c r="BC3273" s="48"/>
      <c r="BD3273" s="48"/>
    </row>
    <row r="3274" spans="1:56">
      <c r="A3274" s="48"/>
      <c r="B3274" s="48"/>
      <c r="C3274" s="49"/>
      <c r="D3274" s="48"/>
      <c r="E3274" s="48"/>
      <c r="F3274" s="48"/>
      <c r="G3274" s="48"/>
      <c r="H3274" s="48"/>
      <c r="I3274" s="48"/>
      <c r="J3274" s="86"/>
      <c r="K3274" s="86"/>
      <c r="L3274" s="86"/>
      <c r="M3274" s="86"/>
      <c r="N3274" s="86"/>
      <c r="O3274" s="86"/>
      <c r="P3274" s="86"/>
      <c r="Q3274" s="86"/>
      <c r="R3274" s="86"/>
      <c r="S3274" s="86"/>
      <c r="T3274" s="86"/>
      <c r="U3274" s="86"/>
      <c r="V3274" s="48"/>
      <c r="W3274" s="48"/>
      <c r="X3274" s="48"/>
      <c r="Y3274" s="48"/>
      <c r="Z3274" s="48"/>
      <c r="AA3274" s="48"/>
      <c r="AB3274" s="48"/>
      <c r="AC3274" s="48"/>
      <c r="AD3274" s="48"/>
      <c r="AE3274" s="48"/>
      <c r="AF3274" s="48"/>
      <c r="AG3274" s="48"/>
      <c r="AH3274" s="48"/>
      <c r="AI3274" s="48"/>
      <c r="AJ3274" s="48"/>
      <c r="AK3274" s="48"/>
      <c r="AL3274" s="48"/>
      <c r="AM3274" s="48"/>
      <c r="AN3274" s="48"/>
      <c r="AO3274" s="48"/>
      <c r="AP3274" s="48"/>
      <c r="AQ3274" s="48"/>
      <c r="AR3274" s="48"/>
      <c r="AS3274" s="48"/>
      <c r="AT3274" s="48"/>
      <c r="AU3274" s="48"/>
      <c r="AV3274" s="48"/>
      <c r="AW3274" s="48"/>
      <c r="AX3274" s="48"/>
      <c r="AY3274" s="48"/>
      <c r="AZ3274" s="48"/>
      <c r="BA3274" s="48"/>
      <c r="BB3274" s="48"/>
      <c r="BC3274" s="48"/>
      <c r="BD3274" s="48"/>
    </row>
    <row r="3275" spans="1:56">
      <c r="A3275" s="48"/>
      <c r="B3275" s="48"/>
      <c r="C3275" s="49"/>
      <c r="D3275" s="48"/>
      <c r="E3275" s="48"/>
      <c r="F3275" s="48"/>
      <c r="G3275" s="48"/>
      <c r="H3275" s="48"/>
      <c r="I3275" s="48"/>
      <c r="J3275" s="86"/>
      <c r="K3275" s="86"/>
      <c r="L3275" s="86"/>
      <c r="M3275" s="86"/>
      <c r="N3275" s="86"/>
      <c r="O3275" s="86"/>
      <c r="P3275" s="86"/>
      <c r="Q3275" s="86"/>
      <c r="R3275" s="86"/>
      <c r="S3275" s="86"/>
      <c r="T3275" s="86"/>
      <c r="U3275" s="86"/>
      <c r="V3275" s="48"/>
      <c r="W3275" s="48"/>
      <c r="X3275" s="48"/>
      <c r="Y3275" s="48"/>
      <c r="Z3275" s="48"/>
      <c r="AA3275" s="48"/>
      <c r="AB3275" s="48"/>
      <c r="AC3275" s="48"/>
      <c r="AD3275" s="48"/>
      <c r="AE3275" s="48"/>
      <c r="AF3275" s="48"/>
      <c r="AG3275" s="48"/>
      <c r="AH3275" s="48"/>
      <c r="AI3275" s="48"/>
      <c r="AJ3275" s="48"/>
      <c r="AK3275" s="48"/>
      <c r="AL3275" s="48"/>
      <c r="AM3275" s="48"/>
      <c r="AN3275" s="48"/>
      <c r="AO3275" s="48"/>
      <c r="AP3275" s="48"/>
      <c r="AQ3275" s="48"/>
      <c r="AR3275" s="48"/>
      <c r="AS3275" s="48"/>
      <c r="AT3275" s="48"/>
      <c r="AU3275" s="48"/>
      <c r="AV3275" s="48"/>
      <c r="AW3275" s="48"/>
      <c r="AX3275" s="48"/>
      <c r="AY3275" s="48"/>
      <c r="AZ3275" s="48"/>
      <c r="BA3275" s="48"/>
      <c r="BB3275" s="48"/>
      <c r="BC3275" s="48"/>
      <c r="BD3275" s="48"/>
    </row>
    <row r="3276" spans="1:56">
      <c r="A3276" s="48"/>
      <c r="B3276" s="48"/>
      <c r="C3276" s="49"/>
      <c r="D3276" s="48"/>
      <c r="E3276" s="48"/>
      <c r="F3276" s="48"/>
      <c r="G3276" s="48"/>
      <c r="H3276" s="48"/>
      <c r="I3276" s="48"/>
      <c r="J3276" s="86"/>
      <c r="K3276" s="86"/>
      <c r="L3276" s="86"/>
      <c r="M3276" s="86"/>
      <c r="N3276" s="86"/>
      <c r="O3276" s="86"/>
      <c r="P3276" s="86"/>
      <c r="Q3276" s="86"/>
      <c r="R3276" s="86"/>
      <c r="S3276" s="86"/>
      <c r="T3276" s="86"/>
      <c r="U3276" s="86"/>
      <c r="V3276" s="48"/>
      <c r="W3276" s="48"/>
      <c r="X3276" s="48"/>
      <c r="Y3276" s="48"/>
      <c r="Z3276" s="48"/>
      <c r="AA3276" s="48"/>
      <c r="AB3276" s="48"/>
      <c r="AC3276" s="48"/>
      <c r="AD3276" s="48"/>
      <c r="AE3276" s="48"/>
      <c r="AF3276" s="48"/>
      <c r="AG3276" s="48"/>
      <c r="AH3276" s="48"/>
      <c r="AI3276" s="48"/>
      <c r="AJ3276" s="48"/>
      <c r="AK3276" s="48"/>
      <c r="AL3276" s="48"/>
      <c r="AM3276" s="48"/>
      <c r="AN3276" s="48"/>
      <c r="AO3276" s="48"/>
      <c r="AP3276" s="48"/>
      <c r="AQ3276" s="48"/>
      <c r="AR3276" s="48"/>
      <c r="AS3276" s="48"/>
      <c r="AT3276" s="48"/>
      <c r="AU3276" s="48"/>
      <c r="AV3276" s="48"/>
      <c r="AW3276" s="48"/>
      <c r="AX3276" s="48"/>
      <c r="AY3276" s="48"/>
      <c r="AZ3276" s="48"/>
      <c r="BA3276" s="48"/>
      <c r="BB3276" s="48"/>
      <c r="BC3276" s="48"/>
      <c r="BD3276" s="48"/>
    </row>
    <row r="3277" spans="1:56">
      <c r="A3277" s="48"/>
      <c r="B3277" s="48"/>
      <c r="C3277" s="49"/>
      <c r="D3277" s="48"/>
      <c r="E3277" s="48"/>
      <c r="F3277" s="48"/>
      <c r="G3277" s="48"/>
      <c r="H3277" s="48"/>
      <c r="I3277" s="48"/>
      <c r="J3277" s="86"/>
      <c r="K3277" s="86"/>
      <c r="L3277" s="86"/>
      <c r="M3277" s="86"/>
      <c r="N3277" s="86"/>
      <c r="O3277" s="86"/>
      <c r="P3277" s="86"/>
      <c r="Q3277" s="86"/>
      <c r="R3277" s="86"/>
      <c r="S3277" s="86"/>
      <c r="T3277" s="86"/>
      <c r="U3277" s="86"/>
      <c r="V3277" s="48"/>
      <c r="W3277" s="48"/>
      <c r="X3277" s="48"/>
      <c r="Y3277" s="48"/>
      <c r="Z3277" s="48"/>
      <c r="AA3277" s="48"/>
      <c r="AB3277" s="48"/>
      <c r="AC3277" s="48"/>
      <c r="AD3277" s="48"/>
      <c r="AE3277" s="48"/>
      <c r="AF3277" s="48"/>
      <c r="AG3277" s="48"/>
      <c r="AH3277" s="48"/>
      <c r="AI3277" s="48"/>
      <c r="AJ3277" s="48"/>
      <c r="AK3277" s="48"/>
      <c r="AL3277" s="48"/>
      <c r="AM3277" s="48"/>
      <c r="AN3277" s="48"/>
      <c r="AO3277" s="48"/>
      <c r="AP3277" s="48"/>
      <c r="AQ3277" s="48"/>
      <c r="AR3277" s="48"/>
      <c r="AS3277" s="48"/>
      <c r="AT3277" s="48"/>
      <c r="AU3277" s="48"/>
      <c r="AV3277" s="48"/>
      <c r="AW3277" s="48"/>
      <c r="AX3277" s="48"/>
      <c r="AY3277" s="48"/>
      <c r="AZ3277" s="48"/>
      <c r="BA3277" s="48"/>
      <c r="BB3277" s="48"/>
      <c r="BC3277" s="48"/>
      <c r="BD3277" s="48"/>
    </row>
    <row r="3278" spans="1:56">
      <c r="A3278" s="48"/>
      <c r="B3278" s="48"/>
      <c r="C3278" s="49"/>
      <c r="D3278" s="48"/>
      <c r="E3278" s="48"/>
      <c r="F3278" s="48"/>
      <c r="G3278" s="48"/>
      <c r="H3278" s="48"/>
      <c r="I3278" s="48"/>
      <c r="J3278" s="86"/>
      <c r="K3278" s="86"/>
      <c r="L3278" s="86"/>
      <c r="M3278" s="86"/>
      <c r="N3278" s="86"/>
      <c r="O3278" s="86"/>
      <c r="P3278" s="86"/>
      <c r="Q3278" s="86"/>
      <c r="R3278" s="86"/>
      <c r="S3278" s="86"/>
      <c r="T3278" s="86"/>
      <c r="U3278" s="86"/>
      <c r="V3278" s="48"/>
      <c r="W3278" s="48"/>
      <c r="X3278" s="48"/>
      <c r="Y3278" s="48"/>
      <c r="Z3278" s="48"/>
      <c r="AA3278" s="48"/>
      <c r="AB3278" s="48"/>
      <c r="AC3278" s="48"/>
      <c r="AD3278" s="48"/>
      <c r="AE3278" s="48"/>
      <c r="AF3278" s="48"/>
      <c r="AG3278" s="48"/>
      <c r="AH3278" s="48"/>
      <c r="AI3278" s="48"/>
      <c r="AJ3278" s="48"/>
      <c r="AK3278" s="48"/>
      <c r="AL3278" s="48"/>
      <c r="AM3278" s="48"/>
      <c r="AN3278" s="48"/>
      <c r="AO3278" s="48"/>
      <c r="AP3278" s="48"/>
      <c r="AQ3278" s="48"/>
      <c r="AR3278" s="48"/>
      <c r="AS3278" s="48"/>
      <c r="AT3278" s="48"/>
      <c r="AU3278" s="48"/>
      <c r="AV3278" s="48"/>
      <c r="AW3278" s="48"/>
      <c r="AX3278" s="48"/>
      <c r="AY3278" s="48"/>
      <c r="AZ3278" s="48"/>
      <c r="BA3278" s="48"/>
      <c r="BB3278" s="48"/>
      <c r="BC3278" s="48"/>
      <c r="BD3278" s="48"/>
    </row>
    <row r="3279" spans="1:56">
      <c r="A3279" s="48"/>
      <c r="B3279" s="48"/>
      <c r="C3279" s="49"/>
      <c r="D3279" s="48"/>
      <c r="E3279" s="48"/>
      <c r="F3279" s="48"/>
      <c r="G3279" s="48"/>
      <c r="H3279" s="48"/>
      <c r="I3279" s="48"/>
      <c r="J3279" s="86"/>
      <c r="K3279" s="86"/>
      <c r="L3279" s="86"/>
      <c r="M3279" s="86"/>
      <c r="N3279" s="86"/>
      <c r="O3279" s="86"/>
      <c r="P3279" s="86"/>
      <c r="Q3279" s="86"/>
      <c r="R3279" s="86"/>
      <c r="S3279" s="86"/>
      <c r="T3279" s="86"/>
      <c r="U3279" s="86"/>
      <c r="V3279" s="48"/>
      <c r="W3279" s="48"/>
      <c r="X3279" s="48"/>
      <c r="Y3279" s="48"/>
      <c r="Z3279" s="48"/>
      <c r="AA3279" s="48"/>
      <c r="AB3279" s="48"/>
      <c r="AC3279" s="48"/>
      <c r="AD3279" s="48"/>
      <c r="AE3279" s="48"/>
      <c r="AF3279" s="48"/>
      <c r="AG3279" s="48"/>
      <c r="AH3279" s="48"/>
      <c r="AI3279" s="48"/>
      <c r="AJ3279" s="48"/>
      <c r="AK3279" s="48"/>
      <c r="AL3279" s="48"/>
      <c r="AM3279" s="48"/>
      <c r="AN3279" s="48"/>
      <c r="AO3279" s="48"/>
      <c r="AP3279" s="48"/>
      <c r="AQ3279" s="48"/>
      <c r="AR3279" s="48"/>
      <c r="AS3279" s="48"/>
      <c r="AT3279" s="48"/>
      <c r="AU3279" s="48"/>
      <c r="AV3279" s="48"/>
      <c r="AW3279" s="48"/>
      <c r="AX3279" s="48"/>
      <c r="AY3279" s="48"/>
      <c r="AZ3279" s="48"/>
      <c r="BA3279" s="48"/>
      <c r="BB3279" s="48"/>
      <c r="BC3279" s="48"/>
      <c r="BD3279" s="48"/>
    </row>
    <row r="3280" spans="1:56">
      <c r="A3280" s="48"/>
      <c r="B3280" s="48"/>
      <c r="C3280" s="49"/>
      <c r="D3280" s="48"/>
      <c r="E3280" s="48"/>
      <c r="F3280" s="48"/>
      <c r="G3280" s="48"/>
      <c r="H3280" s="48"/>
      <c r="I3280" s="48"/>
      <c r="J3280" s="86"/>
      <c r="K3280" s="86"/>
      <c r="L3280" s="86"/>
      <c r="M3280" s="86"/>
      <c r="N3280" s="86"/>
      <c r="O3280" s="86"/>
      <c r="P3280" s="86"/>
      <c r="Q3280" s="86"/>
      <c r="R3280" s="86"/>
      <c r="S3280" s="86"/>
      <c r="T3280" s="86"/>
      <c r="U3280" s="86"/>
      <c r="V3280" s="48"/>
      <c r="W3280" s="48"/>
      <c r="X3280" s="48"/>
      <c r="Y3280" s="48"/>
      <c r="Z3280" s="48"/>
      <c r="AA3280" s="48"/>
      <c r="AB3280" s="48"/>
      <c r="AC3280" s="48"/>
      <c r="AD3280" s="48"/>
      <c r="AE3280" s="48"/>
      <c r="AF3280" s="48"/>
      <c r="AG3280" s="48"/>
      <c r="AH3280" s="48"/>
      <c r="AI3280" s="48"/>
      <c r="AJ3280" s="48"/>
      <c r="AK3280" s="48"/>
      <c r="AL3280" s="48"/>
      <c r="AM3280" s="48"/>
      <c r="AN3280" s="48"/>
      <c r="AO3280" s="48"/>
      <c r="AP3280" s="48"/>
      <c r="AQ3280" s="48"/>
      <c r="AR3280" s="48"/>
      <c r="AS3280" s="48"/>
      <c r="AT3280" s="48"/>
      <c r="AU3280" s="48"/>
      <c r="AV3280" s="48"/>
      <c r="AW3280" s="48"/>
      <c r="AX3280" s="48"/>
      <c r="AY3280" s="48"/>
      <c r="AZ3280" s="48"/>
      <c r="BA3280" s="48"/>
      <c r="BB3280" s="48"/>
      <c r="BC3280" s="48"/>
      <c r="BD3280" s="48"/>
    </row>
    <row r="3281" spans="1:56">
      <c r="A3281" s="48"/>
      <c r="B3281" s="48"/>
      <c r="C3281" s="49"/>
      <c r="D3281" s="48"/>
      <c r="E3281" s="48"/>
      <c r="F3281" s="48"/>
      <c r="G3281" s="48"/>
      <c r="H3281" s="48"/>
      <c r="I3281" s="48"/>
      <c r="J3281" s="86"/>
      <c r="K3281" s="86"/>
      <c r="L3281" s="86"/>
      <c r="M3281" s="86"/>
      <c r="N3281" s="86"/>
      <c r="O3281" s="86"/>
      <c r="P3281" s="86"/>
      <c r="Q3281" s="86"/>
      <c r="R3281" s="86"/>
      <c r="S3281" s="86"/>
      <c r="T3281" s="86"/>
      <c r="U3281" s="86"/>
      <c r="V3281" s="48"/>
      <c r="W3281" s="48"/>
      <c r="X3281" s="48"/>
      <c r="Y3281" s="48"/>
      <c r="Z3281" s="48"/>
      <c r="AA3281" s="48"/>
      <c r="AB3281" s="48"/>
      <c r="AC3281" s="48"/>
      <c r="AD3281" s="48"/>
      <c r="AE3281" s="48"/>
      <c r="AF3281" s="48"/>
      <c r="AG3281" s="48"/>
      <c r="AH3281" s="48"/>
      <c r="AI3281" s="48"/>
      <c r="AJ3281" s="48"/>
      <c r="AK3281" s="48"/>
      <c r="AL3281" s="48"/>
      <c r="AM3281" s="48"/>
      <c r="AN3281" s="48"/>
      <c r="AO3281" s="48"/>
      <c r="AP3281" s="48"/>
      <c r="AQ3281" s="48"/>
      <c r="AR3281" s="48"/>
      <c r="AS3281" s="48"/>
      <c r="AT3281" s="48"/>
      <c r="AU3281" s="48"/>
      <c r="AV3281" s="48"/>
      <c r="AW3281" s="48"/>
      <c r="AX3281" s="48"/>
      <c r="AY3281" s="48"/>
      <c r="AZ3281" s="48"/>
      <c r="BA3281" s="48"/>
      <c r="BB3281" s="48"/>
      <c r="BC3281" s="48"/>
      <c r="BD3281" s="48"/>
    </row>
    <row r="3282" spans="1:56">
      <c r="A3282" s="48"/>
      <c r="B3282" s="48"/>
      <c r="C3282" s="49"/>
      <c r="D3282" s="48"/>
      <c r="E3282" s="48"/>
      <c r="F3282" s="48"/>
      <c r="G3282" s="48"/>
      <c r="H3282" s="48"/>
      <c r="I3282" s="48"/>
      <c r="J3282" s="86"/>
      <c r="K3282" s="86"/>
      <c r="L3282" s="86"/>
      <c r="M3282" s="86"/>
      <c r="N3282" s="86"/>
      <c r="O3282" s="86"/>
      <c r="P3282" s="86"/>
      <c r="Q3282" s="86"/>
      <c r="R3282" s="86"/>
      <c r="S3282" s="86"/>
      <c r="T3282" s="86"/>
      <c r="U3282" s="86"/>
      <c r="V3282" s="48"/>
      <c r="W3282" s="48"/>
      <c r="X3282" s="48"/>
      <c r="Y3282" s="48"/>
      <c r="Z3282" s="48"/>
      <c r="AA3282" s="48"/>
      <c r="AB3282" s="48"/>
      <c r="AC3282" s="48"/>
      <c r="AD3282" s="48"/>
      <c r="AE3282" s="48"/>
      <c r="AF3282" s="48"/>
      <c r="AG3282" s="48"/>
      <c r="AH3282" s="48"/>
      <c r="AI3282" s="48"/>
      <c r="AJ3282" s="48"/>
      <c r="AK3282" s="48"/>
      <c r="AL3282" s="48"/>
      <c r="AM3282" s="48"/>
      <c r="AN3282" s="48"/>
      <c r="AO3282" s="48"/>
      <c r="AP3282" s="48"/>
      <c r="AQ3282" s="48"/>
      <c r="AR3282" s="48"/>
      <c r="AS3282" s="48"/>
      <c r="AT3282" s="48"/>
      <c r="AU3282" s="48"/>
      <c r="AV3282" s="48"/>
      <c r="AW3282" s="48"/>
      <c r="AX3282" s="48"/>
      <c r="AY3282" s="48"/>
      <c r="AZ3282" s="48"/>
      <c r="BA3282" s="48"/>
      <c r="BB3282" s="48"/>
      <c r="BC3282" s="48"/>
      <c r="BD3282" s="48"/>
    </row>
    <row r="3283" spans="1:56">
      <c r="A3283" s="48"/>
      <c r="B3283" s="48"/>
      <c r="C3283" s="49"/>
      <c r="D3283" s="48"/>
      <c r="E3283" s="48"/>
      <c r="F3283" s="48"/>
      <c r="G3283" s="48"/>
      <c r="H3283" s="48"/>
      <c r="I3283" s="48"/>
      <c r="J3283" s="86"/>
      <c r="K3283" s="86"/>
      <c r="L3283" s="86"/>
      <c r="M3283" s="86"/>
      <c r="N3283" s="86"/>
      <c r="O3283" s="86"/>
      <c r="P3283" s="86"/>
      <c r="Q3283" s="86"/>
      <c r="R3283" s="86"/>
      <c r="S3283" s="86"/>
      <c r="T3283" s="86"/>
      <c r="U3283" s="86"/>
      <c r="V3283" s="48"/>
      <c r="W3283" s="48"/>
      <c r="X3283" s="48"/>
      <c r="Y3283" s="48"/>
      <c r="Z3283" s="48"/>
      <c r="AA3283" s="48"/>
      <c r="AB3283" s="48"/>
      <c r="AC3283" s="48"/>
      <c r="AD3283" s="48"/>
      <c r="AE3283" s="48"/>
      <c r="AF3283" s="48"/>
      <c r="AG3283" s="48"/>
      <c r="AH3283" s="48"/>
      <c r="AI3283" s="48"/>
      <c r="AJ3283" s="48"/>
      <c r="AK3283" s="48"/>
      <c r="AL3283" s="48"/>
      <c r="AM3283" s="48"/>
      <c r="AN3283" s="48"/>
      <c r="AO3283" s="48"/>
      <c r="AP3283" s="48"/>
      <c r="AQ3283" s="48"/>
      <c r="AR3283" s="48"/>
      <c r="AS3283" s="48"/>
      <c r="AT3283" s="48"/>
      <c r="AU3283" s="48"/>
      <c r="AV3283" s="48"/>
      <c r="AW3283" s="48"/>
      <c r="AX3283" s="48"/>
      <c r="AY3283" s="48"/>
      <c r="AZ3283" s="48"/>
      <c r="BA3283" s="48"/>
      <c r="BB3283" s="48"/>
      <c r="BC3283" s="48"/>
      <c r="BD3283" s="48"/>
    </row>
    <row r="3284" spans="1:56">
      <c r="A3284" s="48"/>
      <c r="B3284" s="48"/>
      <c r="C3284" s="49"/>
      <c r="D3284" s="48"/>
      <c r="E3284" s="48"/>
      <c r="F3284" s="48"/>
      <c r="G3284" s="48"/>
      <c r="H3284" s="48"/>
      <c r="I3284" s="48"/>
      <c r="J3284" s="86"/>
      <c r="K3284" s="86"/>
      <c r="L3284" s="86"/>
      <c r="M3284" s="86"/>
      <c r="N3284" s="86"/>
      <c r="O3284" s="86"/>
      <c r="P3284" s="86"/>
      <c r="Q3284" s="86"/>
      <c r="R3284" s="86"/>
      <c r="S3284" s="86"/>
      <c r="T3284" s="86"/>
      <c r="U3284" s="86"/>
      <c r="V3284" s="48"/>
      <c r="W3284" s="48"/>
      <c r="X3284" s="48"/>
      <c r="Y3284" s="48"/>
      <c r="Z3284" s="48"/>
      <c r="AA3284" s="48"/>
      <c r="AB3284" s="48"/>
      <c r="AC3284" s="48"/>
      <c r="AD3284" s="48"/>
      <c r="AE3284" s="48"/>
      <c r="AF3284" s="48"/>
      <c r="AG3284" s="48"/>
      <c r="AH3284" s="48"/>
      <c r="AI3284" s="48"/>
      <c r="AJ3284" s="48"/>
      <c r="AK3284" s="48"/>
      <c r="AL3284" s="48"/>
      <c r="AM3284" s="48"/>
      <c r="AN3284" s="48"/>
      <c r="AO3284" s="48"/>
      <c r="AP3284" s="48"/>
      <c r="AQ3284" s="48"/>
      <c r="AR3284" s="48"/>
      <c r="AS3284" s="48"/>
      <c r="AT3284" s="48"/>
      <c r="AU3284" s="48"/>
      <c r="AV3284" s="48"/>
      <c r="AW3284" s="48"/>
      <c r="AX3284" s="48"/>
      <c r="AY3284" s="48"/>
      <c r="AZ3284" s="48"/>
      <c r="BA3284" s="48"/>
      <c r="BB3284" s="48"/>
      <c r="BC3284" s="48"/>
      <c r="BD3284" s="48"/>
    </row>
    <row r="3285" spans="1:56">
      <c r="A3285" s="48"/>
      <c r="B3285" s="48"/>
      <c r="C3285" s="49"/>
      <c r="D3285" s="48"/>
      <c r="E3285" s="48"/>
      <c r="F3285" s="48"/>
      <c r="G3285" s="48"/>
      <c r="H3285" s="48"/>
      <c r="I3285" s="48"/>
      <c r="J3285" s="86"/>
      <c r="K3285" s="86"/>
      <c r="L3285" s="86"/>
      <c r="M3285" s="86"/>
      <c r="N3285" s="86"/>
      <c r="O3285" s="86"/>
      <c r="P3285" s="86"/>
      <c r="Q3285" s="86"/>
      <c r="R3285" s="86"/>
      <c r="S3285" s="86"/>
      <c r="T3285" s="86"/>
      <c r="U3285" s="86"/>
      <c r="V3285" s="48"/>
      <c r="W3285" s="48"/>
      <c r="X3285" s="48"/>
      <c r="Y3285" s="48"/>
      <c r="Z3285" s="48"/>
      <c r="AA3285" s="48"/>
      <c r="AB3285" s="48"/>
      <c r="AC3285" s="48"/>
      <c r="AD3285" s="48"/>
      <c r="AE3285" s="48"/>
      <c r="AF3285" s="48"/>
      <c r="AG3285" s="48"/>
      <c r="AH3285" s="48"/>
      <c r="AI3285" s="48"/>
      <c r="AJ3285" s="48"/>
      <c r="AK3285" s="48"/>
      <c r="AL3285" s="48"/>
      <c r="AM3285" s="48"/>
      <c r="AN3285" s="48"/>
      <c r="AO3285" s="48"/>
      <c r="AP3285" s="48"/>
      <c r="AQ3285" s="48"/>
      <c r="AR3285" s="48"/>
      <c r="AS3285" s="48"/>
      <c r="AT3285" s="48"/>
      <c r="AU3285" s="48"/>
      <c r="AV3285" s="48"/>
      <c r="AW3285" s="48"/>
      <c r="AX3285" s="48"/>
      <c r="AY3285" s="48"/>
      <c r="AZ3285" s="48"/>
      <c r="BA3285" s="48"/>
      <c r="BB3285" s="48"/>
      <c r="BC3285" s="48"/>
      <c r="BD3285" s="48"/>
    </row>
    <row r="3286" spans="1:56">
      <c r="A3286" s="48"/>
      <c r="B3286" s="48"/>
      <c r="C3286" s="49"/>
      <c r="D3286" s="48"/>
      <c r="E3286" s="48"/>
      <c r="F3286" s="48"/>
      <c r="G3286" s="48"/>
      <c r="H3286" s="48"/>
      <c r="I3286" s="48"/>
      <c r="J3286" s="86"/>
      <c r="K3286" s="86"/>
      <c r="L3286" s="86"/>
      <c r="M3286" s="86"/>
      <c r="N3286" s="86"/>
      <c r="O3286" s="86"/>
      <c r="P3286" s="86"/>
      <c r="Q3286" s="86"/>
      <c r="R3286" s="86"/>
      <c r="S3286" s="86"/>
      <c r="T3286" s="86"/>
      <c r="U3286" s="86"/>
      <c r="V3286" s="48"/>
      <c r="W3286" s="48"/>
      <c r="X3286" s="48"/>
      <c r="Y3286" s="48"/>
      <c r="Z3286" s="48"/>
      <c r="AA3286" s="48"/>
      <c r="AB3286" s="48"/>
      <c r="AC3286" s="48"/>
      <c r="AD3286" s="48"/>
      <c r="AE3286" s="48"/>
      <c r="AF3286" s="48"/>
      <c r="AG3286" s="48"/>
      <c r="AH3286" s="48"/>
      <c r="AI3286" s="48"/>
      <c r="AJ3286" s="48"/>
      <c r="AK3286" s="48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48"/>
      <c r="AV3286" s="48"/>
      <c r="AW3286" s="48"/>
      <c r="AX3286" s="48"/>
      <c r="AY3286" s="48"/>
      <c r="AZ3286" s="48"/>
      <c r="BA3286" s="48"/>
      <c r="BB3286" s="48"/>
      <c r="BC3286" s="48"/>
      <c r="BD3286" s="48"/>
    </row>
    <row r="3287" spans="1:56">
      <c r="A3287" s="48"/>
      <c r="B3287" s="48"/>
      <c r="C3287" s="49"/>
      <c r="D3287" s="48"/>
      <c r="E3287" s="48"/>
      <c r="F3287" s="48"/>
      <c r="G3287" s="48"/>
      <c r="H3287" s="48"/>
      <c r="I3287" s="48"/>
      <c r="J3287" s="86"/>
      <c r="K3287" s="86"/>
      <c r="L3287" s="86"/>
      <c r="M3287" s="86"/>
      <c r="N3287" s="86"/>
      <c r="O3287" s="86"/>
      <c r="P3287" s="86"/>
      <c r="Q3287" s="86"/>
      <c r="R3287" s="86"/>
      <c r="S3287" s="86"/>
      <c r="T3287" s="86"/>
      <c r="U3287" s="86"/>
      <c r="V3287" s="48"/>
      <c r="W3287" s="48"/>
      <c r="X3287" s="48"/>
      <c r="Y3287" s="48"/>
      <c r="Z3287" s="48"/>
      <c r="AA3287" s="48"/>
      <c r="AB3287" s="48"/>
      <c r="AC3287" s="48"/>
      <c r="AD3287" s="48"/>
      <c r="AE3287" s="48"/>
      <c r="AF3287" s="48"/>
      <c r="AG3287" s="48"/>
      <c r="AH3287" s="48"/>
      <c r="AI3287" s="48"/>
      <c r="AJ3287" s="48"/>
      <c r="AK3287" s="48"/>
      <c r="AL3287" s="48"/>
      <c r="AM3287" s="48"/>
      <c r="AN3287" s="48"/>
      <c r="AO3287" s="48"/>
      <c r="AP3287" s="48"/>
      <c r="AQ3287" s="48"/>
      <c r="AR3287" s="48"/>
      <c r="AS3287" s="48"/>
      <c r="AT3287" s="48"/>
      <c r="AU3287" s="48"/>
      <c r="AV3287" s="48"/>
      <c r="AW3287" s="48"/>
      <c r="AX3287" s="48"/>
      <c r="AY3287" s="48"/>
      <c r="AZ3287" s="48"/>
      <c r="BA3287" s="48"/>
      <c r="BB3287" s="48"/>
      <c r="BC3287" s="48"/>
      <c r="BD3287" s="48"/>
    </row>
    <row r="3288" spans="1:56">
      <c r="A3288" s="48"/>
      <c r="B3288" s="48"/>
      <c r="C3288" s="49"/>
      <c r="D3288" s="48"/>
      <c r="E3288" s="48"/>
      <c r="F3288" s="48"/>
      <c r="G3288" s="48"/>
      <c r="H3288" s="48"/>
      <c r="I3288" s="48"/>
      <c r="J3288" s="86"/>
      <c r="K3288" s="86"/>
      <c r="L3288" s="86"/>
      <c r="M3288" s="86"/>
      <c r="N3288" s="86"/>
      <c r="O3288" s="86"/>
      <c r="P3288" s="86"/>
      <c r="Q3288" s="86"/>
      <c r="R3288" s="86"/>
      <c r="S3288" s="86"/>
      <c r="T3288" s="86"/>
      <c r="U3288" s="86"/>
      <c r="V3288" s="48"/>
      <c r="W3288" s="48"/>
      <c r="X3288" s="48"/>
      <c r="Y3288" s="48"/>
      <c r="Z3288" s="48"/>
      <c r="AA3288" s="48"/>
      <c r="AB3288" s="48"/>
      <c r="AC3288" s="48"/>
      <c r="AD3288" s="48"/>
      <c r="AE3288" s="48"/>
      <c r="AF3288" s="48"/>
      <c r="AG3288" s="48"/>
      <c r="AH3288" s="48"/>
      <c r="AI3288" s="48"/>
      <c r="AJ3288" s="48"/>
      <c r="AK3288" s="48"/>
      <c r="AL3288" s="48"/>
      <c r="AM3288" s="48"/>
      <c r="AN3288" s="48"/>
      <c r="AO3288" s="48"/>
      <c r="AP3288" s="48"/>
      <c r="AQ3288" s="48"/>
      <c r="AR3288" s="48"/>
      <c r="AS3288" s="48"/>
      <c r="AT3288" s="48"/>
      <c r="AU3288" s="48"/>
      <c r="AV3288" s="48"/>
      <c r="AW3288" s="48"/>
      <c r="AX3288" s="48"/>
      <c r="AY3288" s="48"/>
      <c r="AZ3288" s="48"/>
      <c r="BA3288" s="48"/>
      <c r="BB3288" s="48"/>
      <c r="BC3288" s="48"/>
      <c r="BD3288" s="48"/>
    </row>
    <row r="3289" spans="1:56">
      <c r="A3289" s="48"/>
      <c r="B3289" s="48"/>
      <c r="C3289" s="49"/>
      <c r="D3289" s="48"/>
      <c r="E3289" s="48"/>
      <c r="F3289" s="48"/>
      <c r="G3289" s="48"/>
      <c r="H3289" s="48"/>
      <c r="I3289" s="48"/>
      <c r="J3289" s="86"/>
      <c r="K3289" s="86"/>
      <c r="L3289" s="86"/>
      <c r="M3289" s="86"/>
      <c r="N3289" s="86"/>
      <c r="O3289" s="86"/>
      <c r="P3289" s="86"/>
      <c r="Q3289" s="86"/>
      <c r="R3289" s="86"/>
      <c r="S3289" s="86"/>
      <c r="T3289" s="86"/>
      <c r="U3289" s="86"/>
      <c r="V3289" s="48"/>
      <c r="W3289" s="48"/>
      <c r="X3289" s="48"/>
      <c r="Y3289" s="48"/>
      <c r="Z3289" s="48"/>
      <c r="AA3289" s="48"/>
      <c r="AB3289" s="48"/>
      <c r="AC3289" s="48"/>
      <c r="AD3289" s="48"/>
      <c r="AE3289" s="48"/>
      <c r="AF3289" s="48"/>
      <c r="AG3289" s="48"/>
      <c r="AH3289" s="48"/>
      <c r="AI3289" s="48"/>
      <c r="AJ3289" s="48"/>
      <c r="AK3289" s="48"/>
      <c r="AL3289" s="48"/>
      <c r="AM3289" s="48"/>
      <c r="AN3289" s="48"/>
      <c r="AO3289" s="48"/>
      <c r="AP3289" s="48"/>
      <c r="AQ3289" s="48"/>
      <c r="AR3289" s="48"/>
      <c r="AS3289" s="48"/>
      <c r="AT3289" s="48"/>
      <c r="AU3289" s="48"/>
      <c r="AV3289" s="48"/>
      <c r="AW3289" s="48"/>
      <c r="AX3289" s="48"/>
      <c r="AY3289" s="48"/>
      <c r="AZ3289" s="48"/>
      <c r="BA3289" s="48"/>
      <c r="BB3289" s="48"/>
      <c r="BC3289" s="48"/>
      <c r="BD3289" s="48"/>
    </row>
    <row r="3290" spans="1:56">
      <c r="A3290" s="48"/>
      <c r="B3290" s="48"/>
      <c r="C3290" s="49"/>
      <c r="D3290" s="48"/>
      <c r="E3290" s="48"/>
      <c r="F3290" s="48"/>
      <c r="G3290" s="48"/>
      <c r="H3290" s="48"/>
      <c r="I3290" s="48"/>
      <c r="J3290" s="86"/>
      <c r="K3290" s="86"/>
      <c r="L3290" s="86"/>
      <c r="M3290" s="86"/>
      <c r="N3290" s="86"/>
      <c r="O3290" s="86"/>
      <c r="P3290" s="86"/>
      <c r="Q3290" s="86"/>
      <c r="R3290" s="86"/>
      <c r="S3290" s="86"/>
      <c r="T3290" s="86"/>
      <c r="U3290" s="86"/>
      <c r="V3290" s="48"/>
      <c r="W3290" s="48"/>
      <c r="X3290" s="48"/>
      <c r="Y3290" s="48"/>
      <c r="Z3290" s="48"/>
      <c r="AA3290" s="48"/>
      <c r="AB3290" s="48"/>
      <c r="AC3290" s="48"/>
      <c r="AD3290" s="48"/>
      <c r="AE3290" s="48"/>
      <c r="AF3290" s="48"/>
      <c r="AG3290" s="48"/>
      <c r="AH3290" s="48"/>
      <c r="AI3290" s="48"/>
      <c r="AJ3290" s="48"/>
      <c r="AK3290" s="48"/>
      <c r="AL3290" s="48"/>
      <c r="AM3290" s="48"/>
      <c r="AN3290" s="48"/>
      <c r="AO3290" s="48"/>
      <c r="AP3290" s="48"/>
      <c r="AQ3290" s="48"/>
      <c r="AR3290" s="48"/>
      <c r="AS3290" s="48"/>
      <c r="AT3290" s="48"/>
      <c r="AU3290" s="48"/>
      <c r="AV3290" s="48"/>
      <c r="AW3290" s="48"/>
      <c r="AX3290" s="48"/>
      <c r="AY3290" s="48"/>
      <c r="AZ3290" s="48"/>
      <c r="BA3290" s="48"/>
      <c r="BB3290" s="48"/>
      <c r="BC3290" s="48"/>
      <c r="BD3290" s="48"/>
    </row>
    <row r="3291" spans="1:56">
      <c r="A3291" s="48"/>
      <c r="B3291" s="48"/>
      <c r="C3291" s="49"/>
      <c r="D3291" s="48"/>
      <c r="E3291" s="48"/>
      <c r="F3291" s="48"/>
      <c r="G3291" s="48"/>
      <c r="H3291" s="48"/>
      <c r="I3291" s="48"/>
      <c r="J3291" s="86"/>
      <c r="K3291" s="86"/>
      <c r="L3291" s="86"/>
      <c r="M3291" s="86"/>
      <c r="N3291" s="86"/>
      <c r="O3291" s="86"/>
      <c r="P3291" s="86"/>
      <c r="Q3291" s="86"/>
      <c r="R3291" s="86"/>
      <c r="S3291" s="86"/>
      <c r="T3291" s="86"/>
      <c r="U3291" s="86"/>
      <c r="V3291" s="48"/>
      <c r="W3291" s="48"/>
      <c r="X3291" s="48"/>
      <c r="Y3291" s="48"/>
      <c r="Z3291" s="48"/>
      <c r="AA3291" s="48"/>
      <c r="AB3291" s="48"/>
      <c r="AC3291" s="48"/>
      <c r="AD3291" s="48"/>
      <c r="AE3291" s="48"/>
      <c r="AF3291" s="48"/>
      <c r="AG3291" s="48"/>
      <c r="AH3291" s="48"/>
      <c r="AI3291" s="48"/>
      <c r="AJ3291" s="48"/>
      <c r="AK3291" s="48"/>
      <c r="AL3291" s="48"/>
      <c r="AM3291" s="48"/>
      <c r="AN3291" s="48"/>
      <c r="AO3291" s="48"/>
      <c r="AP3291" s="48"/>
      <c r="AQ3291" s="48"/>
      <c r="AR3291" s="48"/>
      <c r="AS3291" s="48"/>
      <c r="AT3291" s="48"/>
      <c r="AU3291" s="48"/>
      <c r="AV3291" s="48"/>
      <c r="AW3291" s="48"/>
      <c r="AX3291" s="48"/>
      <c r="AY3291" s="48"/>
      <c r="AZ3291" s="48"/>
      <c r="BA3291" s="48"/>
      <c r="BB3291" s="48"/>
      <c r="BC3291" s="48"/>
      <c r="BD3291" s="48"/>
    </row>
    <row r="3292" spans="1:56">
      <c r="A3292" s="48"/>
      <c r="B3292" s="48"/>
      <c r="C3292" s="49"/>
      <c r="D3292" s="48"/>
      <c r="E3292" s="48"/>
      <c r="F3292" s="48"/>
      <c r="G3292" s="48"/>
      <c r="H3292" s="48"/>
      <c r="I3292" s="48"/>
      <c r="J3292" s="86"/>
      <c r="K3292" s="86"/>
      <c r="L3292" s="86"/>
      <c r="M3292" s="86"/>
      <c r="N3292" s="86"/>
      <c r="O3292" s="86"/>
      <c r="P3292" s="86"/>
      <c r="Q3292" s="86"/>
      <c r="R3292" s="86"/>
      <c r="S3292" s="86"/>
      <c r="T3292" s="86"/>
      <c r="U3292" s="86"/>
      <c r="V3292" s="48"/>
      <c r="W3292" s="48"/>
      <c r="X3292" s="48"/>
      <c r="Y3292" s="48"/>
      <c r="Z3292" s="48"/>
      <c r="AA3292" s="48"/>
      <c r="AB3292" s="48"/>
      <c r="AC3292" s="48"/>
      <c r="AD3292" s="48"/>
      <c r="AE3292" s="48"/>
      <c r="AF3292" s="48"/>
      <c r="AG3292" s="48"/>
      <c r="AH3292" s="48"/>
      <c r="AI3292" s="48"/>
      <c r="AJ3292" s="48"/>
      <c r="AK3292" s="48"/>
      <c r="AL3292" s="48"/>
      <c r="AM3292" s="48"/>
      <c r="AN3292" s="48"/>
      <c r="AO3292" s="48"/>
      <c r="AP3292" s="48"/>
      <c r="AQ3292" s="48"/>
      <c r="AR3292" s="48"/>
      <c r="AS3292" s="48"/>
      <c r="AT3292" s="48"/>
      <c r="AU3292" s="48"/>
      <c r="AV3292" s="48"/>
      <c r="AW3292" s="48"/>
      <c r="AX3292" s="48"/>
      <c r="AY3292" s="48"/>
      <c r="AZ3292" s="48"/>
      <c r="BA3292" s="48"/>
      <c r="BB3292" s="48"/>
      <c r="BC3292" s="48"/>
      <c r="BD3292" s="48"/>
    </row>
    <row r="3293" spans="1:56">
      <c r="A3293" s="48"/>
      <c r="B3293" s="48"/>
      <c r="C3293" s="49"/>
      <c r="D3293" s="48"/>
      <c r="E3293" s="48"/>
      <c r="F3293" s="48"/>
      <c r="G3293" s="48"/>
      <c r="H3293" s="48"/>
      <c r="I3293" s="48"/>
      <c r="J3293" s="86"/>
      <c r="K3293" s="86"/>
      <c r="L3293" s="86"/>
      <c r="M3293" s="86"/>
      <c r="N3293" s="86"/>
      <c r="O3293" s="86"/>
      <c r="P3293" s="86"/>
      <c r="Q3293" s="86"/>
      <c r="R3293" s="86"/>
      <c r="S3293" s="86"/>
      <c r="T3293" s="86"/>
      <c r="U3293" s="86"/>
      <c r="V3293" s="48"/>
      <c r="W3293" s="48"/>
      <c r="X3293" s="48"/>
      <c r="Y3293" s="48"/>
      <c r="Z3293" s="48"/>
      <c r="AA3293" s="48"/>
      <c r="AB3293" s="48"/>
      <c r="AC3293" s="48"/>
      <c r="AD3293" s="48"/>
      <c r="AE3293" s="48"/>
      <c r="AF3293" s="48"/>
      <c r="AG3293" s="48"/>
      <c r="AH3293" s="48"/>
      <c r="AI3293" s="48"/>
      <c r="AJ3293" s="48"/>
      <c r="AK3293" s="48"/>
      <c r="AL3293" s="48"/>
      <c r="AM3293" s="48"/>
      <c r="AN3293" s="48"/>
      <c r="AO3293" s="48"/>
      <c r="AP3293" s="48"/>
      <c r="AQ3293" s="48"/>
      <c r="AR3293" s="48"/>
      <c r="AS3293" s="48"/>
      <c r="AT3293" s="48"/>
      <c r="AU3293" s="48"/>
      <c r="AV3293" s="48"/>
      <c r="AW3293" s="48"/>
      <c r="AX3293" s="48"/>
      <c r="AY3293" s="48"/>
      <c r="AZ3293" s="48"/>
      <c r="BA3293" s="48"/>
      <c r="BB3293" s="48"/>
      <c r="BC3293" s="48"/>
      <c r="BD3293" s="48"/>
    </row>
    <row r="3294" spans="1:56">
      <c r="A3294" s="48"/>
      <c r="B3294" s="48"/>
      <c r="C3294" s="49"/>
      <c r="D3294" s="48"/>
      <c r="E3294" s="48"/>
      <c r="F3294" s="48"/>
      <c r="G3294" s="48"/>
      <c r="H3294" s="48"/>
      <c r="I3294" s="48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48"/>
      <c r="W3294" s="48"/>
      <c r="X3294" s="48"/>
      <c r="Y3294" s="48"/>
      <c r="Z3294" s="48"/>
      <c r="AA3294" s="48"/>
      <c r="AB3294" s="48"/>
      <c r="AC3294" s="48"/>
      <c r="AD3294" s="48"/>
      <c r="AE3294" s="48"/>
      <c r="AF3294" s="48"/>
      <c r="AG3294" s="48"/>
      <c r="AH3294" s="48"/>
      <c r="AI3294" s="48"/>
      <c r="AJ3294" s="48"/>
      <c r="AK3294" s="48"/>
      <c r="AL3294" s="48"/>
      <c r="AM3294" s="48"/>
      <c r="AN3294" s="48"/>
      <c r="AO3294" s="48"/>
      <c r="AP3294" s="48"/>
      <c r="AQ3294" s="48"/>
      <c r="AR3294" s="48"/>
      <c r="AS3294" s="48"/>
      <c r="AT3294" s="48"/>
      <c r="AU3294" s="48"/>
      <c r="AV3294" s="48"/>
      <c r="AW3294" s="48"/>
      <c r="AX3294" s="48"/>
      <c r="AY3294" s="48"/>
      <c r="AZ3294" s="48"/>
      <c r="BA3294" s="48"/>
      <c r="BB3294" s="48"/>
      <c r="BC3294" s="48"/>
      <c r="BD3294" s="48"/>
    </row>
    <row r="3295" spans="1:56">
      <c r="A3295" s="48"/>
      <c r="B3295" s="48"/>
      <c r="C3295" s="49"/>
      <c r="D3295" s="48"/>
      <c r="E3295" s="48"/>
      <c r="F3295" s="48"/>
      <c r="G3295" s="48"/>
      <c r="H3295" s="48"/>
      <c r="I3295" s="48"/>
      <c r="J3295" s="86"/>
      <c r="K3295" s="86"/>
      <c r="L3295" s="86"/>
      <c r="M3295" s="86"/>
      <c r="N3295" s="86"/>
      <c r="O3295" s="86"/>
      <c r="P3295" s="86"/>
      <c r="Q3295" s="86"/>
      <c r="R3295" s="86"/>
      <c r="S3295" s="86"/>
      <c r="T3295" s="86"/>
      <c r="U3295" s="86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48"/>
      <c r="BB3295" s="48"/>
      <c r="BC3295" s="48"/>
      <c r="BD3295" s="48"/>
    </row>
    <row r="3296" spans="1:56">
      <c r="A3296" s="48"/>
      <c r="B3296" s="48"/>
      <c r="C3296" s="49"/>
      <c r="D3296" s="48"/>
      <c r="E3296" s="48"/>
      <c r="F3296" s="48"/>
      <c r="G3296" s="48"/>
      <c r="H3296" s="48"/>
      <c r="I3296" s="48"/>
      <c r="J3296" s="86"/>
      <c r="K3296" s="86"/>
      <c r="L3296" s="86"/>
      <c r="M3296" s="86"/>
      <c r="N3296" s="86"/>
      <c r="O3296" s="86"/>
      <c r="P3296" s="86"/>
      <c r="Q3296" s="86"/>
      <c r="R3296" s="86"/>
      <c r="S3296" s="86"/>
      <c r="T3296" s="86"/>
      <c r="U3296" s="86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48"/>
      <c r="BB3296" s="48"/>
      <c r="BC3296" s="48"/>
      <c r="BD3296" s="48"/>
    </row>
    <row r="3297" spans="1:56">
      <c r="A3297" s="48"/>
      <c r="B3297" s="48"/>
      <c r="C3297" s="49"/>
      <c r="D3297" s="48"/>
      <c r="E3297" s="48"/>
      <c r="F3297" s="48"/>
      <c r="G3297" s="48"/>
      <c r="H3297" s="48"/>
      <c r="I3297" s="48"/>
      <c r="J3297" s="86"/>
      <c r="K3297" s="86"/>
      <c r="L3297" s="86"/>
      <c r="M3297" s="86"/>
      <c r="N3297" s="86"/>
      <c r="O3297" s="86"/>
      <c r="P3297" s="86"/>
      <c r="Q3297" s="86"/>
      <c r="R3297" s="86"/>
      <c r="S3297" s="86"/>
      <c r="T3297" s="86"/>
      <c r="U3297" s="86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48"/>
      <c r="BB3297" s="48"/>
      <c r="BC3297" s="48"/>
      <c r="BD3297" s="48"/>
    </row>
    <row r="3298" spans="1:56">
      <c r="A3298" s="48"/>
      <c r="B3298" s="48"/>
      <c r="C3298" s="49"/>
      <c r="D3298" s="48"/>
      <c r="E3298" s="48"/>
      <c r="F3298" s="48"/>
      <c r="G3298" s="48"/>
      <c r="H3298" s="48"/>
      <c r="I3298" s="48"/>
      <c r="J3298" s="86"/>
      <c r="K3298" s="86"/>
      <c r="L3298" s="86"/>
      <c r="M3298" s="86"/>
      <c r="N3298" s="86"/>
      <c r="O3298" s="86"/>
      <c r="P3298" s="86"/>
      <c r="Q3298" s="86"/>
      <c r="R3298" s="86"/>
      <c r="S3298" s="86"/>
      <c r="T3298" s="86"/>
      <c r="U3298" s="86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48"/>
      <c r="BB3298" s="48"/>
      <c r="BC3298" s="48"/>
      <c r="BD3298" s="48"/>
    </row>
    <row r="3299" spans="1:56">
      <c r="A3299" s="48"/>
      <c r="B3299" s="48"/>
      <c r="C3299" s="49"/>
      <c r="D3299" s="48"/>
      <c r="E3299" s="48"/>
      <c r="F3299" s="48"/>
      <c r="G3299" s="48"/>
      <c r="H3299" s="48"/>
      <c r="I3299" s="48"/>
      <c r="J3299" s="86"/>
      <c r="K3299" s="86"/>
      <c r="L3299" s="86"/>
      <c r="M3299" s="86"/>
      <c r="N3299" s="86"/>
      <c r="O3299" s="86"/>
      <c r="P3299" s="86"/>
      <c r="Q3299" s="86"/>
      <c r="R3299" s="86"/>
      <c r="S3299" s="86"/>
      <c r="T3299" s="86"/>
      <c r="U3299" s="86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48"/>
      <c r="BB3299" s="48"/>
      <c r="BC3299" s="48"/>
      <c r="BD3299" s="48"/>
    </row>
    <row r="3300" spans="1:56">
      <c r="A3300" s="48"/>
      <c r="B3300" s="48"/>
      <c r="C3300" s="49"/>
      <c r="D3300" s="48"/>
      <c r="E3300" s="48"/>
      <c r="F3300" s="48"/>
      <c r="G3300" s="48"/>
      <c r="H3300" s="48"/>
      <c r="I3300" s="48"/>
      <c r="J3300" s="86"/>
      <c r="K3300" s="86"/>
      <c r="L3300" s="86"/>
      <c r="M3300" s="86"/>
      <c r="N3300" s="86"/>
      <c r="O3300" s="86"/>
      <c r="P3300" s="86"/>
      <c r="Q3300" s="86"/>
      <c r="R3300" s="86"/>
      <c r="S3300" s="86"/>
      <c r="T3300" s="86"/>
      <c r="U3300" s="86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48"/>
      <c r="BB3300" s="48"/>
      <c r="BC3300" s="48"/>
      <c r="BD3300" s="48"/>
    </row>
    <row r="3301" spans="1:56">
      <c r="A3301" s="48"/>
      <c r="B3301" s="48"/>
      <c r="C3301" s="49"/>
      <c r="D3301" s="48"/>
      <c r="E3301" s="48"/>
      <c r="F3301" s="48"/>
      <c r="G3301" s="48"/>
      <c r="H3301" s="48"/>
      <c r="I3301" s="48"/>
      <c r="J3301" s="86"/>
      <c r="K3301" s="86"/>
      <c r="L3301" s="86"/>
      <c r="M3301" s="86"/>
      <c r="N3301" s="86"/>
      <c r="O3301" s="86"/>
      <c r="P3301" s="86"/>
      <c r="Q3301" s="86"/>
      <c r="R3301" s="86"/>
      <c r="S3301" s="86"/>
      <c r="T3301" s="86"/>
      <c r="U3301" s="86"/>
      <c r="V3301" s="48"/>
      <c r="W3301" s="48"/>
      <c r="X3301" s="48"/>
      <c r="Y3301" s="48"/>
      <c r="Z3301" s="48"/>
      <c r="AA3301" s="48"/>
      <c r="AB3301" s="48"/>
      <c r="AC3301" s="48"/>
      <c r="AD3301" s="48"/>
      <c r="AE3301" s="48"/>
      <c r="AF3301" s="48"/>
      <c r="AG3301" s="48"/>
      <c r="AH3301" s="48"/>
      <c r="AI3301" s="48"/>
      <c r="AJ3301" s="48"/>
      <c r="AK3301" s="48"/>
      <c r="AL3301" s="48"/>
      <c r="AM3301" s="48"/>
      <c r="AN3301" s="48"/>
      <c r="AO3301" s="48"/>
      <c r="AP3301" s="48"/>
      <c r="AQ3301" s="48"/>
      <c r="AR3301" s="48"/>
      <c r="AS3301" s="48"/>
      <c r="AT3301" s="48"/>
      <c r="AU3301" s="48"/>
      <c r="AV3301" s="48"/>
      <c r="AW3301" s="48"/>
      <c r="AX3301" s="48"/>
      <c r="AY3301" s="48"/>
      <c r="AZ3301" s="48"/>
      <c r="BA3301" s="48"/>
      <c r="BB3301" s="48"/>
      <c r="BC3301" s="48"/>
      <c r="BD3301" s="48"/>
    </row>
    <row r="3302" spans="1:56">
      <c r="A3302" s="48"/>
      <c r="B3302" s="48"/>
      <c r="C3302" s="49"/>
      <c r="D3302" s="48"/>
      <c r="E3302" s="48"/>
      <c r="F3302" s="48"/>
      <c r="G3302" s="48"/>
      <c r="H3302" s="48"/>
      <c r="I3302" s="48"/>
      <c r="J3302" s="86"/>
      <c r="K3302" s="86"/>
      <c r="L3302" s="86"/>
      <c r="M3302" s="86"/>
      <c r="N3302" s="86"/>
      <c r="O3302" s="86"/>
      <c r="P3302" s="86"/>
      <c r="Q3302" s="86"/>
      <c r="R3302" s="86"/>
      <c r="S3302" s="86"/>
      <c r="T3302" s="86"/>
      <c r="U3302" s="86"/>
      <c r="V3302" s="48"/>
      <c r="W3302" s="48"/>
      <c r="X3302" s="48"/>
      <c r="Y3302" s="48"/>
      <c r="Z3302" s="48"/>
      <c r="AA3302" s="48"/>
      <c r="AB3302" s="48"/>
      <c r="AC3302" s="48"/>
      <c r="AD3302" s="48"/>
      <c r="AE3302" s="48"/>
      <c r="AF3302" s="48"/>
      <c r="AG3302" s="48"/>
      <c r="AH3302" s="48"/>
      <c r="AI3302" s="48"/>
      <c r="AJ3302" s="48"/>
      <c r="AK3302" s="48"/>
      <c r="AL3302" s="48"/>
      <c r="AM3302" s="48"/>
      <c r="AN3302" s="48"/>
      <c r="AO3302" s="48"/>
      <c r="AP3302" s="48"/>
      <c r="AQ3302" s="48"/>
      <c r="AR3302" s="48"/>
      <c r="AS3302" s="48"/>
      <c r="AT3302" s="48"/>
      <c r="AU3302" s="48"/>
      <c r="AV3302" s="48"/>
      <c r="AW3302" s="48"/>
      <c r="AX3302" s="48"/>
      <c r="AY3302" s="48"/>
      <c r="AZ3302" s="48"/>
      <c r="BA3302" s="48"/>
      <c r="BB3302" s="48"/>
      <c r="BC3302" s="48"/>
      <c r="BD3302" s="48"/>
    </row>
    <row r="3303" spans="1:56">
      <c r="A3303" s="48"/>
      <c r="B3303" s="48"/>
      <c r="C3303" s="49"/>
      <c r="D3303" s="48"/>
      <c r="E3303" s="48"/>
      <c r="F3303" s="48"/>
      <c r="G3303" s="48"/>
      <c r="H3303" s="48"/>
      <c r="I3303" s="48"/>
      <c r="J3303" s="86"/>
      <c r="K3303" s="86"/>
      <c r="L3303" s="86"/>
      <c r="M3303" s="86"/>
      <c r="N3303" s="86"/>
      <c r="O3303" s="86"/>
      <c r="P3303" s="86"/>
      <c r="Q3303" s="86"/>
      <c r="R3303" s="86"/>
      <c r="S3303" s="86"/>
      <c r="T3303" s="86"/>
      <c r="U3303" s="86"/>
      <c r="V3303" s="48"/>
      <c r="W3303" s="48"/>
      <c r="X3303" s="48"/>
      <c r="Y3303" s="48"/>
      <c r="Z3303" s="48"/>
      <c r="AA3303" s="48"/>
      <c r="AB3303" s="48"/>
      <c r="AC3303" s="48"/>
      <c r="AD3303" s="48"/>
      <c r="AE3303" s="48"/>
      <c r="AF3303" s="48"/>
      <c r="AG3303" s="48"/>
      <c r="AH3303" s="48"/>
      <c r="AI3303" s="48"/>
      <c r="AJ3303" s="48"/>
      <c r="AK3303" s="48"/>
      <c r="AL3303" s="48"/>
      <c r="AM3303" s="48"/>
      <c r="AN3303" s="48"/>
      <c r="AO3303" s="48"/>
      <c r="AP3303" s="48"/>
      <c r="AQ3303" s="48"/>
      <c r="AR3303" s="48"/>
      <c r="AS3303" s="48"/>
      <c r="AT3303" s="48"/>
      <c r="AU3303" s="48"/>
      <c r="AV3303" s="48"/>
      <c r="AW3303" s="48"/>
      <c r="AX3303" s="48"/>
      <c r="AY3303" s="48"/>
      <c r="AZ3303" s="48"/>
      <c r="BA3303" s="48"/>
      <c r="BB3303" s="48"/>
      <c r="BC3303" s="48"/>
      <c r="BD3303" s="48"/>
    </row>
    <row r="3304" spans="1:56">
      <c r="A3304" s="48"/>
      <c r="B3304" s="48"/>
      <c r="C3304" s="49"/>
      <c r="D3304" s="48"/>
      <c r="E3304" s="48"/>
      <c r="F3304" s="48"/>
      <c r="G3304" s="48"/>
      <c r="H3304" s="48"/>
      <c r="I3304" s="48"/>
      <c r="J3304" s="86"/>
      <c r="K3304" s="86"/>
      <c r="L3304" s="86"/>
      <c r="M3304" s="86"/>
      <c r="N3304" s="86"/>
      <c r="O3304" s="86"/>
      <c r="P3304" s="86"/>
      <c r="Q3304" s="86"/>
      <c r="R3304" s="86"/>
      <c r="S3304" s="86"/>
      <c r="T3304" s="86"/>
      <c r="U3304" s="86"/>
      <c r="V3304" s="48"/>
      <c r="W3304" s="48"/>
      <c r="X3304" s="48"/>
      <c r="Y3304" s="48"/>
      <c r="Z3304" s="48"/>
      <c r="AA3304" s="48"/>
      <c r="AB3304" s="48"/>
      <c r="AC3304" s="48"/>
      <c r="AD3304" s="48"/>
      <c r="AE3304" s="48"/>
      <c r="AF3304" s="48"/>
      <c r="AG3304" s="48"/>
      <c r="AH3304" s="48"/>
      <c r="AI3304" s="48"/>
      <c r="AJ3304" s="48"/>
      <c r="AK3304" s="48"/>
      <c r="AL3304" s="48"/>
      <c r="AM3304" s="48"/>
      <c r="AN3304" s="48"/>
      <c r="AO3304" s="48"/>
      <c r="AP3304" s="48"/>
      <c r="AQ3304" s="48"/>
      <c r="AR3304" s="48"/>
      <c r="AS3304" s="48"/>
      <c r="AT3304" s="48"/>
      <c r="AU3304" s="48"/>
      <c r="AV3304" s="48"/>
      <c r="AW3304" s="48"/>
      <c r="AX3304" s="48"/>
      <c r="AY3304" s="48"/>
      <c r="AZ3304" s="48"/>
      <c r="BA3304" s="48"/>
      <c r="BB3304" s="48"/>
      <c r="BC3304" s="48"/>
      <c r="BD3304" s="48"/>
    </row>
    <row r="3305" spans="1:56">
      <c r="A3305" s="48"/>
      <c r="B3305" s="48"/>
      <c r="C3305" s="49"/>
      <c r="D3305" s="48"/>
      <c r="E3305" s="48"/>
      <c r="F3305" s="48"/>
      <c r="G3305" s="48"/>
      <c r="H3305" s="48"/>
      <c r="I3305" s="48"/>
      <c r="J3305" s="86"/>
      <c r="K3305" s="86"/>
      <c r="L3305" s="86"/>
      <c r="M3305" s="86"/>
      <c r="N3305" s="86"/>
      <c r="O3305" s="86"/>
      <c r="P3305" s="86"/>
      <c r="Q3305" s="86"/>
      <c r="R3305" s="86"/>
      <c r="S3305" s="86"/>
      <c r="T3305" s="86"/>
      <c r="U3305" s="86"/>
      <c r="V3305" s="48"/>
      <c r="W3305" s="48"/>
      <c r="X3305" s="48"/>
      <c r="Y3305" s="48"/>
      <c r="Z3305" s="48"/>
      <c r="AA3305" s="48"/>
      <c r="AB3305" s="48"/>
      <c r="AC3305" s="48"/>
      <c r="AD3305" s="48"/>
      <c r="AE3305" s="48"/>
      <c r="AF3305" s="48"/>
      <c r="AG3305" s="48"/>
      <c r="AH3305" s="48"/>
      <c r="AI3305" s="48"/>
      <c r="AJ3305" s="48"/>
      <c r="AK3305" s="48"/>
      <c r="AL3305" s="48"/>
      <c r="AM3305" s="48"/>
      <c r="AN3305" s="48"/>
      <c r="AO3305" s="48"/>
      <c r="AP3305" s="48"/>
      <c r="AQ3305" s="48"/>
      <c r="AR3305" s="48"/>
      <c r="AS3305" s="48"/>
      <c r="AT3305" s="48"/>
      <c r="AU3305" s="48"/>
      <c r="AV3305" s="48"/>
      <c r="AW3305" s="48"/>
      <c r="AX3305" s="48"/>
      <c r="AY3305" s="48"/>
      <c r="AZ3305" s="48"/>
      <c r="BA3305" s="48"/>
      <c r="BB3305" s="48"/>
      <c r="BC3305" s="48"/>
      <c r="BD3305" s="48"/>
    </row>
    <row r="3306" spans="1:56">
      <c r="A3306" s="48"/>
      <c r="B3306" s="48"/>
      <c r="C3306" s="49"/>
      <c r="D3306" s="48"/>
      <c r="E3306" s="48"/>
      <c r="F3306" s="48"/>
      <c r="G3306" s="48"/>
      <c r="H3306" s="48"/>
      <c r="I3306" s="48"/>
      <c r="J3306" s="86"/>
      <c r="K3306" s="86"/>
      <c r="L3306" s="86"/>
      <c r="M3306" s="86"/>
      <c r="N3306" s="86"/>
      <c r="O3306" s="86"/>
      <c r="P3306" s="86"/>
      <c r="Q3306" s="86"/>
      <c r="R3306" s="86"/>
      <c r="S3306" s="86"/>
      <c r="T3306" s="86"/>
      <c r="U3306" s="86"/>
      <c r="V3306" s="48"/>
      <c r="W3306" s="48"/>
      <c r="X3306" s="48"/>
      <c r="Y3306" s="48"/>
      <c r="Z3306" s="48"/>
      <c r="AA3306" s="48"/>
      <c r="AB3306" s="48"/>
      <c r="AC3306" s="48"/>
      <c r="AD3306" s="48"/>
      <c r="AE3306" s="48"/>
      <c r="AF3306" s="48"/>
      <c r="AG3306" s="48"/>
      <c r="AH3306" s="48"/>
      <c r="AI3306" s="48"/>
      <c r="AJ3306" s="48"/>
      <c r="AK3306" s="48"/>
      <c r="AL3306" s="48"/>
      <c r="AM3306" s="48"/>
      <c r="AN3306" s="48"/>
      <c r="AO3306" s="48"/>
      <c r="AP3306" s="48"/>
      <c r="AQ3306" s="48"/>
      <c r="AR3306" s="48"/>
      <c r="AS3306" s="48"/>
      <c r="AT3306" s="48"/>
      <c r="AU3306" s="48"/>
      <c r="AV3306" s="48"/>
      <c r="AW3306" s="48"/>
      <c r="AX3306" s="48"/>
      <c r="AY3306" s="48"/>
      <c r="AZ3306" s="48"/>
      <c r="BA3306" s="48"/>
      <c r="BB3306" s="48"/>
      <c r="BC3306" s="48"/>
      <c r="BD3306" s="48"/>
    </row>
    <row r="3307" spans="1:56">
      <c r="A3307" s="48"/>
      <c r="B3307" s="48"/>
      <c r="C3307" s="49"/>
      <c r="D3307" s="48"/>
      <c r="E3307" s="48"/>
      <c r="F3307" s="48"/>
      <c r="G3307" s="48"/>
      <c r="H3307" s="48"/>
      <c r="I3307" s="48"/>
      <c r="J3307" s="86"/>
      <c r="K3307" s="86"/>
      <c r="L3307" s="86"/>
      <c r="M3307" s="86"/>
      <c r="N3307" s="86"/>
      <c r="O3307" s="86"/>
      <c r="P3307" s="86"/>
      <c r="Q3307" s="86"/>
      <c r="R3307" s="86"/>
      <c r="S3307" s="86"/>
      <c r="T3307" s="86"/>
      <c r="U3307" s="86"/>
      <c r="V3307" s="48"/>
      <c r="W3307" s="48"/>
      <c r="X3307" s="48"/>
      <c r="Y3307" s="48"/>
      <c r="Z3307" s="48"/>
      <c r="AA3307" s="48"/>
      <c r="AB3307" s="48"/>
      <c r="AC3307" s="48"/>
      <c r="AD3307" s="48"/>
      <c r="AE3307" s="48"/>
      <c r="AF3307" s="48"/>
      <c r="AG3307" s="48"/>
      <c r="AH3307" s="48"/>
      <c r="AI3307" s="48"/>
      <c r="AJ3307" s="48"/>
      <c r="AK3307" s="48"/>
      <c r="AL3307" s="48"/>
      <c r="AM3307" s="48"/>
      <c r="AN3307" s="48"/>
      <c r="AO3307" s="48"/>
      <c r="AP3307" s="48"/>
      <c r="AQ3307" s="48"/>
      <c r="AR3307" s="48"/>
      <c r="AS3307" s="48"/>
      <c r="AT3307" s="48"/>
      <c r="AU3307" s="48"/>
      <c r="AV3307" s="48"/>
      <c r="AW3307" s="48"/>
      <c r="AX3307" s="48"/>
      <c r="AY3307" s="48"/>
      <c r="AZ3307" s="48"/>
      <c r="BA3307" s="48"/>
      <c r="BB3307" s="48"/>
      <c r="BC3307" s="48"/>
      <c r="BD3307" s="48"/>
    </row>
    <row r="3308" spans="1:56">
      <c r="A3308" s="48"/>
      <c r="B3308" s="48"/>
      <c r="C3308" s="49"/>
      <c r="D3308" s="48"/>
      <c r="E3308" s="48"/>
      <c r="F3308" s="48"/>
      <c r="G3308" s="48"/>
      <c r="H3308" s="48"/>
      <c r="I3308" s="48"/>
      <c r="J3308" s="86"/>
      <c r="K3308" s="86"/>
      <c r="L3308" s="86"/>
      <c r="M3308" s="86"/>
      <c r="N3308" s="86"/>
      <c r="O3308" s="86"/>
      <c r="P3308" s="86"/>
      <c r="Q3308" s="86"/>
      <c r="R3308" s="86"/>
      <c r="S3308" s="86"/>
      <c r="T3308" s="86"/>
      <c r="U3308" s="86"/>
      <c r="V3308" s="48"/>
      <c r="W3308" s="48"/>
      <c r="X3308" s="48"/>
      <c r="Y3308" s="48"/>
      <c r="Z3308" s="48"/>
      <c r="AA3308" s="48"/>
      <c r="AB3308" s="48"/>
      <c r="AC3308" s="48"/>
      <c r="AD3308" s="48"/>
      <c r="AE3308" s="48"/>
      <c r="AF3308" s="48"/>
      <c r="AG3308" s="48"/>
      <c r="AH3308" s="48"/>
      <c r="AI3308" s="48"/>
      <c r="AJ3308" s="48"/>
      <c r="AK3308" s="48"/>
      <c r="AL3308" s="48"/>
      <c r="AM3308" s="48"/>
      <c r="AN3308" s="48"/>
      <c r="AO3308" s="48"/>
      <c r="AP3308" s="48"/>
      <c r="AQ3308" s="48"/>
      <c r="AR3308" s="48"/>
      <c r="AS3308" s="48"/>
      <c r="AT3308" s="48"/>
      <c r="AU3308" s="48"/>
      <c r="AV3308" s="48"/>
      <c r="AW3308" s="48"/>
      <c r="AX3308" s="48"/>
      <c r="AY3308" s="48"/>
      <c r="AZ3308" s="48"/>
      <c r="BA3308" s="48"/>
      <c r="BB3308" s="48"/>
      <c r="BC3308" s="48"/>
      <c r="BD3308" s="48"/>
    </row>
    <row r="3309" spans="1:56">
      <c r="A3309" s="48"/>
      <c r="B3309" s="48"/>
      <c r="C3309" s="49"/>
      <c r="D3309" s="48"/>
      <c r="E3309" s="48"/>
      <c r="F3309" s="48"/>
      <c r="G3309" s="48"/>
      <c r="H3309" s="48"/>
      <c r="I3309" s="48"/>
      <c r="J3309" s="86"/>
      <c r="K3309" s="86"/>
      <c r="L3309" s="86"/>
      <c r="M3309" s="86"/>
      <c r="N3309" s="86"/>
      <c r="O3309" s="86"/>
      <c r="P3309" s="86"/>
      <c r="Q3309" s="86"/>
      <c r="R3309" s="86"/>
      <c r="S3309" s="86"/>
      <c r="T3309" s="86"/>
      <c r="U3309" s="86"/>
      <c r="V3309" s="48"/>
      <c r="W3309" s="48"/>
      <c r="X3309" s="48"/>
      <c r="Y3309" s="48"/>
      <c r="Z3309" s="48"/>
      <c r="AA3309" s="48"/>
      <c r="AB3309" s="48"/>
      <c r="AC3309" s="48"/>
      <c r="AD3309" s="48"/>
      <c r="AE3309" s="48"/>
      <c r="AF3309" s="48"/>
      <c r="AG3309" s="48"/>
      <c r="AH3309" s="48"/>
      <c r="AI3309" s="48"/>
      <c r="AJ3309" s="48"/>
      <c r="AK3309" s="48"/>
      <c r="AL3309" s="48"/>
      <c r="AM3309" s="48"/>
      <c r="AN3309" s="48"/>
      <c r="AO3309" s="48"/>
      <c r="AP3309" s="48"/>
      <c r="AQ3309" s="48"/>
      <c r="AR3309" s="48"/>
      <c r="AS3309" s="48"/>
      <c r="AT3309" s="48"/>
      <c r="AU3309" s="48"/>
      <c r="AV3309" s="48"/>
      <c r="AW3309" s="48"/>
      <c r="AX3309" s="48"/>
      <c r="AY3309" s="48"/>
      <c r="AZ3309" s="48"/>
      <c r="BA3309" s="48"/>
      <c r="BB3309" s="48"/>
      <c r="BC3309" s="48"/>
      <c r="BD3309" s="48"/>
    </row>
    <row r="3310" spans="1:56">
      <c r="A3310" s="48"/>
      <c r="B3310" s="48"/>
      <c r="C3310" s="49"/>
      <c r="D3310" s="48"/>
      <c r="E3310" s="48"/>
      <c r="F3310" s="48"/>
      <c r="G3310" s="48"/>
      <c r="H3310" s="48"/>
      <c r="I3310" s="48"/>
      <c r="J3310" s="86"/>
      <c r="K3310" s="86"/>
      <c r="L3310" s="86"/>
      <c r="M3310" s="86"/>
      <c r="N3310" s="86"/>
      <c r="O3310" s="86"/>
      <c r="P3310" s="86"/>
      <c r="Q3310" s="86"/>
      <c r="R3310" s="86"/>
      <c r="S3310" s="86"/>
      <c r="T3310" s="86"/>
      <c r="U3310" s="86"/>
      <c r="V3310" s="48"/>
      <c r="W3310" s="48"/>
      <c r="X3310" s="48"/>
      <c r="Y3310" s="48"/>
      <c r="Z3310" s="48"/>
      <c r="AA3310" s="48"/>
      <c r="AB3310" s="48"/>
      <c r="AC3310" s="48"/>
      <c r="AD3310" s="48"/>
      <c r="AE3310" s="48"/>
      <c r="AF3310" s="48"/>
      <c r="AG3310" s="48"/>
      <c r="AH3310" s="48"/>
      <c r="AI3310" s="48"/>
      <c r="AJ3310" s="48"/>
      <c r="AK3310" s="48"/>
      <c r="AL3310" s="48"/>
      <c r="AM3310" s="48"/>
      <c r="AN3310" s="48"/>
      <c r="AO3310" s="48"/>
      <c r="AP3310" s="48"/>
      <c r="AQ3310" s="48"/>
      <c r="AR3310" s="48"/>
      <c r="AS3310" s="48"/>
      <c r="AT3310" s="48"/>
      <c r="AU3310" s="48"/>
      <c r="AV3310" s="48"/>
      <c r="AW3310" s="48"/>
      <c r="AX3310" s="48"/>
      <c r="AY3310" s="48"/>
      <c r="AZ3310" s="48"/>
      <c r="BA3310" s="48"/>
      <c r="BB3310" s="48"/>
      <c r="BC3310" s="48"/>
      <c r="BD3310" s="48"/>
    </row>
    <row r="3311" spans="1:56">
      <c r="A3311" s="48"/>
      <c r="B3311" s="48"/>
      <c r="C3311" s="49"/>
      <c r="D3311" s="48"/>
      <c r="E3311" s="48"/>
      <c r="F3311" s="48"/>
      <c r="G3311" s="48"/>
      <c r="H3311" s="48"/>
      <c r="I3311" s="48"/>
      <c r="J3311" s="86"/>
      <c r="K3311" s="86"/>
      <c r="L3311" s="86"/>
      <c r="M3311" s="86"/>
      <c r="N3311" s="86"/>
      <c r="O3311" s="86"/>
      <c r="P3311" s="86"/>
      <c r="Q3311" s="86"/>
      <c r="R3311" s="86"/>
      <c r="S3311" s="86"/>
      <c r="T3311" s="86"/>
      <c r="U3311" s="86"/>
      <c r="V3311" s="48"/>
      <c r="W3311" s="48"/>
      <c r="X3311" s="48"/>
      <c r="Y3311" s="48"/>
      <c r="Z3311" s="48"/>
      <c r="AA3311" s="48"/>
      <c r="AB3311" s="48"/>
      <c r="AC3311" s="48"/>
      <c r="AD3311" s="48"/>
      <c r="AE3311" s="48"/>
      <c r="AF3311" s="48"/>
      <c r="AG3311" s="48"/>
      <c r="AH3311" s="48"/>
      <c r="AI3311" s="48"/>
      <c r="AJ3311" s="48"/>
      <c r="AK3311" s="48"/>
      <c r="AL3311" s="48"/>
      <c r="AM3311" s="48"/>
      <c r="AN3311" s="48"/>
      <c r="AO3311" s="48"/>
      <c r="AP3311" s="48"/>
      <c r="AQ3311" s="48"/>
      <c r="AR3311" s="48"/>
      <c r="AS3311" s="48"/>
      <c r="AT3311" s="48"/>
      <c r="AU3311" s="48"/>
      <c r="AV3311" s="48"/>
      <c r="AW3311" s="48"/>
      <c r="AX3311" s="48"/>
      <c r="AY3311" s="48"/>
      <c r="AZ3311" s="48"/>
      <c r="BA3311" s="48"/>
      <c r="BB3311" s="48"/>
      <c r="BC3311" s="48"/>
      <c r="BD3311" s="48"/>
    </row>
    <row r="3312" spans="1:56">
      <c r="A3312" s="48"/>
      <c r="B3312" s="48"/>
      <c r="C3312" s="49"/>
      <c r="D3312" s="48"/>
      <c r="E3312" s="48"/>
      <c r="F3312" s="48"/>
      <c r="G3312" s="48"/>
      <c r="H3312" s="48"/>
      <c r="I3312" s="48"/>
      <c r="J3312" s="86"/>
      <c r="K3312" s="86"/>
      <c r="L3312" s="86"/>
      <c r="M3312" s="86"/>
      <c r="N3312" s="86"/>
      <c r="O3312" s="86"/>
      <c r="P3312" s="86"/>
      <c r="Q3312" s="86"/>
      <c r="R3312" s="86"/>
      <c r="S3312" s="86"/>
      <c r="T3312" s="86"/>
      <c r="U3312" s="86"/>
      <c r="V3312" s="48"/>
      <c r="W3312" s="48"/>
      <c r="X3312" s="48"/>
      <c r="Y3312" s="48"/>
      <c r="Z3312" s="48"/>
      <c r="AA3312" s="48"/>
      <c r="AB3312" s="48"/>
      <c r="AC3312" s="48"/>
      <c r="AD3312" s="48"/>
      <c r="AE3312" s="48"/>
      <c r="AF3312" s="48"/>
      <c r="AG3312" s="48"/>
      <c r="AH3312" s="48"/>
      <c r="AI3312" s="48"/>
      <c r="AJ3312" s="48"/>
      <c r="AK3312" s="48"/>
      <c r="AL3312" s="48"/>
      <c r="AM3312" s="48"/>
      <c r="AN3312" s="48"/>
      <c r="AO3312" s="48"/>
      <c r="AP3312" s="48"/>
      <c r="AQ3312" s="48"/>
      <c r="AR3312" s="48"/>
      <c r="AS3312" s="48"/>
      <c r="AT3312" s="48"/>
      <c r="AU3312" s="48"/>
      <c r="AV3312" s="48"/>
      <c r="AW3312" s="48"/>
      <c r="AX3312" s="48"/>
      <c r="AY3312" s="48"/>
      <c r="AZ3312" s="48"/>
      <c r="BA3312" s="48"/>
      <c r="BB3312" s="48"/>
      <c r="BC3312" s="48"/>
      <c r="BD3312" s="48"/>
    </row>
    <row r="3313" spans="1:56">
      <c r="A3313" s="48"/>
      <c r="B3313" s="48"/>
      <c r="C3313" s="49"/>
      <c r="D3313" s="48"/>
      <c r="E3313" s="48"/>
      <c r="F3313" s="48"/>
      <c r="G3313" s="48"/>
      <c r="H3313" s="48"/>
      <c r="I3313" s="48"/>
      <c r="J3313" s="86"/>
      <c r="K3313" s="86"/>
      <c r="L3313" s="86"/>
      <c r="M3313" s="86"/>
      <c r="N3313" s="86"/>
      <c r="O3313" s="86"/>
      <c r="P3313" s="86"/>
      <c r="Q3313" s="86"/>
      <c r="R3313" s="86"/>
      <c r="S3313" s="86"/>
      <c r="T3313" s="86"/>
      <c r="U3313" s="86"/>
      <c r="V3313" s="48"/>
      <c r="W3313" s="48"/>
      <c r="X3313" s="48"/>
      <c r="Y3313" s="48"/>
      <c r="Z3313" s="48"/>
      <c r="AA3313" s="48"/>
      <c r="AB3313" s="48"/>
      <c r="AC3313" s="48"/>
      <c r="AD3313" s="48"/>
      <c r="AE3313" s="48"/>
      <c r="AF3313" s="48"/>
      <c r="AG3313" s="48"/>
      <c r="AH3313" s="48"/>
      <c r="AI3313" s="48"/>
      <c r="AJ3313" s="48"/>
      <c r="AK3313" s="48"/>
      <c r="AL3313" s="48"/>
      <c r="AM3313" s="48"/>
      <c r="AN3313" s="48"/>
      <c r="AO3313" s="48"/>
      <c r="AP3313" s="48"/>
      <c r="AQ3313" s="48"/>
      <c r="AR3313" s="48"/>
      <c r="AS3313" s="48"/>
      <c r="AT3313" s="48"/>
      <c r="AU3313" s="48"/>
      <c r="AV3313" s="48"/>
      <c r="AW3313" s="48"/>
      <c r="AX3313" s="48"/>
      <c r="AY3313" s="48"/>
      <c r="AZ3313" s="48"/>
      <c r="BA3313" s="48"/>
      <c r="BB3313" s="48"/>
      <c r="BC3313" s="48"/>
      <c r="BD3313" s="48"/>
    </row>
    <row r="3314" spans="1:56">
      <c r="A3314" s="48"/>
      <c r="B3314" s="48"/>
      <c r="C3314" s="49"/>
      <c r="D3314" s="48"/>
      <c r="E3314" s="48"/>
      <c r="F3314" s="48"/>
      <c r="G3314" s="48"/>
      <c r="H3314" s="48"/>
      <c r="I3314" s="48"/>
      <c r="J3314" s="86"/>
      <c r="K3314" s="86"/>
      <c r="L3314" s="86"/>
      <c r="M3314" s="86"/>
      <c r="N3314" s="86"/>
      <c r="O3314" s="86"/>
      <c r="P3314" s="86"/>
      <c r="Q3314" s="86"/>
      <c r="R3314" s="86"/>
      <c r="S3314" s="86"/>
      <c r="T3314" s="86"/>
      <c r="U3314" s="86"/>
      <c r="V3314" s="48"/>
      <c r="W3314" s="48"/>
      <c r="X3314" s="48"/>
      <c r="Y3314" s="48"/>
      <c r="Z3314" s="48"/>
      <c r="AA3314" s="48"/>
      <c r="AB3314" s="48"/>
      <c r="AC3314" s="48"/>
      <c r="AD3314" s="48"/>
      <c r="AE3314" s="48"/>
      <c r="AF3314" s="48"/>
      <c r="AG3314" s="48"/>
      <c r="AH3314" s="48"/>
      <c r="AI3314" s="48"/>
      <c r="AJ3314" s="48"/>
      <c r="AK3314" s="48"/>
      <c r="AL3314" s="48"/>
      <c r="AM3314" s="48"/>
      <c r="AN3314" s="48"/>
      <c r="AO3314" s="48"/>
      <c r="AP3314" s="48"/>
      <c r="AQ3314" s="48"/>
      <c r="AR3314" s="48"/>
      <c r="AS3314" s="48"/>
      <c r="AT3314" s="48"/>
      <c r="AU3314" s="48"/>
      <c r="AV3314" s="48"/>
      <c r="AW3314" s="48"/>
      <c r="AX3314" s="48"/>
      <c r="AY3314" s="48"/>
      <c r="AZ3314" s="48"/>
      <c r="BA3314" s="48"/>
      <c r="BB3314" s="48"/>
      <c r="BC3314" s="48"/>
      <c r="BD3314" s="48"/>
    </row>
    <row r="3315" spans="1:56">
      <c r="A3315" s="48"/>
      <c r="B3315" s="48"/>
      <c r="C3315" s="49"/>
      <c r="D3315" s="48"/>
      <c r="E3315" s="48"/>
      <c r="F3315" s="48"/>
      <c r="G3315" s="48"/>
      <c r="H3315" s="48"/>
      <c r="I3315" s="48"/>
      <c r="J3315" s="86"/>
      <c r="K3315" s="86"/>
      <c r="L3315" s="86"/>
      <c r="M3315" s="86"/>
      <c r="N3315" s="86"/>
      <c r="O3315" s="86"/>
      <c r="P3315" s="86"/>
      <c r="Q3315" s="86"/>
      <c r="R3315" s="86"/>
      <c r="S3315" s="86"/>
      <c r="T3315" s="86"/>
      <c r="U3315" s="86"/>
      <c r="V3315" s="48"/>
      <c r="W3315" s="48"/>
      <c r="X3315" s="48"/>
      <c r="Y3315" s="48"/>
      <c r="Z3315" s="48"/>
      <c r="AA3315" s="48"/>
      <c r="AB3315" s="48"/>
      <c r="AC3315" s="48"/>
      <c r="AD3315" s="48"/>
      <c r="AE3315" s="48"/>
      <c r="AF3315" s="48"/>
      <c r="AG3315" s="48"/>
      <c r="AH3315" s="48"/>
      <c r="AI3315" s="48"/>
      <c r="AJ3315" s="48"/>
      <c r="AK3315" s="48"/>
      <c r="AL3315" s="48"/>
      <c r="AM3315" s="48"/>
      <c r="AN3315" s="48"/>
      <c r="AO3315" s="48"/>
      <c r="AP3315" s="48"/>
      <c r="AQ3315" s="48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48"/>
      <c r="BB3315" s="48"/>
      <c r="BC3315" s="48"/>
      <c r="BD3315" s="48"/>
    </row>
    <row r="3316" spans="1:56">
      <c r="A3316" s="48"/>
      <c r="B3316" s="48"/>
      <c r="C3316" s="49"/>
      <c r="D3316" s="48"/>
      <c r="E3316" s="48"/>
      <c r="F3316" s="48"/>
      <c r="G3316" s="48"/>
      <c r="H3316" s="48"/>
      <c r="I3316" s="48"/>
      <c r="J3316" s="86"/>
      <c r="K3316" s="86"/>
      <c r="L3316" s="86"/>
      <c r="M3316" s="86"/>
      <c r="N3316" s="86"/>
      <c r="O3316" s="86"/>
      <c r="P3316" s="86"/>
      <c r="Q3316" s="86"/>
      <c r="R3316" s="86"/>
      <c r="S3316" s="86"/>
      <c r="T3316" s="86"/>
      <c r="U3316" s="86"/>
      <c r="V3316" s="48"/>
      <c r="W3316" s="48"/>
      <c r="X3316" s="48"/>
      <c r="Y3316" s="48"/>
      <c r="Z3316" s="48"/>
      <c r="AA3316" s="48"/>
      <c r="AB3316" s="48"/>
      <c r="AC3316" s="48"/>
      <c r="AD3316" s="48"/>
      <c r="AE3316" s="48"/>
      <c r="AF3316" s="48"/>
      <c r="AG3316" s="48"/>
      <c r="AH3316" s="48"/>
      <c r="AI3316" s="48"/>
      <c r="AJ3316" s="48"/>
      <c r="AK3316" s="48"/>
      <c r="AL3316" s="48"/>
      <c r="AM3316" s="48"/>
      <c r="AN3316" s="48"/>
      <c r="AO3316" s="48"/>
      <c r="AP3316" s="48"/>
      <c r="AQ3316" s="48"/>
      <c r="AR3316" s="48"/>
      <c r="AS3316" s="48"/>
      <c r="AT3316" s="48"/>
      <c r="AU3316" s="48"/>
      <c r="AV3316" s="48"/>
      <c r="AW3316" s="48"/>
      <c r="AX3316" s="48"/>
      <c r="AY3316" s="48"/>
      <c r="AZ3316" s="48"/>
      <c r="BA3316" s="48"/>
      <c r="BB3316" s="48"/>
      <c r="BC3316" s="48"/>
      <c r="BD3316" s="48"/>
    </row>
    <row r="3317" spans="1:56">
      <c r="A3317" s="48"/>
      <c r="B3317" s="48"/>
      <c r="C3317" s="49"/>
      <c r="D3317" s="48"/>
      <c r="E3317" s="48"/>
      <c r="F3317" s="48"/>
      <c r="G3317" s="48"/>
      <c r="H3317" s="48"/>
      <c r="I3317" s="48"/>
      <c r="J3317" s="86"/>
      <c r="K3317" s="86"/>
      <c r="L3317" s="86"/>
      <c r="M3317" s="86"/>
      <c r="N3317" s="86"/>
      <c r="O3317" s="86"/>
      <c r="P3317" s="86"/>
      <c r="Q3317" s="86"/>
      <c r="R3317" s="86"/>
      <c r="S3317" s="86"/>
      <c r="T3317" s="86"/>
      <c r="U3317" s="86"/>
      <c r="V3317" s="48"/>
      <c r="W3317" s="48"/>
      <c r="X3317" s="48"/>
      <c r="Y3317" s="48"/>
      <c r="Z3317" s="48"/>
      <c r="AA3317" s="48"/>
      <c r="AB3317" s="48"/>
      <c r="AC3317" s="48"/>
      <c r="AD3317" s="48"/>
      <c r="AE3317" s="48"/>
      <c r="AF3317" s="48"/>
      <c r="AG3317" s="48"/>
      <c r="AH3317" s="48"/>
      <c r="AI3317" s="48"/>
      <c r="AJ3317" s="48"/>
      <c r="AK3317" s="48"/>
      <c r="AL3317" s="48"/>
      <c r="AM3317" s="48"/>
      <c r="AN3317" s="48"/>
      <c r="AO3317" s="48"/>
      <c r="AP3317" s="48"/>
      <c r="AQ3317" s="48"/>
      <c r="AR3317" s="48"/>
      <c r="AS3317" s="48"/>
      <c r="AT3317" s="48"/>
      <c r="AU3317" s="48"/>
      <c r="AV3317" s="48"/>
      <c r="AW3317" s="48"/>
      <c r="AX3317" s="48"/>
      <c r="AY3317" s="48"/>
      <c r="AZ3317" s="48"/>
      <c r="BA3317" s="48"/>
      <c r="BB3317" s="48"/>
      <c r="BC3317" s="48"/>
      <c r="BD3317" s="48"/>
    </row>
    <row r="3318" spans="1:56">
      <c r="A3318" s="48"/>
      <c r="B3318" s="48"/>
      <c r="C3318" s="49"/>
      <c r="D3318" s="48"/>
      <c r="E3318" s="48"/>
      <c r="F3318" s="48"/>
      <c r="G3318" s="48"/>
      <c r="H3318" s="48"/>
      <c r="I3318" s="48"/>
      <c r="J3318" s="86"/>
      <c r="K3318" s="86"/>
      <c r="L3318" s="86"/>
      <c r="M3318" s="86"/>
      <c r="N3318" s="86"/>
      <c r="O3318" s="86"/>
      <c r="P3318" s="86"/>
      <c r="Q3318" s="86"/>
      <c r="R3318" s="86"/>
      <c r="S3318" s="86"/>
      <c r="T3318" s="86"/>
      <c r="U3318" s="86"/>
      <c r="V3318" s="48"/>
      <c r="W3318" s="48"/>
      <c r="X3318" s="48"/>
      <c r="Y3318" s="48"/>
      <c r="Z3318" s="48"/>
      <c r="AA3318" s="48"/>
      <c r="AB3318" s="48"/>
      <c r="AC3318" s="48"/>
      <c r="AD3318" s="48"/>
      <c r="AE3318" s="48"/>
      <c r="AF3318" s="48"/>
      <c r="AG3318" s="48"/>
      <c r="AH3318" s="48"/>
      <c r="AI3318" s="48"/>
      <c r="AJ3318" s="48"/>
      <c r="AK3318" s="48"/>
      <c r="AL3318" s="48"/>
      <c r="AM3318" s="48"/>
      <c r="AN3318" s="48"/>
      <c r="AO3318" s="48"/>
      <c r="AP3318" s="48"/>
      <c r="AQ3318" s="48"/>
      <c r="AR3318" s="48"/>
      <c r="AS3318" s="48"/>
      <c r="AT3318" s="48"/>
      <c r="AU3318" s="48"/>
      <c r="AV3318" s="48"/>
      <c r="AW3318" s="48"/>
      <c r="AX3318" s="48"/>
      <c r="AY3318" s="48"/>
      <c r="AZ3318" s="48"/>
      <c r="BA3318" s="48"/>
      <c r="BB3318" s="48"/>
      <c r="BC3318" s="48"/>
      <c r="BD3318" s="48"/>
    </row>
    <row r="3319" spans="1:56">
      <c r="A3319" s="48"/>
      <c r="B3319" s="48"/>
      <c r="C3319" s="49"/>
      <c r="D3319" s="48"/>
      <c r="E3319" s="48"/>
      <c r="F3319" s="48"/>
      <c r="G3319" s="48"/>
      <c r="H3319" s="48"/>
      <c r="I3319" s="48"/>
      <c r="J3319" s="86"/>
      <c r="K3319" s="86"/>
      <c r="L3319" s="86"/>
      <c r="M3319" s="86"/>
      <c r="N3319" s="86"/>
      <c r="O3319" s="86"/>
      <c r="P3319" s="86"/>
      <c r="Q3319" s="86"/>
      <c r="R3319" s="86"/>
      <c r="S3319" s="86"/>
      <c r="T3319" s="86"/>
      <c r="U3319" s="86"/>
      <c r="V3319" s="48"/>
      <c r="W3319" s="48"/>
      <c r="X3319" s="48"/>
      <c r="Y3319" s="48"/>
      <c r="Z3319" s="48"/>
      <c r="AA3319" s="48"/>
      <c r="AB3319" s="48"/>
      <c r="AC3319" s="48"/>
      <c r="AD3319" s="48"/>
      <c r="AE3319" s="48"/>
      <c r="AF3319" s="48"/>
      <c r="AG3319" s="48"/>
      <c r="AH3319" s="48"/>
      <c r="AI3319" s="48"/>
      <c r="AJ3319" s="48"/>
      <c r="AK3319" s="48"/>
      <c r="AL3319" s="48"/>
      <c r="AM3319" s="48"/>
      <c r="AN3319" s="48"/>
      <c r="AO3319" s="48"/>
      <c r="AP3319" s="48"/>
      <c r="AQ3319" s="48"/>
      <c r="AR3319" s="48"/>
      <c r="AS3319" s="48"/>
      <c r="AT3319" s="48"/>
      <c r="AU3319" s="48"/>
      <c r="AV3319" s="48"/>
      <c r="AW3319" s="48"/>
      <c r="AX3319" s="48"/>
      <c r="AY3319" s="48"/>
      <c r="AZ3319" s="48"/>
      <c r="BA3319" s="48"/>
      <c r="BB3319" s="48"/>
      <c r="BC3319" s="48"/>
      <c r="BD3319" s="48"/>
    </row>
    <row r="3320" spans="1:56">
      <c r="A3320" s="48"/>
      <c r="B3320" s="48"/>
      <c r="C3320" s="49"/>
      <c r="D3320" s="48"/>
      <c r="E3320" s="48"/>
      <c r="F3320" s="48"/>
      <c r="G3320" s="48"/>
      <c r="H3320" s="48"/>
      <c r="I3320" s="48"/>
      <c r="J3320" s="86"/>
      <c r="K3320" s="86"/>
      <c r="L3320" s="86"/>
      <c r="M3320" s="86"/>
      <c r="N3320" s="86"/>
      <c r="O3320" s="86"/>
      <c r="P3320" s="86"/>
      <c r="Q3320" s="86"/>
      <c r="R3320" s="86"/>
      <c r="S3320" s="86"/>
      <c r="T3320" s="86"/>
      <c r="U3320" s="86"/>
      <c r="V3320" s="48"/>
      <c r="W3320" s="48"/>
      <c r="X3320" s="48"/>
      <c r="Y3320" s="48"/>
      <c r="Z3320" s="48"/>
      <c r="AA3320" s="48"/>
      <c r="AB3320" s="48"/>
      <c r="AC3320" s="48"/>
      <c r="AD3320" s="48"/>
      <c r="AE3320" s="48"/>
      <c r="AF3320" s="48"/>
      <c r="AG3320" s="48"/>
      <c r="AH3320" s="48"/>
      <c r="AI3320" s="48"/>
      <c r="AJ3320" s="48"/>
      <c r="AK3320" s="48"/>
      <c r="AL3320" s="48"/>
      <c r="AM3320" s="48"/>
      <c r="AN3320" s="48"/>
      <c r="AO3320" s="48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48"/>
      <c r="BA3320" s="48"/>
      <c r="BB3320" s="48"/>
      <c r="BC3320" s="48"/>
      <c r="BD3320" s="48"/>
    </row>
    <row r="3321" spans="1:56">
      <c r="A3321" s="48"/>
      <c r="B3321" s="48"/>
      <c r="C3321" s="49"/>
      <c r="D3321" s="48"/>
      <c r="E3321" s="48"/>
      <c r="F3321" s="48"/>
      <c r="G3321" s="48"/>
      <c r="H3321" s="48"/>
      <c r="I3321" s="48"/>
      <c r="J3321" s="86"/>
      <c r="K3321" s="86"/>
      <c r="L3321" s="86"/>
      <c r="M3321" s="86"/>
      <c r="N3321" s="86"/>
      <c r="O3321" s="86"/>
      <c r="P3321" s="86"/>
      <c r="Q3321" s="86"/>
      <c r="R3321" s="86"/>
      <c r="S3321" s="86"/>
      <c r="T3321" s="86"/>
      <c r="U3321" s="86"/>
      <c r="V3321" s="48"/>
      <c r="W3321" s="48"/>
      <c r="X3321" s="48"/>
      <c r="Y3321" s="48"/>
      <c r="Z3321" s="48"/>
      <c r="AA3321" s="48"/>
      <c r="AB3321" s="48"/>
      <c r="AC3321" s="48"/>
      <c r="AD3321" s="48"/>
      <c r="AE3321" s="48"/>
      <c r="AF3321" s="48"/>
      <c r="AG3321" s="48"/>
      <c r="AH3321" s="48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48"/>
      <c r="AU3321" s="48"/>
      <c r="AV3321" s="48"/>
      <c r="AW3321" s="48"/>
      <c r="AX3321" s="48"/>
      <c r="AY3321" s="48"/>
      <c r="AZ3321" s="48"/>
      <c r="BA3321" s="48"/>
      <c r="BB3321" s="48"/>
      <c r="BC3321" s="48"/>
      <c r="BD3321" s="48"/>
    </row>
    <row r="3322" spans="1:56">
      <c r="A3322" s="48"/>
      <c r="B3322" s="48"/>
      <c r="C3322" s="49"/>
      <c r="D3322" s="48"/>
      <c r="E3322" s="48"/>
      <c r="F3322" s="48"/>
      <c r="G3322" s="48"/>
      <c r="H3322" s="48"/>
      <c r="I3322" s="48"/>
      <c r="J3322" s="86"/>
      <c r="K3322" s="86"/>
      <c r="L3322" s="86"/>
      <c r="M3322" s="86"/>
      <c r="N3322" s="86"/>
      <c r="O3322" s="86"/>
      <c r="P3322" s="86"/>
      <c r="Q3322" s="86"/>
      <c r="R3322" s="86"/>
      <c r="S3322" s="86"/>
      <c r="T3322" s="86"/>
      <c r="U3322" s="86"/>
      <c r="V3322" s="48"/>
      <c r="W3322" s="48"/>
      <c r="X3322" s="48"/>
      <c r="Y3322" s="48"/>
      <c r="Z3322" s="48"/>
      <c r="AA3322" s="48"/>
      <c r="AB3322" s="48"/>
      <c r="AC3322" s="48"/>
      <c r="AD3322" s="48"/>
      <c r="AE3322" s="48"/>
      <c r="AF3322" s="48"/>
      <c r="AG3322" s="48"/>
      <c r="AH3322" s="48"/>
      <c r="AI3322" s="48"/>
      <c r="AJ3322" s="48"/>
      <c r="AK3322" s="48"/>
      <c r="AL3322" s="48"/>
      <c r="AM3322" s="48"/>
      <c r="AN3322" s="48"/>
      <c r="AO3322" s="48"/>
      <c r="AP3322" s="48"/>
      <c r="AQ3322" s="48"/>
      <c r="AR3322" s="48"/>
      <c r="AS3322" s="48"/>
      <c r="AT3322" s="48"/>
      <c r="AU3322" s="48"/>
      <c r="AV3322" s="48"/>
      <c r="AW3322" s="48"/>
      <c r="AX3322" s="48"/>
      <c r="AY3322" s="48"/>
      <c r="AZ3322" s="48"/>
      <c r="BA3322" s="48"/>
      <c r="BB3322" s="48"/>
      <c r="BC3322" s="48"/>
      <c r="BD3322" s="48"/>
    </row>
    <row r="3323" spans="1:56">
      <c r="A3323" s="48"/>
      <c r="B3323" s="48"/>
      <c r="C3323" s="49"/>
      <c r="D3323" s="48"/>
      <c r="E3323" s="48"/>
      <c r="F3323" s="48"/>
      <c r="G3323" s="48"/>
      <c r="H3323" s="48"/>
      <c r="I3323" s="48"/>
      <c r="J3323" s="86"/>
      <c r="K3323" s="86"/>
      <c r="L3323" s="86"/>
      <c r="M3323" s="86"/>
      <c r="N3323" s="86"/>
      <c r="O3323" s="86"/>
      <c r="P3323" s="86"/>
      <c r="Q3323" s="86"/>
      <c r="R3323" s="86"/>
      <c r="S3323" s="86"/>
      <c r="T3323" s="86"/>
      <c r="U3323" s="86"/>
      <c r="V3323" s="48"/>
      <c r="W3323" s="48"/>
      <c r="X3323" s="48"/>
      <c r="Y3323" s="48"/>
      <c r="Z3323" s="48"/>
      <c r="AA3323" s="48"/>
      <c r="AB3323" s="48"/>
      <c r="AC3323" s="48"/>
      <c r="AD3323" s="48"/>
      <c r="AE3323" s="48"/>
      <c r="AF3323" s="48"/>
      <c r="AG3323" s="48"/>
      <c r="AH3323" s="48"/>
      <c r="AI3323" s="48"/>
      <c r="AJ3323" s="48"/>
      <c r="AK3323" s="48"/>
      <c r="AL3323" s="48"/>
      <c r="AM3323" s="48"/>
      <c r="AN3323" s="48"/>
      <c r="AO3323" s="48"/>
      <c r="AP3323" s="48"/>
      <c r="AQ3323" s="48"/>
      <c r="AR3323" s="48"/>
      <c r="AS3323" s="48"/>
      <c r="AT3323" s="48"/>
      <c r="AU3323" s="48"/>
      <c r="AV3323" s="48"/>
      <c r="AW3323" s="48"/>
      <c r="AX3323" s="48"/>
      <c r="AY3323" s="48"/>
      <c r="AZ3323" s="48"/>
      <c r="BA3323" s="48"/>
      <c r="BB3323" s="48"/>
      <c r="BC3323" s="48"/>
      <c r="BD3323" s="48"/>
    </row>
    <row r="3324" spans="1:56">
      <c r="A3324" s="48"/>
      <c r="B3324" s="48"/>
      <c r="C3324" s="49"/>
      <c r="D3324" s="48"/>
      <c r="E3324" s="48"/>
      <c r="F3324" s="48"/>
      <c r="G3324" s="48"/>
      <c r="H3324" s="48"/>
      <c r="I3324" s="48"/>
      <c r="J3324" s="86"/>
      <c r="K3324" s="86"/>
      <c r="L3324" s="86"/>
      <c r="M3324" s="86"/>
      <c r="N3324" s="86"/>
      <c r="O3324" s="86"/>
      <c r="P3324" s="86"/>
      <c r="Q3324" s="86"/>
      <c r="R3324" s="86"/>
      <c r="S3324" s="86"/>
      <c r="T3324" s="86"/>
      <c r="U3324" s="86"/>
      <c r="V3324" s="48"/>
      <c r="W3324" s="48"/>
      <c r="X3324" s="48"/>
      <c r="Y3324" s="48"/>
      <c r="Z3324" s="48"/>
      <c r="AA3324" s="48"/>
      <c r="AB3324" s="48"/>
      <c r="AC3324" s="48"/>
      <c r="AD3324" s="48"/>
      <c r="AE3324" s="48"/>
      <c r="AF3324" s="48"/>
      <c r="AG3324" s="48"/>
      <c r="AH3324" s="48"/>
      <c r="AI3324" s="48"/>
      <c r="AJ3324" s="48"/>
      <c r="AK3324" s="48"/>
      <c r="AL3324" s="48"/>
      <c r="AM3324" s="48"/>
      <c r="AN3324" s="48"/>
      <c r="AO3324" s="48"/>
      <c r="AP3324" s="48"/>
      <c r="AQ3324" s="48"/>
      <c r="AR3324" s="48"/>
      <c r="AS3324" s="48"/>
      <c r="AT3324" s="48"/>
      <c r="AU3324" s="48"/>
      <c r="AV3324" s="48"/>
      <c r="AW3324" s="48"/>
      <c r="AX3324" s="48"/>
      <c r="AY3324" s="48"/>
      <c r="AZ3324" s="48"/>
      <c r="BA3324" s="48"/>
      <c r="BB3324" s="48"/>
      <c r="BC3324" s="48"/>
      <c r="BD3324" s="48"/>
    </row>
    <row r="3325" spans="1:56">
      <c r="A3325" s="48"/>
      <c r="B3325" s="48"/>
      <c r="C3325" s="49"/>
      <c r="D3325" s="48"/>
      <c r="E3325" s="48"/>
      <c r="F3325" s="48"/>
      <c r="G3325" s="48"/>
      <c r="H3325" s="48"/>
      <c r="I3325" s="48"/>
      <c r="J3325" s="86"/>
      <c r="K3325" s="86"/>
      <c r="L3325" s="86"/>
      <c r="M3325" s="86"/>
      <c r="N3325" s="86"/>
      <c r="O3325" s="86"/>
      <c r="P3325" s="86"/>
      <c r="Q3325" s="86"/>
      <c r="R3325" s="86"/>
      <c r="S3325" s="86"/>
      <c r="T3325" s="86"/>
      <c r="U3325" s="86"/>
      <c r="V3325" s="48"/>
      <c r="W3325" s="48"/>
      <c r="X3325" s="48"/>
      <c r="Y3325" s="48"/>
      <c r="Z3325" s="48"/>
      <c r="AA3325" s="48"/>
      <c r="AB3325" s="48"/>
      <c r="AC3325" s="48"/>
      <c r="AD3325" s="48"/>
      <c r="AE3325" s="48"/>
      <c r="AF3325" s="48"/>
      <c r="AG3325" s="48"/>
      <c r="AH3325" s="48"/>
      <c r="AI3325" s="48"/>
      <c r="AJ3325" s="48"/>
      <c r="AK3325" s="48"/>
      <c r="AL3325" s="48"/>
      <c r="AM3325" s="48"/>
      <c r="AN3325" s="48"/>
      <c r="AO3325" s="48"/>
      <c r="AP3325" s="48"/>
      <c r="AQ3325" s="48"/>
      <c r="AR3325" s="48"/>
      <c r="AS3325" s="48"/>
      <c r="AT3325" s="48"/>
      <c r="AU3325" s="48"/>
      <c r="AV3325" s="48"/>
      <c r="AW3325" s="48"/>
      <c r="AX3325" s="48"/>
      <c r="AY3325" s="48"/>
      <c r="AZ3325" s="48"/>
      <c r="BA3325" s="48"/>
      <c r="BB3325" s="48"/>
      <c r="BC3325" s="48"/>
      <c r="BD3325" s="48"/>
    </row>
    <row r="3326" spans="1:56">
      <c r="A3326" s="48"/>
      <c r="B3326" s="48"/>
      <c r="C3326" s="49"/>
      <c r="D3326" s="48"/>
      <c r="E3326" s="48"/>
      <c r="F3326" s="48"/>
      <c r="G3326" s="48"/>
      <c r="H3326" s="48"/>
      <c r="I3326" s="48"/>
      <c r="J3326" s="86"/>
      <c r="K3326" s="86"/>
      <c r="L3326" s="86"/>
      <c r="M3326" s="86"/>
      <c r="N3326" s="86"/>
      <c r="O3326" s="86"/>
      <c r="P3326" s="86"/>
      <c r="Q3326" s="86"/>
      <c r="R3326" s="86"/>
      <c r="S3326" s="86"/>
      <c r="T3326" s="86"/>
      <c r="U3326" s="86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48"/>
      <c r="AF3326" s="48"/>
      <c r="AG3326" s="48"/>
      <c r="AH3326" s="48"/>
      <c r="AI3326" s="48"/>
      <c r="AJ3326" s="48"/>
      <c r="AK3326" s="48"/>
      <c r="AL3326" s="48"/>
      <c r="AM3326" s="48"/>
      <c r="AN3326" s="48"/>
      <c r="AO3326" s="48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48"/>
      <c r="BB3326" s="48"/>
      <c r="BC3326" s="48"/>
      <c r="BD3326" s="48"/>
    </row>
    <row r="3327" spans="1:56">
      <c r="A3327" s="48"/>
      <c r="B3327" s="48"/>
      <c r="C3327" s="49"/>
      <c r="D3327" s="48"/>
      <c r="E3327" s="48"/>
      <c r="F3327" s="48"/>
      <c r="G3327" s="48"/>
      <c r="H3327" s="48"/>
      <c r="I3327" s="48"/>
      <c r="J3327" s="86"/>
      <c r="K3327" s="86"/>
      <c r="L3327" s="86"/>
      <c r="M3327" s="86"/>
      <c r="N3327" s="86"/>
      <c r="O3327" s="86"/>
      <c r="P3327" s="86"/>
      <c r="Q3327" s="86"/>
      <c r="R3327" s="86"/>
      <c r="S3327" s="86"/>
      <c r="T3327" s="86"/>
      <c r="U3327" s="86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48"/>
      <c r="AH3327" s="48"/>
      <c r="AI3327" s="48"/>
      <c r="AJ3327" s="48"/>
      <c r="AK3327" s="48"/>
      <c r="AL3327" s="48"/>
      <c r="AM3327" s="48"/>
      <c r="AN3327" s="48"/>
      <c r="AO3327" s="48"/>
      <c r="AP3327" s="48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48"/>
      <c r="BA3327" s="48"/>
      <c r="BB3327" s="48"/>
      <c r="BC3327" s="48"/>
      <c r="BD3327" s="48"/>
    </row>
    <row r="3328" spans="1:56">
      <c r="A3328" s="48"/>
      <c r="B3328" s="48"/>
      <c r="C3328" s="49"/>
      <c r="D3328" s="48"/>
      <c r="E3328" s="48"/>
      <c r="F3328" s="48"/>
      <c r="G3328" s="48"/>
      <c r="H3328" s="48"/>
      <c r="I3328" s="48"/>
      <c r="J3328" s="86"/>
      <c r="K3328" s="86"/>
      <c r="L3328" s="86"/>
      <c r="M3328" s="86"/>
      <c r="N3328" s="86"/>
      <c r="O3328" s="86"/>
      <c r="P3328" s="86"/>
      <c r="Q3328" s="86"/>
      <c r="R3328" s="86"/>
      <c r="S3328" s="86"/>
      <c r="T3328" s="86"/>
      <c r="U3328" s="86"/>
      <c r="V3328" s="48"/>
      <c r="W3328" s="48"/>
      <c r="X3328" s="48"/>
      <c r="Y3328" s="48"/>
      <c r="Z3328" s="48"/>
      <c r="AA3328" s="48"/>
      <c r="AB3328" s="48"/>
      <c r="AC3328" s="48"/>
      <c r="AD3328" s="48"/>
      <c r="AE3328" s="48"/>
      <c r="AF3328" s="48"/>
      <c r="AG3328" s="48"/>
      <c r="AH3328" s="48"/>
      <c r="AI3328" s="48"/>
      <c r="AJ3328" s="48"/>
      <c r="AK3328" s="48"/>
      <c r="AL3328" s="48"/>
      <c r="AM3328" s="48"/>
      <c r="AN3328" s="48"/>
      <c r="AO3328" s="48"/>
      <c r="AP3328" s="48"/>
      <c r="AQ3328" s="48"/>
      <c r="AR3328" s="48"/>
      <c r="AS3328" s="48"/>
      <c r="AT3328" s="48"/>
      <c r="AU3328" s="48"/>
      <c r="AV3328" s="48"/>
      <c r="AW3328" s="48"/>
      <c r="AX3328" s="48"/>
      <c r="AY3328" s="48"/>
      <c r="AZ3328" s="48"/>
      <c r="BA3328" s="48"/>
      <c r="BB3328" s="48"/>
      <c r="BC3328" s="48"/>
      <c r="BD3328" s="48"/>
    </row>
    <row r="3329" spans="1:56">
      <c r="A3329" s="48"/>
      <c r="B3329" s="48"/>
      <c r="C3329" s="49"/>
      <c r="D3329" s="48"/>
      <c r="E3329" s="48"/>
      <c r="F3329" s="48"/>
      <c r="G3329" s="48"/>
      <c r="H3329" s="48"/>
      <c r="I3329" s="48"/>
      <c r="J3329" s="86"/>
      <c r="K3329" s="86"/>
      <c r="L3329" s="86"/>
      <c r="M3329" s="86"/>
      <c r="N3329" s="86"/>
      <c r="O3329" s="86"/>
      <c r="P3329" s="86"/>
      <c r="Q3329" s="86"/>
      <c r="R3329" s="86"/>
      <c r="S3329" s="86"/>
      <c r="T3329" s="86"/>
      <c r="U3329" s="86"/>
      <c r="V3329" s="48"/>
      <c r="W3329" s="48"/>
      <c r="X3329" s="48"/>
      <c r="Y3329" s="48"/>
      <c r="Z3329" s="48"/>
      <c r="AA3329" s="48"/>
      <c r="AB3329" s="48"/>
      <c r="AC3329" s="48"/>
      <c r="AD3329" s="48"/>
      <c r="AE3329" s="48"/>
      <c r="AF3329" s="48"/>
      <c r="AG3329" s="48"/>
      <c r="AH3329" s="48"/>
      <c r="AI3329" s="48"/>
      <c r="AJ3329" s="48"/>
      <c r="AK3329" s="48"/>
      <c r="AL3329" s="48"/>
      <c r="AM3329" s="48"/>
      <c r="AN3329" s="48"/>
      <c r="AO3329" s="48"/>
      <c r="AP3329" s="48"/>
      <c r="AQ3329" s="48"/>
      <c r="AR3329" s="48"/>
      <c r="AS3329" s="48"/>
      <c r="AT3329" s="48"/>
      <c r="AU3329" s="48"/>
      <c r="AV3329" s="48"/>
      <c r="AW3329" s="48"/>
      <c r="AX3329" s="48"/>
      <c r="AY3329" s="48"/>
      <c r="AZ3329" s="48"/>
      <c r="BA3329" s="48"/>
      <c r="BB3329" s="48"/>
      <c r="BC3329" s="48"/>
      <c r="BD3329" s="48"/>
    </row>
    <row r="3330" spans="1:56">
      <c r="A3330" s="48"/>
      <c r="B3330" s="48"/>
      <c r="C3330" s="49"/>
      <c r="D3330" s="48"/>
      <c r="E3330" s="48"/>
      <c r="F3330" s="48"/>
      <c r="G3330" s="48"/>
      <c r="H3330" s="48"/>
      <c r="I3330" s="48"/>
      <c r="J3330" s="86"/>
      <c r="K3330" s="86"/>
      <c r="L3330" s="86"/>
      <c r="M3330" s="86"/>
      <c r="N3330" s="86"/>
      <c r="O3330" s="86"/>
      <c r="P3330" s="86"/>
      <c r="Q3330" s="86"/>
      <c r="R3330" s="86"/>
      <c r="S3330" s="86"/>
      <c r="T3330" s="86"/>
      <c r="U3330" s="86"/>
      <c r="V3330" s="48"/>
      <c r="W3330" s="48"/>
      <c r="X3330" s="48"/>
      <c r="Y3330" s="48"/>
      <c r="Z3330" s="48"/>
      <c r="AA3330" s="48"/>
      <c r="AB3330" s="48"/>
      <c r="AC3330" s="48"/>
      <c r="AD3330" s="48"/>
      <c r="AE3330" s="48"/>
      <c r="AF3330" s="48"/>
      <c r="AG3330" s="48"/>
      <c r="AH3330" s="48"/>
      <c r="AI3330" s="48"/>
      <c r="AJ3330" s="48"/>
      <c r="AK3330" s="48"/>
      <c r="AL3330" s="48"/>
      <c r="AM3330" s="48"/>
      <c r="AN3330" s="48"/>
      <c r="AO3330" s="48"/>
      <c r="AP3330" s="48"/>
      <c r="AQ3330" s="48"/>
      <c r="AR3330" s="48"/>
      <c r="AS3330" s="48"/>
      <c r="AT3330" s="48"/>
      <c r="AU3330" s="48"/>
      <c r="AV3330" s="48"/>
      <c r="AW3330" s="48"/>
      <c r="AX3330" s="48"/>
      <c r="AY3330" s="48"/>
      <c r="AZ3330" s="48"/>
      <c r="BA3330" s="48"/>
      <c r="BB3330" s="48"/>
      <c r="BC3330" s="48"/>
      <c r="BD3330" s="48"/>
    </row>
    <row r="3331" spans="1:56">
      <c r="A3331" s="48"/>
      <c r="B3331" s="48"/>
      <c r="C3331" s="49"/>
      <c r="D3331" s="48"/>
      <c r="E3331" s="48"/>
      <c r="F3331" s="48"/>
      <c r="G3331" s="48"/>
      <c r="H3331" s="48"/>
      <c r="I3331" s="48"/>
      <c r="J3331" s="86"/>
      <c r="K3331" s="86"/>
      <c r="L3331" s="86"/>
      <c r="M3331" s="86"/>
      <c r="N3331" s="86"/>
      <c r="O3331" s="86"/>
      <c r="P3331" s="86"/>
      <c r="Q3331" s="86"/>
      <c r="R3331" s="86"/>
      <c r="S3331" s="86"/>
      <c r="T3331" s="86"/>
      <c r="U3331" s="86"/>
      <c r="V3331" s="48"/>
      <c r="W3331" s="48"/>
      <c r="X3331" s="48"/>
      <c r="Y3331" s="48"/>
      <c r="Z3331" s="48"/>
      <c r="AA3331" s="48"/>
      <c r="AB3331" s="48"/>
      <c r="AC3331" s="48"/>
      <c r="AD3331" s="48"/>
      <c r="AE3331" s="48"/>
      <c r="AF3331" s="48"/>
      <c r="AG3331" s="48"/>
      <c r="AH3331" s="48"/>
      <c r="AI3331" s="48"/>
      <c r="AJ3331" s="48"/>
      <c r="AK3331" s="48"/>
      <c r="AL3331" s="48"/>
      <c r="AM3331" s="48"/>
      <c r="AN3331" s="48"/>
      <c r="AO3331" s="48"/>
      <c r="AP3331" s="48"/>
      <c r="AQ3331" s="48"/>
      <c r="AR3331" s="48"/>
      <c r="AS3331" s="48"/>
      <c r="AT3331" s="48"/>
      <c r="AU3331" s="48"/>
      <c r="AV3331" s="48"/>
      <c r="AW3331" s="48"/>
      <c r="AX3331" s="48"/>
      <c r="AY3331" s="48"/>
      <c r="AZ3331" s="48"/>
      <c r="BA3331" s="48"/>
      <c r="BB3331" s="48"/>
      <c r="BC3331" s="48"/>
      <c r="BD3331" s="48"/>
    </row>
    <row r="3332" spans="1:56">
      <c r="A3332" s="48"/>
      <c r="B3332" s="48"/>
      <c r="C3332" s="49"/>
      <c r="D3332" s="48"/>
      <c r="E3332" s="48"/>
      <c r="F3332" s="48"/>
      <c r="G3332" s="48"/>
      <c r="H3332" s="48"/>
      <c r="I3332" s="48"/>
      <c r="J3332" s="86"/>
      <c r="K3332" s="86"/>
      <c r="L3332" s="86"/>
      <c r="M3332" s="86"/>
      <c r="N3332" s="86"/>
      <c r="O3332" s="86"/>
      <c r="P3332" s="86"/>
      <c r="Q3332" s="86"/>
      <c r="R3332" s="86"/>
      <c r="S3332" s="86"/>
      <c r="T3332" s="86"/>
      <c r="U3332" s="86"/>
      <c r="V3332" s="48"/>
      <c r="W3332" s="48"/>
      <c r="X3332" s="48"/>
      <c r="Y3332" s="48"/>
      <c r="Z3332" s="48"/>
      <c r="AA3332" s="48"/>
      <c r="AB3332" s="48"/>
      <c r="AC3332" s="48"/>
      <c r="AD3332" s="48"/>
      <c r="AE3332" s="48"/>
      <c r="AF3332" s="48"/>
      <c r="AG3332" s="48"/>
      <c r="AH3332" s="48"/>
      <c r="AI3332" s="48"/>
      <c r="AJ3332" s="48"/>
      <c r="AK3332" s="48"/>
      <c r="AL3332" s="48"/>
      <c r="AM3332" s="48"/>
      <c r="AN3332" s="48"/>
      <c r="AO3332" s="48"/>
      <c r="AP3332" s="48"/>
      <c r="AQ3332" s="48"/>
      <c r="AR3332" s="48"/>
      <c r="AS3332" s="48"/>
      <c r="AT3332" s="48"/>
      <c r="AU3332" s="48"/>
      <c r="AV3332" s="48"/>
      <c r="AW3332" s="48"/>
      <c r="AX3332" s="48"/>
      <c r="AY3332" s="48"/>
      <c r="AZ3332" s="48"/>
      <c r="BA3332" s="48"/>
      <c r="BB3332" s="48"/>
      <c r="BC3332" s="48"/>
      <c r="BD3332" s="48"/>
    </row>
    <row r="3333" spans="1:56">
      <c r="A3333" s="48"/>
      <c r="B3333" s="48"/>
      <c r="C3333" s="49"/>
      <c r="D3333" s="48"/>
      <c r="E3333" s="48"/>
      <c r="F3333" s="48"/>
      <c r="G3333" s="48"/>
      <c r="H3333" s="48"/>
      <c r="I3333" s="48"/>
      <c r="J3333" s="86"/>
      <c r="K3333" s="86"/>
      <c r="L3333" s="86"/>
      <c r="M3333" s="86"/>
      <c r="N3333" s="86"/>
      <c r="O3333" s="86"/>
      <c r="P3333" s="86"/>
      <c r="Q3333" s="86"/>
      <c r="R3333" s="86"/>
      <c r="S3333" s="86"/>
      <c r="T3333" s="86"/>
      <c r="U3333" s="86"/>
      <c r="V3333" s="48"/>
      <c r="W3333" s="48"/>
      <c r="X3333" s="48"/>
      <c r="Y3333" s="48"/>
      <c r="Z3333" s="48"/>
      <c r="AA3333" s="48"/>
      <c r="AB3333" s="48"/>
      <c r="AC3333" s="48"/>
      <c r="AD3333" s="48"/>
      <c r="AE3333" s="48"/>
      <c r="AF3333" s="48"/>
      <c r="AG3333" s="48"/>
      <c r="AH3333" s="48"/>
      <c r="AI3333" s="48"/>
      <c r="AJ3333" s="48"/>
      <c r="AK3333" s="48"/>
      <c r="AL3333" s="48"/>
      <c r="AM3333" s="48"/>
      <c r="AN3333" s="48"/>
      <c r="AO3333" s="48"/>
      <c r="AP3333" s="48"/>
      <c r="AQ3333" s="48"/>
      <c r="AR3333" s="48"/>
      <c r="AS3333" s="48"/>
      <c r="AT3333" s="48"/>
      <c r="AU3333" s="48"/>
      <c r="AV3333" s="48"/>
      <c r="AW3333" s="48"/>
      <c r="AX3333" s="48"/>
      <c r="AY3333" s="48"/>
      <c r="AZ3333" s="48"/>
      <c r="BA3333" s="48"/>
      <c r="BB3333" s="48"/>
      <c r="BC3333" s="48"/>
      <c r="BD3333" s="48"/>
    </row>
    <row r="3334" spans="1:56">
      <c r="A3334" s="48"/>
      <c r="B3334" s="48"/>
      <c r="C3334" s="49"/>
      <c r="D3334" s="48"/>
      <c r="E3334" s="48"/>
      <c r="F3334" s="48"/>
      <c r="G3334" s="48"/>
      <c r="H3334" s="48"/>
      <c r="I3334" s="48"/>
      <c r="J3334" s="86"/>
      <c r="K3334" s="86"/>
      <c r="L3334" s="86"/>
      <c r="M3334" s="86"/>
      <c r="N3334" s="86"/>
      <c r="O3334" s="86"/>
      <c r="P3334" s="86"/>
      <c r="Q3334" s="86"/>
      <c r="R3334" s="86"/>
      <c r="S3334" s="86"/>
      <c r="T3334" s="86"/>
      <c r="U3334" s="86"/>
      <c r="V3334" s="48"/>
      <c r="W3334" s="48"/>
      <c r="X3334" s="48"/>
      <c r="Y3334" s="48"/>
      <c r="Z3334" s="48"/>
      <c r="AA3334" s="48"/>
      <c r="AB3334" s="48"/>
      <c r="AC3334" s="48"/>
      <c r="AD3334" s="48"/>
      <c r="AE3334" s="48"/>
      <c r="AF3334" s="48"/>
      <c r="AG3334" s="48"/>
      <c r="AH3334" s="48"/>
      <c r="AI3334" s="48"/>
      <c r="AJ3334" s="48"/>
      <c r="AK3334" s="48"/>
      <c r="AL3334" s="48"/>
      <c r="AM3334" s="48"/>
      <c r="AN3334" s="48"/>
      <c r="AO3334" s="48"/>
      <c r="AP3334" s="48"/>
      <c r="AQ3334" s="48"/>
      <c r="AR3334" s="48"/>
      <c r="AS3334" s="48"/>
      <c r="AT3334" s="48"/>
      <c r="AU3334" s="48"/>
      <c r="AV3334" s="48"/>
      <c r="AW3334" s="48"/>
      <c r="AX3334" s="48"/>
      <c r="AY3334" s="48"/>
      <c r="AZ3334" s="48"/>
      <c r="BA3334" s="48"/>
      <c r="BB3334" s="48"/>
      <c r="BC3334" s="48"/>
      <c r="BD3334" s="48"/>
    </row>
    <row r="3335" spans="1:56">
      <c r="A3335" s="48"/>
      <c r="B3335" s="48"/>
      <c r="C3335" s="49"/>
      <c r="D3335" s="48"/>
      <c r="E3335" s="48"/>
      <c r="F3335" s="48"/>
      <c r="G3335" s="48"/>
      <c r="H3335" s="48"/>
      <c r="I3335" s="48"/>
      <c r="J3335" s="86"/>
      <c r="K3335" s="86"/>
      <c r="L3335" s="86"/>
      <c r="M3335" s="86"/>
      <c r="N3335" s="86"/>
      <c r="O3335" s="86"/>
      <c r="P3335" s="86"/>
      <c r="Q3335" s="86"/>
      <c r="R3335" s="86"/>
      <c r="S3335" s="86"/>
      <c r="T3335" s="86"/>
      <c r="U3335" s="86"/>
      <c r="V3335" s="48"/>
      <c r="W3335" s="48"/>
      <c r="X3335" s="48"/>
      <c r="Y3335" s="48"/>
      <c r="Z3335" s="48"/>
      <c r="AA3335" s="48"/>
      <c r="AB3335" s="48"/>
      <c r="AC3335" s="48"/>
      <c r="AD3335" s="48"/>
      <c r="AE3335" s="48"/>
      <c r="AF3335" s="48"/>
      <c r="AG3335" s="48"/>
      <c r="AH3335" s="48"/>
      <c r="AI3335" s="48"/>
      <c r="AJ3335" s="48"/>
      <c r="AK3335" s="48"/>
      <c r="AL3335" s="48"/>
      <c r="AM3335" s="48"/>
      <c r="AN3335" s="48"/>
      <c r="AO3335" s="48"/>
      <c r="AP3335" s="48"/>
      <c r="AQ3335" s="48"/>
      <c r="AR3335" s="48"/>
      <c r="AS3335" s="48"/>
      <c r="AT3335" s="48"/>
      <c r="AU3335" s="48"/>
      <c r="AV3335" s="48"/>
      <c r="AW3335" s="48"/>
      <c r="AX3335" s="48"/>
      <c r="AY3335" s="48"/>
      <c r="AZ3335" s="48"/>
      <c r="BA3335" s="48"/>
      <c r="BB3335" s="48"/>
      <c r="BC3335" s="48"/>
      <c r="BD3335" s="48"/>
    </row>
    <row r="3336" spans="1:56">
      <c r="A3336" s="48"/>
      <c r="B3336" s="48"/>
      <c r="C3336" s="49"/>
      <c r="D3336" s="48"/>
      <c r="E3336" s="48"/>
      <c r="F3336" s="48"/>
      <c r="G3336" s="48"/>
      <c r="H3336" s="48"/>
      <c r="I3336" s="48"/>
      <c r="J3336" s="86"/>
      <c r="K3336" s="86"/>
      <c r="L3336" s="86"/>
      <c r="M3336" s="86"/>
      <c r="N3336" s="86"/>
      <c r="O3336" s="86"/>
      <c r="P3336" s="86"/>
      <c r="Q3336" s="86"/>
      <c r="R3336" s="86"/>
      <c r="S3336" s="86"/>
      <c r="T3336" s="86"/>
      <c r="U3336" s="86"/>
      <c r="V3336" s="48"/>
      <c r="W3336" s="48"/>
      <c r="X3336" s="48"/>
      <c r="Y3336" s="48"/>
      <c r="Z3336" s="48"/>
      <c r="AA3336" s="48"/>
      <c r="AB3336" s="48"/>
      <c r="AC3336" s="48"/>
      <c r="AD3336" s="48"/>
      <c r="AE3336" s="48"/>
      <c r="AF3336" s="48"/>
      <c r="AG3336" s="48"/>
      <c r="AH3336" s="48"/>
      <c r="AI3336" s="48"/>
      <c r="AJ3336" s="48"/>
      <c r="AK3336" s="48"/>
      <c r="AL3336" s="48"/>
      <c r="AM3336" s="48"/>
      <c r="AN3336" s="48"/>
      <c r="AO3336" s="48"/>
      <c r="AP3336" s="48"/>
      <c r="AQ3336" s="48"/>
      <c r="AR3336" s="48"/>
      <c r="AS3336" s="48"/>
      <c r="AT3336" s="48"/>
      <c r="AU3336" s="48"/>
      <c r="AV3336" s="48"/>
      <c r="AW3336" s="48"/>
      <c r="AX3336" s="48"/>
      <c r="AY3336" s="48"/>
      <c r="AZ3336" s="48"/>
      <c r="BA3336" s="48"/>
      <c r="BB3336" s="48"/>
      <c r="BC3336" s="48"/>
      <c r="BD3336" s="48"/>
    </row>
    <row r="3337" spans="1:56">
      <c r="A3337" s="48"/>
      <c r="B3337" s="48"/>
      <c r="C3337" s="49"/>
      <c r="D3337" s="48"/>
      <c r="E3337" s="48"/>
      <c r="F3337" s="48"/>
      <c r="G3337" s="48"/>
      <c r="H3337" s="48"/>
      <c r="I3337" s="48"/>
      <c r="J3337" s="86"/>
      <c r="K3337" s="86"/>
      <c r="L3337" s="86"/>
      <c r="M3337" s="86"/>
      <c r="N3337" s="86"/>
      <c r="O3337" s="86"/>
      <c r="P3337" s="86"/>
      <c r="Q3337" s="86"/>
      <c r="R3337" s="86"/>
      <c r="S3337" s="86"/>
      <c r="T3337" s="86"/>
      <c r="U3337" s="86"/>
      <c r="V3337" s="48"/>
      <c r="W3337" s="48"/>
      <c r="X3337" s="48"/>
      <c r="Y3337" s="48"/>
      <c r="Z3337" s="48"/>
      <c r="AA3337" s="48"/>
      <c r="AB3337" s="48"/>
      <c r="AC3337" s="48"/>
      <c r="AD3337" s="48"/>
      <c r="AE3337" s="48"/>
      <c r="AF3337" s="48"/>
      <c r="AG3337" s="48"/>
      <c r="AH3337" s="48"/>
      <c r="AI3337" s="48"/>
      <c r="AJ3337" s="48"/>
      <c r="AK3337" s="48"/>
      <c r="AL3337" s="48"/>
      <c r="AM3337" s="48"/>
      <c r="AN3337" s="48"/>
      <c r="AO3337" s="48"/>
      <c r="AP3337" s="48"/>
      <c r="AQ3337" s="48"/>
      <c r="AR3337" s="48"/>
      <c r="AS3337" s="48"/>
      <c r="AT3337" s="48"/>
      <c r="AU3337" s="48"/>
      <c r="AV3337" s="48"/>
      <c r="AW3337" s="48"/>
      <c r="AX3337" s="48"/>
      <c r="AY3337" s="48"/>
      <c r="AZ3337" s="48"/>
      <c r="BA3337" s="48"/>
      <c r="BB3337" s="48"/>
      <c r="BC3337" s="48"/>
      <c r="BD3337" s="48"/>
    </row>
    <row r="3338" spans="1:56">
      <c r="A3338" s="48"/>
      <c r="B3338" s="48"/>
      <c r="C3338" s="49"/>
      <c r="D3338" s="48"/>
      <c r="E3338" s="48"/>
      <c r="F3338" s="48"/>
      <c r="G3338" s="48"/>
      <c r="H3338" s="48"/>
      <c r="I3338" s="48"/>
      <c r="J3338" s="86"/>
      <c r="K3338" s="86"/>
      <c r="L3338" s="86"/>
      <c r="M3338" s="86"/>
      <c r="N3338" s="86"/>
      <c r="O3338" s="86"/>
      <c r="P3338" s="86"/>
      <c r="Q3338" s="86"/>
      <c r="R3338" s="86"/>
      <c r="S3338" s="86"/>
      <c r="T3338" s="86"/>
      <c r="U3338" s="86"/>
      <c r="V3338" s="48"/>
      <c r="W3338" s="48"/>
      <c r="X3338" s="48"/>
      <c r="Y3338" s="48"/>
      <c r="Z3338" s="48"/>
      <c r="AA3338" s="48"/>
      <c r="AB3338" s="48"/>
      <c r="AC3338" s="48"/>
      <c r="AD3338" s="48"/>
      <c r="AE3338" s="48"/>
      <c r="AF3338" s="48"/>
      <c r="AG3338" s="48"/>
      <c r="AH3338" s="48"/>
      <c r="AI3338" s="48"/>
      <c r="AJ3338" s="48"/>
      <c r="AK3338" s="48"/>
      <c r="AL3338" s="48"/>
      <c r="AM3338" s="48"/>
      <c r="AN3338" s="48"/>
      <c r="AO3338" s="48"/>
      <c r="AP3338" s="48"/>
      <c r="AQ3338" s="48"/>
      <c r="AR3338" s="48"/>
      <c r="AS3338" s="48"/>
      <c r="AT3338" s="48"/>
      <c r="AU3338" s="48"/>
      <c r="AV3338" s="48"/>
      <c r="AW3338" s="48"/>
      <c r="AX3338" s="48"/>
      <c r="AY3338" s="48"/>
      <c r="AZ3338" s="48"/>
      <c r="BA3338" s="48"/>
      <c r="BB3338" s="48"/>
      <c r="BC3338" s="48"/>
      <c r="BD3338" s="48"/>
    </row>
    <row r="3339" spans="1:56">
      <c r="A3339" s="48"/>
      <c r="B3339" s="48"/>
      <c r="C3339" s="49"/>
      <c r="D3339" s="48"/>
      <c r="E3339" s="48"/>
      <c r="F3339" s="48"/>
      <c r="G3339" s="48"/>
      <c r="H3339" s="48"/>
      <c r="I3339" s="48"/>
      <c r="J3339" s="86"/>
      <c r="K3339" s="86"/>
      <c r="L3339" s="86"/>
      <c r="M3339" s="86"/>
      <c r="N3339" s="86"/>
      <c r="O3339" s="86"/>
      <c r="P3339" s="86"/>
      <c r="Q3339" s="86"/>
      <c r="R3339" s="86"/>
      <c r="S3339" s="86"/>
      <c r="T3339" s="86"/>
      <c r="U3339" s="86"/>
      <c r="V3339" s="48"/>
      <c r="W3339" s="48"/>
      <c r="X3339" s="48"/>
      <c r="Y3339" s="48"/>
      <c r="Z3339" s="48"/>
      <c r="AA3339" s="48"/>
      <c r="AB3339" s="48"/>
      <c r="AC3339" s="48"/>
      <c r="AD3339" s="48"/>
      <c r="AE3339" s="48"/>
      <c r="AF3339" s="48"/>
      <c r="AG3339" s="48"/>
      <c r="AH3339" s="48"/>
      <c r="AI3339" s="48"/>
      <c r="AJ3339" s="48"/>
      <c r="AK3339" s="48"/>
      <c r="AL3339" s="48"/>
      <c r="AM3339" s="48"/>
      <c r="AN3339" s="48"/>
      <c r="AO3339" s="48"/>
      <c r="AP3339" s="48"/>
      <c r="AQ3339" s="48"/>
      <c r="AR3339" s="48"/>
      <c r="AS3339" s="48"/>
      <c r="AT3339" s="48"/>
      <c r="AU3339" s="48"/>
      <c r="AV3339" s="48"/>
      <c r="AW3339" s="48"/>
      <c r="AX3339" s="48"/>
      <c r="AY3339" s="48"/>
      <c r="AZ3339" s="48"/>
      <c r="BA3339" s="48"/>
      <c r="BB3339" s="48"/>
      <c r="BC3339" s="48"/>
      <c r="BD3339" s="48"/>
    </row>
    <row r="3340" spans="1:56">
      <c r="A3340" s="48"/>
      <c r="B3340" s="48"/>
      <c r="C3340" s="49"/>
      <c r="D3340" s="48"/>
      <c r="E3340" s="48"/>
      <c r="F3340" s="48"/>
      <c r="G3340" s="48"/>
      <c r="H3340" s="48"/>
      <c r="I3340" s="48"/>
      <c r="J3340" s="86"/>
      <c r="K3340" s="86"/>
      <c r="L3340" s="86"/>
      <c r="M3340" s="86"/>
      <c r="N3340" s="86"/>
      <c r="O3340" s="86"/>
      <c r="P3340" s="86"/>
      <c r="Q3340" s="86"/>
      <c r="R3340" s="86"/>
      <c r="S3340" s="86"/>
      <c r="T3340" s="86"/>
      <c r="U3340" s="86"/>
      <c r="V3340" s="48"/>
      <c r="W3340" s="48"/>
      <c r="X3340" s="48"/>
      <c r="Y3340" s="48"/>
      <c r="Z3340" s="48"/>
      <c r="AA3340" s="48"/>
      <c r="AB3340" s="48"/>
      <c r="AC3340" s="48"/>
      <c r="AD3340" s="48"/>
      <c r="AE3340" s="48"/>
      <c r="AF3340" s="48"/>
      <c r="AG3340" s="48"/>
      <c r="AH3340" s="48"/>
      <c r="AI3340" s="48"/>
      <c r="AJ3340" s="48"/>
      <c r="AK3340" s="48"/>
      <c r="AL3340" s="48"/>
      <c r="AM3340" s="48"/>
      <c r="AN3340" s="48"/>
      <c r="AO3340" s="48"/>
      <c r="AP3340" s="48"/>
      <c r="AQ3340" s="48"/>
      <c r="AR3340" s="48"/>
      <c r="AS3340" s="48"/>
      <c r="AT3340" s="48"/>
      <c r="AU3340" s="48"/>
      <c r="AV3340" s="48"/>
      <c r="AW3340" s="48"/>
      <c r="AX3340" s="48"/>
      <c r="AY3340" s="48"/>
      <c r="AZ3340" s="48"/>
      <c r="BA3340" s="48"/>
      <c r="BB3340" s="48"/>
      <c r="BC3340" s="48"/>
      <c r="BD3340" s="48"/>
    </row>
    <row r="3341" spans="1:56">
      <c r="A3341" s="48"/>
      <c r="B3341" s="48"/>
      <c r="C3341" s="49"/>
      <c r="D3341" s="48"/>
      <c r="E3341" s="48"/>
      <c r="F3341" s="48"/>
      <c r="G3341" s="48"/>
      <c r="H3341" s="48"/>
      <c r="I3341" s="48"/>
      <c r="J3341" s="86"/>
      <c r="K3341" s="86"/>
      <c r="L3341" s="86"/>
      <c r="M3341" s="86"/>
      <c r="N3341" s="86"/>
      <c r="O3341" s="86"/>
      <c r="P3341" s="86"/>
      <c r="Q3341" s="86"/>
      <c r="R3341" s="86"/>
      <c r="S3341" s="86"/>
      <c r="T3341" s="86"/>
      <c r="U3341" s="86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48"/>
      <c r="AM3341" s="48"/>
      <c r="AN3341" s="48"/>
      <c r="AO3341" s="48"/>
      <c r="AP3341" s="48"/>
      <c r="AQ3341" s="48"/>
      <c r="AR3341" s="48"/>
      <c r="AS3341" s="48"/>
      <c r="AT3341" s="48"/>
      <c r="AU3341" s="48"/>
      <c r="AV3341" s="48"/>
      <c r="AW3341" s="48"/>
      <c r="AX3341" s="48"/>
      <c r="AY3341" s="48"/>
      <c r="AZ3341" s="48"/>
      <c r="BA3341" s="48"/>
      <c r="BB3341" s="48"/>
      <c r="BC3341" s="48"/>
      <c r="BD3341" s="48"/>
    </row>
    <row r="3342" spans="1:56">
      <c r="A3342" s="48"/>
      <c r="B3342" s="48"/>
      <c r="C3342" s="49"/>
      <c r="D3342" s="48"/>
      <c r="E3342" s="48"/>
      <c r="F3342" s="48"/>
      <c r="G3342" s="48"/>
      <c r="H3342" s="48"/>
      <c r="I3342" s="48"/>
      <c r="J3342" s="86"/>
      <c r="K3342" s="86"/>
      <c r="L3342" s="86"/>
      <c r="M3342" s="86"/>
      <c r="N3342" s="86"/>
      <c r="O3342" s="86"/>
      <c r="P3342" s="86"/>
      <c r="Q3342" s="86"/>
      <c r="R3342" s="86"/>
      <c r="S3342" s="86"/>
      <c r="T3342" s="86"/>
      <c r="U3342" s="86"/>
      <c r="V3342" s="48"/>
      <c r="W3342" s="48"/>
      <c r="X3342" s="48"/>
      <c r="Y3342" s="48"/>
      <c r="Z3342" s="48"/>
      <c r="AA3342" s="48"/>
      <c r="AB3342" s="48"/>
      <c r="AC3342" s="48"/>
      <c r="AD3342" s="48"/>
      <c r="AE3342" s="48"/>
      <c r="AF3342" s="48"/>
      <c r="AG3342" s="48"/>
      <c r="AH3342" s="48"/>
      <c r="AI3342" s="48"/>
      <c r="AJ3342" s="48"/>
      <c r="AK3342" s="48"/>
      <c r="AL3342" s="48"/>
      <c r="AM3342" s="48"/>
      <c r="AN3342" s="48"/>
      <c r="AO3342" s="48"/>
      <c r="AP3342" s="48"/>
      <c r="AQ3342" s="48"/>
      <c r="AR3342" s="48"/>
      <c r="AS3342" s="48"/>
      <c r="AT3342" s="48"/>
      <c r="AU3342" s="48"/>
      <c r="AV3342" s="48"/>
      <c r="AW3342" s="48"/>
      <c r="AX3342" s="48"/>
      <c r="AY3342" s="48"/>
      <c r="AZ3342" s="48"/>
      <c r="BA3342" s="48"/>
      <c r="BB3342" s="48"/>
      <c r="BC3342" s="48"/>
      <c r="BD3342" s="48"/>
    </row>
    <row r="3343" spans="1:56">
      <c r="A3343" s="48"/>
      <c r="B3343" s="48"/>
      <c r="C3343" s="49"/>
      <c r="D3343" s="48"/>
      <c r="E3343" s="48"/>
      <c r="F3343" s="48"/>
      <c r="G3343" s="48"/>
      <c r="H3343" s="48"/>
      <c r="I3343" s="48"/>
      <c r="J3343" s="86"/>
      <c r="K3343" s="86"/>
      <c r="L3343" s="86"/>
      <c r="M3343" s="86"/>
      <c r="N3343" s="86"/>
      <c r="O3343" s="86"/>
      <c r="P3343" s="86"/>
      <c r="Q3343" s="86"/>
      <c r="R3343" s="86"/>
      <c r="S3343" s="86"/>
      <c r="T3343" s="86"/>
      <c r="U3343" s="86"/>
      <c r="V3343" s="48"/>
      <c r="W3343" s="48"/>
      <c r="X3343" s="48"/>
      <c r="Y3343" s="48"/>
      <c r="Z3343" s="48"/>
      <c r="AA3343" s="48"/>
      <c r="AB3343" s="48"/>
      <c r="AC3343" s="48"/>
      <c r="AD3343" s="48"/>
      <c r="AE3343" s="48"/>
      <c r="AF3343" s="48"/>
      <c r="AG3343" s="48"/>
      <c r="AH3343" s="48"/>
      <c r="AI3343" s="48"/>
      <c r="AJ3343" s="48"/>
      <c r="AK3343" s="48"/>
      <c r="AL3343" s="48"/>
      <c r="AM3343" s="48"/>
      <c r="AN3343" s="48"/>
      <c r="AO3343" s="48"/>
      <c r="AP3343" s="48"/>
      <c r="AQ3343" s="48"/>
      <c r="AR3343" s="48"/>
      <c r="AS3343" s="48"/>
      <c r="AT3343" s="48"/>
      <c r="AU3343" s="48"/>
      <c r="AV3343" s="48"/>
      <c r="AW3343" s="48"/>
      <c r="AX3343" s="48"/>
      <c r="AY3343" s="48"/>
      <c r="AZ3343" s="48"/>
      <c r="BA3343" s="48"/>
      <c r="BB3343" s="48"/>
      <c r="BC3343" s="48"/>
      <c r="BD3343" s="48"/>
    </row>
    <row r="3344" spans="1:56">
      <c r="A3344" s="48"/>
      <c r="B3344" s="48"/>
      <c r="C3344" s="49"/>
      <c r="D3344" s="48"/>
      <c r="E3344" s="48"/>
      <c r="F3344" s="48"/>
      <c r="G3344" s="48"/>
      <c r="H3344" s="48"/>
      <c r="I3344" s="48"/>
      <c r="J3344" s="86"/>
      <c r="K3344" s="86"/>
      <c r="L3344" s="86"/>
      <c r="M3344" s="86"/>
      <c r="N3344" s="86"/>
      <c r="O3344" s="86"/>
      <c r="P3344" s="86"/>
      <c r="Q3344" s="86"/>
      <c r="R3344" s="86"/>
      <c r="S3344" s="86"/>
      <c r="T3344" s="86"/>
      <c r="U3344" s="86"/>
      <c r="V3344" s="48"/>
      <c r="W3344" s="48"/>
      <c r="X3344" s="48"/>
      <c r="Y3344" s="48"/>
      <c r="Z3344" s="48"/>
      <c r="AA3344" s="48"/>
      <c r="AB3344" s="48"/>
      <c r="AC3344" s="48"/>
      <c r="AD3344" s="48"/>
      <c r="AE3344" s="48"/>
      <c r="AF3344" s="48"/>
      <c r="AG3344" s="48"/>
      <c r="AH3344" s="48"/>
      <c r="AI3344" s="48"/>
      <c r="AJ3344" s="48"/>
      <c r="AK3344" s="48"/>
      <c r="AL3344" s="48"/>
      <c r="AM3344" s="48"/>
      <c r="AN3344" s="48"/>
      <c r="AO3344" s="48"/>
      <c r="AP3344" s="48"/>
      <c r="AQ3344" s="48"/>
      <c r="AR3344" s="48"/>
      <c r="AS3344" s="48"/>
      <c r="AT3344" s="48"/>
      <c r="AU3344" s="48"/>
      <c r="AV3344" s="48"/>
      <c r="AW3344" s="48"/>
      <c r="AX3344" s="48"/>
      <c r="AY3344" s="48"/>
      <c r="AZ3344" s="48"/>
      <c r="BA3344" s="48"/>
      <c r="BB3344" s="48"/>
      <c r="BC3344" s="48"/>
      <c r="BD3344" s="48"/>
    </row>
    <row r="3345" spans="1:56">
      <c r="A3345" s="48"/>
      <c r="B3345" s="48"/>
      <c r="C3345" s="49"/>
      <c r="D3345" s="48"/>
      <c r="E3345" s="48"/>
      <c r="F3345" s="48"/>
      <c r="G3345" s="48"/>
      <c r="H3345" s="48"/>
      <c r="I3345" s="48"/>
      <c r="J3345" s="86"/>
      <c r="K3345" s="86"/>
      <c r="L3345" s="86"/>
      <c r="M3345" s="86"/>
      <c r="N3345" s="86"/>
      <c r="O3345" s="86"/>
      <c r="P3345" s="86"/>
      <c r="Q3345" s="86"/>
      <c r="R3345" s="86"/>
      <c r="S3345" s="86"/>
      <c r="T3345" s="86"/>
      <c r="U3345" s="86"/>
      <c r="V3345" s="48"/>
      <c r="W3345" s="48"/>
      <c r="X3345" s="48"/>
      <c r="Y3345" s="48"/>
      <c r="Z3345" s="48"/>
      <c r="AA3345" s="48"/>
      <c r="AB3345" s="48"/>
      <c r="AC3345" s="48"/>
      <c r="AD3345" s="48"/>
      <c r="AE3345" s="48"/>
      <c r="AF3345" s="48"/>
      <c r="AG3345" s="48"/>
      <c r="AH3345" s="48"/>
      <c r="AI3345" s="48"/>
      <c r="AJ3345" s="48"/>
      <c r="AK3345" s="48"/>
      <c r="AL3345" s="48"/>
      <c r="AM3345" s="48"/>
      <c r="AN3345" s="48"/>
      <c r="AO3345" s="48"/>
      <c r="AP3345" s="48"/>
      <c r="AQ3345" s="48"/>
      <c r="AR3345" s="48"/>
      <c r="AS3345" s="48"/>
      <c r="AT3345" s="48"/>
      <c r="AU3345" s="48"/>
      <c r="AV3345" s="48"/>
      <c r="AW3345" s="48"/>
      <c r="AX3345" s="48"/>
      <c r="AY3345" s="48"/>
      <c r="AZ3345" s="48"/>
      <c r="BA3345" s="48"/>
      <c r="BB3345" s="48"/>
      <c r="BC3345" s="48"/>
      <c r="BD3345" s="48"/>
    </row>
    <row r="3346" spans="1:56">
      <c r="A3346" s="48"/>
      <c r="B3346" s="48"/>
      <c r="C3346" s="49"/>
      <c r="D3346" s="48"/>
      <c r="E3346" s="48"/>
      <c r="F3346" s="48"/>
      <c r="G3346" s="48"/>
      <c r="H3346" s="48"/>
      <c r="I3346" s="48"/>
      <c r="J3346" s="86"/>
      <c r="K3346" s="86"/>
      <c r="L3346" s="86"/>
      <c r="M3346" s="86"/>
      <c r="N3346" s="86"/>
      <c r="O3346" s="86"/>
      <c r="P3346" s="86"/>
      <c r="Q3346" s="86"/>
      <c r="R3346" s="86"/>
      <c r="S3346" s="86"/>
      <c r="T3346" s="86"/>
      <c r="U3346" s="86"/>
      <c r="V3346" s="48"/>
      <c r="W3346" s="48"/>
      <c r="X3346" s="48"/>
      <c r="Y3346" s="48"/>
      <c r="Z3346" s="48"/>
      <c r="AA3346" s="48"/>
      <c r="AB3346" s="48"/>
      <c r="AC3346" s="48"/>
      <c r="AD3346" s="48"/>
      <c r="AE3346" s="48"/>
      <c r="AF3346" s="48"/>
      <c r="AG3346" s="48"/>
      <c r="AH3346" s="48"/>
      <c r="AI3346" s="48"/>
      <c r="AJ3346" s="48"/>
      <c r="AK3346" s="48"/>
      <c r="AL3346" s="48"/>
      <c r="AM3346" s="48"/>
      <c r="AN3346" s="48"/>
      <c r="AO3346" s="48"/>
      <c r="AP3346" s="48"/>
      <c r="AQ3346" s="48"/>
      <c r="AR3346" s="48"/>
      <c r="AS3346" s="48"/>
      <c r="AT3346" s="48"/>
      <c r="AU3346" s="48"/>
      <c r="AV3346" s="48"/>
      <c r="AW3346" s="48"/>
      <c r="AX3346" s="48"/>
      <c r="AY3346" s="48"/>
      <c r="AZ3346" s="48"/>
      <c r="BA3346" s="48"/>
      <c r="BB3346" s="48"/>
      <c r="BC3346" s="48"/>
      <c r="BD3346" s="48"/>
    </row>
    <row r="3347" spans="1:56">
      <c r="A3347" s="48"/>
      <c r="B3347" s="48"/>
      <c r="C3347" s="49"/>
      <c r="D3347" s="48"/>
      <c r="E3347" s="48"/>
      <c r="F3347" s="48"/>
      <c r="G3347" s="48"/>
      <c r="H3347" s="48"/>
      <c r="I3347" s="48"/>
      <c r="J3347" s="86"/>
      <c r="K3347" s="86"/>
      <c r="L3347" s="86"/>
      <c r="M3347" s="86"/>
      <c r="N3347" s="86"/>
      <c r="O3347" s="86"/>
      <c r="P3347" s="86"/>
      <c r="Q3347" s="86"/>
      <c r="R3347" s="86"/>
      <c r="S3347" s="86"/>
      <c r="T3347" s="86"/>
      <c r="U3347" s="86"/>
      <c r="V3347" s="48"/>
      <c r="W3347" s="48"/>
      <c r="X3347" s="48"/>
      <c r="Y3347" s="48"/>
      <c r="Z3347" s="48"/>
      <c r="AA3347" s="48"/>
      <c r="AB3347" s="48"/>
      <c r="AC3347" s="48"/>
      <c r="AD3347" s="48"/>
      <c r="AE3347" s="48"/>
      <c r="AF3347" s="48"/>
      <c r="AG3347" s="48"/>
      <c r="AH3347" s="48"/>
      <c r="AI3347" s="48"/>
      <c r="AJ3347" s="48"/>
      <c r="AK3347" s="48"/>
      <c r="AL3347" s="48"/>
      <c r="AM3347" s="48"/>
      <c r="AN3347" s="48"/>
      <c r="AO3347" s="48"/>
      <c r="AP3347" s="48"/>
      <c r="AQ3347" s="48"/>
      <c r="AR3347" s="48"/>
      <c r="AS3347" s="48"/>
      <c r="AT3347" s="48"/>
      <c r="AU3347" s="48"/>
      <c r="AV3347" s="48"/>
      <c r="AW3347" s="48"/>
      <c r="AX3347" s="48"/>
      <c r="AY3347" s="48"/>
      <c r="AZ3347" s="48"/>
      <c r="BA3347" s="48"/>
      <c r="BB3347" s="48"/>
      <c r="BC3347" s="48"/>
      <c r="BD3347" s="48"/>
    </row>
    <row r="3348" spans="1:56">
      <c r="A3348" s="48"/>
      <c r="B3348" s="48"/>
      <c r="C3348" s="49"/>
      <c r="D3348" s="48"/>
      <c r="E3348" s="48"/>
      <c r="F3348" s="48"/>
      <c r="G3348" s="48"/>
      <c r="H3348" s="48"/>
      <c r="I3348" s="48"/>
      <c r="J3348" s="86"/>
      <c r="K3348" s="86"/>
      <c r="L3348" s="86"/>
      <c r="M3348" s="86"/>
      <c r="N3348" s="86"/>
      <c r="O3348" s="86"/>
      <c r="P3348" s="86"/>
      <c r="Q3348" s="86"/>
      <c r="R3348" s="86"/>
      <c r="S3348" s="86"/>
      <c r="T3348" s="86"/>
      <c r="U3348" s="86"/>
      <c r="V3348" s="48"/>
      <c r="W3348" s="48"/>
      <c r="X3348" s="48"/>
      <c r="Y3348" s="48"/>
      <c r="Z3348" s="48"/>
      <c r="AA3348" s="48"/>
      <c r="AB3348" s="48"/>
      <c r="AC3348" s="48"/>
      <c r="AD3348" s="48"/>
      <c r="AE3348" s="48"/>
      <c r="AF3348" s="48"/>
      <c r="AG3348" s="48"/>
      <c r="AH3348" s="48"/>
      <c r="AI3348" s="48"/>
      <c r="AJ3348" s="48"/>
      <c r="AK3348" s="48"/>
      <c r="AL3348" s="48"/>
      <c r="AM3348" s="48"/>
      <c r="AN3348" s="48"/>
      <c r="AO3348" s="48"/>
      <c r="AP3348" s="48"/>
      <c r="AQ3348" s="48"/>
      <c r="AR3348" s="48"/>
      <c r="AS3348" s="48"/>
      <c r="AT3348" s="48"/>
      <c r="AU3348" s="48"/>
      <c r="AV3348" s="48"/>
      <c r="AW3348" s="48"/>
      <c r="AX3348" s="48"/>
      <c r="AY3348" s="48"/>
      <c r="AZ3348" s="48"/>
      <c r="BA3348" s="48"/>
      <c r="BB3348" s="48"/>
      <c r="BC3348" s="48"/>
      <c r="BD3348" s="48"/>
    </row>
    <row r="3349" spans="1:56">
      <c r="A3349" s="48"/>
      <c r="B3349" s="48"/>
      <c r="C3349" s="49"/>
      <c r="D3349" s="48"/>
      <c r="E3349" s="48"/>
      <c r="F3349" s="48"/>
      <c r="G3349" s="48"/>
      <c r="H3349" s="48"/>
      <c r="I3349" s="48"/>
      <c r="J3349" s="86"/>
      <c r="K3349" s="86"/>
      <c r="L3349" s="86"/>
      <c r="M3349" s="86"/>
      <c r="N3349" s="86"/>
      <c r="O3349" s="86"/>
      <c r="P3349" s="86"/>
      <c r="Q3349" s="86"/>
      <c r="R3349" s="86"/>
      <c r="S3349" s="86"/>
      <c r="T3349" s="86"/>
      <c r="U3349" s="86"/>
      <c r="V3349" s="48"/>
      <c r="W3349" s="48"/>
      <c r="X3349" s="48"/>
      <c r="Y3349" s="48"/>
      <c r="Z3349" s="48"/>
      <c r="AA3349" s="48"/>
      <c r="AB3349" s="48"/>
      <c r="AC3349" s="48"/>
      <c r="AD3349" s="48"/>
      <c r="AE3349" s="48"/>
      <c r="AF3349" s="48"/>
      <c r="AG3349" s="48"/>
      <c r="AH3349" s="48"/>
      <c r="AI3349" s="48"/>
      <c r="AJ3349" s="48"/>
      <c r="AK3349" s="48"/>
      <c r="AL3349" s="48"/>
      <c r="AM3349" s="48"/>
      <c r="AN3349" s="48"/>
      <c r="AO3349" s="48"/>
      <c r="AP3349" s="48"/>
      <c r="AQ3349" s="48"/>
      <c r="AR3349" s="48"/>
      <c r="AS3349" s="48"/>
      <c r="AT3349" s="48"/>
      <c r="AU3349" s="48"/>
      <c r="AV3349" s="48"/>
      <c r="AW3349" s="48"/>
      <c r="AX3349" s="48"/>
      <c r="AY3349" s="48"/>
      <c r="AZ3349" s="48"/>
      <c r="BA3349" s="48"/>
      <c r="BB3349" s="48"/>
      <c r="BC3349" s="48"/>
      <c r="BD3349" s="48"/>
    </row>
    <row r="3350" spans="1:56">
      <c r="A3350" s="48"/>
      <c r="B3350" s="48"/>
      <c r="C3350" s="49"/>
      <c r="D3350" s="48"/>
      <c r="E3350" s="48"/>
      <c r="F3350" s="48"/>
      <c r="G3350" s="48"/>
      <c r="H3350" s="48"/>
      <c r="I3350" s="48"/>
      <c r="J3350" s="86"/>
      <c r="K3350" s="86"/>
      <c r="L3350" s="86"/>
      <c r="M3350" s="86"/>
      <c r="N3350" s="86"/>
      <c r="O3350" s="86"/>
      <c r="P3350" s="86"/>
      <c r="Q3350" s="86"/>
      <c r="R3350" s="86"/>
      <c r="S3350" s="86"/>
      <c r="T3350" s="86"/>
      <c r="U3350" s="86"/>
      <c r="V3350" s="48"/>
      <c r="W3350" s="48"/>
      <c r="X3350" s="48"/>
      <c r="Y3350" s="48"/>
      <c r="Z3350" s="48"/>
      <c r="AA3350" s="48"/>
      <c r="AB3350" s="48"/>
      <c r="AC3350" s="48"/>
      <c r="AD3350" s="48"/>
      <c r="AE3350" s="48"/>
      <c r="AF3350" s="48"/>
      <c r="AG3350" s="48"/>
      <c r="AH3350" s="48"/>
      <c r="AI3350" s="48"/>
      <c r="AJ3350" s="48"/>
      <c r="AK3350" s="48"/>
      <c r="AL3350" s="48"/>
      <c r="AM3350" s="48"/>
      <c r="AN3350" s="48"/>
      <c r="AO3350" s="48"/>
      <c r="AP3350" s="48"/>
      <c r="AQ3350" s="48"/>
      <c r="AR3350" s="48"/>
      <c r="AS3350" s="48"/>
      <c r="AT3350" s="48"/>
      <c r="AU3350" s="48"/>
      <c r="AV3350" s="48"/>
      <c r="AW3350" s="48"/>
      <c r="AX3350" s="48"/>
      <c r="AY3350" s="48"/>
      <c r="AZ3350" s="48"/>
      <c r="BA3350" s="48"/>
      <c r="BB3350" s="48"/>
      <c r="BC3350" s="48"/>
      <c r="BD3350" s="48"/>
    </row>
    <row r="3351" spans="1:56">
      <c r="A3351" s="48"/>
      <c r="B3351" s="48"/>
      <c r="C3351" s="49"/>
      <c r="D3351" s="48"/>
      <c r="E3351" s="48"/>
      <c r="F3351" s="48"/>
      <c r="G3351" s="48"/>
      <c r="H3351" s="48"/>
      <c r="I3351" s="48"/>
      <c r="J3351" s="86"/>
      <c r="K3351" s="86"/>
      <c r="L3351" s="86"/>
      <c r="M3351" s="86"/>
      <c r="N3351" s="86"/>
      <c r="O3351" s="86"/>
      <c r="P3351" s="86"/>
      <c r="Q3351" s="86"/>
      <c r="R3351" s="86"/>
      <c r="S3351" s="86"/>
      <c r="T3351" s="86"/>
      <c r="U3351" s="86"/>
      <c r="V3351" s="48"/>
      <c r="W3351" s="48"/>
      <c r="X3351" s="48"/>
      <c r="Y3351" s="48"/>
      <c r="Z3351" s="48"/>
      <c r="AA3351" s="48"/>
      <c r="AB3351" s="48"/>
      <c r="AC3351" s="48"/>
      <c r="AD3351" s="48"/>
      <c r="AE3351" s="48"/>
      <c r="AF3351" s="48"/>
      <c r="AG3351" s="48"/>
      <c r="AH3351" s="48"/>
      <c r="AI3351" s="48"/>
      <c r="AJ3351" s="48"/>
      <c r="AK3351" s="48"/>
      <c r="AL3351" s="48"/>
      <c r="AM3351" s="48"/>
      <c r="AN3351" s="48"/>
      <c r="AO3351" s="48"/>
      <c r="AP3351" s="48"/>
      <c r="AQ3351" s="48"/>
      <c r="AR3351" s="48"/>
      <c r="AS3351" s="48"/>
      <c r="AT3351" s="48"/>
      <c r="AU3351" s="48"/>
      <c r="AV3351" s="48"/>
      <c r="AW3351" s="48"/>
      <c r="AX3351" s="48"/>
      <c r="AY3351" s="48"/>
      <c r="AZ3351" s="48"/>
      <c r="BA3351" s="48"/>
      <c r="BB3351" s="48"/>
      <c r="BC3351" s="48"/>
      <c r="BD3351" s="48"/>
    </row>
    <row r="3352" spans="1:56">
      <c r="A3352" s="48"/>
      <c r="B3352" s="48"/>
      <c r="C3352" s="49"/>
      <c r="D3352" s="48"/>
      <c r="E3352" s="48"/>
      <c r="F3352" s="48"/>
      <c r="G3352" s="48"/>
      <c r="H3352" s="48"/>
      <c r="I3352" s="48"/>
      <c r="J3352" s="86"/>
      <c r="K3352" s="86"/>
      <c r="L3352" s="86"/>
      <c r="M3352" s="86"/>
      <c r="N3352" s="86"/>
      <c r="O3352" s="86"/>
      <c r="P3352" s="86"/>
      <c r="Q3352" s="86"/>
      <c r="R3352" s="86"/>
      <c r="S3352" s="86"/>
      <c r="T3352" s="86"/>
      <c r="U3352" s="86"/>
      <c r="V3352" s="48"/>
      <c r="W3352" s="48"/>
      <c r="X3352" s="48"/>
      <c r="Y3352" s="48"/>
      <c r="Z3352" s="48"/>
      <c r="AA3352" s="48"/>
      <c r="AB3352" s="48"/>
      <c r="AC3352" s="48"/>
      <c r="AD3352" s="48"/>
      <c r="AE3352" s="48"/>
      <c r="AF3352" s="48"/>
      <c r="AG3352" s="48"/>
      <c r="AH3352" s="48"/>
      <c r="AI3352" s="48"/>
      <c r="AJ3352" s="48"/>
      <c r="AK3352" s="48"/>
      <c r="AL3352" s="48"/>
      <c r="AM3352" s="48"/>
      <c r="AN3352" s="48"/>
      <c r="AO3352" s="48"/>
      <c r="AP3352" s="48"/>
      <c r="AQ3352" s="48"/>
      <c r="AR3352" s="48"/>
      <c r="AS3352" s="48"/>
      <c r="AT3352" s="48"/>
      <c r="AU3352" s="48"/>
      <c r="AV3352" s="48"/>
      <c r="AW3352" s="48"/>
      <c r="AX3352" s="48"/>
      <c r="AY3352" s="48"/>
      <c r="AZ3352" s="48"/>
      <c r="BA3352" s="48"/>
      <c r="BB3352" s="48"/>
      <c r="BC3352" s="48"/>
      <c r="BD3352" s="48"/>
    </row>
    <row r="3353" spans="1:56">
      <c r="A3353" s="48"/>
      <c r="B3353" s="48"/>
      <c r="C3353" s="49"/>
      <c r="D3353" s="48"/>
      <c r="E3353" s="48"/>
      <c r="F3353" s="48"/>
      <c r="G3353" s="48"/>
      <c r="H3353" s="48"/>
      <c r="I3353" s="48"/>
      <c r="J3353" s="86"/>
      <c r="K3353" s="86"/>
      <c r="L3353" s="86"/>
      <c r="M3353" s="86"/>
      <c r="N3353" s="86"/>
      <c r="O3353" s="86"/>
      <c r="P3353" s="86"/>
      <c r="Q3353" s="86"/>
      <c r="R3353" s="86"/>
      <c r="S3353" s="86"/>
      <c r="T3353" s="86"/>
      <c r="U3353" s="86"/>
      <c r="V3353" s="48"/>
      <c r="W3353" s="48"/>
      <c r="X3353" s="48"/>
      <c r="Y3353" s="48"/>
      <c r="Z3353" s="48"/>
      <c r="AA3353" s="48"/>
      <c r="AB3353" s="48"/>
      <c r="AC3353" s="48"/>
      <c r="AD3353" s="48"/>
      <c r="AE3353" s="48"/>
      <c r="AF3353" s="48"/>
      <c r="AG3353" s="48"/>
      <c r="AH3353" s="48"/>
      <c r="AI3353" s="48"/>
      <c r="AJ3353" s="48"/>
      <c r="AK3353" s="48"/>
      <c r="AL3353" s="48"/>
      <c r="AM3353" s="48"/>
      <c r="AN3353" s="48"/>
      <c r="AO3353" s="48"/>
      <c r="AP3353" s="48"/>
      <c r="AQ3353" s="48"/>
      <c r="AR3353" s="48"/>
      <c r="AS3353" s="48"/>
      <c r="AT3353" s="48"/>
      <c r="AU3353" s="48"/>
      <c r="AV3353" s="48"/>
      <c r="AW3353" s="48"/>
      <c r="AX3353" s="48"/>
      <c r="AY3353" s="48"/>
      <c r="AZ3353" s="48"/>
      <c r="BA3353" s="48"/>
      <c r="BB3353" s="48"/>
      <c r="BC3353" s="48"/>
      <c r="BD3353" s="48"/>
    </row>
    <row r="3354" spans="1:56">
      <c r="A3354" s="48"/>
      <c r="B3354" s="48"/>
      <c r="C3354" s="49"/>
      <c r="D3354" s="48"/>
      <c r="E3354" s="48"/>
      <c r="F3354" s="48"/>
      <c r="G3354" s="48"/>
      <c r="H3354" s="48"/>
      <c r="I3354" s="48"/>
      <c r="J3354" s="86"/>
      <c r="K3354" s="86"/>
      <c r="L3354" s="86"/>
      <c r="M3354" s="86"/>
      <c r="N3354" s="86"/>
      <c r="O3354" s="86"/>
      <c r="P3354" s="86"/>
      <c r="Q3354" s="86"/>
      <c r="R3354" s="86"/>
      <c r="S3354" s="86"/>
      <c r="T3354" s="86"/>
      <c r="U3354" s="86"/>
      <c r="V3354" s="48"/>
      <c r="W3354" s="48"/>
      <c r="X3354" s="48"/>
      <c r="Y3354" s="48"/>
      <c r="Z3354" s="48"/>
      <c r="AA3354" s="48"/>
      <c r="AB3354" s="48"/>
      <c r="AC3354" s="48"/>
      <c r="AD3354" s="48"/>
      <c r="AE3354" s="48"/>
      <c r="AF3354" s="48"/>
      <c r="AG3354" s="48"/>
      <c r="AH3354" s="48"/>
      <c r="AI3354" s="48"/>
      <c r="AJ3354" s="48"/>
      <c r="AK3354" s="48"/>
      <c r="AL3354" s="48"/>
      <c r="AM3354" s="48"/>
      <c r="AN3354" s="48"/>
      <c r="AO3354" s="48"/>
      <c r="AP3354" s="48"/>
      <c r="AQ3354" s="48"/>
      <c r="AR3354" s="48"/>
      <c r="AS3354" s="48"/>
      <c r="AT3354" s="48"/>
      <c r="AU3354" s="48"/>
      <c r="AV3354" s="48"/>
      <c r="AW3354" s="48"/>
      <c r="AX3354" s="48"/>
      <c r="AY3354" s="48"/>
      <c r="AZ3354" s="48"/>
      <c r="BA3354" s="48"/>
      <c r="BB3354" s="48"/>
      <c r="BC3354" s="48"/>
      <c r="BD3354" s="48"/>
    </row>
    <row r="3355" spans="1:56">
      <c r="A3355" s="48"/>
      <c r="B3355" s="48"/>
      <c r="C3355" s="49"/>
      <c r="D3355" s="48"/>
      <c r="E3355" s="48"/>
      <c r="F3355" s="48"/>
      <c r="G3355" s="48"/>
      <c r="H3355" s="48"/>
      <c r="I3355" s="48"/>
      <c r="J3355" s="86"/>
      <c r="K3355" s="86"/>
      <c r="L3355" s="86"/>
      <c r="M3355" s="86"/>
      <c r="N3355" s="86"/>
      <c r="O3355" s="86"/>
      <c r="P3355" s="86"/>
      <c r="Q3355" s="86"/>
      <c r="R3355" s="86"/>
      <c r="S3355" s="86"/>
      <c r="T3355" s="86"/>
      <c r="U3355" s="86"/>
      <c r="V3355" s="48"/>
      <c r="W3355" s="48"/>
      <c r="X3355" s="48"/>
      <c r="Y3355" s="48"/>
      <c r="Z3355" s="48"/>
      <c r="AA3355" s="48"/>
      <c r="AB3355" s="48"/>
      <c r="AC3355" s="48"/>
      <c r="AD3355" s="48"/>
      <c r="AE3355" s="48"/>
      <c r="AF3355" s="48"/>
      <c r="AG3355" s="48"/>
      <c r="AH3355" s="48"/>
      <c r="AI3355" s="48"/>
      <c r="AJ3355" s="48"/>
      <c r="AK3355" s="48"/>
      <c r="AL3355" s="48"/>
      <c r="AM3355" s="48"/>
      <c r="AN3355" s="48"/>
      <c r="AO3355" s="48"/>
      <c r="AP3355" s="48"/>
      <c r="AQ3355" s="48"/>
      <c r="AR3355" s="48"/>
      <c r="AS3355" s="48"/>
      <c r="AT3355" s="48"/>
      <c r="AU3355" s="48"/>
      <c r="AV3355" s="48"/>
      <c r="AW3355" s="48"/>
      <c r="AX3355" s="48"/>
      <c r="AY3355" s="48"/>
      <c r="AZ3355" s="48"/>
      <c r="BA3355" s="48"/>
      <c r="BB3355" s="48"/>
      <c r="BC3355" s="48"/>
      <c r="BD3355" s="48"/>
    </row>
    <row r="3356" spans="1:56">
      <c r="A3356" s="48"/>
      <c r="B3356" s="48"/>
      <c r="C3356" s="49"/>
      <c r="D3356" s="48"/>
      <c r="E3356" s="48"/>
      <c r="F3356" s="48"/>
      <c r="G3356" s="48"/>
      <c r="H3356" s="48"/>
      <c r="I3356" s="48"/>
      <c r="J3356" s="86"/>
      <c r="K3356" s="86"/>
      <c r="L3356" s="86"/>
      <c r="M3356" s="86"/>
      <c r="N3356" s="86"/>
      <c r="O3356" s="86"/>
      <c r="P3356" s="86"/>
      <c r="Q3356" s="86"/>
      <c r="R3356" s="86"/>
      <c r="S3356" s="86"/>
      <c r="T3356" s="86"/>
      <c r="U3356" s="86"/>
      <c r="V3356" s="48"/>
      <c r="W3356" s="48"/>
      <c r="X3356" s="48"/>
      <c r="Y3356" s="48"/>
      <c r="Z3356" s="48"/>
      <c r="AA3356" s="48"/>
      <c r="AB3356" s="48"/>
      <c r="AC3356" s="48"/>
      <c r="AD3356" s="48"/>
      <c r="AE3356" s="48"/>
      <c r="AF3356" s="48"/>
      <c r="AG3356" s="48"/>
      <c r="AH3356" s="48"/>
      <c r="AI3356" s="48"/>
      <c r="AJ3356" s="48"/>
      <c r="AK3356" s="48"/>
      <c r="AL3356" s="48"/>
      <c r="AM3356" s="48"/>
      <c r="AN3356" s="48"/>
      <c r="AO3356" s="48"/>
      <c r="AP3356" s="48"/>
      <c r="AQ3356" s="48"/>
      <c r="AR3356" s="48"/>
      <c r="AS3356" s="48"/>
      <c r="AT3356" s="48"/>
      <c r="AU3356" s="48"/>
      <c r="AV3356" s="48"/>
      <c r="AW3356" s="48"/>
      <c r="AX3356" s="48"/>
      <c r="AY3356" s="48"/>
      <c r="AZ3356" s="48"/>
      <c r="BA3356" s="48"/>
      <c r="BB3356" s="48"/>
      <c r="BC3356" s="48"/>
      <c r="BD3356" s="48"/>
    </row>
    <row r="3357" spans="1:56">
      <c r="A3357" s="48"/>
      <c r="B3357" s="48"/>
      <c r="C3357" s="49"/>
      <c r="D3357" s="48"/>
      <c r="E3357" s="48"/>
      <c r="F3357" s="48"/>
      <c r="G3357" s="48"/>
      <c r="H3357" s="48"/>
      <c r="I3357" s="48"/>
      <c r="J3357" s="86"/>
      <c r="K3357" s="86"/>
      <c r="L3357" s="86"/>
      <c r="M3357" s="86"/>
      <c r="N3357" s="86"/>
      <c r="O3357" s="86"/>
      <c r="P3357" s="86"/>
      <c r="Q3357" s="86"/>
      <c r="R3357" s="86"/>
      <c r="S3357" s="86"/>
      <c r="T3357" s="86"/>
      <c r="U3357" s="86"/>
      <c r="V3357" s="48"/>
      <c r="W3357" s="48"/>
      <c r="X3357" s="48"/>
      <c r="Y3357" s="48"/>
      <c r="Z3357" s="48"/>
      <c r="AA3357" s="48"/>
      <c r="AB3357" s="48"/>
      <c r="AC3357" s="48"/>
      <c r="AD3357" s="48"/>
      <c r="AE3357" s="48"/>
      <c r="AF3357" s="48"/>
      <c r="AG3357" s="48"/>
      <c r="AH3357" s="48"/>
      <c r="AI3357" s="48"/>
      <c r="AJ3357" s="48"/>
      <c r="AK3357" s="48"/>
      <c r="AL3357" s="48"/>
      <c r="AM3357" s="48"/>
      <c r="AN3357" s="48"/>
      <c r="AO3357" s="48"/>
      <c r="AP3357" s="48"/>
      <c r="AQ3357" s="48"/>
      <c r="AR3357" s="48"/>
      <c r="AS3357" s="48"/>
      <c r="AT3357" s="48"/>
      <c r="AU3357" s="48"/>
      <c r="AV3357" s="48"/>
      <c r="AW3357" s="48"/>
      <c r="AX3357" s="48"/>
      <c r="AY3357" s="48"/>
      <c r="AZ3357" s="48"/>
      <c r="BA3357" s="48"/>
      <c r="BB3357" s="48"/>
      <c r="BC3357" s="48"/>
      <c r="BD3357" s="48"/>
    </row>
    <row r="3358" spans="1:56">
      <c r="A3358" s="48"/>
      <c r="B3358" s="48"/>
      <c r="C3358" s="49"/>
      <c r="D3358" s="48"/>
      <c r="E3358" s="48"/>
      <c r="F3358" s="48"/>
      <c r="G3358" s="48"/>
      <c r="H3358" s="48"/>
      <c r="I3358" s="48"/>
      <c r="J3358" s="86"/>
      <c r="K3358" s="86"/>
      <c r="L3358" s="86"/>
      <c r="M3358" s="86"/>
      <c r="N3358" s="86"/>
      <c r="O3358" s="86"/>
      <c r="P3358" s="86"/>
      <c r="Q3358" s="86"/>
      <c r="R3358" s="86"/>
      <c r="S3358" s="86"/>
      <c r="T3358" s="86"/>
      <c r="U3358" s="86"/>
      <c r="V3358" s="48"/>
      <c r="W3358" s="48"/>
      <c r="X3358" s="48"/>
      <c r="Y3358" s="48"/>
      <c r="Z3358" s="48"/>
      <c r="AA3358" s="48"/>
      <c r="AB3358" s="48"/>
      <c r="AC3358" s="48"/>
      <c r="AD3358" s="48"/>
      <c r="AE3358" s="48"/>
      <c r="AF3358" s="48"/>
      <c r="AG3358" s="48"/>
      <c r="AH3358" s="48"/>
      <c r="AI3358" s="48"/>
      <c r="AJ3358" s="48"/>
      <c r="AK3358" s="48"/>
      <c r="AL3358" s="48"/>
      <c r="AM3358" s="48"/>
      <c r="AN3358" s="48"/>
      <c r="AO3358" s="48"/>
      <c r="AP3358" s="48"/>
      <c r="AQ3358" s="48"/>
      <c r="AR3358" s="48"/>
      <c r="AS3358" s="48"/>
      <c r="AT3358" s="48"/>
      <c r="AU3358" s="48"/>
      <c r="AV3358" s="48"/>
      <c r="AW3358" s="48"/>
      <c r="AX3358" s="48"/>
      <c r="AY3358" s="48"/>
      <c r="AZ3358" s="48"/>
      <c r="BA3358" s="48"/>
      <c r="BB3358" s="48"/>
      <c r="BC3358" s="48"/>
      <c r="BD3358" s="48"/>
    </row>
    <row r="3359" spans="1:56">
      <c r="A3359" s="48"/>
      <c r="B3359" s="48"/>
      <c r="C3359" s="49"/>
      <c r="D3359" s="48"/>
      <c r="E3359" s="48"/>
      <c r="F3359" s="48"/>
      <c r="G3359" s="48"/>
      <c r="H3359" s="48"/>
      <c r="I3359" s="48"/>
      <c r="J3359" s="86"/>
      <c r="K3359" s="86"/>
      <c r="L3359" s="86"/>
      <c r="M3359" s="86"/>
      <c r="N3359" s="86"/>
      <c r="O3359" s="86"/>
      <c r="P3359" s="86"/>
      <c r="Q3359" s="86"/>
      <c r="R3359" s="86"/>
      <c r="S3359" s="86"/>
      <c r="T3359" s="86"/>
      <c r="U3359" s="86"/>
      <c r="V3359" s="48"/>
      <c r="W3359" s="48"/>
      <c r="X3359" s="48"/>
      <c r="Y3359" s="48"/>
      <c r="Z3359" s="48"/>
      <c r="AA3359" s="48"/>
      <c r="AB3359" s="48"/>
      <c r="AC3359" s="48"/>
      <c r="AD3359" s="48"/>
      <c r="AE3359" s="48"/>
      <c r="AF3359" s="48"/>
      <c r="AG3359" s="48"/>
      <c r="AH3359" s="48"/>
      <c r="AI3359" s="48"/>
      <c r="AJ3359" s="48"/>
      <c r="AK3359" s="48"/>
      <c r="AL3359" s="48"/>
      <c r="AM3359" s="48"/>
      <c r="AN3359" s="48"/>
      <c r="AO3359" s="48"/>
      <c r="AP3359" s="48"/>
      <c r="AQ3359" s="48"/>
      <c r="AR3359" s="48"/>
      <c r="AS3359" s="48"/>
      <c r="AT3359" s="48"/>
      <c r="AU3359" s="48"/>
      <c r="AV3359" s="48"/>
      <c r="AW3359" s="48"/>
      <c r="AX3359" s="48"/>
      <c r="AY3359" s="48"/>
      <c r="AZ3359" s="48"/>
      <c r="BA3359" s="48"/>
      <c r="BB3359" s="48"/>
      <c r="BC3359" s="48"/>
      <c r="BD3359" s="48"/>
    </row>
    <row r="3360" spans="1:56">
      <c r="A3360" s="48"/>
      <c r="B3360" s="48"/>
      <c r="C3360" s="49"/>
      <c r="D3360" s="48"/>
      <c r="E3360" s="48"/>
      <c r="F3360" s="48"/>
      <c r="G3360" s="48"/>
      <c r="H3360" s="48"/>
      <c r="I3360" s="48"/>
      <c r="J3360" s="86"/>
      <c r="K3360" s="86"/>
      <c r="L3360" s="86"/>
      <c r="M3360" s="86"/>
      <c r="N3360" s="86"/>
      <c r="O3360" s="86"/>
      <c r="P3360" s="86"/>
      <c r="Q3360" s="86"/>
      <c r="R3360" s="86"/>
      <c r="S3360" s="86"/>
      <c r="T3360" s="86"/>
      <c r="U3360" s="86"/>
      <c r="V3360" s="48"/>
      <c r="W3360" s="48"/>
      <c r="X3360" s="48"/>
      <c r="Y3360" s="48"/>
      <c r="Z3360" s="48"/>
      <c r="AA3360" s="48"/>
      <c r="AB3360" s="48"/>
      <c r="AC3360" s="48"/>
      <c r="AD3360" s="48"/>
      <c r="AE3360" s="48"/>
      <c r="AF3360" s="48"/>
      <c r="AG3360" s="48"/>
      <c r="AH3360" s="48"/>
      <c r="AI3360" s="48"/>
      <c r="AJ3360" s="48"/>
      <c r="AK3360" s="48"/>
      <c r="AL3360" s="48"/>
      <c r="AM3360" s="48"/>
      <c r="AN3360" s="48"/>
      <c r="AO3360" s="48"/>
      <c r="AP3360" s="48"/>
      <c r="AQ3360" s="48"/>
      <c r="AR3360" s="48"/>
      <c r="AS3360" s="48"/>
      <c r="AT3360" s="48"/>
      <c r="AU3360" s="48"/>
      <c r="AV3360" s="48"/>
      <c r="AW3360" s="48"/>
      <c r="AX3360" s="48"/>
      <c r="AY3360" s="48"/>
      <c r="AZ3360" s="48"/>
      <c r="BA3360" s="48"/>
      <c r="BB3360" s="48"/>
      <c r="BC3360" s="48"/>
      <c r="BD3360" s="48"/>
    </row>
    <row r="3361" spans="1:56">
      <c r="A3361" s="48"/>
      <c r="B3361" s="48"/>
      <c r="C3361" s="49"/>
      <c r="D3361" s="48"/>
      <c r="E3361" s="48"/>
      <c r="F3361" s="48"/>
      <c r="G3361" s="48"/>
      <c r="H3361" s="48"/>
      <c r="I3361" s="48"/>
      <c r="J3361" s="86"/>
      <c r="K3361" s="86"/>
      <c r="L3361" s="86"/>
      <c r="M3361" s="86"/>
      <c r="N3361" s="86"/>
      <c r="O3361" s="86"/>
      <c r="P3361" s="86"/>
      <c r="Q3361" s="86"/>
      <c r="R3361" s="86"/>
      <c r="S3361" s="86"/>
      <c r="T3361" s="86"/>
      <c r="U3361" s="86"/>
      <c r="V3361" s="48"/>
      <c r="W3361" s="48"/>
      <c r="X3361" s="48"/>
      <c r="Y3361" s="48"/>
      <c r="Z3361" s="48"/>
      <c r="AA3361" s="48"/>
      <c r="AB3361" s="48"/>
      <c r="AC3361" s="48"/>
      <c r="AD3361" s="48"/>
      <c r="AE3361" s="48"/>
      <c r="AF3361" s="48"/>
      <c r="AG3361" s="48"/>
      <c r="AH3361" s="48"/>
      <c r="AI3361" s="48"/>
      <c r="AJ3361" s="48"/>
      <c r="AK3361" s="48"/>
      <c r="AL3361" s="48"/>
      <c r="AM3361" s="48"/>
      <c r="AN3361" s="48"/>
      <c r="AO3361" s="48"/>
      <c r="AP3361" s="48"/>
      <c r="AQ3361" s="48"/>
      <c r="AR3361" s="48"/>
      <c r="AS3361" s="48"/>
      <c r="AT3361" s="48"/>
      <c r="AU3361" s="48"/>
      <c r="AV3361" s="48"/>
      <c r="AW3361" s="48"/>
      <c r="AX3361" s="48"/>
      <c r="AY3361" s="48"/>
      <c r="AZ3361" s="48"/>
      <c r="BA3361" s="48"/>
      <c r="BB3361" s="48"/>
      <c r="BC3361" s="48"/>
      <c r="BD3361" s="48"/>
    </row>
    <row r="3362" spans="1:56">
      <c r="A3362" s="48"/>
      <c r="B3362" s="48"/>
      <c r="C3362" s="49"/>
      <c r="D3362" s="48"/>
      <c r="E3362" s="48"/>
      <c r="F3362" s="48"/>
      <c r="G3362" s="48"/>
      <c r="H3362" s="48"/>
      <c r="I3362" s="48"/>
      <c r="J3362" s="86"/>
      <c r="K3362" s="86"/>
      <c r="L3362" s="86"/>
      <c r="M3362" s="86"/>
      <c r="N3362" s="86"/>
      <c r="O3362" s="86"/>
      <c r="P3362" s="86"/>
      <c r="Q3362" s="86"/>
      <c r="R3362" s="86"/>
      <c r="S3362" s="86"/>
      <c r="T3362" s="86"/>
      <c r="U3362" s="86"/>
      <c r="V3362" s="48"/>
      <c r="W3362" s="48"/>
      <c r="X3362" s="48"/>
      <c r="Y3362" s="48"/>
      <c r="Z3362" s="48"/>
      <c r="AA3362" s="48"/>
      <c r="AB3362" s="48"/>
      <c r="AC3362" s="48"/>
      <c r="AD3362" s="48"/>
      <c r="AE3362" s="48"/>
      <c r="AF3362" s="48"/>
      <c r="AG3362" s="48"/>
      <c r="AH3362" s="48"/>
      <c r="AI3362" s="48"/>
      <c r="AJ3362" s="48"/>
      <c r="AK3362" s="48"/>
      <c r="AL3362" s="48"/>
      <c r="AM3362" s="48"/>
      <c r="AN3362" s="48"/>
      <c r="AO3362" s="48"/>
      <c r="AP3362" s="48"/>
      <c r="AQ3362" s="48"/>
      <c r="AR3362" s="48"/>
      <c r="AS3362" s="48"/>
      <c r="AT3362" s="48"/>
      <c r="AU3362" s="48"/>
      <c r="AV3362" s="48"/>
      <c r="AW3362" s="48"/>
      <c r="AX3362" s="48"/>
      <c r="AY3362" s="48"/>
      <c r="AZ3362" s="48"/>
      <c r="BA3362" s="48"/>
      <c r="BB3362" s="48"/>
      <c r="BC3362" s="48"/>
      <c r="BD3362" s="48"/>
    </row>
    <row r="3363" spans="1:56">
      <c r="A3363" s="48"/>
      <c r="B3363" s="48"/>
      <c r="C3363" s="49"/>
      <c r="D3363" s="48"/>
      <c r="E3363" s="48"/>
      <c r="F3363" s="48"/>
      <c r="G3363" s="48"/>
      <c r="H3363" s="48"/>
      <c r="I3363" s="48"/>
      <c r="J3363" s="86"/>
      <c r="K3363" s="86"/>
      <c r="L3363" s="86"/>
      <c r="M3363" s="86"/>
      <c r="N3363" s="86"/>
      <c r="O3363" s="86"/>
      <c r="P3363" s="86"/>
      <c r="Q3363" s="86"/>
      <c r="R3363" s="86"/>
      <c r="S3363" s="86"/>
      <c r="T3363" s="86"/>
      <c r="U3363" s="86"/>
      <c r="V3363" s="48"/>
      <c r="W3363" s="48"/>
      <c r="X3363" s="48"/>
      <c r="Y3363" s="48"/>
      <c r="Z3363" s="48"/>
      <c r="AA3363" s="48"/>
      <c r="AB3363" s="48"/>
      <c r="AC3363" s="48"/>
      <c r="AD3363" s="48"/>
      <c r="AE3363" s="48"/>
      <c r="AF3363" s="48"/>
      <c r="AG3363" s="48"/>
      <c r="AH3363" s="48"/>
      <c r="AI3363" s="48"/>
      <c r="AJ3363" s="48"/>
      <c r="AK3363" s="48"/>
      <c r="AL3363" s="48"/>
      <c r="AM3363" s="48"/>
      <c r="AN3363" s="48"/>
      <c r="AO3363" s="48"/>
      <c r="AP3363" s="48"/>
      <c r="AQ3363" s="48"/>
      <c r="AR3363" s="48"/>
      <c r="AS3363" s="48"/>
      <c r="AT3363" s="48"/>
      <c r="AU3363" s="48"/>
      <c r="AV3363" s="48"/>
      <c r="AW3363" s="48"/>
      <c r="AX3363" s="48"/>
      <c r="AY3363" s="48"/>
      <c r="AZ3363" s="48"/>
      <c r="BA3363" s="48"/>
      <c r="BB3363" s="48"/>
      <c r="BC3363" s="48"/>
      <c r="BD3363" s="48"/>
    </row>
    <row r="3364" spans="1:56">
      <c r="A3364" s="48"/>
      <c r="B3364" s="48"/>
      <c r="C3364" s="49"/>
      <c r="D3364" s="48"/>
      <c r="E3364" s="48"/>
      <c r="F3364" s="48"/>
      <c r="G3364" s="48"/>
      <c r="H3364" s="48"/>
      <c r="I3364" s="48"/>
      <c r="J3364" s="86"/>
      <c r="K3364" s="86"/>
      <c r="L3364" s="86"/>
      <c r="M3364" s="86"/>
      <c r="N3364" s="86"/>
      <c r="O3364" s="86"/>
      <c r="P3364" s="86"/>
      <c r="Q3364" s="86"/>
      <c r="R3364" s="86"/>
      <c r="S3364" s="86"/>
      <c r="T3364" s="86"/>
      <c r="U3364" s="86"/>
      <c r="V3364" s="48"/>
      <c r="W3364" s="48"/>
      <c r="X3364" s="48"/>
      <c r="Y3364" s="48"/>
      <c r="Z3364" s="48"/>
      <c r="AA3364" s="48"/>
      <c r="AB3364" s="48"/>
      <c r="AC3364" s="48"/>
      <c r="AD3364" s="48"/>
      <c r="AE3364" s="48"/>
      <c r="AF3364" s="48"/>
      <c r="AG3364" s="48"/>
      <c r="AH3364" s="48"/>
      <c r="AI3364" s="48"/>
      <c r="AJ3364" s="48"/>
      <c r="AK3364" s="48"/>
      <c r="AL3364" s="48"/>
      <c r="AM3364" s="48"/>
      <c r="AN3364" s="48"/>
      <c r="AO3364" s="48"/>
      <c r="AP3364" s="48"/>
      <c r="AQ3364" s="48"/>
      <c r="AR3364" s="48"/>
      <c r="AS3364" s="48"/>
      <c r="AT3364" s="48"/>
      <c r="AU3364" s="48"/>
      <c r="AV3364" s="48"/>
      <c r="AW3364" s="48"/>
      <c r="AX3364" s="48"/>
      <c r="AY3364" s="48"/>
      <c r="AZ3364" s="48"/>
      <c r="BA3364" s="48"/>
      <c r="BB3364" s="48"/>
      <c r="BC3364" s="48"/>
      <c r="BD3364" s="48"/>
    </row>
    <row r="3365" spans="1:56">
      <c r="A3365" s="48"/>
      <c r="B3365" s="48"/>
      <c r="C3365" s="49"/>
      <c r="D3365" s="48"/>
      <c r="E3365" s="48"/>
      <c r="F3365" s="48"/>
      <c r="G3365" s="48"/>
      <c r="H3365" s="48"/>
      <c r="I3365" s="48"/>
      <c r="J3365" s="86"/>
      <c r="K3365" s="86"/>
      <c r="L3365" s="86"/>
      <c r="M3365" s="86"/>
      <c r="N3365" s="86"/>
      <c r="O3365" s="86"/>
      <c r="P3365" s="86"/>
      <c r="Q3365" s="86"/>
      <c r="R3365" s="86"/>
      <c r="S3365" s="86"/>
      <c r="T3365" s="86"/>
      <c r="U3365" s="86"/>
      <c r="V3365" s="48"/>
      <c r="W3365" s="48"/>
      <c r="X3365" s="48"/>
      <c r="Y3365" s="48"/>
      <c r="Z3365" s="48"/>
      <c r="AA3365" s="48"/>
      <c r="AB3365" s="48"/>
      <c r="AC3365" s="48"/>
      <c r="AD3365" s="48"/>
      <c r="AE3365" s="48"/>
      <c r="AF3365" s="48"/>
      <c r="AG3365" s="48"/>
      <c r="AH3365" s="48"/>
      <c r="AI3365" s="48"/>
      <c r="AJ3365" s="48"/>
      <c r="AK3365" s="48"/>
      <c r="AL3365" s="48"/>
      <c r="AM3365" s="48"/>
      <c r="AN3365" s="48"/>
      <c r="AO3365" s="48"/>
      <c r="AP3365" s="48"/>
      <c r="AQ3365" s="48"/>
      <c r="AR3365" s="48"/>
      <c r="AS3365" s="48"/>
      <c r="AT3365" s="48"/>
      <c r="AU3365" s="48"/>
      <c r="AV3365" s="48"/>
      <c r="AW3365" s="48"/>
      <c r="AX3365" s="48"/>
      <c r="AY3365" s="48"/>
      <c r="AZ3365" s="48"/>
      <c r="BA3365" s="48"/>
      <c r="BB3365" s="48"/>
      <c r="BC3365" s="48"/>
      <c r="BD3365" s="48"/>
    </row>
    <row r="3366" spans="1:56">
      <c r="A3366" s="48"/>
      <c r="B3366" s="48"/>
      <c r="C3366" s="49"/>
      <c r="D3366" s="48"/>
      <c r="E3366" s="48"/>
      <c r="F3366" s="48"/>
      <c r="G3366" s="48"/>
      <c r="H3366" s="48"/>
      <c r="I3366" s="48"/>
      <c r="J3366" s="86"/>
      <c r="K3366" s="86"/>
      <c r="L3366" s="86"/>
      <c r="M3366" s="86"/>
      <c r="N3366" s="86"/>
      <c r="O3366" s="86"/>
      <c r="P3366" s="86"/>
      <c r="Q3366" s="86"/>
      <c r="R3366" s="86"/>
      <c r="S3366" s="86"/>
      <c r="T3366" s="86"/>
      <c r="U3366" s="86"/>
      <c r="V3366" s="48"/>
      <c r="W3366" s="48"/>
      <c r="X3366" s="48"/>
      <c r="Y3366" s="48"/>
      <c r="Z3366" s="48"/>
      <c r="AA3366" s="48"/>
      <c r="AB3366" s="48"/>
      <c r="AC3366" s="48"/>
      <c r="AD3366" s="48"/>
      <c r="AE3366" s="48"/>
      <c r="AF3366" s="48"/>
      <c r="AG3366" s="48"/>
      <c r="AH3366" s="48"/>
      <c r="AI3366" s="48"/>
      <c r="AJ3366" s="48"/>
      <c r="AK3366" s="48"/>
      <c r="AL3366" s="48"/>
      <c r="AM3366" s="48"/>
      <c r="AN3366" s="48"/>
      <c r="AO3366" s="48"/>
      <c r="AP3366" s="48"/>
      <c r="AQ3366" s="48"/>
      <c r="AR3366" s="48"/>
      <c r="AS3366" s="48"/>
      <c r="AT3366" s="48"/>
      <c r="AU3366" s="48"/>
      <c r="AV3366" s="48"/>
      <c r="AW3366" s="48"/>
      <c r="AX3366" s="48"/>
      <c r="AY3366" s="48"/>
      <c r="AZ3366" s="48"/>
      <c r="BA3366" s="48"/>
      <c r="BB3366" s="48"/>
      <c r="BC3366" s="48"/>
      <c r="BD3366" s="48"/>
    </row>
    <row r="3367" spans="1:56">
      <c r="A3367" s="48"/>
      <c r="B3367" s="48"/>
      <c r="C3367" s="49"/>
      <c r="D3367" s="48"/>
      <c r="E3367" s="48"/>
      <c r="F3367" s="48"/>
      <c r="G3367" s="48"/>
      <c r="H3367" s="48"/>
      <c r="I3367" s="48"/>
      <c r="J3367" s="86"/>
      <c r="K3367" s="86"/>
      <c r="L3367" s="86"/>
      <c r="M3367" s="86"/>
      <c r="N3367" s="86"/>
      <c r="O3367" s="86"/>
      <c r="P3367" s="86"/>
      <c r="Q3367" s="86"/>
      <c r="R3367" s="86"/>
      <c r="S3367" s="86"/>
      <c r="T3367" s="86"/>
      <c r="U3367" s="86"/>
      <c r="V3367" s="48"/>
      <c r="W3367" s="48"/>
      <c r="X3367" s="48"/>
      <c r="Y3367" s="48"/>
      <c r="Z3367" s="48"/>
      <c r="AA3367" s="48"/>
      <c r="AB3367" s="48"/>
      <c r="AC3367" s="48"/>
      <c r="AD3367" s="48"/>
      <c r="AE3367" s="48"/>
      <c r="AF3367" s="48"/>
      <c r="AG3367" s="48"/>
      <c r="AH3367" s="48"/>
      <c r="AI3367" s="48"/>
      <c r="AJ3367" s="48"/>
      <c r="AK3367" s="48"/>
      <c r="AL3367" s="48"/>
      <c r="AM3367" s="48"/>
      <c r="AN3367" s="48"/>
      <c r="AO3367" s="48"/>
      <c r="AP3367" s="48"/>
      <c r="AQ3367" s="48"/>
      <c r="AR3367" s="48"/>
      <c r="AS3367" s="48"/>
      <c r="AT3367" s="48"/>
      <c r="AU3367" s="48"/>
      <c r="AV3367" s="48"/>
      <c r="AW3367" s="48"/>
      <c r="AX3367" s="48"/>
      <c r="AY3367" s="48"/>
      <c r="AZ3367" s="48"/>
      <c r="BA3367" s="48"/>
      <c r="BB3367" s="48"/>
      <c r="BC3367" s="48"/>
      <c r="BD3367" s="48"/>
    </row>
    <row r="3368" spans="1:56">
      <c r="A3368" s="48"/>
      <c r="B3368" s="48"/>
      <c r="C3368" s="49"/>
      <c r="D3368" s="48"/>
      <c r="E3368" s="48"/>
      <c r="F3368" s="48"/>
      <c r="G3368" s="48"/>
      <c r="H3368" s="48"/>
      <c r="I3368" s="48"/>
      <c r="J3368" s="86"/>
      <c r="K3368" s="86"/>
      <c r="L3368" s="86"/>
      <c r="M3368" s="86"/>
      <c r="N3368" s="86"/>
      <c r="O3368" s="86"/>
      <c r="P3368" s="86"/>
      <c r="Q3368" s="86"/>
      <c r="R3368" s="86"/>
      <c r="S3368" s="86"/>
      <c r="T3368" s="86"/>
      <c r="U3368" s="86"/>
      <c r="V3368" s="48"/>
      <c r="W3368" s="48"/>
      <c r="X3368" s="48"/>
      <c r="Y3368" s="48"/>
      <c r="Z3368" s="48"/>
      <c r="AA3368" s="48"/>
      <c r="AB3368" s="48"/>
      <c r="AC3368" s="48"/>
      <c r="AD3368" s="48"/>
      <c r="AE3368" s="48"/>
      <c r="AF3368" s="48"/>
      <c r="AG3368" s="48"/>
      <c r="AH3368" s="48"/>
      <c r="AI3368" s="48"/>
      <c r="AJ3368" s="48"/>
      <c r="AK3368" s="48"/>
      <c r="AL3368" s="48"/>
      <c r="AM3368" s="48"/>
      <c r="AN3368" s="48"/>
      <c r="AO3368" s="48"/>
      <c r="AP3368" s="48"/>
      <c r="AQ3368" s="48"/>
      <c r="AR3368" s="48"/>
      <c r="AS3368" s="48"/>
      <c r="AT3368" s="48"/>
      <c r="AU3368" s="48"/>
      <c r="AV3368" s="48"/>
      <c r="AW3368" s="48"/>
      <c r="AX3368" s="48"/>
      <c r="AY3368" s="48"/>
      <c r="AZ3368" s="48"/>
      <c r="BA3368" s="48"/>
      <c r="BB3368" s="48"/>
      <c r="BC3368" s="48"/>
      <c r="BD3368" s="48"/>
    </row>
    <row r="3369" spans="1:56">
      <c r="A3369" s="48"/>
      <c r="B3369" s="48"/>
      <c r="C3369" s="49"/>
      <c r="D3369" s="48"/>
      <c r="E3369" s="48"/>
      <c r="F3369" s="48"/>
      <c r="G3369" s="48"/>
      <c r="H3369" s="48"/>
      <c r="I3369" s="48"/>
      <c r="J3369" s="86"/>
      <c r="K3369" s="86"/>
      <c r="L3369" s="86"/>
      <c r="M3369" s="86"/>
      <c r="N3369" s="86"/>
      <c r="O3369" s="86"/>
      <c r="P3369" s="86"/>
      <c r="Q3369" s="86"/>
      <c r="R3369" s="86"/>
      <c r="S3369" s="86"/>
      <c r="T3369" s="86"/>
      <c r="U3369" s="86"/>
      <c r="V3369" s="48"/>
      <c r="W3369" s="48"/>
      <c r="X3369" s="48"/>
      <c r="Y3369" s="48"/>
      <c r="Z3369" s="48"/>
      <c r="AA3369" s="48"/>
      <c r="AB3369" s="48"/>
      <c r="AC3369" s="48"/>
      <c r="AD3369" s="48"/>
      <c r="AE3369" s="48"/>
      <c r="AF3369" s="48"/>
      <c r="AG3369" s="48"/>
      <c r="AH3369" s="48"/>
      <c r="AI3369" s="48"/>
      <c r="AJ3369" s="48"/>
      <c r="AK3369" s="48"/>
      <c r="AL3369" s="48"/>
      <c r="AM3369" s="48"/>
      <c r="AN3369" s="48"/>
      <c r="AO3369" s="48"/>
      <c r="AP3369" s="48"/>
      <c r="AQ3369" s="48"/>
      <c r="AR3369" s="48"/>
      <c r="AS3369" s="48"/>
      <c r="AT3369" s="48"/>
      <c r="AU3369" s="48"/>
      <c r="AV3369" s="48"/>
      <c r="AW3369" s="48"/>
      <c r="AX3369" s="48"/>
      <c r="AY3369" s="48"/>
      <c r="AZ3369" s="48"/>
      <c r="BA3369" s="48"/>
      <c r="BB3369" s="48"/>
      <c r="BC3369" s="48"/>
      <c r="BD3369" s="48"/>
    </row>
    <row r="3370" spans="1:56">
      <c r="A3370" s="48"/>
      <c r="B3370" s="48"/>
      <c r="C3370" s="49"/>
      <c r="D3370" s="48"/>
      <c r="E3370" s="48"/>
      <c r="F3370" s="48"/>
      <c r="G3370" s="48"/>
      <c r="H3370" s="48"/>
      <c r="I3370" s="48"/>
      <c r="J3370" s="86"/>
      <c r="K3370" s="86"/>
      <c r="L3370" s="86"/>
      <c r="M3370" s="86"/>
      <c r="N3370" s="86"/>
      <c r="O3370" s="86"/>
      <c r="P3370" s="86"/>
      <c r="Q3370" s="86"/>
      <c r="R3370" s="86"/>
      <c r="S3370" s="86"/>
      <c r="T3370" s="86"/>
      <c r="U3370" s="86"/>
      <c r="V3370" s="48"/>
      <c r="W3370" s="48"/>
      <c r="X3370" s="48"/>
      <c r="Y3370" s="48"/>
      <c r="Z3370" s="48"/>
      <c r="AA3370" s="48"/>
      <c r="AB3370" s="48"/>
      <c r="AC3370" s="48"/>
      <c r="AD3370" s="48"/>
      <c r="AE3370" s="48"/>
      <c r="AF3370" s="48"/>
      <c r="AG3370" s="48"/>
      <c r="AH3370" s="48"/>
      <c r="AI3370" s="48"/>
      <c r="AJ3370" s="48"/>
      <c r="AK3370" s="48"/>
      <c r="AL3370" s="48"/>
      <c r="AM3370" s="48"/>
      <c r="AN3370" s="48"/>
      <c r="AO3370" s="48"/>
      <c r="AP3370" s="48"/>
      <c r="AQ3370" s="48"/>
      <c r="AR3370" s="48"/>
      <c r="AS3370" s="48"/>
      <c r="AT3370" s="48"/>
      <c r="AU3370" s="48"/>
      <c r="AV3370" s="48"/>
      <c r="AW3370" s="48"/>
      <c r="AX3370" s="48"/>
      <c r="AY3370" s="48"/>
      <c r="AZ3370" s="48"/>
      <c r="BA3370" s="48"/>
      <c r="BB3370" s="48"/>
      <c r="BC3370" s="48"/>
      <c r="BD3370" s="48"/>
    </row>
    <row r="3371" spans="1:56">
      <c r="A3371" s="48"/>
      <c r="B3371" s="48"/>
      <c r="C3371" s="49"/>
      <c r="D3371" s="48"/>
      <c r="E3371" s="48"/>
      <c r="F3371" s="48"/>
      <c r="G3371" s="48"/>
      <c r="H3371" s="48"/>
      <c r="I3371" s="48"/>
      <c r="J3371" s="86"/>
      <c r="K3371" s="86"/>
      <c r="L3371" s="86"/>
      <c r="M3371" s="86"/>
      <c r="N3371" s="86"/>
      <c r="O3371" s="86"/>
      <c r="P3371" s="86"/>
      <c r="Q3371" s="86"/>
      <c r="R3371" s="86"/>
      <c r="S3371" s="86"/>
      <c r="T3371" s="86"/>
      <c r="U3371" s="86"/>
      <c r="V3371" s="48"/>
      <c r="W3371" s="48"/>
      <c r="X3371" s="48"/>
      <c r="Y3371" s="48"/>
      <c r="Z3371" s="48"/>
      <c r="AA3371" s="48"/>
      <c r="AB3371" s="48"/>
      <c r="AC3371" s="48"/>
      <c r="AD3371" s="48"/>
      <c r="AE3371" s="48"/>
      <c r="AF3371" s="48"/>
      <c r="AG3371" s="48"/>
      <c r="AH3371" s="48"/>
      <c r="AI3371" s="48"/>
      <c r="AJ3371" s="48"/>
      <c r="AK3371" s="48"/>
      <c r="AL3371" s="48"/>
      <c r="AM3371" s="48"/>
      <c r="AN3371" s="48"/>
      <c r="AO3371" s="48"/>
      <c r="AP3371" s="48"/>
      <c r="AQ3371" s="48"/>
      <c r="AR3371" s="48"/>
      <c r="AS3371" s="48"/>
      <c r="AT3371" s="48"/>
      <c r="AU3371" s="48"/>
      <c r="AV3371" s="48"/>
      <c r="AW3371" s="48"/>
      <c r="AX3371" s="48"/>
      <c r="AY3371" s="48"/>
      <c r="AZ3371" s="48"/>
      <c r="BA3371" s="48"/>
      <c r="BB3371" s="48"/>
      <c r="BC3371" s="48"/>
      <c r="BD3371" s="48"/>
    </row>
    <row r="3372" spans="1:56">
      <c r="A3372" s="48"/>
      <c r="B3372" s="48"/>
      <c r="C3372" s="49"/>
      <c r="D3372" s="48"/>
      <c r="E3372" s="48"/>
      <c r="F3372" s="48"/>
      <c r="G3372" s="48"/>
      <c r="H3372" s="48"/>
      <c r="I3372" s="48"/>
      <c r="J3372" s="86"/>
      <c r="K3372" s="86"/>
      <c r="L3372" s="86"/>
      <c r="M3372" s="86"/>
      <c r="N3372" s="86"/>
      <c r="O3372" s="86"/>
      <c r="P3372" s="86"/>
      <c r="Q3372" s="86"/>
      <c r="R3372" s="86"/>
      <c r="S3372" s="86"/>
      <c r="T3372" s="86"/>
      <c r="U3372" s="86"/>
      <c r="V3372" s="48"/>
      <c r="W3372" s="48"/>
      <c r="X3372" s="48"/>
      <c r="Y3372" s="48"/>
      <c r="Z3372" s="48"/>
      <c r="AA3372" s="48"/>
      <c r="AB3372" s="48"/>
      <c r="AC3372" s="48"/>
      <c r="AD3372" s="48"/>
      <c r="AE3372" s="48"/>
      <c r="AF3372" s="48"/>
      <c r="AG3372" s="48"/>
      <c r="AH3372" s="48"/>
      <c r="AI3372" s="48"/>
      <c r="AJ3372" s="48"/>
      <c r="AK3372" s="48"/>
      <c r="AL3372" s="48"/>
      <c r="AM3372" s="48"/>
      <c r="AN3372" s="48"/>
      <c r="AO3372" s="48"/>
      <c r="AP3372" s="48"/>
      <c r="AQ3372" s="48"/>
      <c r="AR3372" s="48"/>
      <c r="AS3372" s="48"/>
      <c r="AT3372" s="48"/>
      <c r="AU3372" s="48"/>
      <c r="AV3372" s="48"/>
      <c r="AW3372" s="48"/>
      <c r="AX3372" s="48"/>
      <c r="AY3372" s="48"/>
      <c r="AZ3372" s="48"/>
      <c r="BA3372" s="48"/>
      <c r="BB3372" s="48"/>
      <c r="BC3372" s="48"/>
      <c r="BD3372" s="48"/>
    </row>
    <row r="3373" spans="1:56">
      <c r="A3373" s="48"/>
      <c r="B3373" s="48"/>
      <c r="C3373" s="49"/>
      <c r="D3373" s="48"/>
      <c r="E3373" s="48"/>
      <c r="F3373" s="48"/>
      <c r="G3373" s="48"/>
      <c r="H3373" s="48"/>
      <c r="I3373" s="48"/>
      <c r="J3373" s="86"/>
      <c r="K3373" s="86"/>
      <c r="L3373" s="86"/>
      <c r="M3373" s="86"/>
      <c r="N3373" s="86"/>
      <c r="O3373" s="86"/>
      <c r="P3373" s="86"/>
      <c r="Q3373" s="86"/>
      <c r="R3373" s="86"/>
      <c r="S3373" s="86"/>
      <c r="T3373" s="86"/>
      <c r="U3373" s="86"/>
      <c r="V3373" s="48"/>
      <c r="W3373" s="48"/>
      <c r="X3373" s="48"/>
      <c r="Y3373" s="48"/>
      <c r="Z3373" s="48"/>
      <c r="AA3373" s="48"/>
      <c r="AB3373" s="48"/>
      <c r="AC3373" s="48"/>
      <c r="AD3373" s="48"/>
      <c r="AE3373" s="48"/>
      <c r="AF3373" s="48"/>
      <c r="AG3373" s="48"/>
      <c r="AH3373" s="48"/>
      <c r="AI3373" s="48"/>
      <c r="AJ3373" s="48"/>
      <c r="AK3373" s="48"/>
      <c r="AL3373" s="48"/>
      <c r="AM3373" s="48"/>
      <c r="AN3373" s="48"/>
      <c r="AO3373" s="48"/>
      <c r="AP3373" s="48"/>
      <c r="AQ3373" s="48"/>
      <c r="AR3373" s="48"/>
      <c r="AS3373" s="48"/>
      <c r="AT3373" s="48"/>
      <c r="AU3373" s="48"/>
      <c r="AV3373" s="48"/>
      <c r="AW3373" s="48"/>
      <c r="AX3373" s="48"/>
      <c r="AY3373" s="48"/>
      <c r="AZ3373" s="48"/>
      <c r="BA3373" s="48"/>
      <c r="BB3373" s="48"/>
      <c r="BC3373" s="48"/>
      <c r="BD3373" s="48"/>
    </row>
    <row r="3374" spans="1:56">
      <c r="A3374" s="48"/>
      <c r="B3374" s="48"/>
      <c r="C3374" s="49"/>
      <c r="D3374" s="48"/>
      <c r="E3374" s="48"/>
      <c r="F3374" s="48"/>
      <c r="G3374" s="48"/>
      <c r="H3374" s="48"/>
      <c r="I3374" s="48"/>
      <c r="J3374" s="86"/>
      <c r="K3374" s="86"/>
      <c r="L3374" s="86"/>
      <c r="M3374" s="86"/>
      <c r="N3374" s="86"/>
      <c r="O3374" s="86"/>
      <c r="P3374" s="86"/>
      <c r="Q3374" s="86"/>
      <c r="R3374" s="86"/>
      <c r="S3374" s="86"/>
      <c r="T3374" s="86"/>
      <c r="U3374" s="86"/>
      <c r="V3374" s="48"/>
      <c r="W3374" s="48"/>
      <c r="X3374" s="48"/>
      <c r="Y3374" s="48"/>
      <c r="Z3374" s="48"/>
      <c r="AA3374" s="48"/>
      <c r="AB3374" s="48"/>
      <c r="AC3374" s="48"/>
      <c r="AD3374" s="48"/>
      <c r="AE3374" s="48"/>
      <c r="AF3374" s="48"/>
      <c r="AG3374" s="48"/>
      <c r="AH3374" s="48"/>
      <c r="AI3374" s="48"/>
      <c r="AJ3374" s="48"/>
      <c r="AK3374" s="48"/>
      <c r="AL3374" s="48"/>
      <c r="AM3374" s="48"/>
      <c r="AN3374" s="48"/>
      <c r="AO3374" s="48"/>
      <c r="AP3374" s="48"/>
      <c r="AQ3374" s="48"/>
      <c r="AR3374" s="48"/>
      <c r="AS3374" s="48"/>
      <c r="AT3374" s="48"/>
      <c r="AU3374" s="48"/>
      <c r="AV3374" s="48"/>
      <c r="AW3374" s="48"/>
      <c r="AX3374" s="48"/>
      <c r="AY3374" s="48"/>
      <c r="AZ3374" s="48"/>
      <c r="BA3374" s="48"/>
      <c r="BB3374" s="48"/>
      <c r="BC3374" s="48"/>
      <c r="BD3374" s="48"/>
    </row>
    <row r="3375" spans="1:56">
      <c r="A3375" s="48"/>
      <c r="B3375" s="48"/>
      <c r="C3375" s="49"/>
      <c r="D3375" s="48"/>
      <c r="E3375" s="48"/>
      <c r="F3375" s="48"/>
      <c r="G3375" s="48"/>
      <c r="H3375" s="48"/>
      <c r="I3375" s="48"/>
      <c r="J3375" s="86"/>
      <c r="K3375" s="86"/>
      <c r="L3375" s="86"/>
      <c r="M3375" s="86"/>
      <c r="N3375" s="86"/>
      <c r="O3375" s="86"/>
      <c r="P3375" s="86"/>
      <c r="Q3375" s="86"/>
      <c r="R3375" s="86"/>
      <c r="S3375" s="86"/>
      <c r="T3375" s="86"/>
      <c r="U3375" s="86"/>
      <c r="V3375" s="48"/>
      <c r="W3375" s="48"/>
      <c r="X3375" s="48"/>
      <c r="Y3375" s="48"/>
      <c r="Z3375" s="48"/>
      <c r="AA3375" s="48"/>
      <c r="AB3375" s="48"/>
      <c r="AC3375" s="48"/>
      <c r="AD3375" s="48"/>
      <c r="AE3375" s="48"/>
      <c r="AF3375" s="48"/>
      <c r="AG3375" s="48"/>
      <c r="AH3375" s="48"/>
      <c r="AI3375" s="48"/>
      <c r="AJ3375" s="48"/>
      <c r="AK3375" s="48"/>
      <c r="AL3375" s="48"/>
      <c r="AM3375" s="48"/>
      <c r="AN3375" s="48"/>
      <c r="AO3375" s="48"/>
      <c r="AP3375" s="48"/>
      <c r="AQ3375" s="48"/>
      <c r="AR3375" s="48"/>
      <c r="AS3375" s="48"/>
      <c r="AT3375" s="48"/>
      <c r="AU3375" s="48"/>
      <c r="AV3375" s="48"/>
      <c r="AW3375" s="48"/>
      <c r="AX3375" s="48"/>
      <c r="AY3375" s="48"/>
      <c r="AZ3375" s="48"/>
      <c r="BA3375" s="48"/>
      <c r="BB3375" s="48"/>
      <c r="BC3375" s="48"/>
      <c r="BD3375" s="48"/>
    </row>
    <row r="3376" spans="1:56">
      <c r="A3376" s="48"/>
      <c r="B3376" s="48"/>
      <c r="C3376" s="49"/>
      <c r="D3376" s="48"/>
      <c r="E3376" s="48"/>
      <c r="F3376" s="48"/>
      <c r="G3376" s="48"/>
      <c r="H3376" s="48"/>
      <c r="I3376" s="48"/>
      <c r="J3376" s="86"/>
      <c r="K3376" s="86"/>
      <c r="L3376" s="86"/>
      <c r="M3376" s="86"/>
      <c r="N3376" s="86"/>
      <c r="O3376" s="86"/>
      <c r="P3376" s="86"/>
      <c r="Q3376" s="86"/>
      <c r="R3376" s="86"/>
      <c r="S3376" s="86"/>
      <c r="T3376" s="86"/>
      <c r="U3376" s="86"/>
      <c r="V3376" s="48"/>
      <c r="W3376" s="48"/>
      <c r="X3376" s="48"/>
      <c r="Y3376" s="48"/>
      <c r="Z3376" s="48"/>
      <c r="AA3376" s="48"/>
      <c r="AB3376" s="48"/>
      <c r="AC3376" s="48"/>
      <c r="AD3376" s="48"/>
      <c r="AE3376" s="48"/>
      <c r="AF3376" s="48"/>
      <c r="AG3376" s="48"/>
      <c r="AH3376" s="48"/>
      <c r="AI3376" s="48"/>
      <c r="AJ3376" s="48"/>
      <c r="AK3376" s="48"/>
      <c r="AL3376" s="48"/>
      <c r="AM3376" s="48"/>
      <c r="AN3376" s="48"/>
      <c r="AO3376" s="48"/>
      <c r="AP3376" s="48"/>
      <c r="AQ3376" s="48"/>
      <c r="AR3376" s="48"/>
      <c r="AS3376" s="48"/>
      <c r="AT3376" s="48"/>
      <c r="AU3376" s="48"/>
      <c r="AV3376" s="48"/>
      <c r="AW3376" s="48"/>
      <c r="AX3376" s="48"/>
      <c r="AY3376" s="48"/>
      <c r="AZ3376" s="48"/>
      <c r="BA3376" s="48"/>
      <c r="BB3376" s="48"/>
      <c r="BC3376" s="48"/>
      <c r="BD3376" s="48"/>
    </row>
    <row r="3377" spans="1:56">
      <c r="A3377" s="48"/>
      <c r="B3377" s="48"/>
      <c r="C3377" s="49"/>
      <c r="D3377" s="48"/>
      <c r="E3377" s="48"/>
      <c r="F3377" s="48"/>
      <c r="G3377" s="48"/>
      <c r="H3377" s="48"/>
      <c r="I3377" s="48"/>
      <c r="J3377" s="86"/>
      <c r="K3377" s="86"/>
      <c r="L3377" s="86"/>
      <c r="M3377" s="86"/>
      <c r="N3377" s="86"/>
      <c r="O3377" s="86"/>
      <c r="P3377" s="86"/>
      <c r="Q3377" s="86"/>
      <c r="R3377" s="86"/>
      <c r="S3377" s="86"/>
      <c r="T3377" s="86"/>
      <c r="U3377" s="86"/>
      <c r="V3377" s="48"/>
      <c r="W3377" s="48"/>
      <c r="X3377" s="48"/>
      <c r="Y3377" s="48"/>
      <c r="Z3377" s="48"/>
      <c r="AA3377" s="48"/>
      <c r="AB3377" s="48"/>
      <c r="AC3377" s="48"/>
      <c r="AD3377" s="48"/>
      <c r="AE3377" s="48"/>
      <c r="AF3377" s="48"/>
      <c r="AG3377" s="48"/>
      <c r="AH3377" s="48"/>
      <c r="AI3377" s="48"/>
      <c r="AJ3377" s="48"/>
      <c r="AK3377" s="48"/>
      <c r="AL3377" s="48"/>
      <c r="AM3377" s="48"/>
      <c r="AN3377" s="48"/>
      <c r="AO3377" s="48"/>
      <c r="AP3377" s="48"/>
      <c r="AQ3377" s="48"/>
      <c r="AR3377" s="48"/>
      <c r="AS3377" s="48"/>
      <c r="AT3377" s="48"/>
      <c r="AU3377" s="48"/>
      <c r="AV3377" s="48"/>
      <c r="AW3377" s="48"/>
      <c r="AX3377" s="48"/>
      <c r="AY3377" s="48"/>
      <c r="AZ3377" s="48"/>
      <c r="BA3377" s="48"/>
      <c r="BB3377" s="48"/>
      <c r="BC3377" s="48"/>
      <c r="BD3377" s="48"/>
    </row>
    <row r="3378" spans="1:56">
      <c r="A3378" s="48"/>
      <c r="B3378" s="48"/>
      <c r="C3378" s="49"/>
      <c r="D3378" s="48"/>
      <c r="E3378" s="48"/>
      <c r="F3378" s="48"/>
      <c r="G3378" s="48"/>
      <c r="H3378" s="48"/>
      <c r="I3378" s="48"/>
      <c r="J3378" s="86"/>
      <c r="K3378" s="86"/>
      <c r="L3378" s="86"/>
      <c r="M3378" s="86"/>
      <c r="N3378" s="86"/>
      <c r="O3378" s="86"/>
      <c r="P3378" s="86"/>
      <c r="Q3378" s="86"/>
      <c r="R3378" s="86"/>
      <c r="S3378" s="86"/>
      <c r="T3378" s="86"/>
      <c r="U3378" s="86"/>
      <c r="V3378" s="48"/>
      <c r="W3378" s="48"/>
      <c r="X3378" s="48"/>
      <c r="Y3378" s="48"/>
      <c r="Z3378" s="48"/>
      <c r="AA3378" s="48"/>
      <c r="AB3378" s="48"/>
      <c r="AC3378" s="48"/>
      <c r="AD3378" s="48"/>
      <c r="AE3378" s="48"/>
      <c r="AF3378" s="48"/>
      <c r="AG3378" s="48"/>
      <c r="AH3378" s="48"/>
      <c r="AI3378" s="48"/>
      <c r="AJ3378" s="48"/>
      <c r="AK3378" s="48"/>
      <c r="AL3378" s="48"/>
      <c r="AM3378" s="48"/>
      <c r="AN3378" s="48"/>
      <c r="AO3378" s="48"/>
      <c r="AP3378" s="48"/>
      <c r="AQ3378" s="48"/>
      <c r="AR3378" s="48"/>
      <c r="AS3378" s="48"/>
      <c r="AT3378" s="48"/>
      <c r="AU3378" s="48"/>
      <c r="AV3378" s="48"/>
      <c r="AW3378" s="48"/>
      <c r="AX3378" s="48"/>
      <c r="AY3378" s="48"/>
      <c r="AZ3378" s="48"/>
      <c r="BA3378" s="48"/>
      <c r="BB3378" s="48"/>
      <c r="BC3378" s="48"/>
      <c r="BD3378" s="48"/>
    </row>
    <row r="3379" spans="1:56">
      <c r="A3379" s="48"/>
      <c r="B3379" s="48"/>
      <c r="C3379" s="49"/>
      <c r="D3379" s="48"/>
      <c r="E3379" s="48"/>
      <c r="F3379" s="48"/>
      <c r="G3379" s="48"/>
      <c r="H3379" s="48"/>
      <c r="I3379" s="48"/>
      <c r="J3379" s="86"/>
      <c r="K3379" s="86"/>
      <c r="L3379" s="86"/>
      <c r="M3379" s="86"/>
      <c r="N3379" s="86"/>
      <c r="O3379" s="86"/>
      <c r="P3379" s="86"/>
      <c r="Q3379" s="86"/>
      <c r="R3379" s="86"/>
      <c r="S3379" s="86"/>
      <c r="T3379" s="86"/>
      <c r="U3379" s="86"/>
      <c r="V3379" s="48"/>
      <c r="W3379" s="48"/>
      <c r="X3379" s="48"/>
      <c r="Y3379" s="48"/>
      <c r="Z3379" s="48"/>
      <c r="AA3379" s="48"/>
      <c r="AB3379" s="48"/>
      <c r="AC3379" s="48"/>
      <c r="AD3379" s="48"/>
      <c r="AE3379" s="48"/>
      <c r="AF3379" s="48"/>
      <c r="AG3379" s="48"/>
      <c r="AH3379" s="48"/>
      <c r="AI3379" s="48"/>
      <c r="AJ3379" s="48"/>
      <c r="AK3379" s="48"/>
      <c r="AL3379" s="48"/>
      <c r="AM3379" s="48"/>
      <c r="AN3379" s="48"/>
      <c r="AO3379" s="48"/>
      <c r="AP3379" s="48"/>
      <c r="AQ3379" s="48"/>
      <c r="AR3379" s="48"/>
      <c r="AS3379" s="48"/>
      <c r="AT3379" s="48"/>
      <c r="AU3379" s="48"/>
      <c r="AV3379" s="48"/>
      <c r="AW3379" s="48"/>
      <c r="AX3379" s="48"/>
      <c r="AY3379" s="48"/>
      <c r="AZ3379" s="48"/>
      <c r="BA3379" s="48"/>
      <c r="BB3379" s="48"/>
      <c r="BC3379" s="48"/>
      <c r="BD3379" s="48"/>
    </row>
    <row r="3380" spans="1:56">
      <c r="A3380" s="48"/>
      <c r="B3380" s="48"/>
      <c r="C3380" s="49"/>
      <c r="D3380" s="48"/>
      <c r="E3380" s="48"/>
      <c r="F3380" s="48"/>
      <c r="G3380" s="48"/>
      <c r="H3380" s="48"/>
      <c r="I3380" s="48"/>
      <c r="J3380" s="86"/>
      <c r="K3380" s="86"/>
      <c r="L3380" s="86"/>
      <c r="M3380" s="86"/>
      <c r="N3380" s="86"/>
      <c r="O3380" s="86"/>
      <c r="P3380" s="86"/>
      <c r="Q3380" s="86"/>
      <c r="R3380" s="86"/>
      <c r="S3380" s="86"/>
      <c r="T3380" s="86"/>
      <c r="U3380" s="86"/>
      <c r="V3380" s="48"/>
      <c r="W3380" s="48"/>
      <c r="X3380" s="48"/>
      <c r="Y3380" s="48"/>
      <c r="Z3380" s="48"/>
      <c r="AA3380" s="48"/>
      <c r="AB3380" s="48"/>
      <c r="AC3380" s="48"/>
      <c r="AD3380" s="48"/>
      <c r="AE3380" s="48"/>
      <c r="AF3380" s="48"/>
      <c r="AG3380" s="48"/>
      <c r="AH3380" s="48"/>
      <c r="AI3380" s="48"/>
      <c r="AJ3380" s="48"/>
      <c r="AK3380" s="48"/>
      <c r="AL3380" s="48"/>
      <c r="AM3380" s="48"/>
      <c r="AN3380" s="48"/>
      <c r="AO3380" s="48"/>
      <c r="AP3380" s="48"/>
      <c r="AQ3380" s="48"/>
      <c r="AR3380" s="48"/>
      <c r="AS3380" s="48"/>
      <c r="AT3380" s="48"/>
      <c r="AU3380" s="48"/>
      <c r="AV3380" s="48"/>
      <c r="AW3380" s="48"/>
      <c r="AX3380" s="48"/>
      <c r="AY3380" s="48"/>
      <c r="AZ3380" s="48"/>
      <c r="BA3380" s="48"/>
      <c r="BB3380" s="48"/>
      <c r="BC3380" s="48"/>
      <c r="BD3380" s="48"/>
    </row>
    <row r="3381" spans="1:56">
      <c r="A3381" s="48"/>
      <c r="B3381" s="48"/>
      <c r="C3381" s="49"/>
      <c r="D3381" s="48"/>
      <c r="E3381" s="48"/>
      <c r="F3381" s="48"/>
      <c r="G3381" s="48"/>
      <c r="H3381" s="48"/>
      <c r="I3381" s="48"/>
      <c r="J3381" s="86"/>
      <c r="K3381" s="86"/>
      <c r="L3381" s="86"/>
      <c r="M3381" s="86"/>
      <c r="N3381" s="86"/>
      <c r="O3381" s="86"/>
      <c r="P3381" s="86"/>
      <c r="Q3381" s="86"/>
      <c r="R3381" s="86"/>
      <c r="S3381" s="86"/>
      <c r="T3381" s="86"/>
      <c r="U3381" s="86"/>
      <c r="V3381" s="48"/>
      <c r="W3381" s="48"/>
      <c r="X3381" s="48"/>
      <c r="Y3381" s="48"/>
      <c r="Z3381" s="48"/>
      <c r="AA3381" s="48"/>
      <c r="AB3381" s="48"/>
      <c r="AC3381" s="48"/>
      <c r="AD3381" s="48"/>
      <c r="AE3381" s="48"/>
      <c r="AF3381" s="48"/>
      <c r="AG3381" s="48"/>
      <c r="AH3381" s="48"/>
      <c r="AI3381" s="48"/>
      <c r="AJ3381" s="48"/>
      <c r="AK3381" s="48"/>
      <c r="AL3381" s="48"/>
      <c r="AM3381" s="48"/>
      <c r="AN3381" s="48"/>
      <c r="AO3381" s="48"/>
      <c r="AP3381" s="48"/>
      <c r="AQ3381" s="48"/>
      <c r="AR3381" s="48"/>
      <c r="AS3381" s="48"/>
      <c r="AT3381" s="48"/>
      <c r="AU3381" s="48"/>
      <c r="AV3381" s="48"/>
      <c r="AW3381" s="48"/>
      <c r="AX3381" s="48"/>
      <c r="AY3381" s="48"/>
      <c r="AZ3381" s="48"/>
      <c r="BA3381" s="48"/>
      <c r="BB3381" s="48"/>
      <c r="BC3381" s="48"/>
      <c r="BD3381" s="48"/>
    </row>
    <row r="3382" spans="1:56">
      <c r="A3382" s="48"/>
      <c r="B3382" s="48"/>
      <c r="C3382" s="49"/>
      <c r="D3382" s="48"/>
      <c r="E3382" s="48"/>
      <c r="F3382" s="48"/>
      <c r="G3382" s="48"/>
      <c r="H3382" s="48"/>
      <c r="I3382" s="48"/>
      <c r="J3382" s="86"/>
      <c r="K3382" s="86"/>
      <c r="L3382" s="86"/>
      <c r="M3382" s="86"/>
      <c r="N3382" s="86"/>
      <c r="O3382" s="86"/>
      <c r="P3382" s="86"/>
      <c r="Q3382" s="86"/>
      <c r="R3382" s="86"/>
      <c r="S3382" s="86"/>
      <c r="T3382" s="86"/>
      <c r="U3382" s="86"/>
      <c r="V3382" s="48"/>
      <c r="W3382" s="48"/>
      <c r="X3382" s="48"/>
      <c r="Y3382" s="48"/>
      <c r="Z3382" s="48"/>
      <c r="AA3382" s="48"/>
      <c r="AB3382" s="48"/>
      <c r="AC3382" s="48"/>
      <c r="AD3382" s="48"/>
      <c r="AE3382" s="48"/>
      <c r="AF3382" s="48"/>
      <c r="AG3382" s="48"/>
      <c r="AH3382" s="48"/>
      <c r="AI3382" s="48"/>
      <c r="AJ3382" s="48"/>
      <c r="AK3382" s="48"/>
      <c r="AL3382" s="48"/>
      <c r="AM3382" s="48"/>
      <c r="AN3382" s="48"/>
      <c r="AO3382" s="48"/>
      <c r="AP3382" s="48"/>
      <c r="AQ3382" s="48"/>
      <c r="AR3382" s="48"/>
      <c r="AS3382" s="48"/>
      <c r="AT3382" s="48"/>
      <c r="AU3382" s="48"/>
      <c r="AV3382" s="48"/>
      <c r="AW3382" s="48"/>
      <c r="AX3382" s="48"/>
      <c r="AY3382" s="48"/>
      <c r="AZ3382" s="48"/>
      <c r="BA3382" s="48"/>
      <c r="BB3382" s="48"/>
      <c r="BC3382" s="48"/>
      <c r="BD3382" s="48"/>
    </row>
    <row r="3383" spans="1:56">
      <c r="A3383" s="48"/>
      <c r="B3383" s="48"/>
      <c r="C3383" s="49"/>
      <c r="D3383" s="48"/>
      <c r="E3383" s="48"/>
      <c r="F3383" s="48"/>
      <c r="G3383" s="48"/>
      <c r="H3383" s="48"/>
      <c r="I3383" s="48"/>
      <c r="J3383" s="86"/>
      <c r="K3383" s="86"/>
      <c r="L3383" s="86"/>
      <c r="M3383" s="86"/>
      <c r="N3383" s="86"/>
      <c r="O3383" s="86"/>
      <c r="P3383" s="86"/>
      <c r="Q3383" s="86"/>
      <c r="R3383" s="86"/>
      <c r="S3383" s="86"/>
      <c r="T3383" s="86"/>
      <c r="U3383" s="86"/>
      <c r="V3383" s="48"/>
      <c r="W3383" s="48"/>
      <c r="X3383" s="48"/>
      <c r="Y3383" s="48"/>
      <c r="Z3383" s="48"/>
      <c r="AA3383" s="48"/>
      <c r="AB3383" s="48"/>
      <c r="AC3383" s="48"/>
      <c r="AD3383" s="48"/>
      <c r="AE3383" s="48"/>
      <c r="AF3383" s="48"/>
      <c r="AG3383" s="48"/>
      <c r="AH3383" s="48"/>
      <c r="AI3383" s="48"/>
      <c r="AJ3383" s="48"/>
      <c r="AK3383" s="48"/>
      <c r="AL3383" s="48"/>
      <c r="AM3383" s="48"/>
      <c r="AN3383" s="48"/>
      <c r="AO3383" s="48"/>
      <c r="AP3383" s="48"/>
      <c r="AQ3383" s="48"/>
      <c r="AR3383" s="48"/>
      <c r="AS3383" s="48"/>
      <c r="AT3383" s="48"/>
      <c r="AU3383" s="48"/>
      <c r="AV3383" s="48"/>
      <c r="AW3383" s="48"/>
      <c r="AX3383" s="48"/>
      <c r="AY3383" s="48"/>
      <c r="AZ3383" s="48"/>
      <c r="BA3383" s="48"/>
      <c r="BB3383" s="48"/>
      <c r="BC3383" s="48"/>
      <c r="BD3383" s="48"/>
    </row>
    <row r="3384" spans="1:56">
      <c r="A3384" s="48"/>
      <c r="B3384" s="48"/>
      <c r="C3384" s="49"/>
      <c r="D3384" s="48"/>
      <c r="E3384" s="48"/>
      <c r="F3384" s="48"/>
      <c r="G3384" s="48"/>
      <c r="H3384" s="48"/>
      <c r="I3384" s="48"/>
      <c r="J3384" s="86"/>
      <c r="K3384" s="86"/>
      <c r="L3384" s="86"/>
      <c r="M3384" s="86"/>
      <c r="N3384" s="86"/>
      <c r="O3384" s="86"/>
      <c r="P3384" s="86"/>
      <c r="Q3384" s="86"/>
      <c r="R3384" s="86"/>
      <c r="S3384" s="86"/>
      <c r="T3384" s="86"/>
      <c r="U3384" s="86"/>
      <c r="V3384" s="48"/>
      <c r="W3384" s="48"/>
      <c r="X3384" s="48"/>
      <c r="Y3384" s="48"/>
      <c r="Z3384" s="48"/>
      <c r="AA3384" s="48"/>
      <c r="AB3384" s="48"/>
      <c r="AC3384" s="48"/>
      <c r="AD3384" s="48"/>
      <c r="AE3384" s="48"/>
      <c r="AF3384" s="48"/>
      <c r="AG3384" s="48"/>
      <c r="AH3384" s="48"/>
      <c r="AI3384" s="48"/>
      <c r="AJ3384" s="48"/>
      <c r="AK3384" s="48"/>
      <c r="AL3384" s="48"/>
      <c r="AM3384" s="48"/>
      <c r="AN3384" s="48"/>
      <c r="AO3384" s="48"/>
      <c r="AP3384" s="48"/>
      <c r="AQ3384" s="48"/>
      <c r="AR3384" s="48"/>
      <c r="AS3384" s="48"/>
      <c r="AT3384" s="48"/>
      <c r="AU3384" s="48"/>
      <c r="AV3384" s="48"/>
      <c r="AW3384" s="48"/>
      <c r="AX3384" s="48"/>
      <c r="AY3384" s="48"/>
      <c r="AZ3384" s="48"/>
      <c r="BA3384" s="48"/>
      <c r="BB3384" s="48"/>
      <c r="BC3384" s="48"/>
      <c r="BD3384" s="48"/>
    </row>
    <row r="3385" spans="1:56">
      <c r="A3385" s="48"/>
      <c r="B3385" s="48"/>
      <c r="C3385" s="49"/>
      <c r="D3385" s="48"/>
      <c r="E3385" s="48"/>
      <c r="F3385" s="48"/>
      <c r="G3385" s="48"/>
      <c r="H3385" s="48"/>
      <c r="I3385" s="48"/>
      <c r="J3385" s="86"/>
      <c r="K3385" s="86"/>
      <c r="L3385" s="86"/>
      <c r="M3385" s="86"/>
      <c r="N3385" s="86"/>
      <c r="O3385" s="86"/>
      <c r="P3385" s="86"/>
      <c r="Q3385" s="86"/>
      <c r="R3385" s="86"/>
      <c r="S3385" s="86"/>
      <c r="T3385" s="86"/>
      <c r="U3385" s="86"/>
      <c r="V3385" s="48"/>
      <c r="W3385" s="48"/>
      <c r="X3385" s="48"/>
      <c r="Y3385" s="48"/>
      <c r="Z3385" s="48"/>
      <c r="AA3385" s="48"/>
      <c r="AB3385" s="48"/>
      <c r="AC3385" s="48"/>
      <c r="AD3385" s="48"/>
      <c r="AE3385" s="48"/>
      <c r="AF3385" s="48"/>
      <c r="AG3385" s="48"/>
      <c r="AH3385" s="48"/>
      <c r="AI3385" s="48"/>
      <c r="AJ3385" s="48"/>
      <c r="AK3385" s="48"/>
      <c r="AL3385" s="48"/>
      <c r="AM3385" s="48"/>
      <c r="AN3385" s="48"/>
      <c r="AO3385" s="48"/>
      <c r="AP3385" s="48"/>
      <c r="AQ3385" s="48"/>
      <c r="AR3385" s="48"/>
      <c r="AS3385" s="48"/>
      <c r="AT3385" s="48"/>
      <c r="AU3385" s="48"/>
      <c r="AV3385" s="48"/>
      <c r="AW3385" s="48"/>
      <c r="AX3385" s="48"/>
      <c r="AY3385" s="48"/>
      <c r="AZ3385" s="48"/>
      <c r="BA3385" s="48"/>
      <c r="BB3385" s="48"/>
      <c r="BC3385" s="48"/>
      <c r="BD3385" s="48"/>
    </row>
    <row r="3386" spans="1:56">
      <c r="A3386" s="48"/>
      <c r="B3386" s="48"/>
      <c r="C3386" s="49"/>
      <c r="D3386" s="48"/>
      <c r="E3386" s="48"/>
      <c r="F3386" s="48"/>
      <c r="G3386" s="48"/>
      <c r="H3386" s="48"/>
      <c r="I3386" s="48"/>
      <c r="J3386" s="86"/>
      <c r="K3386" s="86"/>
      <c r="L3386" s="86"/>
      <c r="M3386" s="86"/>
      <c r="N3386" s="86"/>
      <c r="O3386" s="86"/>
      <c r="P3386" s="86"/>
      <c r="Q3386" s="86"/>
      <c r="R3386" s="86"/>
      <c r="S3386" s="86"/>
      <c r="T3386" s="86"/>
      <c r="U3386" s="86"/>
      <c r="V3386" s="48"/>
      <c r="W3386" s="48"/>
      <c r="X3386" s="48"/>
      <c r="Y3386" s="48"/>
      <c r="Z3386" s="48"/>
      <c r="AA3386" s="48"/>
      <c r="AB3386" s="48"/>
      <c r="AC3386" s="48"/>
      <c r="AD3386" s="48"/>
      <c r="AE3386" s="48"/>
      <c r="AF3386" s="48"/>
      <c r="AG3386" s="48"/>
      <c r="AH3386" s="48"/>
      <c r="AI3386" s="48"/>
      <c r="AJ3386" s="48"/>
      <c r="AK3386" s="48"/>
      <c r="AL3386" s="48"/>
      <c r="AM3386" s="48"/>
      <c r="AN3386" s="48"/>
      <c r="AO3386" s="48"/>
      <c r="AP3386" s="48"/>
      <c r="AQ3386" s="48"/>
      <c r="AR3386" s="48"/>
      <c r="AS3386" s="48"/>
      <c r="AT3386" s="48"/>
      <c r="AU3386" s="48"/>
      <c r="AV3386" s="48"/>
      <c r="AW3386" s="48"/>
      <c r="AX3386" s="48"/>
      <c r="AY3386" s="48"/>
      <c r="AZ3386" s="48"/>
      <c r="BA3386" s="48"/>
      <c r="BB3386" s="48"/>
      <c r="BC3386" s="48"/>
      <c r="BD3386" s="48"/>
    </row>
    <row r="3387" spans="1:56">
      <c r="A3387" s="48"/>
      <c r="B3387" s="48"/>
      <c r="C3387" s="49"/>
      <c r="D3387" s="48"/>
      <c r="E3387" s="48"/>
      <c r="F3387" s="48"/>
      <c r="G3387" s="48"/>
      <c r="H3387" s="48"/>
      <c r="I3387" s="48"/>
      <c r="J3387" s="86"/>
      <c r="K3387" s="86"/>
      <c r="L3387" s="86"/>
      <c r="M3387" s="86"/>
      <c r="N3387" s="86"/>
      <c r="O3387" s="86"/>
      <c r="P3387" s="86"/>
      <c r="Q3387" s="86"/>
      <c r="R3387" s="86"/>
      <c r="S3387" s="86"/>
      <c r="T3387" s="86"/>
      <c r="U3387" s="86"/>
      <c r="V3387" s="48"/>
      <c r="W3387" s="48"/>
      <c r="X3387" s="48"/>
      <c r="Y3387" s="48"/>
      <c r="Z3387" s="48"/>
      <c r="AA3387" s="48"/>
      <c r="AB3387" s="48"/>
      <c r="AC3387" s="48"/>
      <c r="AD3387" s="48"/>
      <c r="AE3387" s="48"/>
      <c r="AF3387" s="48"/>
      <c r="AG3387" s="48"/>
      <c r="AH3387" s="48"/>
      <c r="AI3387" s="48"/>
      <c r="AJ3387" s="48"/>
      <c r="AK3387" s="48"/>
      <c r="AL3387" s="48"/>
      <c r="AM3387" s="48"/>
      <c r="AN3387" s="48"/>
      <c r="AO3387" s="48"/>
      <c r="AP3387" s="48"/>
      <c r="AQ3387" s="48"/>
      <c r="AR3387" s="48"/>
      <c r="AS3387" s="48"/>
      <c r="AT3387" s="48"/>
      <c r="AU3387" s="48"/>
      <c r="AV3387" s="48"/>
      <c r="AW3387" s="48"/>
      <c r="AX3387" s="48"/>
      <c r="AY3387" s="48"/>
      <c r="AZ3387" s="48"/>
      <c r="BA3387" s="48"/>
      <c r="BB3387" s="48"/>
      <c r="BC3387" s="48"/>
      <c r="BD3387" s="48"/>
    </row>
    <row r="3388" spans="1:56">
      <c r="A3388" s="48"/>
      <c r="B3388" s="48"/>
      <c r="C3388" s="49"/>
      <c r="D3388" s="48"/>
      <c r="E3388" s="48"/>
      <c r="F3388" s="48"/>
      <c r="G3388" s="48"/>
      <c r="H3388" s="48"/>
      <c r="I3388" s="48"/>
      <c r="J3388" s="86"/>
      <c r="K3388" s="86"/>
      <c r="L3388" s="86"/>
      <c r="M3388" s="86"/>
      <c r="N3388" s="86"/>
      <c r="O3388" s="86"/>
      <c r="P3388" s="86"/>
      <c r="Q3388" s="86"/>
      <c r="R3388" s="86"/>
      <c r="S3388" s="86"/>
      <c r="T3388" s="86"/>
      <c r="U3388" s="86"/>
      <c r="V3388" s="48"/>
      <c r="W3388" s="48"/>
      <c r="X3388" s="48"/>
      <c r="Y3388" s="48"/>
      <c r="Z3388" s="48"/>
      <c r="AA3388" s="48"/>
      <c r="AB3388" s="48"/>
      <c r="AC3388" s="48"/>
      <c r="AD3388" s="48"/>
      <c r="AE3388" s="48"/>
      <c r="AF3388" s="48"/>
      <c r="AG3388" s="48"/>
      <c r="AH3388" s="48"/>
      <c r="AI3388" s="48"/>
      <c r="AJ3388" s="48"/>
      <c r="AK3388" s="48"/>
      <c r="AL3388" s="48"/>
      <c r="AM3388" s="48"/>
      <c r="AN3388" s="48"/>
      <c r="AO3388" s="48"/>
      <c r="AP3388" s="48"/>
      <c r="AQ3388" s="48"/>
      <c r="AR3388" s="48"/>
      <c r="AS3388" s="48"/>
      <c r="AT3388" s="48"/>
      <c r="AU3388" s="48"/>
      <c r="AV3388" s="48"/>
      <c r="AW3388" s="48"/>
      <c r="AX3388" s="48"/>
      <c r="AY3388" s="48"/>
      <c r="AZ3388" s="48"/>
      <c r="BA3388" s="48"/>
      <c r="BB3388" s="48"/>
      <c r="BC3388" s="48"/>
      <c r="BD3388" s="48"/>
    </row>
    <row r="3389" spans="1:56">
      <c r="A3389" s="48"/>
      <c r="B3389" s="48"/>
      <c r="C3389" s="49"/>
      <c r="D3389" s="48"/>
      <c r="E3389" s="48"/>
      <c r="F3389" s="48"/>
      <c r="G3389" s="48"/>
      <c r="H3389" s="48"/>
      <c r="I3389" s="48"/>
      <c r="J3389" s="86"/>
      <c r="K3389" s="86"/>
      <c r="L3389" s="86"/>
      <c r="M3389" s="86"/>
      <c r="N3389" s="86"/>
      <c r="O3389" s="86"/>
      <c r="P3389" s="86"/>
      <c r="Q3389" s="86"/>
      <c r="R3389" s="86"/>
      <c r="S3389" s="86"/>
      <c r="T3389" s="86"/>
      <c r="U3389" s="86"/>
      <c r="V3389" s="48"/>
      <c r="W3389" s="48"/>
      <c r="X3389" s="48"/>
      <c r="Y3389" s="48"/>
      <c r="Z3389" s="48"/>
      <c r="AA3389" s="48"/>
      <c r="AB3389" s="48"/>
      <c r="AC3389" s="48"/>
      <c r="AD3389" s="48"/>
      <c r="AE3389" s="48"/>
      <c r="AF3389" s="48"/>
      <c r="AG3389" s="48"/>
      <c r="AH3389" s="48"/>
      <c r="AI3389" s="48"/>
      <c r="AJ3389" s="48"/>
      <c r="AK3389" s="48"/>
      <c r="AL3389" s="48"/>
      <c r="AM3389" s="48"/>
      <c r="AN3389" s="48"/>
      <c r="AO3389" s="48"/>
      <c r="AP3389" s="48"/>
      <c r="AQ3389" s="48"/>
      <c r="AR3389" s="48"/>
      <c r="AS3389" s="48"/>
      <c r="AT3389" s="48"/>
      <c r="AU3389" s="48"/>
      <c r="AV3389" s="48"/>
      <c r="AW3389" s="48"/>
      <c r="AX3389" s="48"/>
      <c r="AY3389" s="48"/>
      <c r="AZ3389" s="48"/>
      <c r="BA3389" s="48"/>
      <c r="BB3389" s="48"/>
      <c r="BC3389" s="48"/>
      <c r="BD3389" s="48"/>
    </row>
    <row r="3390" spans="1:56">
      <c r="A3390" s="48"/>
      <c r="B3390" s="48"/>
      <c r="C3390" s="49"/>
      <c r="D3390" s="48"/>
      <c r="E3390" s="48"/>
      <c r="F3390" s="48"/>
      <c r="G3390" s="48"/>
      <c r="H3390" s="48"/>
      <c r="I3390" s="48"/>
      <c r="J3390" s="86"/>
      <c r="K3390" s="86"/>
      <c r="L3390" s="86"/>
      <c r="M3390" s="86"/>
      <c r="N3390" s="86"/>
      <c r="O3390" s="86"/>
      <c r="P3390" s="86"/>
      <c r="Q3390" s="86"/>
      <c r="R3390" s="86"/>
      <c r="S3390" s="86"/>
      <c r="T3390" s="86"/>
      <c r="U3390" s="86"/>
      <c r="V3390" s="48"/>
      <c r="W3390" s="48"/>
      <c r="X3390" s="48"/>
      <c r="Y3390" s="48"/>
      <c r="Z3390" s="48"/>
      <c r="AA3390" s="48"/>
      <c r="AB3390" s="48"/>
      <c r="AC3390" s="48"/>
      <c r="AD3390" s="48"/>
      <c r="AE3390" s="48"/>
      <c r="AF3390" s="48"/>
      <c r="AG3390" s="48"/>
      <c r="AH3390" s="48"/>
      <c r="AI3390" s="48"/>
      <c r="AJ3390" s="48"/>
      <c r="AK3390" s="48"/>
      <c r="AL3390" s="48"/>
      <c r="AM3390" s="48"/>
      <c r="AN3390" s="48"/>
      <c r="AO3390" s="48"/>
      <c r="AP3390" s="48"/>
      <c r="AQ3390" s="48"/>
      <c r="AR3390" s="48"/>
      <c r="AS3390" s="48"/>
      <c r="AT3390" s="48"/>
      <c r="AU3390" s="48"/>
      <c r="AV3390" s="48"/>
      <c r="AW3390" s="48"/>
      <c r="AX3390" s="48"/>
      <c r="AY3390" s="48"/>
      <c r="AZ3390" s="48"/>
      <c r="BA3390" s="48"/>
      <c r="BB3390" s="48"/>
      <c r="BC3390" s="48"/>
      <c r="BD3390" s="48"/>
    </row>
    <row r="3391" spans="1:56">
      <c r="A3391" s="48"/>
      <c r="B3391" s="48"/>
      <c r="C3391" s="49"/>
      <c r="D3391" s="48"/>
      <c r="E3391" s="48"/>
      <c r="F3391" s="48"/>
      <c r="G3391" s="48"/>
      <c r="H3391" s="48"/>
      <c r="I3391" s="48"/>
      <c r="J3391" s="86"/>
      <c r="K3391" s="86"/>
      <c r="L3391" s="86"/>
      <c r="M3391" s="86"/>
      <c r="N3391" s="86"/>
      <c r="O3391" s="86"/>
      <c r="P3391" s="86"/>
      <c r="Q3391" s="86"/>
      <c r="R3391" s="86"/>
      <c r="S3391" s="86"/>
      <c r="T3391" s="86"/>
      <c r="U3391" s="86"/>
      <c r="V3391" s="48"/>
      <c r="W3391" s="48"/>
      <c r="X3391" s="48"/>
      <c r="Y3391" s="48"/>
      <c r="Z3391" s="48"/>
      <c r="AA3391" s="48"/>
      <c r="AB3391" s="48"/>
      <c r="AC3391" s="48"/>
      <c r="AD3391" s="48"/>
      <c r="AE3391" s="48"/>
      <c r="AF3391" s="48"/>
      <c r="AG3391" s="48"/>
      <c r="AH3391" s="48"/>
      <c r="AI3391" s="48"/>
      <c r="AJ3391" s="48"/>
      <c r="AK3391" s="48"/>
      <c r="AL3391" s="48"/>
      <c r="AM3391" s="48"/>
      <c r="AN3391" s="48"/>
      <c r="AO3391" s="48"/>
      <c r="AP3391" s="48"/>
      <c r="AQ3391" s="48"/>
      <c r="AR3391" s="48"/>
      <c r="AS3391" s="48"/>
      <c r="AT3391" s="48"/>
      <c r="AU3391" s="48"/>
      <c r="AV3391" s="48"/>
      <c r="AW3391" s="48"/>
      <c r="AX3391" s="48"/>
      <c r="AY3391" s="48"/>
      <c r="AZ3391" s="48"/>
      <c r="BA3391" s="48"/>
      <c r="BB3391" s="48"/>
      <c r="BC3391" s="48"/>
      <c r="BD3391" s="48"/>
    </row>
    <row r="3392" spans="1:56">
      <c r="A3392" s="48"/>
      <c r="B3392" s="48"/>
      <c r="C3392" s="49"/>
      <c r="D3392" s="48"/>
      <c r="E3392" s="48"/>
      <c r="F3392" s="48"/>
      <c r="G3392" s="48"/>
      <c r="H3392" s="48"/>
      <c r="I3392" s="48"/>
      <c r="J3392" s="86"/>
      <c r="K3392" s="86"/>
      <c r="L3392" s="86"/>
      <c r="M3392" s="86"/>
      <c r="N3392" s="86"/>
      <c r="O3392" s="86"/>
      <c r="P3392" s="86"/>
      <c r="Q3392" s="86"/>
      <c r="R3392" s="86"/>
      <c r="S3392" s="86"/>
      <c r="T3392" s="86"/>
      <c r="U3392" s="86"/>
      <c r="V3392" s="48"/>
      <c r="W3392" s="48"/>
      <c r="X3392" s="48"/>
      <c r="Y3392" s="48"/>
      <c r="Z3392" s="48"/>
      <c r="AA3392" s="48"/>
      <c r="AB3392" s="48"/>
      <c r="AC3392" s="48"/>
      <c r="AD3392" s="48"/>
      <c r="AE3392" s="48"/>
      <c r="AF3392" s="48"/>
      <c r="AG3392" s="48"/>
      <c r="AH3392" s="48"/>
      <c r="AI3392" s="48"/>
      <c r="AJ3392" s="48"/>
      <c r="AK3392" s="48"/>
      <c r="AL3392" s="48"/>
      <c r="AM3392" s="48"/>
      <c r="AN3392" s="48"/>
      <c r="AO3392" s="48"/>
      <c r="AP3392" s="48"/>
      <c r="AQ3392" s="48"/>
      <c r="AR3392" s="48"/>
      <c r="AS3392" s="48"/>
      <c r="AT3392" s="48"/>
      <c r="AU3392" s="48"/>
      <c r="AV3392" s="48"/>
      <c r="AW3392" s="48"/>
      <c r="AX3392" s="48"/>
      <c r="AY3392" s="48"/>
      <c r="AZ3392" s="48"/>
      <c r="BA3392" s="48"/>
      <c r="BB3392" s="48"/>
      <c r="BC3392" s="48"/>
      <c r="BD3392" s="48"/>
    </row>
    <row r="3393" spans="1:56">
      <c r="A3393" s="48"/>
      <c r="B3393" s="48"/>
      <c r="C3393" s="49"/>
      <c r="D3393" s="48"/>
      <c r="E3393" s="48"/>
      <c r="F3393" s="48"/>
      <c r="G3393" s="48"/>
      <c r="H3393" s="48"/>
      <c r="I3393" s="48"/>
      <c r="J3393" s="86"/>
      <c r="K3393" s="86"/>
      <c r="L3393" s="86"/>
      <c r="M3393" s="86"/>
      <c r="N3393" s="86"/>
      <c r="O3393" s="86"/>
      <c r="P3393" s="86"/>
      <c r="Q3393" s="86"/>
      <c r="R3393" s="86"/>
      <c r="S3393" s="86"/>
      <c r="T3393" s="86"/>
      <c r="U3393" s="86"/>
      <c r="V3393" s="48"/>
      <c r="W3393" s="48"/>
      <c r="X3393" s="48"/>
      <c r="Y3393" s="48"/>
      <c r="Z3393" s="48"/>
      <c r="AA3393" s="48"/>
      <c r="AB3393" s="48"/>
      <c r="AC3393" s="48"/>
      <c r="AD3393" s="48"/>
      <c r="AE3393" s="48"/>
      <c r="AF3393" s="48"/>
      <c r="AG3393" s="48"/>
      <c r="AH3393" s="48"/>
      <c r="AI3393" s="48"/>
      <c r="AJ3393" s="48"/>
      <c r="AK3393" s="48"/>
      <c r="AL3393" s="48"/>
      <c r="AM3393" s="48"/>
      <c r="AN3393" s="48"/>
      <c r="AO3393" s="48"/>
      <c r="AP3393" s="48"/>
      <c r="AQ3393" s="48"/>
      <c r="AR3393" s="48"/>
      <c r="AS3393" s="48"/>
      <c r="AT3393" s="48"/>
      <c r="AU3393" s="48"/>
      <c r="AV3393" s="48"/>
      <c r="AW3393" s="48"/>
      <c r="AX3393" s="48"/>
      <c r="AY3393" s="48"/>
      <c r="AZ3393" s="48"/>
      <c r="BA3393" s="48"/>
      <c r="BB3393" s="48"/>
      <c r="BC3393" s="48"/>
      <c r="BD3393" s="48"/>
    </row>
    <row r="3394" spans="1:56">
      <c r="A3394" s="48"/>
      <c r="B3394" s="48"/>
      <c r="C3394" s="49"/>
      <c r="D3394" s="48"/>
      <c r="E3394" s="48"/>
      <c r="F3394" s="48"/>
      <c r="G3394" s="48"/>
      <c r="H3394" s="48"/>
      <c r="I3394" s="48"/>
      <c r="J3394" s="86"/>
      <c r="K3394" s="86"/>
      <c r="L3394" s="86"/>
      <c r="M3394" s="86"/>
      <c r="N3394" s="86"/>
      <c r="O3394" s="86"/>
      <c r="P3394" s="86"/>
      <c r="Q3394" s="86"/>
      <c r="R3394" s="86"/>
      <c r="S3394" s="86"/>
      <c r="T3394" s="86"/>
      <c r="U3394" s="86"/>
      <c r="V3394" s="48"/>
      <c r="W3394" s="48"/>
      <c r="X3394" s="48"/>
      <c r="Y3394" s="48"/>
      <c r="Z3394" s="48"/>
      <c r="AA3394" s="48"/>
      <c r="AB3394" s="48"/>
      <c r="AC3394" s="48"/>
      <c r="AD3394" s="48"/>
      <c r="AE3394" s="48"/>
      <c r="AF3394" s="48"/>
      <c r="AG3394" s="48"/>
      <c r="AH3394" s="48"/>
      <c r="AI3394" s="48"/>
      <c r="AJ3394" s="48"/>
      <c r="AK3394" s="48"/>
      <c r="AL3394" s="48"/>
      <c r="AM3394" s="48"/>
      <c r="AN3394" s="48"/>
      <c r="AO3394" s="48"/>
      <c r="AP3394" s="48"/>
      <c r="AQ3394" s="48"/>
      <c r="AR3394" s="48"/>
      <c r="AS3394" s="48"/>
      <c r="AT3394" s="48"/>
      <c r="AU3394" s="48"/>
      <c r="AV3394" s="48"/>
      <c r="AW3394" s="48"/>
      <c r="AX3394" s="48"/>
      <c r="AY3394" s="48"/>
      <c r="AZ3394" s="48"/>
      <c r="BA3394" s="48"/>
      <c r="BB3394" s="48"/>
      <c r="BC3394" s="48"/>
      <c r="BD3394" s="48"/>
    </row>
    <row r="3395" spans="1:56">
      <c r="A3395" s="48"/>
      <c r="B3395" s="48"/>
      <c r="C3395" s="49"/>
      <c r="D3395" s="48"/>
      <c r="E3395" s="48"/>
      <c r="F3395" s="48"/>
      <c r="G3395" s="48"/>
      <c r="H3395" s="48"/>
      <c r="I3395" s="48"/>
      <c r="J3395" s="86"/>
      <c r="K3395" s="86"/>
      <c r="L3395" s="86"/>
      <c r="M3395" s="86"/>
      <c r="N3395" s="86"/>
      <c r="O3395" s="86"/>
      <c r="P3395" s="86"/>
      <c r="Q3395" s="86"/>
      <c r="R3395" s="86"/>
      <c r="S3395" s="86"/>
      <c r="T3395" s="86"/>
      <c r="U3395" s="86"/>
      <c r="V3395" s="48"/>
      <c r="W3395" s="48"/>
      <c r="X3395" s="48"/>
      <c r="Y3395" s="48"/>
      <c r="Z3395" s="48"/>
      <c r="AA3395" s="48"/>
      <c r="AB3395" s="48"/>
      <c r="AC3395" s="48"/>
      <c r="AD3395" s="48"/>
      <c r="AE3395" s="48"/>
      <c r="AF3395" s="48"/>
      <c r="AG3395" s="48"/>
      <c r="AH3395" s="48"/>
      <c r="AI3395" s="48"/>
      <c r="AJ3395" s="48"/>
      <c r="AK3395" s="48"/>
      <c r="AL3395" s="48"/>
      <c r="AM3395" s="48"/>
      <c r="AN3395" s="48"/>
      <c r="AO3395" s="48"/>
      <c r="AP3395" s="48"/>
      <c r="AQ3395" s="48"/>
      <c r="AR3395" s="48"/>
      <c r="AS3395" s="48"/>
      <c r="AT3395" s="48"/>
      <c r="AU3395" s="48"/>
      <c r="AV3395" s="48"/>
      <c r="AW3395" s="48"/>
      <c r="AX3395" s="48"/>
      <c r="AY3395" s="48"/>
      <c r="AZ3395" s="48"/>
      <c r="BA3395" s="48"/>
      <c r="BB3395" s="48"/>
      <c r="BC3395" s="48"/>
      <c r="BD3395" s="48"/>
    </row>
    <row r="3396" spans="1:56">
      <c r="A3396" s="48"/>
      <c r="B3396" s="48"/>
      <c r="C3396" s="49"/>
      <c r="D3396" s="48"/>
      <c r="E3396" s="48"/>
      <c r="F3396" s="48"/>
      <c r="G3396" s="48"/>
      <c r="H3396" s="48"/>
      <c r="I3396" s="48"/>
      <c r="J3396" s="86"/>
      <c r="K3396" s="86"/>
      <c r="L3396" s="86"/>
      <c r="M3396" s="86"/>
      <c r="N3396" s="86"/>
      <c r="O3396" s="86"/>
      <c r="P3396" s="86"/>
      <c r="Q3396" s="86"/>
      <c r="R3396" s="86"/>
      <c r="S3396" s="86"/>
      <c r="T3396" s="86"/>
      <c r="U3396" s="86"/>
      <c r="V3396" s="48"/>
      <c r="W3396" s="48"/>
      <c r="X3396" s="48"/>
      <c r="Y3396" s="48"/>
      <c r="Z3396" s="48"/>
      <c r="AA3396" s="48"/>
      <c r="AB3396" s="48"/>
      <c r="AC3396" s="48"/>
      <c r="AD3396" s="48"/>
      <c r="AE3396" s="48"/>
      <c r="AF3396" s="48"/>
      <c r="AG3396" s="48"/>
      <c r="AH3396" s="48"/>
      <c r="AI3396" s="48"/>
      <c r="AJ3396" s="48"/>
      <c r="AK3396" s="48"/>
      <c r="AL3396" s="48"/>
      <c r="AM3396" s="48"/>
      <c r="AN3396" s="48"/>
      <c r="AO3396" s="48"/>
      <c r="AP3396" s="48"/>
      <c r="AQ3396" s="48"/>
      <c r="AR3396" s="48"/>
      <c r="AS3396" s="48"/>
      <c r="AT3396" s="48"/>
      <c r="AU3396" s="48"/>
      <c r="AV3396" s="48"/>
      <c r="AW3396" s="48"/>
      <c r="AX3396" s="48"/>
      <c r="AY3396" s="48"/>
      <c r="AZ3396" s="48"/>
      <c r="BA3396" s="48"/>
      <c r="BB3396" s="48"/>
      <c r="BC3396" s="48"/>
      <c r="BD3396" s="48"/>
    </row>
    <row r="3397" spans="1:56">
      <c r="A3397" s="48"/>
      <c r="B3397" s="48"/>
      <c r="C3397" s="49"/>
      <c r="D3397" s="48"/>
      <c r="E3397" s="48"/>
      <c r="F3397" s="48"/>
      <c r="G3397" s="48"/>
      <c r="H3397" s="48"/>
      <c r="I3397" s="48"/>
      <c r="J3397" s="86"/>
      <c r="K3397" s="86"/>
      <c r="L3397" s="86"/>
      <c r="M3397" s="86"/>
      <c r="N3397" s="86"/>
      <c r="O3397" s="86"/>
      <c r="P3397" s="86"/>
      <c r="Q3397" s="86"/>
      <c r="R3397" s="86"/>
      <c r="S3397" s="86"/>
      <c r="T3397" s="86"/>
      <c r="U3397" s="86"/>
      <c r="V3397" s="48"/>
      <c r="W3397" s="48"/>
      <c r="X3397" s="48"/>
      <c r="Y3397" s="48"/>
      <c r="Z3397" s="48"/>
      <c r="AA3397" s="48"/>
      <c r="AB3397" s="48"/>
      <c r="AC3397" s="48"/>
      <c r="AD3397" s="48"/>
      <c r="AE3397" s="48"/>
      <c r="AF3397" s="48"/>
      <c r="AG3397" s="48"/>
      <c r="AH3397" s="48"/>
      <c r="AI3397" s="48"/>
      <c r="AJ3397" s="48"/>
      <c r="AK3397" s="48"/>
      <c r="AL3397" s="48"/>
      <c r="AM3397" s="48"/>
      <c r="AN3397" s="48"/>
      <c r="AO3397" s="48"/>
      <c r="AP3397" s="48"/>
      <c r="AQ3397" s="48"/>
      <c r="AR3397" s="48"/>
      <c r="AS3397" s="48"/>
      <c r="AT3397" s="48"/>
      <c r="AU3397" s="48"/>
      <c r="AV3397" s="48"/>
      <c r="AW3397" s="48"/>
      <c r="AX3397" s="48"/>
      <c r="AY3397" s="48"/>
      <c r="AZ3397" s="48"/>
      <c r="BA3397" s="48"/>
      <c r="BB3397" s="48"/>
      <c r="BC3397" s="48"/>
      <c r="BD3397" s="48"/>
    </row>
    <row r="3398" spans="1:56">
      <c r="A3398" s="48"/>
      <c r="B3398" s="48"/>
      <c r="C3398" s="49"/>
      <c r="D3398" s="48"/>
      <c r="E3398" s="48"/>
      <c r="F3398" s="48"/>
      <c r="G3398" s="48"/>
      <c r="H3398" s="48"/>
      <c r="I3398" s="48"/>
      <c r="J3398" s="86"/>
      <c r="K3398" s="86"/>
      <c r="L3398" s="86"/>
      <c r="M3398" s="86"/>
      <c r="N3398" s="86"/>
      <c r="O3398" s="86"/>
      <c r="P3398" s="86"/>
      <c r="Q3398" s="86"/>
      <c r="R3398" s="86"/>
      <c r="S3398" s="86"/>
      <c r="T3398" s="86"/>
      <c r="U3398" s="86"/>
      <c r="V3398" s="48"/>
      <c r="W3398" s="48"/>
      <c r="X3398" s="48"/>
      <c r="Y3398" s="48"/>
      <c r="Z3398" s="48"/>
      <c r="AA3398" s="48"/>
      <c r="AB3398" s="48"/>
      <c r="AC3398" s="48"/>
      <c r="AD3398" s="48"/>
      <c r="AE3398" s="48"/>
      <c r="AF3398" s="48"/>
      <c r="AG3398" s="48"/>
      <c r="AH3398" s="48"/>
      <c r="AI3398" s="48"/>
      <c r="AJ3398" s="48"/>
      <c r="AK3398" s="48"/>
      <c r="AL3398" s="48"/>
      <c r="AM3398" s="48"/>
      <c r="AN3398" s="48"/>
      <c r="AO3398" s="48"/>
      <c r="AP3398" s="48"/>
      <c r="AQ3398" s="48"/>
      <c r="AR3398" s="48"/>
      <c r="AS3398" s="48"/>
      <c r="AT3398" s="48"/>
      <c r="AU3398" s="48"/>
      <c r="AV3398" s="48"/>
      <c r="AW3398" s="48"/>
      <c r="AX3398" s="48"/>
      <c r="AY3398" s="48"/>
      <c r="AZ3398" s="48"/>
      <c r="BA3398" s="48"/>
      <c r="BB3398" s="48"/>
      <c r="BC3398" s="48"/>
      <c r="BD3398" s="48"/>
    </row>
    <row r="3399" spans="1:56">
      <c r="A3399" s="48"/>
      <c r="B3399" s="48"/>
      <c r="C3399" s="49"/>
      <c r="D3399" s="48"/>
      <c r="E3399" s="48"/>
      <c r="F3399" s="48"/>
      <c r="G3399" s="48"/>
      <c r="H3399" s="48"/>
      <c r="I3399" s="48"/>
      <c r="J3399" s="86"/>
      <c r="K3399" s="86"/>
      <c r="L3399" s="86"/>
      <c r="M3399" s="86"/>
      <c r="N3399" s="86"/>
      <c r="O3399" s="86"/>
      <c r="P3399" s="86"/>
      <c r="Q3399" s="86"/>
      <c r="R3399" s="86"/>
      <c r="S3399" s="86"/>
      <c r="T3399" s="86"/>
      <c r="U3399" s="86"/>
      <c r="V3399" s="48"/>
      <c r="W3399" s="48"/>
      <c r="X3399" s="48"/>
      <c r="Y3399" s="48"/>
      <c r="Z3399" s="48"/>
      <c r="AA3399" s="48"/>
      <c r="AB3399" s="48"/>
      <c r="AC3399" s="48"/>
      <c r="AD3399" s="48"/>
      <c r="AE3399" s="48"/>
      <c r="AF3399" s="48"/>
      <c r="AG3399" s="48"/>
      <c r="AH3399" s="48"/>
      <c r="AI3399" s="48"/>
      <c r="AJ3399" s="48"/>
      <c r="AK3399" s="48"/>
      <c r="AL3399" s="48"/>
      <c r="AM3399" s="48"/>
      <c r="AN3399" s="48"/>
      <c r="AO3399" s="48"/>
      <c r="AP3399" s="48"/>
      <c r="AQ3399" s="48"/>
      <c r="AR3399" s="48"/>
      <c r="AS3399" s="48"/>
      <c r="AT3399" s="48"/>
      <c r="AU3399" s="48"/>
      <c r="AV3399" s="48"/>
      <c r="AW3399" s="48"/>
      <c r="AX3399" s="48"/>
      <c r="AY3399" s="48"/>
      <c r="AZ3399" s="48"/>
      <c r="BA3399" s="48"/>
      <c r="BB3399" s="48"/>
      <c r="BC3399" s="48"/>
      <c r="BD3399" s="48"/>
    </row>
    <row r="3400" spans="1:56">
      <c r="A3400" s="48"/>
      <c r="B3400" s="48"/>
      <c r="C3400" s="49"/>
      <c r="D3400" s="48"/>
      <c r="E3400" s="48"/>
      <c r="F3400" s="48"/>
      <c r="G3400" s="48"/>
      <c r="H3400" s="48"/>
      <c r="I3400" s="48"/>
      <c r="J3400" s="86"/>
      <c r="K3400" s="86"/>
      <c r="L3400" s="86"/>
      <c r="M3400" s="86"/>
      <c r="N3400" s="86"/>
      <c r="O3400" s="86"/>
      <c r="P3400" s="86"/>
      <c r="Q3400" s="86"/>
      <c r="R3400" s="86"/>
      <c r="S3400" s="86"/>
      <c r="T3400" s="86"/>
      <c r="U3400" s="86"/>
      <c r="V3400" s="48"/>
      <c r="W3400" s="48"/>
      <c r="X3400" s="48"/>
      <c r="Y3400" s="48"/>
      <c r="Z3400" s="48"/>
      <c r="AA3400" s="48"/>
      <c r="AB3400" s="48"/>
      <c r="AC3400" s="48"/>
      <c r="AD3400" s="48"/>
      <c r="AE3400" s="48"/>
      <c r="AF3400" s="48"/>
      <c r="AG3400" s="48"/>
      <c r="AH3400" s="48"/>
      <c r="AI3400" s="48"/>
      <c r="AJ3400" s="48"/>
      <c r="AK3400" s="48"/>
      <c r="AL3400" s="48"/>
      <c r="AM3400" s="48"/>
      <c r="AN3400" s="48"/>
      <c r="AO3400" s="48"/>
      <c r="AP3400" s="48"/>
      <c r="AQ3400" s="48"/>
      <c r="AR3400" s="48"/>
      <c r="AS3400" s="48"/>
      <c r="AT3400" s="48"/>
      <c r="AU3400" s="48"/>
      <c r="AV3400" s="48"/>
      <c r="AW3400" s="48"/>
      <c r="AX3400" s="48"/>
      <c r="AY3400" s="48"/>
      <c r="AZ3400" s="48"/>
      <c r="BA3400" s="48"/>
      <c r="BB3400" s="48"/>
      <c r="BC3400" s="48"/>
      <c r="BD3400" s="48"/>
    </row>
    <row r="3401" spans="1:56">
      <c r="A3401" s="48"/>
      <c r="B3401" s="48"/>
      <c r="C3401" s="49"/>
      <c r="D3401" s="48"/>
      <c r="E3401" s="48"/>
      <c r="F3401" s="48"/>
      <c r="G3401" s="48"/>
      <c r="H3401" s="48"/>
      <c r="I3401" s="48"/>
      <c r="J3401" s="86"/>
      <c r="K3401" s="86"/>
      <c r="L3401" s="86"/>
      <c r="M3401" s="86"/>
      <c r="N3401" s="86"/>
      <c r="O3401" s="86"/>
      <c r="P3401" s="86"/>
      <c r="Q3401" s="86"/>
      <c r="R3401" s="86"/>
      <c r="S3401" s="86"/>
      <c r="T3401" s="86"/>
      <c r="U3401" s="86"/>
      <c r="V3401" s="48"/>
      <c r="W3401" s="48"/>
      <c r="X3401" s="48"/>
      <c r="Y3401" s="48"/>
      <c r="Z3401" s="48"/>
      <c r="AA3401" s="48"/>
      <c r="AB3401" s="48"/>
      <c r="AC3401" s="48"/>
      <c r="AD3401" s="48"/>
      <c r="AE3401" s="48"/>
      <c r="AF3401" s="48"/>
      <c r="AG3401" s="48"/>
      <c r="AH3401" s="48"/>
      <c r="AI3401" s="48"/>
      <c r="AJ3401" s="48"/>
      <c r="AK3401" s="48"/>
      <c r="AL3401" s="48"/>
      <c r="AM3401" s="48"/>
      <c r="AN3401" s="48"/>
      <c r="AO3401" s="48"/>
      <c r="AP3401" s="48"/>
      <c r="AQ3401" s="48"/>
      <c r="AR3401" s="48"/>
      <c r="AS3401" s="48"/>
      <c r="AT3401" s="48"/>
      <c r="AU3401" s="48"/>
      <c r="AV3401" s="48"/>
      <c r="AW3401" s="48"/>
      <c r="AX3401" s="48"/>
      <c r="AY3401" s="48"/>
      <c r="AZ3401" s="48"/>
      <c r="BA3401" s="48"/>
      <c r="BB3401" s="48"/>
      <c r="BC3401" s="48"/>
      <c r="BD3401" s="48"/>
    </row>
    <row r="3402" spans="1:56">
      <c r="A3402" s="48"/>
      <c r="B3402" s="48"/>
      <c r="C3402" s="49"/>
      <c r="D3402" s="48"/>
      <c r="E3402" s="48"/>
      <c r="F3402" s="48"/>
      <c r="G3402" s="48"/>
      <c r="H3402" s="48"/>
      <c r="I3402" s="48"/>
      <c r="J3402" s="86"/>
      <c r="K3402" s="86"/>
      <c r="L3402" s="86"/>
      <c r="M3402" s="86"/>
      <c r="N3402" s="86"/>
      <c r="O3402" s="86"/>
      <c r="P3402" s="86"/>
      <c r="Q3402" s="86"/>
      <c r="R3402" s="86"/>
      <c r="S3402" s="86"/>
      <c r="T3402" s="86"/>
      <c r="U3402" s="86"/>
      <c r="V3402" s="48"/>
      <c r="W3402" s="48"/>
      <c r="X3402" s="48"/>
      <c r="Y3402" s="48"/>
      <c r="Z3402" s="48"/>
      <c r="AA3402" s="48"/>
      <c r="AB3402" s="48"/>
      <c r="AC3402" s="48"/>
      <c r="AD3402" s="48"/>
      <c r="AE3402" s="48"/>
      <c r="AF3402" s="48"/>
      <c r="AG3402" s="48"/>
      <c r="AH3402" s="48"/>
      <c r="AI3402" s="48"/>
      <c r="AJ3402" s="48"/>
      <c r="AK3402" s="48"/>
      <c r="AL3402" s="48"/>
      <c r="AM3402" s="48"/>
      <c r="AN3402" s="48"/>
      <c r="AO3402" s="48"/>
      <c r="AP3402" s="48"/>
      <c r="AQ3402" s="48"/>
      <c r="AR3402" s="48"/>
      <c r="AS3402" s="48"/>
      <c r="AT3402" s="48"/>
      <c r="AU3402" s="48"/>
      <c r="AV3402" s="48"/>
      <c r="AW3402" s="48"/>
      <c r="AX3402" s="48"/>
      <c r="AY3402" s="48"/>
      <c r="AZ3402" s="48"/>
      <c r="BA3402" s="48"/>
      <c r="BB3402" s="48"/>
      <c r="BC3402" s="48"/>
      <c r="BD3402" s="48"/>
    </row>
    <row r="3403" spans="1:56">
      <c r="A3403" s="48"/>
      <c r="B3403" s="48"/>
      <c r="C3403" s="49"/>
      <c r="D3403" s="48"/>
      <c r="E3403" s="48"/>
      <c r="F3403" s="48"/>
      <c r="G3403" s="48"/>
      <c r="H3403" s="48"/>
      <c r="I3403" s="48"/>
      <c r="J3403" s="86"/>
      <c r="K3403" s="86"/>
      <c r="L3403" s="86"/>
      <c r="M3403" s="86"/>
      <c r="N3403" s="86"/>
      <c r="O3403" s="86"/>
      <c r="P3403" s="86"/>
      <c r="Q3403" s="86"/>
      <c r="R3403" s="86"/>
      <c r="S3403" s="86"/>
      <c r="T3403" s="86"/>
      <c r="U3403" s="86"/>
      <c r="V3403" s="48"/>
      <c r="W3403" s="48"/>
      <c r="X3403" s="48"/>
      <c r="Y3403" s="48"/>
      <c r="Z3403" s="48"/>
      <c r="AA3403" s="48"/>
      <c r="AB3403" s="48"/>
      <c r="AC3403" s="48"/>
      <c r="AD3403" s="48"/>
      <c r="AE3403" s="48"/>
      <c r="AF3403" s="48"/>
      <c r="AG3403" s="48"/>
      <c r="AH3403" s="48"/>
      <c r="AI3403" s="48"/>
      <c r="AJ3403" s="48"/>
      <c r="AK3403" s="48"/>
      <c r="AL3403" s="48"/>
      <c r="AM3403" s="48"/>
      <c r="AN3403" s="48"/>
      <c r="AO3403" s="48"/>
      <c r="AP3403" s="48"/>
      <c r="AQ3403" s="48"/>
      <c r="AR3403" s="48"/>
      <c r="AS3403" s="48"/>
      <c r="AT3403" s="48"/>
      <c r="AU3403" s="48"/>
      <c r="AV3403" s="48"/>
      <c r="AW3403" s="48"/>
      <c r="AX3403" s="48"/>
      <c r="AY3403" s="48"/>
      <c r="AZ3403" s="48"/>
      <c r="BA3403" s="48"/>
      <c r="BB3403" s="48"/>
      <c r="BC3403" s="48"/>
      <c r="BD3403" s="48"/>
    </row>
    <row r="3404" spans="1:56">
      <c r="A3404" s="48"/>
      <c r="B3404" s="48"/>
      <c r="C3404" s="49"/>
      <c r="D3404" s="48"/>
      <c r="E3404" s="48"/>
      <c r="F3404" s="48"/>
      <c r="G3404" s="48"/>
      <c r="H3404" s="48"/>
      <c r="I3404" s="48"/>
      <c r="J3404" s="86"/>
      <c r="K3404" s="86"/>
      <c r="L3404" s="86"/>
      <c r="M3404" s="86"/>
      <c r="N3404" s="86"/>
      <c r="O3404" s="86"/>
      <c r="P3404" s="86"/>
      <c r="Q3404" s="86"/>
      <c r="R3404" s="86"/>
      <c r="S3404" s="86"/>
      <c r="T3404" s="86"/>
      <c r="U3404" s="86"/>
      <c r="V3404" s="48"/>
      <c r="W3404" s="48"/>
      <c r="X3404" s="48"/>
      <c r="Y3404" s="48"/>
      <c r="Z3404" s="48"/>
      <c r="AA3404" s="48"/>
      <c r="AB3404" s="48"/>
      <c r="AC3404" s="48"/>
      <c r="AD3404" s="48"/>
      <c r="AE3404" s="48"/>
      <c r="AF3404" s="48"/>
      <c r="AG3404" s="48"/>
      <c r="AH3404" s="48"/>
      <c r="AI3404" s="48"/>
      <c r="AJ3404" s="48"/>
      <c r="AK3404" s="48"/>
      <c r="AL3404" s="48"/>
      <c r="AM3404" s="48"/>
      <c r="AN3404" s="48"/>
      <c r="AO3404" s="48"/>
      <c r="AP3404" s="48"/>
      <c r="AQ3404" s="48"/>
      <c r="AR3404" s="48"/>
      <c r="AS3404" s="48"/>
      <c r="AT3404" s="48"/>
      <c r="AU3404" s="48"/>
      <c r="AV3404" s="48"/>
      <c r="AW3404" s="48"/>
      <c r="AX3404" s="48"/>
      <c r="AY3404" s="48"/>
      <c r="AZ3404" s="48"/>
      <c r="BA3404" s="48"/>
      <c r="BB3404" s="48"/>
      <c r="BC3404" s="48"/>
      <c r="BD3404" s="48"/>
    </row>
    <row r="3405" spans="1:56">
      <c r="A3405" s="48"/>
      <c r="B3405" s="48"/>
      <c r="C3405" s="49"/>
      <c r="D3405" s="48"/>
      <c r="E3405" s="48"/>
      <c r="F3405" s="48"/>
      <c r="G3405" s="48"/>
      <c r="H3405" s="48"/>
      <c r="I3405" s="48"/>
      <c r="J3405" s="86"/>
      <c r="K3405" s="86"/>
      <c r="L3405" s="86"/>
      <c r="M3405" s="86"/>
      <c r="N3405" s="86"/>
      <c r="O3405" s="86"/>
      <c r="P3405" s="86"/>
      <c r="Q3405" s="86"/>
      <c r="R3405" s="86"/>
      <c r="S3405" s="86"/>
      <c r="T3405" s="86"/>
      <c r="U3405" s="86"/>
      <c r="V3405" s="48"/>
      <c r="W3405" s="48"/>
      <c r="X3405" s="48"/>
      <c r="Y3405" s="48"/>
      <c r="Z3405" s="48"/>
      <c r="AA3405" s="48"/>
      <c r="AB3405" s="48"/>
      <c r="AC3405" s="48"/>
      <c r="AD3405" s="48"/>
      <c r="AE3405" s="48"/>
      <c r="AF3405" s="48"/>
      <c r="AG3405" s="48"/>
      <c r="AH3405" s="48"/>
      <c r="AI3405" s="48"/>
      <c r="AJ3405" s="48"/>
      <c r="AK3405" s="48"/>
      <c r="AL3405" s="48"/>
      <c r="AM3405" s="48"/>
      <c r="AN3405" s="48"/>
      <c r="AO3405" s="48"/>
      <c r="AP3405" s="48"/>
      <c r="AQ3405" s="48"/>
      <c r="AR3405" s="48"/>
      <c r="AS3405" s="48"/>
      <c r="AT3405" s="48"/>
      <c r="AU3405" s="48"/>
      <c r="AV3405" s="48"/>
      <c r="AW3405" s="48"/>
      <c r="AX3405" s="48"/>
      <c r="AY3405" s="48"/>
      <c r="AZ3405" s="48"/>
      <c r="BA3405" s="48"/>
      <c r="BB3405" s="48"/>
      <c r="BC3405" s="48"/>
      <c r="BD3405" s="48"/>
    </row>
    <row r="3406" spans="1:56">
      <c r="A3406" s="48"/>
      <c r="B3406" s="48"/>
      <c r="C3406" s="49"/>
      <c r="D3406" s="48"/>
      <c r="E3406" s="48"/>
      <c r="F3406" s="48"/>
      <c r="G3406" s="48"/>
      <c r="H3406" s="48"/>
      <c r="I3406" s="48"/>
      <c r="J3406" s="86"/>
      <c r="K3406" s="86"/>
      <c r="L3406" s="86"/>
      <c r="M3406" s="86"/>
      <c r="N3406" s="86"/>
      <c r="O3406" s="86"/>
      <c r="P3406" s="86"/>
      <c r="Q3406" s="86"/>
      <c r="R3406" s="86"/>
      <c r="S3406" s="86"/>
      <c r="T3406" s="86"/>
      <c r="U3406" s="86"/>
      <c r="V3406" s="48"/>
      <c r="W3406" s="48"/>
      <c r="X3406" s="48"/>
      <c r="Y3406" s="48"/>
      <c r="Z3406" s="48"/>
      <c r="AA3406" s="48"/>
      <c r="AB3406" s="48"/>
      <c r="AC3406" s="48"/>
      <c r="AD3406" s="48"/>
      <c r="AE3406" s="48"/>
      <c r="AF3406" s="48"/>
      <c r="AG3406" s="48"/>
      <c r="AH3406" s="48"/>
      <c r="AI3406" s="48"/>
      <c r="AJ3406" s="48"/>
      <c r="AK3406" s="48"/>
      <c r="AL3406" s="48"/>
      <c r="AM3406" s="48"/>
      <c r="AN3406" s="48"/>
      <c r="AO3406" s="48"/>
      <c r="AP3406" s="48"/>
      <c r="AQ3406" s="48"/>
      <c r="AR3406" s="48"/>
      <c r="AS3406" s="48"/>
      <c r="AT3406" s="48"/>
      <c r="AU3406" s="48"/>
      <c r="AV3406" s="48"/>
      <c r="AW3406" s="48"/>
      <c r="AX3406" s="48"/>
      <c r="AY3406" s="48"/>
      <c r="AZ3406" s="48"/>
      <c r="BA3406" s="48"/>
      <c r="BB3406" s="48"/>
      <c r="BC3406" s="48"/>
      <c r="BD3406" s="48"/>
    </row>
    <row r="3407" spans="1:56">
      <c r="A3407" s="48"/>
      <c r="B3407" s="48"/>
      <c r="C3407" s="49"/>
      <c r="D3407" s="48"/>
      <c r="E3407" s="48"/>
      <c r="F3407" s="48"/>
      <c r="G3407" s="48"/>
      <c r="H3407" s="48"/>
      <c r="I3407" s="48"/>
      <c r="J3407" s="86"/>
      <c r="K3407" s="86"/>
      <c r="L3407" s="86"/>
      <c r="M3407" s="86"/>
      <c r="N3407" s="86"/>
      <c r="O3407" s="86"/>
      <c r="P3407" s="86"/>
      <c r="Q3407" s="86"/>
      <c r="R3407" s="86"/>
      <c r="S3407" s="86"/>
      <c r="T3407" s="86"/>
      <c r="U3407" s="86"/>
      <c r="V3407" s="48"/>
      <c r="W3407" s="48"/>
      <c r="X3407" s="48"/>
      <c r="Y3407" s="48"/>
      <c r="Z3407" s="48"/>
      <c r="AA3407" s="48"/>
      <c r="AB3407" s="48"/>
      <c r="AC3407" s="48"/>
      <c r="AD3407" s="48"/>
      <c r="AE3407" s="48"/>
      <c r="AF3407" s="48"/>
      <c r="AG3407" s="48"/>
      <c r="AH3407" s="48"/>
      <c r="AI3407" s="48"/>
      <c r="AJ3407" s="48"/>
      <c r="AK3407" s="48"/>
      <c r="AL3407" s="48"/>
      <c r="AM3407" s="48"/>
      <c r="AN3407" s="48"/>
      <c r="AO3407" s="48"/>
      <c r="AP3407" s="48"/>
      <c r="AQ3407" s="48"/>
      <c r="AR3407" s="48"/>
      <c r="AS3407" s="48"/>
      <c r="AT3407" s="48"/>
      <c r="AU3407" s="48"/>
      <c r="AV3407" s="48"/>
      <c r="AW3407" s="48"/>
      <c r="AX3407" s="48"/>
      <c r="AY3407" s="48"/>
      <c r="AZ3407" s="48"/>
      <c r="BA3407" s="48"/>
      <c r="BB3407" s="48"/>
      <c r="BC3407" s="48"/>
      <c r="BD3407" s="48"/>
    </row>
    <row r="3408" spans="1:56">
      <c r="A3408" s="48"/>
      <c r="B3408" s="48"/>
      <c r="C3408" s="49"/>
      <c r="D3408" s="48"/>
      <c r="E3408" s="48"/>
      <c r="F3408" s="48"/>
      <c r="G3408" s="48"/>
      <c r="H3408" s="48"/>
      <c r="I3408" s="48"/>
      <c r="J3408" s="86"/>
      <c r="K3408" s="86"/>
      <c r="L3408" s="86"/>
      <c r="M3408" s="86"/>
      <c r="N3408" s="86"/>
      <c r="O3408" s="86"/>
      <c r="P3408" s="86"/>
      <c r="Q3408" s="86"/>
      <c r="R3408" s="86"/>
      <c r="S3408" s="86"/>
      <c r="T3408" s="86"/>
      <c r="U3408" s="86"/>
      <c r="V3408" s="48"/>
      <c r="W3408" s="48"/>
      <c r="X3408" s="48"/>
      <c r="Y3408" s="48"/>
      <c r="Z3408" s="48"/>
      <c r="AA3408" s="48"/>
      <c r="AB3408" s="48"/>
      <c r="AC3408" s="48"/>
      <c r="AD3408" s="48"/>
      <c r="AE3408" s="48"/>
      <c r="AF3408" s="48"/>
      <c r="AG3408" s="48"/>
      <c r="AH3408" s="48"/>
      <c r="AI3408" s="48"/>
      <c r="AJ3408" s="48"/>
      <c r="AK3408" s="48"/>
      <c r="AL3408" s="48"/>
      <c r="AM3408" s="48"/>
      <c r="AN3408" s="48"/>
      <c r="AO3408" s="48"/>
      <c r="AP3408" s="48"/>
      <c r="AQ3408" s="48"/>
      <c r="AR3408" s="48"/>
      <c r="AS3408" s="48"/>
      <c r="AT3408" s="48"/>
      <c r="AU3408" s="48"/>
      <c r="AV3408" s="48"/>
      <c r="AW3408" s="48"/>
      <c r="AX3408" s="48"/>
      <c r="AY3408" s="48"/>
      <c r="AZ3408" s="48"/>
      <c r="BA3408" s="48"/>
      <c r="BB3408" s="48"/>
      <c r="BC3408" s="48"/>
      <c r="BD3408" s="48"/>
    </row>
    <row r="3409" spans="1:56">
      <c r="A3409" s="48"/>
      <c r="B3409" s="48"/>
      <c r="C3409" s="49"/>
      <c r="D3409" s="48"/>
      <c r="E3409" s="48"/>
      <c r="F3409" s="48"/>
      <c r="G3409" s="48"/>
      <c r="H3409" s="48"/>
      <c r="I3409" s="48"/>
      <c r="J3409" s="86"/>
      <c r="K3409" s="86"/>
      <c r="L3409" s="86"/>
      <c r="M3409" s="86"/>
      <c r="N3409" s="86"/>
      <c r="O3409" s="86"/>
      <c r="P3409" s="86"/>
      <c r="Q3409" s="86"/>
      <c r="R3409" s="86"/>
      <c r="S3409" s="86"/>
      <c r="T3409" s="86"/>
      <c r="U3409" s="86"/>
      <c r="V3409" s="48"/>
      <c r="W3409" s="48"/>
      <c r="X3409" s="48"/>
      <c r="Y3409" s="48"/>
      <c r="Z3409" s="48"/>
      <c r="AA3409" s="48"/>
      <c r="AB3409" s="48"/>
      <c r="AC3409" s="48"/>
      <c r="AD3409" s="48"/>
      <c r="AE3409" s="48"/>
      <c r="AF3409" s="48"/>
      <c r="AG3409" s="48"/>
      <c r="AH3409" s="48"/>
      <c r="AI3409" s="48"/>
      <c r="AJ3409" s="48"/>
      <c r="AK3409" s="48"/>
      <c r="AL3409" s="48"/>
      <c r="AM3409" s="48"/>
      <c r="AN3409" s="48"/>
      <c r="AO3409" s="48"/>
      <c r="AP3409" s="48"/>
      <c r="AQ3409" s="48"/>
      <c r="AR3409" s="48"/>
      <c r="AS3409" s="48"/>
      <c r="AT3409" s="48"/>
      <c r="AU3409" s="48"/>
      <c r="AV3409" s="48"/>
      <c r="AW3409" s="48"/>
      <c r="AX3409" s="48"/>
      <c r="AY3409" s="48"/>
      <c r="AZ3409" s="48"/>
      <c r="BA3409" s="48"/>
      <c r="BB3409" s="48"/>
      <c r="BC3409" s="48"/>
      <c r="BD3409" s="48"/>
    </row>
    <row r="3410" spans="1:56">
      <c r="A3410" s="48"/>
      <c r="B3410" s="48"/>
      <c r="C3410" s="49"/>
      <c r="D3410" s="48"/>
      <c r="E3410" s="48"/>
      <c r="F3410" s="48"/>
      <c r="G3410" s="48"/>
      <c r="H3410" s="48"/>
      <c r="I3410" s="48"/>
      <c r="J3410" s="86"/>
      <c r="K3410" s="86"/>
      <c r="L3410" s="86"/>
      <c r="M3410" s="86"/>
      <c r="N3410" s="86"/>
      <c r="O3410" s="86"/>
      <c r="P3410" s="86"/>
      <c r="Q3410" s="86"/>
      <c r="R3410" s="86"/>
      <c r="S3410" s="86"/>
      <c r="T3410" s="86"/>
      <c r="U3410" s="86"/>
      <c r="V3410" s="48"/>
      <c r="W3410" s="48"/>
      <c r="X3410" s="48"/>
      <c r="Y3410" s="48"/>
      <c r="Z3410" s="48"/>
      <c r="AA3410" s="48"/>
      <c r="AB3410" s="48"/>
      <c r="AC3410" s="48"/>
      <c r="AD3410" s="48"/>
      <c r="AE3410" s="48"/>
      <c r="AF3410" s="48"/>
      <c r="AG3410" s="48"/>
      <c r="AH3410" s="48"/>
      <c r="AI3410" s="48"/>
      <c r="AJ3410" s="48"/>
      <c r="AK3410" s="48"/>
      <c r="AL3410" s="48"/>
      <c r="AM3410" s="48"/>
      <c r="AN3410" s="48"/>
      <c r="AO3410" s="48"/>
      <c r="AP3410" s="48"/>
      <c r="AQ3410" s="48"/>
      <c r="AR3410" s="48"/>
      <c r="AS3410" s="48"/>
      <c r="AT3410" s="48"/>
      <c r="AU3410" s="48"/>
      <c r="AV3410" s="48"/>
      <c r="AW3410" s="48"/>
      <c r="AX3410" s="48"/>
      <c r="AY3410" s="48"/>
      <c r="AZ3410" s="48"/>
      <c r="BA3410" s="48"/>
      <c r="BB3410" s="48"/>
      <c r="BC3410" s="48"/>
      <c r="BD3410" s="48"/>
    </row>
    <row r="3411" spans="1:56">
      <c r="A3411" s="48"/>
      <c r="B3411" s="48"/>
      <c r="C3411" s="49"/>
      <c r="D3411" s="48"/>
      <c r="E3411" s="48"/>
      <c r="F3411" s="48"/>
      <c r="G3411" s="48"/>
      <c r="H3411" s="48"/>
      <c r="I3411" s="48"/>
      <c r="J3411" s="86"/>
      <c r="K3411" s="86"/>
      <c r="L3411" s="86"/>
      <c r="M3411" s="86"/>
      <c r="N3411" s="86"/>
      <c r="O3411" s="86"/>
      <c r="P3411" s="86"/>
      <c r="Q3411" s="86"/>
      <c r="R3411" s="86"/>
      <c r="S3411" s="86"/>
      <c r="T3411" s="86"/>
      <c r="U3411" s="86"/>
      <c r="V3411" s="48"/>
      <c r="W3411" s="48"/>
      <c r="X3411" s="48"/>
      <c r="Y3411" s="48"/>
      <c r="Z3411" s="48"/>
      <c r="AA3411" s="48"/>
      <c r="AB3411" s="48"/>
      <c r="AC3411" s="48"/>
      <c r="AD3411" s="48"/>
      <c r="AE3411" s="48"/>
      <c r="AF3411" s="48"/>
      <c r="AG3411" s="48"/>
      <c r="AH3411" s="48"/>
      <c r="AI3411" s="48"/>
      <c r="AJ3411" s="48"/>
      <c r="AK3411" s="48"/>
      <c r="AL3411" s="48"/>
      <c r="AM3411" s="48"/>
      <c r="AN3411" s="48"/>
      <c r="AO3411" s="48"/>
      <c r="AP3411" s="48"/>
      <c r="AQ3411" s="48"/>
      <c r="AR3411" s="48"/>
      <c r="AS3411" s="48"/>
      <c r="AT3411" s="48"/>
      <c r="AU3411" s="48"/>
      <c r="AV3411" s="48"/>
      <c r="AW3411" s="48"/>
      <c r="AX3411" s="48"/>
      <c r="AY3411" s="48"/>
      <c r="AZ3411" s="48"/>
      <c r="BA3411" s="48"/>
      <c r="BB3411" s="48"/>
      <c r="BC3411" s="48"/>
      <c r="BD3411" s="48"/>
    </row>
    <row r="3412" spans="1:56">
      <c r="A3412" s="48"/>
      <c r="B3412" s="48"/>
      <c r="C3412" s="49"/>
      <c r="D3412" s="48"/>
      <c r="E3412" s="48"/>
      <c r="F3412" s="48"/>
      <c r="G3412" s="48"/>
      <c r="H3412" s="48"/>
      <c r="I3412" s="48"/>
      <c r="J3412" s="86"/>
      <c r="K3412" s="86"/>
      <c r="L3412" s="86"/>
      <c r="M3412" s="86"/>
      <c r="N3412" s="86"/>
      <c r="O3412" s="86"/>
      <c r="P3412" s="86"/>
      <c r="Q3412" s="86"/>
      <c r="R3412" s="86"/>
      <c r="S3412" s="86"/>
      <c r="T3412" s="86"/>
      <c r="U3412" s="86"/>
      <c r="V3412" s="48"/>
      <c r="W3412" s="48"/>
      <c r="X3412" s="48"/>
      <c r="Y3412" s="48"/>
      <c r="Z3412" s="48"/>
      <c r="AA3412" s="48"/>
      <c r="AB3412" s="48"/>
      <c r="AC3412" s="48"/>
      <c r="AD3412" s="48"/>
      <c r="AE3412" s="48"/>
      <c r="AF3412" s="48"/>
      <c r="AG3412" s="48"/>
      <c r="AH3412" s="48"/>
      <c r="AI3412" s="48"/>
      <c r="AJ3412" s="48"/>
      <c r="AK3412" s="48"/>
      <c r="AL3412" s="48"/>
      <c r="AM3412" s="48"/>
      <c r="AN3412" s="48"/>
      <c r="AO3412" s="48"/>
      <c r="AP3412" s="48"/>
      <c r="AQ3412" s="48"/>
      <c r="AR3412" s="48"/>
      <c r="AS3412" s="48"/>
      <c r="AT3412" s="48"/>
      <c r="AU3412" s="48"/>
      <c r="AV3412" s="48"/>
      <c r="AW3412" s="48"/>
      <c r="AX3412" s="48"/>
      <c r="AY3412" s="48"/>
      <c r="AZ3412" s="48"/>
      <c r="BA3412" s="48"/>
      <c r="BB3412" s="48"/>
      <c r="BC3412" s="48"/>
      <c r="BD3412" s="48"/>
    </row>
    <row r="3413" spans="1:56">
      <c r="A3413" s="48"/>
      <c r="B3413" s="48"/>
      <c r="C3413" s="49"/>
      <c r="D3413" s="48"/>
      <c r="E3413" s="48"/>
      <c r="F3413" s="48"/>
      <c r="G3413" s="48"/>
      <c r="H3413" s="48"/>
      <c r="I3413" s="48"/>
      <c r="J3413" s="86"/>
      <c r="K3413" s="86"/>
      <c r="L3413" s="86"/>
      <c r="M3413" s="86"/>
      <c r="N3413" s="86"/>
      <c r="O3413" s="86"/>
      <c r="P3413" s="86"/>
      <c r="Q3413" s="86"/>
      <c r="R3413" s="86"/>
      <c r="S3413" s="86"/>
      <c r="T3413" s="86"/>
      <c r="U3413" s="86"/>
      <c r="V3413" s="48"/>
      <c r="W3413" s="48"/>
      <c r="X3413" s="48"/>
      <c r="Y3413" s="48"/>
      <c r="Z3413" s="48"/>
      <c r="AA3413" s="48"/>
      <c r="AB3413" s="48"/>
      <c r="AC3413" s="48"/>
      <c r="AD3413" s="48"/>
      <c r="AE3413" s="48"/>
      <c r="AF3413" s="48"/>
      <c r="AG3413" s="48"/>
      <c r="AH3413" s="48"/>
      <c r="AI3413" s="48"/>
      <c r="AJ3413" s="48"/>
      <c r="AK3413" s="48"/>
      <c r="AL3413" s="48"/>
      <c r="AM3413" s="48"/>
      <c r="AN3413" s="48"/>
      <c r="AO3413" s="48"/>
      <c r="AP3413" s="48"/>
      <c r="AQ3413" s="48"/>
      <c r="AR3413" s="48"/>
      <c r="AS3413" s="48"/>
      <c r="AT3413" s="48"/>
      <c r="AU3413" s="48"/>
      <c r="AV3413" s="48"/>
      <c r="AW3413" s="48"/>
      <c r="AX3413" s="48"/>
      <c r="AY3413" s="48"/>
      <c r="AZ3413" s="48"/>
      <c r="BA3413" s="48"/>
      <c r="BB3413" s="48"/>
      <c r="BC3413" s="48"/>
      <c r="BD3413" s="48"/>
    </row>
    <row r="3414" spans="1:56">
      <c r="A3414" s="48"/>
      <c r="B3414" s="48"/>
      <c r="C3414" s="49"/>
      <c r="D3414" s="48"/>
      <c r="E3414" s="48"/>
      <c r="F3414" s="48"/>
      <c r="G3414" s="48"/>
      <c r="H3414" s="48"/>
      <c r="I3414" s="48"/>
      <c r="J3414" s="86"/>
      <c r="K3414" s="86"/>
      <c r="L3414" s="86"/>
      <c r="M3414" s="86"/>
      <c r="N3414" s="86"/>
      <c r="O3414" s="86"/>
      <c r="P3414" s="86"/>
      <c r="Q3414" s="86"/>
      <c r="R3414" s="86"/>
      <c r="S3414" s="86"/>
      <c r="T3414" s="86"/>
      <c r="U3414" s="86"/>
      <c r="V3414" s="48"/>
      <c r="W3414" s="48"/>
      <c r="X3414" s="48"/>
      <c r="Y3414" s="48"/>
      <c r="Z3414" s="48"/>
      <c r="AA3414" s="48"/>
      <c r="AB3414" s="48"/>
      <c r="AC3414" s="48"/>
      <c r="AD3414" s="48"/>
      <c r="AE3414" s="48"/>
      <c r="AF3414" s="48"/>
      <c r="AG3414" s="48"/>
      <c r="AH3414" s="48"/>
      <c r="AI3414" s="48"/>
      <c r="AJ3414" s="48"/>
      <c r="AK3414" s="48"/>
      <c r="AL3414" s="48"/>
      <c r="AM3414" s="48"/>
      <c r="AN3414" s="48"/>
      <c r="AO3414" s="48"/>
      <c r="AP3414" s="48"/>
      <c r="AQ3414" s="48"/>
      <c r="AR3414" s="48"/>
      <c r="AS3414" s="48"/>
      <c r="AT3414" s="48"/>
      <c r="AU3414" s="48"/>
      <c r="AV3414" s="48"/>
      <c r="AW3414" s="48"/>
      <c r="AX3414" s="48"/>
      <c r="AY3414" s="48"/>
      <c r="AZ3414" s="48"/>
      <c r="BA3414" s="48"/>
      <c r="BB3414" s="48"/>
      <c r="BC3414" s="48"/>
      <c r="BD3414" s="48"/>
    </row>
    <row r="3415" spans="1:56">
      <c r="A3415" s="48"/>
      <c r="B3415" s="48"/>
      <c r="C3415" s="49"/>
      <c r="D3415" s="48"/>
      <c r="E3415" s="48"/>
      <c r="F3415" s="48"/>
      <c r="G3415" s="48"/>
      <c r="H3415" s="48"/>
      <c r="I3415" s="48"/>
      <c r="J3415" s="86"/>
      <c r="K3415" s="86"/>
      <c r="L3415" s="86"/>
      <c r="M3415" s="86"/>
      <c r="N3415" s="86"/>
      <c r="O3415" s="86"/>
      <c r="P3415" s="86"/>
      <c r="Q3415" s="86"/>
      <c r="R3415" s="86"/>
      <c r="S3415" s="86"/>
      <c r="T3415" s="86"/>
      <c r="U3415" s="86"/>
      <c r="V3415" s="48"/>
      <c r="W3415" s="48"/>
      <c r="X3415" s="48"/>
      <c r="Y3415" s="48"/>
      <c r="Z3415" s="48"/>
      <c r="AA3415" s="48"/>
      <c r="AB3415" s="48"/>
      <c r="AC3415" s="48"/>
      <c r="AD3415" s="48"/>
      <c r="AE3415" s="48"/>
      <c r="AF3415" s="48"/>
      <c r="AG3415" s="48"/>
      <c r="AH3415" s="48"/>
      <c r="AI3415" s="48"/>
      <c r="AJ3415" s="48"/>
      <c r="AK3415" s="48"/>
      <c r="AL3415" s="48"/>
      <c r="AM3415" s="48"/>
      <c r="AN3415" s="48"/>
      <c r="AO3415" s="48"/>
      <c r="AP3415" s="48"/>
      <c r="AQ3415" s="48"/>
      <c r="AR3415" s="48"/>
      <c r="AS3415" s="48"/>
      <c r="AT3415" s="48"/>
      <c r="AU3415" s="48"/>
      <c r="AV3415" s="48"/>
      <c r="AW3415" s="48"/>
      <c r="AX3415" s="48"/>
      <c r="AY3415" s="48"/>
      <c r="AZ3415" s="48"/>
      <c r="BA3415" s="48"/>
      <c r="BB3415" s="48"/>
      <c r="BC3415" s="48"/>
      <c r="BD3415" s="48"/>
    </row>
    <row r="3416" spans="1:56">
      <c r="A3416" s="48"/>
      <c r="B3416" s="48"/>
      <c r="C3416" s="49"/>
      <c r="D3416" s="48"/>
      <c r="E3416" s="48"/>
      <c r="F3416" s="48"/>
      <c r="G3416" s="48"/>
      <c r="H3416" s="48"/>
      <c r="I3416" s="48"/>
      <c r="J3416" s="86"/>
      <c r="K3416" s="86"/>
      <c r="L3416" s="86"/>
      <c r="M3416" s="86"/>
      <c r="N3416" s="86"/>
      <c r="O3416" s="86"/>
      <c r="P3416" s="86"/>
      <c r="Q3416" s="86"/>
      <c r="R3416" s="86"/>
      <c r="S3416" s="86"/>
      <c r="T3416" s="86"/>
      <c r="U3416" s="86"/>
      <c r="V3416" s="48"/>
      <c r="W3416" s="48"/>
      <c r="X3416" s="48"/>
      <c r="Y3416" s="48"/>
      <c r="Z3416" s="48"/>
      <c r="AA3416" s="48"/>
      <c r="AB3416" s="48"/>
      <c r="AC3416" s="48"/>
      <c r="AD3416" s="48"/>
      <c r="AE3416" s="48"/>
      <c r="AF3416" s="48"/>
      <c r="AG3416" s="48"/>
      <c r="AH3416" s="48"/>
      <c r="AI3416" s="48"/>
      <c r="AJ3416" s="48"/>
      <c r="AK3416" s="48"/>
      <c r="AL3416" s="48"/>
      <c r="AM3416" s="48"/>
      <c r="AN3416" s="48"/>
      <c r="AO3416" s="48"/>
      <c r="AP3416" s="48"/>
      <c r="AQ3416" s="48"/>
      <c r="AR3416" s="48"/>
      <c r="AS3416" s="48"/>
      <c r="AT3416" s="48"/>
      <c r="AU3416" s="48"/>
      <c r="AV3416" s="48"/>
      <c r="AW3416" s="48"/>
      <c r="AX3416" s="48"/>
      <c r="AY3416" s="48"/>
      <c r="AZ3416" s="48"/>
      <c r="BA3416" s="48"/>
      <c r="BB3416" s="48"/>
      <c r="BC3416" s="48"/>
      <c r="BD3416" s="48"/>
    </row>
    <row r="3417" spans="1:56">
      <c r="A3417" s="48"/>
      <c r="B3417" s="48"/>
      <c r="C3417" s="49"/>
      <c r="D3417" s="48"/>
      <c r="E3417" s="48"/>
      <c r="F3417" s="48"/>
      <c r="G3417" s="48"/>
      <c r="H3417" s="48"/>
      <c r="I3417" s="48"/>
      <c r="J3417" s="86"/>
      <c r="K3417" s="86"/>
      <c r="L3417" s="86"/>
      <c r="M3417" s="86"/>
      <c r="N3417" s="86"/>
      <c r="O3417" s="86"/>
      <c r="P3417" s="86"/>
      <c r="Q3417" s="86"/>
      <c r="R3417" s="86"/>
      <c r="S3417" s="86"/>
      <c r="T3417" s="86"/>
      <c r="U3417" s="86"/>
      <c r="V3417" s="48"/>
      <c r="W3417" s="48"/>
      <c r="X3417" s="48"/>
      <c r="Y3417" s="48"/>
      <c r="Z3417" s="48"/>
      <c r="AA3417" s="48"/>
      <c r="AB3417" s="48"/>
      <c r="AC3417" s="48"/>
      <c r="AD3417" s="48"/>
      <c r="AE3417" s="48"/>
      <c r="AF3417" s="48"/>
      <c r="AG3417" s="48"/>
      <c r="AH3417" s="48"/>
      <c r="AI3417" s="48"/>
      <c r="AJ3417" s="48"/>
      <c r="AK3417" s="48"/>
      <c r="AL3417" s="48"/>
      <c r="AM3417" s="48"/>
      <c r="AN3417" s="48"/>
      <c r="AO3417" s="48"/>
      <c r="AP3417" s="48"/>
      <c r="AQ3417" s="48"/>
      <c r="AR3417" s="48"/>
      <c r="AS3417" s="48"/>
      <c r="AT3417" s="48"/>
      <c r="AU3417" s="48"/>
      <c r="AV3417" s="48"/>
      <c r="AW3417" s="48"/>
      <c r="AX3417" s="48"/>
      <c r="AY3417" s="48"/>
      <c r="AZ3417" s="48"/>
      <c r="BA3417" s="48"/>
      <c r="BB3417" s="48"/>
      <c r="BC3417" s="48"/>
      <c r="BD3417" s="48"/>
    </row>
    <row r="3418" spans="1:56">
      <c r="A3418" s="48"/>
      <c r="B3418" s="48"/>
      <c r="C3418" s="49"/>
      <c r="D3418" s="48"/>
      <c r="E3418" s="48"/>
      <c r="F3418" s="48"/>
      <c r="G3418" s="48"/>
      <c r="H3418" s="48"/>
      <c r="I3418" s="48"/>
      <c r="J3418" s="86"/>
      <c r="K3418" s="86"/>
      <c r="L3418" s="86"/>
      <c r="M3418" s="86"/>
      <c r="N3418" s="86"/>
      <c r="O3418" s="86"/>
      <c r="P3418" s="86"/>
      <c r="Q3418" s="86"/>
      <c r="R3418" s="86"/>
      <c r="S3418" s="86"/>
      <c r="T3418" s="86"/>
      <c r="U3418" s="86"/>
      <c r="V3418" s="48"/>
      <c r="W3418" s="48"/>
      <c r="X3418" s="48"/>
      <c r="Y3418" s="48"/>
      <c r="Z3418" s="48"/>
      <c r="AA3418" s="48"/>
      <c r="AB3418" s="48"/>
      <c r="AC3418" s="48"/>
      <c r="AD3418" s="48"/>
      <c r="AE3418" s="48"/>
      <c r="AF3418" s="48"/>
      <c r="AG3418" s="48"/>
      <c r="AH3418" s="48"/>
      <c r="AI3418" s="48"/>
      <c r="AJ3418" s="48"/>
      <c r="AK3418" s="48"/>
      <c r="AL3418" s="48"/>
      <c r="AM3418" s="48"/>
      <c r="AN3418" s="48"/>
      <c r="AO3418" s="48"/>
      <c r="AP3418" s="48"/>
      <c r="AQ3418" s="48"/>
      <c r="AR3418" s="48"/>
      <c r="AS3418" s="48"/>
      <c r="AT3418" s="48"/>
      <c r="AU3418" s="48"/>
      <c r="AV3418" s="48"/>
      <c r="AW3418" s="48"/>
      <c r="AX3418" s="48"/>
      <c r="AY3418" s="48"/>
      <c r="AZ3418" s="48"/>
      <c r="BA3418" s="48"/>
      <c r="BB3418" s="48"/>
      <c r="BC3418" s="48"/>
      <c r="BD3418" s="48"/>
    </row>
    <row r="3419" spans="1:56">
      <c r="A3419" s="48"/>
      <c r="B3419" s="48"/>
      <c r="C3419" s="49"/>
      <c r="D3419" s="48"/>
      <c r="E3419" s="48"/>
      <c r="F3419" s="48"/>
      <c r="G3419" s="48"/>
      <c r="H3419" s="48"/>
      <c r="I3419" s="48"/>
      <c r="J3419" s="86"/>
      <c r="K3419" s="86"/>
      <c r="L3419" s="86"/>
      <c r="M3419" s="86"/>
      <c r="N3419" s="86"/>
      <c r="O3419" s="86"/>
      <c r="P3419" s="86"/>
      <c r="Q3419" s="86"/>
      <c r="R3419" s="86"/>
      <c r="S3419" s="86"/>
      <c r="T3419" s="86"/>
      <c r="U3419" s="86"/>
      <c r="V3419" s="48"/>
      <c r="W3419" s="48"/>
      <c r="X3419" s="48"/>
      <c r="Y3419" s="48"/>
      <c r="Z3419" s="48"/>
      <c r="AA3419" s="48"/>
      <c r="AB3419" s="48"/>
      <c r="AC3419" s="48"/>
      <c r="AD3419" s="48"/>
      <c r="AE3419" s="48"/>
      <c r="AF3419" s="48"/>
      <c r="AG3419" s="48"/>
      <c r="AH3419" s="48"/>
      <c r="AI3419" s="48"/>
      <c r="AJ3419" s="48"/>
      <c r="AK3419" s="48"/>
      <c r="AL3419" s="48"/>
      <c r="AM3419" s="48"/>
      <c r="AN3419" s="48"/>
      <c r="AO3419" s="48"/>
      <c r="AP3419" s="48"/>
      <c r="AQ3419" s="48"/>
      <c r="AR3419" s="48"/>
      <c r="AS3419" s="48"/>
      <c r="AT3419" s="48"/>
      <c r="AU3419" s="48"/>
      <c r="AV3419" s="48"/>
      <c r="AW3419" s="48"/>
      <c r="AX3419" s="48"/>
      <c r="AY3419" s="48"/>
      <c r="AZ3419" s="48"/>
      <c r="BA3419" s="48"/>
      <c r="BB3419" s="48"/>
      <c r="BC3419" s="48"/>
      <c r="BD3419" s="48"/>
    </row>
    <row r="3420" spans="1:56">
      <c r="A3420" s="48"/>
      <c r="B3420" s="48"/>
      <c r="C3420" s="49"/>
      <c r="D3420" s="48"/>
      <c r="E3420" s="48"/>
      <c r="F3420" s="48"/>
      <c r="G3420" s="48"/>
      <c r="H3420" s="48"/>
      <c r="I3420" s="48"/>
      <c r="J3420" s="86"/>
      <c r="K3420" s="86"/>
      <c r="L3420" s="86"/>
      <c r="M3420" s="86"/>
      <c r="N3420" s="86"/>
      <c r="O3420" s="86"/>
      <c r="P3420" s="86"/>
      <c r="Q3420" s="86"/>
      <c r="R3420" s="86"/>
      <c r="S3420" s="86"/>
      <c r="T3420" s="86"/>
      <c r="U3420" s="86"/>
      <c r="V3420" s="48"/>
      <c r="W3420" s="48"/>
      <c r="X3420" s="48"/>
      <c r="Y3420" s="48"/>
      <c r="Z3420" s="48"/>
      <c r="AA3420" s="48"/>
      <c r="AB3420" s="48"/>
      <c r="AC3420" s="48"/>
      <c r="AD3420" s="48"/>
      <c r="AE3420" s="48"/>
      <c r="AF3420" s="48"/>
      <c r="AG3420" s="48"/>
      <c r="AH3420" s="48"/>
      <c r="AI3420" s="48"/>
      <c r="AJ3420" s="48"/>
      <c r="AK3420" s="48"/>
      <c r="AL3420" s="48"/>
      <c r="AM3420" s="48"/>
      <c r="AN3420" s="48"/>
      <c r="AO3420" s="48"/>
      <c r="AP3420" s="48"/>
      <c r="AQ3420" s="48"/>
      <c r="AR3420" s="48"/>
      <c r="AS3420" s="48"/>
      <c r="AT3420" s="48"/>
      <c r="AU3420" s="48"/>
      <c r="AV3420" s="48"/>
      <c r="AW3420" s="48"/>
      <c r="AX3420" s="48"/>
      <c r="AY3420" s="48"/>
      <c r="AZ3420" s="48"/>
      <c r="BA3420" s="48"/>
      <c r="BB3420" s="48"/>
      <c r="BC3420" s="48"/>
      <c r="BD3420" s="48"/>
    </row>
    <row r="3421" spans="1:56">
      <c r="A3421" s="48"/>
      <c r="B3421" s="48"/>
      <c r="C3421" s="49"/>
      <c r="D3421" s="48"/>
      <c r="E3421" s="48"/>
      <c r="F3421" s="48"/>
      <c r="G3421" s="48"/>
      <c r="H3421" s="48"/>
      <c r="I3421" s="48"/>
      <c r="J3421" s="86"/>
      <c r="K3421" s="86"/>
      <c r="L3421" s="86"/>
      <c r="M3421" s="86"/>
      <c r="N3421" s="86"/>
      <c r="O3421" s="86"/>
      <c r="P3421" s="86"/>
      <c r="Q3421" s="86"/>
      <c r="R3421" s="86"/>
      <c r="S3421" s="86"/>
      <c r="T3421" s="86"/>
      <c r="U3421" s="86"/>
      <c r="V3421" s="48"/>
      <c r="W3421" s="48"/>
      <c r="X3421" s="48"/>
      <c r="Y3421" s="48"/>
      <c r="Z3421" s="48"/>
      <c r="AA3421" s="48"/>
      <c r="AB3421" s="48"/>
      <c r="AC3421" s="48"/>
      <c r="AD3421" s="48"/>
      <c r="AE3421" s="48"/>
      <c r="AF3421" s="48"/>
      <c r="AG3421" s="48"/>
      <c r="AH3421" s="48"/>
      <c r="AI3421" s="48"/>
      <c r="AJ3421" s="48"/>
      <c r="AK3421" s="48"/>
      <c r="AL3421" s="48"/>
      <c r="AM3421" s="48"/>
      <c r="AN3421" s="48"/>
      <c r="AO3421" s="48"/>
      <c r="AP3421" s="48"/>
      <c r="AQ3421" s="48"/>
      <c r="AR3421" s="48"/>
      <c r="AS3421" s="48"/>
      <c r="AT3421" s="48"/>
      <c r="AU3421" s="48"/>
      <c r="AV3421" s="48"/>
      <c r="AW3421" s="48"/>
      <c r="AX3421" s="48"/>
      <c r="AY3421" s="48"/>
      <c r="AZ3421" s="48"/>
      <c r="BA3421" s="48"/>
      <c r="BB3421" s="48"/>
      <c r="BC3421" s="48"/>
      <c r="BD3421" s="48"/>
    </row>
    <row r="3422" spans="1:56">
      <c r="A3422" s="48"/>
      <c r="B3422" s="48"/>
      <c r="C3422" s="49"/>
      <c r="D3422" s="48"/>
      <c r="E3422" s="48"/>
      <c r="F3422" s="48"/>
      <c r="G3422" s="48"/>
      <c r="H3422" s="48"/>
      <c r="I3422" s="48"/>
      <c r="J3422" s="86"/>
      <c r="K3422" s="86"/>
      <c r="L3422" s="86"/>
      <c r="M3422" s="86"/>
      <c r="N3422" s="86"/>
      <c r="O3422" s="86"/>
      <c r="P3422" s="86"/>
      <c r="Q3422" s="86"/>
      <c r="R3422" s="86"/>
      <c r="S3422" s="86"/>
      <c r="T3422" s="86"/>
      <c r="U3422" s="86"/>
      <c r="V3422" s="48"/>
      <c r="W3422" s="48"/>
      <c r="X3422" s="48"/>
      <c r="Y3422" s="48"/>
      <c r="Z3422" s="48"/>
      <c r="AA3422" s="48"/>
      <c r="AB3422" s="48"/>
      <c r="AC3422" s="48"/>
      <c r="AD3422" s="48"/>
      <c r="AE3422" s="48"/>
      <c r="AF3422" s="48"/>
      <c r="AG3422" s="48"/>
      <c r="AH3422" s="48"/>
      <c r="AI3422" s="48"/>
      <c r="AJ3422" s="48"/>
      <c r="AK3422" s="48"/>
      <c r="AL3422" s="48"/>
      <c r="AM3422" s="48"/>
      <c r="AN3422" s="48"/>
      <c r="AO3422" s="48"/>
      <c r="AP3422" s="48"/>
      <c r="AQ3422" s="48"/>
      <c r="AR3422" s="48"/>
      <c r="AS3422" s="48"/>
      <c r="AT3422" s="48"/>
      <c r="AU3422" s="48"/>
      <c r="AV3422" s="48"/>
      <c r="AW3422" s="48"/>
      <c r="AX3422" s="48"/>
      <c r="AY3422" s="48"/>
      <c r="AZ3422" s="48"/>
      <c r="BA3422" s="48"/>
      <c r="BB3422" s="48"/>
      <c r="BC3422" s="48"/>
      <c r="BD3422" s="48"/>
    </row>
    <row r="3423" spans="1:56">
      <c r="A3423" s="48"/>
      <c r="B3423" s="48"/>
      <c r="C3423" s="49"/>
      <c r="D3423" s="48"/>
      <c r="E3423" s="48"/>
      <c r="F3423" s="48"/>
      <c r="G3423" s="48"/>
      <c r="H3423" s="48"/>
      <c r="I3423" s="48"/>
      <c r="J3423" s="86"/>
      <c r="K3423" s="86"/>
      <c r="L3423" s="86"/>
      <c r="M3423" s="86"/>
      <c r="N3423" s="86"/>
      <c r="O3423" s="86"/>
      <c r="P3423" s="86"/>
      <c r="Q3423" s="86"/>
      <c r="R3423" s="86"/>
      <c r="S3423" s="86"/>
      <c r="T3423" s="86"/>
      <c r="U3423" s="86"/>
      <c r="V3423" s="48"/>
      <c r="W3423" s="48"/>
      <c r="X3423" s="48"/>
      <c r="Y3423" s="48"/>
      <c r="Z3423" s="48"/>
      <c r="AA3423" s="48"/>
      <c r="AB3423" s="48"/>
      <c r="AC3423" s="48"/>
      <c r="AD3423" s="48"/>
      <c r="AE3423" s="48"/>
      <c r="AF3423" s="48"/>
      <c r="AG3423" s="48"/>
      <c r="AH3423" s="48"/>
      <c r="AI3423" s="48"/>
      <c r="AJ3423" s="48"/>
      <c r="AK3423" s="48"/>
      <c r="AL3423" s="48"/>
      <c r="AM3423" s="48"/>
      <c r="AN3423" s="48"/>
      <c r="AO3423" s="48"/>
      <c r="AP3423" s="48"/>
      <c r="AQ3423" s="48"/>
      <c r="AR3423" s="48"/>
      <c r="AS3423" s="48"/>
      <c r="AT3423" s="48"/>
      <c r="AU3423" s="48"/>
      <c r="AV3423" s="48"/>
      <c r="AW3423" s="48"/>
      <c r="AX3423" s="48"/>
      <c r="AY3423" s="48"/>
      <c r="AZ3423" s="48"/>
      <c r="BA3423" s="48"/>
      <c r="BB3423" s="48"/>
      <c r="BC3423" s="48"/>
      <c r="BD3423" s="48"/>
    </row>
    <row r="3424" spans="1:56">
      <c r="A3424" s="48"/>
      <c r="B3424" s="48"/>
      <c r="C3424" s="49"/>
      <c r="D3424" s="48"/>
      <c r="E3424" s="48"/>
      <c r="F3424" s="48"/>
      <c r="G3424" s="48"/>
      <c r="H3424" s="48"/>
      <c r="I3424" s="48"/>
      <c r="J3424" s="86"/>
      <c r="K3424" s="86"/>
      <c r="L3424" s="86"/>
      <c r="M3424" s="86"/>
      <c r="N3424" s="86"/>
      <c r="O3424" s="86"/>
      <c r="P3424" s="86"/>
      <c r="Q3424" s="86"/>
      <c r="R3424" s="86"/>
      <c r="S3424" s="86"/>
      <c r="T3424" s="86"/>
      <c r="U3424" s="86"/>
      <c r="V3424" s="48"/>
      <c r="W3424" s="48"/>
      <c r="X3424" s="48"/>
      <c r="Y3424" s="48"/>
      <c r="Z3424" s="48"/>
      <c r="AA3424" s="48"/>
      <c r="AB3424" s="48"/>
      <c r="AC3424" s="48"/>
      <c r="AD3424" s="48"/>
      <c r="AE3424" s="48"/>
      <c r="AF3424" s="48"/>
      <c r="AG3424" s="48"/>
      <c r="AH3424" s="48"/>
      <c r="AI3424" s="48"/>
      <c r="AJ3424" s="48"/>
      <c r="AK3424" s="48"/>
      <c r="AL3424" s="48"/>
      <c r="AM3424" s="48"/>
      <c r="AN3424" s="48"/>
      <c r="AO3424" s="48"/>
      <c r="AP3424" s="48"/>
      <c r="AQ3424" s="48"/>
      <c r="AR3424" s="48"/>
      <c r="AS3424" s="48"/>
      <c r="AT3424" s="48"/>
      <c r="AU3424" s="48"/>
      <c r="AV3424" s="48"/>
      <c r="AW3424" s="48"/>
      <c r="AX3424" s="48"/>
      <c r="AY3424" s="48"/>
      <c r="AZ3424" s="48"/>
      <c r="BA3424" s="48"/>
      <c r="BB3424" s="48"/>
      <c r="BC3424" s="48"/>
      <c r="BD3424" s="48"/>
    </row>
    <row r="3425" spans="1:56">
      <c r="A3425" s="48"/>
      <c r="B3425" s="48"/>
      <c r="C3425" s="49"/>
      <c r="D3425" s="48"/>
      <c r="E3425" s="48"/>
      <c r="F3425" s="48"/>
      <c r="G3425" s="48"/>
      <c r="H3425" s="48"/>
      <c r="I3425" s="48"/>
      <c r="J3425" s="86"/>
      <c r="K3425" s="86"/>
      <c r="L3425" s="86"/>
      <c r="M3425" s="86"/>
      <c r="N3425" s="86"/>
      <c r="O3425" s="86"/>
      <c r="P3425" s="86"/>
      <c r="Q3425" s="86"/>
      <c r="R3425" s="86"/>
      <c r="S3425" s="86"/>
      <c r="T3425" s="86"/>
      <c r="U3425" s="86"/>
      <c r="V3425" s="48"/>
      <c r="W3425" s="48"/>
      <c r="X3425" s="48"/>
      <c r="Y3425" s="48"/>
      <c r="Z3425" s="48"/>
      <c r="AA3425" s="48"/>
      <c r="AB3425" s="48"/>
      <c r="AC3425" s="48"/>
      <c r="AD3425" s="48"/>
      <c r="AE3425" s="48"/>
      <c r="AF3425" s="48"/>
      <c r="AG3425" s="48"/>
      <c r="AH3425" s="48"/>
      <c r="AI3425" s="48"/>
      <c r="AJ3425" s="48"/>
      <c r="AK3425" s="48"/>
      <c r="AL3425" s="48"/>
      <c r="AM3425" s="48"/>
      <c r="AN3425" s="48"/>
      <c r="AO3425" s="48"/>
      <c r="AP3425" s="48"/>
      <c r="AQ3425" s="48"/>
      <c r="AR3425" s="48"/>
      <c r="AS3425" s="48"/>
      <c r="AT3425" s="48"/>
      <c r="AU3425" s="48"/>
      <c r="AV3425" s="48"/>
      <c r="AW3425" s="48"/>
      <c r="AX3425" s="48"/>
      <c r="AY3425" s="48"/>
      <c r="AZ3425" s="48"/>
      <c r="BA3425" s="48"/>
      <c r="BB3425" s="48"/>
      <c r="BC3425" s="48"/>
      <c r="BD3425" s="48"/>
    </row>
    <row r="3426" spans="1:56">
      <c r="A3426" s="48"/>
      <c r="B3426" s="48"/>
      <c r="C3426" s="49"/>
      <c r="D3426" s="48"/>
      <c r="E3426" s="48"/>
      <c r="F3426" s="48"/>
      <c r="G3426" s="48"/>
      <c r="H3426" s="48"/>
      <c r="I3426" s="48"/>
      <c r="J3426" s="86"/>
      <c r="K3426" s="86"/>
      <c r="L3426" s="86"/>
      <c r="M3426" s="86"/>
      <c r="N3426" s="86"/>
      <c r="O3426" s="86"/>
      <c r="P3426" s="86"/>
      <c r="Q3426" s="86"/>
      <c r="R3426" s="86"/>
      <c r="S3426" s="86"/>
      <c r="T3426" s="86"/>
      <c r="U3426" s="86"/>
      <c r="V3426" s="48"/>
      <c r="W3426" s="48"/>
      <c r="X3426" s="48"/>
      <c r="Y3426" s="48"/>
      <c r="Z3426" s="48"/>
      <c r="AA3426" s="48"/>
      <c r="AB3426" s="48"/>
      <c r="AC3426" s="48"/>
      <c r="AD3426" s="48"/>
      <c r="AE3426" s="48"/>
      <c r="AF3426" s="48"/>
      <c r="AG3426" s="48"/>
      <c r="AH3426" s="48"/>
      <c r="AI3426" s="48"/>
      <c r="AJ3426" s="48"/>
      <c r="AK3426" s="48"/>
      <c r="AL3426" s="48"/>
      <c r="AM3426" s="48"/>
      <c r="AN3426" s="48"/>
      <c r="AO3426" s="48"/>
      <c r="AP3426" s="48"/>
      <c r="AQ3426" s="48"/>
      <c r="AR3426" s="48"/>
      <c r="AS3426" s="48"/>
      <c r="AT3426" s="48"/>
      <c r="AU3426" s="48"/>
      <c r="AV3426" s="48"/>
      <c r="AW3426" s="48"/>
      <c r="AX3426" s="48"/>
      <c r="AY3426" s="48"/>
      <c r="AZ3426" s="48"/>
      <c r="BA3426" s="48"/>
      <c r="BB3426" s="48"/>
      <c r="BC3426" s="48"/>
      <c r="BD3426" s="48"/>
    </row>
    <row r="3427" spans="1:56">
      <c r="A3427" s="48"/>
      <c r="B3427" s="48"/>
      <c r="C3427" s="49"/>
      <c r="D3427" s="48"/>
      <c r="E3427" s="48"/>
      <c r="F3427" s="48"/>
      <c r="G3427" s="48"/>
      <c r="H3427" s="48"/>
      <c r="I3427" s="48"/>
      <c r="J3427" s="86"/>
      <c r="K3427" s="86"/>
      <c r="L3427" s="86"/>
      <c r="M3427" s="86"/>
      <c r="N3427" s="86"/>
      <c r="O3427" s="86"/>
      <c r="P3427" s="86"/>
      <c r="Q3427" s="86"/>
      <c r="R3427" s="86"/>
      <c r="S3427" s="86"/>
      <c r="T3427" s="86"/>
      <c r="U3427" s="86"/>
      <c r="V3427" s="48"/>
      <c r="W3427" s="48"/>
      <c r="X3427" s="48"/>
      <c r="Y3427" s="48"/>
      <c r="Z3427" s="48"/>
      <c r="AA3427" s="48"/>
      <c r="AB3427" s="48"/>
      <c r="AC3427" s="48"/>
      <c r="AD3427" s="48"/>
      <c r="AE3427" s="48"/>
      <c r="AF3427" s="48"/>
      <c r="AG3427" s="48"/>
      <c r="AH3427" s="48"/>
      <c r="AI3427" s="48"/>
      <c r="AJ3427" s="48"/>
      <c r="AK3427" s="48"/>
      <c r="AL3427" s="48"/>
      <c r="AM3427" s="48"/>
      <c r="AN3427" s="48"/>
      <c r="AO3427" s="48"/>
      <c r="AP3427" s="48"/>
      <c r="AQ3427" s="48"/>
      <c r="AR3427" s="48"/>
      <c r="AS3427" s="48"/>
      <c r="AT3427" s="48"/>
      <c r="AU3427" s="48"/>
      <c r="AV3427" s="48"/>
      <c r="AW3427" s="48"/>
      <c r="AX3427" s="48"/>
      <c r="AY3427" s="48"/>
      <c r="AZ3427" s="48"/>
      <c r="BA3427" s="48"/>
      <c r="BB3427" s="48"/>
      <c r="BC3427" s="48"/>
      <c r="BD3427" s="48"/>
    </row>
    <row r="3428" spans="1:56">
      <c r="A3428" s="48"/>
      <c r="B3428" s="48"/>
      <c r="C3428" s="49"/>
      <c r="D3428" s="48"/>
      <c r="E3428" s="48"/>
      <c r="F3428" s="48"/>
      <c r="G3428" s="48"/>
      <c r="H3428" s="48"/>
      <c r="I3428" s="48"/>
      <c r="J3428" s="86"/>
      <c r="K3428" s="86"/>
      <c r="L3428" s="86"/>
      <c r="M3428" s="86"/>
      <c r="N3428" s="86"/>
      <c r="O3428" s="86"/>
      <c r="P3428" s="86"/>
      <c r="Q3428" s="86"/>
      <c r="R3428" s="86"/>
      <c r="S3428" s="86"/>
      <c r="T3428" s="86"/>
      <c r="U3428" s="86"/>
      <c r="V3428" s="48"/>
      <c r="W3428" s="48"/>
      <c r="X3428" s="48"/>
      <c r="Y3428" s="48"/>
      <c r="Z3428" s="48"/>
      <c r="AA3428" s="48"/>
      <c r="AB3428" s="48"/>
      <c r="AC3428" s="48"/>
      <c r="AD3428" s="48"/>
      <c r="AE3428" s="48"/>
      <c r="AF3428" s="48"/>
      <c r="AG3428" s="48"/>
      <c r="AH3428" s="48"/>
      <c r="AI3428" s="48"/>
      <c r="AJ3428" s="48"/>
      <c r="AK3428" s="48"/>
      <c r="AL3428" s="48"/>
      <c r="AM3428" s="48"/>
      <c r="AN3428" s="48"/>
      <c r="AO3428" s="48"/>
      <c r="AP3428" s="48"/>
      <c r="AQ3428" s="48"/>
      <c r="AR3428" s="48"/>
      <c r="AS3428" s="48"/>
      <c r="AT3428" s="48"/>
      <c r="AU3428" s="48"/>
      <c r="AV3428" s="48"/>
      <c r="AW3428" s="48"/>
      <c r="AX3428" s="48"/>
      <c r="AY3428" s="48"/>
      <c r="AZ3428" s="48"/>
      <c r="BA3428" s="48"/>
      <c r="BB3428" s="48"/>
      <c r="BC3428" s="48"/>
      <c r="BD3428" s="48"/>
    </row>
    <row r="3429" spans="1:56">
      <c r="A3429" s="48"/>
      <c r="B3429" s="48"/>
      <c r="C3429" s="49"/>
      <c r="D3429" s="48"/>
      <c r="E3429" s="48"/>
      <c r="F3429" s="48"/>
      <c r="G3429" s="48"/>
      <c r="H3429" s="48"/>
      <c r="I3429" s="48"/>
      <c r="J3429" s="86"/>
      <c r="K3429" s="86"/>
      <c r="L3429" s="86"/>
      <c r="M3429" s="86"/>
      <c r="N3429" s="86"/>
      <c r="O3429" s="86"/>
      <c r="P3429" s="86"/>
      <c r="Q3429" s="86"/>
      <c r="R3429" s="86"/>
      <c r="S3429" s="86"/>
      <c r="T3429" s="86"/>
      <c r="U3429" s="86"/>
      <c r="V3429" s="48"/>
      <c r="W3429" s="48"/>
      <c r="X3429" s="48"/>
      <c r="Y3429" s="48"/>
      <c r="Z3429" s="48"/>
      <c r="AA3429" s="48"/>
      <c r="AB3429" s="48"/>
      <c r="AC3429" s="48"/>
      <c r="AD3429" s="48"/>
      <c r="AE3429" s="48"/>
      <c r="AF3429" s="48"/>
      <c r="AG3429" s="48"/>
      <c r="AH3429" s="48"/>
      <c r="AI3429" s="48"/>
      <c r="AJ3429" s="48"/>
      <c r="AK3429" s="48"/>
      <c r="AL3429" s="48"/>
      <c r="AM3429" s="48"/>
      <c r="AN3429" s="48"/>
      <c r="AO3429" s="48"/>
      <c r="AP3429" s="48"/>
      <c r="AQ3429" s="48"/>
      <c r="AR3429" s="48"/>
      <c r="AS3429" s="48"/>
      <c r="AT3429" s="48"/>
      <c r="AU3429" s="48"/>
      <c r="AV3429" s="48"/>
      <c r="AW3429" s="48"/>
      <c r="AX3429" s="48"/>
      <c r="AY3429" s="48"/>
      <c r="AZ3429" s="48"/>
      <c r="BA3429" s="48"/>
      <c r="BB3429" s="48"/>
      <c r="BC3429" s="48"/>
      <c r="BD3429" s="48"/>
    </row>
    <row r="3430" spans="1:56">
      <c r="A3430" s="48"/>
      <c r="B3430" s="48"/>
      <c r="C3430" s="49"/>
      <c r="D3430" s="48"/>
      <c r="E3430" s="48"/>
      <c r="F3430" s="48"/>
      <c r="G3430" s="48"/>
      <c r="H3430" s="48"/>
      <c r="I3430" s="48"/>
      <c r="J3430" s="86"/>
      <c r="K3430" s="86"/>
      <c r="L3430" s="86"/>
      <c r="M3430" s="86"/>
      <c r="N3430" s="86"/>
      <c r="O3430" s="86"/>
      <c r="P3430" s="86"/>
      <c r="Q3430" s="86"/>
      <c r="R3430" s="86"/>
      <c r="S3430" s="86"/>
      <c r="T3430" s="86"/>
      <c r="U3430" s="86"/>
      <c r="V3430" s="48"/>
      <c r="W3430" s="48"/>
      <c r="X3430" s="48"/>
      <c r="Y3430" s="48"/>
      <c r="Z3430" s="48"/>
      <c r="AA3430" s="48"/>
      <c r="AB3430" s="48"/>
      <c r="AC3430" s="48"/>
      <c r="AD3430" s="48"/>
      <c r="AE3430" s="48"/>
      <c r="AF3430" s="48"/>
      <c r="AG3430" s="48"/>
      <c r="AH3430" s="48"/>
      <c r="AI3430" s="48"/>
      <c r="AJ3430" s="48"/>
      <c r="AK3430" s="48"/>
      <c r="AL3430" s="48"/>
      <c r="AM3430" s="48"/>
      <c r="AN3430" s="48"/>
      <c r="AO3430" s="48"/>
      <c r="AP3430" s="48"/>
      <c r="AQ3430" s="48"/>
      <c r="AR3430" s="48"/>
      <c r="AS3430" s="48"/>
      <c r="AT3430" s="48"/>
      <c r="AU3430" s="48"/>
      <c r="AV3430" s="48"/>
      <c r="AW3430" s="48"/>
      <c r="AX3430" s="48"/>
      <c r="AY3430" s="48"/>
      <c r="AZ3430" s="48"/>
      <c r="BA3430" s="48"/>
      <c r="BB3430" s="48"/>
      <c r="BC3430" s="48"/>
      <c r="BD3430" s="48"/>
    </row>
    <row r="3431" spans="1:56">
      <c r="A3431" s="48"/>
      <c r="B3431" s="48"/>
      <c r="C3431" s="49"/>
      <c r="D3431" s="48"/>
      <c r="E3431" s="48"/>
      <c r="F3431" s="48"/>
      <c r="G3431" s="48"/>
      <c r="H3431" s="48"/>
      <c r="I3431" s="48"/>
      <c r="J3431" s="86"/>
      <c r="K3431" s="86"/>
      <c r="L3431" s="86"/>
      <c r="M3431" s="86"/>
      <c r="N3431" s="86"/>
      <c r="O3431" s="86"/>
      <c r="P3431" s="86"/>
      <c r="Q3431" s="86"/>
      <c r="R3431" s="86"/>
      <c r="S3431" s="86"/>
      <c r="T3431" s="86"/>
      <c r="U3431" s="86"/>
      <c r="V3431" s="48"/>
      <c r="W3431" s="48"/>
      <c r="X3431" s="48"/>
      <c r="Y3431" s="48"/>
      <c r="Z3431" s="48"/>
      <c r="AA3431" s="48"/>
      <c r="AB3431" s="48"/>
      <c r="AC3431" s="48"/>
      <c r="AD3431" s="48"/>
      <c r="AE3431" s="48"/>
      <c r="AF3431" s="48"/>
      <c r="AG3431" s="48"/>
      <c r="AH3431" s="48"/>
      <c r="AI3431" s="48"/>
      <c r="AJ3431" s="48"/>
      <c r="AK3431" s="48"/>
      <c r="AL3431" s="48"/>
      <c r="AM3431" s="48"/>
      <c r="AN3431" s="48"/>
      <c r="AO3431" s="48"/>
      <c r="AP3431" s="48"/>
      <c r="AQ3431" s="48"/>
      <c r="AR3431" s="48"/>
      <c r="AS3431" s="48"/>
      <c r="AT3431" s="48"/>
      <c r="AU3431" s="48"/>
      <c r="AV3431" s="48"/>
      <c r="AW3431" s="48"/>
      <c r="AX3431" s="48"/>
      <c r="AY3431" s="48"/>
      <c r="AZ3431" s="48"/>
      <c r="BA3431" s="48"/>
      <c r="BB3431" s="48"/>
      <c r="BC3431" s="48"/>
      <c r="BD3431" s="48"/>
    </row>
    <row r="3432" spans="1:56">
      <c r="A3432" s="48"/>
      <c r="B3432" s="48"/>
      <c r="C3432" s="49"/>
      <c r="D3432" s="48"/>
      <c r="E3432" s="48"/>
      <c r="F3432" s="48"/>
      <c r="G3432" s="48"/>
      <c r="H3432" s="48"/>
      <c r="I3432" s="48"/>
      <c r="J3432" s="86"/>
      <c r="K3432" s="86"/>
      <c r="L3432" s="86"/>
      <c r="M3432" s="86"/>
      <c r="N3432" s="86"/>
      <c r="O3432" s="86"/>
      <c r="P3432" s="86"/>
      <c r="Q3432" s="86"/>
      <c r="R3432" s="86"/>
      <c r="S3432" s="86"/>
      <c r="T3432" s="86"/>
      <c r="U3432" s="86"/>
      <c r="V3432" s="48"/>
      <c r="W3432" s="48"/>
      <c r="X3432" s="48"/>
      <c r="Y3432" s="48"/>
      <c r="Z3432" s="48"/>
      <c r="AA3432" s="48"/>
      <c r="AB3432" s="48"/>
      <c r="AC3432" s="48"/>
      <c r="AD3432" s="48"/>
      <c r="AE3432" s="48"/>
      <c r="AF3432" s="48"/>
      <c r="AG3432" s="48"/>
      <c r="AH3432" s="48"/>
      <c r="AI3432" s="48"/>
      <c r="AJ3432" s="48"/>
      <c r="AK3432" s="48"/>
      <c r="AL3432" s="48"/>
      <c r="AM3432" s="48"/>
      <c r="AN3432" s="48"/>
      <c r="AO3432" s="48"/>
      <c r="AP3432" s="48"/>
      <c r="AQ3432" s="48"/>
      <c r="AR3432" s="48"/>
      <c r="AS3432" s="48"/>
      <c r="AT3432" s="48"/>
      <c r="AU3432" s="48"/>
      <c r="AV3432" s="48"/>
      <c r="AW3432" s="48"/>
      <c r="AX3432" s="48"/>
      <c r="AY3432" s="48"/>
      <c r="AZ3432" s="48"/>
      <c r="BA3432" s="48"/>
      <c r="BB3432" s="48"/>
      <c r="BC3432" s="48"/>
      <c r="BD3432" s="48"/>
    </row>
    <row r="3433" spans="1:56">
      <c r="A3433" s="48"/>
      <c r="B3433" s="48"/>
      <c r="C3433" s="49"/>
      <c r="D3433" s="48"/>
      <c r="E3433" s="48"/>
      <c r="F3433" s="48"/>
      <c r="G3433" s="48"/>
      <c r="H3433" s="48"/>
      <c r="I3433" s="48"/>
      <c r="J3433" s="86"/>
      <c r="K3433" s="86"/>
      <c r="L3433" s="86"/>
      <c r="M3433" s="86"/>
      <c r="N3433" s="86"/>
      <c r="O3433" s="86"/>
      <c r="P3433" s="86"/>
      <c r="Q3433" s="86"/>
      <c r="R3433" s="86"/>
      <c r="S3433" s="86"/>
      <c r="T3433" s="86"/>
      <c r="U3433" s="86"/>
      <c r="V3433" s="48"/>
      <c r="W3433" s="48"/>
      <c r="X3433" s="48"/>
      <c r="Y3433" s="48"/>
      <c r="Z3433" s="48"/>
      <c r="AA3433" s="48"/>
      <c r="AB3433" s="48"/>
      <c r="AC3433" s="48"/>
      <c r="AD3433" s="48"/>
      <c r="AE3433" s="48"/>
      <c r="AF3433" s="48"/>
      <c r="AG3433" s="48"/>
      <c r="AH3433" s="48"/>
      <c r="AI3433" s="48"/>
      <c r="AJ3433" s="48"/>
      <c r="AK3433" s="48"/>
      <c r="AL3433" s="48"/>
      <c r="AM3433" s="48"/>
      <c r="AN3433" s="48"/>
      <c r="AO3433" s="48"/>
      <c r="AP3433" s="48"/>
      <c r="AQ3433" s="48"/>
      <c r="AR3433" s="48"/>
      <c r="AS3433" s="48"/>
      <c r="AT3433" s="48"/>
      <c r="AU3433" s="48"/>
      <c r="AV3433" s="48"/>
      <c r="AW3433" s="48"/>
      <c r="AX3433" s="48"/>
      <c r="AY3433" s="48"/>
      <c r="AZ3433" s="48"/>
      <c r="BA3433" s="48"/>
      <c r="BB3433" s="48"/>
      <c r="BC3433" s="48"/>
      <c r="BD3433" s="48"/>
    </row>
    <row r="3434" spans="1:56">
      <c r="A3434" s="48"/>
      <c r="B3434" s="48"/>
      <c r="C3434" s="49"/>
      <c r="D3434" s="48"/>
      <c r="E3434" s="48"/>
      <c r="F3434" s="48"/>
      <c r="G3434" s="48"/>
      <c r="H3434" s="48"/>
      <c r="I3434" s="48"/>
      <c r="J3434" s="86"/>
      <c r="K3434" s="86"/>
      <c r="L3434" s="86"/>
      <c r="M3434" s="86"/>
      <c r="N3434" s="86"/>
      <c r="O3434" s="86"/>
      <c r="P3434" s="86"/>
      <c r="Q3434" s="86"/>
      <c r="R3434" s="86"/>
      <c r="S3434" s="86"/>
      <c r="T3434" s="86"/>
      <c r="U3434" s="86"/>
      <c r="V3434" s="48"/>
      <c r="W3434" s="48"/>
      <c r="X3434" s="48"/>
      <c r="Y3434" s="48"/>
      <c r="Z3434" s="48"/>
      <c r="AA3434" s="48"/>
      <c r="AB3434" s="48"/>
      <c r="AC3434" s="48"/>
      <c r="AD3434" s="48"/>
      <c r="AE3434" s="48"/>
      <c r="AF3434" s="48"/>
      <c r="AG3434" s="48"/>
      <c r="AH3434" s="48"/>
      <c r="AI3434" s="48"/>
      <c r="AJ3434" s="48"/>
      <c r="AK3434" s="48"/>
      <c r="AL3434" s="48"/>
      <c r="AM3434" s="48"/>
      <c r="AN3434" s="48"/>
      <c r="AO3434" s="48"/>
      <c r="AP3434" s="48"/>
      <c r="AQ3434" s="48"/>
      <c r="AR3434" s="48"/>
      <c r="AS3434" s="48"/>
      <c r="AT3434" s="48"/>
      <c r="AU3434" s="48"/>
      <c r="AV3434" s="48"/>
      <c r="AW3434" s="48"/>
      <c r="AX3434" s="48"/>
      <c r="AY3434" s="48"/>
      <c r="AZ3434" s="48"/>
      <c r="BA3434" s="48"/>
      <c r="BB3434" s="48"/>
      <c r="BC3434" s="48"/>
      <c r="BD3434" s="48"/>
    </row>
    <row r="3435" spans="1:56">
      <c r="A3435" s="48"/>
      <c r="B3435" s="48"/>
      <c r="C3435" s="49"/>
      <c r="D3435" s="48"/>
      <c r="E3435" s="48"/>
      <c r="F3435" s="48"/>
      <c r="G3435" s="48"/>
      <c r="H3435" s="48"/>
      <c r="I3435" s="48"/>
      <c r="J3435" s="86"/>
      <c r="K3435" s="86"/>
      <c r="L3435" s="86"/>
      <c r="M3435" s="86"/>
      <c r="N3435" s="86"/>
      <c r="O3435" s="86"/>
      <c r="P3435" s="86"/>
      <c r="Q3435" s="86"/>
      <c r="R3435" s="86"/>
      <c r="S3435" s="86"/>
      <c r="T3435" s="86"/>
      <c r="U3435" s="86"/>
      <c r="V3435" s="48"/>
      <c r="W3435" s="48"/>
      <c r="X3435" s="48"/>
      <c r="Y3435" s="48"/>
      <c r="Z3435" s="48"/>
      <c r="AA3435" s="48"/>
      <c r="AB3435" s="48"/>
      <c r="AC3435" s="48"/>
      <c r="AD3435" s="48"/>
      <c r="AE3435" s="48"/>
      <c r="AF3435" s="48"/>
      <c r="AG3435" s="48"/>
      <c r="AH3435" s="48"/>
      <c r="AI3435" s="48"/>
      <c r="AJ3435" s="48"/>
      <c r="AK3435" s="48"/>
      <c r="AL3435" s="48"/>
      <c r="AM3435" s="48"/>
      <c r="AN3435" s="48"/>
      <c r="AO3435" s="48"/>
      <c r="AP3435" s="48"/>
      <c r="AQ3435" s="48"/>
      <c r="AR3435" s="48"/>
      <c r="AS3435" s="48"/>
      <c r="AT3435" s="48"/>
      <c r="AU3435" s="48"/>
      <c r="AV3435" s="48"/>
      <c r="AW3435" s="48"/>
      <c r="AX3435" s="48"/>
      <c r="AY3435" s="48"/>
      <c r="AZ3435" s="48"/>
      <c r="BA3435" s="48"/>
      <c r="BB3435" s="48"/>
      <c r="BC3435" s="48"/>
      <c r="BD3435" s="48"/>
    </row>
    <row r="3436" spans="1:56">
      <c r="A3436" s="48"/>
      <c r="B3436" s="48"/>
      <c r="C3436" s="49"/>
      <c r="D3436" s="48"/>
      <c r="E3436" s="48"/>
      <c r="F3436" s="48"/>
      <c r="G3436" s="48"/>
      <c r="H3436" s="48"/>
      <c r="I3436" s="48"/>
      <c r="J3436" s="86"/>
      <c r="K3436" s="86"/>
      <c r="L3436" s="86"/>
      <c r="M3436" s="86"/>
      <c r="N3436" s="86"/>
      <c r="O3436" s="86"/>
      <c r="P3436" s="86"/>
      <c r="Q3436" s="86"/>
      <c r="R3436" s="86"/>
      <c r="S3436" s="86"/>
      <c r="T3436" s="86"/>
      <c r="U3436" s="86"/>
      <c r="V3436" s="48"/>
      <c r="W3436" s="48"/>
      <c r="X3436" s="48"/>
      <c r="Y3436" s="48"/>
      <c r="Z3436" s="48"/>
      <c r="AA3436" s="48"/>
      <c r="AB3436" s="48"/>
      <c r="AC3436" s="48"/>
      <c r="AD3436" s="48"/>
      <c r="AE3436" s="48"/>
      <c r="AF3436" s="48"/>
      <c r="AG3436" s="48"/>
      <c r="AH3436" s="48"/>
      <c r="AI3436" s="48"/>
      <c r="AJ3436" s="48"/>
      <c r="AK3436" s="48"/>
      <c r="AL3436" s="48"/>
      <c r="AM3436" s="48"/>
      <c r="AN3436" s="48"/>
      <c r="AO3436" s="48"/>
      <c r="AP3436" s="48"/>
      <c r="AQ3436" s="48"/>
      <c r="AR3436" s="48"/>
      <c r="AS3436" s="48"/>
      <c r="AT3436" s="48"/>
      <c r="AU3436" s="48"/>
      <c r="AV3436" s="48"/>
      <c r="AW3436" s="48"/>
      <c r="AX3436" s="48"/>
      <c r="AY3436" s="48"/>
      <c r="AZ3436" s="48"/>
      <c r="BA3436" s="48"/>
      <c r="BB3436" s="48"/>
      <c r="BC3436" s="48"/>
      <c r="BD3436" s="48"/>
    </row>
    <row r="3437" spans="1:56">
      <c r="A3437" s="48"/>
      <c r="B3437" s="48"/>
      <c r="C3437" s="49"/>
      <c r="D3437" s="48"/>
      <c r="E3437" s="48"/>
      <c r="F3437" s="48"/>
      <c r="G3437" s="48"/>
      <c r="H3437" s="48"/>
      <c r="I3437" s="48"/>
      <c r="J3437" s="86"/>
      <c r="K3437" s="86"/>
      <c r="L3437" s="86"/>
      <c r="M3437" s="86"/>
      <c r="N3437" s="86"/>
      <c r="O3437" s="86"/>
      <c r="P3437" s="86"/>
      <c r="Q3437" s="86"/>
      <c r="R3437" s="86"/>
      <c r="S3437" s="86"/>
      <c r="T3437" s="86"/>
      <c r="U3437" s="86"/>
      <c r="V3437" s="48"/>
      <c r="W3437" s="48"/>
      <c r="X3437" s="48"/>
      <c r="Y3437" s="48"/>
      <c r="Z3437" s="48"/>
      <c r="AA3437" s="48"/>
      <c r="AB3437" s="48"/>
      <c r="AC3437" s="48"/>
      <c r="AD3437" s="48"/>
      <c r="AE3437" s="48"/>
      <c r="AF3437" s="48"/>
      <c r="AG3437" s="48"/>
      <c r="AH3437" s="48"/>
      <c r="AI3437" s="48"/>
      <c r="AJ3437" s="48"/>
      <c r="AK3437" s="48"/>
      <c r="AL3437" s="48"/>
      <c r="AM3437" s="48"/>
      <c r="AN3437" s="48"/>
      <c r="AO3437" s="48"/>
      <c r="AP3437" s="48"/>
      <c r="AQ3437" s="48"/>
      <c r="AR3437" s="48"/>
      <c r="AS3437" s="48"/>
      <c r="AT3437" s="48"/>
      <c r="AU3437" s="48"/>
      <c r="AV3437" s="48"/>
      <c r="AW3437" s="48"/>
      <c r="AX3437" s="48"/>
      <c r="AY3437" s="48"/>
      <c r="AZ3437" s="48"/>
      <c r="BA3437" s="48"/>
      <c r="BB3437" s="48"/>
      <c r="BC3437" s="48"/>
      <c r="BD3437" s="48"/>
    </row>
    <row r="3438" spans="1:56">
      <c r="A3438" s="48"/>
      <c r="B3438" s="48"/>
      <c r="C3438" s="49"/>
      <c r="D3438" s="48"/>
      <c r="E3438" s="48"/>
      <c r="F3438" s="48"/>
      <c r="G3438" s="48"/>
      <c r="H3438" s="48"/>
      <c r="I3438" s="48"/>
      <c r="J3438" s="86"/>
      <c r="K3438" s="86"/>
      <c r="L3438" s="86"/>
      <c r="M3438" s="86"/>
      <c r="N3438" s="86"/>
      <c r="O3438" s="86"/>
      <c r="P3438" s="86"/>
      <c r="Q3438" s="86"/>
      <c r="R3438" s="86"/>
      <c r="S3438" s="86"/>
      <c r="T3438" s="86"/>
      <c r="U3438" s="86"/>
      <c r="V3438" s="48"/>
      <c r="W3438" s="48"/>
      <c r="X3438" s="48"/>
      <c r="Y3438" s="48"/>
      <c r="Z3438" s="48"/>
      <c r="AA3438" s="48"/>
      <c r="AB3438" s="48"/>
      <c r="AC3438" s="48"/>
      <c r="AD3438" s="48"/>
      <c r="AE3438" s="48"/>
      <c r="AF3438" s="48"/>
      <c r="AG3438" s="48"/>
      <c r="AH3438" s="48"/>
      <c r="AI3438" s="48"/>
      <c r="AJ3438" s="48"/>
      <c r="AK3438" s="48"/>
      <c r="AL3438" s="48"/>
      <c r="AM3438" s="48"/>
      <c r="AN3438" s="48"/>
      <c r="AO3438" s="48"/>
      <c r="AP3438" s="48"/>
      <c r="AQ3438" s="48"/>
      <c r="AR3438" s="48"/>
      <c r="AS3438" s="48"/>
      <c r="AT3438" s="48"/>
      <c r="AU3438" s="48"/>
      <c r="AV3438" s="48"/>
      <c r="AW3438" s="48"/>
      <c r="AX3438" s="48"/>
      <c r="AY3438" s="48"/>
      <c r="AZ3438" s="48"/>
      <c r="BA3438" s="48"/>
      <c r="BB3438" s="48"/>
      <c r="BC3438" s="48"/>
      <c r="BD3438" s="48"/>
    </row>
    <row r="3439" spans="1:56">
      <c r="A3439" s="48"/>
      <c r="B3439" s="48"/>
      <c r="C3439" s="49"/>
      <c r="D3439" s="48"/>
      <c r="E3439" s="48"/>
      <c r="F3439" s="48"/>
      <c r="G3439" s="48"/>
      <c r="H3439" s="48"/>
      <c r="I3439" s="48"/>
      <c r="J3439" s="86"/>
      <c r="K3439" s="86"/>
      <c r="L3439" s="86"/>
      <c r="M3439" s="86"/>
      <c r="N3439" s="86"/>
      <c r="O3439" s="86"/>
      <c r="P3439" s="86"/>
      <c r="Q3439" s="86"/>
      <c r="R3439" s="86"/>
      <c r="S3439" s="86"/>
      <c r="T3439" s="86"/>
      <c r="U3439" s="86"/>
      <c r="V3439" s="48"/>
      <c r="W3439" s="48"/>
      <c r="X3439" s="48"/>
      <c r="Y3439" s="48"/>
      <c r="Z3439" s="48"/>
      <c r="AA3439" s="48"/>
      <c r="AB3439" s="48"/>
      <c r="AC3439" s="48"/>
      <c r="AD3439" s="48"/>
      <c r="AE3439" s="48"/>
      <c r="AF3439" s="48"/>
      <c r="AG3439" s="48"/>
      <c r="AH3439" s="48"/>
      <c r="AI3439" s="48"/>
      <c r="AJ3439" s="48"/>
      <c r="AK3439" s="48"/>
      <c r="AL3439" s="48"/>
      <c r="AM3439" s="48"/>
      <c r="AN3439" s="48"/>
      <c r="AO3439" s="48"/>
      <c r="AP3439" s="48"/>
      <c r="AQ3439" s="48"/>
      <c r="AR3439" s="48"/>
      <c r="AS3439" s="48"/>
      <c r="AT3439" s="48"/>
      <c r="AU3439" s="48"/>
      <c r="AV3439" s="48"/>
      <c r="AW3439" s="48"/>
      <c r="AX3439" s="48"/>
      <c r="AY3439" s="48"/>
      <c r="AZ3439" s="48"/>
      <c r="BA3439" s="48"/>
      <c r="BB3439" s="48"/>
      <c r="BC3439" s="48"/>
      <c r="BD3439" s="48"/>
    </row>
    <row r="3440" spans="1:56">
      <c r="A3440" s="48"/>
      <c r="B3440" s="48"/>
      <c r="C3440" s="49"/>
      <c r="D3440" s="48"/>
      <c r="E3440" s="48"/>
      <c r="F3440" s="48"/>
      <c r="G3440" s="48"/>
      <c r="H3440" s="48"/>
      <c r="I3440" s="48"/>
      <c r="J3440" s="86"/>
      <c r="K3440" s="86"/>
      <c r="L3440" s="86"/>
      <c r="M3440" s="86"/>
      <c r="N3440" s="86"/>
      <c r="O3440" s="86"/>
      <c r="P3440" s="86"/>
      <c r="Q3440" s="86"/>
      <c r="R3440" s="86"/>
      <c r="S3440" s="86"/>
      <c r="T3440" s="86"/>
      <c r="U3440" s="86"/>
      <c r="V3440" s="48"/>
      <c r="W3440" s="48"/>
      <c r="X3440" s="48"/>
      <c r="Y3440" s="48"/>
      <c r="Z3440" s="48"/>
      <c r="AA3440" s="48"/>
      <c r="AB3440" s="48"/>
      <c r="AC3440" s="48"/>
      <c r="AD3440" s="48"/>
      <c r="AE3440" s="48"/>
      <c r="AF3440" s="48"/>
      <c r="AG3440" s="48"/>
      <c r="AH3440" s="48"/>
      <c r="AI3440" s="48"/>
      <c r="AJ3440" s="48"/>
      <c r="AK3440" s="48"/>
      <c r="AL3440" s="48"/>
      <c r="AM3440" s="48"/>
      <c r="AN3440" s="48"/>
      <c r="AO3440" s="48"/>
      <c r="AP3440" s="48"/>
      <c r="AQ3440" s="48"/>
      <c r="AR3440" s="48"/>
      <c r="AS3440" s="48"/>
      <c r="AT3440" s="48"/>
      <c r="AU3440" s="48"/>
      <c r="AV3440" s="48"/>
      <c r="AW3440" s="48"/>
      <c r="AX3440" s="48"/>
      <c r="AY3440" s="48"/>
      <c r="AZ3440" s="48"/>
      <c r="BA3440" s="48"/>
      <c r="BB3440" s="48"/>
      <c r="BC3440" s="48"/>
      <c r="BD3440" s="48"/>
    </row>
    <row r="3441" spans="1:56">
      <c r="A3441" s="48"/>
      <c r="B3441" s="48"/>
      <c r="C3441" s="49"/>
      <c r="D3441" s="48"/>
      <c r="E3441" s="48"/>
      <c r="F3441" s="48"/>
      <c r="G3441" s="48"/>
      <c r="H3441" s="48"/>
      <c r="I3441" s="48"/>
      <c r="J3441" s="86"/>
      <c r="K3441" s="86"/>
      <c r="L3441" s="86"/>
      <c r="M3441" s="86"/>
      <c r="N3441" s="86"/>
      <c r="O3441" s="86"/>
      <c r="P3441" s="86"/>
      <c r="Q3441" s="86"/>
      <c r="R3441" s="86"/>
      <c r="S3441" s="86"/>
      <c r="T3441" s="86"/>
      <c r="U3441" s="86"/>
      <c r="V3441" s="48"/>
      <c r="W3441" s="48"/>
      <c r="X3441" s="48"/>
      <c r="Y3441" s="48"/>
      <c r="Z3441" s="48"/>
      <c r="AA3441" s="48"/>
      <c r="AB3441" s="48"/>
      <c r="AC3441" s="48"/>
      <c r="AD3441" s="48"/>
      <c r="AE3441" s="48"/>
      <c r="AF3441" s="48"/>
      <c r="AG3441" s="48"/>
      <c r="AH3441" s="48"/>
      <c r="AI3441" s="48"/>
      <c r="AJ3441" s="48"/>
      <c r="AK3441" s="48"/>
      <c r="AL3441" s="48"/>
      <c r="AM3441" s="48"/>
      <c r="AN3441" s="48"/>
      <c r="AO3441" s="48"/>
      <c r="AP3441" s="48"/>
      <c r="AQ3441" s="48"/>
      <c r="AR3441" s="48"/>
      <c r="AS3441" s="48"/>
      <c r="AT3441" s="48"/>
      <c r="AU3441" s="48"/>
      <c r="AV3441" s="48"/>
      <c r="AW3441" s="48"/>
      <c r="AX3441" s="48"/>
      <c r="AY3441" s="48"/>
      <c r="AZ3441" s="48"/>
      <c r="BA3441" s="48"/>
      <c r="BB3441" s="48"/>
      <c r="BC3441" s="48"/>
      <c r="BD3441" s="48"/>
    </row>
    <row r="3442" spans="1:56">
      <c r="A3442" s="48"/>
      <c r="B3442" s="48"/>
      <c r="C3442" s="49"/>
      <c r="D3442" s="48"/>
      <c r="E3442" s="48"/>
      <c r="F3442" s="48"/>
      <c r="G3442" s="48"/>
      <c r="H3442" s="48"/>
      <c r="I3442" s="48"/>
      <c r="J3442" s="86"/>
      <c r="K3442" s="86"/>
      <c r="L3442" s="86"/>
      <c r="M3442" s="86"/>
      <c r="N3442" s="86"/>
      <c r="O3442" s="86"/>
      <c r="P3442" s="86"/>
      <c r="Q3442" s="86"/>
      <c r="R3442" s="86"/>
      <c r="S3442" s="86"/>
      <c r="T3442" s="86"/>
      <c r="U3442" s="86"/>
      <c r="V3442" s="48"/>
      <c r="W3442" s="48"/>
      <c r="X3442" s="48"/>
      <c r="Y3442" s="48"/>
      <c r="Z3442" s="48"/>
      <c r="AA3442" s="48"/>
      <c r="AB3442" s="48"/>
      <c r="AC3442" s="48"/>
      <c r="AD3442" s="48"/>
      <c r="AE3442" s="48"/>
      <c r="AF3442" s="48"/>
      <c r="AG3442" s="48"/>
      <c r="AH3442" s="48"/>
      <c r="AI3442" s="48"/>
      <c r="AJ3442" s="48"/>
      <c r="AK3442" s="48"/>
      <c r="AL3442" s="48"/>
      <c r="AM3442" s="48"/>
      <c r="AN3442" s="48"/>
      <c r="AO3442" s="48"/>
      <c r="AP3442" s="48"/>
      <c r="AQ3442" s="48"/>
      <c r="AR3442" s="48"/>
      <c r="AS3442" s="48"/>
      <c r="AT3442" s="48"/>
      <c r="AU3442" s="48"/>
      <c r="AV3442" s="48"/>
      <c r="AW3442" s="48"/>
      <c r="AX3442" s="48"/>
      <c r="AY3442" s="48"/>
      <c r="AZ3442" s="48"/>
      <c r="BA3442" s="48"/>
      <c r="BB3442" s="48"/>
      <c r="BC3442" s="48"/>
      <c r="BD3442" s="48"/>
    </row>
    <row r="3443" spans="1:56">
      <c r="A3443" s="48"/>
      <c r="B3443" s="48"/>
      <c r="C3443" s="49"/>
      <c r="D3443" s="48"/>
      <c r="E3443" s="48"/>
      <c r="F3443" s="48"/>
      <c r="G3443" s="48"/>
      <c r="H3443" s="48"/>
      <c r="I3443" s="48"/>
      <c r="J3443" s="86"/>
      <c r="K3443" s="86"/>
      <c r="L3443" s="86"/>
      <c r="M3443" s="86"/>
      <c r="N3443" s="86"/>
      <c r="O3443" s="86"/>
      <c r="P3443" s="86"/>
      <c r="Q3443" s="86"/>
      <c r="R3443" s="86"/>
      <c r="S3443" s="86"/>
      <c r="T3443" s="86"/>
      <c r="U3443" s="86"/>
      <c r="V3443" s="48"/>
      <c r="W3443" s="48"/>
      <c r="X3443" s="48"/>
      <c r="Y3443" s="48"/>
      <c r="Z3443" s="48"/>
      <c r="AA3443" s="48"/>
      <c r="AB3443" s="48"/>
      <c r="AC3443" s="48"/>
      <c r="AD3443" s="48"/>
      <c r="AE3443" s="48"/>
      <c r="AF3443" s="48"/>
      <c r="AG3443" s="48"/>
      <c r="AH3443" s="48"/>
      <c r="AI3443" s="48"/>
      <c r="AJ3443" s="48"/>
      <c r="AK3443" s="48"/>
      <c r="AL3443" s="48"/>
      <c r="AM3443" s="48"/>
      <c r="AN3443" s="48"/>
      <c r="AO3443" s="48"/>
      <c r="AP3443" s="48"/>
      <c r="AQ3443" s="48"/>
      <c r="AR3443" s="48"/>
      <c r="AS3443" s="48"/>
      <c r="AT3443" s="48"/>
      <c r="AU3443" s="48"/>
      <c r="AV3443" s="48"/>
      <c r="AW3443" s="48"/>
      <c r="AX3443" s="48"/>
      <c r="AY3443" s="48"/>
      <c r="AZ3443" s="48"/>
      <c r="BA3443" s="48"/>
      <c r="BB3443" s="48"/>
      <c r="BC3443" s="48"/>
      <c r="BD3443" s="48"/>
    </row>
    <row r="3444" spans="1:56">
      <c r="A3444" s="48"/>
      <c r="B3444" s="48"/>
      <c r="C3444" s="49"/>
      <c r="D3444" s="48"/>
      <c r="E3444" s="48"/>
      <c r="F3444" s="48"/>
      <c r="G3444" s="48"/>
      <c r="H3444" s="48"/>
      <c r="I3444" s="48"/>
      <c r="J3444" s="86"/>
      <c r="K3444" s="86"/>
      <c r="L3444" s="86"/>
      <c r="M3444" s="86"/>
      <c r="N3444" s="86"/>
      <c r="O3444" s="86"/>
      <c r="P3444" s="86"/>
      <c r="Q3444" s="86"/>
      <c r="R3444" s="86"/>
      <c r="S3444" s="86"/>
      <c r="T3444" s="86"/>
      <c r="U3444" s="86"/>
      <c r="V3444" s="48"/>
      <c r="W3444" s="48"/>
      <c r="X3444" s="48"/>
      <c r="Y3444" s="48"/>
      <c r="Z3444" s="48"/>
      <c r="AA3444" s="48"/>
      <c r="AB3444" s="48"/>
      <c r="AC3444" s="48"/>
      <c r="AD3444" s="48"/>
      <c r="AE3444" s="48"/>
      <c r="AF3444" s="48"/>
      <c r="AG3444" s="48"/>
      <c r="AH3444" s="48"/>
      <c r="AI3444" s="48"/>
      <c r="AJ3444" s="48"/>
      <c r="AK3444" s="48"/>
      <c r="AL3444" s="48"/>
      <c r="AM3444" s="48"/>
      <c r="AN3444" s="48"/>
      <c r="AO3444" s="48"/>
      <c r="AP3444" s="48"/>
      <c r="AQ3444" s="48"/>
      <c r="AR3444" s="48"/>
      <c r="AS3444" s="48"/>
      <c r="AT3444" s="48"/>
      <c r="AU3444" s="48"/>
      <c r="AV3444" s="48"/>
      <c r="AW3444" s="48"/>
      <c r="AX3444" s="48"/>
      <c r="AY3444" s="48"/>
      <c r="AZ3444" s="48"/>
      <c r="BA3444" s="48"/>
      <c r="BB3444" s="48"/>
      <c r="BC3444" s="48"/>
      <c r="BD3444" s="48"/>
    </row>
    <row r="3445" spans="1:56">
      <c r="A3445" s="48"/>
      <c r="B3445" s="48"/>
      <c r="C3445" s="49"/>
      <c r="D3445" s="48"/>
      <c r="E3445" s="48"/>
      <c r="F3445" s="48"/>
      <c r="G3445" s="48"/>
      <c r="H3445" s="48"/>
      <c r="I3445" s="48"/>
      <c r="J3445" s="86"/>
      <c r="K3445" s="86"/>
      <c r="L3445" s="86"/>
      <c r="M3445" s="86"/>
      <c r="N3445" s="86"/>
      <c r="O3445" s="86"/>
      <c r="P3445" s="86"/>
      <c r="Q3445" s="86"/>
      <c r="R3445" s="86"/>
      <c r="S3445" s="86"/>
      <c r="T3445" s="86"/>
      <c r="U3445" s="86"/>
      <c r="V3445" s="48"/>
      <c r="W3445" s="48"/>
      <c r="X3445" s="48"/>
      <c r="Y3445" s="48"/>
      <c r="Z3445" s="48"/>
      <c r="AA3445" s="48"/>
      <c r="AB3445" s="48"/>
      <c r="AC3445" s="48"/>
      <c r="AD3445" s="48"/>
      <c r="AE3445" s="48"/>
      <c r="AF3445" s="48"/>
      <c r="AG3445" s="48"/>
      <c r="AH3445" s="48"/>
      <c r="AI3445" s="48"/>
      <c r="AJ3445" s="48"/>
      <c r="AK3445" s="48"/>
      <c r="AL3445" s="48"/>
      <c r="AM3445" s="48"/>
      <c r="AN3445" s="48"/>
      <c r="AO3445" s="48"/>
      <c r="AP3445" s="48"/>
      <c r="AQ3445" s="48"/>
      <c r="AR3445" s="48"/>
      <c r="AS3445" s="48"/>
      <c r="AT3445" s="48"/>
      <c r="AU3445" s="48"/>
      <c r="AV3445" s="48"/>
      <c r="AW3445" s="48"/>
      <c r="AX3445" s="48"/>
      <c r="AY3445" s="48"/>
      <c r="AZ3445" s="48"/>
      <c r="BA3445" s="48"/>
      <c r="BB3445" s="48"/>
      <c r="BC3445" s="48"/>
      <c r="BD3445" s="48"/>
    </row>
    <row r="3446" spans="1:56">
      <c r="A3446" s="48"/>
      <c r="B3446" s="48"/>
      <c r="C3446" s="49"/>
      <c r="D3446" s="48"/>
      <c r="E3446" s="48"/>
      <c r="F3446" s="48"/>
      <c r="G3446" s="48"/>
      <c r="H3446" s="48"/>
      <c r="I3446" s="48"/>
      <c r="J3446" s="86"/>
      <c r="K3446" s="86"/>
      <c r="L3446" s="86"/>
      <c r="M3446" s="86"/>
      <c r="N3446" s="86"/>
      <c r="O3446" s="86"/>
      <c r="P3446" s="86"/>
      <c r="Q3446" s="86"/>
      <c r="R3446" s="86"/>
      <c r="S3446" s="86"/>
      <c r="T3446" s="86"/>
      <c r="U3446" s="86"/>
      <c r="V3446" s="48"/>
      <c r="W3446" s="48"/>
      <c r="X3446" s="48"/>
      <c r="Y3446" s="48"/>
      <c r="Z3446" s="48"/>
      <c r="AA3446" s="48"/>
      <c r="AB3446" s="48"/>
      <c r="AC3446" s="48"/>
      <c r="AD3446" s="48"/>
      <c r="AE3446" s="48"/>
      <c r="AF3446" s="48"/>
      <c r="AG3446" s="48"/>
      <c r="AH3446" s="48"/>
      <c r="AI3446" s="48"/>
      <c r="AJ3446" s="48"/>
      <c r="AK3446" s="48"/>
      <c r="AL3446" s="48"/>
      <c r="AM3446" s="48"/>
      <c r="AN3446" s="48"/>
      <c r="AO3446" s="48"/>
      <c r="AP3446" s="48"/>
      <c r="AQ3446" s="48"/>
      <c r="AR3446" s="48"/>
      <c r="AS3446" s="48"/>
      <c r="AT3446" s="48"/>
      <c r="AU3446" s="48"/>
      <c r="AV3446" s="48"/>
      <c r="AW3446" s="48"/>
      <c r="AX3446" s="48"/>
      <c r="AY3446" s="48"/>
      <c r="AZ3446" s="48"/>
      <c r="BA3446" s="48"/>
      <c r="BB3446" s="48"/>
      <c r="BC3446" s="48"/>
      <c r="BD3446" s="48"/>
    </row>
    <row r="3447" spans="1:56">
      <c r="A3447" s="48"/>
      <c r="B3447" s="48"/>
      <c r="C3447" s="49"/>
      <c r="D3447" s="48"/>
      <c r="E3447" s="48"/>
      <c r="F3447" s="48"/>
      <c r="G3447" s="48"/>
      <c r="H3447" s="48"/>
      <c r="I3447" s="48"/>
      <c r="J3447" s="86"/>
      <c r="K3447" s="86"/>
      <c r="L3447" s="86"/>
      <c r="M3447" s="86"/>
      <c r="N3447" s="86"/>
      <c r="O3447" s="86"/>
      <c r="P3447" s="86"/>
      <c r="Q3447" s="86"/>
      <c r="R3447" s="86"/>
      <c r="S3447" s="86"/>
      <c r="T3447" s="86"/>
      <c r="U3447" s="86"/>
      <c r="V3447" s="48"/>
      <c r="W3447" s="48"/>
      <c r="X3447" s="48"/>
      <c r="Y3447" s="48"/>
      <c r="Z3447" s="48"/>
      <c r="AA3447" s="48"/>
      <c r="AB3447" s="48"/>
      <c r="AC3447" s="48"/>
      <c r="AD3447" s="48"/>
      <c r="AE3447" s="48"/>
      <c r="AF3447" s="48"/>
      <c r="AG3447" s="48"/>
      <c r="AH3447" s="48"/>
      <c r="AI3447" s="48"/>
      <c r="AJ3447" s="48"/>
      <c r="AK3447" s="48"/>
      <c r="AL3447" s="48"/>
      <c r="AM3447" s="48"/>
      <c r="AN3447" s="48"/>
      <c r="AO3447" s="48"/>
      <c r="AP3447" s="48"/>
      <c r="AQ3447" s="48"/>
      <c r="AR3447" s="48"/>
      <c r="AS3447" s="48"/>
      <c r="AT3447" s="48"/>
      <c r="AU3447" s="48"/>
      <c r="AV3447" s="48"/>
      <c r="AW3447" s="48"/>
      <c r="AX3447" s="48"/>
      <c r="AY3447" s="48"/>
      <c r="AZ3447" s="48"/>
      <c r="BA3447" s="48"/>
      <c r="BB3447" s="48"/>
      <c r="BC3447" s="48"/>
      <c r="BD3447" s="48"/>
    </row>
    <row r="3448" spans="1:56">
      <c r="A3448" s="48"/>
      <c r="B3448" s="48"/>
      <c r="C3448" s="49"/>
      <c r="D3448" s="48"/>
      <c r="E3448" s="48"/>
      <c r="F3448" s="48"/>
      <c r="G3448" s="48"/>
      <c r="H3448" s="48"/>
      <c r="I3448" s="48"/>
      <c r="J3448" s="86"/>
      <c r="K3448" s="86"/>
      <c r="L3448" s="86"/>
      <c r="M3448" s="86"/>
      <c r="N3448" s="86"/>
      <c r="O3448" s="86"/>
      <c r="P3448" s="86"/>
      <c r="Q3448" s="86"/>
      <c r="R3448" s="86"/>
      <c r="S3448" s="86"/>
      <c r="T3448" s="86"/>
      <c r="U3448" s="86"/>
      <c r="V3448" s="48"/>
      <c r="W3448" s="48"/>
      <c r="X3448" s="48"/>
      <c r="Y3448" s="48"/>
      <c r="Z3448" s="48"/>
      <c r="AA3448" s="48"/>
      <c r="AB3448" s="48"/>
      <c r="AC3448" s="48"/>
      <c r="AD3448" s="48"/>
      <c r="AE3448" s="48"/>
      <c r="AF3448" s="48"/>
      <c r="AG3448" s="48"/>
      <c r="AH3448" s="48"/>
      <c r="AI3448" s="48"/>
      <c r="AJ3448" s="48"/>
      <c r="AK3448" s="48"/>
      <c r="AL3448" s="48"/>
      <c r="AM3448" s="48"/>
      <c r="AN3448" s="48"/>
      <c r="AO3448" s="48"/>
      <c r="AP3448" s="48"/>
      <c r="AQ3448" s="48"/>
      <c r="AR3448" s="48"/>
      <c r="AS3448" s="48"/>
      <c r="AT3448" s="48"/>
      <c r="AU3448" s="48"/>
      <c r="AV3448" s="48"/>
      <c r="AW3448" s="48"/>
      <c r="AX3448" s="48"/>
      <c r="AY3448" s="48"/>
      <c r="AZ3448" s="48"/>
      <c r="BA3448" s="48"/>
      <c r="BB3448" s="48"/>
      <c r="BC3448" s="48"/>
      <c r="BD3448" s="48"/>
    </row>
    <row r="3449" spans="1:56">
      <c r="A3449" s="48"/>
      <c r="B3449" s="48"/>
      <c r="C3449" s="49"/>
      <c r="D3449" s="48"/>
      <c r="E3449" s="48"/>
      <c r="F3449" s="48"/>
      <c r="G3449" s="48"/>
      <c r="H3449" s="48"/>
      <c r="I3449" s="48"/>
      <c r="J3449" s="86"/>
      <c r="K3449" s="86"/>
      <c r="L3449" s="86"/>
      <c r="M3449" s="86"/>
      <c r="N3449" s="86"/>
      <c r="O3449" s="86"/>
      <c r="P3449" s="86"/>
      <c r="Q3449" s="86"/>
      <c r="R3449" s="86"/>
      <c r="S3449" s="86"/>
      <c r="T3449" s="86"/>
      <c r="U3449" s="86"/>
      <c r="V3449" s="48"/>
      <c r="W3449" s="48"/>
      <c r="X3449" s="48"/>
      <c r="Y3449" s="48"/>
      <c r="Z3449" s="48"/>
      <c r="AA3449" s="48"/>
      <c r="AB3449" s="48"/>
      <c r="AC3449" s="48"/>
      <c r="AD3449" s="48"/>
      <c r="AE3449" s="48"/>
      <c r="AF3449" s="48"/>
      <c r="AG3449" s="48"/>
      <c r="AH3449" s="48"/>
      <c r="AI3449" s="48"/>
      <c r="AJ3449" s="48"/>
      <c r="AK3449" s="48"/>
      <c r="AL3449" s="48"/>
      <c r="AM3449" s="48"/>
      <c r="AN3449" s="48"/>
      <c r="AO3449" s="48"/>
      <c r="AP3449" s="48"/>
      <c r="AQ3449" s="48"/>
      <c r="AR3449" s="48"/>
      <c r="AS3449" s="48"/>
      <c r="AT3449" s="48"/>
      <c r="AU3449" s="48"/>
      <c r="AV3449" s="48"/>
      <c r="AW3449" s="48"/>
      <c r="AX3449" s="48"/>
      <c r="AY3449" s="48"/>
      <c r="AZ3449" s="48"/>
      <c r="BA3449" s="48"/>
      <c r="BB3449" s="48"/>
      <c r="BC3449" s="48"/>
      <c r="BD3449" s="48"/>
    </row>
    <row r="3450" spans="1:56">
      <c r="A3450" s="48"/>
      <c r="B3450" s="48"/>
      <c r="C3450" s="49"/>
      <c r="D3450" s="48"/>
      <c r="E3450" s="48"/>
      <c r="F3450" s="48"/>
      <c r="G3450" s="48"/>
      <c r="H3450" s="48"/>
      <c r="I3450" s="48"/>
      <c r="J3450" s="86"/>
      <c r="K3450" s="86"/>
      <c r="L3450" s="86"/>
      <c r="M3450" s="86"/>
      <c r="N3450" s="86"/>
      <c r="O3450" s="86"/>
      <c r="P3450" s="86"/>
      <c r="Q3450" s="86"/>
      <c r="R3450" s="86"/>
      <c r="S3450" s="86"/>
      <c r="T3450" s="86"/>
      <c r="U3450" s="86"/>
      <c r="V3450" s="48"/>
      <c r="W3450" s="48"/>
      <c r="X3450" s="48"/>
      <c r="Y3450" s="48"/>
      <c r="Z3450" s="48"/>
      <c r="AA3450" s="48"/>
      <c r="AB3450" s="48"/>
      <c r="AC3450" s="48"/>
      <c r="AD3450" s="48"/>
      <c r="AE3450" s="48"/>
      <c r="AF3450" s="48"/>
      <c r="AG3450" s="48"/>
      <c r="AH3450" s="48"/>
      <c r="AI3450" s="48"/>
      <c r="AJ3450" s="48"/>
      <c r="AK3450" s="48"/>
      <c r="AL3450" s="48"/>
      <c r="AM3450" s="48"/>
      <c r="AN3450" s="48"/>
      <c r="AO3450" s="48"/>
      <c r="AP3450" s="48"/>
      <c r="AQ3450" s="48"/>
      <c r="AR3450" s="48"/>
      <c r="AS3450" s="48"/>
      <c r="AT3450" s="48"/>
      <c r="AU3450" s="48"/>
      <c r="AV3450" s="48"/>
      <c r="AW3450" s="48"/>
      <c r="AX3450" s="48"/>
      <c r="AY3450" s="48"/>
      <c r="AZ3450" s="48"/>
      <c r="BA3450" s="48"/>
      <c r="BB3450" s="48"/>
      <c r="BC3450" s="48"/>
      <c r="BD3450" s="48"/>
    </row>
    <row r="3451" spans="1:56">
      <c r="A3451" s="48"/>
      <c r="B3451" s="48"/>
      <c r="C3451" s="49"/>
      <c r="D3451" s="48"/>
      <c r="E3451" s="48"/>
      <c r="F3451" s="48"/>
      <c r="G3451" s="48"/>
      <c r="H3451" s="48"/>
      <c r="I3451" s="48"/>
      <c r="J3451" s="86"/>
      <c r="K3451" s="86"/>
      <c r="L3451" s="86"/>
      <c r="M3451" s="86"/>
      <c r="N3451" s="86"/>
      <c r="O3451" s="86"/>
      <c r="P3451" s="86"/>
      <c r="Q3451" s="86"/>
      <c r="R3451" s="86"/>
      <c r="S3451" s="86"/>
      <c r="T3451" s="86"/>
      <c r="U3451" s="86"/>
      <c r="V3451" s="48"/>
      <c r="W3451" s="48"/>
      <c r="X3451" s="48"/>
      <c r="Y3451" s="48"/>
      <c r="Z3451" s="48"/>
      <c r="AA3451" s="48"/>
      <c r="AB3451" s="48"/>
      <c r="AC3451" s="48"/>
      <c r="AD3451" s="48"/>
      <c r="AE3451" s="48"/>
      <c r="AF3451" s="48"/>
      <c r="AG3451" s="48"/>
      <c r="AH3451" s="48"/>
      <c r="AI3451" s="48"/>
      <c r="AJ3451" s="48"/>
      <c r="AK3451" s="48"/>
      <c r="AL3451" s="48"/>
      <c r="AM3451" s="48"/>
      <c r="AN3451" s="48"/>
      <c r="AO3451" s="48"/>
      <c r="AP3451" s="48"/>
      <c r="AQ3451" s="48"/>
      <c r="AR3451" s="48"/>
      <c r="AS3451" s="48"/>
      <c r="AT3451" s="48"/>
      <c r="AU3451" s="48"/>
      <c r="AV3451" s="48"/>
      <c r="AW3451" s="48"/>
      <c r="AX3451" s="48"/>
      <c r="AY3451" s="48"/>
      <c r="AZ3451" s="48"/>
      <c r="BA3451" s="48"/>
      <c r="BB3451" s="48"/>
      <c r="BC3451" s="48"/>
      <c r="BD3451" s="48"/>
    </row>
    <row r="3452" spans="1:56">
      <c r="A3452" s="48"/>
      <c r="B3452" s="48"/>
      <c r="C3452" s="49"/>
      <c r="D3452" s="48"/>
      <c r="E3452" s="48"/>
      <c r="F3452" s="48"/>
      <c r="G3452" s="48"/>
      <c r="H3452" s="48"/>
      <c r="I3452" s="48"/>
      <c r="J3452" s="86"/>
      <c r="K3452" s="86"/>
      <c r="L3452" s="86"/>
      <c r="M3452" s="86"/>
      <c r="N3452" s="86"/>
      <c r="O3452" s="86"/>
      <c r="P3452" s="86"/>
      <c r="Q3452" s="86"/>
      <c r="R3452" s="86"/>
      <c r="S3452" s="86"/>
      <c r="T3452" s="86"/>
      <c r="U3452" s="86"/>
      <c r="V3452" s="48"/>
      <c r="W3452" s="48"/>
      <c r="X3452" s="48"/>
      <c r="Y3452" s="48"/>
      <c r="Z3452" s="48"/>
      <c r="AA3452" s="48"/>
      <c r="AB3452" s="48"/>
      <c r="AC3452" s="48"/>
      <c r="AD3452" s="48"/>
      <c r="AE3452" s="48"/>
      <c r="AF3452" s="48"/>
      <c r="AG3452" s="48"/>
      <c r="AH3452" s="48"/>
      <c r="AI3452" s="48"/>
      <c r="AJ3452" s="48"/>
      <c r="AK3452" s="48"/>
      <c r="AL3452" s="48"/>
      <c r="AM3452" s="48"/>
      <c r="AN3452" s="48"/>
      <c r="AO3452" s="48"/>
      <c r="AP3452" s="48"/>
      <c r="AQ3452" s="48"/>
      <c r="AR3452" s="48"/>
      <c r="AS3452" s="48"/>
      <c r="AT3452" s="48"/>
      <c r="AU3452" s="48"/>
      <c r="AV3452" s="48"/>
      <c r="AW3452" s="48"/>
      <c r="AX3452" s="48"/>
      <c r="AY3452" s="48"/>
      <c r="AZ3452" s="48"/>
      <c r="BA3452" s="48"/>
      <c r="BB3452" s="48"/>
      <c r="BC3452" s="48"/>
      <c r="BD3452" s="48"/>
    </row>
    <row r="3453" spans="1:56">
      <c r="A3453" s="48"/>
      <c r="B3453" s="48"/>
      <c r="C3453" s="49"/>
      <c r="D3453" s="48"/>
      <c r="E3453" s="48"/>
      <c r="F3453" s="48"/>
      <c r="G3453" s="48"/>
      <c r="H3453" s="48"/>
      <c r="I3453" s="48"/>
      <c r="J3453" s="86"/>
      <c r="K3453" s="86"/>
      <c r="L3453" s="86"/>
      <c r="M3453" s="86"/>
      <c r="N3453" s="86"/>
      <c r="O3453" s="86"/>
      <c r="P3453" s="86"/>
      <c r="Q3453" s="86"/>
      <c r="R3453" s="86"/>
      <c r="S3453" s="86"/>
      <c r="T3453" s="86"/>
      <c r="U3453" s="86"/>
      <c r="V3453" s="48"/>
      <c r="W3453" s="48"/>
      <c r="X3453" s="48"/>
      <c r="Y3453" s="48"/>
      <c r="Z3453" s="48"/>
      <c r="AA3453" s="48"/>
      <c r="AB3453" s="48"/>
      <c r="AC3453" s="48"/>
      <c r="AD3453" s="48"/>
      <c r="AE3453" s="48"/>
      <c r="AF3453" s="48"/>
      <c r="AG3453" s="48"/>
      <c r="AH3453" s="48"/>
      <c r="AI3453" s="48"/>
      <c r="AJ3453" s="48"/>
      <c r="AK3453" s="48"/>
      <c r="AL3453" s="48"/>
      <c r="AM3453" s="48"/>
      <c r="AN3453" s="48"/>
      <c r="AO3453" s="48"/>
      <c r="AP3453" s="48"/>
      <c r="AQ3453" s="48"/>
      <c r="AR3453" s="48"/>
      <c r="AS3453" s="48"/>
      <c r="AT3453" s="48"/>
      <c r="AU3453" s="48"/>
      <c r="AV3453" s="48"/>
      <c r="AW3453" s="48"/>
      <c r="AX3453" s="48"/>
      <c r="AY3453" s="48"/>
      <c r="AZ3453" s="48"/>
      <c r="BA3453" s="48"/>
      <c r="BB3453" s="48"/>
      <c r="BC3453" s="48"/>
      <c r="BD3453" s="48"/>
    </row>
    <row r="3454" spans="1:56">
      <c r="A3454" s="48"/>
      <c r="B3454" s="48"/>
      <c r="C3454" s="49"/>
      <c r="D3454" s="48"/>
      <c r="E3454" s="48"/>
      <c r="F3454" s="48"/>
      <c r="G3454" s="48"/>
      <c r="H3454" s="48"/>
      <c r="I3454" s="48"/>
      <c r="J3454" s="86"/>
      <c r="K3454" s="86"/>
      <c r="L3454" s="86"/>
      <c r="M3454" s="86"/>
      <c r="N3454" s="86"/>
      <c r="O3454" s="86"/>
      <c r="P3454" s="86"/>
      <c r="Q3454" s="86"/>
      <c r="R3454" s="86"/>
      <c r="S3454" s="86"/>
      <c r="T3454" s="86"/>
      <c r="U3454" s="86"/>
      <c r="V3454" s="48"/>
      <c r="W3454" s="48"/>
      <c r="X3454" s="48"/>
      <c r="Y3454" s="48"/>
      <c r="Z3454" s="48"/>
      <c r="AA3454" s="48"/>
      <c r="AB3454" s="48"/>
      <c r="AC3454" s="48"/>
      <c r="AD3454" s="48"/>
      <c r="AE3454" s="48"/>
      <c r="AF3454" s="48"/>
      <c r="AG3454" s="48"/>
      <c r="AH3454" s="48"/>
      <c r="AI3454" s="48"/>
      <c r="AJ3454" s="48"/>
      <c r="AK3454" s="48"/>
      <c r="AL3454" s="48"/>
      <c r="AM3454" s="48"/>
      <c r="AN3454" s="48"/>
      <c r="AO3454" s="48"/>
      <c r="AP3454" s="48"/>
      <c r="AQ3454" s="48"/>
      <c r="AR3454" s="48"/>
      <c r="AS3454" s="48"/>
      <c r="AT3454" s="48"/>
      <c r="AU3454" s="48"/>
      <c r="AV3454" s="48"/>
      <c r="AW3454" s="48"/>
      <c r="AX3454" s="48"/>
      <c r="AY3454" s="48"/>
      <c r="AZ3454" s="48"/>
      <c r="BA3454" s="48"/>
      <c r="BB3454" s="48"/>
      <c r="BC3454" s="48"/>
      <c r="BD3454" s="48"/>
    </row>
    <row r="3455" spans="1:56">
      <c r="A3455" s="48"/>
      <c r="B3455" s="48"/>
      <c r="C3455" s="49"/>
      <c r="D3455" s="48"/>
      <c r="E3455" s="48"/>
      <c r="F3455" s="48"/>
      <c r="G3455" s="48"/>
      <c r="H3455" s="48"/>
      <c r="I3455" s="48"/>
      <c r="J3455" s="86"/>
      <c r="K3455" s="86"/>
      <c r="L3455" s="86"/>
      <c r="M3455" s="86"/>
      <c r="N3455" s="86"/>
      <c r="O3455" s="86"/>
      <c r="P3455" s="86"/>
      <c r="Q3455" s="86"/>
      <c r="R3455" s="86"/>
      <c r="S3455" s="86"/>
      <c r="T3455" s="86"/>
      <c r="U3455" s="86"/>
      <c r="V3455" s="48"/>
      <c r="W3455" s="48"/>
      <c r="X3455" s="48"/>
      <c r="Y3455" s="48"/>
      <c r="Z3455" s="48"/>
      <c r="AA3455" s="48"/>
      <c r="AB3455" s="48"/>
      <c r="AC3455" s="48"/>
      <c r="AD3455" s="48"/>
      <c r="AE3455" s="48"/>
      <c r="AF3455" s="48"/>
      <c r="AG3455" s="48"/>
      <c r="AH3455" s="48"/>
      <c r="AI3455" s="48"/>
      <c r="AJ3455" s="48"/>
      <c r="AK3455" s="48"/>
      <c r="AL3455" s="48"/>
      <c r="AM3455" s="48"/>
      <c r="AN3455" s="48"/>
      <c r="AO3455" s="48"/>
      <c r="AP3455" s="48"/>
      <c r="AQ3455" s="48"/>
      <c r="AR3455" s="48"/>
      <c r="AS3455" s="48"/>
      <c r="AT3455" s="48"/>
      <c r="AU3455" s="48"/>
      <c r="AV3455" s="48"/>
      <c r="AW3455" s="48"/>
      <c r="AX3455" s="48"/>
      <c r="AY3455" s="48"/>
      <c r="AZ3455" s="48"/>
      <c r="BA3455" s="48"/>
      <c r="BB3455" s="48"/>
      <c r="BC3455" s="48"/>
      <c r="BD3455" s="48"/>
    </row>
    <row r="3456" spans="1:56">
      <c r="A3456" s="48"/>
      <c r="B3456" s="48"/>
      <c r="C3456" s="49"/>
      <c r="D3456" s="48"/>
      <c r="E3456" s="48"/>
      <c r="F3456" s="48"/>
      <c r="G3456" s="48"/>
      <c r="H3456" s="48"/>
      <c r="I3456" s="48"/>
      <c r="J3456" s="86"/>
      <c r="K3456" s="86"/>
      <c r="L3456" s="86"/>
      <c r="M3456" s="86"/>
      <c r="N3456" s="86"/>
      <c r="O3456" s="86"/>
      <c r="P3456" s="86"/>
      <c r="Q3456" s="86"/>
      <c r="R3456" s="86"/>
      <c r="S3456" s="86"/>
      <c r="T3456" s="86"/>
      <c r="U3456" s="86"/>
      <c r="V3456" s="48"/>
      <c r="W3456" s="48"/>
      <c r="X3456" s="48"/>
      <c r="Y3456" s="48"/>
      <c r="Z3456" s="48"/>
      <c r="AA3456" s="48"/>
      <c r="AB3456" s="48"/>
      <c r="AC3456" s="48"/>
      <c r="AD3456" s="48"/>
      <c r="AE3456" s="48"/>
      <c r="AF3456" s="48"/>
      <c r="AG3456" s="48"/>
      <c r="AH3456" s="48"/>
      <c r="AI3456" s="48"/>
      <c r="AJ3456" s="48"/>
      <c r="AK3456" s="48"/>
      <c r="AL3456" s="48"/>
      <c r="AM3456" s="48"/>
      <c r="AN3456" s="48"/>
      <c r="AO3456" s="48"/>
      <c r="AP3456" s="48"/>
      <c r="AQ3456" s="48"/>
      <c r="AR3456" s="48"/>
      <c r="AS3456" s="48"/>
      <c r="AT3456" s="48"/>
      <c r="AU3456" s="48"/>
      <c r="AV3456" s="48"/>
      <c r="AW3456" s="48"/>
      <c r="AX3456" s="48"/>
      <c r="AY3456" s="48"/>
      <c r="AZ3456" s="48"/>
      <c r="BA3456" s="48"/>
      <c r="BB3456" s="48"/>
      <c r="BC3456" s="48"/>
      <c r="BD3456" s="48"/>
    </row>
    <row r="3457" spans="1:56">
      <c r="A3457" s="48"/>
      <c r="B3457" s="48"/>
      <c r="C3457" s="49"/>
      <c r="D3457" s="48"/>
      <c r="E3457" s="48"/>
      <c r="F3457" s="48"/>
      <c r="G3457" s="48"/>
      <c r="H3457" s="48"/>
      <c r="I3457" s="48"/>
      <c r="J3457" s="86"/>
      <c r="K3457" s="86"/>
      <c r="L3457" s="86"/>
      <c r="M3457" s="86"/>
      <c r="N3457" s="86"/>
      <c r="O3457" s="86"/>
      <c r="P3457" s="86"/>
      <c r="Q3457" s="86"/>
      <c r="R3457" s="86"/>
      <c r="S3457" s="86"/>
      <c r="T3457" s="86"/>
      <c r="U3457" s="86"/>
      <c r="V3457" s="48"/>
      <c r="W3457" s="48"/>
      <c r="X3457" s="48"/>
      <c r="Y3457" s="48"/>
      <c r="Z3457" s="48"/>
      <c r="AA3457" s="48"/>
      <c r="AB3457" s="48"/>
      <c r="AC3457" s="48"/>
      <c r="AD3457" s="48"/>
      <c r="AE3457" s="48"/>
      <c r="AF3457" s="48"/>
      <c r="AG3457" s="48"/>
      <c r="AH3457" s="48"/>
      <c r="AI3457" s="48"/>
      <c r="AJ3457" s="48"/>
      <c r="AK3457" s="48"/>
      <c r="AL3457" s="48"/>
      <c r="AM3457" s="48"/>
      <c r="AN3457" s="48"/>
      <c r="AO3457" s="48"/>
      <c r="AP3457" s="48"/>
      <c r="AQ3457" s="48"/>
      <c r="AR3457" s="48"/>
      <c r="AS3457" s="48"/>
      <c r="AT3457" s="48"/>
      <c r="AU3457" s="48"/>
      <c r="AV3457" s="48"/>
      <c r="AW3457" s="48"/>
      <c r="AX3457" s="48"/>
      <c r="AY3457" s="48"/>
      <c r="AZ3457" s="48"/>
      <c r="BA3457" s="48"/>
      <c r="BB3457" s="48"/>
      <c r="BC3457" s="48"/>
      <c r="BD3457" s="48"/>
    </row>
    <row r="3458" spans="1:56">
      <c r="A3458" s="48"/>
      <c r="B3458" s="48"/>
      <c r="C3458" s="49"/>
      <c r="D3458" s="48"/>
      <c r="E3458" s="48"/>
      <c r="F3458" s="48"/>
      <c r="G3458" s="48"/>
      <c r="H3458" s="48"/>
      <c r="I3458" s="48"/>
      <c r="J3458" s="86"/>
      <c r="K3458" s="86"/>
      <c r="L3458" s="86"/>
      <c r="M3458" s="86"/>
      <c r="N3458" s="86"/>
      <c r="O3458" s="86"/>
      <c r="P3458" s="86"/>
      <c r="Q3458" s="86"/>
      <c r="R3458" s="86"/>
      <c r="S3458" s="86"/>
      <c r="T3458" s="86"/>
      <c r="U3458" s="86"/>
      <c r="V3458" s="48"/>
      <c r="W3458" s="48"/>
      <c r="X3458" s="48"/>
      <c r="Y3458" s="48"/>
      <c r="Z3458" s="48"/>
      <c r="AA3458" s="48"/>
      <c r="AB3458" s="48"/>
      <c r="AC3458" s="48"/>
      <c r="AD3458" s="48"/>
      <c r="AE3458" s="48"/>
      <c r="AF3458" s="48"/>
      <c r="AG3458" s="48"/>
      <c r="AH3458" s="48"/>
      <c r="AI3458" s="48"/>
      <c r="AJ3458" s="48"/>
      <c r="AK3458" s="48"/>
      <c r="AL3458" s="48"/>
      <c r="AM3458" s="48"/>
      <c r="AN3458" s="48"/>
      <c r="AO3458" s="48"/>
      <c r="AP3458" s="48"/>
      <c r="AQ3458" s="48"/>
      <c r="AR3458" s="48"/>
      <c r="AS3458" s="48"/>
      <c r="AT3458" s="48"/>
      <c r="AU3458" s="48"/>
      <c r="AV3458" s="48"/>
      <c r="AW3458" s="48"/>
      <c r="AX3458" s="48"/>
      <c r="AY3458" s="48"/>
      <c r="AZ3458" s="48"/>
      <c r="BA3458" s="48"/>
      <c r="BB3458" s="48"/>
      <c r="BC3458" s="48"/>
      <c r="BD3458" s="48"/>
    </row>
    <row r="3459" spans="1:56">
      <c r="A3459" s="48"/>
      <c r="B3459" s="48"/>
      <c r="C3459" s="49"/>
      <c r="D3459" s="48"/>
      <c r="E3459" s="48"/>
      <c r="F3459" s="48"/>
      <c r="G3459" s="48"/>
      <c r="H3459" s="48"/>
      <c r="I3459" s="48"/>
      <c r="J3459" s="86"/>
      <c r="K3459" s="86"/>
      <c r="L3459" s="86"/>
      <c r="M3459" s="86"/>
      <c r="N3459" s="86"/>
      <c r="O3459" s="86"/>
      <c r="P3459" s="86"/>
      <c r="Q3459" s="86"/>
      <c r="R3459" s="86"/>
      <c r="S3459" s="86"/>
      <c r="T3459" s="86"/>
      <c r="U3459" s="86"/>
      <c r="V3459" s="48"/>
      <c r="W3459" s="48"/>
      <c r="X3459" s="48"/>
      <c r="Y3459" s="48"/>
      <c r="Z3459" s="48"/>
      <c r="AA3459" s="48"/>
      <c r="AB3459" s="48"/>
      <c r="AC3459" s="48"/>
      <c r="AD3459" s="48"/>
      <c r="AE3459" s="48"/>
      <c r="AF3459" s="48"/>
      <c r="AG3459" s="48"/>
      <c r="AH3459" s="48"/>
      <c r="AI3459" s="48"/>
      <c r="AJ3459" s="48"/>
      <c r="AK3459" s="48"/>
      <c r="AL3459" s="48"/>
      <c r="AM3459" s="48"/>
      <c r="AN3459" s="48"/>
      <c r="AO3459" s="48"/>
      <c r="AP3459" s="48"/>
      <c r="AQ3459" s="48"/>
      <c r="AR3459" s="48"/>
      <c r="AS3459" s="48"/>
      <c r="AT3459" s="48"/>
      <c r="AU3459" s="48"/>
      <c r="AV3459" s="48"/>
      <c r="AW3459" s="48"/>
      <c r="AX3459" s="48"/>
      <c r="AY3459" s="48"/>
      <c r="AZ3459" s="48"/>
      <c r="BA3459" s="48"/>
      <c r="BB3459" s="48"/>
      <c r="BC3459" s="48"/>
      <c r="BD3459" s="48"/>
    </row>
    <row r="3460" spans="1:56">
      <c r="A3460" s="48"/>
      <c r="B3460" s="48"/>
      <c r="C3460" s="49"/>
      <c r="D3460" s="48"/>
      <c r="E3460" s="48"/>
      <c r="F3460" s="48"/>
      <c r="G3460" s="48"/>
      <c r="H3460" s="48"/>
      <c r="I3460" s="48"/>
      <c r="J3460" s="86"/>
      <c r="K3460" s="86"/>
      <c r="L3460" s="86"/>
      <c r="M3460" s="86"/>
      <c r="N3460" s="86"/>
      <c r="O3460" s="86"/>
      <c r="P3460" s="86"/>
      <c r="Q3460" s="86"/>
      <c r="R3460" s="86"/>
      <c r="S3460" s="86"/>
      <c r="T3460" s="86"/>
      <c r="U3460" s="86"/>
      <c r="V3460" s="48"/>
      <c r="W3460" s="48"/>
      <c r="X3460" s="48"/>
      <c r="Y3460" s="48"/>
      <c r="Z3460" s="48"/>
      <c r="AA3460" s="48"/>
      <c r="AB3460" s="48"/>
      <c r="AC3460" s="48"/>
      <c r="AD3460" s="48"/>
      <c r="AE3460" s="48"/>
      <c r="AF3460" s="48"/>
      <c r="AG3460" s="48"/>
      <c r="AH3460" s="48"/>
      <c r="AI3460" s="48"/>
      <c r="AJ3460" s="48"/>
      <c r="AK3460" s="48"/>
      <c r="AL3460" s="48"/>
      <c r="AM3460" s="48"/>
      <c r="AN3460" s="48"/>
      <c r="AO3460" s="48"/>
      <c r="AP3460" s="48"/>
      <c r="AQ3460" s="48"/>
      <c r="AR3460" s="48"/>
      <c r="AS3460" s="48"/>
      <c r="AT3460" s="48"/>
      <c r="AU3460" s="48"/>
      <c r="AV3460" s="48"/>
      <c r="AW3460" s="48"/>
      <c r="AX3460" s="48"/>
      <c r="AY3460" s="48"/>
      <c r="AZ3460" s="48"/>
      <c r="BA3460" s="48"/>
      <c r="BB3460" s="48"/>
      <c r="BC3460" s="48"/>
      <c r="BD3460" s="48"/>
    </row>
    <row r="3461" spans="1:56">
      <c r="A3461" s="48"/>
      <c r="B3461" s="48"/>
      <c r="C3461" s="49"/>
      <c r="D3461" s="48"/>
      <c r="E3461" s="48"/>
      <c r="F3461" s="48"/>
      <c r="G3461" s="48"/>
      <c r="H3461" s="48"/>
      <c r="I3461" s="48"/>
      <c r="J3461" s="86"/>
      <c r="K3461" s="86"/>
      <c r="L3461" s="86"/>
      <c r="M3461" s="86"/>
      <c r="N3461" s="86"/>
      <c r="O3461" s="86"/>
      <c r="P3461" s="86"/>
      <c r="Q3461" s="86"/>
      <c r="R3461" s="86"/>
      <c r="S3461" s="86"/>
      <c r="T3461" s="86"/>
      <c r="U3461" s="86"/>
      <c r="V3461" s="48"/>
      <c r="W3461" s="48"/>
      <c r="X3461" s="48"/>
      <c r="Y3461" s="48"/>
      <c r="Z3461" s="48"/>
      <c r="AA3461" s="48"/>
      <c r="AB3461" s="48"/>
      <c r="AC3461" s="48"/>
      <c r="AD3461" s="48"/>
      <c r="AE3461" s="48"/>
      <c r="AF3461" s="48"/>
      <c r="AG3461" s="48"/>
      <c r="AH3461" s="48"/>
      <c r="AI3461" s="48"/>
      <c r="AJ3461" s="48"/>
      <c r="AK3461" s="48"/>
      <c r="AL3461" s="48"/>
      <c r="AM3461" s="48"/>
      <c r="AN3461" s="48"/>
      <c r="AO3461" s="48"/>
      <c r="AP3461" s="48"/>
      <c r="AQ3461" s="48"/>
      <c r="AR3461" s="48"/>
      <c r="AS3461" s="48"/>
      <c r="AT3461" s="48"/>
      <c r="AU3461" s="48"/>
      <c r="AV3461" s="48"/>
      <c r="AW3461" s="48"/>
      <c r="AX3461" s="48"/>
      <c r="AY3461" s="48"/>
      <c r="AZ3461" s="48"/>
      <c r="BA3461" s="48"/>
      <c r="BB3461" s="48"/>
      <c r="BC3461" s="48"/>
      <c r="BD3461" s="48"/>
    </row>
    <row r="3462" spans="1:56">
      <c r="A3462" s="48"/>
      <c r="B3462" s="48"/>
      <c r="C3462" s="49"/>
      <c r="D3462" s="48"/>
      <c r="E3462" s="48"/>
      <c r="F3462" s="48"/>
      <c r="G3462" s="48"/>
      <c r="H3462" s="48"/>
      <c r="I3462" s="48"/>
      <c r="J3462" s="86"/>
      <c r="K3462" s="86"/>
      <c r="L3462" s="86"/>
      <c r="M3462" s="86"/>
      <c r="N3462" s="86"/>
      <c r="O3462" s="86"/>
      <c r="P3462" s="86"/>
      <c r="Q3462" s="86"/>
      <c r="R3462" s="86"/>
      <c r="S3462" s="86"/>
      <c r="T3462" s="86"/>
      <c r="U3462" s="86"/>
      <c r="V3462" s="48"/>
      <c r="W3462" s="48"/>
      <c r="X3462" s="48"/>
      <c r="Y3462" s="48"/>
      <c r="Z3462" s="48"/>
      <c r="AA3462" s="48"/>
      <c r="AB3462" s="48"/>
      <c r="AC3462" s="48"/>
      <c r="AD3462" s="48"/>
      <c r="AE3462" s="48"/>
      <c r="AF3462" s="48"/>
      <c r="AG3462" s="48"/>
      <c r="AH3462" s="48"/>
      <c r="AI3462" s="48"/>
      <c r="AJ3462" s="48"/>
      <c r="AK3462" s="48"/>
      <c r="AL3462" s="48"/>
      <c r="AM3462" s="48"/>
      <c r="AN3462" s="48"/>
      <c r="AO3462" s="48"/>
      <c r="AP3462" s="48"/>
      <c r="AQ3462" s="48"/>
      <c r="AR3462" s="48"/>
      <c r="AS3462" s="48"/>
      <c r="AT3462" s="48"/>
      <c r="AU3462" s="48"/>
      <c r="AV3462" s="48"/>
      <c r="AW3462" s="48"/>
      <c r="AX3462" s="48"/>
      <c r="AY3462" s="48"/>
      <c r="AZ3462" s="48"/>
      <c r="BA3462" s="48"/>
      <c r="BB3462" s="48"/>
      <c r="BC3462" s="48"/>
      <c r="BD3462" s="48"/>
    </row>
    <row r="3463" spans="1:56">
      <c r="A3463" s="48"/>
      <c r="B3463" s="48"/>
      <c r="C3463" s="49"/>
      <c r="D3463" s="48"/>
      <c r="E3463" s="48"/>
      <c r="F3463" s="48"/>
      <c r="G3463" s="48"/>
      <c r="H3463" s="48"/>
      <c r="I3463" s="48"/>
      <c r="J3463" s="86"/>
      <c r="K3463" s="86"/>
      <c r="L3463" s="86"/>
      <c r="M3463" s="86"/>
      <c r="N3463" s="86"/>
      <c r="O3463" s="86"/>
      <c r="P3463" s="86"/>
      <c r="Q3463" s="86"/>
      <c r="R3463" s="86"/>
      <c r="S3463" s="86"/>
      <c r="T3463" s="86"/>
      <c r="U3463" s="86"/>
      <c r="V3463" s="48"/>
      <c r="W3463" s="48"/>
      <c r="X3463" s="48"/>
      <c r="Y3463" s="48"/>
      <c r="Z3463" s="48"/>
      <c r="AA3463" s="48"/>
      <c r="AB3463" s="48"/>
      <c r="AC3463" s="48"/>
      <c r="AD3463" s="48"/>
      <c r="AE3463" s="48"/>
      <c r="AF3463" s="48"/>
      <c r="AG3463" s="48"/>
      <c r="AH3463" s="48"/>
      <c r="AI3463" s="48"/>
      <c r="AJ3463" s="48"/>
      <c r="AK3463" s="48"/>
      <c r="AL3463" s="48"/>
      <c r="AM3463" s="48"/>
      <c r="AN3463" s="48"/>
      <c r="AO3463" s="48"/>
      <c r="AP3463" s="48"/>
      <c r="AQ3463" s="48"/>
      <c r="AR3463" s="48"/>
      <c r="AS3463" s="48"/>
      <c r="AT3463" s="48"/>
      <c r="AU3463" s="48"/>
      <c r="AV3463" s="48"/>
      <c r="AW3463" s="48"/>
      <c r="AX3463" s="48"/>
      <c r="AY3463" s="48"/>
      <c r="AZ3463" s="48"/>
      <c r="BA3463" s="48"/>
      <c r="BB3463" s="48"/>
      <c r="BC3463" s="48"/>
      <c r="BD3463" s="48"/>
    </row>
    <row r="3464" spans="1:56">
      <c r="A3464" s="48"/>
      <c r="B3464" s="48"/>
      <c r="C3464" s="49"/>
      <c r="D3464" s="48"/>
      <c r="E3464" s="48"/>
      <c r="F3464" s="48"/>
      <c r="G3464" s="48"/>
      <c r="H3464" s="48"/>
      <c r="I3464" s="48"/>
      <c r="J3464" s="86"/>
      <c r="K3464" s="86"/>
      <c r="L3464" s="86"/>
      <c r="M3464" s="86"/>
      <c r="N3464" s="86"/>
      <c r="O3464" s="86"/>
      <c r="P3464" s="86"/>
      <c r="Q3464" s="86"/>
      <c r="R3464" s="86"/>
      <c r="S3464" s="86"/>
      <c r="T3464" s="86"/>
      <c r="U3464" s="86"/>
      <c r="V3464" s="48"/>
      <c r="W3464" s="48"/>
      <c r="X3464" s="48"/>
      <c r="Y3464" s="48"/>
      <c r="Z3464" s="48"/>
      <c r="AA3464" s="48"/>
      <c r="AB3464" s="48"/>
      <c r="AC3464" s="48"/>
      <c r="AD3464" s="48"/>
      <c r="AE3464" s="48"/>
      <c r="AF3464" s="48"/>
      <c r="AG3464" s="48"/>
      <c r="AH3464" s="48"/>
      <c r="AI3464" s="48"/>
      <c r="AJ3464" s="48"/>
      <c r="AK3464" s="48"/>
      <c r="AL3464" s="48"/>
      <c r="AM3464" s="48"/>
      <c r="AN3464" s="48"/>
      <c r="AO3464" s="48"/>
      <c r="AP3464" s="48"/>
      <c r="AQ3464" s="48"/>
      <c r="AR3464" s="48"/>
      <c r="AS3464" s="48"/>
      <c r="AT3464" s="48"/>
      <c r="AU3464" s="48"/>
      <c r="AV3464" s="48"/>
      <c r="AW3464" s="48"/>
      <c r="AX3464" s="48"/>
      <c r="AY3464" s="48"/>
      <c r="AZ3464" s="48"/>
      <c r="BA3464" s="48"/>
      <c r="BB3464" s="48"/>
      <c r="BC3464" s="48"/>
      <c r="BD3464" s="48"/>
    </row>
    <row r="3465" spans="1:56">
      <c r="A3465" s="48"/>
      <c r="B3465" s="48"/>
      <c r="C3465" s="49"/>
      <c r="D3465" s="48"/>
      <c r="E3465" s="48"/>
      <c r="F3465" s="48"/>
      <c r="G3465" s="48"/>
      <c r="H3465" s="48"/>
      <c r="I3465" s="48"/>
      <c r="J3465" s="86"/>
      <c r="K3465" s="86"/>
      <c r="L3465" s="86"/>
      <c r="M3465" s="86"/>
      <c r="N3465" s="86"/>
      <c r="O3465" s="86"/>
      <c r="P3465" s="86"/>
      <c r="Q3465" s="86"/>
      <c r="R3465" s="86"/>
      <c r="S3465" s="86"/>
      <c r="T3465" s="86"/>
      <c r="U3465" s="86"/>
      <c r="V3465" s="48"/>
      <c r="W3465" s="48"/>
      <c r="X3465" s="48"/>
      <c r="Y3465" s="48"/>
      <c r="Z3465" s="48"/>
      <c r="AA3465" s="48"/>
      <c r="AB3465" s="48"/>
      <c r="AC3465" s="48"/>
      <c r="AD3465" s="48"/>
      <c r="AE3465" s="48"/>
      <c r="AF3465" s="48"/>
      <c r="AG3465" s="48"/>
      <c r="AH3465" s="48"/>
      <c r="AI3465" s="48"/>
      <c r="AJ3465" s="48"/>
      <c r="AK3465" s="48"/>
      <c r="AL3465" s="48"/>
      <c r="AM3465" s="48"/>
      <c r="AN3465" s="48"/>
      <c r="AO3465" s="48"/>
      <c r="AP3465" s="48"/>
      <c r="AQ3465" s="48"/>
      <c r="AR3465" s="48"/>
      <c r="AS3465" s="48"/>
      <c r="AT3465" s="48"/>
      <c r="AU3465" s="48"/>
      <c r="AV3465" s="48"/>
      <c r="AW3465" s="48"/>
      <c r="AX3465" s="48"/>
      <c r="AY3465" s="48"/>
      <c r="AZ3465" s="48"/>
      <c r="BA3465" s="48"/>
      <c r="BB3465" s="48"/>
      <c r="BC3465" s="48"/>
      <c r="BD3465" s="48"/>
    </row>
    <row r="3466" spans="1:56">
      <c r="A3466" s="48"/>
      <c r="B3466" s="48"/>
      <c r="C3466" s="49"/>
      <c r="D3466" s="48"/>
      <c r="E3466" s="48"/>
      <c r="F3466" s="48"/>
      <c r="G3466" s="48"/>
      <c r="H3466" s="48"/>
      <c r="I3466" s="48"/>
      <c r="J3466" s="86"/>
      <c r="K3466" s="86"/>
      <c r="L3466" s="86"/>
      <c r="M3466" s="86"/>
      <c r="N3466" s="86"/>
      <c r="O3466" s="86"/>
      <c r="P3466" s="86"/>
      <c r="Q3466" s="86"/>
      <c r="R3466" s="86"/>
      <c r="S3466" s="86"/>
      <c r="T3466" s="86"/>
      <c r="U3466" s="86"/>
      <c r="V3466" s="48"/>
      <c r="W3466" s="48"/>
      <c r="X3466" s="48"/>
      <c r="Y3466" s="48"/>
      <c r="Z3466" s="48"/>
      <c r="AA3466" s="48"/>
      <c r="AB3466" s="48"/>
      <c r="AC3466" s="48"/>
      <c r="AD3466" s="48"/>
      <c r="AE3466" s="48"/>
      <c r="AF3466" s="48"/>
      <c r="AG3466" s="48"/>
      <c r="AH3466" s="48"/>
      <c r="AI3466" s="48"/>
      <c r="AJ3466" s="48"/>
      <c r="AK3466" s="48"/>
      <c r="AL3466" s="48"/>
      <c r="AM3466" s="48"/>
      <c r="AN3466" s="48"/>
      <c r="AO3466" s="48"/>
      <c r="AP3466" s="48"/>
      <c r="AQ3466" s="48"/>
      <c r="AR3466" s="48"/>
      <c r="AS3466" s="48"/>
      <c r="AT3466" s="48"/>
      <c r="AU3466" s="48"/>
      <c r="AV3466" s="48"/>
      <c r="AW3466" s="48"/>
      <c r="AX3466" s="48"/>
      <c r="AY3466" s="48"/>
      <c r="AZ3466" s="48"/>
      <c r="BA3466" s="48"/>
      <c r="BB3466" s="48"/>
      <c r="BC3466" s="48"/>
      <c r="BD3466" s="48"/>
    </row>
    <row r="3467" spans="1:56">
      <c r="A3467" s="48"/>
      <c r="B3467" s="48"/>
      <c r="C3467" s="49"/>
      <c r="D3467" s="48"/>
      <c r="E3467" s="48"/>
      <c r="F3467" s="48"/>
      <c r="G3467" s="48"/>
      <c r="H3467" s="48"/>
      <c r="I3467" s="48"/>
      <c r="J3467" s="86"/>
      <c r="K3467" s="86"/>
      <c r="L3467" s="86"/>
      <c r="M3467" s="86"/>
      <c r="N3467" s="86"/>
      <c r="O3467" s="86"/>
      <c r="P3467" s="86"/>
      <c r="Q3467" s="86"/>
      <c r="R3467" s="86"/>
      <c r="S3467" s="86"/>
      <c r="T3467" s="86"/>
      <c r="U3467" s="86"/>
      <c r="V3467" s="48"/>
      <c r="W3467" s="48"/>
      <c r="X3467" s="48"/>
      <c r="Y3467" s="48"/>
      <c r="Z3467" s="48"/>
      <c r="AA3467" s="48"/>
      <c r="AB3467" s="48"/>
      <c r="AC3467" s="48"/>
      <c r="AD3467" s="48"/>
      <c r="AE3467" s="48"/>
      <c r="AF3467" s="48"/>
      <c r="AG3467" s="48"/>
      <c r="AH3467" s="48"/>
      <c r="AI3467" s="48"/>
      <c r="AJ3467" s="48"/>
      <c r="AK3467" s="48"/>
      <c r="AL3467" s="48"/>
      <c r="AM3467" s="48"/>
      <c r="AN3467" s="48"/>
      <c r="AO3467" s="48"/>
      <c r="AP3467" s="48"/>
      <c r="AQ3467" s="48"/>
      <c r="AR3467" s="48"/>
      <c r="AS3467" s="48"/>
      <c r="AT3467" s="48"/>
      <c r="AU3467" s="48"/>
      <c r="AV3467" s="48"/>
      <c r="AW3467" s="48"/>
      <c r="AX3467" s="48"/>
      <c r="AY3467" s="48"/>
      <c r="AZ3467" s="48"/>
      <c r="BA3467" s="48"/>
      <c r="BB3467" s="48"/>
      <c r="BC3467" s="48"/>
      <c r="BD3467" s="48"/>
    </row>
    <row r="3468" spans="1:56">
      <c r="A3468" s="48"/>
      <c r="B3468" s="48"/>
      <c r="C3468" s="49"/>
      <c r="D3468" s="48"/>
      <c r="E3468" s="48"/>
      <c r="F3468" s="48"/>
      <c r="G3468" s="48"/>
      <c r="H3468" s="48"/>
      <c r="I3468" s="48"/>
      <c r="J3468" s="86"/>
      <c r="K3468" s="86"/>
      <c r="L3468" s="86"/>
      <c r="M3468" s="86"/>
      <c r="N3468" s="86"/>
      <c r="O3468" s="86"/>
      <c r="P3468" s="86"/>
      <c r="Q3468" s="86"/>
      <c r="R3468" s="86"/>
      <c r="S3468" s="86"/>
      <c r="T3468" s="86"/>
      <c r="U3468" s="86"/>
      <c r="V3468" s="48"/>
      <c r="W3468" s="48"/>
      <c r="X3468" s="48"/>
      <c r="Y3468" s="48"/>
      <c r="Z3468" s="48"/>
      <c r="AA3468" s="48"/>
      <c r="AB3468" s="48"/>
      <c r="AC3468" s="48"/>
      <c r="AD3468" s="48"/>
      <c r="AE3468" s="48"/>
      <c r="AF3468" s="48"/>
      <c r="AG3468" s="48"/>
      <c r="AH3468" s="48"/>
      <c r="AI3468" s="48"/>
      <c r="AJ3468" s="48"/>
      <c r="AK3468" s="48"/>
      <c r="AL3468" s="48"/>
      <c r="AM3468" s="48"/>
      <c r="AN3468" s="48"/>
      <c r="AO3468" s="48"/>
      <c r="AP3468" s="48"/>
      <c r="AQ3468" s="48"/>
      <c r="AR3468" s="48"/>
      <c r="AS3468" s="48"/>
      <c r="AT3468" s="48"/>
      <c r="AU3468" s="48"/>
      <c r="AV3468" s="48"/>
      <c r="AW3468" s="48"/>
      <c r="AX3468" s="48"/>
      <c r="AY3468" s="48"/>
      <c r="AZ3468" s="48"/>
      <c r="BA3468" s="48"/>
      <c r="BB3468" s="48"/>
      <c r="BC3468" s="48"/>
      <c r="BD3468" s="48"/>
    </row>
    <row r="3469" spans="1:56">
      <c r="A3469" s="48"/>
      <c r="B3469" s="48"/>
      <c r="C3469" s="49"/>
      <c r="D3469" s="48"/>
      <c r="E3469" s="48"/>
      <c r="F3469" s="48"/>
      <c r="G3469" s="48"/>
      <c r="H3469" s="48"/>
      <c r="I3469" s="48"/>
      <c r="J3469" s="86"/>
      <c r="K3469" s="86"/>
      <c r="L3469" s="86"/>
      <c r="M3469" s="86"/>
      <c r="N3469" s="86"/>
      <c r="O3469" s="86"/>
      <c r="P3469" s="86"/>
      <c r="Q3469" s="86"/>
      <c r="R3469" s="86"/>
      <c r="S3469" s="86"/>
      <c r="T3469" s="86"/>
      <c r="U3469" s="86"/>
      <c r="V3469" s="48"/>
      <c r="W3469" s="48"/>
      <c r="X3469" s="48"/>
      <c r="Y3469" s="48"/>
      <c r="Z3469" s="48"/>
      <c r="AA3469" s="48"/>
      <c r="AB3469" s="48"/>
      <c r="AC3469" s="48"/>
      <c r="AD3469" s="48"/>
      <c r="AE3469" s="48"/>
      <c r="AF3469" s="48"/>
      <c r="AG3469" s="48"/>
      <c r="AH3469" s="48"/>
      <c r="AI3469" s="48"/>
      <c r="AJ3469" s="48"/>
      <c r="AK3469" s="48"/>
      <c r="AL3469" s="48"/>
      <c r="AM3469" s="48"/>
      <c r="AN3469" s="48"/>
      <c r="AO3469" s="48"/>
      <c r="AP3469" s="48"/>
      <c r="AQ3469" s="48"/>
      <c r="AR3469" s="48"/>
      <c r="AS3469" s="48"/>
      <c r="AT3469" s="48"/>
      <c r="AU3469" s="48"/>
      <c r="AV3469" s="48"/>
      <c r="AW3469" s="48"/>
      <c r="AX3469" s="48"/>
      <c r="AY3469" s="48"/>
      <c r="AZ3469" s="48"/>
      <c r="BA3469" s="48"/>
      <c r="BB3469" s="48"/>
      <c r="BC3469" s="48"/>
      <c r="BD3469" s="48"/>
    </row>
    <row r="3470" spans="1:56">
      <c r="A3470" s="48"/>
      <c r="B3470" s="48"/>
      <c r="C3470" s="49"/>
      <c r="D3470" s="48"/>
      <c r="E3470" s="48"/>
      <c r="F3470" s="48"/>
      <c r="G3470" s="48"/>
      <c r="H3470" s="48"/>
      <c r="I3470" s="48"/>
      <c r="J3470" s="86"/>
      <c r="K3470" s="86"/>
      <c r="L3470" s="86"/>
      <c r="M3470" s="86"/>
      <c r="N3470" s="86"/>
      <c r="O3470" s="86"/>
      <c r="P3470" s="86"/>
      <c r="Q3470" s="86"/>
      <c r="R3470" s="86"/>
      <c r="S3470" s="86"/>
      <c r="T3470" s="86"/>
      <c r="U3470" s="86"/>
      <c r="V3470" s="48"/>
      <c r="W3470" s="48"/>
      <c r="X3470" s="48"/>
      <c r="Y3470" s="48"/>
      <c r="Z3470" s="48"/>
      <c r="AA3470" s="48"/>
      <c r="AB3470" s="48"/>
      <c r="AC3470" s="48"/>
      <c r="AD3470" s="48"/>
      <c r="AE3470" s="48"/>
      <c r="AF3470" s="48"/>
      <c r="AG3470" s="48"/>
      <c r="AH3470" s="48"/>
      <c r="AI3470" s="48"/>
      <c r="AJ3470" s="48"/>
      <c r="AK3470" s="48"/>
      <c r="AL3470" s="48"/>
      <c r="AM3470" s="48"/>
      <c r="AN3470" s="48"/>
      <c r="AO3470" s="48"/>
      <c r="AP3470" s="48"/>
      <c r="AQ3470" s="48"/>
      <c r="AR3470" s="48"/>
      <c r="AS3470" s="48"/>
      <c r="AT3470" s="48"/>
      <c r="AU3470" s="48"/>
      <c r="AV3470" s="48"/>
      <c r="AW3470" s="48"/>
      <c r="AX3470" s="48"/>
      <c r="AY3470" s="48"/>
      <c r="AZ3470" s="48"/>
      <c r="BA3470" s="48"/>
      <c r="BB3470" s="48"/>
      <c r="BC3470" s="48"/>
      <c r="BD3470" s="48"/>
    </row>
    <row r="3471" spans="1:56">
      <c r="A3471" s="48"/>
      <c r="B3471" s="48"/>
      <c r="C3471" s="49"/>
      <c r="D3471" s="48"/>
      <c r="E3471" s="48"/>
      <c r="F3471" s="48"/>
      <c r="G3471" s="48"/>
      <c r="H3471" s="48"/>
      <c r="I3471" s="48"/>
      <c r="J3471" s="86"/>
      <c r="K3471" s="86"/>
      <c r="L3471" s="86"/>
      <c r="M3471" s="86"/>
      <c r="N3471" s="86"/>
      <c r="O3471" s="86"/>
      <c r="P3471" s="86"/>
      <c r="Q3471" s="86"/>
      <c r="R3471" s="86"/>
      <c r="S3471" s="86"/>
      <c r="T3471" s="86"/>
      <c r="U3471" s="86"/>
      <c r="V3471" s="48"/>
      <c r="W3471" s="48"/>
      <c r="X3471" s="48"/>
      <c r="Y3471" s="48"/>
      <c r="Z3471" s="48"/>
      <c r="AA3471" s="48"/>
      <c r="AB3471" s="48"/>
      <c r="AC3471" s="48"/>
      <c r="AD3471" s="48"/>
      <c r="AE3471" s="48"/>
      <c r="AF3471" s="48"/>
      <c r="AG3471" s="48"/>
      <c r="AH3471" s="48"/>
      <c r="AI3471" s="48"/>
      <c r="AJ3471" s="48"/>
      <c r="AK3471" s="48"/>
      <c r="AL3471" s="48"/>
      <c r="AM3471" s="48"/>
      <c r="AN3471" s="48"/>
      <c r="AO3471" s="48"/>
      <c r="AP3471" s="48"/>
      <c r="AQ3471" s="48"/>
      <c r="AR3471" s="48"/>
      <c r="AS3471" s="48"/>
      <c r="AT3471" s="48"/>
      <c r="AU3471" s="48"/>
      <c r="AV3471" s="48"/>
      <c r="AW3471" s="48"/>
      <c r="AX3471" s="48"/>
      <c r="AY3471" s="48"/>
      <c r="AZ3471" s="48"/>
      <c r="BA3471" s="48"/>
      <c r="BB3471" s="48"/>
      <c r="BC3471" s="48"/>
      <c r="BD3471" s="48"/>
    </row>
    <row r="3472" spans="1:56">
      <c r="A3472" s="48"/>
      <c r="B3472" s="48"/>
      <c r="C3472" s="49"/>
      <c r="D3472" s="48"/>
      <c r="E3472" s="48"/>
      <c r="F3472" s="48"/>
      <c r="G3472" s="48"/>
      <c r="H3472" s="48"/>
      <c r="I3472" s="48"/>
      <c r="J3472" s="86"/>
      <c r="K3472" s="86"/>
      <c r="L3472" s="86"/>
      <c r="M3472" s="86"/>
      <c r="N3472" s="86"/>
      <c r="O3472" s="86"/>
      <c r="P3472" s="86"/>
      <c r="Q3472" s="86"/>
      <c r="R3472" s="86"/>
      <c r="S3472" s="86"/>
      <c r="T3472" s="86"/>
      <c r="U3472" s="86"/>
      <c r="V3472" s="48"/>
      <c r="W3472" s="48"/>
      <c r="X3472" s="48"/>
      <c r="Y3472" s="48"/>
      <c r="Z3472" s="48"/>
      <c r="AA3472" s="48"/>
      <c r="AB3472" s="48"/>
      <c r="AC3472" s="48"/>
      <c r="AD3472" s="48"/>
      <c r="AE3472" s="48"/>
      <c r="AF3472" s="48"/>
      <c r="AG3472" s="48"/>
      <c r="AH3472" s="48"/>
      <c r="AI3472" s="48"/>
      <c r="AJ3472" s="48"/>
      <c r="AK3472" s="48"/>
      <c r="AL3472" s="48"/>
      <c r="AM3472" s="48"/>
      <c r="AN3472" s="48"/>
      <c r="AO3472" s="48"/>
      <c r="AP3472" s="48"/>
      <c r="AQ3472" s="48"/>
      <c r="AR3472" s="48"/>
      <c r="AS3472" s="48"/>
      <c r="AT3472" s="48"/>
      <c r="AU3472" s="48"/>
      <c r="AV3472" s="48"/>
      <c r="AW3472" s="48"/>
      <c r="AX3472" s="48"/>
      <c r="AY3472" s="48"/>
      <c r="AZ3472" s="48"/>
      <c r="BA3472" s="48"/>
      <c r="BB3472" s="48"/>
      <c r="BC3472" s="48"/>
      <c r="BD3472" s="48"/>
    </row>
    <row r="3473" spans="1:56">
      <c r="A3473" s="48"/>
      <c r="B3473" s="48"/>
      <c r="C3473" s="49"/>
      <c r="D3473" s="48"/>
      <c r="E3473" s="48"/>
      <c r="F3473" s="48"/>
      <c r="G3473" s="48"/>
      <c r="H3473" s="48"/>
      <c r="I3473" s="48"/>
      <c r="J3473" s="86"/>
      <c r="K3473" s="86"/>
      <c r="L3473" s="86"/>
      <c r="M3473" s="86"/>
      <c r="N3473" s="86"/>
      <c r="O3473" s="86"/>
      <c r="P3473" s="86"/>
      <c r="Q3473" s="86"/>
      <c r="R3473" s="86"/>
      <c r="S3473" s="86"/>
      <c r="T3473" s="86"/>
      <c r="U3473" s="86"/>
      <c r="V3473" s="48"/>
      <c r="W3473" s="48"/>
      <c r="X3473" s="48"/>
      <c r="Y3473" s="48"/>
      <c r="Z3473" s="48"/>
      <c r="AA3473" s="48"/>
      <c r="AB3473" s="48"/>
      <c r="AC3473" s="48"/>
      <c r="AD3473" s="48"/>
      <c r="AE3473" s="48"/>
      <c r="AF3473" s="48"/>
      <c r="AG3473" s="48"/>
      <c r="AH3473" s="48"/>
      <c r="AI3473" s="48"/>
      <c r="AJ3473" s="48"/>
      <c r="AK3473" s="48"/>
      <c r="AL3473" s="48"/>
      <c r="AM3473" s="48"/>
      <c r="AN3473" s="48"/>
      <c r="AO3473" s="48"/>
      <c r="AP3473" s="48"/>
      <c r="AQ3473" s="48"/>
      <c r="AR3473" s="48"/>
      <c r="AS3473" s="48"/>
      <c r="AT3473" s="48"/>
      <c r="AU3473" s="48"/>
      <c r="AV3473" s="48"/>
      <c r="AW3473" s="48"/>
      <c r="AX3473" s="48"/>
      <c r="AY3473" s="48"/>
      <c r="AZ3473" s="48"/>
      <c r="BA3473" s="48"/>
      <c r="BB3473" s="48"/>
      <c r="BC3473" s="48"/>
      <c r="BD3473" s="48"/>
    </row>
    <row r="3474" spans="1:56">
      <c r="A3474" s="48"/>
      <c r="B3474" s="48"/>
      <c r="C3474" s="49"/>
      <c r="D3474" s="48"/>
      <c r="E3474" s="48"/>
      <c r="F3474" s="48"/>
      <c r="G3474" s="48"/>
      <c r="H3474" s="48"/>
      <c r="I3474" s="48"/>
      <c r="J3474" s="86"/>
      <c r="K3474" s="86"/>
      <c r="L3474" s="86"/>
      <c r="M3474" s="86"/>
      <c r="N3474" s="86"/>
      <c r="O3474" s="86"/>
      <c r="P3474" s="86"/>
      <c r="Q3474" s="86"/>
      <c r="R3474" s="86"/>
      <c r="S3474" s="86"/>
      <c r="T3474" s="86"/>
      <c r="U3474" s="86"/>
      <c r="V3474" s="48"/>
      <c r="W3474" s="48"/>
      <c r="X3474" s="48"/>
      <c r="Y3474" s="48"/>
      <c r="Z3474" s="48"/>
      <c r="AA3474" s="48"/>
      <c r="AB3474" s="48"/>
      <c r="AC3474" s="48"/>
      <c r="AD3474" s="48"/>
      <c r="AE3474" s="48"/>
      <c r="AF3474" s="48"/>
      <c r="AG3474" s="48"/>
      <c r="AH3474" s="48"/>
      <c r="AI3474" s="48"/>
      <c r="AJ3474" s="48"/>
      <c r="AK3474" s="48"/>
      <c r="AL3474" s="48"/>
      <c r="AM3474" s="48"/>
      <c r="AN3474" s="48"/>
      <c r="AO3474" s="48"/>
      <c r="AP3474" s="48"/>
      <c r="AQ3474" s="48"/>
      <c r="AR3474" s="48"/>
      <c r="AS3474" s="48"/>
      <c r="AT3474" s="48"/>
      <c r="AU3474" s="48"/>
      <c r="AV3474" s="48"/>
      <c r="AW3474" s="48"/>
      <c r="AX3474" s="48"/>
      <c r="AY3474" s="48"/>
      <c r="AZ3474" s="48"/>
      <c r="BA3474" s="48"/>
      <c r="BB3474" s="48"/>
      <c r="BC3474" s="48"/>
      <c r="BD3474" s="48"/>
    </row>
    <row r="3475" spans="1:56">
      <c r="A3475" s="48"/>
      <c r="B3475" s="48"/>
      <c r="C3475" s="49"/>
      <c r="D3475" s="48"/>
      <c r="E3475" s="48"/>
      <c r="F3475" s="48"/>
      <c r="G3475" s="48"/>
      <c r="H3475" s="48"/>
      <c r="I3475" s="48"/>
      <c r="J3475" s="86"/>
      <c r="K3475" s="86"/>
      <c r="L3475" s="86"/>
      <c r="M3475" s="86"/>
      <c r="N3475" s="86"/>
      <c r="O3475" s="86"/>
      <c r="P3475" s="86"/>
      <c r="Q3475" s="86"/>
      <c r="R3475" s="86"/>
      <c r="S3475" s="86"/>
      <c r="T3475" s="86"/>
      <c r="U3475" s="86"/>
      <c r="V3475" s="48"/>
      <c r="W3475" s="48"/>
      <c r="X3475" s="48"/>
      <c r="Y3475" s="48"/>
      <c r="Z3475" s="48"/>
      <c r="AA3475" s="48"/>
      <c r="AB3475" s="48"/>
      <c r="AC3475" s="48"/>
      <c r="AD3475" s="48"/>
      <c r="AE3475" s="48"/>
      <c r="AF3475" s="48"/>
      <c r="AG3475" s="48"/>
      <c r="AH3475" s="48"/>
      <c r="AI3475" s="48"/>
      <c r="AJ3475" s="48"/>
      <c r="AK3475" s="48"/>
      <c r="AL3475" s="48"/>
      <c r="AM3475" s="48"/>
      <c r="AN3475" s="48"/>
      <c r="AO3475" s="48"/>
      <c r="AP3475" s="48"/>
      <c r="AQ3475" s="48"/>
      <c r="AR3475" s="48"/>
      <c r="AS3475" s="48"/>
      <c r="AT3475" s="48"/>
      <c r="AU3475" s="48"/>
      <c r="AV3475" s="48"/>
      <c r="AW3475" s="48"/>
      <c r="AX3475" s="48"/>
      <c r="AY3475" s="48"/>
      <c r="AZ3475" s="48"/>
      <c r="BA3475" s="48"/>
      <c r="BB3475" s="48"/>
      <c r="BC3475" s="48"/>
      <c r="BD3475" s="48"/>
    </row>
    <row r="3476" spans="1:56">
      <c r="A3476" s="48"/>
      <c r="B3476" s="48"/>
      <c r="C3476" s="49"/>
      <c r="D3476" s="48"/>
      <c r="E3476" s="48"/>
      <c r="F3476" s="48"/>
      <c r="G3476" s="48"/>
      <c r="H3476" s="48"/>
      <c r="I3476" s="48"/>
      <c r="J3476" s="86"/>
      <c r="K3476" s="86"/>
      <c r="L3476" s="86"/>
      <c r="M3476" s="86"/>
      <c r="N3476" s="86"/>
      <c r="O3476" s="86"/>
      <c r="P3476" s="86"/>
      <c r="Q3476" s="86"/>
      <c r="R3476" s="86"/>
      <c r="S3476" s="86"/>
      <c r="T3476" s="86"/>
      <c r="U3476" s="86"/>
      <c r="V3476" s="48"/>
      <c r="W3476" s="48"/>
      <c r="X3476" s="48"/>
      <c r="Y3476" s="48"/>
      <c r="Z3476" s="48"/>
      <c r="AA3476" s="48"/>
      <c r="AB3476" s="48"/>
      <c r="AC3476" s="48"/>
      <c r="AD3476" s="48"/>
      <c r="AE3476" s="48"/>
      <c r="AF3476" s="48"/>
      <c r="AG3476" s="48"/>
      <c r="AH3476" s="48"/>
      <c r="AI3476" s="48"/>
      <c r="AJ3476" s="48"/>
      <c r="AK3476" s="48"/>
      <c r="AL3476" s="48"/>
      <c r="AM3476" s="48"/>
      <c r="AN3476" s="48"/>
      <c r="AO3476" s="48"/>
      <c r="AP3476" s="48"/>
      <c r="AQ3476" s="48"/>
      <c r="AR3476" s="48"/>
      <c r="AS3476" s="48"/>
      <c r="AT3476" s="48"/>
      <c r="AU3476" s="48"/>
      <c r="AV3476" s="48"/>
      <c r="AW3476" s="48"/>
      <c r="AX3476" s="48"/>
      <c r="AY3476" s="48"/>
      <c r="AZ3476" s="48"/>
      <c r="BA3476" s="48"/>
      <c r="BB3476" s="48"/>
      <c r="BC3476" s="48"/>
      <c r="BD3476" s="48"/>
    </row>
    <row r="3477" spans="1:56">
      <c r="A3477" s="48"/>
      <c r="B3477" s="48"/>
      <c r="C3477" s="49"/>
      <c r="D3477" s="48"/>
      <c r="E3477" s="48"/>
      <c r="F3477" s="48"/>
      <c r="G3477" s="48"/>
      <c r="H3477" s="48"/>
      <c r="I3477" s="48"/>
      <c r="J3477" s="86"/>
      <c r="K3477" s="86"/>
      <c r="L3477" s="86"/>
      <c r="M3477" s="86"/>
      <c r="N3477" s="86"/>
      <c r="O3477" s="86"/>
      <c r="P3477" s="86"/>
      <c r="Q3477" s="86"/>
      <c r="R3477" s="86"/>
      <c r="S3477" s="86"/>
      <c r="T3477" s="86"/>
      <c r="U3477" s="86"/>
      <c r="V3477" s="48"/>
      <c r="W3477" s="48"/>
      <c r="X3477" s="48"/>
      <c r="Y3477" s="48"/>
      <c r="Z3477" s="48"/>
      <c r="AA3477" s="48"/>
      <c r="AB3477" s="48"/>
      <c r="AC3477" s="48"/>
      <c r="AD3477" s="48"/>
      <c r="AE3477" s="48"/>
      <c r="AF3477" s="48"/>
      <c r="AG3477" s="48"/>
      <c r="AH3477" s="48"/>
      <c r="AI3477" s="48"/>
      <c r="AJ3477" s="48"/>
      <c r="AK3477" s="48"/>
      <c r="AL3477" s="48"/>
      <c r="AM3477" s="48"/>
      <c r="AN3477" s="48"/>
      <c r="AO3477" s="48"/>
      <c r="AP3477" s="48"/>
      <c r="AQ3477" s="48"/>
      <c r="AR3477" s="48"/>
      <c r="AS3477" s="48"/>
      <c r="AT3477" s="48"/>
      <c r="AU3477" s="48"/>
      <c r="AV3477" s="48"/>
      <c r="AW3477" s="48"/>
      <c r="AX3477" s="48"/>
      <c r="AY3477" s="48"/>
      <c r="AZ3477" s="48"/>
      <c r="BA3477" s="48"/>
      <c r="BB3477" s="48"/>
      <c r="BC3477" s="48"/>
      <c r="BD3477" s="48"/>
    </row>
    <row r="3478" spans="1:56">
      <c r="A3478" s="48"/>
      <c r="B3478" s="48"/>
      <c r="C3478" s="49"/>
      <c r="D3478" s="48"/>
      <c r="E3478" s="48"/>
      <c r="F3478" s="48"/>
      <c r="G3478" s="48"/>
      <c r="H3478" s="48"/>
      <c r="I3478" s="48"/>
      <c r="J3478" s="86"/>
      <c r="K3478" s="86"/>
      <c r="L3478" s="86"/>
      <c r="M3478" s="86"/>
      <c r="N3478" s="86"/>
      <c r="O3478" s="86"/>
      <c r="P3478" s="86"/>
      <c r="Q3478" s="86"/>
      <c r="R3478" s="86"/>
      <c r="S3478" s="86"/>
      <c r="T3478" s="86"/>
      <c r="U3478" s="86"/>
      <c r="V3478" s="48"/>
      <c r="W3478" s="48"/>
      <c r="X3478" s="48"/>
      <c r="Y3478" s="48"/>
      <c r="Z3478" s="48"/>
      <c r="AA3478" s="48"/>
      <c r="AB3478" s="48"/>
      <c r="AC3478" s="48"/>
      <c r="AD3478" s="48"/>
      <c r="AE3478" s="48"/>
      <c r="AF3478" s="48"/>
      <c r="AG3478" s="48"/>
      <c r="AH3478" s="48"/>
      <c r="AI3478" s="48"/>
      <c r="AJ3478" s="48"/>
      <c r="AK3478" s="48"/>
      <c r="AL3478" s="48"/>
      <c r="AM3478" s="48"/>
      <c r="AN3478" s="48"/>
      <c r="AO3478" s="48"/>
      <c r="AP3478" s="48"/>
      <c r="AQ3478" s="48"/>
      <c r="AR3478" s="48"/>
      <c r="AS3478" s="48"/>
      <c r="AT3478" s="48"/>
      <c r="AU3478" s="48"/>
      <c r="AV3478" s="48"/>
      <c r="AW3478" s="48"/>
      <c r="AX3478" s="48"/>
      <c r="AY3478" s="48"/>
      <c r="AZ3478" s="48"/>
      <c r="BA3478" s="48"/>
      <c r="BB3478" s="48"/>
      <c r="BC3478" s="48"/>
      <c r="BD3478" s="48"/>
    </row>
    <row r="3479" spans="1:56">
      <c r="A3479" s="48"/>
      <c r="B3479" s="48"/>
      <c r="C3479" s="49"/>
      <c r="D3479" s="48"/>
      <c r="E3479" s="48"/>
      <c r="F3479" s="48"/>
      <c r="G3479" s="48"/>
      <c r="H3479" s="48"/>
      <c r="I3479" s="48"/>
      <c r="J3479" s="86"/>
      <c r="K3479" s="86"/>
      <c r="L3479" s="86"/>
      <c r="M3479" s="86"/>
      <c r="N3479" s="86"/>
      <c r="O3479" s="86"/>
      <c r="P3479" s="86"/>
      <c r="Q3479" s="86"/>
      <c r="R3479" s="86"/>
      <c r="S3479" s="86"/>
      <c r="T3479" s="86"/>
      <c r="U3479" s="86"/>
      <c r="V3479" s="48"/>
      <c r="W3479" s="48"/>
      <c r="X3479" s="48"/>
      <c r="Y3479" s="48"/>
      <c r="Z3479" s="48"/>
      <c r="AA3479" s="48"/>
      <c r="AB3479" s="48"/>
      <c r="AC3479" s="48"/>
      <c r="AD3479" s="48"/>
      <c r="AE3479" s="48"/>
      <c r="AF3479" s="48"/>
      <c r="AG3479" s="48"/>
      <c r="AH3479" s="48"/>
      <c r="AI3479" s="48"/>
      <c r="AJ3479" s="48"/>
      <c r="AK3479" s="48"/>
      <c r="AL3479" s="48"/>
      <c r="AM3479" s="48"/>
      <c r="AN3479" s="48"/>
      <c r="AO3479" s="48"/>
      <c r="AP3479" s="48"/>
      <c r="AQ3479" s="48"/>
      <c r="AR3479" s="48"/>
      <c r="AS3479" s="48"/>
      <c r="AT3479" s="48"/>
      <c r="AU3479" s="48"/>
      <c r="AV3479" s="48"/>
      <c r="AW3479" s="48"/>
      <c r="AX3479" s="48"/>
      <c r="AY3479" s="48"/>
      <c r="AZ3479" s="48"/>
      <c r="BA3479" s="48"/>
      <c r="BB3479" s="48"/>
      <c r="BC3479" s="48"/>
      <c r="BD3479" s="48"/>
    </row>
    <row r="3480" spans="1:56">
      <c r="A3480" s="48"/>
      <c r="B3480" s="48"/>
      <c r="C3480" s="49"/>
      <c r="D3480" s="48"/>
      <c r="E3480" s="48"/>
      <c r="F3480" s="48"/>
      <c r="G3480" s="48"/>
      <c r="H3480" s="48"/>
      <c r="I3480" s="48"/>
      <c r="J3480" s="86"/>
      <c r="K3480" s="86"/>
      <c r="L3480" s="86"/>
      <c r="M3480" s="86"/>
      <c r="N3480" s="86"/>
      <c r="O3480" s="86"/>
      <c r="P3480" s="86"/>
      <c r="Q3480" s="86"/>
      <c r="R3480" s="86"/>
      <c r="S3480" s="86"/>
      <c r="T3480" s="86"/>
      <c r="U3480" s="86"/>
      <c r="V3480" s="48"/>
      <c r="W3480" s="48"/>
      <c r="X3480" s="48"/>
      <c r="Y3480" s="48"/>
      <c r="Z3480" s="48"/>
      <c r="AA3480" s="48"/>
      <c r="AB3480" s="48"/>
      <c r="AC3480" s="48"/>
      <c r="AD3480" s="48"/>
      <c r="AE3480" s="48"/>
      <c r="AF3480" s="48"/>
      <c r="AG3480" s="48"/>
      <c r="AH3480" s="48"/>
      <c r="AI3480" s="48"/>
      <c r="AJ3480" s="48"/>
      <c r="AK3480" s="48"/>
      <c r="AL3480" s="48"/>
      <c r="AM3480" s="48"/>
      <c r="AN3480" s="48"/>
      <c r="AO3480" s="48"/>
      <c r="AP3480" s="48"/>
      <c r="AQ3480" s="48"/>
      <c r="AR3480" s="48"/>
      <c r="AS3480" s="48"/>
      <c r="AT3480" s="48"/>
      <c r="AU3480" s="48"/>
      <c r="AV3480" s="48"/>
      <c r="AW3480" s="48"/>
      <c r="AX3480" s="48"/>
      <c r="AY3480" s="48"/>
      <c r="AZ3480" s="48"/>
      <c r="BA3480" s="48"/>
      <c r="BB3480" s="48"/>
      <c r="BC3480" s="48"/>
      <c r="BD3480" s="48"/>
    </row>
    <row r="3481" spans="1:56">
      <c r="A3481" s="48"/>
      <c r="B3481" s="48"/>
      <c r="C3481" s="49"/>
      <c r="D3481" s="48"/>
      <c r="E3481" s="48"/>
      <c r="F3481" s="48"/>
      <c r="G3481" s="48"/>
      <c r="H3481" s="48"/>
      <c r="I3481" s="48"/>
      <c r="J3481" s="86"/>
      <c r="K3481" s="86"/>
      <c r="L3481" s="86"/>
      <c r="M3481" s="86"/>
      <c r="N3481" s="86"/>
      <c r="O3481" s="86"/>
      <c r="P3481" s="86"/>
      <c r="Q3481" s="86"/>
      <c r="R3481" s="86"/>
      <c r="S3481" s="86"/>
      <c r="T3481" s="86"/>
      <c r="U3481" s="86"/>
      <c r="V3481" s="48"/>
      <c r="W3481" s="48"/>
      <c r="X3481" s="48"/>
      <c r="Y3481" s="48"/>
      <c r="Z3481" s="48"/>
      <c r="AA3481" s="48"/>
      <c r="AB3481" s="48"/>
      <c r="AC3481" s="48"/>
      <c r="AD3481" s="48"/>
      <c r="AE3481" s="48"/>
      <c r="AF3481" s="48"/>
      <c r="AG3481" s="48"/>
      <c r="AH3481" s="48"/>
      <c r="AI3481" s="48"/>
      <c r="AJ3481" s="48"/>
      <c r="AK3481" s="48"/>
      <c r="AL3481" s="48"/>
      <c r="AM3481" s="48"/>
      <c r="AN3481" s="48"/>
      <c r="AO3481" s="48"/>
      <c r="AP3481" s="48"/>
      <c r="AQ3481" s="48"/>
      <c r="AR3481" s="48"/>
      <c r="AS3481" s="48"/>
      <c r="AT3481" s="48"/>
      <c r="AU3481" s="48"/>
      <c r="AV3481" s="48"/>
      <c r="AW3481" s="48"/>
      <c r="AX3481" s="48"/>
      <c r="AY3481" s="48"/>
      <c r="AZ3481" s="48"/>
      <c r="BA3481" s="48"/>
      <c r="BB3481" s="48"/>
      <c r="BC3481" s="48"/>
      <c r="BD3481" s="48"/>
    </row>
    <row r="3482" spans="1:56">
      <c r="A3482" s="48"/>
      <c r="B3482" s="48"/>
      <c r="C3482" s="49"/>
      <c r="D3482" s="48"/>
      <c r="E3482" s="48"/>
      <c r="F3482" s="48"/>
      <c r="G3482" s="48"/>
      <c r="H3482" s="48"/>
      <c r="I3482" s="48"/>
      <c r="J3482" s="86"/>
      <c r="K3482" s="86"/>
      <c r="L3482" s="86"/>
      <c r="M3482" s="86"/>
      <c r="N3482" s="86"/>
      <c r="O3482" s="86"/>
      <c r="P3482" s="86"/>
      <c r="Q3482" s="86"/>
      <c r="R3482" s="86"/>
      <c r="S3482" s="86"/>
      <c r="T3482" s="86"/>
      <c r="U3482" s="86"/>
      <c r="V3482" s="48"/>
      <c r="W3482" s="48"/>
      <c r="X3482" s="48"/>
      <c r="Y3482" s="48"/>
      <c r="Z3482" s="48"/>
      <c r="AA3482" s="48"/>
      <c r="AB3482" s="48"/>
      <c r="AC3482" s="48"/>
      <c r="AD3482" s="48"/>
      <c r="AE3482" s="48"/>
      <c r="AF3482" s="48"/>
      <c r="AG3482" s="48"/>
      <c r="AH3482" s="48"/>
      <c r="AI3482" s="48"/>
      <c r="AJ3482" s="48"/>
      <c r="AK3482" s="48"/>
      <c r="AL3482" s="48"/>
      <c r="AM3482" s="48"/>
      <c r="AN3482" s="48"/>
      <c r="AO3482" s="48"/>
      <c r="AP3482" s="48"/>
      <c r="AQ3482" s="48"/>
      <c r="AR3482" s="48"/>
      <c r="AS3482" s="48"/>
      <c r="AT3482" s="48"/>
      <c r="AU3482" s="48"/>
      <c r="AV3482" s="48"/>
      <c r="AW3482" s="48"/>
      <c r="AX3482" s="48"/>
      <c r="AY3482" s="48"/>
      <c r="AZ3482" s="48"/>
      <c r="BA3482" s="48"/>
      <c r="BB3482" s="48"/>
      <c r="BC3482" s="48"/>
      <c r="BD3482" s="48"/>
    </row>
    <row r="3483" spans="1:56">
      <c r="A3483" s="48"/>
      <c r="B3483" s="48"/>
      <c r="C3483" s="49"/>
      <c r="D3483" s="48"/>
      <c r="E3483" s="48"/>
      <c r="F3483" s="48"/>
      <c r="G3483" s="48"/>
      <c r="H3483" s="48"/>
      <c r="I3483" s="48"/>
      <c r="J3483" s="86"/>
      <c r="K3483" s="86"/>
      <c r="L3483" s="86"/>
      <c r="M3483" s="86"/>
      <c r="N3483" s="86"/>
      <c r="O3483" s="86"/>
      <c r="P3483" s="86"/>
      <c r="Q3483" s="86"/>
      <c r="R3483" s="86"/>
      <c r="S3483" s="86"/>
      <c r="T3483" s="86"/>
      <c r="U3483" s="86"/>
      <c r="V3483" s="48"/>
      <c r="W3483" s="48"/>
      <c r="X3483" s="48"/>
      <c r="Y3483" s="48"/>
      <c r="Z3483" s="48"/>
      <c r="AA3483" s="48"/>
      <c r="AB3483" s="48"/>
      <c r="AC3483" s="48"/>
      <c r="AD3483" s="48"/>
      <c r="AE3483" s="48"/>
      <c r="AF3483" s="48"/>
      <c r="AG3483" s="48"/>
      <c r="AH3483" s="48"/>
      <c r="AI3483" s="48"/>
      <c r="AJ3483" s="48"/>
      <c r="AK3483" s="48"/>
      <c r="AL3483" s="48"/>
      <c r="AM3483" s="48"/>
      <c r="AN3483" s="48"/>
      <c r="AO3483" s="48"/>
      <c r="AP3483" s="48"/>
      <c r="AQ3483" s="48"/>
      <c r="AR3483" s="48"/>
      <c r="AS3483" s="48"/>
      <c r="AT3483" s="48"/>
      <c r="AU3483" s="48"/>
      <c r="AV3483" s="48"/>
      <c r="AW3483" s="48"/>
      <c r="AX3483" s="48"/>
      <c r="AY3483" s="48"/>
      <c r="AZ3483" s="48"/>
      <c r="BA3483" s="48"/>
      <c r="BB3483" s="48"/>
      <c r="BC3483" s="48"/>
      <c r="BD3483" s="48"/>
    </row>
    <row r="3484" spans="1:56">
      <c r="A3484" s="48"/>
      <c r="B3484" s="48"/>
      <c r="C3484" s="49"/>
      <c r="D3484" s="48"/>
      <c r="E3484" s="48"/>
      <c r="F3484" s="48"/>
      <c r="G3484" s="48"/>
      <c r="H3484" s="48"/>
      <c r="I3484" s="48"/>
      <c r="J3484" s="86"/>
      <c r="K3484" s="86"/>
      <c r="L3484" s="86"/>
      <c r="M3484" s="86"/>
      <c r="N3484" s="86"/>
      <c r="O3484" s="86"/>
      <c r="P3484" s="86"/>
      <c r="Q3484" s="86"/>
      <c r="R3484" s="86"/>
      <c r="S3484" s="86"/>
      <c r="T3484" s="86"/>
      <c r="U3484" s="86"/>
      <c r="V3484" s="48"/>
      <c r="W3484" s="48"/>
      <c r="X3484" s="48"/>
      <c r="Y3484" s="48"/>
      <c r="Z3484" s="48"/>
      <c r="AA3484" s="48"/>
      <c r="AB3484" s="48"/>
      <c r="AC3484" s="48"/>
      <c r="AD3484" s="48"/>
      <c r="AE3484" s="48"/>
      <c r="AF3484" s="48"/>
      <c r="AG3484" s="48"/>
      <c r="AH3484" s="48"/>
      <c r="AI3484" s="48"/>
      <c r="AJ3484" s="48"/>
      <c r="AK3484" s="48"/>
      <c r="AL3484" s="48"/>
      <c r="AM3484" s="48"/>
      <c r="AN3484" s="48"/>
      <c r="AO3484" s="48"/>
      <c r="AP3484" s="48"/>
      <c r="AQ3484" s="48"/>
      <c r="AR3484" s="48"/>
      <c r="AS3484" s="48"/>
      <c r="AT3484" s="48"/>
      <c r="AU3484" s="48"/>
      <c r="AV3484" s="48"/>
      <c r="AW3484" s="48"/>
      <c r="AX3484" s="48"/>
      <c r="AY3484" s="48"/>
      <c r="AZ3484" s="48"/>
      <c r="BA3484" s="48"/>
      <c r="BB3484" s="48"/>
      <c r="BC3484" s="48"/>
      <c r="BD3484" s="48"/>
    </row>
    <row r="3485" spans="1:56">
      <c r="A3485" s="48"/>
      <c r="B3485" s="48"/>
      <c r="C3485" s="49"/>
      <c r="D3485" s="48"/>
      <c r="E3485" s="48"/>
      <c r="F3485" s="48"/>
      <c r="G3485" s="48"/>
      <c r="H3485" s="48"/>
      <c r="I3485" s="48"/>
      <c r="J3485" s="86"/>
      <c r="K3485" s="86"/>
      <c r="L3485" s="86"/>
      <c r="M3485" s="86"/>
      <c r="N3485" s="86"/>
      <c r="O3485" s="86"/>
      <c r="P3485" s="86"/>
      <c r="Q3485" s="86"/>
      <c r="R3485" s="86"/>
      <c r="S3485" s="86"/>
      <c r="T3485" s="86"/>
      <c r="U3485" s="86"/>
      <c r="V3485" s="48"/>
      <c r="W3485" s="48"/>
      <c r="X3485" s="48"/>
      <c r="Y3485" s="48"/>
      <c r="Z3485" s="48"/>
      <c r="AA3485" s="48"/>
      <c r="AB3485" s="48"/>
      <c r="AC3485" s="48"/>
      <c r="AD3485" s="48"/>
      <c r="AE3485" s="48"/>
      <c r="AF3485" s="48"/>
      <c r="AG3485" s="48"/>
      <c r="AH3485" s="48"/>
      <c r="AI3485" s="48"/>
      <c r="AJ3485" s="48"/>
      <c r="AK3485" s="48"/>
      <c r="AL3485" s="48"/>
      <c r="AM3485" s="48"/>
      <c r="AN3485" s="48"/>
      <c r="AO3485" s="48"/>
      <c r="AP3485" s="48"/>
      <c r="AQ3485" s="48"/>
      <c r="AR3485" s="48"/>
      <c r="AS3485" s="48"/>
      <c r="AT3485" s="48"/>
      <c r="AU3485" s="48"/>
      <c r="AV3485" s="48"/>
      <c r="AW3485" s="48"/>
      <c r="AX3485" s="48"/>
      <c r="AY3485" s="48"/>
      <c r="AZ3485" s="48"/>
      <c r="BA3485" s="48"/>
      <c r="BB3485" s="48"/>
      <c r="BC3485" s="48"/>
      <c r="BD3485" s="48"/>
    </row>
    <row r="3486" spans="1:56">
      <c r="A3486" s="48"/>
      <c r="B3486" s="48"/>
      <c r="C3486" s="49"/>
      <c r="D3486" s="48"/>
      <c r="E3486" s="48"/>
      <c r="F3486" s="48"/>
      <c r="G3486" s="48"/>
      <c r="H3486" s="48"/>
      <c r="I3486" s="48"/>
      <c r="J3486" s="86"/>
      <c r="K3486" s="86"/>
      <c r="L3486" s="86"/>
      <c r="M3486" s="86"/>
      <c r="N3486" s="86"/>
      <c r="O3486" s="86"/>
      <c r="P3486" s="86"/>
      <c r="Q3486" s="86"/>
      <c r="R3486" s="86"/>
      <c r="S3486" s="86"/>
      <c r="T3486" s="86"/>
      <c r="U3486" s="86"/>
      <c r="V3486" s="48"/>
      <c r="W3486" s="48"/>
      <c r="X3486" s="48"/>
      <c r="Y3486" s="48"/>
      <c r="Z3486" s="48"/>
      <c r="AA3486" s="48"/>
      <c r="AB3486" s="48"/>
      <c r="AC3486" s="48"/>
      <c r="AD3486" s="48"/>
      <c r="AE3486" s="48"/>
      <c r="AF3486" s="48"/>
      <c r="AG3486" s="48"/>
      <c r="AH3486" s="48"/>
      <c r="AI3486" s="48"/>
      <c r="AJ3486" s="48"/>
      <c r="AK3486" s="48"/>
      <c r="AL3486" s="48"/>
      <c r="AM3486" s="48"/>
      <c r="AN3486" s="48"/>
      <c r="AO3486" s="48"/>
      <c r="AP3486" s="48"/>
      <c r="AQ3486" s="48"/>
      <c r="AR3486" s="48"/>
      <c r="AS3486" s="48"/>
      <c r="AT3486" s="48"/>
      <c r="AU3486" s="48"/>
      <c r="AV3486" s="48"/>
      <c r="AW3486" s="48"/>
      <c r="AX3486" s="48"/>
      <c r="AY3486" s="48"/>
      <c r="AZ3486" s="48"/>
      <c r="BA3486" s="48"/>
      <c r="BB3486" s="48"/>
      <c r="BC3486" s="48"/>
      <c r="BD3486" s="48"/>
    </row>
    <row r="3487" spans="1:56">
      <c r="A3487" s="48"/>
      <c r="B3487" s="48"/>
      <c r="C3487" s="49"/>
      <c r="D3487" s="48"/>
      <c r="E3487" s="48"/>
      <c r="F3487" s="48"/>
      <c r="G3487" s="48"/>
      <c r="H3487" s="48"/>
      <c r="I3487" s="48"/>
      <c r="J3487" s="86"/>
      <c r="K3487" s="86"/>
      <c r="L3487" s="86"/>
      <c r="M3487" s="86"/>
      <c r="N3487" s="86"/>
      <c r="O3487" s="86"/>
      <c r="P3487" s="86"/>
      <c r="Q3487" s="86"/>
      <c r="R3487" s="86"/>
      <c r="S3487" s="86"/>
      <c r="T3487" s="86"/>
      <c r="U3487" s="86"/>
      <c r="V3487" s="48"/>
      <c r="W3487" s="48"/>
      <c r="X3487" s="48"/>
      <c r="Y3487" s="48"/>
      <c r="Z3487" s="48"/>
      <c r="AA3487" s="48"/>
      <c r="AB3487" s="48"/>
      <c r="AC3487" s="48"/>
      <c r="AD3487" s="48"/>
      <c r="AE3487" s="48"/>
      <c r="AF3487" s="48"/>
      <c r="AG3487" s="48"/>
      <c r="AH3487" s="48"/>
      <c r="AI3487" s="48"/>
      <c r="AJ3487" s="48"/>
      <c r="AK3487" s="48"/>
      <c r="AL3487" s="48"/>
      <c r="AM3487" s="48"/>
      <c r="AN3487" s="48"/>
      <c r="AO3487" s="48"/>
      <c r="AP3487" s="48"/>
      <c r="AQ3487" s="48"/>
      <c r="AR3487" s="48"/>
      <c r="AS3487" s="48"/>
      <c r="AT3487" s="48"/>
      <c r="AU3487" s="48"/>
      <c r="AV3487" s="48"/>
      <c r="AW3487" s="48"/>
      <c r="AX3487" s="48"/>
      <c r="AY3487" s="48"/>
      <c r="AZ3487" s="48"/>
      <c r="BA3487" s="48"/>
      <c r="BB3487" s="48"/>
      <c r="BC3487" s="48"/>
      <c r="BD3487" s="48"/>
    </row>
    <row r="3488" spans="1:56">
      <c r="A3488" s="48"/>
      <c r="B3488" s="48"/>
      <c r="C3488" s="49"/>
      <c r="D3488" s="48"/>
      <c r="E3488" s="48"/>
      <c r="F3488" s="48"/>
      <c r="G3488" s="48"/>
      <c r="H3488" s="48"/>
      <c r="I3488" s="48"/>
      <c r="J3488" s="86"/>
      <c r="K3488" s="86"/>
      <c r="L3488" s="86"/>
      <c r="M3488" s="86"/>
      <c r="N3488" s="86"/>
      <c r="O3488" s="86"/>
      <c r="P3488" s="86"/>
      <c r="Q3488" s="86"/>
      <c r="R3488" s="86"/>
      <c r="S3488" s="86"/>
      <c r="T3488" s="86"/>
      <c r="U3488" s="86"/>
      <c r="V3488" s="48"/>
      <c r="W3488" s="48"/>
      <c r="X3488" s="48"/>
      <c r="Y3488" s="48"/>
      <c r="Z3488" s="48"/>
      <c r="AA3488" s="48"/>
      <c r="AB3488" s="48"/>
      <c r="AC3488" s="48"/>
      <c r="AD3488" s="48"/>
      <c r="AE3488" s="48"/>
      <c r="AF3488" s="48"/>
      <c r="AG3488" s="48"/>
      <c r="AH3488" s="48"/>
      <c r="AI3488" s="48"/>
      <c r="AJ3488" s="48"/>
      <c r="AK3488" s="48"/>
      <c r="AL3488" s="48"/>
      <c r="AM3488" s="48"/>
      <c r="AN3488" s="48"/>
      <c r="AO3488" s="48"/>
      <c r="AP3488" s="48"/>
      <c r="AQ3488" s="48"/>
      <c r="AR3488" s="48"/>
      <c r="AS3488" s="48"/>
      <c r="AT3488" s="48"/>
      <c r="AU3488" s="48"/>
      <c r="AV3488" s="48"/>
      <c r="AW3488" s="48"/>
      <c r="AX3488" s="48"/>
      <c r="AY3488" s="48"/>
      <c r="AZ3488" s="48"/>
      <c r="BA3488" s="48"/>
      <c r="BB3488" s="48"/>
      <c r="BC3488" s="48"/>
      <c r="BD3488" s="48"/>
    </row>
    <row r="3489" spans="1:56">
      <c r="A3489" s="48"/>
      <c r="B3489" s="48"/>
      <c r="C3489" s="49"/>
      <c r="D3489" s="48"/>
      <c r="E3489" s="48"/>
      <c r="F3489" s="48"/>
      <c r="G3489" s="48"/>
      <c r="H3489" s="48"/>
      <c r="I3489" s="48"/>
      <c r="J3489" s="86"/>
      <c r="K3489" s="86"/>
      <c r="L3489" s="86"/>
      <c r="M3489" s="86"/>
      <c r="N3489" s="86"/>
      <c r="O3489" s="86"/>
      <c r="P3489" s="86"/>
      <c r="Q3489" s="86"/>
      <c r="R3489" s="86"/>
      <c r="S3489" s="86"/>
      <c r="T3489" s="86"/>
      <c r="U3489" s="86"/>
      <c r="V3489" s="48"/>
      <c r="W3489" s="48"/>
      <c r="X3489" s="48"/>
      <c r="Y3489" s="48"/>
      <c r="Z3489" s="48"/>
      <c r="AA3489" s="48"/>
      <c r="AB3489" s="48"/>
      <c r="AC3489" s="48"/>
      <c r="AD3489" s="48"/>
      <c r="AE3489" s="48"/>
      <c r="AF3489" s="48"/>
      <c r="AG3489" s="48"/>
      <c r="AH3489" s="48"/>
      <c r="AI3489" s="48"/>
      <c r="AJ3489" s="48"/>
      <c r="AK3489" s="48"/>
      <c r="AL3489" s="48"/>
      <c r="AM3489" s="48"/>
      <c r="AN3489" s="48"/>
      <c r="AO3489" s="48"/>
      <c r="AP3489" s="48"/>
      <c r="AQ3489" s="48"/>
      <c r="AR3489" s="48"/>
      <c r="AS3489" s="48"/>
      <c r="AT3489" s="48"/>
      <c r="AU3489" s="48"/>
      <c r="AV3489" s="48"/>
      <c r="AW3489" s="48"/>
      <c r="AX3489" s="48"/>
      <c r="AY3489" s="48"/>
      <c r="AZ3489" s="48"/>
      <c r="BA3489" s="48"/>
      <c r="BB3489" s="48"/>
      <c r="BC3489" s="48"/>
      <c r="BD3489" s="48"/>
    </row>
    <row r="3490" spans="1:56">
      <c r="A3490" s="48"/>
      <c r="B3490" s="48"/>
      <c r="C3490" s="49"/>
      <c r="D3490" s="48"/>
      <c r="E3490" s="48"/>
      <c r="F3490" s="48"/>
      <c r="G3490" s="48"/>
      <c r="H3490" s="48"/>
      <c r="I3490" s="48"/>
      <c r="J3490" s="86"/>
      <c r="K3490" s="86"/>
      <c r="L3490" s="86"/>
      <c r="M3490" s="86"/>
      <c r="N3490" s="86"/>
      <c r="O3490" s="86"/>
      <c r="P3490" s="86"/>
      <c r="Q3490" s="86"/>
      <c r="R3490" s="86"/>
      <c r="S3490" s="86"/>
      <c r="T3490" s="86"/>
      <c r="U3490" s="86"/>
      <c r="V3490" s="48"/>
      <c r="W3490" s="48"/>
      <c r="X3490" s="48"/>
      <c r="Y3490" s="48"/>
      <c r="Z3490" s="48"/>
      <c r="AA3490" s="48"/>
      <c r="AB3490" s="48"/>
      <c r="AC3490" s="48"/>
      <c r="AD3490" s="48"/>
      <c r="AE3490" s="48"/>
      <c r="AF3490" s="48"/>
      <c r="AG3490" s="48"/>
      <c r="AH3490" s="48"/>
      <c r="AI3490" s="48"/>
      <c r="AJ3490" s="48"/>
      <c r="AK3490" s="48"/>
      <c r="AL3490" s="48"/>
      <c r="AM3490" s="48"/>
      <c r="AN3490" s="48"/>
      <c r="AO3490" s="48"/>
      <c r="AP3490" s="48"/>
      <c r="AQ3490" s="48"/>
      <c r="AR3490" s="48"/>
      <c r="AS3490" s="48"/>
      <c r="AT3490" s="48"/>
      <c r="AU3490" s="48"/>
      <c r="AV3490" s="48"/>
      <c r="AW3490" s="48"/>
      <c r="AX3490" s="48"/>
      <c r="AY3490" s="48"/>
      <c r="AZ3490" s="48"/>
      <c r="BA3490" s="48"/>
      <c r="BB3490" s="48"/>
      <c r="BC3490" s="48"/>
      <c r="BD3490" s="48"/>
    </row>
    <row r="3491" spans="1:56">
      <c r="A3491" s="48"/>
      <c r="B3491" s="48"/>
      <c r="C3491" s="49"/>
      <c r="D3491" s="48"/>
      <c r="E3491" s="48"/>
      <c r="F3491" s="48"/>
      <c r="G3491" s="48"/>
      <c r="H3491" s="48"/>
      <c r="I3491" s="48"/>
      <c r="J3491" s="86"/>
      <c r="K3491" s="86"/>
      <c r="L3491" s="86"/>
      <c r="M3491" s="86"/>
      <c r="N3491" s="86"/>
      <c r="O3491" s="86"/>
      <c r="P3491" s="86"/>
      <c r="Q3491" s="86"/>
      <c r="R3491" s="86"/>
      <c r="S3491" s="86"/>
      <c r="T3491" s="86"/>
      <c r="U3491" s="86"/>
      <c r="V3491" s="48"/>
      <c r="W3491" s="48"/>
      <c r="X3491" s="48"/>
      <c r="Y3491" s="48"/>
      <c r="Z3491" s="48"/>
      <c r="AA3491" s="48"/>
      <c r="AB3491" s="48"/>
      <c r="AC3491" s="48"/>
      <c r="AD3491" s="48"/>
      <c r="AE3491" s="48"/>
      <c r="AF3491" s="48"/>
      <c r="AG3491" s="48"/>
      <c r="AH3491" s="48"/>
      <c r="AI3491" s="48"/>
      <c r="AJ3491" s="48"/>
      <c r="AK3491" s="48"/>
      <c r="AL3491" s="48"/>
      <c r="AM3491" s="48"/>
      <c r="AN3491" s="48"/>
      <c r="AO3491" s="48"/>
      <c r="AP3491" s="48"/>
      <c r="AQ3491" s="48"/>
      <c r="AR3491" s="48"/>
      <c r="AS3491" s="48"/>
      <c r="AT3491" s="48"/>
      <c r="AU3491" s="48"/>
      <c r="AV3491" s="48"/>
      <c r="AW3491" s="48"/>
      <c r="AX3491" s="48"/>
      <c r="AY3491" s="48"/>
      <c r="AZ3491" s="48"/>
      <c r="BA3491" s="48"/>
      <c r="BB3491" s="48"/>
      <c r="BC3491" s="48"/>
      <c r="BD3491" s="48"/>
    </row>
    <row r="3492" spans="1:56">
      <c r="A3492" s="48"/>
      <c r="B3492" s="48"/>
      <c r="C3492" s="49"/>
      <c r="D3492" s="48"/>
      <c r="E3492" s="48"/>
      <c r="F3492" s="48"/>
      <c r="G3492" s="48"/>
      <c r="H3492" s="48"/>
      <c r="I3492" s="48"/>
      <c r="J3492" s="86"/>
      <c r="K3492" s="86"/>
      <c r="L3492" s="86"/>
      <c r="M3492" s="86"/>
      <c r="N3492" s="86"/>
      <c r="O3492" s="86"/>
      <c r="P3492" s="86"/>
      <c r="Q3492" s="86"/>
      <c r="R3492" s="86"/>
      <c r="S3492" s="86"/>
      <c r="T3492" s="86"/>
      <c r="U3492" s="86"/>
      <c r="V3492" s="48"/>
      <c r="W3492" s="48"/>
      <c r="X3492" s="48"/>
      <c r="Y3492" s="48"/>
      <c r="Z3492" s="48"/>
      <c r="AA3492" s="48"/>
      <c r="AB3492" s="48"/>
      <c r="AC3492" s="48"/>
      <c r="AD3492" s="48"/>
      <c r="AE3492" s="48"/>
      <c r="AF3492" s="48"/>
      <c r="AG3492" s="48"/>
      <c r="AH3492" s="48"/>
      <c r="AI3492" s="48"/>
      <c r="AJ3492" s="48"/>
      <c r="AK3492" s="48"/>
      <c r="AL3492" s="48"/>
      <c r="AM3492" s="48"/>
      <c r="AN3492" s="48"/>
      <c r="AO3492" s="48"/>
      <c r="AP3492" s="48"/>
      <c r="AQ3492" s="48"/>
      <c r="AR3492" s="48"/>
      <c r="AS3492" s="48"/>
      <c r="AT3492" s="48"/>
      <c r="AU3492" s="48"/>
      <c r="AV3492" s="48"/>
      <c r="AW3492" s="48"/>
      <c r="AX3492" s="48"/>
      <c r="AY3492" s="48"/>
      <c r="AZ3492" s="48"/>
      <c r="BA3492" s="48"/>
      <c r="BB3492" s="48"/>
      <c r="BC3492" s="48"/>
      <c r="BD3492" s="48"/>
    </row>
    <row r="3493" spans="1:56">
      <c r="A3493" s="48"/>
      <c r="B3493" s="48"/>
      <c r="C3493" s="49"/>
      <c r="D3493" s="48"/>
      <c r="E3493" s="48"/>
      <c r="F3493" s="48"/>
      <c r="G3493" s="48"/>
      <c r="H3493" s="48"/>
      <c r="I3493" s="48"/>
      <c r="J3493" s="86"/>
      <c r="K3493" s="86"/>
      <c r="L3493" s="86"/>
      <c r="M3493" s="86"/>
      <c r="N3493" s="86"/>
      <c r="O3493" s="86"/>
      <c r="P3493" s="86"/>
      <c r="Q3493" s="86"/>
      <c r="R3493" s="86"/>
      <c r="S3493" s="86"/>
      <c r="T3493" s="86"/>
      <c r="U3493" s="86"/>
      <c r="V3493" s="48"/>
      <c r="W3493" s="48"/>
      <c r="X3493" s="48"/>
      <c r="Y3493" s="48"/>
      <c r="Z3493" s="48"/>
      <c r="AA3493" s="48"/>
      <c r="AB3493" s="48"/>
      <c r="AC3493" s="48"/>
      <c r="AD3493" s="48"/>
      <c r="AE3493" s="48"/>
      <c r="AF3493" s="48"/>
      <c r="AG3493" s="48"/>
      <c r="AH3493" s="48"/>
      <c r="AI3493" s="48"/>
      <c r="AJ3493" s="48"/>
      <c r="AK3493" s="48"/>
      <c r="AL3493" s="48"/>
      <c r="AM3493" s="48"/>
      <c r="AN3493" s="48"/>
      <c r="AO3493" s="48"/>
      <c r="AP3493" s="48"/>
      <c r="AQ3493" s="48"/>
      <c r="AR3493" s="48"/>
      <c r="AS3493" s="48"/>
      <c r="AT3493" s="48"/>
      <c r="AU3493" s="48"/>
      <c r="AV3493" s="48"/>
      <c r="AW3493" s="48"/>
      <c r="AX3493" s="48"/>
      <c r="AY3493" s="48"/>
      <c r="AZ3493" s="48"/>
      <c r="BA3493" s="48"/>
      <c r="BB3493" s="48"/>
      <c r="BC3493" s="48"/>
      <c r="BD3493" s="48"/>
    </row>
    <row r="3494" spans="1:56">
      <c r="A3494" s="48"/>
      <c r="B3494" s="48"/>
      <c r="C3494" s="49"/>
      <c r="D3494" s="48"/>
      <c r="E3494" s="48"/>
      <c r="F3494" s="48"/>
      <c r="G3494" s="48"/>
      <c r="H3494" s="48"/>
      <c r="I3494" s="48"/>
      <c r="J3494" s="86"/>
      <c r="K3494" s="86"/>
      <c r="L3494" s="86"/>
      <c r="M3494" s="86"/>
      <c r="N3494" s="86"/>
      <c r="O3494" s="86"/>
      <c r="P3494" s="86"/>
      <c r="Q3494" s="86"/>
      <c r="R3494" s="86"/>
      <c r="S3494" s="86"/>
      <c r="T3494" s="86"/>
      <c r="U3494" s="86"/>
      <c r="V3494" s="48"/>
      <c r="W3494" s="48"/>
      <c r="X3494" s="48"/>
      <c r="Y3494" s="48"/>
      <c r="Z3494" s="48"/>
      <c r="AA3494" s="48"/>
      <c r="AB3494" s="48"/>
      <c r="AC3494" s="48"/>
      <c r="AD3494" s="48"/>
      <c r="AE3494" s="48"/>
      <c r="AF3494" s="48"/>
      <c r="AG3494" s="48"/>
      <c r="AH3494" s="48"/>
      <c r="AI3494" s="48"/>
      <c r="AJ3494" s="48"/>
      <c r="AK3494" s="48"/>
      <c r="AL3494" s="48"/>
      <c r="AM3494" s="48"/>
      <c r="AN3494" s="48"/>
      <c r="AO3494" s="48"/>
      <c r="AP3494" s="48"/>
      <c r="AQ3494" s="48"/>
      <c r="AR3494" s="48"/>
      <c r="AS3494" s="48"/>
      <c r="AT3494" s="48"/>
      <c r="AU3494" s="48"/>
      <c r="AV3494" s="48"/>
      <c r="AW3494" s="48"/>
      <c r="AX3494" s="48"/>
      <c r="AY3494" s="48"/>
      <c r="AZ3494" s="48"/>
      <c r="BA3494" s="48"/>
      <c r="BB3494" s="48"/>
      <c r="BC3494" s="48"/>
      <c r="BD3494" s="48"/>
    </row>
    <row r="3495" spans="1:56">
      <c r="A3495" s="48"/>
      <c r="B3495" s="48"/>
      <c r="C3495" s="49"/>
      <c r="D3495" s="48"/>
      <c r="E3495" s="48"/>
      <c r="F3495" s="48"/>
      <c r="G3495" s="48"/>
      <c r="H3495" s="48"/>
      <c r="I3495" s="48"/>
      <c r="J3495" s="86"/>
      <c r="K3495" s="86"/>
      <c r="L3495" s="86"/>
      <c r="M3495" s="86"/>
      <c r="N3495" s="86"/>
      <c r="O3495" s="86"/>
      <c r="P3495" s="86"/>
      <c r="Q3495" s="86"/>
      <c r="R3495" s="86"/>
      <c r="S3495" s="86"/>
      <c r="T3495" s="86"/>
      <c r="U3495" s="86"/>
      <c r="V3495" s="48"/>
      <c r="W3495" s="48"/>
      <c r="X3495" s="48"/>
      <c r="Y3495" s="48"/>
      <c r="Z3495" s="48"/>
      <c r="AA3495" s="48"/>
      <c r="AB3495" s="48"/>
      <c r="AC3495" s="48"/>
      <c r="AD3495" s="48"/>
      <c r="AE3495" s="48"/>
      <c r="AF3495" s="48"/>
      <c r="AG3495" s="48"/>
      <c r="AH3495" s="48"/>
      <c r="AI3495" s="48"/>
      <c r="AJ3495" s="48"/>
      <c r="AK3495" s="48"/>
      <c r="AL3495" s="48"/>
      <c r="AM3495" s="48"/>
      <c r="AN3495" s="48"/>
      <c r="AO3495" s="48"/>
      <c r="AP3495" s="48"/>
      <c r="AQ3495" s="48"/>
      <c r="AR3495" s="48"/>
      <c r="AS3495" s="48"/>
      <c r="AT3495" s="48"/>
      <c r="AU3495" s="48"/>
      <c r="AV3495" s="48"/>
      <c r="AW3495" s="48"/>
      <c r="AX3495" s="48"/>
      <c r="AY3495" s="48"/>
      <c r="AZ3495" s="48"/>
      <c r="BA3495" s="48"/>
      <c r="BB3495" s="48"/>
      <c r="BC3495" s="48"/>
      <c r="BD3495" s="48"/>
    </row>
    <row r="3496" spans="1:56">
      <c r="A3496" s="48"/>
      <c r="B3496" s="48"/>
      <c r="C3496" s="49"/>
      <c r="D3496" s="48"/>
      <c r="E3496" s="48"/>
      <c r="F3496" s="48"/>
      <c r="G3496" s="48"/>
      <c r="H3496" s="48"/>
      <c r="I3496" s="48"/>
      <c r="J3496" s="86"/>
      <c r="K3496" s="86"/>
      <c r="L3496" s="86"/>
      <c r="M3496" s="86"/>
      <c r="N3496" s="86"/>
      <c r="O3496" s="86"/>
      <c r="P3496" s="86"/>
      <c r="Q3496" s="86"/>
      <c r="R3496" s="86"/>
      <c r="S3496" s="86"/>
      <c r="T3496" s="86"/>
      <c r="U3496" s="86"/>
      <c r="V3496" s="48"/>
      <c r="W3496" s="48"/>
      <c r="X3496" s="48"/>
      <c r="Y3496" s="48"/>
      <c r="Z3496" s="48"/>
      <c r="AA3496" s="48"/>
      <c r="AB3496" s="48"/>
      <c r="AC3496" s="48"/>
      <c r="AD3496" s="48"/>
      <c r="AE3496" s="48"/>
      <c r="AF3496" s="48"/>
      <c r="AG3496" s="48"/>
      <c r="AH3496" s="48"/>
      <c r="AI3496" s="48"/>
      <c r="AJ3496" s="48"/>
      <c r="AK3496" s="48"/>
      <c r="AL3496" s="48"/>
      <c r="AM3496" s="48"/>
      <c r="AN3496" s="48"/>
      <c r="AO3496" s="48"/>
      <c r="AP3496" s="48"/>
      <c r="AQ3496" s="48"/>
      <c r="AR3496" s="48"/>
      <c r="AS3496" s="48"/>
      <c r="AT3496" s="48"/>
      <c r="AU3496" s="48"/>
      <c r="AV3496" s="48"/>
      <c r="AW3496" s="48"/>
      <c r="AX3496" s="48"/>
      <c r="AY3496" s="48"/>
      <c r="AZ3496" s="48"/>
      <c r="BA3496" s="48"/>
      <c r="BB3496" s="48"/>
      <c r="BC3496" s="48"/>
      <c r="BD3496" s="48"/>
    </row>
    <row r="3497" spans="1:56">
      <c r="A3497" s="48"/>
      <c r="B3497" s="48"/>
      <c r="C3497" s="49"/>
      <c r="D3497" s="48"/>
      <c r="E3497" s="48"/>
      <c r="F3497" s="48"/>
      <c r="G3497" s="48"/>
      <c r="H3497" s="48"/>
      <c r="I3497" s="48"/>
      <c r="J3497" s="86"/>
      <c r="K3497" s="86"/>
      <c r="L3497" s="86"/>
      <c r="M3497" s="86"/>
      <c r="N3497" s="86"/>
      <c r="O3497" s="86"/>
      <c r="P3497" s="86"/>
      <c r="Q3497" s="86"/>
      <c r="R3497" s="86"/>
      <c r="S3497" s="86"/>
      <c r="T3497" s="86"/>
      <c r="U3497" s="86"/>
      <c r="V3497" s="48"/>
      <c r="W3497" s="48"/>
      <c r="X3497" s="48"/>
      <c r="Y3497" s="48"/>
      <c r="Z3497" s="48"/>
      <c r="AA3497" s="48"/>
      <c r="AB3497" s="48"/>
      <c r="AC3497" s="48"/>
      <c r="AD3497" s="48"/>
      <c r="AE3497" s="48"/>
      <c r="AF3497" s="48"/>
      <c r="AG3497" s="48"/>
      <c r="AH3497" s="48"/>
      <c r="AI3497" s="48"/>
      <c r="AJ3497" s="48"/>
      <c r="AK3497" s="48"/>
      <c r="AL3497" s="48"/>
      <c r="AM3497" s="48"/>
      <c r="AN3497" s="48"/>
      <c r="AO3497" s="48"/>
      <c r="AP3497" s="48"/>
      <c r="AQ3497" s="48"/>
      <c r="AR3497" s="48"/>
      <c r="AS3497" s="48"/>
      <c r="AT3497" s="48"/>
      <c r="AU3497" s="48"/>
      <c r="AV3497" s="48"/>
      <c r="AW3497" s="48"/>
      <c r="AX3497" s="48"/>
      <c r="AY3497" s="48"/>
      <c r="AZ3497" s="48"/>
      <c r="BA3497" s="48"/>
      <c r="BB3497" s="48"/>
      <c r="BC3497" s="48"/>
      <c r="BD3497" s="48"/>
    </row>
    <row r="3498" spans="1:56">
      <c r="A3498" s="48"/>
      <c r="B3498" s="48"/>
      <c r="C3498" s="49"/>
      <c r="D3498" s="48"/>
      <c r="E3498" s="48"/>
      <c r="F3498" s="48"/>
      <c r="G3498" s="48"/>
      <c r="H3498" s="48"/>
      <c r="I3498" s="48"/>
      <c r="J3498" s="86"/>
      <c r="K3498" s="86"/>
      <c r="L3498" s="86"/>
      <c r="M3498" s="86"/>
      <c r="N3498" s="86"/>
      <c r="O3498" s="86"/>
      <c r="P3498" s="86"/>
      <c r="Q3498" s="86"/>
      <c r="R3498" s="86"/>
      <c r="S3498" s="86"/>
      <c r="T3498" s="86"/>
      <c r="U3498" s="86"/>
      <c r="V3498" s="48"/>
      <c r="W3498" s="48"/>
      <c r="X3498" s="48"/>
      <c r="Y3498" s="48"/>
      <c r="Z3498" s="48"/>
      <c r="AA3498" s="48"/>
      <c r="AB3498" s="48"/>
      <c r="AC3498" s="48"/>
      <c r="AD3498" s="48"/>
      <c r="AE3498" s="48"/>
      <c r="AF3498" s="48"/>
      <c r="AG3498" s="48"/>
      <c r="AH3498" s="48"/>
      <c r="AI3498" s="48"/>
      <c r="AJ3498" s="48"/>
      <c r="AK3498" s="48"/>
      <c r="AL3498" s="48"/>
      <c r="AM3498" s="48"/>
      <c r="AN3498" s="48"/>
      <c r="AO3498" s="48"/>
      <c r="AP3498" s="48"/>
      <c r="AQ3498" s="48"/>
      <c r="AR3498" s="48"/>
      <c r="AS3498" s="48"/>
      <c r="AT3498" s="48"/>
      <c r="AU3498" s="48"/>
      <c r="AV3498" s="48"/>
      <c r="AW3498" s="48"/>
      <c r="AX3498" s="48"/>
      <c r="AY3498" s="48"/>
      <c r="AZ3498" s="48"/>
      <c r="BA3498" s="48"/>
      <c r="BB3498" s="48"/>
      <c r="BC3498" s="48"/>
      <c r="BD3498" s="48"/>
    </row>
    <row r="3499" spans="1:56">
      <c r="A3499" s="48"/>
      <c r="B3499" s="48"/>
      <c r="C3499" s="49"/>
      <c r="D3499" s="48"/>
      <c r="E3499" s="48"/>
      <c r="F3499" s="48"/>
      <c r="G3499" s="48"/>
      <c r="H3499" s="48"/>
      <c r="I3499" s="48"/>
      <c r="J3499" s="86"/>
      <c r="K3499" s="86"/>
      <c r="L3499" s="86"/>
      <c r="M3499" s="86"/>
      <c r="N3499" s="86"/>
      <c r="O3499" s="86"/>
      <c r="P3499" s="86"/>
      <c r="Q3499" s="86"/>
      <c r="R3499" s="86"/>
      <c r="S3499" s="86"/>
      <c r="T3499" s="86"/>
      <c r="U3499" s="86"/>
      <c r="V3499" s="48"/>
      <c r="W3499" s="48"/>
      <c r="X3499" s="48"/>
      <c r="Y3499" s="48"/>
      <c r="Z3499" s="48"/>
      <c r="AA3499" s="48"/>
      <c r="AB3499" s="48"/>
      <c r="AC3499" s="48"/>
      <c r="AD3499" s="48"/>
      <c r="AE3499" s="48"/>
      <c r="AF3499" s="48"/>
      <c r="AG3499" s="48"/>
      <c r="AH3499" s="48"/>
      <c r="AI3499" s="48"/>
      <c r="AJ3499" s="48"/>
      <c r="AK3499" s="48"/>
      <c r="AL3499" s="48"/>
      <c r="AM3499" s="48"/>
      <c r="AN3499" s="48"/>
      <c r="AO3499" s="48"/>
      <c r="AP3499" s="48"/>
      <c r="AQ3499" s="48"/>
      <c r="AR3499" s="48"/>
      <c r="AS3499" s="48"/>
      <c r="AT3499" s="48"/>
      <c r="AU3499" s="48"/>
      <c r="AV3499" s="48"/>
      <c r="AW3499" s="48"/>
      <c r="AX3499" s="48"/>
      <c r="AY3499" s="48"/>
      <c r="AZ3499" s="48"/>
      <c r="BA3499" s="48"/>
      <c r="BB3499" s="48"/>
      <c r="BC3499" s="48"/>
      <c r="BD3499" s="48"/>
    </row>
    <row r="3500" spans="1:56">
      <c r="A3500" s="48"/>
      <c r="B3500" s="48"/>
      <c r="C3500" s="49"/>
      <c r="D3500" s="48"/>
      <c r="E3500" s="48"/>
      <c r="F3500" s="48"/>
      <c r="G3500" s="48"/>
      <c r="H3500" s="48"/>
      <c r="I3500" s="48"/>
      <c r="J3500" s="86"/>
      <c r="K3500" s="86"/>
      <c r="L3500" s="86"/>
      <c r="M3500" s="86"/>
      <c r="N3500" s="86"/>
      <c r="O3500" s="86"/>
      <c r="P3500" s="86"/>
      <c r="Q3500" s="86"/>
      <c r="R3500" s="86"/>
      <c r="S3500" s="86"/>
      <c r="T3500" s="86"/>
      <c r="U3500" s="86"/>
      <c r="V3500" s="48"/>
      <c r="W3500" s="48"/>
      <c r="X3500" s="48"/>
      <c r="Y3500" s="48"/>
      <c r="Z3500" s="48"/>
      <c r="AA3500" s="48"/>
      <c r="AB3500" s="48"/>
      <c r="AC3500" s="48"/>
      <c r="AD3500" s="48"/>
      <c r="AE3500" s="48"/>
      <c r="AF3500" s="48"/>
      <c r="AG3500" s="48"/>
      <c r="AH3500" s="48"/>
      <c r="AI3500" s="48"/>
      <c r="AJ3500" s="48"/>
      <c r="AK3500" s="48"/>
      <c r="AL3500" s="48"/>
      <c r="AM3500" s="48"/>
      <c r="AN3500" s="48"/>
      <c r="AO3500" s="48"/>
      <c r="AP3500" s="48"/>
      <c r="AQ3500" s="48"/>
      <c r="AR3500" s="48"/>
      <c r="AS3500" s="48"/>
      <c r="AT3500" s="48"/>
      <c r="AU3500" s="48"/>
      <c r="AV3500" s="48"/>
      <c r="AW3500" s="48"/>
      <c r="AX3500" s="48"/>
      <c r="AY3500" s="48"/>
      <c r="AZ3500" s="48"/>
      <c r="BA3500" s="48"/>
      <c r="BB3500" s="48"/>
      <c r="BC3500" s="48"/>
      <c r="BD3500" s="48"/>
    </row>
    <row r="3501" spans="1:56">
      <c r="A3501" s="48"/>
      <c r="B3501" s="48"/>
      <c r="C3501" s="49"/>
      <c r="D3501" s="48"/>
      <c r="E3501" s="48"/>
      <c r="F3501" s="48"/>
      <c r="G3501" s="48"/>
      <c r="H3501" s="48"/>
      <c r="I3501" s="48"/>
      <c r="J3501" s="86"/>
      <c r="K3501" s="86"/>
      <c r="L3501" s="86"/>
      <c r="M3501" s="86"/>
      <c r="N3501" s="86"/>
      <c r="O3501" s="86"/>
      <c r="P3501" s="86"/>
      <c r="Q3501" s="86"/>
      <c r="R3501" s="86"/>
      <c r="S3501" s="86"/>
      <c r="T3501" s="86"/>
      <c r="U3501" s="86"/>
      <c r="V3501" s="48"/>
      <c r="W3501" s="48"/>
      <c r="X3501" s="48"/>
      <c r="Y3501" s="48"/>
      <c r="Z3501" s="48"/>
      <c r="AA3501" s="48"/>
      <c r="AB3501" s="48"/>
      <c r="AC3501" s="48"/>
      <c r="AD3501" s="48"/>
      <c r="AE3501" s="48"/>
      <c r="AF3501" s="48"/>
      <c r="AG3501" s="48"/>
      <c r="AH3501" s="48"/>
      <c r="AI3501" s="48"/>
      <c r="AJ3501" s="48"/>
      <c r="AK3501" s="48"/>
      <c r="AL3501" s="48"/>
      <c r="AM3501" s="48"/>
      <c r="AN3501" s="48"/>
      <c r="AO3501" s="48"/>
      <c r="AP3501" s="48"/>
      <c r="AQ3501" s="48"/>
      <c r="AR3501" s="48"/>
      <c r="AS3501" s="48"/>
      <c r="AT3501" s="48"/>
      <c r="AU3501" s="48"/>
      <c r="AV3501" s="48"/>
      <c r="AW3501" s="48"/>
      <c r="AX3501" s="48"/>
      <c r="AY3501" s="48"/>
      <c r="AZ3501" s="48"/>
      <c r="BA3501" s="48"/>
      <c r="BB3501" s="48"/>
      <c r="BC3501" s="48"/>
      <c r="BD3501" s="48"/>
    </row>
    <row r="3502" spans="1:56">
      <c r="A3502" s="48"/>
      <c r="B3502" s="48"/>
      <c r="C3502" s="49"/>
      <c r="D3502" s="48"/>
      <c r="E3502" s="48"/>
      <c r="F3502" s="48"/>
      <c r="G3502" s="48"/>
      <c r="H3502" s="48"/>
      <c r="I3502" s="48"/>
      <c r="J3502" s="86"/>
      <c r="K3502" s="86"/>
      <c r="L3502" s="86"/>
      <c r="M3502" s="86"/>
      <c r="N3502" s="86"/>
      <c r="O3502" s="86"/>
      <c r="P3502" s="86"/>
      <c r="Q3502" s="86"/>
      <c r="R3502" s="86"/>
      <c r="S3502" s="86"/>
      <c r="T3502" s="86"/>
      <c r="U3502" s="86"/>
      <c r="V3502" s="48"/>
      <c r="W3502" s="48"/>
      <c r="X3502" s="48"/>
      <c r="Y3502" s="48"/>
      <c r="Z3502" s="48"/>
      <c r="AA3502" s="48"/>
      <c r="AB3502" s="48"/>
      <c r="AC3502" s="48"/>
      <c r="AD3502" s="48"/>
      <c r="AE3502" s="48"/>
      <c r="AF3502" s="48"/>
      <c r="AG3502" s="48"/>
      <c r="AH3502" s="48"/>
      <c r="AI3502" s="48"/>
      <c r="AJ3502" s="48"/>
      <c r="AK3502" s="48"/>
      <c r="AL3502" s="48"/>
      <c r="AM3502" s="48"/>
      <c r="AN3502" s="48"/>
      <c r="AO3502" s="48"/>
      <c r="AP3502" s="48"/>
      <c r="AQ3502" s="48"/>
      <c r="AR3502" s="48"/>
      <c r="AS3502" s="48"/>
      <c r="AT3502" s="48"/>
      <c r="AU3502" s="48"/>
      <c r="AV3502" s="48"/>
      <c r="AW3502" s="48"/>
      <c r="AX3502" s="48"/>
      <c r="AY3502" s="48"/>
      <c r="AZ3502" s="48"/>
      <c r="BA3502" s="48"/>
      <c r="BB3502" s="48"/>
      <c r="BC3502" s="48"/>
      <c r="BD3502" s="48"/>
    </row>
    <row r="3503" spans="1:56">
      <c r="A3503" s="48"/>
      <c r="B3503" s="48"/>
      <c r="C3503" s="49"/>
      <c r="D3503" s="48"/>
      <c r="E3503" s="48"/>
      <c r="F3503" s="48"/>
      <c r="G3503" s="48"/>
      <c r="H3503" s="48"/>
      <c r="I3503" s="48"/>
      <c r="J3503" s="86"/>
      <c r="K3503" s="86"/>
      <c r="L3503" s="86"/>
      <c r="M3503" s="86"/>
      <c r="N3503" s="86"/>
      <c r="O3503" s="86"/>
      <c r="P3503" s="86"/>
      <c r="Q3503" s="86"/>
      <c r="R3503" s="86"/>
      <c r="S3503" s="86"/>
      <c r="T3503" s="86"/>
      <c r="U3503" s="86"/>
      <c r="V3503" s="48"/>
      <c r="W3503" s="48"/>
      <c r="X3503" s="48"/>
      <c r="Y3503" s="48"/>
      <c r="Z3503" s="48"/>
      <c r="AA3503" s="48"/>
      <c r="AB3503" s="48"/>
      <c r="AC3503" s="48"/>
      <c r="AD3503" s="48"/>
      <c r="AE3503" s="48"/>
      <c r="AF3503" s="48"/>
      <c r="AG3503" s="48"/>
      <c r="AH3503" s="48"/>
      <c r="AI3503" s="48"/>
      <c r="AJ3503" s="48"/>
      <c r="AK3503" s="48"/>
      <c r="AL3503" s="48"/>
      <c r="AM3503" s="48"/>
      <c r="AN3503" s="48"/>
      <c r="AO3503" s="48"/>
      <c r="AP3503" s="48"/>
      <c r="AQ3503" s="48"/>
      <c r="AR3503" s="48"/>
      <c r="AS3503" s="48"/>
      <c r="AT3503" s="48"/>
      <c r="AU3503" s="48"/>
      <c r="AV3503" s="48"/>
      <c r="AW3503" s="48"/>
      <c r="AX3503" s="48"/>
      <c r="AY3503" s="48"/>
      <c r="AZ3503" s="48"/>
      <c r="BA3503" s="48"/>
      <c r="BB3503" s="48"/>
      <c r="BC3503" s="48"/>
      <c r="BD3503" s="48"/>
    </row>
    <row r="3504" spans="1:56">
      <c r="A3504" s="48"/>
      <c r="B3504" s="48"/>
      <c r="C3504" s="49"/>
      <c r="D3504" s="48"/>
      <c r="E3504" s="48"/>
      <c r="F3504" s="48"/>
      <c r="G3504" s="48"/>
      <c r="H3504" s="48"/>
      <c r="I3504" s="48"/>
      <c r="J3504" s="86"/>
      <c r="K3504" s="86"/>
      <c r="L3504" s="86"/>
      <c r="M3504" s="86"/>
      <c r="N3504" s="86"/>
      <c r="O3504" s="86"/>
      <c r="P3504" s="86"/>
      <c r="Q3504" s="86"/>
      <c r="R3504" s="86"/>
      <c r="S3504" s="86"/>
      <c r="T3504" s="86"/>
      <c r="U3504" s="86"/>
      <c r="V3504" s="48"/>
      <c r="W3504" s="48"/>
      <c r="X3504" s="48"/>
      <c r="Y3504" s="48"/>
      <c r="Z3504" s="48"/>
      <c r="AA3504" s="48"/>
      <c r="AB3504" s="48"/>
      <c r="AC3504" s="48"/>
      <c r="AD3504" s="48"/>
      <c r="AE3504" s="48"/>
      <c r="AF3504" s="48"/>
      <c r="AG3504" s="48"/>
      <c r="AH3504" s="48"/>
      <c r="AI3504" s="48"/>
      <c r="AJ3504" s="48"/>
      <c r="AK3504" s="48"/>
      <c r="AL3504" s="48"/>
      <c r="AM3504" s="48"/>
      <c r="AN3504" s="48"/>
      <c r="AO3504" s="48"/>
      <c r="AP3504" s="48"/>
      <c r="AQ3504" s="48"/>
      <c r="AR3504" s="48"/>
      <c r="AS3504" s="48"/>
      <c r="AT3504" s="48"/>
      <c r="AU3504" s="48"/>
      <c r="AV3504" s="48"/>
      <c r="AW3504" s="48"/>
      <c r="AX3504" s="48"/>
      <c r="AY3504" s="48"/>
      <c r="AZ3504" s="48"/>
      <c r="BA3504" s="48"/>
      <c r="BB3504" s="48"/>
      <c r="BC3504" s="48"/>
      <c r="BD3504" s="48"/>
    </row>
    <row r="3505" spans="1:56">
      <c r="A3505" s="48"/>
      <c r="B3505" s="48"/>
      <c r="C3505" s="49"/>
      <c r="D3505" s="48"/>
      <c r="E3505" s="48"/>
      <c r="F3505" s="48"/>
      <c r="G3505" s="48"/>
      <c r="H3505" s="48"/>
      <c r="I3505" s="48"/>
      <c r="J3505" s="86"/>
      <c r="K3505" s="86"/>
      <c r="L3505" s="86"/>
      <c r="M3505" s="86"/>
      <c r="N3505" s="86"/>
      <c r="O3505" s="86"/>
      <c r="P3505" s="86"/>
      <c r="Q3505" s="86"/>
      <c r="R3505" s="86"/>
      <c r="S3505" s="86"/>
      <c r="T3505" s="86"/>
      <c r="U3505" s="86"/>
      <c r="V3505" s="48"/>
      <c r="W3505" s="48"/>
      <c r="X3505" s="48"/>
      <c r="Y3505" s="48"/>
      <c r="Z3505" s="48"/>
      <c r="AA3505" s="48"/>
      <c r="AB3505" s="48"/>
      <c r="AC3505" s="48"/>
      <c r="AD3505" s="48"/>
      <c r="AE3505" s="48"/>
      <c r="AF3505" s="48"/>
      <c r="AG3505" s="48"/>
      <c r="AH3505" s="48"/>
      <c r="AI3505" s="48"/>
      <c r="AJ3505" s="48"/>
      <c r="AK3505" s="48"/>
      <c r="AL3505" s="48"/>
      <c r="AM3505" s="48"/>
      <c r="AN3505" s="48"/>
      <c r="AO3505" s="48"/>
      <c r="AP3505" s="48"/>
      <c r="AQ3505" s="48"/>
      <c r="AR3505" s="48"/>
      <c r="AS3505" s="48"/>
      <c r="AT3505" s="48"/>
      <c r="AU3505" s="48"/>
      <c r="AV3505" s="48"/>
      <c r="AW3505" s="48"/>
      <c r="AX3505" s="48"/>
      <c r="AY3505" s="48"/>
      <c r="AZ3505" s="48"/>
      <c r="BA3505" s="48"/>
      <c r="BB3505" s="48"/>
      <c r="BC3505" s="48"/>
      <c r="BD3505" s="48"/>
    </row>
    <row r="3506" spans="1:56">
      <c r="A3506" s="48"/>
      <c r="B3506" s="48"/>
      <c r="C3506" s="49"/>
      <c r="D3506" s="48"/>
      <c r="E3506" s="48"/>
      <c r="F3506" s="48"/>
      <c r="G3506" s="48"/>
      <c r="H3506" s="48"/>
      <c r="I3506" s="48"/>
      <c r="J3506" s="86"/>
      <c r="K3506" s="86"/>
      <c r="L3506" s="86"/>
      <c r="M3506" s="86"/>
      <c r="N3506" s="86"/>
      <c r="O3506" s="86"/>
      <c r="P3506" s="86"/>
      <c r="Q3506" s="86"/>
      <c r="R3506" s="86"/>
      <c r="S3506" s="86"/>
      <c r="T3506" s="86"/>
      <c r="U3506" s="86"/>
      <c r="V3506" s="48"/>
      <c r="W3506" s="48"/>
      <c r="X3506" s="48"/>
      <c r="Y3506" s="48"/>
      <c r="Z3506" s="48"/>
      <c r="AA3506" s="48"/>
      <c r="AB3506" s="48"/>
      <c r="AC3506" s="48"/>
      <c r="AD3506" s="48"/>
      <c r="AE3506" s="48"/>
      <c r="AF3506" s="48"/>
      <c r="AG3506" s="48"/>
      <c r="AH3506" s="48"/>
      <c r="AI3506" s="48"/>
      <c r="AJ3506" s="48"/>
      <c r="AK3506" s="48"/>
      <c r="AL3506" s="48"/>
      <c r="AM3506" s="48"/>
      <c r="AN3506" s="48"/>
      <c r="AO3506" s="48"/>
      <c r="AP3506" s="48"/>
      <c r="AQ3506" s="48"/>
      <c r="AR3506" s="48"/>
      <c r="AS3506" s="48"/>
      <c r="AT3506" s="48"/>
      <c r="AU3506" s="48"/>
      <c r="AV3506" s="48"/>
      <c r="AW3506" s="48"/>
      <c r="AX3506" s="48"/>
      <c r="AY3506" s="48"/>
      <c r="AZ3506" s="48"/>
      <c r="BA3506" s="48"/>
      <c r="BB3506" s="48"/>
      <c r="BC3506" s="48"/>
      <c r="BD3506" s="48"/>
    </row>
    <row r="3507" spans="1:56">
      <c r="A3507" s="48"/>
      <c r="B3507" s="48"/>
      <c r="C3507" s="49"/>
      <c r="D3507" s="48"/>
      <c r="E3507" s="48"/>
      <c r="F3507" s="48"/>
      <c r="G3507" s="48"/>
      <c r="H3507" s="48"/>
      <c r="I3507" s="48"/>
      <c r="J3507" s="86"/>
      <c r="K3507" s="86"/>
      <c r="L3507" s="86"/>
      <c r="M3507" s="86"/>
      <c r="N3507" s="86"/>
      <c r="O3507" s="86"/>
      <c r="P3507" s="86"/>
      <c r="Q3507" s="86"/>
      <c r="R3507" s="86"/>
      <c r="S3507" s="86"/>
      <c r="T3507" s="86"/>
      <c r="U3507" s="86"/>
      <c r="V3507" s="48"/>
      <c r="W3507" s="48"/>
      <c r="X3507" s="48"/>
      <c r="Y3507" s="48"/>
      <c r="Z3507" s="48"/>
      <c r="AA3507" s="48"/>
      <c r="AB3507" s="48"/>
      <c r="AC3507" s="48"/>
      <c r="AD3507" s="48"/>
      <c r="AE3507" s="48"/>
      <c r="AF3507" s="48"/>
      <c r="AG3507" s="48"/>
      <c r="AH3507" s="48"/>
      <c r="AI3507" s="48"/>
      <c r="AJ3507" s="48"/>
      <c r="AK3507" s="48"/>
      <c r="AL3507" s="48"/>
      <c r="AM3507" s="48"/>
      <c r="AN3507" s="48"/>
      <c r="AO3507" s="48"/>
      <c r="AP3507" s="48"/>
      <c r="AQ3507" s="48"/>
      <c r="AR3507" s="48"/>
      <c r="AS3507" s="48"/>
      <c r="AT3507" s="48"/>
      <c r="AU3507" s="48"/>
      <c r="AV3507" s="48"/>
      <c r="AW3507" s="48"/>
      <c r="AX3507" s="48"/>
      <c r="AY3507" s="48"/>
      <c r="AZ3507" s="48"/>
      <c r="BA3507" s="48"/>
      <c r="BB3507" s="48"/>
      <c r="BC3507" s="48"/>
      <c r="BD3507" s="48"/>
    </row>
    <row r="3508" spans="1:56">
      <c r="A3508" s="48"/>
      <c r="B3508" s="48"/>
      <c r="C3508" s="49"/>
      <c r="D3508" s="48"/>
      <c r="E3508" s="48"/>
      <c r="F3508" s="48"/>
      <c r="G3508" s="48"/>
      <c r="H3508" s="48"/>
      <c r="I3508" s="48"/>
      <c r="J3508" s="86"/>
      <c r="K3508" s="86"/>
      <c r="L3508" s="86"/>
      <c r="M3508" s="86"/>
      <c r="N3508" s="86"/>
      <c r="O3508" s="86"/>
      <c r="P3508" s="86"/>
      <c r="Q3508" s="86"/>
      <c r="R3508" s="86"/>
      <c r="S3508" s="86"/>
      <c r="T3508" s="86"/>
      <c r="U3508" s="86"/>
      <c r="V3508" s="48"/>
      <c r="W3508" s="48"/>
      <c r="X3508" s="48"/>
      <c r="Y3508" s="48"/>
      <c r="Z3508" s="48"/>
      <c r="AA3508" s="48"/>
      <c r="AB3508" s="48"/>
      <c r="AC3508" s="48"/>
      <c r="AD3508" s="48"/>
      <c r="AE3508" s="48"/>
      <c r="AF3508" s="48"/>
      <c r="AG3508" s="48"/>
      <c r="AH3508" s="48"/>
      <c r="AI3508" s="48"/>
      <c r="AJ3508" s="48"/>
      <c r="AK3508" s="48"/>
      <c r="AL3508" s="48"/>
      <c r="AM3508" s="48"/>
      <c r="AN3508" s="48"/>
      <c r="AO3508" s="48"/>
      <c r="AP3508" s="48"/>
      <c r="AQ3508" s="48"/>
      <c r="AR3508" s="48"/>
      <c r="AS3508" s="48"/>
      <c r="AT3508" s="48"/>
      <c r="AU3508" s="48"/>
      <c r="AV3508" s="48"/>
      <c r="AW3508" s="48"/>
      <c r="AX3508" s="48"/>
      <c r="AY3508" s="48"/>
      <c r="AZ3508" s="48"/>
      <c r="BA3508" s="48"/>
      <c r="BB3508" s="48"/>
      <c r="BC3508" s="48"/>
      <c r="BD3508" s="48"/>
    </row>
    <row r="3509" spans="1:56">
      <c r="A3509" s="48"/>
      <c r="B3509" s="48"/>
      <c r="C3509" s="49"/>
      <c r="D3509" s="48"/>
      <c r="E3509" s="48"/>
      <c r="F3509" s="48"/>
      <c r="G3509" s="48"/>
      <c r="H3509" s="48"/>
      <c r="I3509" s="48"/>
      <c r="J3509" s="86"/>
      <c r="K3509" s="86"/>
      <c r="L3509" s="86"/>
      <c r="M3509" s="86"/>
      <c r="N3509" s="86"/>
      <c r="O3509" s="86"/>
      <c r="P3509" s="86"/>
      <c r="Q3509" s="86"/>
      <c r="R3509" s="86"/>
      <c r="S3509" s="86"/>
      <c r="T3509" s="86"/>
      <c r="U3509" s="86"/>
      <c r="V3509" s="48"/>
      <c r="W3509" s="48"/>
      <c r="X3509" s="48"/>
      <c r="Y3509" s="48"/>
      <c r="Z3509" s="48"/>
      <c r="AA3509" s="48"/>
      <c r="AB3509" s="48"/>
      <c r="AC3509" s="48"/>
      <c r="AD3509" s="48"/>
      <c r="AE3509" s="48"/>
      <c r="AF3509" s="48"/>
      <c r="AG3509" s="48"/>
      <c r="AH3509" s="48"/>
      <c r="AI3509" s="48"/>
      <c r="AJ3509" s="48"/>
      <c r="AK3509" s="48"/>
      <c r="AL3509" s="48"/>
      <c r="AM3509" s="48"/>
      <c r="AN3509" s="48"/>
      <c r="AO3509" s="48"/>
      <c r="AP3509" s="48"/>
      <c r="AQ3509" s="48"/>
      <c r="AR3509" s="48"/>
      <c r="AS3509" s="48"/>
      <c r="AT3509" s="48"/>
      <c r="AU3509" s="48"/>
      <c r="AV3509" s="48"/>
      <c r="AW3509" s="48"/>
      <c r="AX3509" s="48"/>
      <c r="AY3509" s="48"/>
      <c r="AZ3509" s="48"/>
      <c r="BA3509" s="48"/>
      <c r="BB3509" s="48"/>
      <c r="BC3509" s="48"/>
      <c r="BD3509" s="48"/>
    </row>
    <row r="3510" spans="1:56">
      <c r="A3510" s="48"/>
      <c r="B3510" s="48"/>
      <c r="C3510" s="49"/>
      <c r="D3510" s="48"/>
      <c r="E3510" s="48"/>
      <c r="F3510" s="48"/>
      <c r="G3510" s="48"/>
      <c r="H3510" s="48"/>
      <c r="I3510" s="48"/>
      <c r="J3510" s="86"/>
      <c r="K3510" s="86"/>
      <c r="L3510" s="86"/>
      <c r="M3510" s="86"/>
      <c r="N3510" s="86"/>
      <c r="O3510" s="86"/>
      <c r="P3510" s="86"/>
      <c r="Q3510" s="86"/>
      <c r="R3510" s="86"/>
      <c r="S3510" s="86"/>
      <c r="T3510" s="86"/>
      <c r="U3510" s="86"/>
      <c r="V3510" s="48"/>
      <c r="W3510" s="48"/>
      <c r="X3510" s="48"/>
      <c r="Y3510" s="48"/>
      <c r="Z3510" s="48"/>
      <c r="AA3510" s="48"/>
      <c r="AB3510" s="48"/>
      <c r="AC3510" s="48"/>
      <c r="AD3510" s="48"/>
      <c r="AE3510" s="48"/>
      <c r="AF3510" s="48"/>
      <c r="AG3510" s="48"/>
      <c r="AH3510" s="48"/>
      <c r="AI3510" s="48"/>
      <c r="AJ3510" s="48"/>
      <c r="AK3510" s="48"/>
      <c r="AL3510" s="48"/>
      <c r="AM3510" s="48"/>
      <c r="AN3510" s="48"/>
      <c r="AO3510" s="48"/>
      <c r="AP3510" s="48"/>
      <c r="AQ3510" s="48"/>
      <c r="AR3510" s="48"/>
      <c r="AS3510" s="48"/>
      <c r="AT3510" s="48"/>
      <c r="AU3510" s="48"/>
      <c r="AV3510" s="48"/>
      <c r="AW3510" s="48"/>
      <c r="AX3510" s="48"/>
      <c r="AY3510" s="48"/>
      <c r="AZ3510" s="48"/>
      <c r="BA3510" s="48"/>
      <c r="BB3510" s="48"/>
      <c r="BC3510" s="48"/>
      <c r="BD3510" s="48"/>
    </row>
    <row r="3511" spans="1:56">
      <c r="A3511" s="48"/>
      <c r="B3511" s="48"/>
      <c r="C3511" s="49"/>
      <c r="D3511" s="48"/>
      <c r="E3511" s="48"/>
      <c r="F3511" s="48"/>
      <c r="G3511" s="48"/>
      <c r="H3511" s="48"/>
      <c r="I3511" s="48"/>
      <c r="J3511" s="86"/>
      <c r="K3511" s="86"/>
      <c r="L3511" s="86"/>
      <c r="M3511" s="86"/>
      <c r="N3511" s="86"/>
      <c r="O3511" s="86"/>
      <c r="P3511" s="86"/>
      <c r="Q3511" s="86"/>
      <c r="R3511" s="86"/>
      <c r="S3511" s="86"/>
      <c r="T3511" s="86"/>
      <c r="U3511" s="86"/>
      <c r="V3511" s="48"/>
      <c r="W3511" s="48"/>
      <c r="X3511" s="48"/>
      <c r="Y3511" s="48"/>
      <c r="Z3511" s="48"/>
      <c r="AA3511" s="48"/>
      <c r="AB3511" s="48"/>
      <c r="AC3511" s="48"/>
      <c r="AD3511" s="48"/>
      <c r="AE3511" s="48"/>
      <c r="AF3511" s="48"/>
      <c r="AG3511" s="48"/>
      <c r="AH3511" s="48"/>
      <c r="AI3511" s="48"/>
      <c r="AJ3511" s="48"/>
      <c r="AK3511" s="48"/>
      <c r="AL3511" s="48"/>
      <c r="AM3511" s="48"/>
      <c r="AN3511" s="48"/>
      <c r="AO3511" s="48"/>
      <c r="AP3511" s="48"/>
      <c r="AQ3511" s="48"/>
      <c r="AR3511" s="48"/>
      <c r="AS3511" s="48"/>
      <c r="AT3511" s="48"/>
      <c r="AU3511" s="48"/>
      <c r="AV3511" s="48"/>
      <c r="AW3511" s="48"/>
      <c r="AX3511" s="48"/>
      <c r="AY3511" s="48"/>
      <c r="AZ3511" s="48"/>
      <c r="BA3511" s="48"/>
      <c r="BB3511" s="48"/>
      <c r="BC3511" s="48"/>
      <c r="BD3511" s="48"/>
    </row>
    <row r="3512" spans="1:56">
      <c r="A3512" s="48"/>
      <c r="B3512" s="48"/>
      <c r="C3512" s="49"/>
      <c r="D3512" s="48"/>
      <c r="E3512" s="48"/>
      <c r="F3512" s="48"/>
      <c r="G3512" s="48"/>
      <c r="H3512" s="48"/>
      <c r="I3512" s="48"/>
      <c r="J3512" s="86"/>
      <c r="K3512" s="86"/>
      <c r="L3512" s="86"/>
      <c r="M3512" s="86"/>
      <c r="N3512" s="86"/>
      <c r="O3512" s="86"/>
      <c r="P3512" s="86"/>
      <c r="Q3512" s="86"/>
      <c r="R3512" s="86"/>
      <c r="S3512" s="86"/>
      <c r="T3512" s="86"/>
      <c r="U3512" s="86"/>
      <c r="V3512" s="48"/>
      <c r="W3512" s="48"/>
      <c r="X3512" s="48"/>
      <c r="Y3512" s="48"/>
      <c r="Z3512" s="48"/>
      <c r="AA3512" s="48"/>
      <c r="AB3512" s="48"/>
      <c r="AC3512" s="48"/>
      <c r="AD3512" s="48"/>
      <c r="AE3512" s="48"/>
      <c r="AF3512" s="48"/>
      <c r="AG3512" s="48"/>
      <c r="AH3512" s="48"/>
      <c r="AI3512" s="48"/>
      <c r="AJ3512" s="48"/>
      <c r="AK3512" s="48"/>
      <c r="AL3512" s="48"/>
      <c r="AM3512" s="48"/>
      <c r="AN3512" s="48"/>
      <c r="AO3512" s="48"/>
      <c r="AP3512" s="48"/>
      <c r="AQ3512" s="48"/>
      <c r="AR3512" s="48"/>
      <c r="AS3512" s="48"/>
      <c r="AT3512" s="48"/>
      <c r="AU3512" s="48"/>
      <c r="AV3512" s="48"/>
      <c r="AW3512" s="48"/>
      <c r="AX3512" s="48"/>
      <c r="AY3512" s="48"/>
      <c r="AZ3512" s="48"/>
      <c r="BA3512" s="48"/>
      <c r="BB3512" s="48"/>
      <c r="BC3512" s="48"/>
      <c r="BD3512" s="48"/>
    </row>
    <row r="3513" spans="1:56">
      <c r="A3513" s="48"/>
      <c r="B3513" s="48"/>
      <c r="C3513" s="49"/>
      <c r="D3513" s="48"/>
      <c r="E3513" s="48"/>
      <c r="F3513" s="48"/>
      <c r="G3513" s="48"/>
      <c r="H3513" s="48"/>
      <c r="I3513" s="48"/>
      <c r="J3513" s="86"/>
      <c r="K3513" s="86"/>
      <c r="L3513" s="86"/>
      <c r="M3513" s="86"/>
      <c r="N3513" s="86"/>
      <c r="O3513" s="86"/>
      <c r="P3513" s="86"/>
      <c r="Q3513" s="86"/>
      <c r="R3513" s="86"/>
      <c r="S3513" s="86"/>
      <c r="T3513" s="86"/>
      <c r="U3513" s="86"/>
      <c r="V3513" s="48"/>
      <c r="W3513" s="48"/>
      <c r="X3513" s="48"/>
      <c r="Y3513" s="48"/>
      <c r="Z3513" s="48"/>
      <c r="AA3513" s="48"/>
      <c r="AB3513" s="48"/>
      <c r="AC3513" s="48"/>
      <c r="AD3513" s="48"/>
      <c r="AE3513" s="48"/>
      <c r="AF3513" s="48"/>
      <c r="AG3513" s="48"/>
      <c r="AH3513" s="48"/>
      <c r="AI3513" s="48"/>
      <c r="AJ3513" s="48"/>
      <c r="AK3513" s="48"/>
      <c r="AL3513" s="48"/>
      <c r="AM3513" s="48"/>
      <c r="AN3513" s="48"/>
      <c r="AO3513" s="48"/>
      <c r="AP3513" s="48"/>
      <c r="AQ3513" s="48"/>
      <c r="AR3513" s="48"/>
      <c r="AS3513" s="48"/>
      <c r="AT3513" s="48"/>
      <c r="AU3513" s="48"/>
      <c r="AV3513" s="48"/>
      <c r="AW3513" s="48"/>
      <c r="AX3513" s="48"/>
      <c r="AY3513" s="48"/>
      <c r="AZ3513" s="48"/>
      <c r="BA3513" s="48"/>
      <c r="BB3513" s="48"/>
      <c r="BC3513" s="48"/>
      <c r="BD3513" s="48"/>
    </row>
    <row r="3514" spans="1:56">
      <c r="A3514" s="48"/>
      <c r="B3514" s="48"/>
      <c r="C3514" s="49"/>
      <c r="D3514" s="48"/>
      <c r="E3514" s="48"/>
      <c r="F3514" s="48"/>
      <c r="G3514" s="48"/>
      <c r="H3514" s="48"/>
      <c r="I3514" s="48"/>
      <c r="J3514" s="86"/>
      <c r="K3514" s="86"/>
      <c r="L3514" s="86"/>
      <c r="M3514" s="86"/>
      <c r="N3514" s="86"/>
      <c r="O3514" s="86"/>
      <c r="P3514" s="86"/>
      <c r="Q3514" s="86"/>
      <c r="R3514" s="86"/>
      <c r="S3514" s="86"/>
      <c r="T3514" s="86"/>
      <c r="U3514" s="86"/>
      <c r="V3514" s="48"/>
      <c r="W3514" s="48"/>
      <c r="X3514" s="48"/>
      <c r="Y3514" s="48"/>
      <c r="Z3514" s="48"/>
      <c r="AA3514" s="48"/>
      <c r="AB3514" s="48"/>
      <c r="AC3514" s="48"/>
      <c r="AD3514" s="48"/>
      <c r="AE3514" s="48"/>
      <c r="AF3514" s="48"/>
      <c r="AG3514" s="48"/>
      <c r="AH3514" s="48"/>
      <c r="AI3514" s="48"/>
      <c r="AJ3514" s="48"/>
      <c r="AK3514" s="48"/>
      <c r="AL3514" s="48"/>
      <c r="AM3514" s="48"/>
      <c r="AN3514" s="48"/>
      <c r="AO3514" s="48"/>
      <c r="AP3514" s="48"/>
      <c r="AQ3514" s="48"/>
      <c r="AR3514" s="48"/>
      <c r="AS3514" s="48"/>
      <c r="AT3514" s="48"/>
      <c r="AU3514" s="48"/>
      <c r="AV3514" s="48"/>
      <c r="AW3514" s="48"/>
      <c r="AX3514" s="48"/>
      <c r="AY3514" s="48"/>
      <c r="AZ3514" s="48"/>
      <c r="BA3514" s="48"/>
      <c r="BB3514" s="48"/>
      <c r="BC3514" s="48"/>
      <c r="BD3514" s="48"/>
    </row>
    <row r="3515" spans="1:56">
      <c r="A3515" s="48"/>
      <c r="B3515" s="48"/>
      <c r="C3515" s="49"/>
      <c r="D3515" s="48"/>
      <c r="E3515" s="48"/>
      <c r="F3515" s="48"/>
      <c r="G3515" s="48"/>
      <c r="H3515" s="48"/>
      <c r="I3515" s="48"/>
      <c r="J3515" s="86"/>
      <c r="K3515" s="86"/>
      <c r="L3515" s="86"/>
      <c r="M3515" s="86"/>
      <c r="N3515" s="86"/>
      <c r="O3515" s="86"/>
      <c r="P3515" s="86"/>
      <c r="Q3515" s="86"/>
      <c r="R3515" s="86"/>
      <c r="S3515" s="86"/>
      <c r="T3515" s="86"/>
      <c r="U3515" s="86"/>
      <c r="V3515" s="48"/>
      <c r="W3515" s="48"/>
      <c r="X3515" s="48"/>
      <c r="Y3515" s="48"/>
      <c r="Z3515" s="48"/>
      <c r="AA3515" s="48"/>
      <c r="AB3515" s="48"/>
      <c r="AC3515" s="48"/>
      <c r="AD3515" s="48"/>
      <c r="AE3515" s="48"/>
      <c r="AF3515" s="48"/>
      <c r="AG3515" s="48"/>
      <c r="AH3515" s="48"/>
      <c r="AI3515" s="48"/>
      <c r="AJ3515" s="48"/>
      <c r="AK3515" s="48"/>
      <c r="AL3515" s="48"/>
      <c r="AM3515" s="48"/>
      <c r="AN3515" s="48"/>
      <c r="AO3515" s="48"/>
      <c r="AP3515" s="48"/>
      <c r="AQ3515" s="48"/>
      <c r="AR3515" s="48"/>
      <c r="AS3515" s="48"/>
      <c r="AT3515" s="48"/>
      <c r="AU3515" s="48"/>
      <c r="AV3515" s="48"/>
      <c r="AW3515" s="48"/>
      <c r="AX3515" s="48"/>
      <c r="AY3515" s="48"/>
      <c r="AZ3515" s="48"/>
      <c r="BA3515" s="48"/>
      <c r="BB3515" s="48"/>
      <c r="BC3515" s="48"/>
      <c r="BD3515" s="48"/>
    </row>
    <row r="3516" spans="1:56">
      <c r="A3516" s="48"/>
      <c r="B3516" s="48"/>
      <c r="C3516" s="49"/>
      <c r="D3516" s="48"/>
      <c r="E3516" s="48"/>
      <c r="F3516" s="48"/>
      <c r="G3516" s="48"/>
      <c r="H3516" s="48"/>
      <c r="I3516" s="48"/>
      <c r="J3516" s="86"/>
      <c r="K3516" s="86"/>
      <c r="L3516" s="86"/>
      <c r="M3516" s="86"/>
      <c r="N3516" s="86"/>
      <c r="O3516" s="86"/>
      <c r="P3516" s="86"/>
      <c r="Q3516" s="86"/>
      <c r="R3516" s="86"/>
      <c r="S3516" s="86"/>
      <c r="T3516" s="86"/>
      <c r="U3516" s="86"/>
      <c r="V3516" s="48"/>
      <c r="W3516" s="48"/>
      <c r="X3516" s="48"/>
      <c r="Y3516" s="48"/>
      <c r="Z3516" s="48"/>
      <c r="AA3516" s="48"/>
      <c r="AB3516" s="48"/>
      <c r="AC3516" s="48"/>
      <c r="AD3516" s="48"/>
      <c r="AE3516" s="48"/>
      <c r="AF3516" s="48"/>
      <c r="AG3516" s="48"/>
      <c r="AH3516" s="48"/>
      <c r="AI3516" s="48"/>
      <c r="AJ3516" s="48"/>
      <c r="AK3516" s="48"/>
      <c r="AL3516" s="48"/>
      <c r="AM3516" s="48"/>
      <c r="AN3516" s="48"/>
      <c r="AO3516" s="48"/>
      <c r="AP3516" s="48"/>
      <c r="AQ3516" s="48"/>
      <c r="AR3516" s="48"/>
      <c r="AS3516" s="48"/>
      <c r="AT3516" s="48"/>
      <c r="AU3516" s="48"/>
      <c r="AV3516" s="48"/>
      <c r="AW3516" s="48"/>
      <c r="AX3516" s="48"/>
      <c r="AY3516" s="48"/>
      <c r="AZ3516" s="48"/>
      <c r="BA3516" s="48"/>
      <c r="BB3516" s="48"/>
      <c r="BC3516" s="48"/>
      <c r="BD3516" s="48"/>
    </row>
    <row r="3517" spans="1:56">
      <c r="A3517" s="48"/>
      <c r="B3517" s="48"/>
      <c r="C3517" s="49"/>
      <c r="D3517" s="48"/>
      <c r="E3517" s="48"/>
      <c r="F3517" s="48"/>
      <c r="G3517" s="48"/>
      <c r="H3517" s="48"/>
      <c r="I3517" s="48"/>
      <c r="J3517" s="86"/>
      <c r="K3517" s="86"/>
      <c r="L3517" s="86"/>
      <c r="M3517" s="86"/>
      <c r="N3517" s="86"/>
      <c r="O3517" s="86"/>
      <c r="P3517" s="86"/>
      <c r="Q3517" s="86"/>
      <c r="R3517" s="86"/>
      <c r="S3517" s="86"/>
      <c r="T3517" s="86"/>
      <c r="U3517" s="86"/>
      <c r="V3517" s="48"/>
      <c r="W3517" s="48"/>
      <c r="X3517" s="48"/>
      <c r="Y3517" s="48"/>
      <c r="Z3517" s="48"/>
      <c r="AA3517" s="48"/>
      <c r="AB3517" s="48"/>
      <c r="AC3517" s="48"/>
      <c r="AD3517" s="48"/>
      <c r="AE3517" s="48"/>
      <c r="AF3517" s="48"/>
      <c r="AG3517" s="48"/>
      <c r="AH3517" s="48"/>
      <c r="AI3517" s="48"/>
      <c r="AJ3517" s="48"/>
      <c r="AK3517" s="48"/>
      <c r="AL3517" s="48"/>
      <c r="AM3517" s="48"/>
      <c r="AN3517" s="48"/>
      <c r="AO3517" s="48"/>
      <c r="AP3517" s="48"/>
      <c r="AQ3517" s="48"/>
      <c r="AR3517" s="48"/>
      <c r="AS3517" s="48"/>
      <c r="AT3517" s="48"/>
      <c r="AU3517" s="48"/>
      <c r="AV3517" s="48"/>
      <c r="AW3517" s="48"/>
      <c r="AX3517" s="48"/>
      <c r="AY3517" s="48"/>
      <c r="AZ3517" s="48"/>
      <c r="BA3517" s="48"/>
      <c r="BB3517" s="48"/>
      <c r="BC3517" s="48"/>
      <c r="BD3517" s="48"/>
    </row>
    <row r="3518" spans="1:56">
      <c r="A3518" s="48"/>
      <c r="B3518" s="48"/>
      <c r="C3518" s="49"/>
      <c r="D3518" s="48"/>
      <c r="E3518" s="48"/>
      <c r="F3518" s="48"/>
      <c r="G3518" s="48"/>
      <c r="H3518" s="48"/>
      <c r="I3518" s="48"/>
      <c r="J3518" s="86"/>
      <c r="K3518" s="86"/>
      <c r="L3518" s="86"/>
      <c r="M3518" s="86"/>
      <c r="N3518" s="86"/>
      <c r="O3518" s="86"/>
      <c r="P3518" s="86"/>
      <c r="Q3518" s="86"/>
      <c r="R3518" s="86"/>
      <c r="S3518" s="86"/>
      <c r="T3518" s="86"/>
      <c r="U3518" s="86"/>
      <c r="V3518" s="48"/>
      <c r="W3518" s="48"/>
      <c r="X3518" s="48"/>
      <c r="Y3518" s="48"/>
      <c r="Z3518" s="48"/>
      <c r="AA3518" s="48"/>
      <c r="AB3518" s="48"/>
      <c r="AC3518" s="48"/>
      <c r="AD3518" s="48"/>
      <c r="AE3518" s="48"/>
      <c r="AF3518" s="48"/>
      <c r="AG3518" s="48"/>
      <c r="AH3518" s="48"/>
      <c r="AI3518" s="48"/>
      <c r="AJ3518" s="48"/>
      <c r="AK3518" s="48"/>
      <c r="AL3518" s="48"/>
      <c r="AM3518" s="48"/>
      <c r="AN3518" s="48"/>
      <c r="AO3518" s="48"/>
      <c r="AP3518" s="48"/>
      <c r="AQ3518" s="48"/>
      <c r="AR3518" s="48"/>
      <c r="AS3518" s="48"/>
      <c r="AT3518" s="48"/>
      <c r="AU3518" s="48"/>
      <c r="AV3518" s="48"/>
      <c r="AW3518" s="48"/>
      <c r="AX3518" s="48"/>
      <c r="AY3518" s="48"/>
      <c r="AZ3518" s="48"/>
      <c r="BA3518" s="48"/>
      <c r="BB3518" s="48"/>
      <c r="BC3518" s="48"/>
      <c r="BD3518" s="48"/>
    </row>
    <row r="3519" spans="1:56">
      <c r="A3519" s="48"/>
      <c r="B3519" s="48"/>
      <c r="C3519" s="49"/>
      <c r="D3519" s="48"/>
      <c r="E3519" s="48"/>
      <c r="F3519" s="48"/>
      <c r="G3519" s="48"/>
      <c r="H3519" s="48"/>
      <c r="I3519" s="48"/>
      <c r="J3519" s="86"/>
      <c r="K3519" s="86"/>
      <c r="L3519" s="86"/>
      <c r="M3519" s="86"/>
      <c r="N3519" s="86"/>
      <c r="O3519" s="86"/>
      <c r="P3519" s="86"/>
      <c r="Q3519" s="86"/>
      <c r="R3519" s="86"/>
      <c r="S3519" s="86"/>
      <c r="T3519" s="86"/>
      <c r="U3519" s="86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48"/>
      <c r="BB3519" s="48"/>
      <c r="BC3519" s="48"/>
      <c r="BD3519" s="48"/>
    </row>
    <row r="3520" spans="1:56">
      <c r="A3520" s="48"/>
      <c r="B3520" s="48"/>
      <c r="C3520" s="49"/>
      <c r="D3520" s="48"/>
      <c r="E3520" s="48"/>
      <c r="F3520" s="48"/>
      <c r="G3520" s="48"/>
      <c r="H3520" s="48"/>
      <c r="I3520" s="48"/>
      <c r="J3520" s="86"/>
      <c r="K3520" s="86"/>
      <c r="L3520" s="86"/>
      <c r="M3520" s="86"/>
      <c r="N3520" s="86"/>
      <c r="O3520" s="86"/>
      <c r="P3520" s="86"/>
      <c r="Q3520" s="86"/>
      <c r="R3520" s="86"/>
      <c r="S3520" s="86"/>
      <c r="T3520" s="86"/>
      <c r="U3520" s="86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48"/>
      <c r="BB3520" s="48"/>
      <c r="BC3520" s="48"/>
      <c r="BD3520" s="48"/>
    </row>
    <row r="3521" spans="1:56">
      <c r="A3521" s="48"/>
      <c r="B3521" s="48"/>
      <c r="C3521" s="49"/>
      <c r="D3521" s="48"/>
      <c r="E3521" s="48"/>
      <c r="F3521" s="48"/>
      <c r="G3521" s="48"/>
      <c r="H3521" s="48"/>
      <c r="I3521" s="48"/>
      <c r="J3521" s="86"/>
      <c r="K3521" s="86"/>
      <c r="L3521" s="86"/>
      <c r="M3521" s="86"/>
      <c r="N3521" s="86"/>
      <c r="O3521" s="86"/>
      <c r="P3521" s="86"/>
      <c r="Q3521" s="86"/>
      <c r="R3521" s="86"/>
      <c r="S3521" s="86"/>
      <c r="T3521" s="86"/>
      <c r="U3521" s="86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48"/>
      <c r="BB3521" s="48"/>
      <c r="BC3521" s="48"/>
      <c r="BD3521" s="48"/>
    </row>
    <row r="3522" spans="1:56">
      <c r="A3522" s="48"/>
      <c r="B3522" s="48"/>
      <c r="C3522" s="49"/>
      <c r="D3522" s="48"/>
      <c r="E3522" s="48"/>
      <c r="F3522" s="48"/>
      <c r="G3522" s="48"/>
      <c r="H3522" s="48"/>
      <c r="I3522" s="48"/>
      <c r="J3522" s="86"/>
      <c r="K3522" s="86"/>
      <c r="L3522" s="86"/>
      <c r="M3522" s="86"/>
      <c r="N3522" s="86"/>
      <c r="O3522" s="86"/>
      <c r="P3522" s="86"/>
      <c r="Q3522" s="86"/>
      <c r="R3522" s="86"/>
      <c r="S3522" s="86"/>
      <c r="T3522" s="86"/>
      <c r="U3522" s="86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48"/>
      <c r="BB3522" s="48"/>
      <c r="BC3522" s="48"/>
      <c r="BD3522" s="48"/>
    </row>
    <row r="3523" spans="1:56">
      <c r="A3523" s="48"/>
      <c r="B3523" s="48"/>
      <c r="C3523" s="49"/>
      <c r="D3523" s="48"/>
      <c r="E3523" s="48"/>
      <c r="F3523" s="48"/>
      <c r="G3523" s="48"/>
      <c r="H3523" s="48"/>
      <c r="I3523" s="48"/>
      <c r="J3523" s="86"/>
      <c r="K3523" s="86"/>
      <c r="L3523" s="86"/>
      <c r="M3523" s="86"/>
      <c r="N3523" s="86"/>
      <c r="O3523" s="86"/>
      <c r="P3523" s="86"/>
      <c r="Q3523" s="86"/>
      <c r="R3523" s="86"/>
      <c r="S3523" s="86"/>
      <c r="T3523" s="86"/>
      <c r="U3523" s="86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48"/>
      <c r="BB3523" s="48"/>
      <c r="BC3523" s="48"/>
      <c r="BD3523" s="48"/>
    </row>
    <row r="3524" spans="1:56">
      <c r="A3524" s="48"/>
      <c r="B3524" s="48"/>
      <c r="C3524" s="49"/>
      <c r="D3524" s="48"/>
      <c r="E3524" s="48"/>
      <c r="F3524" s="48"/>
      <c r="G3524" s="48"/>
      <c r="H3524" s="48"/>
      <c r="I3524" s="48"/>
      <c r="J3524" s="86"/>
      <c r="K3524" s="86"/>
      <c r="L3524" s="86"/>
      <c r="M3524" s="86"/>
      <c r="N3524" s="86"/>
      <c r="O3524" s="86"/>
      <c r="P3524" s="86"/>
      <c r="Q3524" s="86"/>
      <c r="R3524" s="86"/>
      <c r="S3524" s="86"/>
      <c r="T3524" s="86"/>
      <c r="U3524" s="86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48"/>
      <c r="BB3524" s="48"/>
      <c r="BC3524" s="48"/>
      <c r="BD3524" s="48"/>
    </row>
    <row r="3525" spans="1:56">
      <c r="A3525" s="48"/>
      <c r="B3525" s="48"/>
      <c r="C3525" s="49"/>
      <c r="D3525" s="48"/>
      <c r="E3525" s="48"/>
      <c r="F3525" s="48"/>
      <c r="G3525" s="48"/>
      <c r="H3525" s="48"/>
      <c r="I3525" s="48"/>
      <c r="J3525" s="86"/>
      <c r="K3525" s="86"/>
      <c r="L3525" s="86"/>
      <c r="M3525" s="86"/>
      <c r="N3525" s="86"/>
      <c r="O3525" s="86"/>
      <c r="P3525" s="86"/>
      <c r="Q3525" s="86"/>
      <c r="R3525" s="86"/>
      <c r="S3525" s="86"/>
      <c r="T3525" s="86"/>
      <c r="U3525" s="86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48"/>
      <c r="BB3525" s="48"/>
      <c r="BC3525" s="48"/>
      <c r="BD3525" s="48"/>
    </row>
    <row r="3526" spans="1:56">
      <c r="A3526" s="48"/>
      <c r="B3526" s="48"/>
      <c r="C3526" s="49"/>
      <c r="D3526" s="48"/>
      <c r="E3526" s="48"/>
      <c r="F3526" s="48"/>
      <c r="G3526" s="48"/>
      <c r="H3526" s="48"/>
      <c r="I3526" s="48"/>
      <c r="J3526" s="86"/>
      <c r="K3526" s="86"/>
      <c r="L3526" s="86"/>
      <c r="M3526" s="86"/>
      <c r="N3526" s="86"/>
      <c r="O3526" s="86"/>
      <c r="P3526" s="86"/>
      <c r="Q3526" s="86"/>
      <c r="R3526" s="86"/>
      <c r="S3526" s="86"/>
      <c r="T3526" s="86"/>
      <c r="U3526" s="86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48"/>
      <c r="BB3526" s="48"/>
      <c r="BC3526" s="48"/>
      <c r="BD3526" s="48"/>
    </row>
    <row r="3527" spans="1:56">
      <c r="A3527" s="48"/>
      <c r="B3527" s="48"/>
      <c r="C3527" s="49"/>
      <c r="D3527" s="48"/>
      <c r="E3527" s="48"/>
      <c r="F3527" s="48"/>
      <c r="G3527" s="48"/>
      <c r="H3527" s="48"/>
      <c r="I3527" s="48"/>
      <c r="J3527" s="86"/>
      <c r="K3527" s="86"/>
      <c r="L3527" s="86"/>
      <c r="M3527" s="86"/>
      <c r="N3527" s="86"/>
      <c r="O3527" s="86"/>
      <c r="P3527" s="86"/>
      <c r="Q3527" s="86"/>
      <c r="R3527" s="86"/>
      <c r="S3527" s="86"/>
      <c r="T3527" s="86"/>
      <c r="U3527" s="86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48"/>
      <c r="BB3527" s="48"/>
      <c r="BC3527" s="48"/>
      <c r="BD3527" s="48"/>
    </row>
    <row r="3528" spans="1:56">
      <c r="A3528" s="48"/>
      <c r="B3528" s="48"/>
      <c r="C3528" s="49"/>
      <c r="D3528" s="48"/>
      <c r="E3528" s="48"/>
      <c r="F3528" s="48"/>
      <c r="G3528" s="48"/>
      <c r="H3528" s="48"/>
      <c r="I3528" s="48"/>
      <c r="J3528" s="86"/>
      <c r="K3528" s="86"/>
      <c r="L3528" s="86"/>
      <c r="M3528" s="86"/>
      <c r="N3528" s="86"/>
      <c r="O3528" s="86"/>
      <c r="P3528" s="86"/>
      <c r="Q3528" s="86"/>
      <c r="R3528" s="86"/>
      <c r="S3528" s="86"/>
      <c r="T3528" s="86"/>
      <c r="U3528" s="86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48"/>
      <c r="BB3528" s="48"/>
      <c r="BC3528" s="48"/>
      <c r="BD3528" s="48"/>
    </row>
    <row r="3529" spans="1:56">
      <c r="A3529" s="48"/>
      <c r="B3529" s="48"/>
      <c r="C3529" s="49"/>
      <c r="D3529" s="48"/>
      <c r="E3529" s="48"/>
      <c r="F3529" s="48"/>
      <c r="G3529" s="48"/>
      <c r="H3529" s="48"/>
      <c r="I3529" s="48"/>
      <c r="J3529" s="86"/>
      <c r="K3529" s="86"/>
      <c r="L3529" s="86"/>
      <c r="M3529" s="86"/>
      <c r="N3529" s="86"/>
      <c r="O3529" s="86"/>
      <c r="P3529" s="86"/>
      <c r="Q3529" s="86"/>
      <c r="R3529" s="86"/>
      <c r="S3529" s="86"/>
      <c r="T3529" s="86"/>
      <c r="U3529" s="86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48"/>
      <c r="BB3529" s="48"/>
      <c r="BC3529" s="48"/>
      <c r="BD3529" s="48"/>
    </row>
    <row r="3530" spans="1:56">
      <c r="A3530" s="48"/>
      <c r="B3530" s="48"/>
      <c r="C3530" s="49"/>
      <c r="D3530" s="48"/>
      <c r="E3530" s="48"/>
      <c r="F3530" s="48"/>
      <c r="G3530" s="48"/>
      <c r="H3530" s="48"/>
      <c r="I3530" s="48"/>
      <c r="J3530" s="86"/>
      <c r="K3530" s="86"/>
      <c r="L3530" s="86"/>
      <c r="M3530" s="86"/>
      <c r="N3530" s="86"/>
      <c r="O3530" s="86"/>
      <c r="P3530" s="86"/>
      <c r="Q3530" s="86"/>
      <c r="R3530" s="86"/>
      <c r="S3530" s="86"/>
      <c r="T3530" s="86"/>
      <c r="U3530" s="86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48"/>
      <c r="BB3530" s="48"/>
      <c r="BC3530" s="48"/>
      <c r="BD3530" s="48"/>
    </row>
    <row r="3531" spans="1:56">
      <c r="A3531" s="48"/>
      <c r="B3531" s="48"/>
      <c r="C3531" s="49"/>
      <c r="D3531" s="48"/>
      <c r="E3531" s="48"/>
      <c r="F3531" s="48"/>
      <c r="G3531" s="48"/>
      <c r="H3531" s="48"/>
      <c r="I3531" s="48"/>
      <c r="J3531" s="86"/>
      <c r="K3531" s="86"/>
      <c r="L3531" s="86"/>
      <c r="M3531" s="86"/>
      <c r="N3531" s="86"/>
      <c r="O3531" s="86"/>
      <c r="P3531" s="86"/>
      <c r="Q3531" s="86"/>
      <c r="R3531" s="86"/>
      <c r="S3531" s="86"/>
      <c r="T3531" s="86"/>
      <c r="U3531" s="86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48"/>
      <c r="BB3531" s="48"/>
      <c r="BC3531" s="48"/>
      <c r="BD3531" s="48"/>
    </row>
    <row r="3532" spans="1:56">
      <c r="A3532" s="48"/>
      <c r="B3532" s="48"/>
      <c r="C3532" s="49"/>
      <c r="D3532" s="48"/>
      <c r="E3532" s="48"/>
      <c r="F3532" s="48"/>
      <c r="G3532" s="48"/>
      <c r="H3532" s="48"/>
      <c r="I3532" s="48"/>
      <c r="J3532" s="86"/>
      <c r="K3532" s="86"/>
      <c r="L3532" s="86"/>
      <c r="M3532" s="86"/>
      <c r="N3532" s="86"/>
      <c r="O3532" s="86"/>
      <c r="P3532" s="86"/>
      <c r="Q3532" s="86"/>
      <c r="R3532" s="86"/>
      <c r="S3532" s="86"/>
      <c r="T3532" s="86"/>
      <c r="U3532" s="86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48"/>
      <c r="BB3532" s="48"/>
      <c r="BC3532" s="48"/>
      <c r="BD3532" s="48"/>
    </row>
    <row r="3533" spans="1:56">
      <c r="A3533" s="48"/>
      <c r="B3533" s="48"/>
      <c r="C3533" s="49"/>
      <c r="D3533" s="48"/>
      <c r="E3533" s="48"/>
      <c r="F3533" s="48"/>
      <c r="G3533" s="48"/>
      <c r="H3533" s="48"/>
      <c r="I3533" s="48"/>
      <c r="J3533" s="86"/>
      <c r="K3533" s="86"/>
      <c r="L3533" s="86"/>
      <c r="M3533" s="86"/>
      <c r="N3533" s="86"/>
      <c r="O3533" s="86"/>
      <c r="P3533" s="86"/>
      <c r="Q3533" s="86"/>
      <c r="R3533" s="86"/>
      <c r="S3533" s="86"/>
      <c r="T3533" s="86"/>
      <c r="U3533" s="86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48"/>
      <c r="BB3533" s="48"/>
      <c r="BC3533" s="48"/>
      <c r="BD3533" s="48"/>
    </row>
    <row r="3534" spans="1:56">
      <c r="A3534" s="48"/>
      <c r="B3534" s="48"/>
      <c r="C3534" s="49"/>
      <c r="D3534" s="48"/>
      <c r="E3534" s="48"/>
      <c r="F3534" s="48"/>
      <c r="G3534" s="48"/>
      <c r="H3534" s="48"/>
      <c r="I3534" s="48"/>
      <c r="J3534" s="86"/>
      <c r="K3534" s="86"/>
      <c r="L3534" s="86"/>
      <c r="M3534" s="86"/>
      <c r="N3534" s="86"/>
      <c r="O3534" s="86"/>
      <c r="P3534" s="86"/>
      <c r="Q3534" s="86"/>
      <c r="R3534" s="86"/>
      <c r="S3534" s="86"/>
      <c r="T3534" s="86"/>
      <c r="U3534" s="86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48"/>
      <c r="BB3534" s="48"/>
      <c r="BC3534" s="48"/>
      <c r="BD3534" s="48"/>
    </row>
    <row r="3535" spans="1:56">
      <c r="A3535" s="48"/>
      <c r="B3535" s="48"/>
      <c r="C3535" s="49"/>
      <c r="D3535" s="48"/>
      <c r="E3535" s="48"/>
      <c r="F3535" s="48"/>
      <c r="G3535" s="48"/>
      <c r="H3535" s="48"/>
      <c r="I3535" s="48"/>
      <c r="J3535" s="86"/>
      <c r="K3535" s="86"/>
      <c r="L3535" s="86"/>
      <c r="M3535" s="86"/>
      <c r="N3535" s="86"/>
      <c r="O3535" s="86"/>
      <c r="P3535" s="86"/>
      <c r="Q3535" s="86"/>
      <c r="R3535" s="86"/>
      <c r="S3535" s="86"/>
      <c r="T3535" s="86"/>
      <c r="U3535" s="86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48"/>
      <c r="BB3535" s="48"/>
      <c r="BC3535" s="48"/>
      <c r="BD3535" s="48"/>
    </row>
    <row r="3536" spans="1:56">
      <c r="A3536" s="48"/>
      <c r="B3536" s="48"/>
      <c r="C3536" s="49"/>
      <c r="D3536" s="48"/>
      <c r="E3536" s="48"/>
      <c r="F3536" s="48"/>
      <c r="G3536" s="48"/>
      <c r="H3536" s="48"/>
      <c r="I3536" s="48"/>
      <c r="J3536" s="86"/>
      <c r="K3536" s="86"/>
      <c r="L3536" s="86"/>
      <c r="M3536" s="86"/>
      <c r="N3536" s="86"/>
      <c r="O3536" s="86"/>
      <c r="P3536" s="86"/>
      <c r="Q3536" s="86"/>
      <c r="R3536" s="86"/>
      <c r="S3536" s="86"/>
      <c r="T3536" s="86"/>
      <c r="U3536" s="86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48"/>
      <c r="BB3536" s="48"/>
      <c r="BC3536" s="48"/>
      <c r="BD3536" s="48"/>
    </row>
    <row r="3537" spans="1:56">
      <c r="A3537" s="48"/>
      <c r="B3537" s="48"/>
      <c r="C3537" s="49"/>
      <c r="D3537" s="48"/>
      <c r="E3537" s="48"/>
      <c r="F3537" s="48"/>
      <c r="G3537" s="48"/>
      <c r="H3537" s="48"/>
      <c r="I3537" s="48"/>
      <c r="J3537" s="86"/>
      <c r="K3537" s="86"/>
      <c r="L3537" s="86"/>
      <c r="M3537" s="86"/>
      <c r="N3537" s="86"/>
      <c r="O3537" s="86"/>
      <c r="P3537" s="86"/>
      <c r="Q3537" s="86"/>
      <c r="R3537" s="86"/>
      <c r="S3537" s="86"/>
      <c r="T3537" s="86"/>
      <c r="U3537" s="86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48"/>
      <c r="BB3537" s="48"/>
      <c r="BC3537" s="48"/>
      <c r="BD3537" s="48"/>
    </row>
    <row r="3538" spans="1:56">
      <c r="A3538" s="48"/>
      <c r="B3538" s="48"/>
      <c r="C3538" s="49"/>
      <c r="D3538" s="48"/>
      <c r="E3538" s="48"/>
      <c r="F3538" s="48"/>
      <c r="G3538" s="48"/>
      <c r="H3538" s="48"/>
      <c r="I3538" s="48"/>
      <c r="J3538" s="86"/>
      <c r="K3538" s="86"/>
      <c r="L3538" s="86"/>
      <c r="M3538" s="86"/>
      <c r="N3538" s="86"/>
      <c r="O3538" s="86"/>
      <c r="P3538" s="86"/>
      <c r="Q3538" s="86"/>
      <c r="R3538" s="86"/>
      <c r="S3538" s="86"/>
      <c r="T3538" s="86"/>
      <c r="U3538" s="86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48"/>
      <c r="BB3538" s="48"/>
      <c r="BC3538" s="48"/>
      <c r="BD3538" s="48"/>
    </row>
    <row r="3539" spans="1:56">
      <c r="A3539" s="48"/>
      <c r="B3539" s="48"/>
      <c r="C3539" s="49"/>
      <c r="D3539" s="48"/>
      <c r="E3539" s="48"/>
      <c r="F3539" s="48"/>
      <c r="G3539" s="48"/>
      <c r="H3539" s="48"/>
      <c r="I3539" s="48"/>
      <c r="J3539" s="86"/>
      <c r="K3539" s="86"/>
      <c r="L3539" s="86"/>
      <c r="M3539" s="86"/>
      <c r="N3539" s="86"/>
      <c r="O3539" s="86"/>
      <c r="P3539" s="86"/>
      <c r="Q3539" s="86"/>
      <c r="R3539" s="86"/>
      <c r="S3539" s="86"/>
      <c r="T3539" s="86"/>
      <c r="U3539" s="86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48"/>
      <c r="BB3539" s="48"/>
      <c r="BC3539" s="48"/>
      <c r="BD3539" s="48"/>
    </row>
    <row r="3540" spans="1:56">
      <c r="A3540" s="48"/>
      <c r="B3540" s="48"/>
      <c r="C3540" s="49"/>
      <c r="D3540" s="48"/>
      <c r="E3540" s="48"/>
      <c r="F3540" s="48"/>
      <c r="G3540" s="48"/>
      <c r="H3540" s="48"/>
      <c r="I3540" s="48"/>
      <c r="J3540" s="86"/>
      <c r="K3540" s="86"/>
      <c r="L3540" s="86"/>
      <c r="M3540" s="86"/>
      <c r="N3540" s="86"/>
      <c r="O3540" s="86"/>
      <c r="P3540" s="86"/>
      <c r="Q3540" s="86"/>
      <c r="R3540" s="86"/>
      <c r="S3540" s="86"/>
      <c r="T3540" s="86"/>
      <c r="U3540" s="86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48"/>
      <c r="BB3540" s="48"/>
      <c r="BC3540" s="48"/>
      <c r="BD3540" s="48"/>
    </row>
    <row r="3541" spans="1:56">
      <c r="A3541" s="48"/>
      <c r="B3541" s="48"/>
      <c r="C3541" s="49"/>
      <c r="D3541" s="48"/>
      <c r="E3541" s="48"/>
      <c r="F3541" s="48"/>
      <c r="G3541" s="48"/>
      <c r="H3541" s="48"/>
      <c r="I3541" s="48"/>
      <c r="J3541" s="86"/>
      <c r="K3541" s="86"/>
      <c r="L3541" s="86"/>
      <c r="M3541" s="86"/>
      <c r="N3541" s="86"/>
      <c r="O3541" s="86"/>
      <c r="P3541" s="86"/>
      <c r="Q3541" s="86"/>
      <c r="R3541" s="86"/>
      <c r="S3541" s="86"/>
      <c r="T3541" s="86"/>
      <c r="U3541" s="86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48"/>
      <c r="BB3541" s="48"/>
      <c r="BC3541" s="48"/>
      <c r="BD3541" s="48"/>
    </row>
    <row r="3542" spans="1:56">
      <c r="A3542" s="48"/>
      <c r="B3542" s="48"/>
      <c r="C3542" s="49"/>
      <c r="D3542" s="48"/>
      <c r="E3542" s="48"/>
      <c r="F3542" s="48"/>
      <c r="G3542" s="48"/>
      <c r="H3542" s="48"/>
      <c r="I3542" s="48"/>
      <c r="J3542" s="86"/>
      <c r="K3542" s="86"/>
      <c r="L3542" s="86"/>
      <c r="M3542" s="86"/>
      <c r="N3542" s="86"/>
      <c r="O3542" s="86"/>
      <c r="P3542" s="86"/>
      <c r="Q3542" s="86"/>
      <c r="R3542" s="86"/>
      <c r="S3542" s="86"/>
      <c r="T3542" s="86"/>
      <c r="U3542" s="86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48"/>
      <c r="BB3542" s="48"/>
      <c r="BC3542" s="48"/>
      <c r="BD3542" s="48"/>
    </row>
    <row r="3543" spans="1:56">
      <c r="A3543" s="48"/>
      <c r="B3543" s="48"/>
      <c r="C3543" s="49"/>
      <c r="D3543" s="48"/>
      <c r="E3543" s="48"/>
      <c r="F3543" s="48"/>
      <c r="G3543" s="48"/>
      <c r="H3543" s="48"/>
      <c r="I3543" s="48"/>
      <c r="J3543" s="86"/>
      <c r="K3543" s="86"/>
      <c r="L3543" s="86"/>
      <c r="M3543" s="86"/>
      <c r="N3543" s="86"/>
      <c r="O3543" s="86"/>
      <c r="P3543" s="86"/>
      <c r="Q3543" s="86"/>
      <c r="R3543" s="86"/>
      <c r="S3543" s="86"/>
      <c r="T3543" s="86"/>
      <c r="U3543" s="86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48"/>
      <c r="BB3543" s="48"/>
      <c r="BC3543" s="48"/>
      <c r="BD3543" s="48"/>
    </row>
    <row r="3544" spans="1:56">
      <c r="A3544" s="48"/>
      <c r="B3544" s="48"/>
      <c r="C3544" s="49"/>
      <c r="D3544" s="48"/>
      <c r="E3544" s="48"/>
      <c r="F3544" s="48"/>
      <c r="G3544" s="48"/>
      <c r="H3544" s="48"/>
      <c r="I3544" s="48"/>
      <c r="J3544" s="86"/>
      <c r="K3544" s="86"/>
      <c r="L3544" s="86"/>
      <c r="M3544" s="86"/>
      <c r="N3544" s="86"/>
      <c r="O3544" s="86"/>
      <c r="P3544" s="86"/>
      <c r="Q3544" s="86"/>
      <c r="R3544" s="86"/>
      <c r="S3544" s="86"/>
      <c r="T3544" s="86"/>
      <c r="U3544" s="86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48"/>
      <c r="BB3544" s="48"/>
      <c r="BC3544" s="48"/>
      <c r="BD3544" s="48"/>
    </row>
    <row r="3545" spans="1:56">
      <c r="A3545" s="48"/>
      <c r="B3545" s="48"/>
      <c r="C3545" s="49"/>
      <c r="D3545" s="48"/>
      <c r="E3545" s="48"/>
      <c r="F3545" s="48"/>
      <c r="G3545" s="48"/>
      <c r="H3545" s="48"/>
      <c r="I3545" s="48"/>
      <c r="J3545" s="86"/>
      <c r="K3545" s="86"/>
      <c r="L3545" s="86"/>
      <c r="M3545" s="86"/>
      <c r="N3545" s="86"/>
      <c r="O3545" s="86"/>
      <c r="P3545" s="86"/>
      <c r="Q3545" s="86"/>
      <c r="R3545" s="86"/>
      <c r="S3545" s="86"/>
      <c r="T3545" s="86"/>
      <c r="U3545" s="86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48"/>
      <c r="BB3545" s="48"/>
      <c r="BC3545" s="48"/>
      <c r="BD3545" s="48"/>
    </row>
    <row r="3546" spans="1:56">
      <c r="A3546" s="48"/>
      <c r="B3546" s="48"/>
      <c r="C3546" s="49"/>
      <c r="D3546" s="48"/>
      <c r="E3546" s="48"/>
      <c r="F3546" s="48"/>
      <c r="G3546" s="48"/>
      <c r="H3546" s="48"/>
      <c r="I3546" s="48"/>
      <c r="J3546" s="86"/>
      <c r="K3546" s="86"/>
      <c r="L3546" s="86"/>
      <c r="M3546" s="86"/>
      <c r="N3546" s="86"/>
      <c r="O3546" s="86"/>
      <c r="P3546" s="86"/>
      <c r="Q3546" s="86"/>
      <c r="R3546" s="86"/>
      <c r="S3546" s="86"/>
      <c r="T3546" s="86"/>
      <c r="U3546" s="86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48"/>
      <c r="BB3546" s="48"/>
      <c r="BC3546" s="48"/>
      <c r="BD3546" s="48"/>
    </row>
    <row r="3547" spans="1:56">
      <c r="A3547" s="48"/>
      <c r="B3547" s="48"/>
      <c r="C3547" s="49"/>
      <c r="D3547" s="48"/>
      <c r="E3547" s="48"/>
      <c r="F3547" s="48"/>
      <c r="G3547" s="48"/>
      <c r="H3547" s="48"/>
      <c r="I3547" s="48"/>
      <c r="J3547" s="86"/>
      <c r="K3547" s="86"/>
      <c r="L3547" s="86"/>
      <c r="M3547" s="86"/>
      <c r="N3547" s="86"/>
      <c r="O3547" s="86"/>
      <c r="P3547" s="86"/>
      <c r="Q3547" s="86"/>
      <c r="R3547" s="86"/>
      <c r="S3547" s="86"/>
      <c r="T3547" s="86"/>
      <c r="U3547" s="86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48"/>
      <c r="BB3547" s="48"/>
      <c r="BC3547" s="48"/>
      <c r="BD3547" s="48"/>
    </row>
    <row r="3548" spans="1:56">
      <c r="A3548" s="48"/>
      <c r="B3548" s="48"/>
      <c r="C3548" s="49"/>
      <c r="D3548" s="48"/>
      <c r="E3548" s="48"/>
      <c r="F3548" s="48"/>
      <c r="G3548" s="48"/>
      <c r="H3548" s="48"/>
      <c r="I3548" s="48"/>
      <c r="J3548" s="86"/>
      <c r="K3548" s="86"/>
      <c r="L3548" s="86"/>
      <c r="M3548" s="86"/>
      <c r="N3548" s="86"/>
      <c r="O3548" s="86"/>
      <c r="P3548" s="86"/>
      <c r="Q3548" s="86"/>
      <c r="R3548" s="86"/>
      <c r="S3548" s="86"/>
      <c r="T3548" s="86"/>
      <c r="U3548" s="86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48"/>
      <c r="BB3548" s="48"/>
      <c r="BC3548" s="48"/>
      <c r="BD3548" s="48"/>
    </row>
    <row r="3549" spans="1:56">
      <c r="A3549" s="48"/>
      <c r="B3549" s="48"/>
      <c r="C3549" s="49"/>
      <c r="D3549" s="48"/>
      <c r="E3549" s="48"/>
      <c r="F3549" s="48"/>
      <c r="G3549" s="48"/>
      <c r="H3549" s="48"/>
      <c r="I3549" s="48"/>
      <c r="J3549" s="86"/>
      <c r="K3549" s="86"/>
      <c r="L3549" s="86"/>
      <c r="M3549" s="86"/>
      <c r="N3549" s="86"/>
      <c r="O3549" s="86"/>
      <c r="P3549" s="86"/>
      <c r="Q3549" s="86"/>
      <c r="R3549" s="86"/>
      <c r="S3549" s="86"/>
      <c r="T3549" s="86"/>
      <c r="U3549" s="86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48"/>
      <c r="BB3549" s="48"/>
      <c r="BC3549" s="48"/>
      <c r="BD3549" s="48"/>
    </row>
    <row r="3550" spans="1:56">
      <c r="A3550" s="48"/>
      <c r="B3550" s="48"/>
      <c r="C3550" s="49"/>
      <c r="D3550" s="48"/>
      <c r="E3550" s="48"/>
      <c r="F3550" s="48"/>
      <c r="G3550" s="48"/>
      <c r="H3550" s="48"/>
      <c r="I3550" s="48"/>
      <c r="J3550" s="86"/>
      <c r="K3550" s="86"/>
      <c r="L3550" s="86"/>
      <c r="M3550" s="86"/>
      <c r="N3550" s="86"/>
      <c r="O3550" s="86"/>
      <c r="P3550" s="86"/>
      <c r="Q3550" s="86"/>
      <c r="R3550" s="86"/>
      <c r="S3550" s="86"/>
      <c r="T3550" s="86"/>
      <c r="U3550" s="86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48"/>
      <c r="BB3550" s="48"/>
      <c r="BC3550" s="48"/>
      <c r="BD3550" s="48"/>
    </row>
    <row r="3551" spans="1:56">
      <c r="A3551" s="48"/>
      <c r="B3551" s="48"/>
      <c r="C3551" s="49"/>
      <c r="D3551" s="48"/>
      <c r="E3551" s="48"/>
      <c r="F3551" s="48"/>
      <c r="G3551" s="48"/>
      <c r="H3551" s="48"/>
      <c r="I3551" s="48"/>
      <c r="J3551" s="86"/>
      <c r="K3551" s="86"/>
      <c r="L3551" s="86"/>
      <c r="M3551" s="86"/>
      <c r="N3551" s="86"/>
      <c r="O3551" s="86"/>
      <c r="P3551" s="86"/>
      <c r="Q3551" s="86"/>
      <c r="R3551" s="86"/>
      <c r="S3551" s="86"/>
      <c r="T3551" s="86"/>
      <c r="U3551" s="86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48"/>
      <c r="BB3551" s="48"/>
      <c r="BC3551" s="48"/>
      <c r="BD3551" s="48"/>
    </row>
    <row r="3552" spans="1:56">
      <c r="A3552" s="48"/>
      <c r="B3552" s="48"/>
      <c r="C3552" s="49"/>
      <c r="D3552" s="48"/>
      <c r="E3552" s="48"/>
      <c r="F3552" s="48"/>
      <c r="G3552" s="48"/>
      <c r="H3552" s="48"/>
      <c r="I3552" s="48"/>
      <c r="J3552" s="86"/>
      <c r="K3552" s="86"/>
      <c r="L3552" s="86"/>
      <c r="M3552" s="86"/>
      <c r="N3552" s="86"/>
      <c r="O3552" s="86"/>
      <c r="P3552" s="86"/>
      <c r="Q3552" s="86"/>
      <c r="R3552" s="86"/>
      <c r="S3552" s="86"/>
      <c r="T3552" s="86"/>
      <c r="U3552" s="86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48"/>
      <c r="BB3552" s="48"/>
      <c r="BC3552" s="48"/>
      <c r="BD3552" s="48"/>
    </row>
    <row r="3553" spans="1:56">
      <c r="A3553" s="48"/>
      <c r="B3553" s="48"/>
      <c r="C3553" s="49"/>
      <c r="D3553" s="48"/>
      <c r="E3553" s="48"/>
      <c r="F3553" s="48"/>
      <c r="G3553" s="48"/>
      <c r="H3553" s="48"/>
      <c r="I3553" s="48"/>
      <c r="J3553" s="86"/>
      <c r="K3553" s="86"/>
      <c r="L3553" s="86"/>
      <c r="M3553" s="86"/>
      <c r="N3553" s="86"/>
      <c r="O3553" s="86"/>
      <c r="P3553" s="86"/>
      <c r="Q3553" s="86"/>
      <c r="R3553" s="86"/>
      <c r="S3553" s="86"/>
      <c r="T3553" s="86"/>
      <c r="U3553" s="86"/>
      <c r="V3553" s="48"/>
      <c r="W3553" s="48"/>
      <c r="X3553" s="48"/>
      <c r="Y3553" s="48"/>
      <c r="Z3553" s="48"/>
      <c r="AA3553" s="48"/>
      <c r="AB3553" s="48"/>
      <c r="AC3553" s="48"/>
      <c r="AD3553" s="48"/>
      <c r="AE3553" s="48"/>
      <c r="AF3553" s="48"/>
      <c r="AG3553" s="48"/>
      <c r="AH3553" s="48"/>
      <c r="AI3553" s="48"/>
      <c r="AJ3553" s="48"/>
      <c r="AK3553" s="48"/>
      <c r="AL3553" s="48"/>
      <c r="AM3553" s="48"/>
      <c r="AN3553" s="48"/>
      <c r="AO3553" s="48"/>
      <c r="AP3553" s="48"/>
      <c r="AQ3553" s="48"/>
      <c r="AR3553" s="48"/>
      <c r="AS3553" s="48"/>
      <c r="AT3553" s="48"/>
      <c r="AU3553" s="48"/>
      <c r="AV3553" s="48"/>
      <c r="AW3553" s="48"/>
      <c r="AX3553" s="48"/>
      <c r="AY3553" s="48"/>
      <c r="AZ3553" s="48"/>
      <c r="BA3553" s="48"/>
      <c r="BB3553" s="48"/>
      <c r="BC3553" s="48"/>
      <c r="BD3553" s="48"/>
    </row>
    <row r="3554" spans="1:56">
      <c r="A3554" s="48"/>
      <c r="B3554" s="48"/>
      <c r="C3554" s="49"/>
      <c r="D3554" s="48"/>
      <c r="E3554" s="48"/>
      <c r="F3554" s="48"/>
      <c r="G3554" s="48"/>
      <c r="H3554" s="48"/>
      <c r="I3554" s="48"/>
      <c r="J3554" s="86"/>
      <c r="K3554" s="86"/>
      <c r="L3554" s="86"/>
      <c r="M3554" s="86"/>
      <c r="N3554" s="86"/>
      <c r="O3554" s="86"/>
      <c r="P3554" s="86"/>
      <c r="Q3554" s="86"/>
      <c r="R3554" s="86"/>
      <c r="S3554" s="86"/>
      <c r="T3554" s="86"/>
      <c r="U3554" s="86"/>
      <c r="V3554" s="48"/>
      <c r="W3554" s="48"/>
      <c r="X3554" s="48"/>
      <c r="Y3554" s="48"/>
      <c r="Z3554" s="48"/>
      <c r="AA3554" s="48"/>
      <c r="AB3554" s="48"/>
      <c r="AC3554" s="48"/>
      <c r="AD3554" s="48"/>
      <c r="AE3554" s="48"/>
      <c r="AF3554" s="48"/>
      <c r="AG3554" s="48"/>
      <c r="AH3554" s="48"/>
      <c r="AI3554" s="48"/>
      <c r="AJ3554" s="48"/>
      <c r="AK3554" s="48"/>
      <c r="AL3554" s="48"/>
      <c r="AM3554" s="48"/>
      <c r="AN3554" s="48"/>
      <c r="AO3554" s="48"/>
      <c r="AP3554" s="48"/>
      <c r="AQ3554" s="48"/>
      <c r="AR3554" s="48"/>
      <c r="AS3554" s="48"/>
      <c r="AT3554" s="48"/>
      <c r="AU3554" s="48"/>
      <c r="AV3554" s="48"/>
      <c r="AW3554" s="48"/>
      <c r="AX3554" s="48"/>
      <c r="AY3554" s="48"/>
      <c r="AZ3554" s="48"/>
      <c r="BA3554" s="48"/>
      <c r="BB3554" s="48"/>
      <c r="BC3554" s="48"/>
      <c r="BD3554" s="48"/>
    </row>
    <row r="3555" spans="1:56">
      <c r="A3555" s="48"/>
      <c r="B3555" s="48"/>
      <c r="C3555" s="49"/>
      <c r="D3555" s="48"/>
      <c r="E3555" s="48"/>
      <c r="F3555" s="48"/>
      <c r="G3555" s="48"/>
      <c r="H3555" s="48"/>
      <c r="I3555" s="48"/>
      <c r="J3555" s="86"/>
      <c r="K3555" s="86"/>
      <c r="L3555" s="86"/>
      <c r="M3555" s="86"/>
      <c r="N3555" s="86"/>
      <c r="O3555" s="86"/>
      <c r="P3555" s="86"/>
      <c r="Q3555" s="86"/>
      <c r="R3555" s="86"/>
      <c r="S3555" s="86"/>
      <c r="T3555" s="86"/>
      <c r="U3555" s="86"/>
      <c r="V3555" s="48"/>
      <c r="W3555" s="48"/>
      <c r="X3555" s="48"/>
      <c r="Y3555" s="48"/>
      <c r="Z3555" s="48"/>
      <c r="AA3555" s="48"/>
      <c r="AB3555" s="48"/>
      <c r="AC3555" s="48"/>
      <c r="AD3555" s="48"/>
      <c r="AE3555" s="48"/>
      <c r="AF3555" s="48"/>
      <c r="AG3555" s="48"/>
      <c r="AH3555" s="48"/>
      <c r="AI3555" s="48"/>
      <c r="AJ3555" s="48"/>
      <c r="AK3555" s="48"/>
      <c r="AL3555" s="48"/>
      <c r="AM3555" s="48"/>
      <c r="AN3555" s="48"/>
      <c r="AO3555" s="48"/>
      <c r="AP3555" s="48"/>
      <c r="AQ3555" s="48"/>
      <c r="AR3555" s="48"/>
      <c r="AS3555" s="48"/>
      <c r="AT3555" s="48"/>
      <c r="AU3555" s="48"/>
      <c r="AV3555" s="48"/>
      <c r="AW3555" s="48"/>
      <c r="AX3555" s="48"/>
      <c r="AY3555" s="48"/>
      <c r="AZ3555" s="48"/>
      <c r="BA3555" s="48"/>
      <c r="BB3555" s="48"/>
      <c r="BC3555" s="48"/>
      <c r="BD3555" s="48"/>
    </row>
    <row r="3556" spans="1:56">
      <c r="A3556" s="48"/>
      <c r="B3556" s="48"/>
      <c r="C3556" s="49"/>
      <c r="D3556" s="48"/>
      <c r="E3556" s="48"/>
      <c r="F3556" s="48"/>
      <c r="G3556" s="48"/>
      <c r="H3556" s="48"/>
      <c r="I3556" s="48"/>
      <c r="J3556" s="86"/>
      <c r="K3556" s="86"/>
      <c r="L3556" s="86"/>
      <c r="M3556" s="86"/>
      <c r="N3556" s="86"/>
      <c r="O3556" s="86"/>
      <c r="P3556" s="86"/>
      <c r="Q3556" s="86"/>
      <c r="R3556" s="86"/>
      <c r="S3556" s="86"/>
      <c r="T3556" s="86"/>
      <c r="U3556" s="86"/>
      <c r="V3556" s="48"/>
      <c r="W3556" s="48"/>
      <c r="X3556" s="48"/>
      <c r="Y3556" s="48"/>
      <c r="Z3556" s="48"/>
      <c r="AA3556" s="48"/>
      <c r="AB3556" s="48"/>
      <c r="AC3556" s="48"/>
      <c r="AD3556" s="48"/>
      <c r="AE3556" s="48"/>
      <c r="AF3556" s="48"/>
      <c r="AG3556" s="48"/>
      <c r="AH3556" s="48"/>
      <c r="AI3556" s="48"/>
      <c r="AJ3556" s="48"/>
      <c r="AK3556" s="48"/>
      <c r="AL3556" s="48"/>
      <c r="AM3556" s="48"/>
      <c r="AN3556" s="48"/>
      <c r="AO3556" s="48"/>
      <c r="AP3556" s="48"/>
      <c r="AQ3556" s="48"/>
      <c r="AR3556" s="48"/>
      <c r="AS3556" s="48"/>
      <c r="AT3556" s="48"/>
      <c r="AU3556" s="48"/>
      <c r="AV3556" s="48"/>
      <c r="AW3556" s="48"/>
      <c r="AX3556" s="48"/>
      <c r="AY3556" s="48"/>
      <c r="AZ3556" s="48"/>
      <c r="BA3556" s="48"/>
      <c r="BB3556" s="48"/>
      <c r="BC3556" s="48"/>
      <c r="BD3556" s="48"/>
    </row>
    <row r="3557" spans="1:56">
      <c r="A3557" s="48"/>
      <c r="B3557" s="48"/>
      <c r="C3557" s="49"/>
      <c r="D3557" s="48"/>
      <c r="E3557" s="48"/>
      <c r="F3557" s="48"/>
      <c r="G3557" s="48"/>
      <c r="H3557" s="48"/>
      <c r="I3557" s="48"/>
      <c r="J3557" s="86"/>
      <c r="K3557" s="86"/>
      <c r="L3557" s="86"/>
      <c r="M3557" s="86"/>
      <c r="N3557" s="86"/>
      <c r="O3557" s="86"/>
      <c r="P3557" s="86"/>
      <c r="Q3557" s="86"/>
      <c r="R3557" s="86"/>
      <c r="S3557" s="86"/>
      <c r="T3557" s="86"/>
      <c r="U3557" s="86"/>
      <c r="V3557" s="48"/>
      <c r="W3557" s="48"/>
      <c r="X3557" s="48"/>
      <c r="Y3557" s="48"/>
      <c r="Z3557" s="48"/>
      <c r="AA3557" s="48"/>
      <c r="AB3557" s="48"/>
      <c r="AC3557" s="48"/>
      <c r="AD3557" s="48"/>
      <c r="AE3557" s="48"/>
      <c r="AF3557" s="48"/>
      <c r="AG3557" s="48"/>
      <c r="AH3557" s="48"/>
      <c r="AI3557" s="48"/>
      <c r="AJ3557" s="48"/>
      <c r="AK3557" s="48"/>
      <c r="AL3557" s="48"/>
      <c r="AM3557" s="48"/>
      <c r="AN3557" s="48"/>
      <c r="AO3557" s="48"/>
      <c r="AP3557" s="48"/>
      <c r="AQ3557" s="48"/>
      <c r="AR3557" s="48"/>
      <c r="AS3557" s="48"/>
      <c r="AT3557" s="48"/>
      <c r="AU3557" s="48"/>
      <c r="AV3557" s="48"/>
      <c r="AW3557" s="48"/>
      <c r="AX3557" s="48"/>
      <c r="AY3557" s="48"/>
      <c r="AZ3557" s="48"/>
      <c r="BA3557" s="48"/>
      <c r="BB3557" s="48"/>
      <c r="BC3557" s="48"/>
      <c r="BD3557" s="48"/>
    </row>
    <row r="3558" spans="1:56">
      <c r="A3558" s="48"/>
      <c r="B3558" s="48"/>
      <c r="C3558" s="49"/>
      <c r="D3558" s="48"/>
      <c r="E3558" s="48"/>
      <c r="F3558" s="48"/>
      <c r="G3558" s="48"/>
      <c r="H3558" s="48"/>
      <c r="I3558" s="48"/>
      <c r="J3558" s="86"/>
      <c r="K3558" s="86"/>
      <c r="L3558" s="86"/>
      <c r="M3558" s="86"/>
      <c r="N3558" s="86"/>
      <c r="O3558" s="86"/>
      <c r="P3558" s="86"/>
      <c r="Q3558" s="86"/>
      <c r="R3558" s="86"/>
      <c r="S3558" s="86"/>
      <c r="T3558" s="86"/>
      <c r="U3558" s="86"/>
      <c r="V3558" s="48"/>
      <c r="W3558" s="48"/>
      <c r="X3558" s="48"/>
      <c r="Y3558" s="48"/>
      <c r="Z3558" s="48"/>
      <c r="AA3558" s="48"/>
      <c r="AB3558" s="48"/>
      <c r="AC3558" s="48"/>
      <c r="AD3558" s="48"/>
      <c r="AE3558" s="48"/>
      <c r="AF3558" s="48"/>
      <c r="AG3558" s="48"/>
      <c r="AH3558" s="48"/>
      <c r="AI3558" s="48"/>
      <c r="AJ3558" s="48"/>
      <c r="AK3558" s="48"/>
      <c r="AL3558" s="48"/>
      <c r="AM3558" s="48"/>
      <c r="AN3558" s="48"/>
      <c r="AO3558" s="48"/>
      <c r="AP3558" s="48"/>
      <c r="AQ3558" s="48"/>
      <c r="AR3558" s="48"/>
      <c r="AS3558" s="48"/>
      <c r="AT3558" s="48"/>
      <c r="AU3558" s="48"/>
      <c r="AV3558" s="48"/>
      <c r="AW3558" s="48"/>
      <c r="AX3558" s="48"/>
      <c r="AY3558" s="48"/>
      <c r="AZ3558" s="48"/>
      <c r="BA3558" s="48"/>
      <c r="BB3558" s="48"/>
      <c r="BC3558" s="48"/>
      <c r="BD3558" s="48"/>
    </row>
    <row r="3559" spans="1:56">
      <c r="A3559" s="48"/>
      <c r="B3559" s="48"/>
      <c r="C3559" s="49"/>
      <c r="D3559" s="48"/>
      <c r="E3559" s="48"/>
      <c r="F3559" s="48"/>
      <c r="G3559" s="48"/>
      <c r="H3559" s="48"/>
      <c r="I3559" s="48"/>
      <c r="J3559" s="86"/>
      <c r="K3559" s="86"/>
      <c r="L3559" s="86"/>
      <c r="M3559" s="86"/>
      <c r="N3559" s="86"/>
      <c r="O3559" s="86"/>
      <c r="P3559" s="86"/>
      <c r="Q3559" s="86"/>
      <c r="R3559" s="86"/>
      <c r="S3559" s="86"/>
      <c r="T3559" s="86"/>
      <c r="U3559" s="86"/>
      <c r="V3559" s="48"/>
      <c r="W3559" s="48"/>
      <c r="X3559" s="48"/>
      <c r="Y3559" s="48"/>
      <c r="Z3559" s="48"/>
      <c r="AA3559" s="48"/>
      <c r="AB3559" s="48"/>
      <c r="AC3559" s="48"/>
      <c r="AD3559" s="48"/>
      <c r="AE3559" s="48"/>
      <c r="AF3559" s="48"/>
      <c r="AG3559" s="48"/>
      <c r="AH3559" s="48"/>
      <c r="AI3559" s="48"/>
      <c r="AJ3559" s="48"/>
      <c r="AK3559" s="48"/>
      <c r="AL3559" s="48"/>
      <c r="AM3559" s="48"/>
      <c r="AN3559" s="48"/>
      <c r="AO3559" s="48"/>
      <c r="AP3559" s="48"/>
      <c r="AQ3559" s="48"/>
      <c r="AR3559" s="48"/>
      <c r="AS3559" s="48"/>
      <c r="AT3559" s="48"/>
      <c r="AU3559" s="48"/>
      <c r="AV3559" s="48"/>
      <c r="AW3559" s="48"/>
      <c r="AX3559" s="48"/>
      <c r="AY3559" s="48"/>
      <c r="AZ3559" s="48"/>
      <c r="BA3559" s="48"/>
      <c r="BB3559" s="48"/>
      <c r="BC3559" s="48"/>
      <c r="BD3559" s="48"/>
    </row>
    <row r="3560" spans="1:56">
      <c r="A3560" s="48"/>
      <c r="B3560" s="48"/>
      <c r="C3560" s="49"/>
      <c r="D3560" s="48"/>
      <c r="E3560" s="48"/>
      <c r="F3560" s="48"/>
      <c r="G3560" s="48"/>
      <c r="H3560" s="48"/>
      <c r="I3560" s="48"/>
      <c r="J3560" s="86"/>
      <c r="K3560" s="86"/>
      <c r="L3560" s="86"/>
      <c r="M3560" s="86"/>
      <c r="N3560" s="86"/>
      <c r="O3560" s="86"/>
      <c r="P3560" s="86"/>
      <c r="Q3560" s="86"/>
      <c r="R3560" s="86"/>
      <c r="S3560" s="86"/>
      <c r="T3560" s="86"/>
      <c r="U3560" s="86"/>
      <c r="V3560" s="48"/>
      <c r="W3560" s="48"/>
      <c r="X3560" s="48"/>
      <c r="Y3560" s="48"/>
      <c r="Z3560" s="48"/>
      <c r="AA3560" s="48"/>
      <c r="AB3560" s="48"/>
      <c r="AC3560" s="48"/>
      <c r="AD3560" s="48"/>
      <c r="AE3560" s="48"/>
      <c r="AF3560" s="48"/>
      <c r="AG3560" s="48"/>
      <c r="AH3560" s="48"/>
      <c r="AI3560" s="48"/>
      <c r="AJ3560" s="48"/>
      <c r="AK3560" s="48"/>
      <c r="AL3560" s="48"/>
      <c r="AM3560" s="48"/>
      <c r="AN3560" s="48"/>
      <c r="AO3560" s="48"/>
      <c r="AP3560" s="48"/>
      <c r="AQ3560" s="48"/>
      <c r="AR3560" s="48"/>
      <c r="AS3560" s="48"/>
      <c r="AT3560" s="48"/>
      <c r="AU3560" s="48"/>
      <c r="AV3560" s="48"/>
      <c r="AW3560" s="48"/>
      <c r="AX3560" s="48"/>
      <c r="AY3560" s="48"/>
      <c r="AZ3560" s="48"/>
      <c r="BA3560" s="48"/>
      <c r="BB3560" s="48"/>
      <c r="BC3560" s="48"/>
      <c r="BD3560" s="48"/>
    </row>
    <row r="3561" spans="1:56">
      <c r="A3561" s="48"/>
      <c r="B3561" s="48"/>
      <c r="C3561" s="49"/>
      <c r="D3561" s="48"/>
      <c r="E3561" s="48"/>
      <c r="F3561" s="48"/>
      <c r="G3561" s="48"/>
      <c r="H3561" s="48"/>
      <c r="I3561" s="48"/>
      <c r="J3561" s="86"/>
      <c r="K3561" s="86"/>
      <c r="L3561" s="86"/>
      <c r="M3561" s="86"/>
      <c r="N3561" s="86"/>
      <c r="O3561" s="86"/>
      <c r="P3561" s="86"/>
      <c r="Q3561" s="86"/>
      <c r="R3561" s="86"/>
      <c r="S3561" s="86"/>
      <c r="T3561" s="86"/>
      <c r="U3561" s="86"/>
      <c r="V3561" s="48"/>
      <c r="W3561" s="48"/>
      <c r="X3561" s="48"/>
      <c r="Y3561" s="48"/>
      <c r="Z3561" s="48"/>
      <c r="AA3561" s="48"/>
      <c r="AB3561" s="48"/>
      <c r="AC3561" s="48"/>
      <c r="AD3561" s="48"/>
      <c r="AE3561" s="48"/>
      <c r="AF3561" s="48"/>
      <c r="AG3561" s="48"/>
      <c r="AH3561" s="48"/>
      <c r="AI3561" s="48"/>
      <c r="AJ3561" s="48"/>
      <c r="AK3561" s="48"/>
      <c r="AL3561" s="48"/>
      <c r="AM3561" s="48"/>
      <c r="AN3561" s="48"/>
      <c r="AO3561" s="48"/>
      <c r="AP3561" s="48"/>
      <c r="AQ3561" s="48"/>
      <c r="AR3561" s="48"/>
      <c r="AS3561" s="48"/>
      <c r="AT3561" s="48"/>
      <c r="AU3561" s="48"/>
      <c r="AV3561" s="48"/>
      <c r="AW3561" s="48"/>
      <c r="AX3561" s="48"/>
      <c r="AY3561" s="48"/>
      <c r="AZ3561" s="48"/>
      <c r="BA3561" s="48"/>
      <c r="BB3561" s="48"/>
      <c r="BC3561" s="48"/>
      <c r="BD3561" s="48"/>
    </row>
    <row r="3562" spans="1:56">
      <c r="A3562" s="48"/>
      <c r="B3562" s="48"/>
      <c r="C3562" s="49"/>
      <c r="D3562" s="48"/>
      <c r="E3562" s="48"/>
      <c r="F3562" s="48"/>
      <c r="G3562" s="48"/>
      <c r="H3562" s="48"/>
      <c r="I3562" s="48"/>
      <c r="J3562" s="86"/>
      <c r="K3562" s="86"/>
      <c r="L3562" s="86"/>
      <c r="M3562" s="86"/>
      <c r="N3562" s="86"/>
      <c r="O3562" s="86"/>
      <c r="P3562" s="86"/>
      <c r="Q3562" s="86"/>
      <c r="R3562" s="86"/>
      <c r="S3562" s="86"/>
      <c r="T3562" s="86"/>
      <c r="U3562" s="86"/>
      <c r="V3562" s="48"/>
      <c r="W3562" s="48"/>
      <c r="X3562" s="48"/>
      <c r="Y3562" s="48"/>
      <c r="Z3562" s="48"/>
      <c r="AA3562" s="48"/>
      <c r="AB3562" s="48"/>
      <c r="AC3562" s="48"/>
      <c r="AD3562" s="48"/>
      <c r="AE3562" s="48"/>
      <c r="AF3562" s="48"/>
      <c r="AG3562" s="48"/>
      <c r="AH3562" s="48"/>
      <c r="AI3562" s="48"/>
      <c r="AJ3562" s="48"/>
      <c r="AK3562" s="48"/>
      <c r="AL3562" s="48"/>
      <c r="AM3562" s="48"/>
      <c r="AN3562" s="48"/>
      <c r="AO3562" s="48"/>
      <c r="AP3562" s="48"/>
      <c r="AQ3562" s="48"/>
      <c r="AR3562" s="48"/>
      <c r="AS3562" s="48"/>
      <c r="AT3562" s="48"/>
      <c r="AU3562" s="48"/>
      <c r="AV3562" s="48"/>
      <c r="AW3562" s="48"/>
      <c r="AX3562" s="48"/>
      <c r="AY3562" s="48"/>
      <c r="AZ3562" s="48"/>
      <c r="BA3562" s="48"/>
      <c r="BB3562" s="48"/>
      <c r="BC3562" s="48"/>
      <c r="BD3562" s="48"/>
    </row>
    <row r="3563" spans="1:56">
      <c r="A3563" s="48"/>
      <c r="B3563" s="48"/>
      <c r="C3563" s="49"/>
      <c r="D3563" s="48"/>
      <c r="E3563" s="48"/>
      <c r="F3563" s="48"/>
      <c r="G3563" s="48"/>
      <c r="H3563" s="48"/>
      <c r="I3563" s="48"/>
      <c r="J3563" s="86"/>
      <c r="K3563" s="86"/>
      <c r="L3563" s="86"/>
      <c r="M3563" s="86"/>
      <c r="N3563" s="86"/>
      <c r="O3563" s="86"/>
      <c r="P3563" s="86"/>
      <c r="Q3563" s="86"/>
      <c r="R3563" s="86"/>
      <c r="S3563" s="86"/>
      <c r="T3563" s="86"/>
      <c r="U3563" s="86"/>
      <c r="V3563" s="48"/>
      <c r="W3563" s="48"/>
      <c r="X3563" s="48"/>
      <c r="Y3563" s="48"/>
      <c r="Z3563" s="48"/>
      <c r="AA3563" s="48"/>
      <c r="AB3563" s="48"/>
      <c r="AC3563" s="48"/>
      <c r="AD3563" s="48"/>
      <c r="AE3563" s="48"/>
      <c r="AF3563" s="48"/>
      <c r="AG3563" s="48"/>
      <c r="AH3563" s="48"/>
      <c r="AI3563" s="48"/>
      <c r="AJ3563" s="48"/>
      <c r="AK3563" s="48"/>
      <c r="AL3563" s="48"/>
      <c r="AM3563" s="48"/>
      <c r="AN3563" s="48"/>
      <c r="AO3563" s="48"/>
      <c r="AP3563" s="48"/>
      <c r="AQ3563" s="48"/>
      <c r="AR3563" s="48"/>
      <c r="AS3563" s="48"/>
      <c r="AT3563" s="48"/>
      <c r="AU3563" s="48"/>
      <c r="AV3563" s="48"/>
      <c r="AW3563" s="48"/>
      <c r="AX3563" s="48"/>
      <c r="AY3563" s="48"/>
      <c r="AZ3563" s="48"/>
      <c r="BA3563" s="48"/>
      <c r="BB3563" s="48"/>
      <c r="BC3563" s="48"/>
      <c r="BD3563" s="48"/>
    </row>
    <row r="3564" spans="1:56">
      <c r="A3564" s="48"/>
      <c r="B3564" s="48"/>
      <c r="C3564" s="49"/>
      <c r="D3564" s="48"/>
      <c r="E3564" s="48"/>
      <c r="F3564" s="48"/>
      <c r="G3564" s="48"/>
      <c r="H3564" s="48"/>
      <c r="I3564" s="48"/>
      <c r="J3564" s="86"/>
      <c r="K3564" s="86"/>
      <c r="L3564" s="86"/>
      <c r="M3564" s="86"/>
      <c r="N3564" s="86"/>
      <c r="O3564" s="86"/>
      <c r="P3564" s="86"/>
      <c r="Q3564" s="86"/>
      <c r="R3564" s="86"/>
      <c r="S3564" s="86"/>
      <c r="T3564" s="86"/>
      <c r="U3564" s="86"/>
      <c r="V3564" s="48"/>
      <c r="W3564" s="48"/>
      <c r="X3564" s="48"/>
      <c r="Y3564" s="48"/>
      <c r="Z3564" s="48"/>
      <c r="AA3564" s="48"/>
      <c r="AB3564" s="48"/>
      <c r="AC3564" s="48"/>
      <c r="AD3564" s="48"/>
      <c r="AE3564" s="48"/>
      <c r="AF3564" s="48"/>
      <c r="AG3564" s="48"/>
      <c r="AH3564" s="48"/>
      <c r="AI3564" s="48"/>
      <c r="AJ3564" s="48"/>
      <c r="AK3564" s="48"/>
      <c r="AL3564" s="48"/>
      <c r="AM3564" s="48"/>
      <c r="AN3564" s="48"/>
      <c r="AO3564" s="48"/>
      <c r="AP3564" s="48"/>
      <c r="AQ3564" s="48"/>
      <c r="AR3564" s="48"/>
      <c r="AS3564" s="48"/>
      <c r="AT3564" s="48"/>
      <c r="AU3564" s="48"/>
      <c r="AV3564" s="48"/>
      <c r="AW3564" s="48"/>
      <c r="AX3564" s="48"/>
      <c r="AY3564" s="48"/>
      <c r="AZ3564" s="48"/>
      <c r="BA3564" s="48"/>
      <c r="BB3564" s="48"/>
      <c r="BC3564" s="48"/>
      <c r="BD3564" s="48"/>
    </row>
    <row r="3565" spans="1:56">
      <c r="A3565" s="48"/>
      <c r="B3565" s="48"/>
      <c r="C3565" s="49"/>
      <c r="D3565" s="48"/>
      <c r="E3565" s="48"/>
      <c r="F3565" s="48"/>
      <c r="G3565" s="48"/>
      <c r="H3565" s="48"/>
      <c r="I3565" s="48"/>
      <c r="J3565" s="86"/>
      <c r="K3565" s="86"/>
      <c r="L3565" s="86"/>
      <c r="M3565" s="86"/>
      <c r="N3565" s="86"/>
      <c r="O3565" s="86"/>
      <c r="P3565" s="86"/>
      <c r="Q3565" s="86"/>
      <c r="R3565" s="86"/>
      <c r="S3565" s="86"/>
      <c r="T3565" s="86"/>
      <c r="U3565" s="86"/>
      <c r="V3565" s="48"/>
      <c r="W3565" s="48"/>
      <c r="X3565" s="48"/>
      <c r="Y3565" s="48"/>
      <c r="Z3565" s="48"/>
      <c r="AA3565" s="48"/>
      <c r="AB3565" s="48"/>
      <c r="AC3565" s="48"/>
      <c r="AD3565" s="48"/>
      <c r="AE3565" s="48"/>
      <c r="AF3565" s="48"/>
      <c r="AG3565" s="48"/>
      <c r="AH3565" s="48"/>
      <c r="AI3565" s="48"/>
      <c r="AJ3565" s="48"/>
      <c r="AK3565" s="48"/>
      <c r="AL3565" s="48"/>
      <c r="AM3565" s="48"/>
      <c r="AN3565" s="48"/>
      <c r="AO3565" s="48"/>
      <c r="AP3565" s="48"/>
      <c r="AQ3565" s="48"/>
      <c r="AR3565" s="48"/>
      <c r="AS3565" s="48"/>
      <c r="AT3565" s="48"/>
      <c r="AU3565" s="48"/>
      <c r="AV3565" s="48"/>
      <c r="AW3565" s="48"/>
      <c r="AX3565" s="48"/>
      <c r="AY3565" s="48"/>
      <c r="AZ3565" s="48"/>
      <c r="BA3565" s="48"/>
      <c r="BB3565" s="48"/>
      <c r="BC3565" s="48"/>
      <c r="BD3565" s="48"/>
    </row>
    <row r="3566" spans="1:56">
      <c r="A3566" s="48"/>
      <c r="B3566" s="48"/>
      <c r="C3566" s="49"/>
      <c r="D3566" s="48"/>
      <c r="E3566" s="48"/>
      <c r="F3566" s="48"/>
      <c r="G3566" s="48"/>
      <c r="H3566" s="48"/>
      <c r="I3566" s="48"/>
      <c r="J3566" s="86"/>
      <c r="K3566" s="86"/>
      <c r="L3566" s="86"/>
      <c r="M3566" s="86"/>
      <c r="N3566" s="86"/>
      <c r="O3566" s="86"/>
      <c r="P3566" s="86"/>
      <c r="Q3566" s="86"/>
      <c r="R3566" s="86"/>
      <c r="S3566" s="86"/>
      <c r="T3566" s="86"/>
      <c r="U3566" s="86"/>
      <c r="V3566" s="48"/>
      <c r="W3566" s="48"/>
      <c r="X3566" s="48"/>
      <c r="Y3566" s="48"/>
      <c r="Z3566" s="48"/>
      <c r="AA3566" s="48"/>
      <c r="AB3566" s="48"/>
      <c r="AC3566" s="48"/>
      <c r="AD3566" s="48"/>
      <c r="AE3566" s="48"/>
      <c r="AF3566" s="48"/>
      <c r="AG3566" s="48"/>
      <c r="AH3566" s="48"/>
      <c r="AI3566" s="48"/>
      <c r="AJ3566" s="48"/>
      <c r="AK3566" s="48"/>
      <c r="AL3566" s="48"/>
      <c r="AM3566" s="48"/>
      <c r="AN3566" s="48"/>
      <c r="AO3566" s="48"/>
      <c r="AP3566" s="48"/>
      <c r="AQ3566" s="48"/>
      <c r="AR3566" s="48"/>
      <c r="AS3566" s="48"/>
      <c r="AT3566" s="48"/>
      <c r="AU3566" s="48"/>
      <c r="AV3566" s="48"/>
      <c r="AW3566" s="48"/>
      <c r="AX3566" s="48"/>
      <c r="AY3566" s="48"/>
      <c r="AZ3566" s="48"/>
      <c r="BA3566" s="48"/>
      <c r="BB3566" s="48"/>
      <c r="BC3566" s="48"/>
      <c r="BD3566" s="48"/>
    </row>
    <row r="3567" spans="1:56">
      <c r="A3567" s="48"/>
      <c r="B3567" s="48"/>
      <c r="C3567" s="49"/>
      <c r="D3567" s="48"/>
      <c r="E3567" s="48"/>
      <c r="F3567" s="48"/>
      <c r="G3567" s="48"/>
      <c r="H3567" s="48"/>
      <c r="I3567" s="48"/>
      <c r="J3567" s="86"/>
      <c r="K3567" s="86"/>
      <c r="L3567" s="86"/>
      <c r="M3567" s="86"/>
      <c r="N3567" s="86"/>
      <c r="O3567" s="86"/>
      <c r="P3567" s="86"/>
      <c r="Q3567" s="86"/>
      <c r="R3567" s="86"/>
      <c r="S3567" s="86"/>
      <c r="T3567" s="86"/>
      <c r="U3567" s="86"/>
      <c r="V3567" s="48"/>
      <c r="W3567" s="48"/>
      <c r="X3567" s="48"/>
      <c r="Y3567" s="48"/>
      <c r="Z3567" s="48"/>
      <c r="AA3567" s="48"/>
      <c r="AB3567" s="48"/>
      <c r="AC3567" s="48"/>
      <c r="AD3567" s="48"/>
      <c r="AE3567" s="48"/>
      <c r="AF3567" s="48"/>
      <c r="AG3567" s="48"/>
      <c r="AH3567" s="48"/>
      <c r="AI3567" s="48"/>
      <c r="AJ3567" s="48"/>
      <c r="AK3567" s="48"/>
      <c r="AL3567" s="48"/>
      <c r="AM3567" s="48"/>
      <c r="AN3567" s="48"/>
      <c r="AO3567" s="48"/>
      <c r="AP3567" s="48"/>
      <c r="AQ3567" s="48"/>
      <c r="AR3567" s="48"/>
      <c r="AS3567" s="48"/>
      <c r="AT3567" s="48"/>
      <c r="AU3567" s="48"/>
      <c r="AV3567" s="48"/>
      <c r="AW3567" s="48"/>
      <c r="AX3567" s="48"/>
      <c r="AY3567" s="48"/>
      <c r="AZ3567" s="48"/>
      <c r="BA3567" s="48"/>
      <c r="BB3567" s="48"/>
      <c r="BC3567" s="48"/>
      <c r="BD3567" s="48"/>
    </row>
    <row r="3568" spans="1:56">
      <c r="A3568" s="48"/>
      <c r="B3568" s="48"/>
      <c r="C3568" s="49"/>
      <c r="D3568" s="48"/>
      <c r="E3568" s="48"/>
      <c r="F3568" s="48"/>
      <c r="G3568" s="48"/>
      <c r="H3568" s="48"/>
      <c r="I3568" s="48"/>
      <c r="J3568" s="86"/>
      <c r="K3568" s="86"/>
      <c r="L3568" s="86"/>
      <c r="M3568" s="86"/>
      <c r="N3568" s="86"/>
      <c r="O3568" s="86"/>
      <c r="P3568" s="86"/>
      <c r="Q3568" s="86"/>
      <c r="R3568" s="86"/>
      <c r="S3568" s="86"/>
      <c r="T3568" s="86"/>
      <c r="U3568" s="86"/>
      <c r="V3568" s="48"/>
      <c r="W3568" s="48"/>
      <c r="X3568" s="48"/>
      <c r="Y3568" s="48"/>
      <c r="Z3568" s="48"/>
      <c r="AA3568" s="48"/>
      <c r="AB3568" s="48"/>
      <c r="AC3568" s="48"/>
      <c r="AD3568" s="48"/>
      <c r="AE3568" s="48"/>
      <c r="AF3568" s="48"/>
      <c r="AG3568" s="48"/>
      <c r="AH3568" s="48"/>
      <c r="AI3568" s="48"/>
      <c r="AJ3568" s="48"/>
      <c r="AK3568" s="48"/>
      <c r="AL3568" s="48"/>
      <c r="AM3568" s="48"/>
      <c r="AN3568" s="48"/>
      <c r="AO3568" s="48"/>
      <c r="AP3568" s="48"/>
      <c r="AQ3568" s="48"/>
      <c r="AR3568" s="48"/>
      <c r="AS3568" s="48"/>
      <c r="AT3568" s="48"/>
      <c r="AU3568" s="48"/>
      <c r="AV3568" s="48"/>
      <c r="AW3568" s="48"/>
      <c r="AX3568" s="48"/>
      <c r="AY3568" s="48"/>
      <c r="AZ3568" s="48"/>
      <c r="BA3568" s="48"/>
      <c r="BB3568" s="48"/>
      <c r="BC3568" s="48"/>
      <c r="BD3568" s="48"/>
    </row>
    <row r="3569" spans="1:56">
      <c r="A3569" s="48"/>
      <c r="B3569" s="48"/>
      <c r="C3569" s="49"/>
      <c r="D3569" s="48"/>
      <c r="E3569" s="48"/>
      <c r="F3569" s="48"/>
      <c r="G3569" s="48"/>
      <c r="H3569" s="48"/>
      <c r="I3569" s="48"/>
      <c r="J3569" s="86"/>
      <c r="K3569" s="86"/>
      <c r="L3569" s="86"/>
      <c r="M3569" s="86"/>
      <c r="N3569" s="86"/>
      <c r="O3569" s="86"/>
      <c r="P3569" s="86"/>
      <c r="Q3569" s="86"/>
      <c r="R3569" s="86"/>
      <c r="S3569" s="86"/>
      <c r="T3569" s="86"/>
      <c r="U3569" s="86"/>
      <c r="V3569" s="48"/>
      <c r="W3569" s="48"/>
      <c r="X3569" s="48"/>
      <c r="Y3569" s="48"/>
      <c r="Z3569" s="48"/>
      <c r="AA3569" s="48"/>
      <c r="AB3569" s="48"/>
      <c r="AC3569" s="48"/>
      <c r="AD3569" s="48"/>
      <c r="AE3569" s="48"/>
      <c r="AF3569" s="48"/>
      <c r="AG3569" s="48"/>
      <c r="AH3569" s="48"/>
      <c r="AI3569" s="48"/>
      <c r="AJ3569" s="48"/>
      <c r="AK3569" s="48"/>
      <c r="AL3569" s="48"/>
      <c r="AM3569" s="48"/>
      <c r="AN3569" s="48"/>
      <c r="AO3569" s="48"/>
      <c r="AP3569" s="48"/>
      <c r="AQ3569" s="48"/>
      <c r="AR3569" s="48"/>
      <c r="AS3569" s="48"/>
      <c r="AT3569" s="48"/>
      <c r="AU3569" s="48"/>
      <c r="AV3569" s="48"/>
      <c r="AW3569" s="48"/>
      <c r="AX3569" s="48"/>
      <c r="AY3569" s="48"/>
      <c r="AZ3569" s="48"/>
      <c r="BA3569" s="48"/>
      <c r="BB3569" s="48"/>
      <c r="BC3569" s="48"/>
      <c r="BD3569" s="48"/>
    </row>
    <row r="3570" spans="1:56">
      <c r="A3570" s="48"/>
      <c r="B3570" s="48"/>
      <c r="C3570" s="49"/>
      <c r="D3570" s="48"/>
      <c r="E3570" s="48"/>
      <c r="F3570" s="48"/>
      <c r="G3570" s="48"/>
      <c r="H3570" s="48"/>
      <c r="I3570" s="48"/>
      <c r="J3570" s="86"/>
      <c r="K3570" s="86"/>
      <c r="L3570" s="86"/>
      <c r="M3570" s="86"/>
      <c r="N3570" s="86"/>
      <c r="O3570" s="86"/>
      <c r="P3570" s="86"/>
      <c r="Q3570" s="86"/>
      <c r="R3570" s="86"/>
      <c r="S3570" s="86"/>
      <c r="T3570" s="86"/>
      <c r="U3570" s="86"/>
      <c r="V3570" s="48"/>
      <c r="W3570" s="48"/>
      <c r="X3570" s="48"/>
      <c r="Y3570" s="48"/>
      <c r="Z3570" s="48"/>
      <c r="AA3570" s="48"/>
      <c r="AB3570" s="48"/>
      <c r="AC3570" s="48"/>
      <c r="AD3570" s="48"/>
      <c r="AE3570" s="48"/>
      <c r="AF3570" s="48"/>
      <c r="AG3570" s="48"/>
      <c r="AH3570" s="48"/>
      <c r="AI3570" s="48"/>
      <c r="AJ3570" s="48"/>
      <c r="AK3570" s="48"/>
      <c r="AL3570" s="48"/>
      <c r="AM3570" s="48"/>
      <c r="AN3570" s="48"/>
      <c r="AO3570" s="48"/>
      <c r="AP3570" s="48"/>
      <c r="AQ3570" s="48"/>
      <c r="AR3570" s="48"/>
      <c r="AS3570" s="48"/>
      <c r="AT3570" s="48"/>
      <c r="AU3570" s="48"/>
      <c r="AV3570" s="48"/>
      <c r="AW3570" s="48"/>
      <c r="AX3570" s="48"/>
      <c r="AY3570" s="48"/>
      <c r="AZ3570" s="48"/>
      <c r="BA3570" s="48"/>
      <c r="BB3570" s="48"/>
      <c r="BC3570" s="48"/>
      <c r="BD3570" s="48"/>
    </row>
    <row r="3571" spans="1:56">
      <c r="A3571" s="48"/>
      <c r="B3571" s="48"/>
      <c r="C3571" s="49"/>
      <c r="D3571" s="48"/>
      <c r="E3571" s="48"/>
      <c r="F3571" s="48"/>
      <c r="G3571" s="48"/>
      <c r="H3571" s="48"/>
      <c r="I3571" s="48"/>
      <c r="J3571" s="86"/>
      <c r="K3571" s="86"/>
      <c r="L3571" s="86"/>
      <c r="M3571" s="86"/>
      <c r="N3571" s="86"/>
      <c r="O3571" s="86"/>
      <c r="P3571" s="86"/>
      <c r="Q3571" s="86"/>
      <c r="R3571" s="86"/>
      <c r="S3571" s="86"/>
      <c r="T3571" s="86"/>
      <c r="U3571" s="86"/>
      <c r="V3571" s="48"/>
      <c r="W3571" s="48"/>
      <c r="X3571" s="48"/>
      <c r="Y3571" s="48"/>
      <c r="Z3571" s="48"/>
      <c r="AA3571" s="48"/>
      <c r="AB3571" s="48"/>
      <c r="AC3571" s="48"/>
      <c r="AD3571" s="48"/>
      <c r="AE3571" s="48"/>
      <c r="AF3571" s="48"/>
      <c r="AG3571" s="48"/>
      <c r="AH3571" s="48"/>
      <c r="AI3571" s="48"/>
      <c r="AJ3571" s="48"/>
      <c r="AK3571" s="48"/>
      <c r="AL3571" s="48"/>
      <c r="AM3571" s="48"/>
      <c r="AN3571" s="48"/>
      <c r="AO3571" s="48"/>
      <c r="AP3571" s="48"/>
      <c r="AQ3571" s="48"/>
      <c r="AR3571" s="48"/>
      <c r="AS3571" s="48"/>
      <c r="AT3571" s="48"/>
      <c r="AU3571" s="48"/>
      <c r="AV3571" s="48"/>
      <c r="AW3571" s="48"/>
      <c r="AX3571" s="48"/>
      <c r="AY3571" s="48"/>
      <c r="AZ3571" s="48"/>
      <c r="BA3571" s="48"/>
      <c r="BB3571" s="48"/>
      <c r="BC3571" s="48"/>
      <c r="BD3571" s="48"/>
    </row>
    <row r="3572" spans="1:56">
      <c r="A3572" s="48"/>
      <c r="B3572" s="48"/>
      <c r="C3572" s="49"/>
      <c r="D3572" s="48"/>
      <c r="E3572" s="48"/>
      <c r="F3572" s="48"/>
      <c r="G3572" s="48"/>
      <c r="H3572" s="48"/>
      <c r="I3572" s="48"/>
      <c r="J3572" s="86"/>
      <c r="K3572" s="86"/>
      <c r="L3572" s="86"/>
      <c r="M3572" s="86"/>
      <c r="N3572" s="86"/>
      <c r="O3572" s="86"/>
      <c r="P3572" s="86"/>
      <c r="Q3572" s="86"/>
      <c r="R3572" s="86"/>
      <c r="S3572" s="86"/>
      <c r="T3572" s="86"/>
      <c r="U3572" s="86"/>
      <c r="V3572" s="48"/>
      <c r="W3572" s="48"/>
      <c r="X3572" s="48"/>
      <c r="Y3572" s="48"/>
      <c r="Z3572" s="48"/>
      <c r="AA3572" s="48"/>
      <c r="AB3572" s="48"/>
      <c r="AC3572" s="48"/>
      <c r="AD3572" s="48"/>
      <c r="AE3572" s="48"/>
      <c r="AF3572" s="48"/>
      <c r="AG3572" s="48"/>
      <c r="AH3572" s="48"/>
      <c r="AI3572" s="48"/>
      <c r="AJ3572" s="48"/>
      <c r="AK3572" s="48"/>
      <c r="AL3572" s="48"/>
      <c r="AM3572" s="48"/>
      <c r="AN3572" s="48"/>
      <c r="AO3572" s="48"/>
      <c r="AP3572" s="48"/>
      <c r="AQ3572" s="48"/>
      <c r="AR3572" s="48"/>
      <c r="AS3572" s="48"/>
      <c r="AT3572" s="48"/>
      <c r="AU3572" s="48"/>
      <c r="AV3572" s="48"/>
      <c r="AW3572" s="48"/>
      <c r="AX3572" s="48"/>
      <c r="AY3572" s="48"/>
      <c r="AZ3572" s="48"/>
      <c r="BA3572" s="48"/>
      <c r="BB3572" s="48"/>
      <c r="BC3572" s="48"/>
      <c r="BD3572" s="48"/>
    </row>
    <row r="3573" spans="1:56">
      <c r="A3573" s="48"/>
      <c r="B3573" s="48"/>
      <c r="C3573" s="49"/>
      <c r="D3573" s="48"/>
      <c r="E3573" s="48"/>
      <c r="F3573" s="48"/>
      <c r="G3573" s="48"/>
      <c r="H3573" s="48"/>
      <c r="I3573" s="48"/>
      <c r="J3573" s="86"/>
      <c r="K3573" s="86"/>
      <c r="L3573" s="86"/>
      <c r="M3573" s="86"/>
      <c r="N3573" s="86"/>
      <c r="O3573" s="86"/>
      <c r="P3573" s="86"/>
      <c r="Q3573" s="86"/>
      <c r="R3573" s="86"/>
      <c r="S3573" s="86"/>
      <c r="T3573" s="86"/>
      <c r="U3573" s="86"/>
      <c r="V3573" s="48"/>
      <c r="W3573" s="48"/>
      <c r="X3573" s="48"/>
      <c r="Y3573" s="48"/>
      <c r="Z3573" s="48"/>
      <c r="AA3573" s="48"/>
      <c r="AB3573" s="48"/>
      <c r="AC3573" s="48"/>
      <c r="AD3573" s="48"/>
      <c r="AE3573" s="48"/>
      <c r="AF3573" s="48"/>
      <c r="AG3573" s="48"/>
      <c r="AH3573" s="48"/>
      <c r="AI3573" s="48"/>
      <c r="AJ3573" s="48"/>
      <c r="AK3573" s="48"/>
      <c r="AL3573" s="48"/>
      <c r="AM3573" s="48"/>
      <c r="AN3573" s="48"/>
      <c r="AO3573" s="48"/>
      <c r="AP3573" s="48"/>
      <c r="AQ3573" s="48"/>
      <c r="AR3573" s="48"/>
      <c r="AS3573" s="48"/>
      <c r="AT3573" s="48"/>
      <c r="AU3573" s="48"/>
      <c r="AV3573" s="48"/>
      <c r="AW3573" s="48"/>
      <c r="AX3573" s="48"/>
      <c r="AY3573" s="48"/>
      <c r="AZ3573" s="48"/>
      <c r="BA3573" s="48"/>
      <c r="BB3573" s="48"/>
      <c r="BC3573" s="48"/>
      <c r="BD3573" s="48"/>
    </row>
    <row r="3574" spans="1:56">
      <c r="A3574" s="48"/>
      <c r="B3574" s="48"/>
      <c r="C3574" s="49"/>
      <c r="D3574" s="48"/>
      <c r="E3574" s="48"/>
      <c r="F3574" s="48"/>
      <c r="G3574" s="48"/>
      <c r="H3574" s="48"/>
      <c r="I3574" s="48"/>
      <c r="J3574" s="86"/>
      <c r="K3574" s="86"/>
      <c r="L3574" s="86"/>
      <c r="M3574" s="86"/>
      <c r="N3574" s="86"/>
      <c r="O3574" s="86"/>
      <c r="P3574" s="86"/>
      <c r="Q3574" s="86"/>
      <c r="R3574" s="86"/>
      <c r="S3574" s="86"/>
      <c r="T3574" s="86"/>
      <c r="U3574" s="86"/>
      <c r="V3574" s="48"/>
      <c r="W3574" s="48"/>
      <c r="X3574" s="48"/>
      <c r="Y3574" s="48"/>
      <c r="Z3574" s="48"/>
      <c r="AA3574" s="48"/>
      <c r="AB3574" s="48"/>
      <c r="AC3574" s="48"/>
      <c r="AD3574" s="48"/>
      <c r="AE3574" s="48"/>
      <c r="AF3574" s="48"/>
      <c r="AG3574" s="48"/>
      <c r="AH3574" s="48"/>
      <c r="AI3574" s="48"/>
      <c r="AJ3574" s="48"/>
      <c r="AK3574" s="48"/>
      <c r="AL3574" s="48"/>
      <c r="AM3574" s="48"/>
      <c r="AN3574" s="48"/>
      <c r="AO3574" s="48"/>
      <c r="AP3574" s="48"/>
      <c r="AQ3574" s="48"/>
      <c r="AR3574" s="48"/>
      <c r="AS3574" s="48"/>
      <c r="AT3574" s="48"/>
      <c r="AU3574" s="48"/>
      <c r="AV3574" s="48"/>
      <c r="AW3574" s="48"/>
      <c r="AX3574" s="48"/>
      <c r="AY3574" s="48"/>
      <c r="AZ3574" s="48"/>
      <c r="BA3574" s="48"/>
      <c r="BB3574" s="48"/>
      <c r="BC3574" s="48"/>
      <c r="BD3574" s="48"/>
    </row>
    <row r="3575" spans="1:56">
      <c r="A3575" s="48"/>
      <c r="B3575" s="48"/>
      <c r="C3575" s="49"/>
      <c r="D3575" s="48"/>
      <c r="E3575" s="48"/>
      <c r="F3575" s="48"/>
      <c r="G3575" s="48"/>
      <c r="H3575" s="48"/>
      <c r="I3575" s="48"/>
      <c r="J3575" s="86"/>
      <c r="K3575" s="86"/>
      <c r="L3575" s="86"/>
      <c r="M3575" s="86"/>
      <c r="N3575" s="86"/>
      <c r="O3575" s="86"/>
      <c r="P3575" s="86"/>
      <c r="Q3575" s="86"/>
      <c r="R3575" s="86"/>
      <c r="S3575" s="86"/>
      <c r="T3575" s="86"/>
      <c r="U3575" s="86"/>
      <c r="V3575" s="48"/>
      <c r="W3575" s="48"/>
      <c r="X3575" s="48"/>
      <c r="Y3575" s="48"/>
      <c r="Z3575" s="48"/>
      <c r="AA3575" s="48"/>
      <c r="AB3575" s="48"/>
      <c r="AC3575" s="48"/>
      <c r="AD3575" s="48"/>
      <c r="AE3575" s="48"/>
      <c r="AF3575" s="48"/>
      <c r="AG3575" s="48"/>
      <c r="AH3575" s="48"/>
      <c r="AI3575" s="48"/>
      <c r="AJ3575" s="48"/>
      <c r="AK3575" s="48"/>
      <c r="AL3575" s="48"/>
      <c r="AM3575" s="48"/>
      <c r="AN3575" s="48"/>
      <c r="AO3575" s="48"/>
      <c r="AP3575" s="48"/>
      <c r="AQ3575" s="48"/>
      <c r="AR3575" s="48"/>
      <c r="AS3575" s="48"/>
      <c r="AT3575" s="48"/>
      <c r="AU3575" s="48"/>
      <c r="AV3575" s="48"/>
      <c r="AW3575" s="48"/>
      <c r="AX3575" s="48"/>
      <c r="AY3575" s="48"/>
      <c r="AZ3575" s="48"/>
      <c r="BA3575" s="48"/>
      <c r="BB3575" s="48"/>
      <c r="BC3575" s="48"/>
      <c r="BD3575" s="48"/>
    </row>
    <row r="3576" spans="1:56">
      <c r="A3576" s="48"/>
      <c r="B3576" s="48"/>
      <c r="C3576" s="49"/>
      <c r="D3576" s="48"/>
      <c r="E3576" s="48"/>
      <c r="F3576" s="48"/>
      <c r="G3576" s="48"/>
      <c r="H3576" s="48"/>
      <c r="I3576" s="48"/>
      <c r="J3576" s="86"/>
      <c r="K3576" s="86"/>
      <c r="L3576" s="86"/>
      <c r="M3576" s="86"/>
      <c r="N3576" s="86"/>
      <c r="O3576" s="86"/>
      <c r="P3576" s="86"/>
      <c r="Q3576" s="86"/>
      <c r="R3576" s="86"/>
      <c r="S3576" s="86"/>
      <c r="T3576" s="86"/>
      <c r="U3576" s="86"/>
      <c r="V3576" s="48"/>
      <c r="W3576" s="48"/>
      <c r="X3576" s="48"/>
      <c r="Y3576" s="48"/>
      <c r="Z3576" s="48"/>
      <c r="AA3576" s="48"/>
      <c r="AB3576" s="48"/>
      <c r="AC3576" s="48"/>
      <c r="AD3576" s="48"/>
      <c r="AE3576" s="48"/>
      <c r="AF3576" s="48"/>
      <c r="AG3576" s="48"/>
      <c r="AH3576" s="48"/>
      <c r="AI3576" s="48"/>
      <c r="AJ3576" s="48"/>
      <c r="AK3576" s="48"/>
      <c r="AL3576" s="48"/>
      <c r="AM3576" s="48"/>
      <c r="AN3576" s="48"/>
      <c r="AO3576" s="48"/>
      <c r="AP3576" s="48"/>
      <c r="AQ3576" s="48"/>
      <c r="AR3576" s="48"/>
      <c r="AS3576" s="48"/>
      <c r="AT3576" s="48"/>
      <c r="AU3576" s="48"/>
      <c r="AV3576" s="48"/>
      <c r="AW3576" s="48"/>
      <c r="AX3576" s="48"/>
      <c r="AY3576" s="48"/>
      <c r="AZ3576" s="48"/>
      <c r="BA3576" s="48"/>
      <c r="BB3576" s="48"/>
      <c r="BC3576" s="48"/>
      <c r="BD3576" s="48"/>
    </row>
    <row r="3577" spans="1:56">
      <c r="A3577" s="48"/>
      <c r="B3577" s="48"/>
      <c r="C3577" s="49"/>
      <c r="D3577" s="48"/>
      <c r="E3577" s="48"/>
      <c r="F3577" s="48"/>
      <c r="G3577" s="48"/>
      <c r="H3577" s="48"/>
      <c r="I3577" s="48"/>
      <c r="J3577" s="86"/>
      <c r="K3577" s="86"/>
      <c r="L3577" s="86"/>
      <c r="M3577" s="86"/>
      <c r="N3577" s="86"/>
      <c r="O3577" s="86"/>
      <c r="P3577" s="86"/>
      <c r="Q3577" s="86"/>
      <c r="R3577" s="86"/>
      <c r="S3577" s="86"/>
      <c r="T3577" s="86"/>
      <c r="U3577" s="86"/>
      <c r="V3577" s="48"/>
      <c r="W3577" s="48"/>
      <c r="X3577" s="48"/>
      <c r="Y3577" s="48"/>
      <c r="Z3577" s="48"/>
      <c r="AA3577" s="48"/>
      <c r="AB3577" s="48"/>
      <c r="AC3577" s="48"/>
      <c r="AD3577" s="48"/>
      <c r="AE3577" s="48"/>
      <c r="AF3577" s="48"/>
      <c r="AG3577" s="48"/>
      <c r="AH3577" s="48"/>
      <c r="AI3577" s="48"/>
      <c r="AJ3577" s="48"/>
      <c r="AK3577" s="48"/>
      <c r="AL3577" s="48"/>
      <c r="AM3577" s="48"/>
      <c r="AN3577" s="48"/>
      <c r="AO3577" s="48"/>
      <c r="AP3577" s="48"/>
      <c r="AQ3577" s="48"/>
      <c r="AR3577" s="48"/>
      <c r="AS3577" s="48"/>
      <c r="AT3577" s="48"/>
      <c r="AU3577" s="48"/>
      <c r="AV3577" s="48"/>
      <c r="AW3577" s="48"/>
      <c r="AX3577" s="48"/>
      <c r="AY3577" s="48"/>
      <c r="AZ3577" s="48"/>
      <c r="BA3577" s="48"/>
      <c r="BB3577" s="48"/>
      <c r="BC3577" s="48"/>
      <c r="BD3577" s="48"/>
    </row>
    <row r="3578" spans="1:56">
      <c r="A3578" s="48"/>
      <c r="B3578" s="48"/>
      <c r="C3578" s="49"/>
      <c r="D3578" s="48"/>
      <c r="E3578" s="48"/>
      <c r="F3578" s="48"/>
      <c r="G3578" s="48"/>
      <c r="H3578" s="48"/>
      <c r="I3578" s="48"/>
      <c r="J3578" s="86"/>
      <c r="K3578" s="86"/>
      <c r="L3578" s="86"/>
      <c r="M3578" s="86"/>
      <c r="N3578" s="86"/>
      <c r="O3578" s="86"/>
      <c r="P3578" s="86"/>
      <c r="Q3578" s="86"/>
      <c r="R3578" s="86"/>
      <c r="S3578" s="86"/>
      <c r="T3578" s="86"/>
      <c r="U3578" s="86"/>
      <c r="V3578" s="48"/>
      <c r="W3578" s="48"/>
      <c r="X3578" s="48"/>
      <c r="Y3578" s="48"/>
      <c r="Z3578" s="48"/>
      <c r="AA3578" s="48"/>
      <c r="AB3578" s="48"/>
      <c r="AC3578" s="48"/>
      <c r="AD3578" s="48"/>
      <c r="AE3578" s="48"/>
      <c r="AF3578" s="48"/>
      <c r="AG3578" s="48"/>
      <c r="AH3578" s="48"/>
      <c r="AI3578" s="48"/>
      <c r="AJ3578" s="48"/>
      <c r="AK3578" s="48"/>
      <c r="AL3578" s="48"/>
      <c r="AM3578" s="48"/>
      <c r="AN3578" s="48"/>
      <c r="AO3578" s="48"/>
      <c r="AP3578" s="48"/>
      <c r="AQ3578" s="48"/>
      <c r="AR3578" s="48"/>
      <c r="AS3578" s="48"/>
      <c r="AT3578" s="48"/>
      <c r="AU3578" s="48"/>
      <c r="AV3578" s="48"/>
      <c r="AW3578" s="48"/>
      <c r="AX3578" s="48"/>
      <c r="AY3578" s="48"/>
      <c r="AZ3578" s="48"/>
      <c r="BA3578" s="48"/>
      <c r="BB3578" s="48"/>
      <c r="BC3578" s="48"/>
      <c r="BD3578" s="48"/>
    </row>
    <row r="3579" spans="1:56">
      <c r="A3579" s="48"/>
      <c r="B3579" s="48"/>
      <c r="C3579" s="49"/>
      <c r="D3579" s="48"/>
      <c r="E3579" s="48"/>
      <c r="F3579" s="48"/>
      <c r="G3579" s="48"/>
      <c r="H3579" s="48"/>
      <c r="I3579" s="48"/>
      <c r="J3579" s="86"/>
      <c r="K3579" s="86"/>
      <c r="L3579" s="86"/>
      <c r="M3579" s="86"/>
      <c r="N3579" s="86"/>
      <c r="O3579" s="86"/>
      <c r="P3579" s="86"/>
      <c r="Q3579" s="86"/>
      <c r="R3579" s="86"/>
      <c r="S3579" s="86"/>
      <c r="T3579" s="86"/>
      <c r="U3579" s="86"/>
      <c r="V3579" s="48"/>
      <c r="W3579" s="48"/>
      <c r="X3579" s="48"/>
      <c r="Y3579" s="48"/>
      <c r="Z3579" s="48"/>
      <c r="AA3579" s="48"/>
      <c r="AB3579" s="48"/>
      <c r="AC3579" s="48"/>
      <c r="AD3579" s="48"/>
      <c r="AE3579" s="48"/>
      <c r="AF3579" s="48"/>
      <c r="AG3579" s="48"/>
      <c r="AH3579" s="48"/>
      <c r="AI3579" s="48"/>
      <c r="AJ3579" s="48"/>
      <c r="AK3579" s="48"/>
      <c r="AL3579" s="48"/>
      <c r="AM3579" s="48"/>
      <c r="AN3579" s="48"/>
      <c r="AO3579" s="48"/>
      <c r="AP3579" s="48"/>
      <c r="AQ3579" s="48"/>
      <c r="AR3579" s="48"/>
      <c r="AS3579" s="48"/>
      <c r="AT3579" s="48"/>
      <c r="AU3579" s="48"/>
      <c r="AV3579" s="48"/>
      <c r="AW3579" s="48"/>
      <c r="AX3579" s="48"/>
      <c r="AY3579" s="48"/>
      <c r="AZ3579" s="48"/>
      <c r="BA3579" s="48"/>
      <c r="BB3579" s="48"/>
      <c r="BC3579" s="48"/>
      <c r="BD3579" s="48"/>
    </row>
    <row r="3580" spans="1:56">
      <c r="A3580" s="48"/>
      <c r="B3580" s="48"/>
      <c r="C3580" s="49"/>
      <c r="D3580" s="48"/>
      <c r="E3580" s="48"/>
      <c r="F3580" s="48"/>
      <c r="G3580" s="48"/>
      <c r="H3580" s="48"/>
      <c r="I3580" s="48"/>
      <c r="J3580" s="86"/>
      <c r="K3580" s="86"/>
      <c r="L3580" s="86"/>
      <c r="M3580" s="86"/>
      <c r="N3580" s="86"/>
      <c r="O3580" s="86"/>
      <c r="P3580" s="86"/>
      <c r="Q3580" s="86"/>
      <c r="R3580" s="86"/>
      <c r="S3580" s="86"/>
      <c r="T3580" s="86"/>
      <c r="U3580" s="86"/>
      <c r="V3580" s="48"/>
      <c r="W3580" s="48"/>
      <c r="X3580" s="48"/>
      <c r="Y3580" s="48"/>
      <c r="Z3580" s="48"/>
      <c r="AA3580" s="48"/>
      <c r="AB3580" s="48"/>
      <c r="AC3580" s="48"/>
      <c r="AD3580" s="48"/>
      <c r="AE3580" s="48"/>
      <c r="AF3580" s="48"/>
      <c r="AG3580" s="48"/>
      <c r="AH3580" s="48"/>
      <c r="AI3580" s="48"/>
      <c r="AJ3580" s="48"/>
      <c r="AK3580" s="48"/>
      <c r="AL3580" s="48"/>
      <c r="AM3580" s="48"/>
      <c r="AN3580" s="48"/>
      <c r="AO3580" s="48"/>
      <c r="AP3580" s="48"/>
      <c r="AQ3580" s="48"/>
      <c r="AR3580" s="48"/>
      <c r="AS3580" s="48"/>
      <c r="AT3580" s="48"/>
      <c r="AU3580" s="48"/>
      <c r="AV3580" s="48"/>
      <c r="AW3580" s="48"/>
      <c r="AX3580" s="48"/>
      <c r="AY3580" s="48"/>
      <c r="AZ3580" s="48"/>
      <c r="BA3580" s="48"/>
      <c r="BB3580" s="48"/>
      <c r="BC3580" s="48"/>
      <c r="BD3580" s="48"/>
    </row>
    <row r="3581" spans="1:56">
      <c r="A3581" s="48"/>
      <c r="B3581" s="48"/>
      <c r="C3581" s="49"/>
      <c r="D3581" s="48"/>
      <c r="E3581" s="48"/>
      <c r="F3581" s="48"/>
      <c r="G3581" s="48"/>
      <c r="H3581" s="48"/>
      <c r="I3581" s="48"/>
      <c r="J3581" s="86"/>
      <c r="K3581" s="86"/>
      <c r="L3581" s="86"/>
      <c r="M3581" s="86"/>
      <c r="N3581" s="86"/>
      <c r="O3581" s="86"/>
      <c r="P3581" s="86"/>
      <c r="Q3581" s="86"/>
      <c r="R3581" s="86"/>
      <c r="S3581" s="86"/>
      <c r="T3581" s="86"/>
      <c r="U3581" s="86"/>
      <c r="V3581" s="48"/>
      <c r="W3581" s="48"/>
      <c r="X3581" s="48"/>
      <c r="Y3581" s="48"/>
      <c r="Z3581" s="48"/>
      <c r="AA3581" s="48"/>
      <c r="AB3581" s="48"/>
      <c r="AC3581" s="48"/>
      <c r="AD3581" s="48"/>
      <c r="AE3581" s="48"/>
      <c r="AF3581" s="48"/>
      <c r="AG3581" s="48"/>
      <c r="AH3581" s="48"/>
      <c r="AI3581" s="48"/>
      <c r="AJ3581" s="48"/>
      <c r="AK3581" s="48"/>
      <c r="AL3581" s="48"/>
      <c r="AM3581" s="48"/>
      <c r="AN3581" s="48"/>
      <c r="AO3581" s="48"/>
      <c r="AP3581" s="48"/>
      <c r="AQ3581" s="48"/>
      <c r="AR3581" s="48"/>
      <c r="AS3581" s="48"/>
      <c r="AT3581" s="48"/>
      <c r="AU3581" s="48"/>
      <c r="AV3581" s="48"/>
      <c r="AW3581" s="48"/>
      <c r="AX3581" s="48"/>
      <c r="AY3581" s="48"/>
      <c r="AZ3581" s="48"/>
      <c r="BA3581" s="48"/>
      <c r="BB3581" s="48"/>
      <c r="BC3581" s="48"/>
      <c r="BD3581" s="48"/>
    </row>
    <row r="3582" spans="1:56">
      <c r="A3582" s="48"/>
      <c r="B3582" s="48"/>
      <c r="C3582" s="49"/>
      <c r="D3582" s="48"/>
      <c r="E3582" s="48"/>
      <c r="F3582" s="48"/>
      <c r="G3582" s="48"/>
      <c r="H3582" s="48"/>
      <c r="I3582" s="48"/>
      <c r="J3582" s="86"/>
      <c r="K3582" s="86"/>
      <c r="L3582" s="86"/>
      <c r="M3582" s="86"/>
      <c r="N3582" s="86"/>
      <c r="O3582" s="86"/>
      <c r="P3582" s="86"/>
      <c r="Q3582" s="86"/>
      <c r="R3582" s="86"/>
      <c r="S3582" s="86"/>
      <c r="T3582" s="86"/>
      <c r="U3582" s="86"/>
      <c r="V3582" s="48"/>
      <c r="W3582" s="48"/>
      <c r="X3582" s="48"/>
      <c r="Y3582" s="48"/>
      <c r="Z3582" s="48"/>
      <c r="AA3582" s="48"/>
      <c r="AB3582" s="48"/>
      <c r="AC3582" s="48"/>
      <c r="AD3582" s="48"/>
      <c r="AE3582" s="48"/>
      <c r="AF3582" s="48"/>
      <c r="AG3582" s="48"/>
      <c r="AH3582" s="48"/>
      <c r="AI3582" s="48"/>
      <c r="AJ3582" s="48"/>
      <c r="AK3582" s="48"/>
      <c r="AL3582" s="48"/>
      <c r="AM3582" s="48"/>
      <c r="AN3582" s="48"/>
      <c r="AO3582" s="48"/>
      <c r="AP3582" s="48"/>
      <c r="AQ3582" s="48"/>
      <c r="AR3582" s="48"/>
      <c r="AS3582" s="48"/>
      <c r="AT3582" s="48"/>
      <c r="AU3582" s="48"/>
      <c r="AV3582" s="48"/>
      <c r="AW3582" s="48"/>
      <c r="AX3582" s="48"/>
      <c r="AY3582" s="48"/>
      <c r="AZ3582" s="48"/>
      <c r="BA3582" s="48"/>
      <c r="BB3582" s="48"/>
      <c r="BC3582" s="48"/>
      <c r="BD3582" s="48"/>
    </row>
    <row r="3583" spans="1:56">
      <c r="A3583" s="48"/>
      <c r="B3583" s="48"/>
      <c r="C3583" s="49"/>
      <c r="D3583" s="48"/>
      <c r="E3583" s="48"/>
      <c r="F3583" s="48"/>
      <c r="G3583" s="48"/>
      <c r="H3583" s="48"/>
      <c r="I3583" s="48"/>
      <c r="J3583" s="86"/>
      <c r="K3583" s="86"/>
      <c r="L3583" s="86"/>
      <c r="M3583" s="86"/>
      <c r="N3583" s="86"/>
      <c r="O3583" s="86"/>
      <c r="P3583" s="86"/>
      <c r="Q3583" s="86"/>
      <c r="R3583" s="86"/>
      <c r="S3583" s="86"/>
      <c r="T3583" s="86"/>
      <c r="U3583" s="86"/>
      <c r="V3583" s="48"/>
      <c r="W3583" s="48"/>
      <c r="X3583" s="48"/>
      <c r="Y3583" s="48"/>
      <c r="Z3583" s="48"/>
      <c r="AA3583" s="48"/>
      <c r="AB3583" s="48"/>
      <c r="AC3583" s="48"/>
      <c r="AD3583" s="48"/>
      <c r="AE3583" s="48"/>
      <c r="AF3583" s="48"/>
      <c r="AG3583" s="48"/>
      <c r="AH3583" s="48"/>
      <c r="AI3583" s="48"/>
      <c r="AJ3583" s="48"/>
      <c r="AK3583" s="48"/>
      <c r="AL3583" s="48"/>
      <c r="AM3583" s="48"/>
      <c r="AN3583" s="48"/>
      <c r="AO3583" s="48"/>
      <c r="AP3583" s="48"/>
      <c r="AQ3583" s="48"/>
      <c r="AR3583" s="48"/>
      <c r="AS3583" s="48"/>
      <c r="AT3583" s="48"/>
      <c r="AU3583" s="48"/>
      <c r="AV3583" s="48"/>
      <c r="AW3583" s="48"/>
      <c r="AX3583" s="48"/>
      <c r="AY3583" s="48"/>
      <c r="AZ3583" s="48"/>
      <c r="BA3583" s="48"/>
      <c r="BB3583" s="48"/>
      <c r="BC3583" s="48"/>
      <c r="BD3583" s="48"/>
    </row>
    <row r="3584" spans="1:56">
      <c r="A3584" s="48"/>
      <c r="B3584" s="48"/>
      <c r="C3584" s="49"/>
      <c r="D3584" s="48"/>
      <c r="E3584" s="48"/>
      <c r="F3584" s="48"/>
      <c r="G3584" s="48"/>
      <c r="H3584" s="48"/>
      <c r="I3584" s="48"/>
      <c r="J3584" s="86"/>
      <c r="K3584" s="86"/>
      <c r="L3584" s="86"/>
      <c r="M3584" s="86"/>
      <c r="N3584" s="86"/>
      <c r="O3584" s="86"/>
      <c r="P3584" s="86"/>
      <c r="Q3584" s="86"/>
      <c r="R3584" s="86"/>
      <c r="S3584" s="86"/>
      <c r="T3584" s="86"/>
      <c r="U3584" s="86"/>
      <c r="V3584" s="48"/>
      <c r="W3584" s="48"/>
      <c r="X3584" s="48"/>
      <c r="Y3584" s="48"/>
      <c r="Z3584" s="48"/>
      <c r="AA3584" s="48"/>
      <c r="AB3584" s="48"/>
      <c r="AC3584" s="48"/>
      <c r="AD3584" s="48"/>
      <c r="AE3584" s="48"/>
      <c r="AF3584" s="48"/>
      <c r="AG3584" s="48"/>
      <c r="AH3584" s="48"/>
      <c r="AI3584" s="48"/>
      <c r="AJ3584" s="48"/>
      <c r="AK3584" s="48"/>
      <c r="AL3584" s="48"/>
      <c r="AM3584" s="48"/>
      <c r="AN3584" s="48"/>
      <c r="AO3584" s="48"/>
      <c r="AP3584" s="48"/>
      <c r="AQ3584" s="48"/>
      <c r="AR3584" s="48"/>
      <c r="AS3584" s="48"/>
      <c r="AT3584" s="48"/>
      <c r="AU3584" s="48"/>
      <c r="AV3584" s="48"/>
      <c r="AW3584" s="48"/>
      <c r="AX3584" s="48"/>
      <c r="AY3584" s="48"/>
      <c r="AZ3584" s="48"/>
      <c r="BA3584" s="48"/>
      <c r="BB3584" s="48"/>
      <c r="BC3584" s="48"/>
      <c r="BD3584" s="48"/>
    </row>
    <row r="3585" spans="1:56">
      <c r="A3585" s="48"/>
      <c r="B3585" s="48"/>
      <c r="C3585" s="49"/>
      <c r="D3585" s="48"/>
      <c r="E3585" s="48"/>
      <c r="F3585" s="48"/>
      <c r="G3585" s="48"/>
      <c r="H3585" s="48"/>
      <c r="I3585" s="48"/>
      <c r="J3585" s="86"/>
      <c r="K3585" s="86"/>
      <c r="L3585" s="86"/>
      <c r="M3585" s="86"/>
      <c r="N3585" s="86"/>
      <c r="O3585" s="86"/>
      <c r="P3585" s="86"/>
      <c r="Q3585" s="86"/>
      <c r="R3585" s="86"/>
      <c r="S3585" s="86"/>
      <c r="T3585" s="86"/>
      <c r="U3585" s="86"/>
      <c r="V3585" s="48"/>
      <c r="W3585" s="48"/>
      <c r="X3585" s="48"/>
      <c r="Y3585" s="48"/>
      <c r="Z3585" s="48"/>
      <c r="AA3585" s="48"/>
      <c r="AB3585" s="48"/>
      <c r="AC3585" s="48"/>
      <c r="AD3585" s="48"/>
      <c r="AE3585" s="48"/>
      <c r="AF3585" s="48"/>
      <c r="AG3585" s="48"/>
      <c r="AH3585" s="48"/>
      <c r="AI3585" s="48"/>
      <c r="AJ3585" s="48"/>
      <c r="AK3585" s="48"/>
      <c r="AL3585" s="48"/>
      <c r="AM3585" s="48"/>
      <c r="AN3585" s="48"/>
      <c r="AO3585" s="48"/>
      <c r="AP3585" s="48"/>
      <c r="AQ3585" s="48"/>
      <c r="AR3585" s="48"/>
      <c r="AS3585" s="48"/>
      <c r="AT3585" s="48"/>
      <c r="AU3585" s="48"/>
      <c r="AV3585" s="48"/>
      <c r="AW3585" s="48"/>
      <c r="AX3585" s="48"/>
      <c r="AY3585" s="48"/>
      <c r="AZ3585" s="48"/>
      <c r="BA3585" s="48"/>
      <c r="BB3585" s="48"/>
      <c r="BC3585" s="48"/>
      <c r="BD3585" s="48"/>
    </row>
    <row r="3586" spans="1:56">
      <c r="A3586" s="48"/>
      <c r="B3586" s="48"/>
      <c r="C3586" s="49"/>
      <c r="D3586" s="48"/>
      <c r="E3586" s="48"/>
      <c r="F3586" s="48"/>
      <c r="G3586" s="48"/>
      <c r="H3586" s="48"/>
      <c r="I3586" s="48"/>
      <c r="J3586" s="86"/>
      <c r="K3586" s="86"/>
      <c r="L3586" s="86"/>
      <c r="M3586" s="86"/>
      <c r="N3586" s="86"/>
      <c r="O3586" s="86"/>
      <c r="P3586" s="86"/>
      <c r="Q3586" s="86"/>
      <c r="R3586" s="86"/>
      <c r="S3586" s="86"/>
      <c r="T3586" s="86"/>
      <c r="U3586" s="86"/>
      <c r="V3586" s="48"/>
      <c r="W3586" s="48"/>
      <c r="X3586" s="48"/>
      <c r="Y3586" s="48"/>
      <c r="Z3586" s="48"/>
      <c r="AA3586" s="48"/>
      <c r="AB3586" s="48"/>
      <c r="AC3586" s="48"/>
      <c r="AD3586" s="48"/>
      <c r="AE3586" s="48"/>
      <c r="AF3586" s="48"/>
      <c r="AG3586" s="48"/>
      <c r="AH3586" s="48"/>
      <c r="AI3586" s="48"/>
      <c r="AJ3586" s="48"/>
      <c r="AK3586" s="48"/>
      <c r="AL3586" s="48"/>
      <c r="AM3586" s="48"/>
      <c r="AN3586" s="48"/>
      <c r="AO3586" s="48"/>
      <c r="AP3586" s="48"/>
      <c r="AQ3586" s="48"/>
      <c r="AR3586" s="48"/>
      <c r="AS3586" s="48"/>
      <c r="AT3586" s="48"/>
      <c r="AU3586" s="48"/>
      <c r="AV3586" s="48"/>
      <c r="AW3586" s="48"/>
      <c r="AX3586" s="48"/>
      <c r="AY3586" s="48"/>
      <c r="AZ3586" s="48"/>
      <c r="BA3586" s="48"/>
      <c r="BB3586" s="48"/>
      <c r="BC3586" s="48"/>
      <c r="BD3586" s="48"/>
    </row>
    <row r="3587" spans="1:56">
      <c r="A3587" s="48"/>
      <c r="B3587" s="48"/>
      <c r="C3587" s="49"/>
      <c r="D3587" s="48"/>
      <c r="E3587" s="48"/>
      <c r="F3587" s="48"/>
      <c r="G3587" s="48"/>
      <c r="H3587" s="48"/>
      <c r="I3587" s="48"/>
      <c r="J3587" s="86"/>
      <c r="K3587" s="86"/>
      <c r="L3587" s="86"/>
      <c r="M3587" s="86"/>
      <c r="N3587" s="86"/>
      <c r="O3587" s="86"/>
      <c r="P3587" s="86"/>
      <c r="Q3587" s="86"/>
      <c r="R3587" s="86"/>
      <c r="S3587" s="86"/>
      <c r="T3587" s="86"/>
      <c r="U3587" s="86"/>
      <c r="V3587" s="48"/>
      <c r="W3587" s="48"/>
      <c r="X3587" s="48"/>
      <c r="Y3587" s="48"/>
      <c r="Z3587" s="48"/>
      <c r="AA3587" s="48"/>
      <c r="AB3587" s="48"/>
      <c r="AC3587" s="48"/>
      <c r="AD3587" s="48"/>
      <c r="AE3587" s="48"/>
      <c r="AF3587" s="48"/>
      <c r="AG3587" s="48"/>
      <c r="AH3587" s="48"/>
      <c r="AI3587" s="48"/>
      <c r="AJ3587" s="48"/>
      <c r="AK3587" s="48"/>
      <c r="AL3587" s="48"/>
      <c r="AM3587" s="48"/>
      <c r="AN3587" s="48"/>
      <c r="AO3587" s="48"/>
      <c r="AP3587" s="48"/>
      <c r="AQ3587" s="48"/>
      <c r="AR3587" s="48"/>
      <c r="AS3587" s="48"/>
      <c r="AT3587" s="48"/>
      <c r="AU3587" s="48"/>
      <c r="AV3587" s="48"/>
      <c r="AW3587" s="48"/>
      <c r="AX3587" s="48"/>
      <c r="AY3587" s="48"/>
      <c r="AZ3587" s="48"/>
      <c r="BA3587" s="48"/>
      <c r="BB3587" s="48"/>
      <c r="BC3587" s="48"/>
      <c r="BD3587" s="48"/>
    </row>
    <row r="3588" spans="1:56">
      <c r="A3588" s="48"/>
      <c r="B3588" s="48"/>
      <c r="C3588" s="49"/>
      <c r="D3588" s="48"/>
      <c r="E3588" s="48"/>
      <c r="F3588" s="48"/>
      <c r="G3588" s="48"/>
      <c r="H3588" s="48"/>
      <c r="I3588" s="48"/>
      <c r="J3588" s="86"/>
      <c r="K3588" s="86"/>
      <c r="L3588" s="86"/>
      <c r="M3588" s="86"/>
      <c r="N3588" s="86"/>
      <c r="O3588" s="86"/>
      <c r="P3588" s="86"/>
      <c r="Q3588" s="86"/>
      <c r="R3588" s="86"/>
      <c r="S3588" s="86"/>
      <c r="T3588" s="86"/>
      <c r="U3588" s="86"/>
      <c r="V3588" s="48"/>
      <c r="W3588" s="48"/>
      <c r="X3588" s="48"/>
      <c r="Y3588" s="48"/>
      <c r="Z3588" s="48"/>
      <c r="AA3588" s="48"/>
      <c r="AB3588" s="48"/>
      <c r="AC3588" s="48"/>
      <c r="AD3588" s="48"/>
      <c r="AE3588" s="48"/>
      <c r="AF3588" s="48"/>
      <c r="AG3588" s="48"/>
      <c r="AH3588" s="48"/>
      <c r="AI3588" s="48"/>
      <c r="AJ3588" s="48"/>
      <c r="AK3588" s="48"/>
      <c r="AL3588" s="48"/>
      <c r="AM3588" s="48"/>
      <c r="AN3588" s="48"/>
      <c r="AO3588" s="48"/>
      <c r="AP3588" s="48"/>
      <c r="AQ3588" s="48"/>
      <c r="AR3588" s="48"/>
      <c r="AS3588" s="48"/>
      <c r="AT3588" s="48"/>
      <c r="AU3588" s="48"/>
      <c r="AV3588" s="48"/>
      <c r="AW3588" s="48"/>
      <c r="AX3588" s="48"/>
      <c r="AY3588" s="48"/>
      <c r="AZ3588" s="48"/>
      <c r="BA3588" s="48"/>
      <c r="BB3588" s="48"/>
      <c r="BC3588" s="48"/>
      <c r="BD3588" s="48"/>
    </row>
    <row r="3589" spans="1:56">
      <c r="A3589" s="48"/>
      <c r="B3589" s="48"/>
      <c r="C3589" s="49"/>
      <c r="D3589" s="48"/>
      <c r="E3589" s="48"/>
      <c r="F3589" s="48"/>
      <c r="G3589" s="48"/>
      <c r="H3589" s="48"/>
      <c r="I3589" s="48"/>
      <c r="J3589" s="86"/>
      <c r="K3589" s="86"/>
      <c r="L3589" s="86"/>
      <c r="M3589" s="86"/>
      <c r="N3589" s="86"/>
      <c r="O3589" s="86"/>
      <c r="P3589" s="86"/>
      <c r="Q3589" s="86"/>
      <c r="R3589" s="86"/>
      <c r="S3589" s="86"/>
      <c r="T3589" s="86"/>
      <c r="U3589" s="86"/>
      <c r="V3589" s="48"/>
      <c r="W3589" s="48"/>
      <c r="X3589" s="48"/>
      <c r="Y3589" s="48"/>
      <c r="Z3589" s="48"/>
      <c r="AA3589" s="48"/>
      <c r="AB3589" s="48"/>
      <c r="AC3589" s="48"/>
      <c r="AD3589" s="48"/>
      <c r="AE3589" s="48"/>
      <c r="AF3589" s="48"/>
      <c r="AG3589" s="48"/>
      <c r="AH3589" s="48"/>
      <c r="AI3589" s="48"/>
      <c r="AJ3589" s="48"/>
      <c r="AK3589" s="48"/>
      <c r="AL3589" s="48"/>
      <c r="AM3589" s="48"/>
      <c r="AN3589" s="48"/>
      <c r="AO3589" s="48"/>
      <c r="AP3589" s="48"/>
      <c r="AQ3589" s="48"/>
      <c r="AR3589" s="48"/>
      <c r="AS3589" s="48"/>
      <c r="AT3589" s="48"/>
      <c r="AU3589" s="48"/>
      <c r="AV3589" s="48"/>
      <c r="AW3589" s="48"/>
      <c r="AX3589" s="48"/>
      <c r="AY3589" s="48"/>
      <c r="AZ3589" s="48"/>
      <c r="BA3589" s="48"/>
      <c r="BB3589" s="48"/>
      <c r="BC3589" s="48"/>
      <c r="BD3589" s="48"/>
    </row>
    <row r="3590" spans="1:56">
      <c r="A3590" s="48"/>
      <c r="B3590" s="48"/>
      <c r="C3590" s="49"/>
      <c r="D3590" s="48"/>
      <c r="E3590" s="48"/>
      <c r="F3590" s="48"/>
      <c r="G3590" s="48"/>
      <c r="H3590" s="48"/>
      <c r="I3590" s="48"/>
      <c r="J3590" s="86"/>
      <c r="K3590" s="86"/>
      <c r="L3590" s="86"/>
      <c r="M3590" s="86"/>
      <c r="N3590" s="86"/>
      <c r="O3590" s="86"/>
      <c r="P3590" s="86"/>
      <c r="Q3590" s="86"/>
      <c r="R3590" s="86"/>
      <c r="S3590" s="86"/>
      <c r="T3590" s="86"/>
      <c r="U3590" s="86"/>
      <c r="V3590" s="48"/>
      <c r="W3590" s="48"/>
      <c r="X3590" s="48"/>
      <c r="Y3590" s="48"/>
      <c r="Z3590" s="48"/>
      <c r="AA3590" s="48"/>
      <c r="AB3590" s="48"/>
      <c r="AC3590" s="48"/>
      <c r="AD3590" s="48"/>
      <c r="AE3590" s="48"/>
      <c r="AF3590" s="48"/>
      <c r="AG3590" s="48"/>
      <c r="AH3590" s="48"/>
      <c r="AI3590" s="48"/>
      <c r="AJ3590" s="48"/>
      <c r="AK3590" s="48"/>
      <c r="AL3590" s="48"/>
      <c r="AM3590" s="48"/>
      <c r="AN3590" s="48"/>
      <c r="AO3590" s="48"/>
      <c r="AP3590" s="48"/>
      <c r="AQ3590" s="48"/>
      <c r="AR3590" s="48"/>
      <c r="AS3590" s="48"/>
      <c r="AT3590" s="48"/>
      <c r="AU3590" s="48"/>
      <c r="AV3590" s="48"/>
      <c r="AW3590" s="48"/>
      <c r="AX3590" s="48"/>
      <c r="AY3590" s="48"/>
      <c r="AZ3590" s="48"/>
      <c r="BA3590" s="48"/>
      <c r="BB3590" s="48"/>
      <c r="BC3590" s="48"/>
      <c r="BD3590" s="48"/>
    </row>
    <row r="3591" spans="1:56">
      <c r="A3591" s="48"/>
      <c r="B3591" s="48"/>
      <c r="C3591" s="49"/>
      <c r="D3591" s="48"/>
      <c r="E3591" s="48"/>
      <c r="F3591" s="48"/>
      <c r="G3591" s="48"/>
      <c r="H3591" s="48"/>
      <c r="I3591" s="48"/>
      <c r="J3591" s="86"/>
      <c r="K3591" s="86"/>
      <c r="L3591" s="86"/>
      <c r="M3591" s="86"/>
      <c r="N3591" s="86"/>
      <c r="O3591" s="86"/>
      <c r="P3591" s="86"/>
      <c r="Q3591" s="86"/>
      <c r="R3591" s="86"/>
      <c r="S3591" s="86"/>
      <c r="T3591" s="86"/>
      <c r="U3591" s="86"/>
      <c r="V3591" s="48"/>
      <c r="W3591" s="48"/>
      <c r="X3591" s="48"/>
      <c r="Y3591" s="48"/>
      <c r="Z3591" s="48"/>
      <c r="AA3591" s="48"/>
      <c r="AB3591" s="48"/>
      <c r="AC3591" s="48"/>
      <c r="AD3591" s="48"/>
      <c r="AE3591" s="48"/>
      <c r="AF3591" s="48"/>
      <c r="AG3591" s="48"/>
      <c r="AH3591" s="48"/>
      <c r="AI3591" s="48"/>
      <c r="AJ3591" s="48"/>
      <c r="AK3591" s="48"/>
      <c r="AL3591" s="48"/>
      <c r="AM3591" s="48"/>
      <c r="AN3591" s="48"/>
      <c r="AO3591" s="48"/>
      <c r="AP3591" s="48"/>
      <c r="AQ3591" s="48"/>
      <c r="AR3591" s="48"/>
      <c r="AS3591" s="48"/>
      <c r="AT3591" s="48"/>
      <c r="AU3591" s="48"/>
      <c r="AV3591" s="48"/>
      <c r="AW3591" s="48"/>
      <c r="AX3591" s="48"/>
      <c r="AY3591" s="48"/>
      <c r="AZ3591" s="48"/>
      <c r="BA3591" s="48"/>
      <c r="BB3591" s="48"/>
      <c r="BC3591" s="48"/>
      <c r="BD3591" s="48"/>
    </row>
    <row r="3592" spans="1:56">
      <c r="A3592" s="48"/>
      <c r="B3592" s="48"/>
      <c r="C3592" s="49"/>
      <c r="D3592" s="48"/>
      <c r="E3592" s="48"/>
      <c r="F3592" s="48"/>
      <c r="G3592" s="48"/>
      <c r="H3592" s="48"/>
      <c r="I3592" s="48"/>
      <c r="J3592" s="86"/>
      <c r="K3592" s="86"/>
      <c r="L3592" s="86"/>
      <c r="M3592" s="86"/>
      <c r="N3592" s="86"/>
      <c r="O3592" s="86"/>
      <c r="P3592" s="86"/>
      <c r="Q3592" s="86"/>
      <c r="R3592" s="86"/>
      <c r="S3592" s="86"/>
      <c r="T3592" s="86"/>
      <c r="U3592" s="86"/>
      <c r="V3592" s="48"/>
      <c r="W3592" s="48"/>
      <c r="X3592" s="48"/>
      <c r="Y3592" s="48"/>
      <c r="Z3592" s="48"/>
      <c r="AA3592" s="48"/>
      <c r="AB3592" s="48"/>
      <c r="AC3592" s="48"/>
      <c r="AD3592" s="48"/>
      <c r="AE3592" s="48"/>
      <c r="AF3592" s="48"/>
      <c r="AG3592" s="48"/>
      <c r="AH3592" s="48"/>
      <c r="AI3592" s="48"/>
      <c r="AJ3592" s="48"/>
      <c r="AK3592" s="48"/>
      <c r="AL3592" s="48"/>
      <c r="AM3592" s="48"/>
      <c r="AN3592" s="48"/>
      <c r="AO3592" s="48"/>
      <c r="AP3592" s="48"/>
      <c r="AQ3592" s="48"/>
      <c r="AR3592" s="48"/>
      <c r="AS3592" s="48"/>
      <c r="AT3592" s="48"/>
      <c r="AU3592" s="48"/>
      <c r="AV3592" s="48"/>
      <c r="AW3592" s="48"/>
      <c r="AX3592" s="48"/>
      <c r="AY3592" s="48"/>
      <c r="AZ3592" s="48"/>
      <c r="BA3592" s="48"/>
      <c r="BB3592" s="48"/>
      <c r="BC3592" s="48"/>
      <c r="BD3592" s="48"/>
    </row>
    <row r="3593" spans="1:56">
      <c r="A3593" s="48"/>
      <c r="B3593" s="48"/>
      <c r="C3593" s="49"/>
      <c r="D3593" s="48"/>
      <c r="E3593" s="48"/>
      <c r="F3593" s="48"/>
      <c r="G3593" s="48"/>
      <c r="H3593" s="48"/>
      <c r="I3593" s="48"/>
      <c r="J3593" s="86"/>
      <c r="K3593" s="86"/>
      <c r="L3593" s="86"/>
      <c r="M3593" s="86"/>
      <c r="N3593" s="86"/>
      <c r="O3593" s="86"/>
      <c r="P3593" s="86"/>
      <c r="Q3593" s="86"/>
      <c r="R3593" s="86"/>
      <c r="S3593" s="86"/>
      <c r="T3593" s="86"/>
      <c r="U3593" s="86"/>
      <c r="V3593" s="48"/>
      <c r="W3593" s="48"/>
      <c r="X3593" s="48"/>
      <c r="Y3593" s="48"/>
      <c r="Z3593" s="48"/>
      <c r="AA3593" s="48"/>
      <c r="AB3593" s="48"/>
      <c r="AC3593" s="48"/>
      <c r="AD3593" s="48"/>
      <c r="AE3593" s="48"/>
      <c r="AF3593" s="48"/>
      <c r="AG3593" s="48"/>
      <c r="AH3593" s="48"/>
      <c r="AI3593" s="48"/>
      <c r="AJ3593" s="48"/>
      <c r="AK3593" s="48"/>
      <c r="AL3593" s="48"/>
      <c r="AM3593" s="48"/>
      <c r="AN3593" s="48"/>
      <c r="AO3593" s="48"/>
      <c r="AP3593" s="48"/>
      <c r="AQ3593" s="48"/>
      <c r="AR3593" s="48"/>
      <c r="AS3593" s="48"/>
      <c r="AT3593" s="48"/>
      <c r="AU3593" s="48"/>
      <c r="AV3593" s="48"/>
      <c r="AW3593" s="48"/>
      <c r="AX3593" s="48"/>
      <c r="AY3593" s="48"/>
      <c r="AZ3593" s="48"/>
      <c r="BA3593" s="48"/>
      <c r="BB3593" s="48"/>
      <c r="BC3593" s="48"/>
      <c r="BD3593" s="48"/>
    </row>
    <row r="3594" spans="1:56">
      <c r="A3594" s="48"/>
      <c r="B3594" s="48"/>
      <c r="C3594" s="49"/>
      <c r="D3594" s="48"/>
      <c r="E3594" s="48"/>
      <c r="F3594" s="48"/>
      <c r="G3594" s="48"/>
      <c r="H3594" s="48"/>
      <c r="I3594" s="48"/>
      <c r="J3594" s="86"/>
      <c r="K3594" s="86"/>
      <c r="L3594" s="86"/>
      <c r="M3594" s="86"/>
      <c r="N3594" s="86"/>
      <c r="O3594" s="86"/>
      <c r="P3594" s="86"/>
      <c r="Q3594" s="86"/>
      <c r="R3594" s="86"/>
      <c r="S3594" s="86"/>
      <c r="T3594" s="86"/>
      <c r="U3594" s="86"/>
      <c r="V3594" s="48"/>
      <c r="W3594" s="48"/>
      <c r="X3594" s="48"/>
      <c r="Y3594" s="48"/>
      <c r="Z3594" s="48"/>
      <c r="AA3594" s="48"/>
      <c r="AB3594" s="48"/>
      <c r="AC3594" s="48"/>
      <c r="AD3594" s="48"/>
      <c r="AE3594" s="48"/>
      <c r="AF3594" s="48"/>
      <c r="AG3594" s="48"/>
      <c r="AH3594" s="48"/>
      <c r="AI3594" s="48"/>
      <c r="AJ3594" s="48"/>
      <c r="AK3594" s="48"/>
      <c r="AL3594" s="48"/>
      <c r="AM3594" s="48"/>
      <c r="AN3594" s="48"/>
      <c r="AO3594" s="48"/>
      <c r="AP3594" s="48"/>
      <c r="AQ3594" s="48"/>
      <c r="AR3594" s="48"/>
      <c r="AS3594" s="48"/>
      <c r="AT3594" s="48"/>
      <c r="AU3594" s="48"/>
      <c r="AV3594" s="48"/>
      <c r="AW3594" s="48"/>
      <c r="AX3594" s="48"/>
      <c r="AY3594" s="48"/>
      <c r="AZ3594" s="48"/>
      <c r="BA3594" s="48"/>
      <c r="BB3594" s="48"/>
      <c r="BC3594" s="48"/>
      <c r="BD3594" s="48"/>
    </row>
    <row r="3595" spans="1:56">
      <c r="A3595" s="48"/>
      <c r="B3595" s="48"/>
      <c r="C3595" s="49"/>
      <c r="D3595" s="48"/>
      <c r="E3595" s="48"/>
      <c r="F3595" s="48"/>
      <c r="G3595" s="48"/>
      <c r="H3595" s="48"/>
      <c r="I3595" s="48"/>
      <c r="J3595" s="86"/>
      <c r="K3595" s="86"/>
      <c r="L3595" s="86"/>
      <c r="M3595" s="86"/>
      <c r="N3595" s="86"/>
      <c r="O3595" s="86"/>
      <c r="P3595" s="86"/>
      <c r="Q3595" s="86"/>
      <c r="R3595" s="86"/>
      <c r="S3595" s="86"/>
      <c r="T3595" s="86"/>
      <c r="U3595" s="86"/>
      <c r="V3595" s="48"/>
      <c r="W3595" s="48"/>
      <c r="X3595" s="48"/>
      <c r="Y3595" s="48"/>
      <c r="Z3595" s="48"/>
      <c r="AA3595" s="48"/>
      <c r="AB3595" s="48"/>
      <c r="AC3595" s="48"/>
      <c r="AD3595" s="48"/>
      <c r="AE3595" s="48"/>
      <c r="AF3595" s="48"/>
      <c r="AG3595" s="48"/>
      <c r="AH3595" s="48"/>
      <c r="AI3595" s="48"/>
      <c r="AJ3595" s="48"/>
      <c r="AK3595" s="48"/>
      <c r="AL3595" s="48"/>
      <c r="AM3595" s="48"/>
      <c r="AN3595" s="48"/>
      <c r="AO3595" s="48"/>
      <c r="AP3595" s="48"/>
      <c r="AQ3595" s="48"/>
      <c r="AR3595" s="48"/>
      <c r="AS3595" s="48"/>
      <c r="AT3595" s="48"/>
      <c r="AU3595" s="48"/>
      <c r="AV3595" s="48"/>
      <c r="AW3595" s="48"/>
      <c r="AX3595" s="48"/>
      <c r="AY3595" s="48"/>
      <c r="AZ3595" s="48"/>
      <c r="BA3595" s="48"/>
      <c r="BB3595" s="48"/>
      <c r="BC3595" s="48"/>
      <c r="BD3595" s="48"/>
    </row>
    <row r="3596" spans="1:56">
      <c r="A3596" s="48"/>
      <c r="B3596" s="48"/>
      <c r="C3596" s="49"/>
      <c r="D3596" s="48"/>
      <c r="E3596" s="48"/>
      <c r="F3596" s="48"/>
      <c r="G3596" s="48"/>
      <c r="H3596" s="48"/>
      <c r="I3596" s="48"/>
      <c r="J3596" s="86"/>
      <c r="K3596" s="86"/>
      <c r="L3596" s="86"/>
      <c r="M3596" s="86"/>
      <c r="N3596" s="86"/>
      <c r="O3596" s="86"/>
      <c r="P3596" s="86"/>
      <c r="Q3596" s="86"/>
      <c r="R3596" s="86"/>
      <c r="S3596" s="86"/>
      <c r="T3596" s="86"/>
      <c r="U3596" s="86"/>
      <c r="V3596" s="48"/>
      <c r="W3596" s="48"/>
      <c r="X3596" s="48"/>
      <c r="Y3596" s="48"/>
      <c r="Z3596" s="48"/>
      <c r="AA3596" s="48"/>
      <c r="AB3596" s="48"/>
      <c r="AC3596" s="48"/>
      <c r="AD3596" s="48"/>
      <c r="AE3596" s="48"/>
      <c r="AF3596" s="48"/>
      <c r="AG3596" s="48"/>
      <c r="AH3596" s="48"/>
      <c r="AI3596" s="48"/>
      <c r="AJ3596" s="48"/>
      <c r="AK3596" s="48"/>
      <c r="AL3596" s="48"/>
      <c r="AM3596" s="48"/>
      <c r="AN3596" s="48"/>
      <c r="AO3596" s="48"/>
      <c r="AP3596" s="48"/>
      <c r="AQ3596" s="48"/>
      <c r="AR3596" s="48"/>
      <c r="AS3596" s="48"/>
      <c r="AT3596" s="48"/>
      <c r="AU3596" s="48"/>
      <c r="AV3596" s="48"/>
      <c r="AW3596" s="48"/>
      <c r="AX3596" s="48"/>
      <c r="AY3596" s="48"/>
      <c r="AZ3596" s="48"/>
      <c r="BA3596" s="48"/>
      <c r="BB3596" s="48"/>
      <c r="BC3596" s="48"/>
      <c r="BD3596" s="48"/>
    </row>
    <row r="3597" spans="1:56">
      <c r="A3597" s="48"/>
      <c r="B3597" s="48"/>
      <c r="C3597" s="49"/>
      <c r="D3597" s="48"/>
      <c r="E3597" s="48"/>
      <c r="F3597" s="48"/>
      <c r="G3597" s="48"/>
      <c r="H3597" s="48"/>
      <c r="I3597" s="48"/>
      <c r="J3597" s="86"/>
      <c r="K3597" s="86"/>
      <c r="L3597" s="86"/>
      <c r="M3597" s="86"/>
      <c r="N3597" s="86"/>
      <c r="O3597" s="86"/>
      <c r="P3597" s="86"/>
      <c r="Q3597" s="86"/>
      <c r="R3597" s="86"/>
      <c r="S3597" s="86"/>
      <c r="T3597" s="86"/>
      <c r="U3597" s="86"/>
      <c r="V3597" s="48"/>
      <c r="W3597" s="48"/>
      <c r="X3597" s="48"/>
      <c r="Y3597" s="48"/>
      <c r="Z3597" s="48"/>
      <c r="AA3597" s="48"/>
      <c r="AB3597" s="48"/>
      <c r="AC3597" s="48"/>
      <c r="AD3597" s="48"/>
      <c r="AE3597" s="48"/>
      <c r="AF3597" s="48"/>
      <c r="AG3597" s="48"/>
      <c r="AH3597" s="48"/>
      <c r="AI3597" s="48"/>
      <c r="AJ3597" s="48"/>
      <c r="AK3597" s="48"/>
      <c r="AL3597" s="48"/>
      <c r="AM3597" s="48"/>
      <c r="AN3597" s="48"/>
      <c r="AO3597" s="48"/>
      <c r="AP3597" s="48"/>
      <c r="AQ3597" s="48"/>
      <c r="AR3597" s="48"/>
      <c r="AS3597" s="48"/>
      <c r="AT3597" s="48"/>
      <c r="AU3597" s="48"/>
      <c r="AV3597" s="48"/>
      <c r="AW3597" s="48"/>
      <c r="AX3597" s="48"/>
      <c r="AY3597" s="48"/>
      <c r="AZ3597" s="48"/>
      <c r="BA3597" s="48"/>
      <c r="BB3597" s="48"/>
      <c r="BC3597" s="48"/>
      <c r="BD3597" s="48"/>
    </row>
    <row r="3598" spans="1:56">
      <c r="A3598" s="48"/>
      <c r="B3598" s="48"/>
      <c r="C3598" s="49"/>
      <c r="D3598" s="48"/>
      <c r="E3598" s="48"/>
      <c r="F3598" s="48"/>
      <c r="G3598" s="48"/>
      <c r="H3598" s="48"/>
      <c r="I3598" s="48"/>
      <c r="J3598" s="86"/>
      <c r="K3598" s="86"/>
      <c r="L3598" s="86"/>
      <c r="M3598" s="86"/>
      <c r="N3598" s="86"/>
      <c r="O3598" s="86"/>
      <c r="P3598" s="86"/>
      <c r="Q3598" s="86"/>
      <c r="R3598" s="86"/>
      <c r="S3598" s="86"/>
      <c r="T3598" s="86"/>
      <c r="U3598" s="86"/>
      <c r="V3598" s="48"/>
      <c r="W3598" s="48"/>
      <c r="X3598" s="48"/>
      <c r="Y3598" s="48"/>
      <c r="Z3598" s="48"/>
      <c r="AA3598" s="48"/>
      <c r="AB3598" s="48"/>
      <c r="AC3598" s="48"/>
      <c r="AD3598" s="48"/>
      <c r="AE3598" s="48"/>
      <c r="AF3598" s="48"/>
      <c r="AG3598" s="48"/>
      <c r="AH3598" s="48"/>
      <c r="AI3598" s="48"/>
      <c r="AJ3598" s="48"/>
      <c r="AK3598" s="48"/>
      <c r="AL3598" s="48"/>
      <c r="AM3598" s="48"/>
      <c r="AN3598" s="48"/>
      <c r="AO3598" s="48"/>
      <c r="AP3598" s="48"/>
      <c r="AQ3598" s="48"/>
      <c r="AR3598" s="48"/>
      <c r="AS3598" s="48"/>
      <c r="AT3598" s="48"/>
      <c r="AU3598" s="48"/>
      <c r="AV3598" s="48"/>
      <c r="AW3598" s="48"/>
      <c r="AX3598" s="48"/>
      <c r="AY3598" s="48"/>
      <c r="AZ3598" s="48"/>
      <c r="BA3598" s="48"/>
      <c r="BB3598" s="48"/>
      <c r="BC3598" s="48"/>
      <c r="BD3598" s="48"/>
    </row>
    <row r="3599" spans="1:56">
      <c r="A3599" s="48"/>
      <c r="B3599" s="48"/>
      <c r="C3599" s="49"/>
      <c r="D3599" s="48"/>
      <c r="E3599" s="48"/>
      <c r="F3599" s="48"/>
      <c r="G3599" s="48"/>
      <c r="H3599" s="48"/>
      <c r="I3599" s="48"/>
      <c r="J3599" s="86"/>
      <c r="K3599" s="86"/>
      <c r="L3599" s="86"/>
      <c r="M3599" s="86"/>
      <c r="N3599" s="86"/>
      <c r="O3599" s="86"/>
      <c r="P3599" s="86"/>
      <c r="Q3599" s="86"/>
      <c r="R3599" s="86"/>
      <c r="S3599" s="86"/>
      <c r="T3599" s="86"/>
      <c r="U3599" s="86"/>
      <c r="V3599" s="48"/>
      <c r="W3599" s="48"/>
      <c r="X3599" s="48"/>
      <c r="Y3599" s="48"/>
      <c r="Z3599" s="48"/>
      <c r="AA3599" s="48"/>
      <c r="AB3599" s="48"/>
      <c r="AC3599" s="48"/>
      <c r="AD3599" s="48"/>
      <c r="AE3599" s="48"/>
      <c r="AF3599" s="48"/>
      <c r="AG3599" s="48"/>
      <c r="AH3599" s="48"/>
      <c r="AI3599" s="48"/>
      <c r="AJ3599" s="48"/>
      <c r="AK3599" s="48"/>
      <c r="AL3599" s="48"/>
      <c r="AM3599" s="48"/>
      <c r="AN3599" s="48"/>
      <c r="AO3599" s="48"/>
      <c r="AP3599" s="48"/>
      <c r="AQ3599" s="48"/>
      <c r="AR3599" s="48"/>
      <c r="AS3599" s="48"/>
      <c r="AT3599" s="48"/>
      <c r="AU3599" s="48"/>
      <c r="AV3599" s="48"/>
      <c r="AW3599" s="48"/>
      <c r="AX3599" s="48"/>
      <c r="AY3599" s="48"/>
      <c r="AZ3599" s="48"/>
      <c r="BA3599" s="48"/>
      <c r="BB3599" s="48"/>
      <c r="BC3599" s="48"/>
      <c r="BD3599" s="48"/>
    </row>
    <row r="3600" spans="1:56">
      <c r="A3600" s="48"/>
      <c r="B3600" s="48"/>
      <c r="C3600" s="49"/>
      <c r="D3600" s="48"/>
      <c r="E3600" s="48"/>
      <c r="F3600" s="48"/>
      <c r="G3600" s="48"/>
      <c r="H3600" s="48"/>
      <c r="I3600" s="48"/>
      <c r="J3600" s="86"/>
      <c r="K3600" s="86"/>
      <c r="L3600" s="86"/>
      <c r="M3600" s="86"/>
      <c r="N3600" s="86"/>
      <c r="O3600" s="86"/>
      <c r="P3600" s="86"/>
      <c r="Q3600" s="86"/>
      <c r="R3600" s="86"/>
      <c r="S3600" s="86"/>
      <c r="T3600" s="86"/>
      <c r="U3600" s="86"/>
      <c r="V3600" s="48"/>
      <c r="W3600" s="48"/>
      <c r="X3600" s="48"/>
      <c r="Y3600" s="48"/>
      <c r="Z3600" s="48"/>
      <c r="AA3600" s="48"/>
      <c r="AB3600" s="48"/>
      <c r="AC3600" s="48"/>
      <c r="AD3600" s="48"/>
      <c r="AE3600" s="48"/>
      <c r="AF3600" s="48"/>
      <c r="AG3600" s="48"/>
      <c r="AH3600" s="48"/>
      <c r="AI3600" s="48"/>
      <c r="AJ3600" s="48"/>
      <c r="AK3600" s="48"/>
      <c r="AL3600" s="48"/>
      <c r="AM3600" s="48"/>
      <c r="AN3600" s="48"/>
      <c r="AO3600" s="48"/>
      <c r="AP3600" s="48"/>
      <c r="AQ3600" s="48"/>
      <c r="AR3600" s="48"/>
      <c r="AS3600" s="48"/>
      <c r="AT3600" s="48"/>
      <c r="AU3600" s="48"/>
      <c r="AV3600" s="48"/>
      <c r="AW3600" s="48"/>
      <c r="AX3600" s="48"/>
      <c r="AY3600" s="48"/>
      <c r="AZ3600" s="48"/>
      <c r="BA3600" s="48"/>
      <c r="BB3600" s="48"/>
      <c r="BC3600" s="48"/>
      <c r="BD3600" s="48"/>
    </row>
    <row r="3601" spans="1:56">
      <c r="A3601" s="48"/>
      <c r="B3601" s="48"/>
      <c r="C3601" s="49"/>
      <c r="D3601" s="48"/>
      <c r="E3601" s="48"/>
      <c r="F3601" s="48"/>
      <c r="G3601" s="48"/>
      <c r="H3601" s="48"/>
      <c r="I3601" s="48"/>
      <c r="J3601" s="86"/>
      <c r="K3601" s="86"/>
      <c r="L3601" s="86"/>
      <c r="M3601" s="86"/>
      <c r="N3601" s="86"/>
      <c r="O3601" s="86"/>
      <c r="P3601" s="86"/>
      <c r="Q3601" s="86"/>
      <c r="R3601" s="86"/>
      <c r="S3601" s="86"/>
      <c r="T3601" s="86"/>
      <c r="U3601" s="86"/>
      <c r="V3601" s="48"/>
      <c r="W3601" s="48"/>
      <c r="X3601" s="48"/>
      <c r="Y3601" s="48"/>
      <c r="Z3601" s="48"/>
      <c r="AA3601" s="48"/>
      <c r="AB3601" s="48"/>
      <c r="AC3601" s="48"/>
      <c r="AD3601" s="48"/>
      <c r="AE3601" s="48"/>
      <c r="AF3601" s="48"/>
      <c r="AG3601" s="48"/>
      <c r="AH3601" s="48"/>
      <c r="AI3601" s="48"/>
      <c r="AJ3601" s="48"/>
      <c r="AK3601" s="48"/>
      <c r="AL3601" s="48"/>
      <c r="AM3601" s="48"/>
      <c r="AN3601" s="48"/>
      <c r="AO3601" s="48"/>
      <c r="AP3601" s="48"/>
      <c r="AQ3601" s="48"/>
      <c r="AR3601" s="48"/>
      <c r="AS3601" s="48"/>
      <c r="AT3601" s="48"/>
      <c r="AU3601" s="48"/>
      <c r="AV3601" s="48"/>
      <c r="AW3601" s="48"/>
      <c r="AX3601" s="48"/>
      <c r="AY3601" s="48"/>
      <c r="AZ3601" s="48"/>
      <c r="BA3601" s="48"/>
      <c r="BB3601" s="48"/>
      <c r="BC3601" s="48"/>
      <c r="BD3601" s="48"/>
    </row>
    <row r="3602" spans="1:56">
      <c r="A3602" s="48"/>
      <c r="B3602" s="48"/>
      <c r="C3602" s="49"/>
      <c r="D3602" s="48"/>
      <c r="E3602" s="48"/>
      <c r="F3602" s="48"/>
      <c r="G3602" s="48"/>
      <c r="H3602" s="48"/>
      <c r="I3602" s="48"/>
      <c r="J3602" s="86"/>
      <c r="K3602" s="86"/>
      <c r="L3602" s="86"/>
      <c r="M3602" s="86"/>
      <c r="N3602" s="86"/>
      <c r="O3602" s="86"/>
      <c r="P3602" s="86"/>
      <c r="Q3602" s="86"/>
      <c r="R3602" s="86"/>
      <c r="S3602" s="86"/>
      <c r="T3602" s="86"/>
      <c r="U3602" s="86"/>
      <c r="V3602" s="48"/>
      <c r="W3602" s="48"/>
      <c r="X3602" s="48"/>
      <c r="Y3602" s="48"/>
      <c r="Z3602" s="48"/>
      <c r="AA3602" s="48"/>
      <c r="AB3602" s="48"/>
      <c r="AC3602" s="48"/>
      <c r="AD3602" s="48"/>
      <c r="AE3602" s="48"/>
      <c r="AF3602" s="48"/>
      <c r="AG3602" s="48"/>
      <c r="AH3602" s="48"/>
      <c r="AI3602" s="48"/>
      <c r="AJ3602" s="48"/>
      <c r="AK3602" s="48"/>
      <c r="AL3602" s="48"/>
      <c r="AM3602" s="48"/>
      <c r="AN3602" s="48"/>
      <c r="AO3602" s="48"/>
      <c r="AP3602" s="48"/>
      <c r="AQ3602" s="48"/>
      <c r="AR3602" s="48"/>
      <c r="AS3602" s="48"/>
      <c r="AT3602" s="48"/>
      <c r="AU3602" s="48"/>
      <c r="AV3602" s="48"/>
      <c r="AW3602" s="48"/>
      <c r="AX3602" s="48"/>
      <c r="AY3602" s="48"/>
      <c r="AZ3602" s="48"/>
      <c r="BA3602" s="48"/>
      <c r="BB3602" s="48"/>
      <c r="BC3602" s="48"/>
      <c r="BD3602" s="48"/>
    </row>
    <row r="3603" spans="1:56">
      <c r="A3603" s="48"/>
      <c r="B3603" s="48"/>
      <c r="C3603" s="49"/>
      <c r="D3603" s="48"/>
      <c r="E3603" s="48"/>
      <c r="F3603" s="48"/>
      <c r="G3603" s="48"/>
      <c r="H3603" s="48"/>
      <c r="I3603" s="48"/>
      <c r="J3603" s="86"/>
      <c r="K3603" s="86"/>
      <c r="L3603" s="86"/>
      <c r="M3603" s="86"/>
      <c r="N3603" s="86"/>
      <c r="O3603" s="86"/>
      <c r="P3603" s="86"/>
      <c r="Q3603" s="86"/>
      <c r="R3603" s="86"/>
      <c r="S3603" s="86"/>
      <c r="T3603" s="86"/>
      <c r="U3603" s="86"/>
      <c r="V3603" s="48"/>
      <c r="W3603" s="48"/>
      <c r="X3603" s="48"/>
      <c r="Y3603" s="48"/>
      <c r="Z3603" s="48"/>
      <c r="AA3603" s="48"/>
      <c r="AB3603" s="48"/>
      <c r="AC3603" s="48"/>
      <c r="AD3603" s="48"/>
      <c r="AE3603" s="48"/>
      <c r="AF3603" s="48"/>
      <c r="AG3603" s="48"/>
      <c r="AH3603" s="48"/>
      <c r="AI3603" s="48"/>
      <c r="AJ3603" s="48"/>
      <c r="AK3603" s="48"/>
      <c r="AL3603" s="48"/>
      <c r="AM3603" s="48"/>
      <c r="AN3603" s="48"/>
      <c r="AO3603" s="48"/>
      <c r="AP3603" s="48"/>
      <c r="AQ3603" s="48"/>
      <c r="AR3603" s="48"/>
      <c r="AS3603" s="48"/>
      <c r="AT3603" s="48"/>
      <c r="AU3603" s="48"/>
      <c r="AV3603" s="48"/>
      <c r="AW3603" s="48"/>
      <c r="AX3603" s="48"/>
      <c r="AY3603" s="48"/>
      <c r="AZ3603" s="48"/>
      <c r="BA3603" s="48"/>
      <c r="BB3603" s="48"/>
      <c r="BC3603" s="48"/>
      <c r="BD3603" s="48"/>
    </row>
    <row r="3604" spans="1:56">
      <c r="A3604" s="48"/>
      <c r="B3604" s="48"/>
      <c r="C3604" s="49"/>
      <c r="D3604" s="48"/>
      <c r="E3604" s="48"/>
      <c r="F3604" s="48"/>
      <c r="G3604" s="48"/>
      <c r="H3604" s="48"/>
      <c r="I3604" s="48"/>
      <c r="J3604" s="86"/>
      <c r="K3604" s="86"/>
      <c r="L3604" s="86"/>
      <c r="M3604" s="86"/>
      <c r="N3604" s="86"/>
      <c r="O3604" s="86"/>
      <c r="P3604" s="86"/>
      <c r="Q3604" s="86"/>
      <c r="R3604" s="86"/>
      <c r="S3604" s="86"/>
      <c r="T3604" s="86"/>
      <c r="U3604" s="86"/>
      <c r="V3604" s="48"/>
      <c r="W3604" s="48"/>
      <c r="X3604" s="48"/>
      <c r="Y3604" s="48"/>
      <c r="Z3604" s="48"/>
      <c r="AA3604" s="48"/>
      <c r="AB3604" s="48"/>
      <c r="AC3604" s="48"/>
      <c r="AD3604" s="48"/>
      <c r="AE3604" s="48"/>
      <c r="AF3604" s="48"/>
      <c r="AG3604" s="48"/>
      <c r="AH3604" s="48"/>
      <c r="AI3604" s="48"/>
      <c r="AJ3604" s="48"/>
      <c r="AK3604" s="48"/>
      <c r="AL3604" s="48"/>
      <c r="AM3604" s="48"/>
      <c r="AN3604" s="48"/>
      <c r="AO3604" s="48"/>
      <c r="AP3604" s="48"/>
      <c r="AQ3604" s="48"/>
      <c r="AR3604" s="48"/>
      <c r="AS3604" s="48"/>
      <c r="AT3604" s="48"/>
      <c r="AU3604" s="48"/>
      <c r="AV3604" s="48"/>
      <c r="AW3604" s="48"/>
      <c r="AX3604" s="48"/>
      <c r="AY3604" s="48"/>
      <c r="AZ3604" s="48"/>
      <c r="BA3604" s="48"/>
      <c r="BB3604" s="48"/>
      <c r="BC3604" s="48"/>
      <c r="BD3604" s="48"/>
    </row>
    <row r="3605" spans="1:56">
      <c r="A3605" s="48"/>
      <c r="B3605" s="48"/>
      <c r="C3605" s="49"/>
      <c r="D3605" s="48"/>
      <c r="E3605" s="48"/>
      <c r="F3605" s="48"/>
      <c r="G3605" s="48"/>
      <c r="H3605" s="48"/>
      <c r="I3605" s="48"/>
      <c r="J3605" s="86"/>
      <c r="K3605" s="86"/>
      <c r="L3605" s="86"/>
      <c r="M3605" s="86"/>
      <c r="N3605" s="86"/>
      <c r="O3605" s="86"/>
      <c r="P3605" s="86"/>
      <c r="Q3605" s="86"/>
      <c r="R3605" s="86"/>
      <c r="S3605" s="86"/>
      <c r="T3605" s="86"/>
      <c r="U3605" s="86"/>
      <c r="V3605" s="48"/>
      <c r="W3605" s="48"/>
      <c r="X3605" s="48"/>
      <c r="Y3605" s="48"/>
      <c r="Z3605" s="48"/>
      <c r="AA3605" s="48"/>
      <c r="AB3605" s="48"/>
      <c r="AC3605" s="48"/>
      <c r="AD3605" s="48"/>
      <c r="AE3605" s="48"/>
      <c r="AF3605" s="48"/>
      <c r="AG3605" s="48"/>
      <c r="AH3605" s="48"/>
      <c r="AI3605" s="48"/>
      <c r="AJ3605" s="48"/>
      <c r="AK3605" s="48"/>
      <c r="AL3605" s="48"/>
      <c r="AM3605" s="48"/>
      <c r="AN3605" s="48"/>
      <c r="AO3605" s="48"/>
      <c r="AP3605" s="48"/>
      <c r="AQ3605" s="48"/>
      <c r="AR3605" s="48"/>
      <c r="AS3605" s="48"/>
      <c r="AT3605" s="48"/>
      <c r="AU3605" s="48"/>
      <c r="AV3605" s="48"/>
      <c r="AW3605" s="48"/>
      <c r="AX3605" s="48"/>
      <c r="AY3605" s="48"/>
      <c r="AZ3605" s="48"/>
      <c r="BA3605" s="48"/>
      <c r="BB3605" s="48"/>
      <c r="BC3605" s="48"/>
      <c r="BD3605" s="48"/>
    </row>
    <row r="3606" spans="1:56">
      <c r="A3606" s="48"/>
      <c r="B3606" s="48"/>
      <c r="C3606" s="49"/>
      <c r="D3606" s="48"/>
      <c r="E3606" s="48"/>
      <c r="F3606" s="48"/>
      <c r="G3606" s="48"/>
      <c r="H3606" s="48"/>
      <c r="I3606" s="48"/>
      <c r="J3606" s="86"/>
      <c r="K3606" s="86"/>
      <c r="L3606" s="86"/>
      <c r="M3606" s="86"/>
      <c r="N3606" s="86"/>
      <c r="O3606" s="86"/>
      <c r="P3606" s="86"/>
      <c r="Q3606" s="86"/>
      <c r="R3606" s="86"/>
      <c r="S3606" s="86"/>
      <c r="T3606" s="86"/>
      <c r="U3606" s="86"/>
      <c r="V3606" s="48"/>
      <c r="W3606" s="48"/>
      <c r="X3606" s="48"/>
      <c r="Y3606" s="48"/>
      <c r="Z3606" s="48"/>
      <c r="AA3606" s="48"/>
      <c r="AB3606" s="48"/>
      <c r="AC3606" s="48"/>
      <c r="AD3606" s="48"/>
      <c r="AE3606" s="48"/>
      <c r="AF3606" s="48"/>
      <c r="AG3606" s="48"/>
      <c r="AH3606" s="48"/>
      <c r="AI3606" s="48"/>
      <c r="AJ3606" s="48"/>
      <c r="AK3606" s="48"/>
      <c r="AL3606" s="48"/>
      <c r="AM3606" s="48"/>
      <c r="AN3606" s="48"/>
      <c r="AO3606" s="48"/>
      <c r="AP3606" s="48"/>
      <c r="AQ3606" s="48"/>
      <c r="AR3606" s="48"/>
      <c r="AS3606" s="48"/>
      <c r="AT3606" s="48"/>
      <c r="AU3606" s="48"/>
      <c r="AV3606" s="48"/>
      <c r="AW3606" s="48"/>
      <c r="AX3606" s="48"/>
      <c r="AY3606" s="48"/>
      <c r="AZ3606" s="48"/>
      <c r="BA3606" s="48"/>
      <c r="BB3606" s="48"/>
      <c r="BC3606" s="48"/>
      <c r="BD3606" s="48"/>
    </row>
    <row r="3607" spans="1:56">
      <c r="A3607" s="48"/>
      <c r="B3607" s="48"/>
      <c r="C3607" s="49"/>
      <c r="D3607" s="48"/>
      <c r="E3607" s="48"/>
      <c r="F3607" s="48"/>
      <c r="G3607" s="48"/>
      <c r="H3607" s="48"/>
      <c r="I3607" s="48"/>
      <c r="J3607" s="86"/>
      <c r="K3607" s="86"/>
      <c r="L3607" s="86"/>
      <c r="M3607" s="86"/>
      <c r="N3607" s="86"/>
      <c r="O3607" s="86"/>
      <c r="P3607" s="86"/>
      <c r="Q3607" s="86"/>
      <c r="R3607" s="86"/>
      <c r="S3607" s="86"/>
      <c r="T3607" s="86"/>
      <c r="U3607" s="86"/>
      <c r="V3607" s="48"/>
      <c r="W3607" s="48"/>
      <c r="X3607" s="48"/>
      <c r="Y3607" s="48"/>
      <c r="Z3607" s="48"/>
      <c r="AA3607" s="48"/>
      <c r="AB3607" s="48"/>
      <c r="AC3607" s="48"/>
      <c r="AD3607" s="48"/>
      <c r="AE3607" s="48"/>
      <c r="AF3607" s="48"/>
      <c r="AG3607" s="48"/>
      <c r="AH3607" s="48"/>
      <c r="AI3607" s="48"/>
      <c r="AJ3607" s="48"/>
      <c r="AK3607" s="48"/>
      <c r="AL3607" s="48"/>
      <c r="AM3607" s="48"/>
      <c r="AN3607" s="48"/>
      <c r="AO3607" s="48"/>
      <c r="AP3607" s="48"/>
      <c r="AQ3607" s="48"/>
      <c r="AR3607" s="48"/>
      <c r="AS3607" s="48"/>
      <c r="AT3607" s="48"/>
      <c r="AU3607" s="48"/>
      <c r="AV3607" s="48"/>
      <c r="AW3607" s="48"/>
      <c r="AX3607" s="48"/>
      <c r="AY3607" s="48"/>
      <c r="AZ3607" s="48"/>
      <c r="BA3607" s="48"/>
      <c r="BB3607" s="48"/>
      <c r="BC3607" s="48"/>
      <c r="BD3607" s="48"/>
    </row>
    <row r="3608" spans="1:56">
      <c r="A3608" s="48"/>
      <c r="B3608" s="48"/>
      <c r="C3608" s="49"/>
      <c r="D3608" s="48"/>
      <c r="E3608" s="48"/>
      <c r="F3608" s="48"/>
      <c r="G3608" s="48"/>
      <c r="H3608" s="48"/>
      <c r="I3608" s="48"/>
      <c r="J3608" s="86"/>
      <c r="K3608" s="86"/>
      <c r="L3608" s="86"/>
      <c r="M3608" s="86"/>
      <c r="N3608" s="86"/>
      <c r="O3608" s="86"/>
      <c r="P3608" s="86"/>
      <c r="Q3608" s="86"/>
      <c r="R3608" s="86"/>
      <c r="S3608" s="86"/>
      <c r="T3608" s="86"/>
      <c r="U3608" s="86"/>
      <c r="V3608" s="48"/>
      <c r="W3608" s="48"/>
      <c r="X3608" s="48"/>
      <c r="Y3608" s="48"/>
      <c r="Z3608" s="48"/>
      <c r="AA3608" s="48"/>
      <c r="AB3608" s="48"/>
      <c r="AC3608" s="48"/>
      <c r="AD3608" s="48"/>
      <c r="AE3608" s="48"/>
      <c r="AF3608" s="48"/>
      <c r="AG3608" s="48"/>
      <c r="AH3608" s="48"/>
      <c r="AI3608" s="48"/>
      <c r="AJ3608" s="48"/>
      <c r="AK3608" s="48"/>
      <c r="AL3608" s="48"/>
      <c r="AM3608" s="48"/>
      <c r="AN3608" s="48"/>
      <c r="AO3608" s="48"/>
      <c r="AP3608" s="48"/>
      <c r="AQ3608" s="48"/>
      <c r="AR3608" s="48"/>
      <c r="AS3608" s="48"/>
      <c r="AT3608" s="48"/>
      <c r="AU3608" s="48"/>
      <c r="AV3608" s="48"/>
      <c r="AW3608" s="48"/>
      <c r="AX3608" s="48"/>
      <c r="AY3608" s="48"/>
      <c r="AZ3608" s="48"/>
      <c r="BA3608" s="48"/>
      <c r="BB3608" s="48"/>
      <c r="BC3608" s="48"/>
      <c r="BD3608" s="48"/>
    </row>
    <row r="3609" spans="1:56">
      <c r="A3609" s="48"/>
      <c r="B3609" s="48"/>
      <c r="C3609" s="49"/>
      <c r="D3609" s="48"/>
      <c r="E3609" s="48"/>
      <c r="F3609" s="48"/>
      <c r="G3609" s="48"/>
      <c r="H3609" s="48"/>
      <c r="I3609" s="48"/>
      <c r="J3609" s="86"/>
      <c r="K3609" s="86"/>
      <c r="L3609" s="86"/>
      <c r="M3609" s="86"/>
      <c r="N3609" s="86"/>
      <c r="O3609" s="86"/>
      <c r="P3609" s="86"/>
      <c r="Q3609" s="86"/>
      <c r="R3609" s="86"/>
      <c r="S3609" s="86"/>
      <c r="T3609" s="86"/>
      <c r="U3609" s="86"/>
      <c r="V3609" s="48"/>
      <c r="W3609" s="48"/>
      <c r="X3609" s="48"/>
      <c r="Y3609" s="48"/>
      <c r="Z3609" s="48"/>
      <c r="AA3609" s="48"/>
      <c r="AB3609" s="48"/>
      <c r="AC3609" s="48"/>
      <c r="AD3609" s="48"/>
      <c r="AE3609" s="48"/>
      <c r="AF3609" s="48"/>
      <c r="AG3609" s="48"/>
      <c r="AH3609" s="48"/>
      <c r="AI3609" s="48"/>
      <c r="AJ3609" s="48"/>
      <c r="AK3609" s="48"/>
      <c r="AL3609" s="48"/>
      <c r="AM3609" s="48"/>
      <c r="AN3609" s="48"/>
      <c r="AO3609" s="48"/>
      <c r="AP3609" s="48"/>
      <c r="AQ3609" s="48"/>
      <c r="AR3609" s="48"/>
      <c r="AS3609" s="48"/>
      <c r="AT3609" s="48"/>
      <c r="AU3609" s="48"/>
      <c r="AV3609" s="48"/>
      <c r="AW3609" s="48"/>
      <c r="AX3609" s="48"/>
      <c r="AY3609" s="48"/>
      <c r="AZ3609" s="48"/>
      <c r="BA3609" s="48"/>
      <c r="BB3609" s="48"/>
      <c r="BC3609" s="48"/>
      <c r="BD3609" s="48"/>
    </row>
    <row r="3610" spans="1:56">
      <c r="A3610" s="48"/>
      <c r="B3610" s="48"/>
      <c r="C3610" s="49"/>
      <c r="D3610" s="48"/>
      <c r="E3610" s="48"/>
      <c r="F3610" s="48"/>
      <c r="G3610" s="48"/>
      <c r="H3610" s="48"/>
      <c r="I3610" s="48"/>
      <c r="J3610" s="86"/>
      <c r="K3610" s="86"/>
      <c r="L3610" s="86"/>
      <c r="M3610" s="86"/>
      <c r="N3610" s="86"/>
      <c r="O3610" s="86"/>
      <c r="P3610" s="86"/>
      <c r="Q3610" s="86"/>
      <c r="R3610" s="86"/>
      <c r="S3610" s="86"/>
      <c r="T3610" s="86"/>
      <c r="U3610" s="86"/>
      <c r="V3610" s="48"/>
      <c r="W3610" s="48"/>
      <c r="X3610" s="48"/>
      <c r="Y3610" s="48"/>
      <c r="Z3610" s="48"/>
      <c r="AA3610" s="48"/>
      <c r="AB3610" s="48"/>
      <c r="AC3610" s="48"/>
      <c r="AD3610" s="48"/>
      <c r="AE3610" s="48"/>
      <c r="AF3610" s="48"/>
      <c r="AG3610" s="48"/>
      <c r="AH3610" s="48"/>
      <c r="AI3610" s="48"/>
      <c r="AJ3610" s="48"/>
      <c r="AK3610" s="48"/>
      <c r="AL3610" s="48"/>
      <c r="AM3610" s="48"/>
      <c r="AN3610" s="48"/>
      <c r="AO3610" s="48"/>
      <c r="AP3610" s="48"/>
      <c r="AQ3610" s="48"/>
      <c r="AR3610" s="48"/>
      <c r="AS3610" s="48"/>
      <c r="AT3610" s="48"/>
      <c r="AU3610" s="48"/>
      <c r="AV3610" s="48"/>
      <c r="AW3610" s="48"/>
      <c r="AX3610" s="48"/>
      <c r="AY3610" s="48"/>
      <c r="AZ3610" s="48"/>
      <c r="BA3610" s="48"/>
      <c r="BB3610" s="48"/>
      <c r="BC3610" s="48"/>
      <c r="BD3610" s="48"/>
    </row>
    <row r="3611" spans="1:56">
      <c r="A3611" s="48"/>
      <c r="B3611" s="48"/>
      <c r="C3611" s="49"/>
      <c r="D3611" s="48"/>
      <c r="E3611" s="48"/>
      <c r="F3611" s="48"/>
      <c r="G3611" s="48"/>
      <c r="H3611" s="48"/>
      <c r="I3611" s="48"/>
      <c r="J3611" s="86"/>
      <c r="K3611" s="86"/>
      <c r="L3611" s="86"/>
      <c r="M3611" s="86"/>
      <c r="N3611" s="86"/>
      <c r="O3611" s="86"/>
      <c r="P3611" s="86"/>
      <c r="Q3611" s="86"/>
      <c r="R3611" s="86"/>
      <c r="S3611" s="86"/>
      <c r="T3611" s="86"/>
      <c r="U3611" s="86"/>
      <c r="V3611" s="48"/>
      <c r="W3611" s="48"/>
      <c r="X3611" s="48"/>
      <c r="Y3611" s="48"/>
      <c r="Z3611" s="48"/>
      <c r="AA3611" s="48"/>
      <c r="AB3611" s="48"/>
      <c r="AC3611" s="48"/>
      <c r="AD3611" s="48"/>
      <c r="AE3611" s="48"/>
      <c r="AF3611" s="48"/>
      <c r="AG3611" s="48"/>
      <c r="AH3611" s="48"/>
      <c r="AI3611" s="48"/>
      <c r="AJ3611" s="48"/>
      <c r="AK3611" s="48"/>
      <c r="AL3611" s="48"/>
      <c r="AM3611" s="48"/>
      <c r="AN3611" s="48"/>
      <c r="AO3611" s="48"/>
      <c r="AP3611" s="48"/>
      <c r="AQ3611" s="48"/>
      <c r="AR3611" s="48"/>
      <c r="AS3611" s="48"/>
      <c r="AT3611" s="48"/>
      <c r="AU3611" s="48"/>
      <c r="AV3611" s="48"/>
      <c r="AW3611" s="48"/>
      <c r="AX3611" s="48"/>
      <c r="AY3611" s="48"/>
      <c r="AZ3611" s="48"/>
      <c r="BA3611" s="48"/>
      <c r="BB3611" s="48"/>
      <c r="BC3611" s="48"/>
      <c r="BD3611" s="48"/>
    </row>
    <row r="3612" spans="1:56">
      <c r="A3612" s="48"/>
      <c r="B3612" s="48"/>
      <c r="C3612" s="49"/>
      <c r="D3612" s="48"/>
      <c r="E3612" s="48"/>
      <c r="F3612" s="48"/>
      <c r="G3612" s="48"/>
      <c r="H3612" s="48"/>
      <c r="I3612" s="48"/>
      <c r="J3612" s="86"/>
      <c r="K3612" s="86"/>
      <c r="L3612" s="86"/>
      <c r="M3612" s="86"/>
      <c r="N3612" s="86"/>
      <c r="O3612" s="86"/>
      <c r="P3612" s="86"/>
      <c r="Q3612" s="86"/>
      <c r="R3612" s="86"/>
      <c r="S3612" s="86"/>
      <c r="T3612" s="86"/>
      <c r="U3612" s="86"/>
      <c r="V3612" s="48"/>
      <c r="W3612" s="48"/>
      <c r="X3612" s="48"/>
      <c r="Y3612" s="48"/>
      <c r="Z3612" s="48"/>
      <c r="AA3612" s="48"/>
      <c r="AB3612" s="48"/>
      <c r="AC3612" s="48"/>
      <c r="AD3612" s="48"/>
      <c r="AE3612" s="48"/>
      <c r="AF3612" s="48"/>
      <c r="AG3612" s="48"/>
      <c r="AH3612" s="48"/>
      <c r="AI3612" s="48"/>
      <c r="AJ3612" s="48"/>
      <c r="AK3612" s="48"/>
      <c r="AL3612" s="48"/>
      <c r="AM3612" s="48"/>
      <c r="AN3612" s="48"/>
      <c r="AO3612" s="48"/>
      <c r="AP3612" s="48"/>
      <c r="AQ3612" s="48"/>
      <c r="AR3612" s="48"/>
      <c r="AS3612" s="48"/>
      <c r="AT3612" s="48"/>
      <c r="AU3612" s="48"/>
      <c r="AV3612" s="48"/>
      <c r="AW3612" s="48"/>
      <c r="AX3612" s="48"/>
      <c r="AY3612" s="48"/>
      <c r="AZ3612" s="48"/>
      <c r="BA3612" s="48"/>
      <c r="BB3612" s="48"/>
      <c r="BC3612" s="48"/>
      <c r="BD3612" s="48"/>
    </row>
    <row r="3613" spans="1:56">
      <c r="A3613" s="48"/>
      <c r="B3613" s="48"/>
      <c r="C3613" s="49"/>
      <c r="D3613" s="48"/>
      <c r="E3613" s="48"/>
      <c r="F3613" s="48"/>
      <c r="G3613" s="48"/>
      <c r="H3613" s="48"/>
      <c r="I3613" s="48"/>
      <c r="J3613" s="86"/>
      <c r="K3613" s="86"/>
      <c r="L3613" s="86"/>
      <c r="M3613" s="86"/>
      <c r="N3613" s="86"/>
      <c r="O3613" s="86"/>
      <c r="P3613" s="86"/>
      <c r="Q3613" s="86"/>
      <c r="R3613" s="86"/>
      <c r="S3613" s="86"/>
      <c r="T3613" s="86"/>
      <c r="U3613" s="86"/>
      <c r="V3613" s="48"/>
      <c r="W3613" s="48"/>
      <c r="X3613" s="48"/>
      <c r="Y3613" s="48"/>
      <c r="Z3613" s="48"/>
      <c r="AA3613" s="48"/>
      <c r="AB3613" s="48"/>
      <c r="AC3613" s="48"/>
      <c r="AD3613" s="48"/>
      <c r="AE3613" s="48"/>
      <c r="AF3613" s="48"/>
      <c r="AG3613" s="48"/>
      <c r="AH3613" s="48"/>
      <c r="AI3613" s="48"/>
      <c r="AJ3613" s="48"/>
      <c r="AK3613" s="48"/>
      <c r="AL3613" s="48"/>
      <c r="AM3613" s="48"/>
      <c r="AN3613" s="48"/>
      <c r="AO3613" s="48"/>
      <c r="AP3613" s="48"/>
      <c r="AQ3613" s="48"/>
      <c r="AR3613" s="48"/>
      <c r="AS3613" s="48"/>
      <c r="AT3613" s="48"/>
      <c r="AU3613" s="48"/>
      <c r="AV3613" s="48"/>
      <c r="AW3613" s="48"/>
      <c r="AX3613" s="48"/>
      <c r="AY3613" s="48"/>
      <c r="AZ3613" s="48"/>
      <c r="BA3613" s="48"/>
      <c r="BB3613" s="48"/>
      <c r="BC3613" s="48"/>
      <c r="BD3613" s="48"/>
    </row>
    <row r="3614" spans="1:56">
      <c r="A3614" s="48"/>
      <c r="B3614" s="48"/>
      <c r="C3614" s="49"/>
      <c r="D3614" s="48"/>
      <c r="E3614" s="48"/>
      <c r="F3614" s="48"/>
      <c r="G3614" s="48"/>
      <c r="H3614" s="48"/>
      <c r="I3614" s="48"/>
      <c r="J3614" s="86"/>
      <c r="K3614" s="86"/>
      <c r="L3614" s="86"/>
      <c r="M3614" s="86"/>
      <c r="N3614" s="86"/>
      <c r="O3614" s="86"/>
      <c r="P3614" s="86"/>
      <c r="Q3614" s="86"/>
      <c r="R3614" s="86"/>
      <c r="S3614" s="86"/>
      <c r="T3614" s="86"/>
      <c r="U3614" s="86"/>
      <c r="V3614" s="48"/>
      <c r="W3614" s="48"/>
      <c r="X3614" s="48"/>
      <c r="Y3614" s="48"/>
      <c r="Z3614" s="48"/>
      <c r="AA3614" s="48"/>
      <c r="AB3614" s="48"/>
      <c r="AC3614" s="48"/>
      <c r="AD3614" s="48"/>
      <c r="AE3614" s="48"/>
      <c r="AF3614" s="48"/>
      <c r="AG3614" s="48"/>
      <c r="AH3614" s="48"/>
      <c r="AI3614" s="48"/>
      <c r="AJ3614" s="48"/>
      <c r="AK3614" s="48"/>
      <c r="AL3614" s="48"/>
      <c r="AM3614" s="48"/>
      <c r="AN3614" s="48"/>
      <c r="AO3614" s="48"/>
      <c r="AP3614" s="48"/>
      <c r="AQ3614" s="48"/>
      <c r="AR3614" s="48"/>
      <c r="AS3614" s="48"/>
      <c r="AT3614" s="48"/>
      <c r="AU3614" s="48"/>
      <c r="AV3614" s="48"/>
      <c r="AW3614" s="48"/>
      <c r="AX3614" s="48"/>
      <c r="AY3614" s="48"/>
      <c r="AZ3614" s="48"/>
      <c r="BA3614" s="48"/>
      <c r="BB3614" s="48"/>
      <c r="BC3614" s="48"/>
      <c r="BD3614" s="48"/>
    </row>
    <row r="3615" spans="1:56">
      <c r="A3615" s="48"/>
      <c r="B3615" s="48"/>
      <c r="C3615" s="49"/>
      <c r="D3615" s="48"/>
      <c r="E3615" s="48"/>
      <c r="F3615" s="48"/>
      <c r="G3615" s="48"/>
      <c r="H3615" s="48"/>
      <c r="I3615" s="48"/>
      <c r="J3615" s="86"/>
      <c r="K3615" s="86"/>
      <c r="L3615" s="86"/>
      <c r="M3615" s="86"/>
      <c r="N3615" s="86"/>
      <c r="O3615" s="86"/>
      <c r="P3615" s="86"/>
      <c r="Q3615" s="86"/>
      <c r="R3615" s="86"/>
      <c r="S3615" s="86"/>
      <c r="T3615" s="86"/>
      <c r="U3615" s="86"/>
      <c r="V3615" s="48"/>
      <c r="W3615" s="48"/>
      <c r="X3615" s="48"/>
      <c r="Y3615" s="48"/>
      <c r="Z3615" s="48"/>
      <c r="AA3615" s="48"/>
      <c r="AB3615" s="48"/>
      <c r="AC3615" s="48"/>
      <c r="AD3615" s="48"/>
      <c r="AE3615" s="48"/>
      <c r="AF3615" s="48"/>
      <c r="AG3615" s="48"/>
      <c r="AH3615" s="48"/>
      <c r="AI3615" s="48"/>
      <c r="AJ3615" s="48"/>
      <c r="AK3615" s="48"/>
      <c r="AL3615" s="48"/>
      <c r="AM3615" s="48"/>
      <c r="AN3615" s="48"/>
      <c r="AO3615" s="48"/>
      <c r="AP3615" s="48"/>
      <c r="AQ3615" s="48"/>
      <c r="AR3615" s="48"/>
      <c r="AS3615" s="48"/>
      <c r="AT3615" s="48"/>
      <c r="AU3615" s="48"/>
      <c r="AV3615" s="48"/>
      <c r="AW3615" s="48"/>
      <c r="AX3615" s="48"/>
      <c r="AY3615" s="48"/>
      <c r="AZ3615" s="48"/>
      <c r="BA3615" s="48"/>
      <c r="BB3615" s="48"/>
      <c r="BC3615" s="48"/>
      <c r="BD3615" s="48"/>
    </row>
    <row r="3616" spans="1:56">
      <c r="A3616" s="48"/>
      <c r="B3616" s="48"/>
      <c r="C3616" s="49"/>
      <c r="D3616" s="48"/>
      <c r="E3616" s="48"/>
      <c r="F3616" s="48"/>
      <c r="G3616" s="48"/>
      <c r="H3616" s="48"/>
      <c r="I3616" s="48"/>
      <c r="J3616" s="86"/>
      <c r="K3616" s="86"/>
      <c r="L3616" s="86"/>
      <c r="M3616" s="86"/>
      <c r="N3616" s="86"/>
      <c r="O3616" s="86"/>
      <c r="P3616" s="86"/>
      <c r="Q3616" s="86"/>
      <c r="R3616" s="86"/>
      <c r="S3616" s="86"/>
      <c r="T3616" s="86"/>
      <c r="U3616" s="86"/>
      <c r="V3616" s="48"/>
      <c r="W3616" s="48"/>
      <c r="X3616" s="48"/>
      <c r="Y3616" s="48"/>
      <c r="Z3616" s="48"/>
      <c r="AA3616" s="48"/>
      <c r="AB3616" s="48"/>
      <c r="AC3616" s="48"/>
      <c r="AD3616" s="48"/>
      <c r="AE3616" s="48"/>
      <c r="AF3616" s="48"/>
      <c r="AG3616" s="48"/>
      <c r="AH3616" s="48"/>
      <c r="AI3616" s="48"/>
      <c r="AJ3616" s="48"/>
      <c r="AK3616" s="48"/>
      <c r="AL3616" s="48"/>
      <c r="AM3616" s="48"/>
      <c r="AN3616" s="48"/>
      <c r="AO3616" s="48"/>
      <c r="AP3616" s="48"/>
      <c r="AQ3616" s="48"/>
      <c r="AR3616" s="48"/>
      <c r="AS3616" s="48"/>
      <c r="AT3616" s="48"/>
      <c r="AU3616" s="48"/>
      <c r="AV3616" s="48"/>
      <c r="AW3616" s="48"/>
      <c r="AX3616" s="48"/>
      <c r="AY3616" s="48"/>
      <c r="AZ3616" s="48"/>
      <c r="BA3616" s="48"/>
      <c r="BB3616" s="48"/>
      <c r="BC3616" s="48"/>
      <c r="BD3616" s="48"/>
    </row>
    <row r="3617" spans="1:56">
      <c r="A3617" s="48"/>
      <c r="B3617" s="48"/>
      <c r="C3617" s="49"/>
      <c r="D3617" s="48"/>
      <c r="E3617" s="48"/>
      <c r="F3617" s="48"/>
      <c r="G3617" s="48"/>
      <c r="H3617" s="48"/>
      <c r="I3617" s="48"/>
      <c r="J3617" s="86"/>
      <c r="K3617" s="86"/>
      <c r="L3617" s="86"/>
      <c r="M3617" s="86"/>
      <c r="N3617" s="86"/>
      <c r="O3617" s="86"/>
      <c r="P3617" s="86"/>
      <c r="Q3617" s="86"/>
      <c r="R3617" s="86"/>
      <c r="S3617" s="86"/>
      <c r="T3617" s="86"/>
      <c r="U3617" s="86"/>
      <c r="V3617" s="48"/>
      <c r="W3617" s="48"/>
      <c r="X3617" s="48"/>
      <c r="Y3617" s="48"/>
      <c r="Z3617" s="48"/>
      <c r="AA3617" s="48"/>
      <c r="AB3617" s="48"/>
      <c r="AC3617" s="48"/>
      <c r="AD3617" s="48"/>
      <c r="AE3617" s="48"/>
      <c r="AF3617" s="48"/>
      <c r="AG3617" s="48"/>
      <c r="AH3617" s="48"/>
      <c r="AI3617" s="48"/>
      <c r="AJ3617" s="48"/>
      <c r="AK3617" s="48"/>
      <c r="AL3617" s="48"/>
      <c r="AM3617" s="48"/>
      <c r="AN3617" s="48"/>
      <c r="AO3617" s="48"/>
      <c r="AP3617" s="48"/>
      <c r="AQ3617" s="48"/>
      <c r="AR3617" s="48"/>
      <c r="AS3617" s="48"/>
      <c r="AT3617" s="48"/>
      <c r="AU3617" s="48"/>
      <c r="AV3617" s="48"/>
      <c r="AW3617" s="48"/>
      <c r="AX3617" s="48"/>
      <c r="AY3617" s="48"/>
      <c r="AZ3617" s="48"/>
      <c r="BA3617" s="48"/>
      <c r="BB3617" s="48"/>
      <c r="BC3617" s="48"/>
      <c r="BD3617" s="48"/>
    </row>
    <row r="3618" spans="1:56">
      <c r="A3618" s="48"/>
      <c r="B3618" s="48"/>
      <c r="C3618" s="49"/>
      <c r="D3618" s="48"/>
      <c r="E3618" s="48"/>
      <c r="F3618" s="48"/>
      <c r="G3618" s="48"/>
      <c r="H3618" s="48"/>
      <c r="I3618" s="48"/>
      <c r="J3618" s="86"/>
      <c r="K3618" s="86"/>
      <c r="L3618" s="86"/>
      <c r="M3618" s="86"/>
      <c r="N3618" s="86"/>
      <c r="O3618" s="86"/>
      <c r="P3618" s="86"/>
      <c r="Q3618" s="86"/>
      <c r="R3618" s="86"/>
      <c r="S3618" s="86"/>
      <c r="T3618" s="86"/>
      <c r="U3618" s="86"/>
      <c r="V3618" s="48"/>
      <c r="W3618" s="48"/>
      <c r="X3618" s="48"/>
      <c r="Y3618" s="48"/>
      <c r="Z3618" s="48"/>
      <c r="AA3618" s="48"/>
      <c r="AB3618" s="48"/>
      <c r="AC3618" s="48"/>
      <c r="AD3618" s="48"/>
      <c r="AE3618" s="48"/>
      <c r="AF3618" s="48"/>
      <c r="AG3618" s="48"/>
      <c r="AH3618" s="48"/>
      <c r="AI3618" s="48"/>
      <c r="AJ3618" s="48"/>
      <c r="AK3618" s="48"/>
      <c r="AL3618" s="48"/>
      <c r="AM3618" s="48"/>
      <c r="AN3618" s="48"/>
      <c r="AO3618" s="48"/>
      <c r="AP3618" s="48"/>
      <c r="AQ3618" s="48"/>
      <c r="AR3618" s="48"/>
      <c r="AS3618" s="48"/>
      <c r="AT3618" s="48"/>
      <c r="AU3618" s="48"/>
      <c r="AV3618" s="48"/>
      <c r="AW3618" s="48"/>
      <c r="AX3618" s="48"/>
      <c r="AY3618" s="48"/>
      <c r="AZ3618" s="48"/>
      <c r="BA3618" s="48"/>
      <c r="BB3618" s="48"/>
      <c r="BC3618" s="48"/>
      <c r="BD3618" s="48"/>
    </row>
    <row r="3619" spans="1:56">
      <c r="A3619" s="48"/>
      <c r="B3619" s="48"/>
      <c r="C3619" s="49"/>
      <c r="D3619" s="48"/>
      <c r="E3619" s="48"/>
      <c r="F3619" s="48"/>
      <c r="G3619" s="48"/>
      <c r="H3619" s="48"/>
      <c r="I3619" s="48"/>
      <c r="J3619" s="86"/>
      <c r="K3619" s="86"/>
      <c r="L3619" s="86"/>
      <c r="M3619" s="86"/>
      <c r="N3619" s="86"/>
      <c r="O3619" s="86"/>
      <c r="P3619" s="86"/>
      <c r="Q3619" s="86"/>
      <c r="R3619" s="86"/>
      <c r="S3619" s="86"/>
      <c r="T3619" s="86"/>
      <c r="U3619" s="86"/>
      <c r="V3619" s="48"/>
      <c r="W3619" s="48"/>
      <c r="X3619" s="48"/>
      <c r="Y3619" s="48"/>
      <c r="Z3619" s="48"/>
      <c r="AA3619" s="48"/>
      <c r="AB3619" s="48"/>
      <c r="AC3619" s="48"/>
      <c r="AD3619" s="48"/>
      <c r="AE3619" s="48"/>
      <c r="AF3619" s="48"/>
      <c r="AG3619" s="48"/>
      <c r="AH3619" s="48"/>
      <c r="AI3619" s="48"/>
      <c r="AJ3619" s="48"/>
      <c r="AK3619" s="48"/>
      <c r="AL3619" s="48"/>
      <c r="AM3619" s="48"/>
      <c r="AN3619" s="48"/>
      <c r="AO3619" s="48"/>
      <c r="AP3619" s="48"/>
      <c r="AQ3619" s="48"/>
      <c r="AR3619" s="48"/>
      <c r="AS3619" s="48"/>
      <c r="AT3619" s="48"/>
      <c r="AU3619" s="48"/>
      <c r="AV3619" s="48"/>
      <c r="AW3619" s="48"/>
      <c r="AX3619" s="48"/>
      <c r="AY3619" s="48"/>
      <c r="AZ3619" s="48"/>
      <c r="BA3619" s="48"/>
      <c r="BB3619" s="48"/>
      <c r="BC3619" s="48"/>
      <c r="BD3619" s="48"/>
    </row>
    <row r="3620" spans="1:56">
      <c r="A3620" s="48"/>
      <c r="B3620" s="48"/>
      <c r="C3620" s="49"/>
      <c r="D3620" s="48"/>
      <c r="E3620" s="48"/>
      <c r="F3620" s="48"/>
      <c r="G3620" s="48"/>
      <c r="H3620" s="48"/>
      <c r="I3620" s="48"/>
      <c r="J3620" s="86"/>
      <c r="K3620" s="86"/>
      <c r="L3620" s="86"/>
      <c r="M3620" s="86"/>
      <c r="N3620" s="86"/>
      <c r="O3620" s="86"/>
      <c r="P3620" s="86"/>
      <c r="Q3620" s="86"/>
      <c r="R3620" s="86"/>
      <c r="S3620" s="86"/>
      <c r="T3620" s="86"/>
      <c r="U3620" s="86"/>
      <c r="V3620" s="48"/>
      <c r="W3620" s="48"/>
      <c r="X3620" s="48"/>
      <c r="Y3620" s="48"/>
      <c r="Z3620" s="48"/>
      <c r="AA3620" s="48"/>
      <c r="AB3620" s="48"/>
      <c r="AC3620" s="48"/>
      <c r="AD3620" s="48"/>
      <c r="AE3620" s="48"/>
      <c r="AF3620" s="48"/>
      <c r="AG3620" s="48"/>
      <c r="AH3620" s="48"/>
      <c r="AI3620" s="48"/>
      <c r="AJ3620" s="48"/>
      <c r="AK3620" s="48"/>
      <c r="AL3620" s="48"/>
      <c r="AM3620" s="48"/>
      <c r="AN3620" s="48"/>
      <c r="AO3620" s="48"/>
      <c r="AP3620" s="48"/>
      <c r="AQ3620" s="48"/>
      <c r="AR3620" s="48"/>
      <c r="AS3620" s="48"/>
      <c r="AT3620" s="48"/>
      <c r="AU3620" s="48"/>
      <c r="AV3620" s="48"/>
      <c r="AW3620" s="48"/>
      <c r="AX3620" s="48"/>
      <c r="AY3620" s="48"/>
      <c r="AZ3620" s="48"/>
      <c r="BA3620" s="48"/>
      <c r="BB3620" s="48"/>
      <c r="BC3620" s="48"/>
      <c r="BD3620" s="48"/>
    </row>
    <row r="3621" spans="1:56">
      <c r="A3621" s="48"/>
      <c r="B3621" s="48"/>
      <c r="C3621" s="49"/>
      <c r="D3621" s="48"/>
      <c r="E3621" s="48"/>
      <c r="F3621" s="48"/>
      <c r="G3621" s="48"/>
      <c r="H3621" s="48"/>
      <c r="I3621" s="48"/>
      <c r="J3621" s="86"/>
      <c r="K3621" s="86"/>
      <c r="L3621" s="86"/>
      <c r="M3621" s="86"/>
      <c r="N3621" s="86"/>
      <c r="O3621" s="86"/>
      <c r="P3621" s="86"/>
      <c r="Q3621" s="86"/>
      <c r="R3621" s="86"/>
      <c r="S3621" s="86"/>
      <c r="T3621" s="86"/>
      <c r="U3621" s="86"/>
      <c r="V3621" s="48"/>
      <c r="W3621" s="48"/>
      <c r="X3621" s="48"/>
      <c r="Y3621" s="48"/>
      <c r="Z3621" s="48"/>
      <c r="AA3621" s="48"/>
      <c r="AB3621" s="48"/>
      <c r="AC3621" s="48"/>
      <c r="AD3621" s="48"/>
      <c r="AE3621" s="48"/>
      <c r="AF3621" s="48"/>
      <c r="AG3621" s="48"/>
      <c r="AH3621" s="48"/>
      <c r="AI3621" s="48"/>
      <c r="AJ3621" s="48"/>
      <c r="AK3621" s="48"/>
      <c r="AL3621" s="48"/>
      <c r="AM3621" s="48"/>
      <c r="AN3621" s="48"/>
      <c r="AO3621" s="48"/>
      <c r="AP3621" s="48"/>
      <c r="AQ3621" s="48"/>
      <c r="AR3621" s="48"/>
      <c r="AS3621" s="48"/>
      <c r="AT3621" s="48"/>
      <c r="AU3621" s="48"/>
      <c r="AV3621" s="48"/>
      <c r="AW3621" s="48"/>
      <c r="AX3621" s="48"/>
      <c r="AY3621" s="48"/>
      <c r="AZ3621" s="48"/>
      <c r="BA3621" s="48"/>
      <c r="BB3621" s="48"/>
      <c r="BC3621" s="48"/>
      <c r="BD3621" s="48"/>
    </row>
    <row r="3622" spans="1:56">
      <c r="A3622" s="48"/>
      <c r="B3622" s="48"/>
      <c r="C3622" s="49"/>
      <c r="D3622" s="48"/>
      <c r="E3622" s="48"/>
      <c r="F3622" s="48"/>
      <c r="G3622" s="48"/>
      <c r="H3622" s="48"/>
      <c r="I3622" s="48"/>
      <c r="J3622" s="86"/>
      <c r="K3622" s="86"/>
      <c r="L3622" s="86"/>
      <c r="M3622" s="86"/>
      <c r="N3622" s="86"/>
      <c r="O3622" s="86"/>
      <c r="P3622" s="86"/>
      <c r="Q3622" s="86"/>
      <c r="R3622" s="86"/>
      <c r="S3622" s="86"/>
      <c r="T3622" s="86"/>
      <c r="U3622" s="86"/>
      <c r="V3622" s="48"/>
      <c r="W3622" s="48"/>
      <c r="X3622" s="48"/>
      <c r="Y3622" s="48"/>
      <c r="Z3622" s="48"/>
      <c r="AA3622" s="48"/>
      <c r="AB3622" s="48"/>
      <c r="AC3622" s="48"/>
      <c r="AD3622" s="48"/>
      <c r="AE3622" s="48"/>
      <c r="AF3622" s="48"/>
      <c r="AG3622" s="48"/>
      <c r="AH3622" s="48"/>
      <c r="AI3622" s="48"/>
      <c r="AJ3622" s="48"/>
      <c r="AK3622" s="48"/>
      <c r="AL3622" s="48"/>
      <c r="AM3622" s="48"/>
      <c r="AN3622" s="48"/>
      <c r="AO3622" s="48"/>
      <c r="AP3622" s="48"/>
      <c r="AQ3622" s="48"/>
      <c r="AR3622" s="48"/>
      <c r="AS3622" s="48"/>
      <c r="AT3622" s="48"/>
      <c r="AU3622" s="48"/>
      <c r="AV3622" s="48"/>
      <c r="AW3622" s="48"/>
      <c r="AX3622" s="48"/>
      <c r="AY3622" s="48"/>
      <c r="AZ3622" s="48"/>
      <c r="BA3622" s="48"/>
      <c r="BB3622" s="48"/>
      <c r="BC3622" s="48"/>
      <c r="BD3622" s="48"/>
    </row>
    <row r="3623" spans="1:56">
      <c r="A3623" s="48"/>
      <c r="B3623" s="48"/>
      <c r="C3623" s="49"/>
      <c r="D3623" s="48"/>
      <c r="E3623" s="48"/>
      <c r="F3623" s="48"/>
      <c r="G3623" s="48"/>
      <c r="H3623" s="48"/>
      <c r="I3623" s="48"/>
      <c r="J3623" s="86"/>
      <c r="K3623" s="86"/>
      <c r="L3623" s="86"/>
      <c r="M3623" s="86"/>
      <c r="N3623" s="86"/>
      <c r="O3623" s="86"/>
      <c r="P3623" s="86"/>
      <c r="Q3623" s="86"/>
      <c r="R3623" s="86"/>
      <c r="S3623" s="86"/>
      <c r="T3623" s="86"/>
      <c r="U3623" s="86"/>
      <c r="V3623" s="48"/>
      <c r="W3623" s="48"/>
      <c r="X3623" s="48"/>
      <c r="Y3623" s="48"/>
      <c r="Z3623" s="48"/>
      <c r="AA3623" s="48"/>
      <c r="AB3623" s="48"/>
      <c r="AC3623" s="48"/>
      <c r="AD3623" s="48"/>
      <c r="AE3623" s="48"/>
      <c r="AF3623" s="48"/>
      <c r="AG3623" s="48"/>
      <c r="AH3623" s="48"/>
      <c r="AI3623" s="48"/>
      <c r="AJ3623" s="48"/>
      <c r="AK3623" s="48"/>
      <c r="AL3623" s="48"/>
      <c r="AM3623" s="48"/>
      <c r="AN3623" s="48"/>
      <c r="AO3623" s="48"/>
      <c r="AP3623" s="48"/>
      <c r="AQ3623" s="48"/>
      <c r="AR3623" s="48"/>
      <c r="AS3623" s="48"/>
      <c r="AT3623" s="48"/>
      <c r="AU3623" s="48"/>
      <c r="AV3623" s="48"/>
      <c r="AW3623" s="48"/>
      <c r="AX3623" s="48"/>
      <c r="AY3623" s="48"/>
      <c r="AZ3623" s="48"/>
      <c r="BA3623" s="48"/>
      <c r="BB3623" s="48"/>
      <c r="BC3623" s="48"/>
      <c r="BD3623" s="48"/>
    </row>
    <row r="3624" spans="1:56">
      <c r="A3624" s="48"/>
      <c r="B3624" s="48"/>
      <c r="C3624" s="49"/>
      <c r="D3624" s="48"/>
      <c r="E3624" s="48"/>
      <c r="F3624" s="48"/>
      <c r="G3624" s="48"/>
      <c r="H3624" s="48"/>
      <c r="I3624" s="48"/>
      <c r="J3624" s="86"/>
      <c r="K3624" s="86"/>
      <c r="L3624" s="86"/>
      <c r="M3624" s="86"/>
      <c r="N3624" s="86"/>
      <c r="O3624" s="86"/>
      <c r="P3624" s="86"/>
      <c r="Q3624" s="86"/>
      <c r="R3624" s="86"/>
      <c r="S3624" s="86"/>
      <c r="T3624" s="86"/>
      <c r="U3624" s="86"/>
      <c r="V3624" s="48"/>
      <c r="W3624" s="48"/>
      <c r="X3624" s="48"/>
      <c r="Y3624" s="48"/>
      <c r="Z3624" s="48"/>
      <c r="AA3624" s="48"/>
      <c r="AB3624" s="48"/>
      <c r="AC3624" s="48"/>
      <c r="AD3624" s="48"/>
      <c r="AE3624" s="48"/>
      <c r="AF3624" s="48"/>
      <c r="AG3624" s="48"/>
      <c r="AH3624" s="48"/>
      <c r="AI3624" s="48"/>
      <c r="AJ3624" s="48"/>
      <c r="AK3624" s="48"/>
      <c r="AL3624" s="48"/>
      <c r="AM3624" s="48"/>
      <c r="AN3624" s="48"/>
      <c r="AO3624" s="48"/>
      <c r="AP3624" s="48"/>
      <c r="AQ3624" s="48"/>
      <c r="AR3624" s="48"/>
      <c r="AS3624" s="48"/>
      <c r="AT3624" s="48"/>
      <c r="AU3624" s="48"/>
      <c r="AV3624" s="48"/>
      <c r="AW3624" s="48"/>
      <c r="AX3624" s="48"/>
      <c r="AY3624" s="48"/>
      <c r="AZ3624" s="48"/>
      <c r="BA3624" s="48"/>
      <c r="BB3624" s="48"/>
      <c r="BC3624" s="48"/>
      <c r="BD3624" s="48"/>
    </row>
    <row r="3625" spans="1:56">
      <c r="A3625" s="48"/>
      <c r="B3625" s="48"/>
      <c r="C3625" s="49"/>
      <c r="D3625" s="48"/>
      <c r="E3625" s="48"/>
      <c r="F3625" s="48"/>
      <c r="G3625" s="48"/>
      <c r="H3625" s="48"/>
      <c r="I3625" s="48"/>
      <c r="J3625" s="86"/>
      <c r="K3625" s="86"/>
      <c r="L3625" s="86"/>
      <c r="M3625" s="86"/>
      <c r="N3625" s="86"/>
      <c r="O3625" s="86"/>
      <c r="P3625" s="86"/>
      <c r="Q3625" s="86"/>
      <c r="R3625" s="86"/>
      <c r="S3625" s="86"/>
      <c r="T3625" s="86"/>
      <c r="U3625" s="86"/>
      <c r="V3625" s="48"/>
      <c r="W3625" s="48"/>
      <c r="X3625" s="48"/>
      <c r="Y3625" s="48"/>
      <c r="Z3625" s="48"/>
      <c r="AA3625" s="48"/>
      <c r="AB3625" s="48"/>
      <c r="AC3625" s="48"/>
      <c r="AD3625" s="48"/>
      <c r="AE3625" s="48"/>
      <c r="AF3625" s="48"/>
      <c r="AG3625" s="48"/>
      <c r="AH3625" s="48"/>
      <c r="AI3625" s="48"/>
      <c r="AJ3625" s="48"/>
      <c r="AK3625" s="48"/>
      <c r="AL3625" s="48"/>
      <c r="AM3625" s="48"/>
      <c r="AN3625" s="48"/>
      <c r="AO3625" s="48"/>
      <c r="AP3625" s="48"/>
      <c r="AQ3625" s="48"/>
      <c r="AR3625" s="48"/>
      <c r="AS3625" s="48"/>
      <c r="AT3625" s="48"/>
      <c r="AU3625" s="48"/>
      <c r="AV3625" s="48"/>
      <c r="AW3625" s="48"/>
      <c r="AX3625" s="48"/>
      <c r="AY3625" s="48"/>
      <c r="AZ3625" s="48"/>
      <c r="BA3625" s="48"/>
      <c r="BB3625" s="48"/>
      <c r="BC3625" s="48"/>
      <c r="BD3625" s="48"/>
    </row>
    <row r="3626" spans="1:56">
      <c r="A3626" s="48"/>
      <c r="B3626" s="48"/>
      <c r="C3626" s="49"/>
      <c r="D3626" s="48"/>
      <c r="E3626" s="48"/>
      <c r="F3626" s="48"/>
      <c r="G3626" s="48"/>
      <c r="H3626" s="48"/>
      <c r="I3626" s="48"/>
      <c r="J3626" s="86"/>
      <c r="K3626" s="86"/>
      <c r="L3626" s="86"/>
      <c r="M3626" s="86"/>
      <c r="N3626" s="86"/>
      <c r="O3626" s="86"/>
      <c r="P3626" s="86"/>
      <c r="Q3626" s="86"/>
      <c r="R3626" s="86"/>
      <c r="S3626" s="86"/>
      <c r="T3626" s="86"/>
      <c r="U3626" s="86"/>
      <c r="V3626" s="48"/>
      <c r="W3626" s="48"/>
      <c r="X3626" s="48"/>
      <c r="Y3626" s="48"/>
      <c r="Z3626" s="48"/>
      <c r="AA3626" s="48"/>
      <c r="AB3626" s="48"/>
      <c r="AC3626" s="48"/>
      <c r="AD3626" s="48"/>
      <c r="AE3626" s="48"/>
      <c r="AF3626" s="48"/>
      <c r="AG3626" s="48"/>
      <c r="AH3626" s="48"/>
      <c r="AI3626" s="48"/>
      <c r="AJ3626" s="48"/>
      <c r="AK3626" s="48"/>
      <c r="AL3626" s="48"/>
      <c r="AM3626" s="48"/>
      <c r="AN3626" s="48"/>
      <c r="AO3626" s="48"/>
      <c r="AP3626" s="48"/>
      <c r="AQ3626" s="48"/>
      <c r="AR3626" s="48"/>
      <c r="AS3626" s="48"/>
      <c r="AT3626" s="48"/>
      <c r="AU3626" s="48"/>
      <c r="AV3626" s="48"/>
      <c r="AW3626" s="48"/>
      <c r="AX3626" s="48"/>
      <c r="AY3626" s="48"/>
      <c r="AZ3626" s="48"/>
      <c r="BA3626" s="48"/>
      <c r="BB3626" s="48"/>
      <c r="BC3626" s="48"/>
      <c r="BD3626" s="48"/>
    </row>
    <row r="3627" spans="1:56">
      <c r="A3627" s="48"/>
      <c r="B3627" s="48"/>
      <c r="C3627" s="49"/>
      <c r="D3627" s="48"/>
      <c r="E3627" s="48"/>
      <c r="F3627" s="48"/>
      <c r="G3627" s="48"/>
      <c r="H3627" s="48"/>
      <c r="I3627" s="48"/>
      <c r="J3627" s="86"/>
      <c r="K3627" s="86"/>
      <c r="L3627" s="86"/>
      <c r="M3627" s="86"/>
      <c r="N3627" s="86"/>
      <c r="O3627" s="86"/>
      <c r="P3627" s="86"/>
      <c r="Q3627" s="86"/>
      <c r="R3627" s="86"/>
      <c r="S3627" s="86"/>
      <c r="T3627" s="86"/>
      <c r="U3627" s="86"/>
      <c r="V3627" s="48"/>
      <c r="W3627" s="48"/>
      <c r="X3627" s="48"/>
      <c r="Y3627" s="48"/>
      <c r="Z3627" s="48"/>
      <c r="AA3627" s="48"/>
      <c r="AB3627" s="48"/>
      <c r="AC3627" s="48"/>
      <c r="AD3627" s="48"/>
      <c r="AE3627" s="48"/>
      <c r="AF3627" s="48"/>
      <c r="AG3627" s="48"/>
      <c r="AH3627" s="48"/>
      <c r="AI3627" s="48"/>
      <c r="AJ3627" s="48"/>
      <c r="AK3627" s="48"/>
      <c r="AL3627" s="48"/>
      <c r="AM3627" s="48"/>
      <c r="AN3627" s="48"/>
      <c r="AO3627" s="48"/>
      <c r="AP3627" s="48"/>
      <c r="AQ3627" s="48"/>
      <c r="AR3627" s="48"/>
      <c r="AS3627" s="48"/>
      <c r="AT3627" s="48"/>
      <c r="AU3627" s="48"/>
      <c r="AV3627" s="48"/>
      <c r="AW3627" s="48"/>
      <c r="AX3627" s="48"/>
      <c r="AY3627" s="48"/>
      <c r="AZ3627" s="48"/>
      <c r="BA3627" s="48"/>
      <c r="BB3627" s="48"/>
      <c r="BC3627" s="48"/>
      <c r="BD3627" s="48"/>
    </row>
    <row r="3628" spans="1:56">
      <c r="A3628" s="48"/>
      <c r="B3628" s="48"/>
      <c r="C3628" s="49"/>
      <c r="D3628" s="48"/>
      <c r="E3628" s="48"/>
      <c r="F3628" s="48"/>
      <c r="G3628" s="48"/>
      <c r="H3628" s="48"/>
      <c r="I3628" s="48"/>
      <c r="J3628" s="86"/>
      <c r="K3628" s="86"/>
      <c r="L3628" s="86"/>
      <c r="M3628" s="86"/>
      <c r="N3628" s="86"/>
      <c r="O3628" s="86"/>
      <c r="P3628" s="86"/>
      <c r="Q3628" s="86"/>
      <c r="R3628" s="86"/>
      <c r="S3628" s="86"/>
      <c r="T3628" s="86"/>
      <c r="U3628" s="86"/>
      <c r="V3628" s="48"/>
      <c r="W3628" s="48"/>
      <c r="X3628" s="48"/>
      <c r="Y3628" s="48"/>
      <c r="Z3628" s="48"/>
      <c r="AA3628" s="48"/>
      <c r="AB3628" s="48"/>
      <c r="AC3628" s="48"/>
      <c r="AD3628" s="48"/>
      <c r="AE3628" s="48"/>
      <c r="AF3628" s="48"/>
      <c r="AG3628" s="48"/>
      <c r="AH3628" s="48"/>
      <c r="AI3628" s="48"/>
      <c r="AJ3628" s="48"/>
      <c r="AK3628" s="48"/>
      <c r="AL3628" s="48"/>
      <c r="AM3628" s="48"/>
      <c r="AN3628" s="48"/>
      <c r="AO3628" s="48"/>
      <c r="AP3628" s="48"/>
      <c r="AQ3628" s="48"/>
      <c r="AR3628" s="48"/>
      <c r="AS3628" s="48"/>
      <c r="AT3628" s="48"/>
      <c r="AU3628" s="48"/>
      <c r="AV3628" s="48"/>
      <c r="AW3628" s="48"/>
      <c r="AX3628" s="48"/>
      <c r="AY3628" s="48"/>
      <c r="AZ3628" s="48"/>
      <c r="BA3628" s="48"/>
      <c r="BB3628" s="48"/>
      <c r="BC3628" s="48"/>
      <c r="BD3628" s="48"/>
    </row>
    <row r="3629" spans="1:56">
      <c r="A3629" s="48"/>
      <c r="B3629" s="48"/>
      <c r="C3629" s="49"/>
      <c r="D3629" s="48"/>
      <c r="E3629" s="48"/>
      <c r="F3629" s="48"/>
      <c r="G3629" s="48"/>
      <c r="H3629" s="48"/>
      <c r="I3629" s="48"/>
      <c r="J3629" s="86"/>
      <c r="K3629" s="86"/>
      <c r="L3629" s="86"/>
      <c r="M3629" s="86"/>
      <c r="N3629" s="86"/>
      <c r="O3629" s="86"/>
      <c r="P3629" s="86"/>
      <c r="Q3629" s="86"/>
      <c r="R3629" s="86"/>
      <c r="S3629" s="86"/>
      <c r="T3629" s="86"/>
      <c r="U3629" s="86"/>
      <c r="V3629" s="48"/>
      <c r="W3629" s="48"/>
      <c r="X3629" s="48"/>
      <c r="Y3629" s="48"/>
      <c r="Z3629" s="48"/>
      <c r="AA3629" s="48"/>
      <c r="AB3629" s="48"/>
      <c r="AC3629" s="48"/>
      <c r="AD3629" s="48"/>
      <c r="AE3629" s="48"/>
      <c r="AF3629" s="48"/>
      <c r="AG3629" s="48"/>
      <c r="AH3629" s="48"/>
      <c r="AI3629" s="48"/>
      <c r="AJ3629" s="48"/>
      <c r="AK3629" s="48"/>
      <c r="AL3629" s="48"/>
      <c r="AM3629" s="48"/>
      <c r="AN3629" s="48"/>
      <c r="AO3629" s="48"/>
      <c r="AP3629" s="48"/>
      <c r="AQ3629" s="48"/>
      <c r="AR3629" s="48"/>
      <c r="AS3629" s="48"/>
      <c r="AT3629" s="48"/>
      <c r="AU3629" s="48"/>
      <c r="AV3629" s="48"/>
      <c r="AW3629" s="48"/>
      <c r="AX3629" s="48"/>
      <c r="AY3629" s="48"/>
      <c r="AZ3629" s="48"/>
      <c r="BA3629" s="48"/>
      <c r="BB3629" s="48"/>
      <c r="BC3629" s="48"/>
      <c r="BD3629" s="48"/>
    </row>
    <row r="3630" spans="1:56">
      <c r="A3630" s="48"/>
      <c r="B3630" s="48"/>
      <c r="C3630" s="49"/>
      <c r="D3630" s="48"/>
      <c r="E3630" s="48"/>
      <c r="F3630" s="48"/>
      <c r="G3630" s="48"/>
      <c r="H3630" s="48"/>
      <c r="I3630" s="48"/>
      <c r="J3630" s="86"/>
      <c r="K3630" s="86"/>
      <c r="L3630" s="86"/>
      <c r="M3630" s="86"/>
      <c r="N3630" s="86"/>
      <c r="O3630" s="86"/>
      <c r="P3630" s="86"/>
      <c r="Q3630" s="86"/>
      <c r="R3630" s="86"/>
      <c r="S3630" s="86"/>
      <c r="T3630" s="86"/>
      <c r="U3630" s="86"/>
      <c r="V3630" s="48"/>
      <c r="W3630" s="48"/>
      <c r="X3630" s="48"/>
      <c r="Y3630" s="48"/>
      <c r="Z3630" s="48"/>
      <c r="AA3630" s="48"/>
      <c r="AB3630" s="48"/>
      <c r="AC3630" s="48"/>
      <c r="AD3630" s="48"/>
      <c r="AE3630" s="48"/>
      <c r="AF3630" s="48"/>
      <c r="AG3630" s="48"/>
      <c r="AH3630" s="48"/>
      <c r="AI3630" s="48"/>
      <c r="AJ3630" s="48"/>
      <c r="AK3630" s="48"/>
      <c r="AL3630" s="48"/>
      <c r="AM3630" s="48"/>
      <c r="AN3630" s="48"/>
      <c r="AO3630" s="48"/>
      <c r="AP3630" s="48"/>
      <c r="AQ3630" s="48"/>
      <c r="AR3630" s="48"/>
      <c r="AS3630" s="48"/>
      <c r="AT3630" s="48"/>
      <c r="AU3630" s="48"/>
      <c r="AV3630" s="48"/>
      <c r="AW3630" s="48"/>
      <c r="AX3630" s="48"/>
      <c r="AY3630" s="48"/>
      <c r="AZ3630" s="48"/>
      <c r="BA3630" s="48"/>
      <c r="BB3630" s="48"/>
      <c r="BC3630" s="48"/>
      <c r="BD3630" s="48"/>
    </row>
    <row r="3631" spans="1:56">
      <c r="A3631" s="48"/>
      <c r="B3631" s="48"/>
      <c r="C3631" s="49"/>
      <c r="D3631" s="48"/>
      <c r="E3631" s="48"/>
      <c r="F3631" s="48"/>
      <c r="G3631" s="48"/>
      <c r="H3631" s="48"/>
      <c r="I3631" s="48"/>
      <c r="J3631" s="86"/>
      <c r="K3631" s="86"/>
      <c r="L3631" s="86"/>
      <c r="M3631" s="86"/>
      <c r="N3631" s="86"/>
      <c r="O3631" s="86"/>
      <c r="P3631" s="86"/>
      <c r="Q3631" s="86"/>
      <c r="R3631" s="86"/>
      <c r="S3631" s="86"/>
      <c r="T3631" s="86"/>
      <c r="U3631" s="86"/>
      <c r="V3631" s="48"/>
      <c r="W3631" s="48"/>
      <c r="X3631" s="48"/>
      <c r="Y3631" s="48"/>
      <c r="Z3631" s="48"/>
      <c r="AA3631" s="48"/>
      <c r="AB3631" s="48"/>
      <c r="AC3631" s="48"/>
      <c r="AD3631" s="48"/>
      <c r="AE3631" s="48"/>
      <c r="AF3631" s="48"/>
      <c r="AG3631" s="48"/>
      <c r="AH3631" s="48"/>
      <c r="AI3631" s="48"/>
      <c r="AJ3631" s="48"/>
      <c r="AK3631" s="48"/>
      <c r="AL3631" s="48"/>
      <c r="AM3631" s="48"/>
      <c r="AN3631" s="48"/>
      <c r="AO3631" s="48"/>
      <c r="AP3631" s="48"/>
      <c r="AQ3631" s="48"/>
      <c r="AR3631" s="48"/>
      <c r="AS3631" s="48"/>
      <c r="AT3631" s="48"/>
      <c r="AU3631" s="48"/>
      <c r="AV3631" s="48"/>
      <c r="AW3631" s="48"/>
      <c r="AX3631" s="48"/>
      <c r="AY3631" s="48"/>
      <c r="AZ3631" s="48"/>
      <c r="BA3631" s="48"/>
      <c r="BB3631" s="48"/>
      <c r="BC3631" s="48"/>
      <c r="BD3631" s="48"/>
    </row>
    <row r="3632" spans="1:56">
      <c r="A3632" s="48"/>
      <c r="B3632" s="48"/>
      <c r="C3632" s="49"/>
      <c r="D3632" s="48"/>
      <c r="E3632" s="48"/>
      <c r="F3632" s="48"/>
      <c r="G3632" s="48"/>
      <c r="H3632" s="48"/>
      <c r="I3632" s="48"/>
      <c r="J3632" s="86"/>
      <c r="K3632" s="86"/>
      <c r="L3632" s="86"/>
      <c r="M3632" s="86"/>
      <c r="N3632" s="86"/>
      <c r="O3632" s="86"/>
      <c r="P3632" s="86"/>
      <c r="Q3632" s="86"/>
      <c r="R3632" s="86"/>
      <c r="S3632" s="86"/>
      <c r="T3632" s="86"/>
      <c r="U3632" s="86"/>
      <c r="V3632" s="48"/>
      <c r="W3632" s="48"/>
      <c r="X3632" s="48"/>
      <c r="Y3632" s="48"/>
      <c r="Z3632" s="48"/>
      <c r="AA3632" s="48"/>
      <c r="AB3632" s="48"/>
      <c r="AC3632" s="48"/>
      <c r="AD3632" s="48"/>
      <c r="AE3632" s="48"/>
      <c r="AF3632" s="48"/>
      <c r="AG3632" s="48"/>
      <c r="AH3632" s="48"/>
      <c r="AI3632" s="48"/>
      <c r="AJ3632" s="48"/>
      <c r="AK3632" s="48"/>
      <c r="AL3632" s="48"/>
      <c r="AM3632" s="48"/>
      <c r="AN3632" s="48"/>
      <c r="AO3632" s="48"/>
      <c r="AP3632" s="48"/>
      <c r="AQ3632" s="48"/>
      <c r="AR3632" s="48"/>
      <c r="AS3632" s="48"/>
      <c r="AT3632" s="48"/>
      <c r="AU3632" s="48"/>
      <c r="AV3632" s="48"/>
      <c r="AW3632" s="48"/>
      <c r="AX3632" s="48"/>
      <c r="AY3632" s="48"/>
      <c r="AZ3632" s="48"/>
      <c r="BA3632" s="48"/>
      <c r="BB3632" s="48"/>
      <c r="BC3632" s="48"/>
      <c r="BD3632" s="48"/>
    </row>
    <row r="3633" spans="1:56">
      <c r="A3633" s="48"/>
      <c r="B3633" s="48"/>
      <c r="C3633" s="49"/>
      <c r="D3633" s="48"/>
      <c r="E3633" s="48"/>
      <c r="F3633" s="48"/>
      <c r="G3633" s="48"/>
      <c r="H3633" s="48"/>
      <c r="I3633" s="48"/>
      <c r="J3633" s="86"/>
      <c r="K3633" s="86"/>
      <c r="L3633" s="86"/>
      <c r="M3633" s="86"/>
      <c r="N3633" s="86"/>
      <c r="O3633" s="86"/>
      <c r="P3633" s="86"/>
      <c r="Q3633" s="86"/>
      <c r="R3633" s="86"/>
      <c r="S3633" s="86"/>
      <c r="T3633" s="86"/>
      <c r="U3633" s="86"/>
      <c r="V3633" s="48"/>
      <c r="W3633" s="48"/>
      <c r="X3633" s="48"/>
      <c r="Y3633" s="48"/>
      <c r="Z3633" s="48"/>
      <c r="AA3633" s="48"/>
      <c r="AB3633" s="48"/>
      <c r="AC3633" s="48"/>
      <c r="AD3633" s="48"/>
      <c r="AE3633" s="48"/>
      <c r="AF3633" s="48"/>
      <c r="AG3633" s="48"/>
      <c r="AH3633" s="48"/>
      <c r="AI3633" s="48"/>
      <c r="AJ3633" s="48"/>
      <c r="AK3633" s="48"/>
      <c r="AL3633" s="48"/>
      <c r="AM3633" s="48"/>
      <c r="AN3633" s="48"/>
      <c r="AO3633" s="48"/>
      <c r="AP3633" s="48"/>
      <c r="AQ3633" s="48"/>
      <c r="AR3633" s="48"/>
      <c r="AS3633" s="48"/>
      <c r="AT3633" s="48"/>
      <c r="AU3633" s="48"/>
      <c r="AV3633" s="48"/>
      <c r="AW3633" s="48"/>
      <c r="AX3633" s="48"/>
      <c r="AY3633" s="48"/>
      <c r="AZ3633" s="48"/>
      <c r="BA3633" s="48"/>
      <c r="BB3633" s="48"/>
      <c r="BC3633" s="48"/>
      <c r="BD3633" s="48"/>
    </row>
    <row r="3634" spans="1:56">
      <c r="A3634" s="48"/>
      <c r="B3634" s="48"/>
      <c r="C3634" s="49"/>
      <c r="D3634" s="48"/>
      <c r="E3634" s="48"/>
      <c r="F3634" s="48"/>
      <c r="G3634" s="48"/>
      <c r="H3634" s="48"/>
      <c r="I3634" s="48"/>
      <c r="J3634" s="86"/>
      <c r="K3634" s="86"/>
      <c r="L3634" s="86"/>
      <c r="M3634" s="86"/>
      <c r="N3634" s="86"/>
      <c r="O3634" s="86"/>
      <c r="P3634" s="86"/>
      <c r="Q3634" s="86"/>
      <c r="R3634" s="86"/>
      <c r="S3634" s="86"/>
      <c r="T3634" s="86"/>
      <c r="U3634" s="86"/>
      <c r="V3634" s="48"/>
      <c r="W3634" s="48"/>
      <c r="X3634" s="48"/>
      <c r="Y3634" s="48"/>
      <c r="Z3634" s="48"/>
      <c r="AA3634" s="48"/>
      <c r="AB3634" s="48"/>
      <c r="AC3634" s="48"/>
      <c r="AD3634" s="48"/>
      <c r="AE3634" s="48"/>
      <c r="AF3634" s="48"/>
      <c r="AG3634" s="48"/>
      <c r="AH3634" s="48"/>
      <c r="AI3634" s="48"/>
      <c r="AJ3634" s="48"/>
      <c r="AK3634" s="48"/>
      <c r="AL3634" s="48"/>
      <c r="AM3634" s="48"/>
      <c r="AN3634" s="48"/>
      <c r="AO3634" s="48"/>
      <c r="AP3634" s="48"/>
      <c r="AQ3634" s="48"/>
      <c r="AR3634" s="48"/>
      <c r="AS3634" s="48"/>
      <c r="AT3634" s="48"/>
      <c r="AU3634" s="48"/>
      <c r="AV3634" s="48"/>
      <c r="AW3634" s="48"/>
      <c r="AX3634" s="48"/>
      <c r="AY3634" s="48"/>
      <c r="AZ3634" s="48"/>
      <c r="BA3634" s="48"/>
      <c r="BB3634" s="48"/>
      <c r="BC3634" s="48"/>
      <c r="BD3634" s="48"/>
    </row>
    <row r="3635" spans="1:56">
      <c r="A3635" s="48"/>
      <c r="B3635" s="48"/>
      <c r="C3635" s="49"/>
      <c r="D3635" s="48"/>
      <c r="E3635" s="48"/>
      <c r="F3635" s="48"/>
      <c r="G3635" s="48"/>
      <c r="H3635" s="48"/>
      <c r="I3635" s="48"/>
      <c r="J3635" s="86"/>
      <c r="K3635" s="86"/>
      <c r="L3635" s="86"/>
      <c r="M3635" s="86"/>
      <c r="N3635" s="86"/>
      <c r="O3635" s="86"/>
      <c r="P3635" s="86"/>
      <c r="Q3635" s="86"/>
      <c r="R3635" s="86"/>
      <c r="S3635" s="86"/>
      <c r="T3635" s="86"/>
      <c r="U3635" s="86"/>
      <c r="V3635" s="48"/>
      <c r="W3635" s="48"/>
      <c r="X3635" s="48"/>
      <c r="Y3635" s="48"/>
      <c r="Z3635" s="48"/>
      <c r="AA3635" s="48"/>
      <c r="AB3635" s="48"/>
      <c r="AC3635" s="48"/>
      <c r="AD3635" s="48"/>
      <c r="AE3635" s="48"/>
      <c r="AF3635" s="48"/>
      <c r="AG3635" s="48"/>
      <c r="AH3635" s="48"/>
      <c r="AI3635" s="48"/>
      <c r="AJ3635" s="48"/>
      <c r="AK3635" s="48"/>
      <c r="AL3635" s="48"/>
      <c r="AM3635" s="48"/>
      <c r="AN3635" s="48"/>
      <c r="AO3635" s="48"/>
      <c r="AP3635" s="48"/>
      <c r="AQ3635" s="48"/>
      <c r="AR3635" s="48"/>
      <c r="AS3635" s="48"/>
      <c r="AT3635" s="48"/>
      <c r="AU3635" s="48"/>
      <c r="AV3635" s="48"/>
      <c r="AW3635" s="48"/>
      <c r="AX3635" s="48"/>
      <c r="AY3635" s="48"/>
      <c r="AZ3635" s="48"/>
      <c r="BA3635" s="48"/>
      <c r="BB3635" s="48"/>
      <c r="BC3635" s="48"/>
      <c r="BD3635" s="48"/>
    </row>
    <row r="3636" spans="1:56">
      <c r="A3636" s="48"/>
      <c r="B3636" s="48"/>
      <c r="C3636" s="49"/>
      <c r="D3636" s="48"/>
      <c r="E3636" s="48"/>
      <c r="F3636" s="48"/>
      <c r="G3636" s="48"/>
      <c r="H3636" s="48"/>
      <c r="I3636" s="48"/>
      <c r="J3636" s="86"/>
      <c r="K3636" s="86"/>
      <c r="L3636" s="86"/>
      <c r="M3636" s="86"/>
      <c r="N3636" s="86"/>
      <c r="O3636" s="86"/>
      <c r="P3636" s="86"/>
      <c r="Q3636" s="86"/>
      <c r="R3636" s="86"/>
      <c r="S3636" s="86"/>
      <c r="T3636" s="86"/>
      <c r="U3636" s="86"/>
      <c r="V3636" s="48"/>
      <c r="W3636" s="48"/>
      <c r="X3636" s="48"/>
      <c r="Y3636" s="48"/>
      <c r="Z3636" s="48"/>
      <c r="AA3636" s="48"/>
      <c r="AB3636" s="48"/>
      <c r="AC3636" s="48"/>
      <c r="AD3636" s="48"/>
      <c r="AE3636" s="48"/>
      <c r="AF3636" s="48"/>
      <c r="AG3636" s="48"/>
      <c r="AH3636" s="48"/>
      <c r="AI3636" s="48"/>
      <c r="AJ3636" s="48"/>
      <c r="AK3636" s="48"/>
      <c r="AL3636" s="48"/>
      <c r="AM3636" s="48"/>
      <c r="AN3636" s="48"/>
      <c r="AO3636" s="48"/>
      <c r="AP3636" s="48"/>
      <c r="AQ3636" s="48"/>
      <c r="AR3636" s="48"/>
      <c r="AS3636" s="48"/>
      <c r="AT3636" s="48"/>
      <c r="AU3636" s="48"/>
      <c r="AV3636" s="48"/>
      <c r="AW3636" s="48"/>
      <c r="AX3636" s="48"/>
      <c r="AY3636" s="48"/>
      <c r="AZ3636" s="48"/>
      <c r="BA3636" s="48"/>
      <c r="BB3636" s="48"/>
      <c r="BC3636" s="48"/>
      <c r="BD3636" s="48"/>
    </row>
    <row r="3637" spans="1:56">
      <c r="A3637" s="48"/>
      <c r="B3637" s="48"/>
      <c r="C3637" s="49"/>
      <c r="D3637" s="48"/>
      <c r="E3637" s="48"/>
      <c r="F3637" s="48"/>
      <c r="G3637" s="48"/>
      <c r="H3637" s="48"/>
      <c r="I3637" s="48"/>
      <c r="J3637" s="86"/>
      <c r="K3637" s="86"/>
      <c r="L3637" s="86"/>
      <c r="M3637" s="86"/>
      <c r="N3637" s="86"/>
      <c r="O3637" s="86"/>
      <c r="P3637" s="86"/>
      <c r="Q3637" s="86"/>
      <c r="R3637" s="86"/>
      <c r="S3637" s="86"/>
      <c r="T3637" s="86"/>
      <c r="U3637" s="86"/>
      <c r="V3637" s="48"/>
      <c r="W3637" s="48"/>
      <c r="X3637" s="48"/>
      <c r="Y3637" s="48"/>
      <c r="Z3637" s="48"/>
      <c r="AA3637" s="48"/>
      <c r="AB3637" s="48"/>
      <c r="AC3637" s="48"/>
      <c r="AD3637" s="48"/>
      <c r="AE3637" s="48"/>
      <c r="AF3637" s="48"/>
      <c r="AG3637" s="48"/>
      <c r="AH3637" s="48"/>
      <c r="AI3637" s="48"/>
      <c r="AJ3637" s="48"/>
      <c r="AK3637" s="48"/>
      <c r="AL3637" s="48"/>
      <c r="AM3637" s="48"/>
      <c r="AN3637" s="48"/>
      <c r="AO3637" s="48"/>
      <c r="AP3637" s="48"/>
      <c r="AQ3637" s="48"/>
      <c r="AR3637" s="48"/>
      <c r="AS3637" s="48"/>
      <c r="AT3637" s="48"/>
      <c r="AU3637" s="48"/>
      <c r="AV3637" s="48"/>
      <c r="AW3637" s="48"/>
      <c r="AX3637" s="48"/>
      <c r="AY3637" s="48"/>
      <c r="AZ3637" s="48"/>
      <c r="BA3637" s="48"/>
      <c r="BB3637" s="48"/>
      <c r="BC3637" s="48"/>
      <c r="BD3637" s="48"/>
    </row>
    <row r="3638" spans="1:56">
      <c r="A3638" s="48"/>
      <c r="B3638" s="48"/>
      <c r="C3638" s="49"/>
      <c r="D3638" s="48"/>
      <c r="E3638" s="48"/>
      <c r="F3638" s="48"/>
      <c r="G3638" s="48"/>
      <c r="H3638" s="48"/>
      <c r="I3638" s="48"/>
      <c r="J3638" s="86"/>
      <c r="K3638" s="86"/>
      <c r="L3638" s="86"/>
      <c r="M3638" s="86"/>
      <c r="N3638" s="86"/>
      <c r="O3638" s="86"/>
      <c r="P3638" s="86"/>
      <c r="Q3638" s="86"/>
      <c r="R3638" s="86"/>
      <c r="S3638" s="86"/>
      <c r="T3638" s="86"/>
      <c r="U3638" s="86"/>
      <c r="V3638" s="48"/>
      <c r="W3638" s="48"/>
      <c r="X3638" s="48"/>
      <c r="Y3638" s="48"/>
      <c r="Z3638" s="48"/>
      <c r="AA3638" s="48"/>
      <c r="AB3638" s="48"/>
      <c r="AC3638" s="48"/>
      <c r="AD3638" s="48"/>
      <c r="AE3638" s="48"/>
      <c r="AF3638" s="48"/>
      <c r="AG3638" s="48"/>
      <c r="AH3638" s="48"/>
      <c r="AI3638" s="48"/>
      <c r="AJ3638" s="48"/>
      <c r="AK3638" s="48"/>
      <c r="AL3638" s="48"/>
      <c r="AM3638" s="48"/>
      <c r="AN3638" s="48"/>
      <c r="AO3638" s="48"/>
      <c r="AP3638" s="48"/>
      <c r="AQ3638" s="48"/>
      <c r="AR3638" s="48"/>
      <c r="AS3638" s="48"/>
      <c r="AT3638" s="48"/>
      <c r="AU3638" s="48"/>
      <c r="AV3638" s="48"/>
      <c r="AW3638" s="48"/>
      <c r="AX3638" s="48"/>
      <c r="AY3638" s="48"/>
      <c r="AZ3638" s="48"/>
      <c r="BA3638" s="48"/>
      <c r="BB3638" s="48"/>
      <c r="BC3638" s="48"/>
      <c r="BD3638" s="48"/>
    </row>
    <row r="3639" spans="1:56">
      <c r="A3639" s="48"/>
      <c r="B3639" s="48"/>
      <c r="C3639" s="49"/>
      <c r="D3639" s="48"/>
      <c r="E3639" s="48"/>
      <c r="F3639" s="48"/>
      <c r="G3639" s="48"/>
      <c r="H3639" s="48"/>
      <c r="I3639" s="48"/>
      <c r="J3639" s="86"/>
      <c r="K3639" s="86"/>
      <c r="L3639" s="86"/>
      <c r="M3639" s="86"/>
      <c r="N3639" s="86"/>
      <c r="O3639" s="86"/>
      <c r="P3639" s="86"/>
      <c r="Q3639" s="86"/>
      <c r="R3639" s="86"/>
      <c r="S3639" s="86"/>
      <c r="T3639" s="86"/>
      <c r="U3639" s="86"/>
      <c r="V3639" s="48"/>
      <c r="W3639" s="48"/>
      <c r="X3639" s="48"/>
      <c r="Y3639" s="48"/>
      <c r="Z3639" s="48"/>
      <c r="AA3639" s="48"/>
      <c r="AB3639" s="48"/>
      <c r="AC3639" s="48"/>
      <c r="AD3639" s="48"/>
      <c r="AE3639" s="48"/>
      <c r="AF3639" s="48"/>
      <c r="AG3639" s="48"/>
      <c r="AH3639" s="48"/>
      <c r="AI3639" s="48"/>
      <c r="AJ3639" s="48"/>
      <c r="AK3639" s="48"/>
      <c r="AL3639" s="48"/>
      <c r="AM3639" s="48"/>
      <c r="AN3639" s="48"/>
      <c r="AO3639" s="48"/>
      <c r="AP3639" s="48"/>
      <c r="AQ3639" s="48"/>
      <c r="AR3639" s="48"/>
      <c r="AS3639" s="48"/>
      <c r="AT3639" s="48"/>
      <c r="AU3639" s="48"/>
      <c r="AV3639" s="48"/>
      <c r="AW3639" s="48"/>
      <c r="AX3639" s="48"/>
      <c r="AY3639" s="48"/>
      <c r="AZ3639" s="48"/>
      <c r="BA3639" s="48"/>
      <c r="BB3639" s="48"/>
      <c r="BC3639" s="48"/>
      <c r="BD3639" s="48"/>
    </row>
    <row r="3640" spans="1:56">
      <c r="A3640" s="48"/>
      <c r="B3640" s="48"/>
      <c r="C3640" s="49"/>
      <c r="D3640" s="48"/>
      <c r="E3640" s="48"/>
      <c r="F3640" s="48"/>
      <c r="G3640" s="48"/>
      <c r="H3640" s="48"/>
      <c r="I3640" s="48"/>
      <c r="J3640" s="86"/>
      <c r="K3640" s="86"/>
      <c r="L3640" s="86"/>
      <c r="M3640" s="86"/>
      <c r="N3640" s="86"/>
      <c r="O3640" s="86"/>
      <c r="P3640" s="86"/>
      <c r="Q3640" s="86"/>
      <c r="R3640" s="86"/>
      <c r="S3640" s="86"/>
      <c r="T3640" s="86"/>
      <c r="U3640" s="86"/>
      <c r="V3640" s="48"/>
      <c r="W3640" s="48"/>
      <c r="X3640" s="48"/>
      <c r="Y3640" s="48"/>
      <c r="Z3640" s="48"/>
      <c r="AA3640" s="48"/>
      <c r="AB3640" s="48"/>
      <c r="AC3640" s="48"/>
      <c r="AD3640" s="48"/>
      <c r="AE3640" s="48"/>
      <c r="AF3640" s="48"/>
      <c r="AG3640" s="48"/>
      <c r="AH3640" s="48"/>
      <c r="AI3640" s="48"/>
      <c r="AJ3640" s="48"/>
      <c r="AK3640" s="48"/>
      <c r="AL3640" s="48"/>
      <c r="AM3640" s="48"/>
      <c r="AN3640" s="48"/>
      <c r="AO3640" s="48"/>
      <c r="AP3640" s="48"/>
      <c r="AQ3640" s="48"/>
      <c r="AR3640" s="48"/>
      <c r="AS3640" s="48"/>
      <c r="AT3640" s="48"/>
      <c r="AU3640" s="48"/>
      <c r="AV3640" s="48"/>
      <c r="AW3640" s="48"/>
      <c r="AX3640" s="48"/>
      <c r="AY3640" s="48"/>
      <c r="AZ3640" s="48"/>
      <c r="BA3640" s="48"/>
      <c r="BB3640" s="48"/>
      <c r="BC3640" s="48"/>
      <c r="BD3640" s="48"/>
    </row>
    <row r="3641" spans="1:56">
      <c r="A3641" s="48"/>
      <c r="B3641" s="48"/>
      <c r="C3641" s="49"/>
      <c r="D3641" s="48"/>
      <c r="E3641" s="48"/>
      <c r="F3641" s="48"/>
      <c r="G3641" s="48"/>
      <c r="H3641" s="48"/>
      <c r="I3641" s="48"/>
      <c r="J3641" s="86"/>
      <c r="K3641" s="86"/>
      <c r="L3641" s="86"/>
      <c r="M3641" s="86"/>
      <c r="N3641" s="86"/>
      <c r="O3641" s="86"/>
      <c r="P3641" s="86"/>
      <c r="Q3641" s="86"/>
      <c r="R3641" s="86"/>
      <c r="S3641" s="86"/>
      <c r="T3641" s="86"/>
      <c r="U3641" s="86"/>
      <c r="V3641" s="48"/>
      <c r="W3641" s="48"/>
      <c r="X3641" s="48"/>
      <c r="Y3641" s="48"/>
      <c r="Z3641" s="48"/>
      <c r="AA3641" s="48"/>
      <c r="AB3641" s="48"/>
      <c r="AC3641" s="48"/>
      <c r="AD3641" s="48"/>
      <c r="AE3641" s="48"/>
      <c r="AF3641" s="48"/>
      <c r="AG3641" s="48"/>
      <c r="AH3641" s="48"/>
      <c r="AI3641" s="48"/>
      <c r="AJ3641" s="48"/>
      <c r="AK3641" s="48"/>
      <c r="AL3641" s="48"/>
      <c r="AM3641" s="48"/>
      <c r="AN3641" s="48"/>
      <c r="AO3641" s="48"/>
      <c r="AP3641" s="48"/>
      <c r="AQ3641" s="48"/>
      <c r="AR3641" s="48"/>
      <c r="AS3641" s="48"/>
      <c r="AT3641" s="48"/>
      <c r="AU3641" s="48"/>
      <c r="AV3641" s="48"/>
      <c r="AW3641" s="48"/>
      <c r="AX3641" s="48"/>
      <c r="AY3641" s="48"/>
      <c r="AZ3641" s="48"/>
      <c r="BA3641" s="48"/>
      <c r="BB3641" s="48"/>
      <c r="BC3641" s="48"/>
      <c r="BD3641" s="48"/>
    </row>
    <row r="3642" spans="1:56">
      <c r="A3642" s="48"/>
      <c r="B3642" s="48"/>
      <c r="C3642" s="49"/>
      <c r="D3642" s="48"/>
      <c r="E3642" s="48"/>
      <c r="F3642" s="48"/>
      <c r="G3642" s="48"/>
      <c r="H3642" s="48"/>
      <c r="I3642" s="48"/>
      <c r="J3642" s="86"/>
      <c r="K3642" s="86"/>
      <c r="L3642" s="86"/>
      <c r="M3642" s="86"/>
      <c r="N3642" s="86"/>
      <c r="O3642" s="86"/>
      <c r="P3642" s="86"/>
      <c r="Q3642" s="86"/>
      <c r="R3642" s="86"/>
      <c r="S3642" s="86"/>
      <c r="T3642" s="86"/>
      <c r="U3642" s="86"/>
      <c r="V3642" s="48"/>
      <c r="W3642" s="48"/>
      <c r="X3642" s="48"/>
      <c r="Y3642" s="48"/>
      <c r="Z3642" s="48"/>
      <c r="AA3642" s="48"/>
      <c r="AB3642" s="48"/>
      <c r="AC3642" s="48"/>
      <c r="AD3642" s="48"/>
      <c r="AE3642" s="48"/>
      <c r="AF3642" s="48"/>
      <c r="AG3642" s="48"/>
      <c r="AH3642" s="48"/>
      <c r="AI3642" s="48"/>
      <c r="AJ3642" s="48"/>
      <c r="AK3642" s="48"/>
      <c r="AL3642" s="48"/>
      <c r="AM3642" s="48"/>
      <c r="AN3642" s="48"/>
      <c r="AO3642" s="48"/>
      <c r="AP3642" s="48"/>
      <c r="AQ3642" s="48"/>
      <c r="AR3642" s="48"/>
      <c r="AS3642" s="48"/>
      <c r="AT3642" s="48"/>
      <c r="AU3642" s="48"/>
      <c r="AV3642" s="48"/>
      <c r="AW3642" s="48"/>
      <c r="AX3642" s="48"/>
      <c r="AY3642" s="48"/>
      <c r="AZ3642" s="48"/>
      <c r="BA3642" s="48"/>
      <c r="BB3642" s="48"/>
      <c r="BC3642" s="48"/>
      <c r="BD3642" s="48"/>
    </row>
    <row r="3643" spans="1:56">
      <c r="A3643" s="48"/>
      <c r="B3643" s="48"/>
      <c r="C3643" s="49"/>
      <c r="D3643" s="48"/>
      <c r="E3643" s="48"/>
      <c r="F3643" s="48"/>
      <c r="G3643" s="48"/>
      <c r="H3643" s="48"/>
      <c r="I3643" s="48"/>
      <c r="J3643" s="86"/>
      <c r="K3643" s="86"/>
      <c r="L3643" s="86"/>
      <c r="M3643" s="86"/>
      <c r="N3643" s="86"/>
      <c r="O3643" s="86"/>
      <c r="P3643" s="86"/>
      <c r="Q3643" s="86"/>
      <c r="R3643" s="86"/>
      <c r="S3643" s="86"/>
      <c r="T3643" s="86"/>
      <c r="U3643" s="86"/>
      <c r="V3643" s="48"/>
      <c r="W3643" s="48"/>
      <c r="X3643" s="48"/>
      <c r="Y3643" s="48"/>
      <c r="Z3643" s="48"/>
      <c r="AA3643" s="48"/>
      <c r="AB3643" s="48"/>
      <c r="AC3643" s="48"/>
      <c r="AD3643" s="48"/>
      <c r="AE3643" s="48"/>
      <c r="AF3643" s="48"/>
      <c r="AG3643" s="48"/>
      <c r="AH3643" s="48"/>
      <c r="AI3643" s="48"/>
      <c r="AJ3643" s="48"/>
      <c r="AK3643" s="48"/>
      <c r="AL3643" s="48"/>
      <c r="AM3643" s="48"/>
      <c r="AN3643" s="48"/>
      <c r="AO3643" s="48"/>
      <c r="AP3643" s="48"/>
      <c r="AQ3643" s="48"/>
      <c r="AR3643" s="48"/>
      <c r="AS3643" s="48"/>
      <c r="AT3643" s="48"/>
      <c r="AU3643" s="48"/>
      <c r="AV3643" s="48"/>
      <c r="AW3643" s="48"/>
      <c r="AX3643" s="48"/>
      <c r="AY3643" s="48"/>
      <c r="AZ3643" s="48"/>
      <c r="BA3643" s="48"/>
      <c r="BB3643" s="48"/>
      <c r="BC3643" s="48"/>
      <c r="BD3643" s="48"/>
    </row>
    <row r="3644" spans="1:56">
      <c r="A3644" s="48"/>
      <c r="B3644" s="48"/>
      <c r="C3644" s="49"/>
      <c r="D3644" s="48"/>
      <c r="E3644" s="48"/>
      <c r="F3644" s="48"/>
      <c r="G3644" s="48"/>
      <c r="H3644" s="48"/>
      <c r="I3644" s="48"/>
      <c r="J3644" s="86"/>
      <c r="K3644" s="86"/>
      <c r="L3644" s="86"/>
      <c r="M3644" s="86"/>
      <c r="N3644" s="86"/>
      <c r="O3644" s="86"/>
      <c r="P3644" s="86"/>
      <c r="Q3644" s="86"/>
      <c r="R3644" s="86"/>
      <c r="S3644" s="86"/>
      <c r="T3644" s="86"/>
      <c r="U3644" s="86"/>
      <c r="V3644" s="48"/>
      <c r="W3644" s="48"/>
      <c r="X3644" s="48"/>
      <c r="Y3644" s="48"/>
      <c r="Z3644" s="48"/>
      <c r="AA3644" s="48"/>
      <c r="AB3644" s="48"/>
      <c r="AC3644" s="48"/>
      <c r="AD3644" s="48"/>
      <c r="AE3644" s="48"/>
      <c r="AF3644" s="48"/>
      <c r="AG3644" s="48"/>
      <c r="AH3644" s="48"/>
      <c r="AI3644" s="48"/>
      <c r="AJ3644" s="48"/>
      <c r="AK3644" s="48"/>
      <c r="AL3644" s="48"/>
      <c r="AM3644" s="48"/>
      <c r="AN3644" s="48"/>
      <c r="AO3644" s="48"/>
      <c r="AP3644" s="48"/>
      <c r="AQ3644" s="48"/>
      <c r="AR3644" s="48"/>
      <c r="AS3644" s="48"/>
      <c r="AT3644" s="48"/>
      <c r="AU3644" s="48"/>
      <c r="AV3644" s="48"/>
      <c r="AW3644" s="48"/>
      <c r="AX3644" s="48"/>
      <c r="AY3644" s="48"/>
      <c r="AZ3644" s="48"/>
      <c r="BA3644" s="48"/>
      <c r="BB3644" s="48"/>
      <c r="BC3644" s="48"/>
      <c r="BD3644" s="48"/>
    </row>
    <row r="3645" spans="1:56">
      <c r="A3645" s="48"/>
      <c r="B3645" s="48"/>
      <c r="C3645" s="49"/>
      <c r="D3645" s="48"/>
      <c r="E3645" s="48"/>
      <c r="F3645" s="48"/>
      <c r="G3645" s="48"/>
      <c r="H3645" s="48"/>
      <c r="I3645" s="48"/>
      <c r="J3645" s="86"/>
      <c r="K3645" s="86"/>
      <c r="L3645" s="86"/>
      <c r="M3645" s="86"/>
      <c r="N3645" s="86"/>
      <c r="O3645" s="86"/>
      <c r="P3645" s="86"/>
      <c r="Q3645" s="86"/>
      <c r="R3645" s="86"/>
      <c r="S3645" s="86"/>
      <c r="T3645" s="86"/>
      <c r="U3645" s="86"/>
      <c r="V3645" s="48"/>
      <c r="W3645" s="48"/>
      <c r="X3645" s="48"/>
      <c r="Y3645" s="48"/>
      <c r="Z3645" s="48"/>
      <c r="AA3645" s="48"/>
      <c r="AB3645" s="48"/>
      <c r="AC3645" s="48"/>
      <c r="AD3645" s="48"/>
      <c r="AE3645" s="48"/>
      <c r="AF3645" s="48"/>
      <c r="AG3645" s="48"/>
      <c r="AH3645" s="48"/>
      <c r="AI3645" s="48"/>
      <c r="AJ3645" s="48"/>
      <c r="AK3645" s="48"/>
      <c r="AL3645" s="48"/>
      <c r="AM3645" s="48"/>
      <c r="AN3645" s="48"/>
      <c r="AO3645" s="48"/>
      <c r="AP3645" s="48"/>
      <c r="AQ3645" s="48"/>
      <c r="AR3645" s="48"/>
      <c r="AS3645" s="48"/>
      <c r="AT3645" s="48"/>
      <c r="AU3645" s="48"/>
      <c r="AV3645" s="48"/>
      <c r="AW3645" s="48"/>
      <c r="AX3645" s="48"/>
      <c r="AY3645" s="48"/>
      <c r="AZ3645" s="48"/>
      <c r="BA3645" s="48"/>
      <c r="BB3645" s="48"/>
      <c r="BC3645" s="48"/>
      <c r="BD3645" s="48"/>
    </row>
    <row r="3646" spans="1:56">
      <c r="A3646" s="48"/>
      <c r="B3646" s="48"/>
      <c r="C3646" s="49"/>
      <c r="D3646" s="48"/>
      <c r="E3646" s="48"/>
      <c r="F3646" s="48"/>
      <c r="G3646" s="48"/>
      <c r="H3646" s="48"/>
      <c r="I3646" s="48"/>
      <c r="J3646" s="86"/>
      <c r="K3646" s="86"/>
      <c r="L3646" s="86"/>
      <c r="M3646" s="86"/>
      <c r="N3646" s="86"/>
      <c r="O3646" s="86"/>
      <c r="P3646" s="86"/>
      <c r="Q3646" s="86"/>
      <c r="R3646" s="86"/>
      <c r="S3646" s="86"/>
      <c r="T3646" s="86"/>
      <c r="U3646" s="86"/>
      <c r="V3646" s="48"/>
      <c r="W3646" s="48"/>
      <c r="X3646" s="48"/>
      <c r="Y3646" s="48"/>
      <c r="Z3646" s="48"/>
      <c r="AA3646" s="48"/>
      <c r="AB3646" s="48"/>
      <c r="AC3646" s="48"/>
      <c r="AD3646" s="48"/>
      <c r="AE3646" s="48"/>
      <c r="AF3646" s="48"/>
      <c r="AG3646" s="48"/>
      <c r="AH3646" s="48"/>
      <c r="AI3646" s="48"/>
      <c r="AJ3646" s="48"/>
      <c r="AK3646" s="48"/>
      <c r="AL3646" s="48"/>
      <c r="AM3646" s="48"/>
      <c r="AN3646" s="48"/>
      <c r="AO3646" s="48"/>
      <c r="AP3646" s="48"/>
      <c r="AQ3646" s="48"/>
      <c r="AR3646" s="48"/>
      <c r="AS3646" s="48"/>
      <c r="AT3646" s="48"/>
      <c r="AU3646" s="48"/>
      <c r="AV3646" s="48"/>
      <c r="AW3646" s="48"/>
      <c r="AX3646" s="48"/>
      <c r="AY3646" s="48"/>
      <c r="AZ3646" s="48"/>
      <c r="BA3646" s="48"/>
      <c r="BB3646" s="48"/>
      <c r="BC3646" s="48"/>
      <c r="BD3646" s="48"/>
    </row>
    <row r="3647" spans="1:56">
      <c r="A3647" s="48"/>
      <c r="B3647" s="48"/>
      <c r="C3647" s="49"/>
      <c r="D3647" s="48"/>
      <c r="E3647" s="48"/>
      <c r="F3647" s="48"/>
      <c r="G3647" s="48"/>
      <c r="H3647" s="48"/>
      <c r="I3647" s="48"/>
      <c r="J3647" s="86"/>
      <c r="K3647" s="86"/>
      <c r="L3647" s="86"/>
      <c r="M3647" s="86"/>
      <c r="N3647" s="86"/>
      <c r="O3647" s="86"/>
      <c r="P3647" s="86"/>
      <c r="Q3647" s="86"/>
      <c r="R3647" s="86"/>
      <c r="S3647" s="86"/>
      <c r="T3647" s="86"/>
      <c r="U3647" s="86"/>
      <c r="V3647" s="48"/>
      <c r="W3647" s="48"/>
      <c r="X3647" s="48"/>
      <c r="Y3647" s="48"/>
      <c r="Z3647" s="48"/>
      <c r="AA3647" s="48"/>
      <c r="AB3647" s="48"/>
      <c r="AC3647" s="48"/>
      <c r="AD3647" s="48"/>
      <c r="AE3647" s="48"/>
      <c r="AF3647" s="48"/>
      <c r="AG3647" s="48"/>
      <c r="AH3647" s="48"/>
      <c r="AI3647" s="48"/>
      <c r="AJ3647" s="48"/>
      <c r="AK3647" s="48"/>
      <c r="AL3647" s="48"/>
      <c r="AM3647" s="48"/>
      <c r="AN3647" s="48"/>
      <c r="AO3647" s="48"/>
      <c r="AP3647" s="48"/>
      <c r="AQ3647" s="48"/>
      <c r="AR3647" s="48"/>
      <c r="AS3647" s="48"/>
      <c r="AT3647" s="48"/>
      <c r="AU3647" s="48"/>
      <c r="AV3647" s="48"/>
      <c r="AW3647" s="48"/>
      <c r="AX3647" s="48"/>
      <c r="AY3647" s="48"/>
      <c r="AZ3647" s="48"/>
      <c r="BA3647" s="48"/>
      <c r="BB3647" s="48"/>
      <c r="BC3647" s="48"/>
      <c r="BD3647" s="48"/>
    </row>
    <row r="3648" spans="1:56">
      <c r="A3648" s="48"/>
      <c r="B3648" s="48"/>
      <c r="C3648" s="49"/>
      <c r="D3648" s="48"/>
      <c r="E3648" s="48"/>
      <c r="F3648" s="48"/>
      <c r="G3648" s="48"/>
      <c r="H3648" s="48"/>
      <c r="I3648" s="48"/>
      <c r="J3648" s="86"/>
      <c r="K3648" s="86"/>
      <c r="L3648" s="86"/>
      <c r="M3648" s="86"/>
      <c r="N3648" s="86"/>
      <c r="O3648" s="86"/>
      <c r="P3648" s="86"/>
      <c r="Q3648" s="86"/>
      <c r="R3648" s="86"/>
      <c r="S3648" s="86"/>
      <c r="T3648" s="86"/>
      <c r="U3648" s="86"/>
      <c r="V3648" s="48"/>
      <c r="W3648" s="48"/>
      <c r="X3648" s="48"/>
      <c r="Y3648" s="48"/>
      <c r="Z3648" s="48"/>
      <c r="AA3648" s="48"/>
      <c r="AB3648" s="48"/>
      <c r="AC3648" s="48"/>
      <c r="AD3648" s="48"/>
      <c r="AE3648" s="48"/>
      <c r="AF3648" s="48"/>
      <c r="AG3648" s="48"/>
      <c r="AH3648" s="48"/>
      <c r="AI3648" s="48"/>
      <c r="AJ3648" s="48"/>
      <c r="AK3648" s="48"/>
      <c r="AL3648" s="48"/>
      <c r="AM3648" s="48"/>
      <c r="AN3648" s="48"/>
      <c r="AO3648" s="48"/>
      <c r="AP3648" s="48"/>
      <c r="AQ3648" s="48"/>
      <c r="AR3648" s="48"/>
      <c r="AS3648" s="48"/>
      <c r="AT3648" s="48"/>
      <c r="AU3648" s="48"/>
      <c r="AV3648" s="48"/>
      <c r="AW3648" s="48"/>
      <c r="AX3648" s="48"/>
      <c r="AY3648" s="48"/>
      <c r="AZ3648" s="48"/>
      <c r="BA3648" s="48"/>
      <c r="BB3648" s="48"/>
      <c r="BC3648" s="48"/>
      <c r="BD3648" s="48"/>
    </row>
    <row r="3649" spans="1:56">
      <c r="A3649" s="48"/>
      <c r="B3649" s="48"/>
      <c r="C3649" s="49"/>
      <c r="D3649" s="48"/>
      <c r="E3649" s="48"/>
      <c r="F3649" s="48"/>
      <c r="G3649" s="48"/>
      <c r="H3649" s="48"/>
      <c r="I3649" s="48"/>
      <c r="J3649" s="86"/>
      <c r="K3649" s="86"/>
      <c r="L3649" s="86"/>
      <c r="M3649" s="86"/>
      <c r="N3649" s="86"/>
      <c r="O3649" s="86"/>
      <c r="P3649" s="86"/>
      <c r="Q3649" s="86"/>
      <c r="R3649" s="86"/>
      <c r="S3649" s="86"/>
      <c r="T3649" s="86"/>
      <c r="U3649" s="86"/>
      <c r="V3649" s="48"/>
      <c r="W3649" s="48"/>
      <c r="X3649" s="48"/>
      <c r="Y3649" s="48"/>
      <c r="Z3649" s="48"/>
      <c r="AA3649" s="48"/>
      <c r="AB3649" s="48"/>
      <c r="AC3649" s="48"/>
      <c r="AD3649" s="48"/>
      <c r="AE3649" s="48"/>
      <c r="AF3649" s="48"/>
      <c r="AG3649" s="48"/>
      <c r="AH3649" s="48"/>
      <c r="AI3649" s="48"/>
      <c r="AJ3649" s="48"/>
      <c r="AK3649" s="48"/>
      <c r="AL3649" s="48"/>
      <c r="AM3649" s="48"/>
      <c r="AN3649" s="48"/>
      <c r="AO3649" s="48"/>
      <c r="AP3649" s="48"/>
      <c r="AQ3649" s="48"/>
      <c r="AR3649" s="48"/>
      <c r="AS3649" s="48"/>
      <c r="AT3649" s="48"/>
      <c r="AU3649" s="48"/>
      <c r="AV3649" s="48"/>
      <c r="AW3649" s="48"/>
      <c r="AX3649" s="48"/>
      <c r="AY3649" s="48"/>
      <c r="AZ3649" s="48"/>
      <c r="BA3649" s="48"/>
      <c r="BB3649" s="48"/>
      <c r="BC3649" s="48"/>
      <c r="BD3649" s="48"/>
    </row>
    <row r="3650" spans="1:56">
      <c r="A3650" s="48"/>
      <c r="B3650" s="48"/>
      <c r="C3650" s="49"/>
      <c r="D3650" s="48"/>
      <c r="E3650" s="48"/>
      <c r="F3650" s="48"/>
      <c r="G3650" s="48"/>
      <c r="H3650" s="48"/>
      <c r="I3650" s="48"/>
      <c r="J3650" s="86"/>
      <c r="K3650" s="86"/>
      <c r="L3650" s="86"/>
      <c r="M3650" s="86"/>
      <c r="N3650" s="86"/>
      <c r="O3650" s="86"/>
      <c r="P3650" s="86"/>
      <c r="Q3650" s="86"/>
      <c r="R3650" s="86"/>
      <c r="S3650" s="86"/>
      <c r="T3650" s="86"/>
      <c r="U3650" s="86"/>
      <c r="V3650" s="48"/>
      <c r="W3650" s="48"/>
      <c r="X3650" s="48"/>
      <c r="Y3650" s="48"/>
      <c r="Z3650" s="48"/>
      <c r="AA3650" s="48"/>
      <c r="AB3650" s="48"/>
      <c r="AC3650" s="48"/>
      <c r="AD3650" s="48"/>
      <c r="AE3650" s="48"/>
      <c r="AF3650" s="48"/>
      <c r="AG3650" s="48"/>
      <c r="AH3650" s="48"/>
      <c r="AI3650" s="48"/>
      <c r="AJ3650" s="48"/>
      <c r="AK3650" s="48"/>
      <c r="AL3650" s="48"/>
      <c r="AM3650" s="48"/>
      <c r="AN3650" s="48"/>
      <c r="AO3650" s="48"/>
      <c r="AP3650" s="48"/>
      <c r="AQ3650" s="48"/>
      <c r="AR3650" s="48"/>
      <c r="AS3650" s="48"/>
      <c r="AT3650" s="48"/>
      <c r="AU3650" s="48"/>
      <c r="AV3650" s="48"/>
      <c r="AW3650" s="48"/>
      <c r="AX3650" s="48"/>
      <c r="AY3650" s="48"/>
      <c r="AZ3650" s="48"/>
      <c r="BA3650" s="48"/>
      <c r="BB3650" s="48"/>
      <c r="BC3650" s="48"/>
      <c r="BD3650" s="48"/>
    </row>
    <row r="3651" spans="1:56">
      <c r="A3651" s="48"/>
      <c r="B3651" s="48"/>
      <c r="C3651" s="49"/>
      <c r="D3651" s="48"/>
      <c r="E3651" s="48"/>
      <c r="F3651" s="48"/>
      <c r="G3651" s="48"/>
      <c r="H3651" s="48"/>
      <c r="I3651" s="48"/>
      <c r="J3651" s="86"/>
      <c r="K3651" s="86"/>
      <c r="L3651" s="86"/>
      <c r="M3651" s="86"/>
      <c r="N3651" s="86"/>
      <c r="O3651" s="86"/>
      <c r="P3651" s="86"/>
      <c r="Q3651" s="86"/>
      <c r="R3651" s="86"/>
      <c r="S3651" s="86"/>
      <c r="T3651" s="86"/>
      <c r="U3651" s="86"/>
      <c r="V3651" s="48"/>
      <c r="W3651" s="48"/>
      <c r="X3651" s="48"/>
      <c r="Y3651" s="48"/>
      <c r="Z3651" s="48"/>
      <c r="AA3651" s="48"/>
      <c r="AB3651" s="48"/>
      <c r="AC3651" s="48"/>
      <c r="AD3651" s="48"/>
      <c r="AE3651" s="48"/>
      <c r="AF3651" s="48"/>
      <c r="AG3651" s="48"/>
      <c r="AH3651" s="48"/>
      <c r="AI3651" s="48"/>
      <c r="AJ3651" s="48"/>
      <c r="AK3651" s="48"/>
      <c r="AL3651" s="48"/>
      <c r="AM3651" s="48"/>
      <c r="AN3651" s="48"/>
      <c r="AO3651" s="48"/>
      <c r="AP3651" s="48"/>
      <c r="AQ3651" s="48"/>
      <c r="AR3651" s="48"/>
      <c r="AS3651" s="48"/>
      <c r="AT3651" s="48"/>
      <c r="AU3651" s="48"/>
      <c r="AV3651" s="48"/>
      <c r="AW3651" s="48"/>
      <c r="AX3651" s="48"/>
      <c r="AY3651" s="48"/>
      <c r="AZ3651" s="48"/>
      <c r="BA3651" s="48"/>
      <c r="BB3651" s="48"/>
      <c r="BC3651" s="48"/>
      <c r="BD3651" s="48"/>
    </row>
    <row r="3652" spans="1:56">
      <c r="A3652" s="48"/>
      <c r="B3652" s="48"/>
      <c r="C3652" s="49"/>
      <c r="D3652" s="48"/>
      <c r="E3652" s="48"/>
      <c r="F3652" s="48"/>
      <c r="G3652" s="48"/>
      <c r="H3652" s="48"/>
      <c r="I3652" s="48"/>
      <c r="J3652" s="86"/>
      <c r="K3652" s="86"/>
      <c r="L3652" s="86"/>
      <c r="M3652" s="86"/>
      <c r="N3652" s="86"/>
      <c r="O3652" s="86"/>
      <c r="P3652" s="86"/>
      <c r="Q3652" s="86"/>
      <c r="R3652" s="86"/>
      <c r="S3652" s="86"/>
      <c r="T3652" s="86"/>
      <c r="U3652" s="86"/>
      <c r="V3652" s="48"/>
      <c r="W3652" s="48"/>
      <c r="X3652" s="48"/>
      <c r="Y3652" s="48"/>
      <c r="Z3652" s="48"/>
      <c r="AA3652" s="48"/>
      <c r="AB3652" s="48"/>
      <c r="AC3652" s="48"/>
      <c r="AD3652" s="48"/>
      <c r="AE3652" s="48"/>
      <c r="AF3652" s="48"/>
      <c r="AG3652" s="48"/>
      <c r="AH3652" s="48"/>
      <c r="AI3652" s="48"/>
      <c r="AJ3652" s="48"/>
      <c r="AK3652" s="48"/>
      <c r="AL3652" s="48"/>
      <c r="AM3652" s="48"/>
      <c r="AN3652" s="48"/>
      <c r="AO3652" s="48"/>
      <c r="AP3652" s="48"/>
      <c r="AQ3652" s="48"/>
      <c r="AR3652" s="48"/>
      <c r="AS3652" s="48"/>
      <c r="AT3652" s="48"/>
      <c r="AU3652" s="48"/>
      <c r="AV3652" s="48"/>
      <c r="AW3652" s="48"/>
      <c r="AX3652" s="48"/>
      <c r="AY3652" s="48"/>
      <c r="AZ3652" s="48"/>
      <c r="BA3652" s="48"/>
      <c r="BB3652" s="48"/>
      <c r="BC3652" s="48"/>
      <c r="BD3652" s="48"/>
    </row>
    <row r="3653" spans="1:56">
      <c r="A3653" s="48"/>
      <c r="B3653" s="48"/>
      <c r="C3653" s="49"/>
      <c r="D3653" s="48"/>
      <c r="E3653" s="48"/>
      <c r="F3653" s="48"/>
      <c r="G3653" s="48"/>
      <c r="H3653" s="48"/>
      <c r="I3653" s="48"/>
      <c r="J3653" s="86"/>
      <c r="K3653" s="86"/>
      <c r="L3653" s="86"/>
      <c r="M3653" s="86"/>
      <c r="N3653" s="86"/>
      <c r="O3653" s="86"/>
      <c r="P3653" s="86"/>
      <c r="Q3653" s="86"/>
      <c r="R3653" s="86"/>
      <c r="S3653" s="86"/>
      <c r="T3653" s="86"/>
      <c r="U3653" s="86"/>
      <c r="V3653" s="48"/>
      <c r="W3653" s="48"/>
      <c r="X3653" s="48"/>
      <c r="Y3653" s="48"/>
      <c r="Z3653" s="48"/>
      <c r="AA3653" s="48"/>
      <c r="AB3653" s="48"/>
      <c r="AC3653" s="48"/>
      <c r="AD3653" s="48"/>
      <c r="AE3653" s="48"/>
      <c r="AF3653" s="48"/>
      <c r="AG3653" s="48"/>
      <c r="AH3653" s="48"/>
      <c r="AI3653" s="48"/>
      <c r="AJ3653" s="48"/>
      <c r="AK3653" s="48"/>
      <c r="AL3653" s="48"/>
      <c r="AM3653" s="48"/>
      <c r="AN3653" s="48"/>
      <c r="AO3653" s="48"/>
      <c r="AP3653" s="48"/>
      <c r="AQ3653" s="48"/>
      <c r="AR3653" s="48"/>
      <c r="AS3653" s="48"/>
      <c r="AT3653" s="48"/>
      <c r="AU3653" s="48"/>
      <c r="AV3653" s="48"/>
      <c r="AW3653" s="48"/>
      <c r="AX3653" s="48"/>
      <c r="AY3653" s="48"/>
      <c r="AZ3653" s="48"/>
      <c r="BA3653" s="48"/>
      <c r="BB3653" s="48"/>
      <c r="BC3653" s="48"/>
      <c r="BD3653" s="48"/>
    </row>
    <row r="3654" spans="1:56">
      <c r="A3654" s="48"/>
      <c r="B3654" s="48"/>
      <c r="C3654" s="49"/>
      <c r="D3654" s="48"/>
      <c r="E3654" s="48"/>
      <c r="F3654" s="48"/>
      <c r="G3654" s="48"/>
      <c r="H3654" s="48"/>
      <c r="I3654" s="48"/>
      <c r="J3654" s="86"/>
      <c r="K3654" s="86"/>
      <c r="L3654" s="86"/>
      <c r="M3654" s="86"/>
      <c r="N3654" s="86"/>
      <c r="O3654" s="86"/>
      <c r="P3654" s="86"/>
      <c r="Q3654" s="86"/>
      <c r="R3654" s="86"/>
      <c r="S3654" s="86"/>
      <c r="T3654" s="86"/>
      <c r="U3654" s="86"/>
      <c r="V3654" s="48"/>
      <c r="W3654" s="48"/>
      <c r="X3654" s="48"/>
      <c r="Y3654" s="48"/>
      <c r="Z3654" s="48"/>
      <c r="AA3654" s="48"/>
      <c r="AB3654" s="48"/>
      <c r="AC3654" s="48"/>
      <c r="AD3654" s="48"/>
      <c r="AE3654" s="48"/>
      <c r="AF3654" s="48"/>
      <c r="AG3654" s="48"/>
      <c r="AH3654" s="48"/>
      <c r="AI3654" s="48"/>
      <c r="AJ3654" s="48"/>
      <c r="AK3654" s="48"/>
      <c r="AL3654" s="48"/>
      <c r="AM3654" s="48"/>
      <c r="AN3654" s="48"/>
      <c r="AO3654" s="48"/>
      <c r="AP3654" s="48"/>
      <c r="AQ3654" s="48"/>
      <c r="AR3654" s="48"/>
      <c r="AS3654" s="48"/>
      <c r="AT3654" s="48"/>
      <c r="AU3654" s="48"/>
      <c r="AV3654" s="48"/>
      <c r="AW3654" s="48"/>
      <c r="AX3654" s="48"/>
      <c r="AY3654" s="48"/>
      <c r="AZ3654" s="48"/>
      <c r="BA3654" s="48"/>
      <c r="BB3654" s="48"/>
      <c r="BC3654" s="48"/>
      <c r="BD3654" s="48"/>
    </row>
    <row r="3655" spans="1:56">
      <c r="A3655" s="48"/>
      <c r="B3655" s="48"/>
      <c r="C3655" s="49"/>
      <c r="D3655" s="48"/>
      <c r="E3655" s="48"/>
      <c r="F3655" s="48"/>
      <c r="G3655" s="48"/>
      <c r="H3655" s="48"/>
      <c r="I3655" s="48"/>
      <c r="J3655" s="86"/>
      <c r="K3655" s="86"/>
      <c r="L3655" s="86"/>
      <c r="M3655" s="86"/>
      <c r="N3655" s="86"/>
      <c r="O3655" s="86"/>
      <c r="P3655" s="86"/>
      <c r="Q3655" s="86"/>
      <c r="R3655" s="86"/>
      <c r="S3655" s="86"/>
      <c r="T3655" s="86"/>
      <c r="U3655" s="86"/>
      <c r="V3655" s="48"/>
      <c r="W3655" s="48"/>
      <c r="X3655" s="48"/>
      <c r="Y3655" s="48"/>
      <c r="Z3655" s="48"/>
      <c r="AA3655" s="48"/>
      <c r="AB3655" s="48"/>
      <c r="AC3655" s="48"/>
      <c r="AD3655" s="48"/>
      <c r="AE3655" s="48"/>
      <c r="AF3655" s="48"/>
      <c r="AG3655" s="48"/>
      <c r="AH3655" s="48"/>
      <c r="AI3655" s="48"/>
      <c r="AJ3655" s="48"/>
      <c r="AK3655" s="48"/>
      <c r="AL3655" s="48"/>
      <c r="AM3655" s="48"/>
      <c r="AN3655" s="48"/>
      <c r="AO3655" s="48"/>
      <c r="AP3655" s="48"/>
      <c r="AQ3655" s="48"/>
      <c r="AR3655" s="48"/>
      <c r="AS3655" s="48"/>
      <c r="AT3655" s="48"/>
      <c r="AU3655" s="48"/>
      <c r="AV3655" s="48"/>
      <c r="AW3655" s="48"/>
      <c r="AX3655" s="48"/>
      <c r="AY3655" s="48"/>
      <c r="AZ3655" s="48"/>
      <c r="BA3655" s="48"/>
      <c r="BB3655" s="48"/>
      <c r="BC3655" s="48"/>
      <c r="BD3655" s="48"/>
    </row>
    <row r="3656" spans="1:56">
      <c r="A3656" s="48"/>
      <c r="B3656" s="48"/>
      <c r="C3656" s="49"/>
      <c r="D3656" s="48"/>
      <c r="E3656" s="48"/>
      <c r="F3656" s="48"/>
      <c r="G3656" s="48"/>
      <c r="H3656" s="48"/>
      <c r="I3656" s="48"/>
      <c r="J3656" s="86"/>
      <c r="K3656" s="86"/>
      <c r="L3656" s="86"/>
      <c r="M3656" s="86"/>
      <c r="N3656" s="86"/>
      <c r="O3656" s="86"/>
      <c r="P3656" s="86"/>
      <c r="Q3656" s="86"/>
      <c r="R3656" s="86"/>
      <c r="S3656" s="86"/>
      <c r="T3656" s="86"/>
      <c r="U3656" s="86"/>
      <c r="V3656" s="48"/>
      <c r="W3656" s="48"/>
      <c r="X3656" s="48"/>
      <c r="Y3656" s="48"/>
      <c r="Z3656" s="48"/>
      <c r="AA3656" s="48"/>
      <c r="AB3656" s="48"/>
      <c r="AC3656" s="48"/>
      <c r="AD3656" s="48"/>
      <c r="AE3656" s="48"/>
      <c r="AF3656" s="48"/>
      <c r="AG3656" s="48"/>
      <c r="AH3656" s="48"/>
      <c r="AI3656" s="48"/>
      <c r="AJ3656" s="48"/>
      <c r="AK3656" s="48"/>
      <c r="AL3656" s="48"/>
      <c r="AM3656" s="48"/>
      <c r="AN3656" s="48"/>
      <c r="AO3656" s="48"/>
      <c r="AP3656" s="48"/>
      <c r="AQ3656" s="48"/>
      <c r="AR3656" s="48"/>
      <c r="AS3656" s="48"/>
      <c r="AT3656" s="48"/>
      <c r="AU3656" s="48"/>
      <c r="AV3656" s="48"/>
      <c r="AW3656" s="48"/>
      <c r="AX3656" s="48"/>
      <c r="AY3656" s="48"/>
      <c r="AZ3656" s="48"/>
      <c r="BA3656" s="48"/>
      <c r="BB3656" s="48"/>
      <c r="BC3656" s="48"/>
      <c r="BD3656" s="48"/>
    </row>
    <row r="3657" spans="1:56">
      <c r="A3657" s="48"/>
      <c r="B3657" s="48"/>
      <c r="C3657" s="49"/>
      <c r="D3657" s="48"/>
      <c r="E3657" s="48"/>
      <c r="F3657" s="48"/>
      <c r="G3657" s="48"/>
      <c r="H3657" s="48"/>
      <c r="I3657" s="48"/>
      <c r="J3657" s="86"/>
      <c r="K3657" s="86"/>
      <c r="L3657" s="86"/>
      <c r="M3657" s="86"/>
      <c r="N3657" s="86"/>
      <c r="O3657" s="86"/>
      <c r="P3657" s="86"/>
      <c r="Q3657" s="86"/>
      <c r="R3657" s="86"/>
      <c r="S3657" s="86"/>
      <c r="T3657" s="86"/>
      <c r="U3657" s="86"/>
      <c r="V3657" s="48"/>
      <c r="W3657" s="48"/>
      <c r="X3657" s="48"/>
      <c r="Y3657" s="48"/>
      <c r="Z3657" s="48"/>
      <c r="AA3657" s="48"/>
      <c r="AB3657" s="48"/>
      <c r="AC3657" s="48"/>
      <c r="AD3657" s="48"/>
      <c r="AE3657" s="48"/>
      <c r="AF3657" s="48"/>
      <c r="AG3657" s="48"/>
      <c r="AH3657" s="48"/>
      <c r="AI3657" s="48"/>
      <c r="AJ3657" s="48"/>
      <c r="AK3657" s="48"/>
      <c r="AL3657" s="48"/>
      <c r="AM3657" s="48"/>
      <c r="AN3657" s="48"/>
      <c r="AO3657" s="48"/>
      <c r="AP3657" s="48"/>
      <c r="AQ3657" s="48"/>
      <c r="AR3657" s="48"/>
      <c r="AS3657" s="48"/>
      <c r="AT3657" s="48"/>
      <c r="AU3657" s="48"/>
      <c r="AV3657" s="48"/>
      <c r="AW3657" s="48"/>
      <c r="AX3657" s="48"/>
      <c r="AY3657" s="48"/>
      <c r="AZ3657" s="48"/>
      <c r="BA3657" s="48"/>
      <c r="BB3657" s="48"/>
      <c r="BC3657" s="48"/>
      <c r="BD3657" s="48"/>
    </row>
    <row r="3658" spans="1:56">
      <c r="A3658" s="48"/>
      <c r="B3658" s="48"/>
      <c r="C3658" s="49"/>
      <c r="D3658" s="48"/>
      <c r="E3658" s="48"/>
      <c r="F3658" s="48"/>
      <c r="G3658" s="48"/>
      <c r="H3658" s="48"/>
      <c r="I3658" s="48"/>
      <c r="J3658" s="86"/>
      <c r="K3658" s="86"/>
      <c r="L3658" s="86"/>
      <c r="M3658" s="86"/>
      <c r="N3658" s="86"/>
      <c r="O3658" s="86"/>
      <c r="P3658" s="86"/>
      <c r="Q3658" s="86"/>
      <c r="R3658" s="86"/>
      <c r="S3658" s="86"/>
      <c r="T3658" s="86"/>
      <c r="U3658" s="86"/>
      <c r="V3658" s="48"/>
      <c r="W3658" s="48"/>
      <c r="X3658" s="48"/>
      <c r="Y3658" s="48"/>
      <c r="Z3658" s="48"/>
      <c r="AA3658" s="48"/>
      <c r="AB3658" s="48"/>
      <c r="AC3658" s="48"/>
      <c r="AD3658" s="48"/>
      <c r="AE3658" s="48"/>
      <c r="AF3658" s="48"/>
      <c r="AG3658" s="48"/>
      <c r="AH3658" s="48"/>
      <c r="AI3658" s="48"/>
      <c r="AJ3658" s="48"/>
      <c r="AK3658" s="48"/>
      <c r="AL3658" s="48"/>
      <c r="AM3658" s="48"/>
      <c r="AN3658" s="48"/>
      <c r="AO3658" s="48"/>
      <c r="AP3658" s="48"/>
      <c r="AQ3658" s="48"/>
      <c r="AR3658" s="48"/>
      <c r="AS3658" s="48"/>
      <c r="AT3658" s="48"/>
      <c r="AU3658" s="48"/>
      <c r="AV3658" s="48"/>
      <c r="AW3658" s="48"/>
      <c r="AX3658" s="48"/>
      <c r="AY3658" s="48"/>
      <c r="AZ3658" s="48"/>
      <c r="BA3658" s="48"/>
      <c r="BB3658" s="48"/>
      <c r="BC3658" s="48"/>
      <c r="BD3658" s="48"/>
    </row>
    <row r="3659" spans="1:56">
      <c r="A3659" s="48"/>
      <c r="B3659" s="48"/>
      <c r="C3659" s="49"/>
      <c r="D3659" s="48"/>
      <c r="E3659" s="48"/>
      <c r="F3659" s="48"/>
      <c r="G3659" s="48"/>
      <c r="H3659" s="48"/>
      <c r="I3659" s="48"/>
      <c r="J3659" s="86"/>
      <c r="K3659" s="86"/>
      <c r="L3659" s="86"/>
      <c r="M3659" s="86"/>
      <c r="N3659" s="86"/>
      <c r="O3659" s="86"/>
      <c r="P3659" s="86"/>
      <c r="Q3659" s="86"/>
      <c r="R3659" s="86"/>
      <c r="S3659" s="86"/>
      <c r="T3659" s="86"/>
      <c r="U3659" s="86"/>
      <c r="V3659" s="48"/>
      <c r="W3659" s="48"/>
      <c r="X3659" s="48"/>
      <c r="Y3659" s="48"/>
      <c r="Z3659" s="48"/>
      <c r="AA3659" s="48"/>
      <c r="AB3659" s="48"/>
      <c r="AC3659" s="48"/>
      <c r="AD3659" s="48"/>
      <c r="AE3659" s="48"/>
      <c r="AF3659" s="48"/>
      <c r="AG3659" s="48"/>
      <c r="AH3659" s="48"/>
      <c r="AI3659" s="48"/>
      <c r="AJ3659" s="48"/>
      <c r="AK3659" s="48"/>
      <c r="AL3659" s="48"/>
      <c r="AM3659" s="48"/>
      <c r="AN3659" s="48"/>
      <c r="AO3659" s="48"/>
      <c r="AP3659" s="48"/>
      <c r="AQ3659" s="48"/>
      <c r="AR3659" s="48"/>
      <c r="AS3659" s="48"/>
      <c r="AT3659" s="48"/>
      <c r="AU3659" s="48"/>
      <c r="AV3659" s="48"/>
      <c r="AW3659" s="48"/>
      <c r="AX3659" s="48"/>
      <c r="AY3659" s="48"/>
      <c r="AZ3659" s="48"/>
      <c r="BA3659" s="48"/>
      <c r="BB3659" s="48"/>
      <c r="BC3659" s="48"/>
      <c r="BD3659" s="48"/>
    </row>
    <row r="3660" spans="1:56">
      <c r="A3660" s="48"/>
      <c r="B3660" s="48"/>
      <c r="C3660" s="49"/>
      <c r="D3660" s="48"/>
      <c r="E3660" s="48"/>
      <c r="F3660" s="48"/>
      <c r="G3660" s="48"/>
      <c r="H3660" s="48"/>
      <c r="I3660" s="48"/>
      <c r="J3660" s="86"/>
      <c r="K3660" s="86"/>
      <c r="L3660" s="86"/>
      <c r="M3660" s="86"/>
      <c r="N3660" s="86"/>
      <c r="O3660" s="86"/>
      <c r="P3660" s="86"/>
      <c r="Q3660" s="86"/>
      <c r="R3660" s="86"/>
      <c r="S3660" s="86"/>
      <c r="T3660" s="86"/>
      <c r="U3660" s="86"/>
      <c r="V3660" s="48"/>
      <c r="W3660" s="48"/>
      <c r="X3660" s="48"/>
      <c r="Y3660" s="48"/>
      <c r="Z3660" s="48"/>
      <c r="AA3660" s="48"/>
      <c r="AB3660" s="48"/>
      <c r="AC3660" s="48"/>
      <c r="AD3660" s="48"/>
      <c r="AE3660" s="48"/>
      <c r="AF3660" s="48"/>
      <c r="AG3660" s="48"/>
      <c r="AH3660" s="48"/>
      <c r="AI3660" s="48"/>
      <c r="AJ3660" s="48"/>
      <c r="AK3660" s="48"/>
      <c r="AL3660" s="48"/>
      <c r="AM3660" s="48"/>
      <c r="AN3660" s="48"/>
      <c r="AO3660" s="48"/>
      <c r="AP3660" s="48"/>
      <c r="AQ3660" s="48"/>
      <c r="AR3660" s="48"/>
      <c r="AS3660" s="48"/>
      <c r="AT3660" s="48"/>
      <c r="AU3660" s="48"/>
      <c r="AV3660" s="48"/>
      <c r="AW3660" s="48"/>
      <c r="AX3660" s="48"/>
      <c r="AY3660" s="48"/>
      <c r="AZ3660" s="48"/>
      <c r="BA3660" s="48"/>
      <c r="BB3660" s="48"/>
      <c r="BC3660" s="48"/>
      <c r="BD3660" s="48"/>
    </row>
    <row r="3661" spans="1:56">
      <c r="A3661" s="48"/>
      <c r="B3661" s="48"/>
      <c r="C3661" s="49"/>
      <c r="D3661" s="48"/>
      <c r="E3661" s="48"/>
      <c r="F3661" s="48"/>
      <c r="G3661" s="48"/>
      <c r="H3661" s="48"/>
      <c r="I3661" s="48"/>
      <c r="J3661" s="86"/>
      <c r="K3661" s="86"/>
      <c r="L3661" s="86"/>
      <c r="M3661" s="86"/>
      <c r="N3661" s="86"/>
      <c r="O3661" s="86"/>
      <c r="P3661" s="86"/>
      <c r="Q3661" s="86"/>
      <c r="R3661" s="86"/>
      <c r="S3661" s="86"/>
      <c r="T3661" s="86"/>
      <c r="U3661" s="86"/>
      <c r="V3661" s="48"/>
      <c r="W3661" s="48"/>
      <c r="X3661" s="48"/>
      <c r="Y3661" s="48"/>
      <c r="Z3661" s="48"/>
      <c r="AA3661" s="48"/>
      <c r="AB3661" s="48"/>
      <c r="AC3661" s="48"/>
      <c r="AD3661" s="48"/>
      <c r="AE3661" s="48"/>
      <c r="AF3661" s="48"/>
      <c r="AG3661" s="48"/>
      <c r="AH3661" s="48"/>
      <c r="AI3661" s="48"/>
      <c r="AJ3661" s="48"/>
      <c r="AK3661" s="48"/>
      <c r="AL3661" s="48"/>
      <c r="AM3661" s="48"/>
      <c r="AN3661" s="48"/>
      <c r="AO3661" s="48"/>
      <c r="AP3661" s="48"/>
      <c r="AQ3661" s="48"/>
      <c r="AR3661" s="48"/>
      <c r="AS3661" s="48"/>
      <c r="AT3661" s="48"/>
      <c r="AU3661" s="48"/>
      <c r="AV3661" s="48"/>
      <c r="AW3661" s="48"/>
      <c r="AX3661" s="48"/>
      <c r="AY3661" s="48"/>
      <c r="AZ3661" s="48"/>
      <c r="BA3661" s="48"/>
      <c r="BB3661" s="48"/>
      <c r="BC3661" s="48"/>
      <c r="BD3661" s="48"/>
    </row>
    <row r="3662" spans="1:56">
      <c r="A3662" s="48"/>
      <c r="B3662" s="48"/>
      <c r="C3662" s="49"/>
      <c r="D3662" s="48"/>
      <c r="E3662" s="48"/>
      <c r="F3662" s="48"/>
      <c r="G3662" s="48"/>
      <c r="H3662" s="48"/>
      <c r="I3662" s="48"/>
      <c r="J3662" s="86"/>
      <c r="K3662" s="86"/>
      <c r="L3662" s="86"/>
      <c r="M3662" s="86"/>
      <c r="N3662" s="86"/>
      <c r="O3662" s="86"/>
      <c r="P3662" s="86"/>
      <c r="Q3662" s="86"/>
      <c r="R3662" s="86"/>
      <c r="S3662" s="86"/>
      <c r="T3662" s="86"/>
      <c r="U3662" s="86"/>
      <c r="V3662" s="48"/>
      <c r="W3662" s="48"/>
      <c r="X3662" s="48"/>
      <c r="Y3662" s="48"/>
      <c r="Z3662" s="48"/>
      <c r="AA3662" s="48"/>
      <c r="AB3662" s="48"/>
      <c r="AC3662" s="48"/>
      <c r="AD3662" s="48"/>
      <c r="AE3662" s="48"/>
      <c r="AF3662" s="48"/>
      <c r="AG3662" s="48"/>
      <c r="AH3662" s="48"/>
      <c r="AI3662" s="48"/>
      <c r="AJ3662" s="48"/>
      <c r="AK3662" s="48"/>
      <c r="AL3662" s="48"/>
      <c r="AM3662" s="48"/>
      <c r="AN3662" s="48"/>
      <c r="AO3662" s="48"/>
      <c r="AP3662" s="48"/>
      <c r="AQ3662" s="48"/>
      <c r="AR3662" s="48"/>
      <c r="AS3662" s="48"/>
      <c r="AT3662" s="48"/>
      <c r="AU3662" s="48"/>
      <c r="AV3662" s="48"/>
      <c r="AW3662" s="48"/>
      <c r="AX3662" s="48"/>
      <c r="AY3662" s="48"/>
      <c r="AZ3662" s="48"/>
      <c r="BA3662" s="48"/>
      <c r="BB3662" s="48"/>
      <c r="BC3662" s="48"/>
      <c r="BD3662" s="48"/>
    </row>
    <row r="3663" spans="1:56">
      <c r="A3663" s="48"/>
      <c r="B3663" s="48"/>
      <c r="C3663" s="49"/>
      <c r="D3663" s="48"/>
      <c r="E3663" s="48"/>
      <c r="F3663" s="48"/>
      <c r="G3663" s="48"/>
      <c r="H3663" s="48"/>
      <c r="I3663" s="48"/>
      <c r="J3663" s="86"/>
      <c r="K3663" s="86"/>
      <c r="L3663" s="86"/>
      <c r="M3663" s="86"/>
      <c r="N3663" s="86"/>
      <c r="O3663" s="86"/>
      <c r="P3663" s="86"/>
      <c r="Q3663" s="86"/>
      <c r="R3663" s="86"/>
      <c r="S3663" s="86"/>
      <c r="T3663" s="86"/>
      <c r="U3663" s="86"/>
      <c r="V3663" s="48"/>
      <c r="W3663" s="48"/>
      <c r="X3663" s="48"/>
      <c r="Y3663" s="48"/>
      <c r="Z3663" s="48"/>
      <c r="AA3663" s="48"/>
      <c r="AB3663" s="48"/>
      <c r="AC3663" s="48"/>
      <c r="AD3663" s="48"/>
      <c r="AE3663" s="48"/>
      <c r="AF3663" s="48"/>
      <c r="AG3663" s="48"/>
      <c r="AH3663" s="48"/>
      <c r="AI3663" s="48"/>
      <c r="AJ3663" s="48"/>
      <c r="AK3663" s="48"/>
      <c r="AL3663" s="48"/>
      <c r="AM3663" s="48"/>
      <c r="AN3663" s="48"/>
      <c r="AO3663" s="48"/>
      <c r="AP3663" s="48"/>
      <c r="AQ3663" s="48"/>
      <c r="AR3663" s="48"/>
      <c r="AS3663" s="48"/>
      <c r="AT3663" s="48"/>
      <c r="AU3663" s="48"/>
      <c r="AV3663" s="48"/>
      <c r="AW3663" s="48"/>
      <c r="AX3663" s="48"/>
      <c r="AY3663" s="48"/>
      <c r="AZ3663" s="48"/>
      <c r="BA3663" s="48"/>
      <c r="BB3663" s="48"/>
      <c r="BC3663" s="48"/>
      <c r="BD3663" s="48"/>
    </row>
    <row r="3664" spans="1:56">
      <c r="A3664" s="48"/>
      <c r="B3664" s="48"/>
      <c r="C3664" s="49"/>
      <c r="D3664" s="48"/>
      <c r="E3664" s="48"/>
      <c r="F3664" s="48"/>
      <c r="G3664" s="48"/>
      <c r="H3664" s="48"/>
      <c r="I3664" s="48"/>
      <c r="J3664" s="86"/>
      <c r="K3664" s="86"/>
      <c r="L3664" s="86"/>
      <c r="M3664" s="86"/>
      <c r="N3664" s="86"/>
      <c r="O3664" s="86"/>
      <c r="P3664" s="86"/>
      <c r="Q3664" s="86"/>
      <c r="R3664" s="86"/>
      <c r="S3664" s="86"/>
      <c r="T3664" s="86"/>
      <c r="U3664" s="86"/>
      <c r="V3664" s="48"/>
      <c r="W3664" s="48"/>
      <c r="X3664" s="48"/>
      <c r="Y3664" s="48"/>
      <c r="Z3664" s="48"/>
      <c r="AA3664" s="48"/>
      <c r="AB3664" s="48"/>
      <c r="AC3664" s="48"/>
      <c r="AD3664" s="48"/>
      <c r="AE3664" s="48"/>
      <c r="AF3664" s="48"/>
      <c r="AG3664" s="48"/>
      <c r="AH3664" s="48"/>
      <c r="AI3664" s="48"/>
      <c r="AJ3664" s="48"/>
      <c r="AK3664" s="48"/>
      <c r="AL3664" s="48"/>
      <c r="AM3664" s="48"/>
      <c r="AN3664" s="48"/>
      <c r="AO3664" s="48"/>
      <c r="AP3664" s="48"/>
      <c r="AQ3664" s="48"/>
      <c r="AR3664" s="48"/>
      <c r="AS3664" s="48"/>
      <c r="AT3664" s="48"/>
      <c r="AU3664" s="48"/>
      <c r="AV3664" s="48"/>
      <c r="AW3664" s="48"/>
      <c r="AX3664" s="48"/>
      <c r="AY3664" s="48"/>
      <c r="AZ3664" s="48"/>
      <c r="BA3664" s="48"/>
      <c r="BB3664" s="48"/>
      <c r="BC3664" s="48"/>
      <c r="BD3664" s="48"/>
    </row>
    <row r="3665" spans="1:56">
      <c r="A3665" s="48"/>
      <c r="B3665" s="48"/>
      <c r="C3665" s="49"/>
      <c r="D3665" s="48"/>
      <c r="E3665" s="48"/>
      <c r="F3665" s="48"/>
      <c r="G3665" s="48"/>
      <c r="H3665" s="48"/>
      <c r="I3665" s="48"/>
      <c r="J3665" s="86"/>
      <c r="K3665" s="86"/>
      <c r="L3665" s="86"/>
      <c r="M3665" s="86"/>
      <c r="N3665" s="86"/>
      <c r="O3665" s="86"/>
      <c r="P3665" s="86"/>
      <c r="Q3665" s="86"/>
      <c r="R3665" s="86"/>
      <c r="S3665" s="86"/>
      <c r="T3665" s="86"/>
      <c r="U3665" s="86"/>
      <c r="V3665" s="48"/>
      <c r="W3665" s="48"/>
      <c r="X3665" s="48"/>
      <c r="Y3665" s="48"/>
      <c r="Z3665" s="48"/>
      <c r="AA3665" s="48"/>
      <c r="AB3665" s="48"/>
      <c r="AC3665" s="48"/>
      <c r="AD3665" s="48"/>
      <c r="AE3665" s="48"/>
      <c r="AF3665" s="48"/>
      <c r="AG3665" s="48"/>
      <c r="AH3665" s="48"/>
      <c r="AI3665" s="48"/>
      <c r="AJ3665" s="48"/>
      <c r="AK3665" s="48"/>
      <c r="AL3665" s="48"/>
      <c r="AM3665" s="48"/>
      <c r="AN3665" s="48"/>
      <c r="AO3665" s="48"/>
      <c r="AP3665" s="48"/>
      <c r="AQ3665" s="48"/>
      <c r="AR3665" s="48"/>
      <c r="AS3665" s="48"/>
      <c r="AT3665" s="48"/>
      <c r="AU3665" s="48"/>
      <c r="AV3665" s="48"/>
      <c r="AW3665" s="48"/>
      <c r="AX3665" s="48"/>
      <c r="AY3665" s="48"/>
      <c r="AZ3665" s="48"/>
      <c r="BA3665" s="48"/>
      <c r="BB3665" s="48"/>
      <c r="BC3665" s="48"/>
      <c r="BD3665" s="48"/>
    </row>
    <row r="3666" spans="1:56">
      <c r="A3666" s="48"/>
      <c r="B3666" s="48"/>
      <c r="C3666" s="49"/>
      <c r="D3666" s="48"/>
      <c r="E3666" s="48"/>
      <c r="F3666" s="48"/>
      <c r="G3666" s="48"/>
      <c r="H3666" s="48"/>
      <c r="I3666" s="48"/>
      <c r="J3666" s="86"/>
      <c r="K3666" s="86"/>
      <c r="L3666" s="86"/>
      <c r="M3666" s="86"/>
      <c r="N3666" s="86"/>
      <c r="O3666" s="86"/>
      <c r="P3666" s="86"/>
      <c r="Q3666" s="86"/>
      <c r="R3666" s="86"/>
      <c r="S3666" s="86"/>
      <c r="T3666" s="86"/>
      <c r="U3666" s="86"/>
      <c r="V3666" s="48"/>
      <c r="W3666" s="48"/>
      <c r="X3666" s="48"/>
      <c r="Y3666" s="48"/>
      <c r="Z3666" s="48"/>
      <c r="AA3666" s="48"/>
      <c r="AB3666" s="48"/>
      <c r="AC3666" s="48"/>
      <c r="AD3666" s="48"/>
      <c r="AE3666" s="48"/>
      <c r="AF3666" s="48"/>
      <c r="AG3666" s="48"/>
      <c r="AH3666" s="48"/>
      <c r="AI3666" s="48"/>
      <c r="AJ3666" s="48"/>
      <c r="AK3666" s="48"/>
      <c r="AL3666" s="48"/>
      <c r="AM3666" s="48"/>
      <c r="AN3666" s="48"/>
      <c r="AO3666" s="48"/>
      <c r="AP3666" s="48"/>
      <c r="AQ3666" s="48"/>
      <c r="AR3666" s="48"/>
      <c r="AS3666" s="48"/>
      <c r="AT3666" s="48"/>
      <c r="AU3666" s="48"/>
      <c r="AV3666" s="48"/>
      <c r="AW3666" s="48"/>
      <c r="AX3666" s="48"/>
      <c r="AY3666" s="48"/>
      <c r="AZ3666" s="48"/>
      <c r="BA3666" s="48"/>
      <c r="BB3666" s="48"/>
      <c r="BC3666" s="48"/>
      <c r="BD3666" s="48"/>
    </row>
    <row r="3667" spans="1:56">
      <c r="A3667" s="48"/>
      <c r="B3667" s="48"/>
      <c r="C3667" s="49"/>
      <c r="D3667" s="48"/>
      <c r="E3667" s="48"/>
      <c r="F3667" s="48"/>
      <c r="G3667" s="48"/>
      <c r="H3667" s="48"/>
      <c r="I3667" s="48"/>
      <c r="J3667" s="86"/>
      <c r="K3667" s="86"/>
      <c r="L3667" s="86"/>
      <c r="M3667" s="86"/>
      <c r="N3667" s="86"/>
      <c r="O3667" s="86"/>
      <c r="P3667" s="86"/>
      <c r="Q3667" s="86"/>
      <c r="R3667" s="86"/>
      <c r="S3667" s="86"/>
      <c r="T3667" s="86"/>
      <c r="U3667" s="86"/>
      <c r="V3667" s="48"/>
      <c r="W3667" s="48"/>
      <c r="X3667" s="48"/>
      <c r="Y3667" s="48"/>
      <c r="Z3667" s="48"/>
      <c r="AA3667" s="48"/>
      <c r="AB3667" s="48"/>
      <c r="AC3667" s="48"/>
      <c r="AD3667" s="48"/>
      <c r="AE3667" s="48"/>
      <c r="AF3667" s="48"/>
      <c r="AG3667" s="48"/>
      <c r="AH3667" s="48"/>
      <c r="AI3667" s="48"/>
      <c r="AJ3667" s="48"/>
      <c r="AK3667" s="48"/>
      <c r="AL3667" s="48"/>
      <c r="AM3667" s="48"/>
      <c r="AN3667" s="48"/>
      <c r="AO3667" s="48"/>
      <c r="AP3667" s="48"/>
      <c r="AQ3667" s="48"/>
      <c r="AR3667" s="48"/>
      <c r="AS3667" s="48"/>
      <c r="AT3667" s="48"/>
      <c r="AU3667" s="48"/>
      <c r="AV3667" s="48"/>
      <c r="AW3667" s="48"/>
      <c r="AX3667" s="48"/>
      <c r="AY3667" s="48"/>
      <c r="AZ3667" s="48"/>
      <c r="BA3667" s="48"/>
      <c r="BB3667" s="48"/>
      <c r="BC3667" s="48"/>
      <c r="BD3667" s="48"/>
    </row>
    <row r="3668" spans="1:56">
      <c r="A3668" s="48"/>
      <c r="B3668" s="48"/>
      <c r="C3668" s="49"/>
      <c r="D3668" s="48"/>
      <c r="E3668" s="48"/>
      <c r="F3668" s="48"/>
      <c r="G3668" s="48"/>
      <c r="H3668" s="48"/>
      <c r="I3668" s="48"/>
      <c r="J3668" s="86"/>
      <c r="K3668" s="86"/>
      <c r="L3668" s="86"/>
      <c r="M3668" s="86"/>
      <c r="N3668" s="86"/>
      <c r="O3668" s="86"/>
      <c r="P3668" s="86"/>
      <c r="Q3668" s="86"/>
      <c r="R3668" s="86"/>
      <c r="S3668" s="86"/>
      <c r="T3668" s="86"/>
      <c r="U3668" s="86"/>
      <c r="V3668" s="48"/>
      <c r="W3668" s="48"/>
      <c r="X3668" s="48"/>
      <c r="Y3668" s="48"/>
      <c r="Z3668" s="48"/>
      <c r="AA3668" s="48"/>
      <c r="AB3668" s="48"/>
      <c r="AC3668" s="48"/>
      <c r="AD3668" s="48"/>
      <c r="AE3668" s="48"/>
      <c r="AF3668" s="48"/>
      <c r="AG3668" s="48"/>
      <c r="AH3668" s="48"/>
      <c r="AI3668" s="48"/>
      <c r="AJ3668" s="48"/>
      <c r="AK3668" s="48"/>
      <c r="AL3668" s="48"/>
      <c r="AM3668" s="48"/>
      <c r="AN3668" s="48"/>
      <c r="AO3668" s="48"/>
      <c r="AP3668" s="48"/>
      <c r="AQ3668" s="48"/>
      <c r="AR3668" s="48"/>
      <c r="AS3668" s="48"/>
      <c r="AT3668" s="48"/>
      <c r="AU3668" s="48"/>
      <c r="AV3668" s="48"/>
      <c r="AW3668" s="48"/>
      <c r="AX3668" s="48"/>
      <c r="AY3668" s="48"/>
      <c r="AZ3668" s="48"/>
      <c r="BA3668" s="48"/>
      <c r="BB3668" s="48"/>
      <c r="BC3668" s="48"/>
      <c r="BD3668" s="48"/>
    </row>
    <row r="3669" spans="1:56">
      <c r="A3669" s="48"/>
      <c r="B3669" s="48"/>
      <c r="C3669" s="49"/>
      <c r="D3669" s="48"/>
      <c r="E3669" s="48"/>
      <c r="F3669" s="48"/>
      <c r="G3669" s="48"/>
      <c r="H3669" s="48"/>
      <c r="I3669" s="48"/>
      <c r="J3669" s="86"/>
      <c r="K3669" s="86"/>
      <c r="L3669" s="86"/>
      <c r="M3669" s="86"/>
      <c r="N3669" s="86"/>
      <c r="O3669" s="86"/>
      <c r="P3669" s="86"/>
      <c r="Q3669" s="86"/>
      <c r="R3669" s="86"/>
      <c r="S3669" s="86"/>
      <c r="T3669" s="86"/>
      <c r="U3669" s="86"/>
      <c r="V3669" s="48"/>
      <c r="W3669" s="48"/>
      <c r="X3669" s="48"/>
      <c r="Y3669" s="48"/>
      <c r="Z3669" s="48"/>
      <c r="AA3669" s="48"/>
      <c r="AB3669" s="48"/>
      <c r="AC3669" s="48"/>
      <c r="AD3669" s="48"/>
      <c r="AE3669" s="48"/>
      <c r="AF3669" s="48"/>
      <c r="AG3669" s="48"/>
      <c r="AH3669" s="48"/>
      <c r="AI3669" s="48"/>
      <c r="AJ3669" s="48"/>
      <c r="AK3669" s="48"/>
      <c r="AL3669" s="48"/>
      <c r="AM3669" s="48"/>
      <c r="AN3669" s="48"/>
      <c r="AO3669" s="48"/>
      <c r="AP3669" s="48"/>
      <c r="AQ3669" s="48"/>
      <c r="AR3669" s="48"/>
      <c r="AS3669" s="48"/>
      <c r="AT3669" s="48"/>
      <c r="AU3669" s="48"/>
      <c r="AV3669" s="48"/>
      <c r="AW3669" s="48"/>
      <c r="AX3669" s="48"/>
      <c r="AY3669" s="48"/>
      <c r="AZ3669" s="48"/>
      <c r="BA3669" s="48"/>
      <c r="BB3669" s="48"/>
      <c r="BC3669" s="48"/>
      <c r="BD3669" s="48"/>
    </row>
    <row r="3670" spans="1:56">
      <c r="A3670" s="48"/>
      <c r="B3670" s="48"/>
      <c r="C3670" s="49"/>
      <c r="D3670" s="48"/>
      <c r="E3670" s="48"/>
      <c r="F3670" s="48"/>
      <c r="G3670" s="48"/>
      <c r="H3670" s="48"/>
      <c r="I3670" s="48"/>
      <c r="J3670" s="86"/>
      <c r="K3670" s="86"/>
      <c r="L3670" s="86"/>
      <c r="M3670" s="86"/>
      <c r="N3670" s="86"/>
      <c r="O3670" s="86"/>
      <c r="P3670" s="86"/>
      <c r="Q3670" s="86"/>
      <c r="R3670" s="86"/>
      <c r="S3670" s="86"/>
      <c r="T3670" s="86"/>
      <c r="U3670" s="86"/>
      <c r="V3670" s="48"/>
      <c r="W3670" s="48"/>
      <c r="X3670" s="48"/>
      <c r="Y3670" s="48"/>
      <c r="Z3670" s="48"/>
      <c r="AA3670" s="48"/>
      <c r="AB3670" s="48"/>
      <c r="AC3670" s="48"/>
      <c r="AD3670" s="48"/>
      <c r="AE3670" s="48"/>
      <c r="AF3670" s="48"/>
      <c r="AG3670" s="48"/>
      <c r="AH3670" s="48"/>
      <c r="AI3670" s="48"/>
      <c r="AJ3670" s="48"/>
      <c r="AK3670" s="48"/>
      <c r="AL3670" s="48"/>
      <c r="AM3670" s="48"/>
      <c r="AN3670" s="48"/>
      <c r="AO3670" s="48"/>
      <c r="AP3670" s="48"/>
      <c r="AQ3670" s="48"/>
      <c r="AR3670" s="48"/>
      <c r="AS3670" s="48"/>
      <c r="AT3670" s="48"/>
      <c r="AU3670" s="48"/>
      <c r="AV3670" s="48"/>
      <c r="AW3670" s="48"/>
      <c r="AX3670" s="48"/>
      <c r="AY3670" s="48"/>
      <c r="AZ3670" s="48"/>
      <c r="BA3670" s="48"/>
      <c r="BB3670" s="48"/>
      <c r="BC3670" s="48"/>
      <c r="BD3670" s="48"/>
    </row>
    <row r="3671" spans="1:56">
      <c r="A3671" s="48"/>
      <c r="B3671" s="48"/>
      <c r="C3671" s="49"/>
      <c r="D3671" s="48"/>
      <c r="E3671" s="48"/>
      <c r="F3671" s="48"/>
      <c r="G3671" s="48"/>
      <c r="H3671" s="48"/>
      <c r="I3671" s="48"/>
      <c r="J3671" s="86"/>
      <c r="K3671" s="86"/>
      <c r="L3671" s="86"/>
      <c r="M3671" s="86"/>
      <c r="N3671" s="86"/>
      <c r="O3671" s="86"/>
      <c r="P3671" s="86"/>
      <c r="Q3671" s="86"/>
      <c r="R3671" s="86"/>
      <c r="S3671" s="86"/>
      <c r="T3671" s="86"/>
      <c r="U3671" s="86"/>
      <c r="V3671" s="48"/>
      <c r="W3671" s="48"/>
      <c r="X3671" s="48"/>
      <c r="Y3671" s="48"/>
      <c r="Z3671" s="48"/>
      <c r="AA3671" s="48"/>
      <c r="AB3671" s="48"/>
      <c r="AC3671" s="48"/>
      <c r="AD3671" s="48"/>
      <c r="AE3671" s="48"/>
      <c r="AF3671" s="48"/>
      <c r="AG3671" s="48"/>
      <c r="AH3671" s="48"/>
      <c r="AI3671" s="48"/>
      <c r="AJ3671" s="48"/>
      <c r="AK3671" s="48"/>
      <c r="AL3671" s="48"/>
      <c r="AM3671" s="48"/>
      <c r="AN3671" s="48"/>
      <c r="AO3671" s="48"/>
      <c r="AP3671" s="48"/>
      <c r="AQ3671" s="48"/>
      <c r="AR3671" s="48"/>
      <c r="AS3671" s="48"/>
      <c r="AT3671" s="48"/>
      <c r="AU3671" s="48"/>
      <c r="AV3671" s="48"/>
      <c r="AW3671" s="48"/>
      <c r="AX3671" s="48"/>
      <c r="AY3671" s="48"/>
      <c r="AZ3671" s="48"/>
      <c r="BA3671" s="48"/>
      <c r="BB3671" s="48"/>
      <c r="BC3671" s="48"/>
      <c r="BD3671" s="48"/>
    </row>
    <row r="3672" spans="1:56">
      <c r="A3672" s="48"/>
      <c r="B3672" s="48"/>
      <c r="C3672" s="49"/>
      <c r="D3672" s="48"/>
      <c r="E3672" s="48"/>
      <c r="F3672" s="48"/>
      <c r="G3672" s="48"/>
      <c r="H3672" s="48"/>
      <c r="I3672" s="48"/>
      <c r="J3672" s="86"/>
      <c r="K3672" s="86"/>
      <c r="L3672" s="86"/>
      <c r="M3672" s="86"/>
      <c r="N3672" s="86"/>
      <c r="O3672" s="86"/>
      <c r="P3672" s="86"/>
      <c r="Q3672" s="86"/>
      <c r="R3672" s="86"/>
      <c r="S3672" s="86"/>
      <c r="T3672" s="86"/>
      <c r="U3672" s="86"/>
      <c r="V3672" s="48"/>
      <c r="W3672" s="48"/>
      <c r="X3672" s="48"/>
      <c r="Y3672" s="48"/>
      <c r="Z3672" s="48"/>
      <c r="AA3672" s="48"/>
      <c r="AB3672" s="48"/>
      <c r="AC3672" s="48"/>
      <c r="AD3672" s="48"/>
      <c r="AE3672" s="48"/>
      <c r="AF3672" s="48"/>
      <c r="AG3672" s="48"/>
      <c r="AH3672" s="48"/>
      <c r="AI3672" s="48"/>
      <c r="AJ3672" s="48"/>
      <c r="AK3672" s="48"/>
      <c r="AL3672" s="48"/>
      <c r="AM3672" s="48"/>
      <c r="AN3672" s="48"/>
      <c r="AO3672" s="48"/>
      <c r="AP3672" s="48"/>
      <c r="AQ3672" s="48"/>
      <c r="AR3672" s="48"/>
      <c r="AS3672" s="48"/>
      <c r="AT3672" s="48"/>
      <c r="AU3672" s="48"/>
      <c r="AV3672" s="48"/>
      <c r="AW3672" s="48"/>
      <c r="AX3672" s="48"/>
      <c r="AY3672" s="48"/>
      <c r="AZ3672" s="48"/>
      <c r="BA3672" s="48"/>
      <c r="BB3672" s="48"/>
      <c r="BC3672" s="48"/>
      <c r="BD3672" s="48"/>
    </row>
    <row r="3673" spans="1:56">
      <c r="A3673" s="48"/>
      <c r="B3673" s="48"/>
      <c r="C3673" s="49"/>
      <c r="D3673" s="48"/>
      <c r="E3673" s="48"/>
      <c r="F3673" s="48"/>
      <c r="G3673" s="48"/>
      <c r="H3673" s="48"/>
      <c r="I3673" s="48"/>
      <c r="J3673" s="86"/>
      <c r="K3673" s="86"/>
      <c r="L3673" s="86"/>
      <c r="M3673" s="86"/>
      <c r="N3673" s="86"/>
      <c r="O3673" s="86"/>
      <c r="P3673" s="86"/>
      <c r="Q3673" s="86"/>
      <c r="R3673" s="86"/>
      <c r="S3673" s="86"/>
      <c r="T3673" s="86"/>
      <c r="U3673" s="86"/>
      <c r="V3673" s="48"/>
      <c r="W3673" s="48"/>
      <c r="X3673" s="48"/>
      <c r="Y3673" s="48"/>
      <c r="Z3673" s="48"/>
      <c r="AA3673" s="48"/>
      <c r="AB3673" s="48"/>
      <c r="AC3673" s="48"/>
      <c r="AD3673" s="48"/>
      <c r="AE3673" s="48"/>
      <c r="AF3673" s="48"/>
      <c r="AG3673" s="48"/>
      <c r="AH3673" s="48"/>
      <c r="AI3673" s="48"/>
      <c r="AJ3673" s="48"/>
      <c r="AK3673" s="48"/>
      <c r="AL3673" s="48"/>
      <c r="AM3673" s="48"/>
      <c r="AN3673" s="48"/>
      <c r="AO3673" s="48"/>
      <c r="AP3673" s="48"/>
      <c r="AQ3673" s="48"/>
      <c r="AR3673" s="48"/>
      <c r="AS3673" s="48"/>
      <c r="AT3673" s="48"/>
      <c r="AU3673" s="48"/>
      <c r="AV3673" s="48"/>
      <c r="AW3673" s="48"/>
      <c r="AX3673" s="48"/>
      <c r="AY3673" s="48"/>
      <c r="AZ3673" s="48"/>
      <c r="BA3673" s="48"/>
      <c r="BB3673" s="48"/>
      <c r="BC3673" s="48"/>
      <c r="BD3673" s="48"/>
    </row>
    <row r="3674" spans="1:56">
      <c r="A3674" s="48"/>
      <c r="B3674" s="48"/>
      <c r="C3674" s="49"/>
      <c r="D3674" s="48"/>
      <c r="E3674" s="48"/>
      <c r="F3674" s="48"/>
      <c r="G3674" s="48"/>
      <c r="H3674" s="48"/>
      <c r="I3674" s="48"/>
      <c r="J3674" s="86"/>
      <c r="K3674" s="86"/>
      <c r="L3674" s="86"/>
      <c r="M3674" s="86"/>
      <c r="N3674" s="86"/>
      <c r="O3674" s="86"/>
      <c r="P3674" s="86"/>
      <c r="Q3674" s="86"/>
      <c r="R3674" s="86"/>
      <c r="S3674" s="86"/>
      <c r="T3674" s="86"/>
      <c r="U3674" s="86"/>
      <c r="V3674" s="48"/>
      <c r="W3674" s="48"/>
      <c r="X3674" s="48"/>
      <c r="Y3674" s="48"/>
      <c r="Z3674" s="48"/>
      <c r="AA3674" s="48"/>
      <c r="AB3674" s="48"/>
      <c r="AC3674" s="48"/>
      <c r="AD3674" s="48"/>
      <c r="AE3674" s="48"/>
      <c r="AF3674" s="48"/>
      <c r="AG3674" s="48"/>
      <c r="AH3674" s="48"/>
      <c r="AI3674" s="48"/>
      <c r="AJ3674" s="48"/>
      <c r="AK3674" s="48"/>
      <c r="AL3674" s="48"/>
      <c r="AM3674" s="48"/>
      <c r="AN3674" s="48"/>
      <c r="AO3674" s="48"/>
      <c r="AP3674" s="48"/>
      <c r="AQ3674" s="48"/>
      <c r="AR3674" s="48"/>
      <c r="AS3674" s="48"/>
      <c r="AT3674" s="48"/>
      <c r="AU3674" s="48"/>
      <c r="AV3674" s="48"/>
      <c r="AW3674" s="48"/>
      <c r="AX3674" s="48"/>
      <c r="AY3674" s="48"/>
      <c r="AZ3674" s="48"/>
      <c r="BA3674" s="48"/>
      <c r="BB3674" s="48"/>
      <c r="BC3674" s="48"/>
      <c r="BD3674" s="48"/>
    </row>
    <row r="3675" spans="1:56">
      <c r="A3675" s="48"/>
      <c r="B3675" s="48"/>
      <c r="C3675" s="49"/>
      <c r="D3675" s="48"/>
      <c r="E3675" s="48"/>
      <c r="F3675" s="48"/>
      <c r="G3675" s="48"/>
      <c r="H3675" s="48"/>
      <c r="I3675" s="48"/>
      <c r="J3675" s="86"/>
      <c r="K3675" s="86"/>
      <c r="L3675" s="86"/>
      <c r="M3675" s="86"/>
      <c r="N3675" s="86"/>
      <c r="O3675" s="86"/>
      <c r="P3675" s="86"/>
      <c r="Q3675" s="86"/>
      <c r="R3675" s="86"/>
      <c r="S3675" s="86"/>
      <c r="T3675" s="86"/>
      <c r="U3675" s="86"/>
      <c r="V3675" s="48"/>
      <c r="W3675" s="48"/>
      <c r="X3675" s="48"/>
      <c r="Y3675" s="48"/>
      <c r="Z3675" s="48"/>
      <c r="AA3675" s="48"/>
      <c r="AB3675" s="48"/>
      <c r="AC3675" s="48"/>
      <c r="AD3675" s="48"/>
      <c r="AE3675" s="48"/>
      <c r="AF3675" s="48"/>
      <c r="AG3675" s="48"/>
      <c r="AH3675" s="48"/>
      <c r="AI3675" s="48"/>
      <c r="AJ3675" s="48"/>
      <c r="AK3675" s="48"/>
      <c r="AL3675" s="48"/>
      <c r="AM3675" s="48"/>
      <c r="AN3675" s="48"/>
      <c r="AO3675" s="48"/>
      <c r="AP3675" s="48"/>
      <c r="AQ3675" s="48"/>
      <c r="AR3675" s="48"/>
      <c r="AS3675" s="48"/>
      <c r="AT3675" s="48"/>
      <c r="AU3675" s="48"/>
      <c r="AV3675" s="48"/>
      <c r="AW3675" s="48"/>
      <c r="AX3675" s="48"/>
      <c r="AY3675" s="48"/>
      <c r="AZ3675" s="48"/>
      <c r="BA3675" s="48"/>
      <c r="BB3675" s="48"/>
      <c r="BC3675" s="48"/>
      <c r="BD3675" s="48"/>
    </row>
    <row r="3676" spans="1:56">
      <c r="A3676" s="48"/>
      <c r="B3676" s="48"/>
      <c r="C3676" s="49"/>
      <c r="D3676" s="48"/>
      <c r="E3676" s="48"/>
      <c r="F3676" s="48"/>
      <c r="G3676" s="48"/>
      <c r="H3676" s="48"/>
      <c r="I3676" s="48"/>
      <c r="J3676" s="86"/>
      <c r="K3676" s="86"/>
      <c r="L3676" s="86"/>
      <c r="M3676" s="86"/>
      <c r="N3676" s="86"/>
      <c r="O3676" s="86"/>
      <c r="P3676" s="86"/>
      <c r="Q3676" s="86"/>
      <c r="R3676" s="86"/>
      <c r="S3676" s="86"/>
      <c r="T3676" s="86"/>
      <c r="U3676" s="86"/>
      <c r="V3676" s="48"/>
      <c r="W3676" s="48"/>
      <c r="X3676" s="48"/>
      <c r="Y3676" s="48"/>
      <c r="Z3676" s="48"/>
      <c r="AA3676" s="48"/>
      <c r="AB3676" s="48"/>
      <c r="AC3676" s="48"/>
      <c r="AD3676" s="48"/>
      <c r="AE3676" s="48"/>
      <c r="AF3676" s="48"/>
      <c r="AG3676" s="48"/>
      <c r="AH3676" s="48"/>
      <c r="AI3676" s="48"/>
      <c r="AJ3676" s="48"/>
      <c r="AK3676" s="48"/>
      <c r="AL3676" s="48"/>
      <c r="AM3676" s="48"/>
      <c r="AN3676" s="48"/>
      <c r="AO3676" s="48"/>
      <c r="AP3676" s="48"/>
      <c r="AQ3676" s="48"/>
      <c r="AR3676" s="48"/>
      <c r="AS3676" s="48"/>
      <c r="AT3676" s="48"/>
      <c r="AU3676" s="48"/>
      <c r="AV3676" s="48"/>
      <c r="AW3676" s="48"/>
      <c r="AX3676" s="48"/>
      <c r="AY3676" s="48"/>
      <c r="AZ3676" s="48"/>
      <c r="BA3676" s="48"/>
      <c r="BB3676" s="48"/>
      <c r="BC3676" s="48"/>
      <c r="BD3676" s="48"/>
    </row>
    <row r="3677" spans="1:56">
      <c r="A3677" s="48"/>
      <c r="B3677" s="48"/>
      <c r="C3677" s="49"/>
      <c r="D3677" s="48"/>
      <c r="E3677" s="48"/>
      <c r="F3677" s="48"/>
      <c r="G3677" s="48"/>
      <c r="H3677" s="48"/>
      <c r="I3677" s="48"/>
      <c r="J3677" s="86"/>
      <c r="K3677" s="86"/>
      <c r="L3677" s="86"/>
      <c r="M3677" s="86"/>
      <c r="N3677" s="86"/>
      <c r="O3677" s="86"/>
      <c r="P3677" s="86"/>
      <c r="Q3677" s="86"/>
      <c r="R3677" s="86"/>
      <c r="S3677" s="86"/>
      <c r="T3677" s="86"/>
      <c r="U3677" s="86"/>
      <c r="V3677" s="48"/>
      <c r="W3677" s="48"/>
      <c r="X3677" s="48"/>
      <c r="Y3677" s="48"/>
      <c r="Z3677" s="48"/>
      <c r="AA3677" s="48"/>
      <c r="AB3677" s="48"/>
      <c r="AC3677" s="48"/>
      <c r="AD3677" s="48"/>
      <c r="AE3677" s="48"/>
      <c r="AF3677" s="48"/>
      <c r="AG3677" s="48"/>
      <c r="AH3677" s="48"/>
      <c r="AI3677" s="48"/>
      <c r="AJ3677" s="48"/>
      <c r="AK3677" s="48"/>
      <c r="AL3677" s="48"/>
      <c r="AM3677" s="48"/>
      <c r="AN3677" s="48"/>
      <c r="AO3677" s="48"/>
      <c r="AP3677" s="48"/>
      <c r="AQ3677" s="48"/>
      <c r="AR3677" s="48"/>
      <c r="AS3677" s="48"/>
      <c r="AT3677" s="48"/>
      <c r="AU3677" s="48"/>
      <c r="AV3677" s="48"/>
      <c r="AW3677" s="48"/>
      <c r="AX3677" s="48"/>
      <c r="AY3677" s="48"/>
      <c r="AZ3677" s="48"/>
      <c r="BA3677" s="48"/>
      <c r="BB3677" s="48"/>
      <c r="BC3677" s="48"/>
      <c r="BD3677" s="48"/>
    </row>
    <row r="3678" spans="1:56">
      <c r="A3678" s="48"/>
      <c r="B3678" s="48"/>
      <c r="C3678" s="49"/>
      <c r="D3678" s="48"/>
      <c r="E3678" s="48"/>
      <c r="F3678" s="48"/>
      <c r="G3678" s="48"/>
      <c r="H3678" s="48"/>
      <c r="I3678" s="48"/>
      <c r="J3678" s="86"/>
      <c r="K3678" s="86"/>
      <c r="L3678" s="86"/>
      <c r="M3678" s="86"/>
      <c r="N3678" s="86"/>
      <c r="O3678" s="86"/>
      <c r="P3678" s="86"/>
      <c r="Q3678" s="86"/>
      <c r="R3678" s="86"/>
      <c r="S3678" s="86"/>
      <c r="T3678" s="86"/>
      <c r="U3678" s="86"/>
      <c r="V3678" s="48"/>
      <c r="W3678" s="48"/>
      <c r="X3678" s="48"/>
      <c r="Y3678" s="48"/>
      <c r="Z3678" s="48"/>
      <c r="AA3678" s="48"/>
      <c r="AB3678" s="48"/>
      <c r="AC3678" s="48"/>
      <c r="AD3678" s="48"/>
      <c r="AE3678" s="48"/>
      <c r="AF3678" s="48"/>
      <c r="AG3678" s="48"/>
      <c r="AH3678" s="48"/>
      <c r="AI3678" s="48"/>
      <c r="AJ3678" s="48"/>
      <c r="AK3678" s="48"/>
      <c r="AL3678" s="48"/>
      <c r="AM3678" s="48"/>
      <c r="AN3678" s="48"/>
      <c r="AO3678" s="48"/>
      <c r="AP3678" s="48"/>
      <c r="AQ3678" s="48"/>
      <c r="AR3678" s="48"/>
      <c r="AS3678" s="48"/>
      <c r="AT3678" s="48"/>
      <c r="AU3678" s="48"/>
      <c r="AV3678" s="48"/>
      <c r="AW3678" s="48"/>
      <c r="AX3678" s="48"/>
      <c r="AY3678" s="48"/>
      <c r="AZ3678" s="48"/>
      <c r="BA3678" s="48"/>
      <c r="BB3678" s="48"/>
      <c r="BC3678" s="48"/>
      <c r="BD3678" s="48"/>
    </row>
    <row r="3679" spans="1:56">
      <c r="A3679" s="48"/>
      <c r="B3679" s="48"/>
      <c r="C3679" s="49"/>
      <c r="D3679" s="48"/>
      <c r="E3679" s="48"/>
      <c r="F3679" s="48"/>
      <c r="G3679" s="48"/>
      <c r="H3679" s="48"/>
      <c r="I3679" s="48"/>
      <c r="J3679" s="86"/>
      <c r="K3679" s="86"/>
      <c r="L3679" s="86"/>
      <c r="M3679" s="86"/>
      <c r="N3679" s="86"/>
      <c r="O3679" s="86"/>
      <c r="P3679" s="86"/>
      <c r="Q3679" s="86"/>
      <c r="R3679" s="86"/>
      <c r="S3679" s="86"/>
      <c r="T3679" s="86"/>
      <c r="U3679" s="86"/>
      <c r="V3679" s="48"/>
      <c r="W3679" s="48"/>
      <c r="X3679" s="48"/>
      <c r="Y3679" s="48"/>
      <c r="Z3679" s="48"/>
      <c r="AA3679" s="48"/>
      <c r="AB3679" s="48"/>
      <c r="AC3679" s="48"/>
      <c r="AD3679" s="48"/>
      <c r="AE3679" s="48"/>
      <c r="AF3679" s="48"/>
      <c r="AG3679" s="48"/>
      <c r="AH3679" s="48"/>
      <c r="AI3679" s="48"/>
      <c r="AJ3679" s="48"/>
      <c r="AK3679" s="48"/>
      <c r="AL3679" s="48"/>
      <c r="AM3679" s="48"/>
      <c r="AN3679" s="48"/>
      <c r="AO3679" s="48"/>
      <c r="AP3679" s="48"/>
      <c r="AQ3679" s="48"/>
      <c r="AR3679" s="48"/>
      <c r="AS3679" s="48"/>
      <c r="AT3679" s="48"/>
      <c r="AU3679" s="48"/>
      <c r="AV3679" s="48"/>
      <c r="AW3679" s="48"/>
      <c r="AX3679" s="48"/>
      <c r="AY3679" s="48"/>
      <c r="AZ3679" s="48"/>
      <c r="BA3679" s="48"/>
      <c r="BB3679" s="48"/>
      <c r="BC3679" s="48"/>
      <c r="BD3679" s="48"/>
    </row>
    <row r="3680" spans="1:56">
      <c r="A3680" s="48"/>
      <c r="B3680" s="48"/>
      <c r="C3680" s="49"/>
      <c r="D3680" s="48"/>
      <c r="E3680" s="48"/>
      <c r="F3680" s="48"/>
      <c r="G3680" s="48"/>
      <c r="H3680" s="48"/>
      <c r="I3680" s="48"/>
      <c r="J3680" s="86"/>
      <c r="K3680" s="86"/>
      <c r="L3680" s="86"/>
      <c r="M3680" s="86"/>
      <c r="N3680" s="86"/>
      <c r="O3680" s="86"/>
      <c r="P3680" s="86"/>
      <c r="Q3680" s="86"/>
      <c r="R3680" s="86"/>
      <c r="S3680" s="86"/>
      <c r="T3680" s="86"/>
      <c r="U3680" s="86"/>
      <c r="V3680" s="48"/>
      <c r="W3680" s="48"/>
      <c r="X3680" s="48"/>
      <c r="Y3680" s="48"/>
      <c r="Z3680" s="48"/>
      <c r="AA3680" s="48"/>
      <c r="AB3680" s="48"/>
      <c r="AC3680" s="48"/>
      <c r="AD3680" s="48"/>
      <c r="AE3680" s="48"/>
      <c r="AF3680" s="48"/>
      <c r="AG3680" s="48"/>
      <c r="AH3680" s="48"/>
      <c r="AI3680" s="48"/>
      <c r="AJ3680" s="48"/>
      <c r="AK3680" s="48"/>
      <c r="AL3680" s="48"/>
      <c r="AM3680" s="48"/>
      <c r="AN3680" s="48"/>
      <c r="AO3680" s="48"/>
      <c r="AP3680" s="48"/>
      <c r="AQ3680" s="48"/>
      <c r="AR3680" s="48"/>
      <c r="AS3680" s="48"/>
      <c r="AT3680" s="48"/>
      <c r="AU3680" s="48"/>
      <c r="AV3680" s="48"/>
      <c r="AW3680" s="48"/>
      <c r="AX3680" s="48"/>
      <c r="AY3680" s="48"/>
      <c r="AZ3680" s="48"/>
      <c r="BA3680" s="48"/>
      <c r="BB3680" s="48"/>
      <c r="BC3680" s="48"/>
      <c r="BD3680" s="48"/>
    </row>
    <row r="3681" spans="1:56">
      <c r="A3681" s="48"/>
      <c r="B3681" s="48"/>
      <c r="C3681" s="49"/>
      <c r="D3681" s="48"/>
      <c r="E3681" s="48"/>
      <c r="F3681" s="48"/>
      <c r="G3681" s="48"/>
      <c r="H3681" s="48"/>
      <c r="I3681" s="48"/>
      <c r="J3681" s="86"/>
      <c r="K3681" s="86"/>
      <c r="L3681" s="86"/>
      <c r="M3681" s="86"/>
      <c r="N3681" s="86"/>
      <c r="O3681" s="86"/>
      <c r="P3681" s="86"/>
      <c r="Q3681" s="86"/>
      <c r="R3681" s="86"/>
      <c r="S3681" s="86"/>
      <c r="T3681" s="86"/>
      <c r="U3681" s="86"/>
      <c r="V3681" s="48"/>
      <c r="W3681" s="48"/>
      <c r="X3681" s="48"/>
      <c r="Y3681" s="48"/>
      <c r="Z3681" s="48"/>
      <c r="AA3681" s="48"/>
      <c r="AB3681" s="48"/>
      <c r="AC3681" s="48"/>
      <c r="AD3681" s="48"/>
      <c r="AE3681" s="48"/>
      <c r="AF3681" s="48"/>
      <c r="AG3681" s="48"/>
      <c r="AH3681" s="48"/>
      <c r="AI3681" s="48"/>
      <c r="AJ3681" s="48"/>
      <c r="AK3681" s="48"/>
      <c r="AL3681" s="48"/>
      <c r="AM3681" s="48"/>
      <c r="AN3681" s="48"/>
      <c r="AO3681" s="48"/>
      <c r="AP3681" s="48"/>
      <c r="AQ3681" s="48"/>
      <c r="AR3681" s="48"/>
      <c r="AS3681" s="48"/>
      <c r="AT3681" s="48"/>
      <c r="AU3681" s="48"/>
      <c r="AV3681" s="48"/>
      <c r="AW3681" s="48"/>
      <c r="AX3681" s="48"/>
      <c r="AY3681" s="48"/>
      <c r="AZ3681" s="48"/>
      <c r="BA3681" s="48"/>
      <c r="BB3681" s="48"/>
      <c r="BC3681" s="48"/>
      <c r="BD3681" s="48"/>
    </row>
    <row r="3682" spans="1:56">
      <c r="A3682" s="48"/>
      <c r="B3682" s="48"/>
      <c r="C3682" s="49"/>
      <c r="D3682" s="48"/>
      <c r="E3682" s="48"/>
      <c r="F3682" s="48"/>
      <c r="G3682" s="48"/>
      <c r="H3682" s="48"/>
      <c r="I3682" s="48"/>
      <c r="J3682" s="86"/>
      <c r="K3682" s="86"/>
      <c r="L3682" s="86"/>
      <c r="M3682" s="86"/>
      <c r="N3682" s="86"/>
      <c r="O3682" s="86"/>
      <c r="P3682" s="86"/>
      <c r="Q3682" s="86"/>
      <c r="R3682" s="86"/>
      <c r="S3682" s="86"/>
      <c r="T3682" s="86"/>
      <c r="U3682" s="86"/>
      <c r="V3682" s="48"/>
      <c r="W3682" s="48"/>
      <c r="X3682" s="48"/>
      <c r="Y3682" s="48"/>
      <c r="Z3682" s="48"/>
      <c r="AA3682" s="48"/>
      <c r="AB3682" s="48"/>
      <c r="AC3682" s="48"/>
      <c r="AD3682" s="48"/>
      <c r="AE3682" s="48"/>
      <c r="AF3682" s="48"/>
      <c r="AG3682" s="48"/>
      <c r="AH3682" s="48"/>
      <c r="AI3682" s="48"/>
      <c r="AJ3682" s="48"/>
      <c r="AK3682" s="48"/>
      <c r="AL3682" s="48"/>
      <c r="AM3682" s="48"/>
      <c r="AN3682" s="48"/>
      <c r="AO3682" s="48"/>
      <c r="AP3682" s="48"/>
      <c r="AQ3682" s="48"/>
      <c r="AR3682" s="48"/>
      <c r="AS3682" s="48"/>
      <c r="AT3682" s="48"/>
      <c r="AU3682" s="48"/>
      <c r="AV3682" s="48"/>
      <c r="AW3682" s="48"/>
      <c r="AX3682" s="48"/>
      <c r="AY3682" s="48"/>
      <c r="AZ3682" s="48"/>
      <c r="BA3682" s="48"/>
      <c r="BB3682" s="48"/>
      <c r="BC3682" s="48"/>
      <c r="BD3682" s="48"/>
    </row>
    <row r="3683" spans="1:56">
      <c r="A3683" s="48"/>
      <c r="B3683" s="48"/>
      <c r="C3683" s="49"/>
      <c r="D3683" s="48"/>
      <c r="E3683" s="48"/>
      <c r="F3683" s="48"/>
      <c r="G3683" s="48"/>
      <c r="H3683" s="48"/>
      <c r="I3683" s="48"/>
      <c r="J3683" s="86"/>
      <c r="K3683" s="86"/>
      <c r="L3683" s="86"/>
      <c r="M3683" s="86"/>
      <c r="N3683" s="86"/>
      <c r="O3683" s="86"/>
      <c r="P3683" s="86"/>
      <c r="Q3683" s="86"/>
      <c r="R3683" s="86"/>
      <c r="S3683" s="86"/>
      <c r="T3683" s="86"/>
      <c r="U3683" s="86"/>
      <c r="V3683" s="48"/>
      <c r="W3683" s="48"/>
      <c r="X3683" s="48"/>
      <c r="Y3683" s="48"/>
      <c r="Z3683" s="48"/>
      <c r="AA3683" s="48"/>
      <c r="AB3683" s="48"/>
      <c r="AC3683" s="48"/>
      <c r="AD3683" s="48"/>
      <c r="AE3683" s="48"/>
      <c r="AF3683" s="48"/>
      <c r="AG3683" s="48"/>
      <c r="AH3683" s="48"/>
      <c r="AI3683" s="48"/>
      <c r="AJ3683" s="48"/>
      <c r="AK3683" s="48"/>
      <c r="AL3683" s="48"/>
      <c r="AM3683" s="48"/>
      <c r="AN3683" s="48"/>
      <c r="AO3683" s="48"/>
      <c r="AP3683" s="48"/>
      <c r="AQ3683" s="48"/>
      <c r="AR3683" s="48"/>
      <c r="AS3683" s="48"/>
      <c r="AT3683" s="48"/>
      <c r="AU3683" s="48"/>
      <c r="AV3683" s="48"/>
      <c r="AW3683" s="48"/>
      <c r="AX3683" s="48"/>
      <c r="AY3683" s="48"/>
      <c r="AZ3683" s="48"/>
      <c r="BA3683" s="48"/>
      <c r="BB3683" s="48"/>
      <c r="BC3683" s="48"/>
      <c r="BD3683" s="48"/>
    </row>
    <row r="3684" spans="1:56">
      <c r="A3684" s="48"/>
      <c r="B3684" s="48"/>
      <c r="C3684" s="49"/>
      <c r="D3684" s="48"/>
      <c r="E3684" s="48"/>
      <c r="F3684" s="48"/>
      <c r="G3684" s="48"/>
      <c r="H3684" s="48"/>
      <c r="I3684" s="48"/>
      <c r="J3684" s="86"/>
      <c r="K3684" s="86"/>
      <c r="L3684" s="86"/>
      <c r="M3684" s="86"/>
      <c r="N3684" s="86"/>
      <c r="O3684" s="86"/>
      <c r="P3684" s="86"/>
      <c r="Q3684" s="86"/>
      <c r="R3684" s="86"/>
      <c r="S3684" s="86"/>
      <c r="T3684" s="86"/>
      <c r="U3684" s="86"/>
      <c r="V3684" s="48"/>
      <c r="W3684" s="48"/>
      <c r="X3684" s="48"/>
      <c r="Y3684" s="48"/>
      <c r="Z3684" s="48"/>
      <c r="AA3684" s="48"/>
      <c r="AB3684" s="48"/>
      <c r="AC3684" s="48"/>
      <c r="AD3684" s="48"/>
      <c r="AE3684" s="48"/>
      <c r="AF3684" s="48"/>
      <c r="AG3684" s="48"/>
      <c r="AH3684" s="48"/>
      <c r="AI3684" s="48"/>
      <c r="AJ3684" s="48"/>
      <c r="AK3684" s="48"/>
      <c r="AL3684" s="48"/>
      <c r="AM3684" s="48"/>
      <c r="AN3684" s="48"/>
      <c r="AO3684" s="48"/>
      <c r="AP3684" s="48"/>
      <c r="AQ3684" s="48"/>
      <c r="AR3684" s="48"/>
      <c r="AS3684" s="48"/>
      <c r="AT3684" s="48"/>
      <c r="AU3684" s="48"/>
      <c r="AV3684" s="48"/>
      <c r="AW3684" s="48"/>
      <c r="AX3684" s="48"/>
      <c r="AY3684" s="48"/>
      <c r="AZ3684" s="48"/>
      <c r="BA3684" s="48"/>
      <c r="BB3684" s="48"/>
      <c r="BC3684" s="48"/>
      <c r="BD3684" s="48"/>
    </row>
    <row r="3685" spans="1:56">
      <c r="A3685" s="48"/>
      <c r="B3685" s="48"/>
      <c r="C3685" s="49"/>
      <c r="D3685" s="48"/>
      <c r="E3685" s="48"/>
      <c r="F3685" s="48"/>
      <c r="G3685" s="48"/>
      <c r="H3685" s="48"/>
      <c r="I3685" s="48"/>
      <c r="J3685" s="86"/>
      <c r="K3685" s="86"/>
      <c r="L3685" s="86"/>
      <c r="M3685" s="86"/>
      <c r="N3685" s="86"/>
      <c r="O3685" s="86"/>
      <c r="P3685" s="86"/>
      <c r="Q3685" s="86"/>
      <c r="R3685" s="86"/>
      <c r="S3685" s="86"/>
      <c r="T3685" s="86"/>
      <c r="U3685" s="86"/>
      <c r="V3685" s="48"/>
      <c r="W3685" s="48"/>
      <c r="X3685" s="48"/>
      <c r="Y3685" s="48"/>
      <c r="Z3685" s="48"/>
      <c r="AA3685" s="48"/>
      <c r="AB3685" s="48"/>
      <c r="AC3685" s="48"/>
      <c r="AD3685" s="48"/>
      <c r="AE3685" s="48"/>
      <c r="AF3685" s="48"/>
      <c r="AG3685" s="48"/>
      <c r="AH3685" s="48"/>
      <c r="AI3685" s="48"/>
      <c r="AJ3685" s="48"/>
      <c r="AK3685" s="48"/>
      <c r="AL3685" s="48"/>
      <c r="AM3685" s="48"/>
      <c r="AN3685" s="48"/>
      <c r="AO3685" s="48"/>
      <c r="AP3685" s="48"/>
      <c r="AQ3685" s="48"/>
      <c r="AR3685" s="48"/>
      <c r="AS3685" s="48"/>
      <c r="AT3685" s="48"/>
      <c r="AU3685" s="48"/>
      <c r="AV3685" s="48"/>
      <c r="AW3685" s="48"/>
      <c r="AX3685" s="48"/>
      <c r="AY3685" s="48"/>
      <c r="AZ3685" s="48"/>
      <c r="BA3685" s="48"/>
      <c r="BB3685" s="48"/>
      <c r="BC3685" s="48"/>
      <c r="BD3685" s="48"/>
    </row>
    <row r="3686" spans="1:56">
      <c r="A3686" s="48"/>
      <c r="B3686" s="48"/>
      <c r="C3686" s="49"/>
      <c r="D3686" s="48"/>
      <c r="E3686" s="48"/>
      <c r="F3686" s="48"/>
      <c r="G3686" s="48"/>
      <c r="H3686" s="48"/>
      <c r="I3686" s="48"/>
      <c r="J3686" s="86"/>
      <c r="K3686" s="86"/>
      <c r="L3686" s="86"/>
      <c r="M3686" s="86"/>
      <c r="N3686" s="86"/>
      <c r="O3686" s="86"/>
      <c r="P3686" s="86"/>
      <c r="Q3686" s="86"/>
      <c r="R3686" s="86"/>
      <c r="S3686" s="86"/>
      <c r="T3686" s="86"/>
      <c r="U3686" s="86"/>
      <c r="V3686" s="48"/>
      <c r="W3686" s="48"/>
      <c r="X3686" s="48"/>
      <c r="Y3686" s="48"/>
      <c r="Z3686" s="48"/>
      <c r="AA3686" s="48"/>
      <c r="AB3686" s="48"/>
      <c r="AC3686" s="48"/>
      <c r="AD3686" s="48"/>
      <c r="AE3686" s="48"/>
      <c r="AF3686" s="48"/>
      <c r="AG3686" s="48"/>
      <c r="AH3686" s="48"/>
      <c r="AI3686" s="48"/>
      <c r="AJ3686" s="48"/>
      <c r="AK3686" s="48"/>
      <c r="AL3686" s="48"/>
      <c r="AM3686" s="48"/>
      <c r="AN3686" s="48"/>
      <c r="AO3686" s="48"/>
      <c r="AP3686" s="48"/>
      <c r="AQ3686" s="48"/>
      <c r="AR3686" s="48"/>
      <c r="AS3686" s="48"/>
      <c r="AT3686" s="48"/>
      <c r="AU3686" s="48"/>
      <c r="AV3686" s="48"/>
      <c r="AW3686" s="48"/>
      <c r="AX3686" s="48"/>
      <c r="AY3686" s="48"/>
      <c r="AZ3686" s="48"/>
      <c r="BA3686" s="48"/>
      <c r="BB3686" s="48"/>
      <c r="BC3686" s="48"/>
      <c r="BD3686" s="48"/>
    </row>
    <row r="3687" spans="1:56">
      <c r="A3687" s="48"/>
      <c r="B3687" s="48"/>
      <c r="C3687" s="49"/>
      <c r="D3687" s="48"/>
      <c r="E3687" s="48"/>
      <c r="F3687" s="48"/>
      <c r="G3687" s="48"/>
      <c r="H3687" s="48"/>
      <c r="I3687" s="48"/>
      <c r="J3687" s="86"/>
      <c r="K3687" s="86"/>
      <c r="L3687" s="86"/>
      <c r="M3687" s="86"/>
      <c r="N3687" s="86"/>
      <c r="O3687" s="86"/>
      <c r="P3687" s="86"/>
      <c r="Q3687" s="86"/>
      <c r="R3687" s="86"/>
      <c r="S3687" s="86"/>
      <c r="T3687" s="86"/>
      <c r="U3687" s="86"/>
      <c r="V3687" s="48"/>
      <c r="W3687" s="48"/>
      <c r="X3687" s="48"/>
      <c r="Y3687" s="48"/>
      <c r="Z3687" s="48"/>
      <c r="AA3687" s="48"/>
      <c r="AB3687" s="48"/>
      <c r="AC3687" s="48"/>
      <c r="AD3687" s="48"/>
      <c r="AE3687" s="48"/>
      <c r="AF3687" s="48"/>
      <c r="AG3687" s="48"/>
      <c r="AH3687" s="48"/>
      <c r="AI3687" s="48"/>
      <c r="AJ3687" s="48"/>
      <c r="AK3687" s="48"/>
      <c r="AL3687" s="48"/>
      <c r="AM3687" s="48"/>
      <c r="AN3687" s="48"/>
      <c r="AO3687" s="48"/>
      <c r="AP3687" s="48"/>
      <c r="AQ3687" s="48"/>
      <c r="AR3687" s="48"/>
      <c r="AS3687" s="48"/>
      <c r="AT3687" s="48"/>
      <c r="AU3687" s="48"/>
      <c r="AV3687" s="48"/>
      <c r="AW3687" s="48"/>
      <c r="AX3687" s="48"/>
      <c r="AY3687" s="48"/>
      <c r="AZ3687" s="48"/>
      <c r="BA3687" s="48"/>
      <c r="BB3687" s="48"/>
      <c r="BC3687" s="48"/>
      <c r="BD3687" s="48"/>
    </row>
    <row r="3688" spans="1:56">
      <c r="A3688" s="48"/>
      <c r="B3688" s="48"/>
      <c r="C3688" s="49"/>
      <c r="D3688" s="48"/>
      <c r="E3688" s="48"/>
      <c r="F3688" s="48"/>
      <c r="G3688" s="48"/>
      <c r="H3688" s="48"/>
      <c r="I3688" s="48"/>
      <c r="J3688" s="86"/>
      <c r="K3688" s="86"/>
      <c r="L3688" s="86"/>
      <c r="M3688" s="86"/>
      <c r="N3688" s="86"/>
      <c r="O3688" s="86"/>
      <c r="P3688" s="86"/>
      <c r="Q3688" s="86"/>
      <c r="R3688" s="86"/>
      <c r="S3688" s="86"/>
      <c r="T3688" s="86"/>
      <c r="U3688" s="86"/>
      <c r="V3688" s="48"/>
      <c r="W3688" s="48"/>
      <c r="X3688" s="48"/>
      <c r="Y3688" s="48"/>
      <c r="Z3688" s="48"/>
      <c r="AA3688" s="48"/>
      <c r="AB3688" s="48"/>
      <c r="AC3688" s="48"/>
      <c r="AD3688" s="48"/>
      <c r="AE3688" s="48"/>
      <c r="AF3688" s="48"/>
      <c r="AG3688" s="48"/>
      <c r="AH3688" s="48"/>
      <c r="AI3688" s="48"/>
      <c r="AJ3688" s="48"/>
      <c r="AK3688" s="48"/>
      <c r="AL3688" s="48"/>
      <c r="AM3688" s="48"/>
      <c r="AN3688" s="48"/>
      <c r="AO3688" s="48"/>
      <c r="AP3688" s="48"/>
      <c r="AQ3688" s="48"/>
      <c r="AR3688" s="48"/>
      <c r="AS3688" s="48"/>
      <c r="AT3688" s="48"/>
      <c r="AU3688" s="48"/>
      <c r="AV3688" s="48"/>
      <c r="AW3688" s="48"/>
      <c r="AX3688" s="48"/>
      <c r="AY3688" s="48"/>
      <c r="AZ3688" s="48"/>
      <c r="BA3688" s="48"/>
      <c r="BB3688" s="48"/>
      <c r="BC3688" s="48"/>
      <c r="BD3688" s="48"/>
    </row>
    <row r="3689" spans="1:56">
      <c r="A3689" s="48"/>
      <c r="B3689" s="48"/>
      <c r="C3689" s="49"/>
      <c r="D3689" s="48"/>
      <c r="E3689" s="48"/>
      <c r="F3689" s="48"/>
      <c r="G3689" s="48"/>
      <c r="H3689" s="48"/>
      <c r="I3689" s="48"/>
      <c r="J3689" s="86"/>
      <c r="K3689" s="86"/>
      <c r="L3689" s="86"/>
      <c r="M3689" s="86"/>
      <c r="N3689" s="86"/>
      <c r="O3689" s="86"/>
      <c r="P3689" s="86"/>
      <c r="Q3689" s="86"/>
      <c r="R3689" s="86"/>
      <c r="S3689" s="86"/>
      <c r="T3689" s="86"/>
      <c r="U3689" s="86"/>
      <c r="V3689" s="48"/>
      <c r="W3689" s="48"/>
      <c r="X3689" s="48"/>
      <c r="Y3689" s="48"/>
      <c r="Z3689" s="48"/>
      <c r="AA3689" s="48"/>
      <c r="AB3689" s="48"/>
      <c r="AC3689" s="48"/>
      <c r="AD3689" s="48"/>
      <c r="AE3689" s="48"/>
      <c r="AF3689" s="48"/>
      <c r="AG3689" s="48"/>
      <c r="AH3689" s="48"/>
      <c r="AI3689" s="48"/>
      <c r="AJ3689" s="48"/>
      <c r="AK3689" s="48"/>
      <c r="AL3689" s="48"/>
      <c r="AM3689" s="48"/>
      <c r="AN3689" s="48"/>
      <c r="AO3689" s="48"/>
      <c r="AP3689" s="48"/>
      <c r="AQ3689" s="48"/>
      <c r="AR3689" s="48"/>
      <c r="AS3689" s="48"/>
      <c r="AT3689" s="48"/>
      <c r="AU3689" s="48"/>
      <c r="AV3689" s="48"/>
      <c r="AW3689" s="48"/>
      <c r="AX3689" s="48"/>
      <c r="AY3689" s="48"/>
      <c r="AZ3689" s="48"/>
      <c r="BA3689" s="48"/>
      <c r="BB3689" s="48"/>
      <c r="BC3689" s="48"/>
      <c r="BD3689" s="48"/>
    </row>
    <row r="3690" spans="1:56">
      <c r="A3690" s="48"/>
      <c r="B3690" s="48"/>
      <c r="C3690" s="49"/>
      <c r="D3690" s="48"/>
      <c r="E3690" s="48"/>
      <c r="F3690" s="48"/>
      <c r="G3690" s="48"/>
      <c r="H3690" s="48"/>
      <c r="I3690" s="48"/>
      <c r="J3690" s="86"/>
      <c r="K3690" s="86"/>
      <c r="L3690" s="86"/>
      <c r="M3690" s="86"/>
      <c r="N3690" s="86"/>
      <c r="O3690" s="86"/>
      <c r="P3690" s="86"/>
      <c r="Q3690" s="86"/>
      <c r="R3690" s="86"/>
      <c r="S3690" s="86"/>
      <c r="T3690" s="86"/>
      <c r="U3690" s="86"/>
      <c r="V3690" s="48"/>
      <c r="W3690" s="48"/>
      <c r="X3690" s="48"/>
      <c r="Y3690" s="48"/>
      <c r="Z3690" s="48"/>
      <c r="AA3690" s="48"/>
      <c r="AB3690" s="48"/>
      <c r="AC3690" s="48"/>
      <c r="AD3690" s="48"/>
      <c r="AE3690" s="48"/>
      <c r="AF3690" s="48"/>
      <c r="AG3690" s="48"/>
      <c r="AH3690" s="48"/>
      <c r="AI3690" s="48"/>
      <c r="AJ3690" s="48"/>
      <c r="AK3690" s="48"/>
      <c r="AL3690" s="48"/>
      <c r="AM3690" s="48"/>
      <c r="AN3690" s="48"/>
      <c r="AO3690" s="48"/>
      <c r="AP3690" s="48"/>
      <c r="AQ3690" s="48"/>
      <c r="AR3690" s="48"/>
      <c r="AS3690" s="48"/>
      <c r="AT3690" s="48"/>
      <c r="AU3690" s="48"/>
      <c r="AV3690" s="48"/>
      <c r="AW3690" s="48"/>
      <c r="AX3690" s="48"/>
      <c r="AY3690" s="48"/>
      <c r="AZ3690" s="48"/>
      <c r="BA3690" s="48"/>
      <c r="BB3690" s="48"/>
      <c r="BC3690" s="48"/>
      <c r="BD3690" s="48"/>
    </row>
    <row r="3691" spans="1:56">
      <c r="A3691" s="48"/>
      <c r="B3691" s="48"/>
      <c r="C3691" s="49"/>
      <c r="D3691" s="48"/>
      <c r="E3691" s="48"/>
      <c r="F3691" s="48"/>
      <c r="G3691" s="48"/>
      <c r="H3691" s="48"/>
      <c r="I3691" s="48"/>
      <c r="J3691" s="86"/>
      <c r="K3691" s="86"/>
      <c r="L3691" s="86"/>
      <c r="M3691" s="86"/>
      <c r="N3691" s="86"/>
      <c r="O3691" s="86"/>
      <c r="P3691" s="86"/>
      <c r="Q3691" s="86"/>
      <c r="R3691" s="86"/>
      <c r="S3691" s="86"/>
      <c r="T3691" s="86"/>
      <c r="U3691" s="86"/>
      <c r="V3691" s="48"/>
      <c r="W3691" s="48"/>
      <c r="X3691" s="48"/>
      <c r="Y3691" s="48"/>
      <c r="Z3691" s="48"/>
      <c r="AA3691" s="48"/>
      <c r="AB3691" s="48"/>
      <c r="AC3691" s="48"/>
      <c r="AD3691" s="48"/>
      <c r="AE3691" s="48"/>
      <c r="AF3691" s="48"/>
      <c r="AG3691" s="48"/>
      <c r="AH3691" s="48"/>
      <c r="AI3691" s="48"/>
      <c r="AJ3691" s="48"/>
      <c r="AK3691" s="48"/>
      <c r="AL3691" s="48"/>
      <c r="AM3691" s="48"/>
      <c r="AN3691" s="48"/>
      <c r="AO3691" s="48"/>
      <c r="AP3691" s="48"/>
      <c r="AQ3691" s="48"/>
      <c r="AR3691" s="48"/>
      <c r="AS3691" s="48"/>
      <c r="AT3691" s="48"/>
      <c r="AU3691" s="48"/>
      <c r="AV3691" s="48"/>
      <c r="AW3691" s="48"/>
      <c r="AX3691" s="48"/>
      <c r="AY3691" s="48"/>
      <c r="AZ3691" s="48"/>
      <c r="BA3691" s="48"/>
      <c r="BB3691" s="48"/>
      <c r="BC3691" s="48"/>
      <c r="BD3691" s="48"/>
    </row>
    <row r="3692" spans="1:56">
      <c r="A3692" s="48"/>
      <c r="B3692" s="48"/>
      <c r="C3692" s="49"/>
      <c r="D3692" s="48"/>
      <c r="E3692" s="48"/>
      <c r="F3692" s="48"/>
      <c r="G3692" s="48"/>
      <c r="H3692" s="48"/>
      <c r="I3692" s="48"/>
      <c r="J3692" s="86"/>
      <c r="K3692" s="86"/>
      <c r="L3692" s="86"/>
      <c r="M3692" s="86"/>
      <c r="N3692" s="86"/>
      <c r="O3692" s="86"/>
      <c r="P3692" s="86"/>
      <c r="Q3692" s="86"/>
      <c r="R3692" s="86"/>
      <c r="S3692" s="86"/>
      <c r="T3692" s="86"/>
      <c r="U3692" s="86"/>
      <c r="V3692" s="48"/>
      <c r="W3692" s="48"/>
      <c r="X3692" s="48"/>
      <c r="Y3692" s="48"/>
      <c r="Z3692" s="48"/>
      <c r="AA3692" s="48"/>
      <c r="AB3692" s="48"/>
      <c r="AC3692" s="48"/>
      <c r="AD3692" s="48"/>
      <c r="AE3692" s="48"/>
      <c r="AF3692" s="48"/>
      <c r="AG3692" s="48"/>
      <c r="AH3692" s="48"/>
      <c r="AI3692" s="48"/>
      <c r="AJ3692" s="48"/>
      <c r="AK3692" s="48"/>
      <c r="AL3692" s="48"/>
      <c r="AM3692" s="48"/>
      <c r="AN3692" s="48"/>
      <c r="AO3692" s="48"/>
      <c r="AP3692" s="48"/>
      <c r="AQ3692" s="48"/>
      <c r="AR3692" s="48"/>
      <c r="AS3692" s="48"/>
      <c r="AT3692" s="48"/>
      <c r="AU3692" s="48"/>
      <c r="AV3692" s="48"/>
      <c r="AW3692" s="48"/>
      <c r="AX3692" s="48"/>
      <c r="AY3692" s="48"/>
      <c r="AZ3692" s="48"/>
      <c r="BA3692" s="48"/>
      <c r="BB3692" s="48"/>
      <c r="BC3692" s="48"/>
      <c r="BD3692" s="48"/>
    </row>
    <row r="3693" spans="1:56">
      <c r="A3693" s="48"/>
      <c r="B3693" s="48"/>
      <c r="C3693" s="49"/>
      <c r="D3693" s="48"/>
      <c r="E3693" s="48"/>
      <c r="F3693" s="48"/>
      <c r="G3693" s="48"/>
      <c r="H3693" s="48"/>
      <c r="I3693" s="48"/>
      <c r="J3693" s="86"/>
      <c r="K3693" s="86"/>
      <c r="L3693" s="86"/>
      <c r="M3693" s="86"/>
      <c r="N3693" s="86"/>
      <c r="O3693" s="86"/>
      <c r="P3693" s="86"/>
      <c r="Q3693" s="86"/>
      <c r="R3693" s="86"/>
      <c r="S3693" s="86"/>
      <c r="T3693" s="86"/>
      <c r="U3693" s="86"/>
      <c r="V3693" s="48"/>
      <c r="W3693" s="48"/>
      <c r="X3693" s="48"/>
      <c r="Y3693" s="48"/>
      <c r="Z3693" s="48"/>
      <c r="AA3693" s="48"/>
      <c r="AB3693" s="48"/>
      <c r="AC3693" s="48"/>
      <c r="AD3693" s="48"/>
      <c r="AE3693" s="48"/>
      <c r="AF3693" s="48"/>
      <c r="AG3693" s="48"/>
      <c r="AH3693" s="48"/>
      <c r="AI3693" s="48"/>
      <c r="AJ3693" s="48"/>
      <c r="AK3693" s="48"/>
      <c r="AL3693" s="48"/>
      <c r="AM3693" s="48"/>
      <c r="AN3693" s="48"/>
      <c r="AO3693" s="48"/>
      <c r="AP3693" s="48"/>
      <c r="AQ3693" s="48"/>
      <c r="AR3693" s="48"/>
      <c r="AS3693" s="48"/>
      <c r="AT3693" s="48"/>
      <c r="AU3693" s="48"/>
      <c r="AV3693" s="48"/>
      <c r="AW3693" s="48"/>
      <c r="AX3693" s="48"/>
      <c r="AY3693" s="48"/>
      <c r="AZ3693" s="48"/>
      <c r="BA3693" s="48"/>
      <c r="BB3693" s="48"/>
      <c r="BC3693" s="48"/>
      <c r="BD3693" s="48"/>
    </row>
    <row r="3694" spans="1:56">
      <c r="A3694" s="48"/>
      <c r="B3694" s="48"/>
      <c r="C3694" s="49"/>
      <c r="D3694" s="48"/>
      <c r="E3694" s="48"/>
      <c r="F3694" s="48"/>
      <c r="G3694" s="48"/>
      <c r="H3694" s="48"/>
      <c r="I3694" s="48"/>
      <c r="J3694" s="86"/>
      <c r="K3694" s="86"/>
      <c r="L3694" s="86"/>
      <c r="M3694" s="86"/>
      <c r="N3694" s="86"/>
      <c r="O3694" s="86"/>
      <c r="P3694" s="86"/>
      <c r="Q3694" s="86"/>
      <c r="R3694" s="86"/>
      <c r="S3694" s="86"/>
      <c r="T3694" s="86"/>
      <c r="U3694" s="86"/>
      <c r="V3694" s="48"/>
      <c r="W3694" s="48"/>
      <c r="X3694" s="48"/>
      <c r="Y3694" s="48"/>
      <c r="Z3694" s="48"/>
      <c r="AA3694" s="48"/>
      <c r="AB3694" s="48"/>
      <c r="AC3694" s="48"/>
      <c r="AD3694" s="48"/>
      <c r="AE3694" s="48"/>
      <c r="AF3694" s="48"/>
      <c r="AG3694" s="48"/>
      <c r="AH3694" s="48"/>
      <c r="AI3694" s="48"/>
      <c r="AJ3694" s="48"/>
      <c r="AK3694" s="48"/>
      <c r="AL3694" s="48"/>
      <c r="AM3694" s="48"/>
      <c r="AN3694" s="48"/>
      <c r="AO3694" s="48"/>
      <c r="AP3694" s="48"/>
      <c r="AQ3694" s="48"/>
      <c r="AR3694" s="48"/>
      <c r="AS3694" s="48"/>
      <c r="AT3694" s="48"/>
      <c r="AU3694" s="48"/>
      <c r="AV3694" s="48"/>
      <c r="AW3694" s="48"/>
      <c r="AX3694" s="48"/>
      <c r="AY3694" s="48"/>
      <c r="AZ3694" s="48"/>
      <c r="BA3694" s="48"/>
      <c r="BB3694" s="48"/>
      <c r="BC3694" s="48"/>
      <c r="BD3694" s="48"/>
    </row>
    <row r="3695" spans="1:56">
      <c r="A3695" s="48"/>
      <c r="B3695" s="48"/>
      <c r="C3695" s="49"/>
      <c r="D3695" s="48"/>
      <c r="E3695" s="48"/>
      <c r="F3695" s="48"/>
      <c r="G3695" s="48"/>
      <c r="H3695" s="48"/>
      <c r="I3695" s="48"/>
      <c r="J3695" s="86"/>
      <c r="K3695" s="86"/>
      <c r="L3695" s="86"/>
      <c r="M3695" s="86"/>
      <c r="N3695" s="86"/>
      <c r="O3695" s="86"/>
      <c r="P3695" s="86"/>
      <c r="Q3695" s="86"/>
      <c r="R3695" s="86"/>
      <c r="S3695" s="86"/>
      <c r="T3695" s="86"/>
      <c r="U3695" s="86"/>
      <c r="V3695" s="48"/>
      <c r="W3695" s="48"/>
      <c r="X3695" s="48"/>
      <c r="Y3695" s="48"/>
      <c r="Z3695" s="48"/>
      <c r="AA3695" s="48"/>
      <c r="AB3695" s="48"/>
      <c r="AC3695" s="48"/>
      <c r="AD3695" s="48"/>
      <c r="AE3695" s="48"/>
      <c r="AF3695" s="48"/>
      <c r="AG3695" s="48"/>
      <c r="AH3695" s="48"/>
      <c r="AI3695" s="48"/>
      <c r="AJ3695" s="48"/>
      <c r="AK3695" s="48"/>
      <c r="AL3695" s="48"/>
      <c r="AM3695" s="48"/>
      <c r="AN3695" s="48"/>
      <c r="AO3695" s="48"/>
      <c r="AP3695" s="48"/>
      <c r="AQ3695" s="48"/>
      <c r="AR3695" s="48"/>
      <c r="AS3695" s="48"/>
      <c r="AT3695" s="48"/>
      <c r="AU3695" s="48"/>
      <c r="AV3695" s="48"/>
      <c r="AW3695" s="48"/>
      <c r="AX3695" s="48"/>
      <c r="AY3695" s="48"/>
      <c r="AZ3695" s="48"/>
      <c r="BA3695" s="48"/>
      <c r="BB3695" s="48"/>
      <c r="BC3695" s="48"/>
      <c r="BD3695" s="48"/>
    </row>
    <row r="3696" spans="1:56">
      <c r="A3696" s="48"/>
      <c r="B3696" s="48"/>
      <c r="C3696" s="49"/>
      <c r="D3696" s="48"/>
      <c r="E3696" s="48"/>
      <c r="F3696" s="48"/>
      <c r="G3696" s="48"/>
      <c r="H3696" s="48"/>
      <c r="I3696" s="48"/>
      <c r="J3696" s="86"/>
      <c r="K3696" s="86"/>
      <c r="L3696" s="86"/>
      <c r="M3696" s="86"/>
      <c r="N3696" s="86"/>
      <c r="O3696" s="86"/>
      <c r="P3696" s="86"/>
      <c r="Q3696" s="86"/>
      <c r="R3696" s="86"/>
      <c r="S3696" s="86"/>
      <c r="T3696" s="86"/>
      <c r="U3696" s="86"/>
      <c r="V3696" s="48"/>
      <c r="W3696" s="48"/>
      <c r="X3696" s="48"/>
      <c r="Y3696" s="48"/>
      <c r="Z3696" s="48"/>
      <c r="AA3696" s="48"/>
      <c r="AB3696" s="48"/>
      <c r="AC3696" s="48"/>
      <c r="AD3696" s="48"/>
      <c r="AE3696" s="48"/>
      <c r="AF3696" s="48"/>
      <c r="AG3696" s="48"/>
      <c r="AH3696" s="48"/>
      <c r="AI3696" s="48"/>
      <c r="AJ3696" s="48"/>
      <c r="AK3696" s="48"/>
      <c r="AL3696" s="48"/>
      <c r="AM3696" s="48"/>
      <c r="AN3696" s="48"/>
      <c r="AO3696" s="48"/>
      <c r="AP3696" s="48"/>
      <c r="AQ3696" s="48"/>
      <c r="AR3696" s="48"/>
      <c r="AS3696" s="48"/>
      <c r="AT3696" s="48"/>
      <c r="AU3696" s="48"/>
      <c r="AV3696" s="48"/>
      <c r="AW3696" s="48"/>
      <c r="AX3696" s="48"/>
      <c r="AY3696" s="48"/>
      <c r="AZ3696" s="48"/>
      <c r="BA3696" s="48"/>
      <c r="BB3696" s="48"/>
      <c r="BC3696" s="48"/>
      <c r="BD3696" s="48"/>
    </row>
    <row r="3697" spans="1:56">
      <c r="A3697" s="48"/>
      <c r="B3697" s="48"/>
      <c r="C3697" s="49"/>
      <c r="D3697" s="48"/>
      <c r="E3697" s="48"/>
      <c r="F3697" s="48"/>
      <c r="G3697" s="48"/>
      <c r="H3697" s="48"/>
      <c r="I3697" s="48"/>
      <c r="J3697" s="86"/>
      <c r="K3697" s="86"/>
      <c r="L3697" s="86"/>
      <c r="M3697" s="86"/>
      <c r="N3697" s="86"/>
      <c r="O3697" s="86"/>
      <c r="P3697" s="86"/>
      <c r="Q3697" s="86"/>
      <c r="R3697" s="86"/>
      <c r="S3697" s="86"/>
      <c r="T3697" s="86"/>
      <c r="U3697" s="86"/>
      <c r="V3697" s="48"/>
      <c r="W3697" s="48"/>
      <c r="X3697" s="48"/>
      <c r="Y3697" s="48"/>
      <c r="Z3697" s="48"/>
      <c r="AA3697" s="48"/>
      <c r="AB3697" s="48"/>
      <c r="AC3697" s="48"/>
      <c r="AD3697" s="48"/>
      <c r="AE3697" s="48"/>
      <c r="AF3697" s="48"/>
      <c r="AG3697" s="48"/>
      <c r="AH3697" s="48"/>
      <c r="AI3697" s="48"/>
      <c r="AJ3697" s="48"/>
      <c r="AK3697" s="48"/>
      <c r="AL3697" s="48"/>
      <c r="AM3697" s="48"/>
      <c r="AN3697" s="48"/>
      <c r="AO3697" s="48"/>
      <c r="AP3697" s="48"/>
      <c r="AQ3697" s="48"/>
      <c r="AR3697" s="48"/>
      <c r="AS3697" s="48"/>
      <c r="AT3697" s="48"/>
      <c r="AU3697" s="48"/>
      <c r="AV3697" s="48"/>
      <c r="AW3697" s="48"/>
      <c r="AX3697" s="48"/>
      <c r="AY3697" s="48"/>
      <c r="AZ3697" s="48"/>
      <c r="BA3697" s="48"/>
      <c r="BB3697" s="48"/>
      <c r="BC3697" s="48"/>
      <c r="BD3697" s="48"/>
    </row>
    <row r="3698" spans="1:56">
      <c r="A3698" s="48"/>
      <c r="B3698" s="48"/>
      <c r="C3698" s="49"/>
      <c r="D3698" s="48"/>
      <c r="E3698" s="48"/>
      <c r="F3698" s="48"/>
      <c r="G3698" s="48"/>
      <c r="H3698" s="48"/>
      <c r="I3698" s="48"/>
      <c r="J3698" s="86"/>
      <c r="K3698" s="86"/>
      <c r="L3698" s="86"/>
      <c r="M3698" s="86"/>
      <c r="N3698" s="86"/>
      <c r="O3698" s="86"/>
      <c r="P3698" s="86"/>
      <c r="Q3698" s="86"/>
      <c r="R3698" s="86"/>
      <c r="S3698" s="86"/>
      <c r="T3698" s="86"/>
      <c r="U3698" s="86"/>
      <c r="V3698" s="48"/>
      <c r="W3698" s="48"/>
      <c r="X3698" s="48"/>
      <c r="Y3698" s="48"/>
      <c r="Z3698" s="48"/>
      <c r="AA3698" s="48"/>
      <c r="AB3698" s="48"/>
      <c r="AC3698" s="48"/>
      <c r="AD3698" s="48"/>
      <c r="AE3698" s="48"/>
      <c r="AF3698" s="48"/>
      <c r="AG3698" s="48"/>
      <c r="AH3698" s="48"/>
      <c r="AI3698" s="48"/>
      <c r="AJ3698" s="48"/>
      <c r="AK3698" s="48"/>
      <c r="AL3698" s="48"/>
      <c r="AM3698" s="48"/>
      <c r="AN3698" s="48"/>
      <c r="AO3698" s="48"/>
      <c r="AP3698" s="48"/>
      <c r="AQ3698" s="48"/>
      <c r="AR3698" s="48"/>
      <c r="AS3698" s="48"/>
      <c r="AT3698" s="48"/>
      <c r="AU3698" s="48"/>
      <c r="AV3698" s="48"/>
      <c r="AW3698" s="48"/>
      <c r="AX3698" s="48"/>
      <c r="AY3698" s="48"/>
      <c r="AZ3698" s="48"/>
      <c r="BA3698" s="48"/>
      <c r="BB3698" s="48"/>
      <c r="BC3698" s="48"/>
      <c r="BD3698" s="48"/>
    </row>
    <row r="3699" spans="1:56">
      <c r="A3699" s="48"/>
      <c r="B3699" s="48"/>
      <c r="C3699" s="49"/>
      <c r="D3699" s="48"/>
      <c r="E3699" s="48"/>
      <c r="F3699" s="48"/>
      <c r="G3699" s="48"/>
      <c r="H3699" s="48"/>
      <c r="I3699" s="48"/>
      <c r="J3699" s="86"/>
      <c r="K3699" s="86"/>
      <c r="L3699" s="86"/>
      <c r="M3699" s="86"/>
      <c r="N3699" s="86"/>
      <c r="O3699" s="86"/>
      <c r="P3699" s="86"/>
      <c r="Q3699" s="86"/>
      <c r="R3699" s="86"/>
      <c r="S3699" s="86"/>
      <c r="T3699" s="86"/>
      <c r="U3699" s="86"/>
      <c r="V3699" s="48"/>
      <c r="W3699" s="48"/>
      <c r="X3699" s="48"/>
      <c r="Y3699" s="48"/>
      <c r="Z3699" s="48"/>
      <c r="AA3699" s="48"/>
      <c r="AB3699" s="48"/>
      <c r="AC3699" s="48"/>
      <c r="AD3699" s="48"/>
      <c r="AE3699" s="48"/>
      <c r="AF3699" s="48"/>
      <c r="AG3699" s="48"/>
      <c r="AH3699" s="48"/>
      <c r="AI3699" s="48"/>
      <c r="AJ3699" s="48"/>
      <c r="AK3699" s="48"/>
      <c r="AL3699" s="48"/>
      <c r="AM3699" s="48"/>
      <c r="AN3699" s="48"/>
      <c r="AO3699" s="48"/>
      <c r="AP3699" s="48"/>
      <c r="AQ3699" s="48"/>
      <c r="AR3699" s="48"/>
      <c r="AS3699" s="48"/>
      <c r="AT3699" s="48"/>
      <c r="AU3699" s="48"/>
      <c r="AV3699" s="48"/>
      <c r="AW3699" s="48"/>
      <c r="AX3699" s="48"/>
      <c r="AY3699" s="48"/>
      <c r="AZ3699" s="48"/>
      <c r="BA3699" s="48"/>
      <c r="BB3699" s="48"/>
      <c r="BC3699" s="48"/>
      <c r="BD3699" s="48"/>
    </row>
    <row r="3700" spans="1:56">
      <c r="A3700" s="48"/>
      <c r="B3700" s="48"/>
      <c r="C3700" s="49"/>
      <c r="D3700" s="48"/>
      <c r="E3700" s="48"/>
      <c r="F3700" s="48"/>
      <c r="G3700" s="48"/>
      <c r="H3700" s="48"/>
      <c r="I3700" s="48"/>
      <c r="J3700" s="86"/>
      <c r="K3700" s="86"/>
      <c r="L3700" s="86"/>
      <c r="M3700" s="86"/>
      <c r="N3700" s="86"/>
      <c r="O3700" s="86"/>
      <c r="P3700" s="86"/>
      <c r="Q3700" s="86"/>
      <c r="R3700" s="86"/>
      <c r="S3700" s="86"/>
      <c r="T3700" s="86"/>
      <c r="U3700" s="86"/>
      <c r="V3700" s="48"/>
      <c r="W3700" s="48"/>
      <c r="X3700" s="48"/>
      <c r="Y3700" s="48"/>
      <c r="Z3700" s="48"/>
      <c r="AA3700" s="48"/>
      <c r="AB3700" s="48"/>
      <c r="AC3700" s="48"/>
      <c r="AD3700" s="48"/>
      <c r="AE3700" s="48"/>
      <c r="AF3700" s="48"/>
      <c r="AG3700" s="48"/>
      <c r="AH3700" s="48"/>
      <c r="AI3700" s="48"/>
      <c r="AJ3700" s="48"/>
      <c r="AK3700" s="48"/>
      <c r="AL3700" s="48"/>
      <c r="AM3700" s="48"/>
      <c r="AN3700" s="48"/>
      <c r="AO3700" s="48"/>
      <c r="AP3700" s="48"/>
      <c r="AQ3700" s="48"/>
      <c r="AR3700" s="48"/>
      <c r="AS3700" s="48"/>
      <c r="AT3700" s="48"/>
      <c r="AU3700" s="48"/>
      <c r="AV3700" s="48"/>
      <c r="AW3700" s="48"/>
      <c r="AX3700" s="48"/>
      <c r="AY3700" s="48"/>
      <c r="AZ3700" s="48"/>
      <c r="BA3700" s="48"/>
      <c r="BB3700" s="48"/>
      <c r="BC3700" s="48"/>
      <c r="BD3700" s="48"/>
    </row>
    <row r="3701" spans="1:56">
      <c r="A3701" s="48"/>
      <c r="B3701" s="48"/>
      <c r="C3701" s="49"/>
      <c r="D3701" s="48"/>
      <c r="E3701" s="48"/>
      <c r="F3701" s="48"/>
      <c r="G3701" s="48"/>
      <c r="H3701" s="48"/>
      <c r="I3701" s="48"/>
      <c r="J3701" s="86"/>
      <c r="K3701" s="86"/>
      <c r="L3701" s="86"/>
      <c r="M3701" s="86"/>
      <c r="N3701" s="86"/>
      <c r="O3701" s="86"/>
      <c r="P3701" s="86"/>
      <c r="Q3701" s="86"/>
      <c r="R3701" s="86"/>
      <c r="S3701" s="86"/>
      <c r="T3701" s="86"/>
      <c r="U3701" s="86"/>
      <c r="V3701" s="48"/>
      <c r="W3701" s="48"/>
      <c r="X3701" s="48"/>
      <c r="Y3701" s="48"/>
      <c r="Z3701" s="48"/>
      <c r="AA3701" s="48"/>
      <c r="AB3701" s="48"/>
      <c r="AC3701" s="48"/>
      <c r="AD3701" s="48"/>
      <c r="AE3701" s="48"/>
      <c r="AF3701" s="48"/>
      <c r="AG3701" s="48"/>
      <c r="AH3701" s="48"/>
      <c r="AI3701" s="48"/>
      <c r="AJ3701" s="48"/>
      <c r="AK3701" s="48"/>
      <c r="AL3701" s="48"/>
      <c r="AM3701" s="48"/>
      <c r="AN3701" s="48"/>
      <c r="AO3701" s="48"/>
      <c r="AP3701" s="48"/>
      <c r="AQ3701" s="48"/>
      <c r="AR3701" s="48"/>
      <c r="AS3701" s="48"/>
      <c r="AT3701" s="48"/>
      <c r="AU3701" s="48"/>
      <c r="AV3701" s="48"/>
      <c r="AW3701" s="48"/>
      <c r="AX3701" s="48"/>
      <c r="AY3701" s="48"/>
      <c r="AZ3701" s="48"/>
      <c r="BA3701" s="48"/>
      <c r="BB3701" s="48"/>
      <c r="BC3701" s="48"/>
      <c r="BD3701" s="48"/>
    </row>
    <row r="3702" spans="1:56">
      <c r="A3702" s="48"/>
      <c r="B3702" s="48"/>
      <c r="C3702" s="49"/>
      <c r="D3702" s="48"/>
      <c r="E3702" s="48"/>
      <c r="F3702" s="48"/>
      <c r="G3702" s="48"/>
      <c r="H3702" s="48"/>
      <c r="I3702" s="48"/>
      <c r="J3702" s="86"/>
      <c r="K3702" s="86"/>
      <c r="L3702" s="86"/>
      <c r="M3702" s="86"/>
      <c r="N3702" s="86"/>
      <c r="O3702" s="86"/>
      <c r="P3702" s="86"/>
      <c r="Q3702" s="86"/>
      <c r="R3702" s="86"/>
      <c r="S3702" s="86"/>
      <c r="T3702" s="86"/>
      <c r="U3702" s="86"/>
      <c r="V3702" s="48"/>
      <c r="W3702" s="48"/>
      <c r="X3702" s="48"/>
      <c r="Y3702" s="48"/>
      <c r="Z3702" s="48"/>
      <c r="AA3702" s="48"/>
      <c r="AB3702" s="48"/>
      <c r="AC3702" s="48"/>
      <c r="AD3702" s="48"/>
      <c r="AE3702" s="48"/>
      <c r="AF3702" s="48"/>
      <c r="AG3702" s="48"/>
      <c r="AH3702" s="48"/>
      <c r="AI3702" s="48"/>
      <c r="AJ3702" s="48"/>
      <c r="AK3702" s="48"/>
      <c r="AL3702" s="48"/>
      <c r="AM3702" s="48"/>
      <c r="AN3702" s="48"/>
      <c r="AO3702" s="48"/>
      <c r="AP3702" s="48"/>
      <c r="AQ3702" s="48"/>
      <c r="AR3702" s="48"/>
      <c r="AS3702" s="48"/>
      <c r="AT3702" s="48"/>
      <c r="AU3702" s="48"/>
      <c r="AV3702" s="48"/>
      <c r="AW3702" s="48"/>
      <c r="AX3702" s="48"/>
      <c r="AY3702" s="48"/>
      <c r="AZ3702" s="48"/>
      <c r="BA3702" s="48"/>
      <c r="BB3702" s="48"/>
      <c r="BC3702" s="48"/>
      <c r="BD3702" s="48"/>
    </row>
    <row r="3703" spans="1:56">
      <c r="A3703" s="48"/>
      <c r="B3703" s="48"/>
      <c r="C3703" s="49"/>
      <c r="D3703" s="48"/>
      <c r="E3703" s="48"/>
      <c r="F3703" s="48"/>
      <c r="G3703" s="48"/>
      <c r="H3703" s="48"/>
      <c r="I3703" s="48"/>
      <c r="J3703" s="86"/>
      <c r="K3703" s="86"/>
      <c r="L3703" s="86"/>
      <c r="M3703" s="86"/>
      <c r="N3703" s="86"/>
      <c r="O3703" s="86"/>
      <c r="P3703" s="86"/>
      <c r="Q3703" s="86"/>
      <c r="R3703" s="86"/>
      <c r="S3703" s="86"/>
      <c r="T3703" s="86"/>
      <c r="U3703" s="86"/>
      <c r="V3703" s="48"/>
      <c r="W3703" s="48"/>
      <c r="X3703" s="48"/>
      <c r="Y3703" s="48"/>
      <c r="Z3703" s="48"/>
      <c r="AA3703" s="48"/>
      <c r="AB3703" s="48"/>
      <c r="AC3703" s="48"/>
      <c r="AD3703" s="48"/>
      <c r="AE3703" s="48"/>
      <c r="AF3703" s="48"/>
      <c r="AG3703" s="48"/>
      <c r="AH3703" s="48"/>
      <c r="AI3703" s="48"/>
      <c r="AJ3703" s="48"/>
      <c r="AK3703" s="48"/>
      <c r="AL3703" s="48"/>
      <c r="AM3703" s="48"/>
      <c r="AN3703" s="48"/>
      <c r="AO3703" s="48"/>
      <c r="AP3703" s="48"/>
      <c r="AQ3703" s="48"/>
      <c r="AR3703" s="48"/>
      <c r="AS3703" s="48"/>
      <c r="AT3703" s="48"/>
      <c r="AU3703" s="48"/>
      <c r="AV3703" s="48"/>
      <c r="AW3703" s="48"/>
      <c r="AX3703" s="48"/>
      <c r="AY3703" s="48"/>
      <c r="AZ3703" s="48"/>
      <c r="BA3703" s="48"/>
      <c r="BB3703" s="48"/>
      <c r="BC3703" s="48"/>
      <c r="BD3703" s="48"/>
    </row>
    <row r="3704" spans="1:56">
      <c r="A3704" s="48"/>
      <c r="B3704" s="48"/>
      <c r="C3704" s="49"/>
      <c r="D3704" s="48"/>
      <c r="E3704" s="48"/>
      <c r="F3704" s="48"/>
      <c r="G3704" s="48"/>
      <c r="H3704" s="48"/>
      <c r="I3704" s="48"/>
      <c r="J3704" s="86"/>
      <c r="K3704" s="86"/>
      <c r="L3704" s="86"/>
      <c r="M3704" s="86"/>
      <c r="N3704" s="86"/>
      <c r="O3704" s="86"/>
      <c r="P3704" s="86"/>
      <c r="Q3704" s="86"/>
      <c r="R3704" s="86"/>
      <c r="S3704" s="86"/>
      <c r="T3704" s="86"/>
      <c r="U3704" s="86"/>
      <c r="V3704" s="48"/>
      <c r="W3704" s="48"/>
      <c r="X3704" s="48"/>
      <c r="Y3704" s="48"/>
      <c r="Z3704" s="48"/>
      <c r="AA3704" s="48"/>
      <c r="AB3704" s="48"/>
      <c r="AC3704" s="48"/>
      <c r="AD3704" s="48"/>
      <c r="AE3704" s="48"/>
      <c r="AF3704" s="48"/>
      <c r="AG3704" s="48"/>
      <c r="AH3704" s="48"/>
      <c r="AI3704" s="48"/>
      <c r="AJ3704" s="48"/>
      <c r="AK3704" s="48"/>
      <c r="AL3704" s="48"/>
      <c r="AM3704" s="48"/>
      <c r="AN3704" s="48"/>
      <c r="AO3704" s="48"/>
      <c r="AP3704" s="48"/>
      <c r="AQ3704" s="48"/>
      <c r="AR3704" s="48"/>
      <c r="AS3704" s="48"/>
      <c r="AT3704" s="48"/>
      <c r="AU3704" s="48"/>
      <c r="AV3704" s="48"/>
      <c r="AW3704" s="48"/>
      <c r="AX3704" s="48"/>
      <c r="AY3704" s="48"/>
      <c r="AZ3704" s="48"/>
      <c r="BA3704" s="48"/>
      <c r="BB3704" s="48"/>
      <c r="BC3704" s="48"/>
      <c r="BD3704" s="48"/>
    </row>
    <row r="3705" spans="1:56">
      <c r="A3705" s="48"/>
      <c r="B3705" s="48"/>
      <c r="C3705" s="49"/>
      <c r="D3705" s="48"/>
      <c r="E3705" s="48"/>
      <c r="F3705" s="48"/>
      <c r="G3705" s="48"/>
      <c r="H3705" s="48"/>
      <c r="I3705" s="48"/>
      <c r="J3705" s="86"/>
      <c r="K3705" s="86"/>
      <c r="L3705" s="86"/>
      <c r="M3705" s="86"/>
      <c r="N3705" s="86"/>
      <c r="O3705" s="86"/>
      <c r="P3705" s="86"/>
      <c r="Q3705" s="86"/>
      <c r="R3705" s="86"/>
      <c r="S3705" s="86"/>
      <c r="T3705" s="86"/>
      <c r="U3705" s="86"/>
      <c r="V3705" s="48"/>
      <c r="W3705" s="48"/>
      <c r="X3705" s="48"/>
      <c r="Y3705" s="48"/>
      <c r="Z3705" s="48"/>
      <c r="AA3705" s="48"/>
      <c r="AB3705" s="48"/>
      <c r="AC3705" s="48"/>
      <c r="AD3705" s="48"/>
      <c r="AE3705" s="48"/>
      <c r="AF3705" s="48"/>
      <c r="AG3705" s="48"/>
      <c r="AH3705" s="48"/>
      <c r="AI3705" s="48"/>
      <c r="AJ3705" s="48"/>
      <c r="AK3705" s="48"/>
      <c r="AL3705" s="48"/>
      <c r="AM3705" s="48"/>
      <c r="AN3705" s="48"/>
      <c r="AO3705" s="48"/>
      <c r="AP3705" s="48"/>
      <c r="AQ3705" s="48"/>
      <c r="AR3705" s="48"/>
      <c r="AS3705" s="48"/>
      <c r="AT3705" s="48"/>
      <c r="AU3705" s="48"/>
      <c r="AV3705" s="48"/>
      <c r="AW3705" s="48"/>
      <c r="AX3705" s="48"/>
      <c r="AY3705" s="48"/>
      <c r="AZ3705" s="48"/>
      <c r="BA3705" s="48"/>
      <c r="BB3705" s="48"/>
      <c r="BC3705" s="48"/>
      <c r="BD3705" s="48"/>
    </row>
    <row r="3706" spans="1:56">
      <c r="A3706" s="48"/>
      <c r="B3706" s="48"/>
      <c r="C3706" s="49"/>
      <c r="D3706" s="48"/>
      <c r="E3706" s="48"/>
      <c r="F3706" s="48"/>
      <c r="G3706" s="48"/>
      <c r="H3706" s="48"/>
      <c r="I3706" s="48"/>
      <c r="J3706" s="86"/>
      <c r="K3706" s="86"/>
      <c r="L3706" s="86"/>
      <c r="M3706" s="86"/>
      <c r="N3706" s="86"/>
      <c r="O3706" s="86"/>
      <c r="P3706" s="86"/>
      <c r="Q3706" s="86"/>
      <c r="R3706" s="86"/>
      <c r="S3706" s="86"/>
      <c r="T3706" s="86"/>
      <c r="U3706" s="86"/>
      <c r="V3706" s="48"/>
      <c r="W3706" s="48"/>
      <c r="X3706" s="48"/>
      <c r="Y3706" s="48"/>
      <c r="Z3706" s="48"/>
      <c r="AA3706" s="48"/>
      <c r="AB3706" s="48"/>
      <c r="AC3706" s="48"/>
      <c r="AD3706" s="48"/>
      <c r="AE3706" s="48"/>
      <c r="AF3706" s="48"/>
      <c r="AG3706" s="48"/>
      <c r="AH3706" s="48"/>
      <c r="AI3706" s="48"/>
      <c r="AJ3706" s="48"/>
      <c r="AK3706" s="48"/>
      <c r="AL3706" s="48"/>
      <c r="AM3706" s="48"/>
      <c r="AN3706" s="48"/>
      <c r="AO3706" s="48"/>
      <c r="AP3706" s="48"/>
      <c r="AQ3706" s="48"/>
      <c r="AR3706" s="48"/>
      <c r="AS3706" s="48"/>
      <c r="AT3706" s="48"/>
      <c r="AU3706" s="48"/>
      <c r="AV3706" s="48"/>
      <c r="AW3706" s="48"/>
      <c r="AX3706" s="48"/>
      <c r="AY3706" s="48"/>
      <c r="AZ3706" s="48"/>
      <c r="BA3706" s="48"/>
      <c r="BB3706" s="48"/>
      <c r="BC3706" s="48"/>
      <c r="BD3706" s="48"/>
    </row>
    <row r="3707" spans="1:56">
      <c r="A3707" s="48"/>
      <c r="B3707" s="48"/>
      <c r="C3707" s="49"/>
      <c r="D3707" s="48"/>
      <c r="E3707" s="48"/>
      <c r="F3707" s="48"/>
      <c r="G3707" s="48"/>
      <c r="H3707" s="48"/>
      <c r="I3707" s="48"/>
      <c r="J3707" s="86"/>
      <c r="K3707" s="86"/>
      <c r="L3707" s="86"/>
      <c r="M3707" s="86"/>
      <c r="N3707" s="86"/>
      <c r="O3707" s="86"/>
      <c r="P3707" s="86"/>
      <c r="Q3707" s="86"/>
      <c r="R3707" s="86"/>
      <c r="S3707" s="86"/>
      <c r="T3707" s="86"/>
      <c r="U3707" s="86"/>
      <c r="V3707" s="48"/>
      <c r="W3707" s="48"/>
      <c r="X3707" s="48"/>
      <c r="Y3707" s="48"/>
      <c r="Z3707" s="48"/>
      <c r="AA3707" s="48"/>
      <c r="AB3707" s="48"/>
      <c r="AC3707" s="48"/>
      <c r="AD3707" s="48"/>
      <c r="AE3707" s="48"/>
      <c r="AF3707" s="48"/>
      <c r="AG3707" s="48"/>
      <c r="AH3707" s="48"/>
      <c r="AI3707" s="48"/>
      <c r="AJ3707" s="48"/>
      <c r="AK3707" s="48"/>
      <c r="AL3707" s="48"/>
      <c r="AM3707" s="48"/>
      <c r="AN3707" s="48"/>
      <c r="AO3707" s="48"/>
      <c r="AP3707" s="48"/>
      <c r="AQ3707" s="48"/>
      <c r="AR3707" s="48"/>
      <c r="AS3707" s="48"/>
      <c r="AT3707" s="48"/>
      <c r="AU3707" s="48"/>
      <c r="AV3707" s="48"/>
      <c r="AW3707" s="48"/>
      <c r="AX3707" s="48"/>
      <c r="AY3707" s="48"/>
      <c r="AZ3707" s="48"/>
      <c r="BA3707" s="48"/>
      <c r="BB3707" s="48"/>
      <c r="BC3707" s="48"/>
      <c r="BD3707" s="48"/>
    </row>
    <row r="3708" spans="1:56">
      <c r="A3708" s="48"/>
      <c r="B3708" s="48"/>
      <c r="C3708" s="49"/>
      <c r="D3708" s="48"/>
      <c r="E3708" s="48"/>
      <c r="F3708" s="48"/>
      <c r="G3708" s="48"/>
      <c r="H3708" s="48"/>
      <c r="I3708" s="48"/>
      <c r="J3708" s="86"/>
      <c r="K3708" s="86"/>
      <c r="L3708" s="86"/>
      <c r="M3708" s="86"/>
      <c r="N3708" s="86"/>
      <c r="O3708" s="86"/>
      <c r="P3708" s="86"/>
      <c r="Q3708" s="86"/>
      <c r="R3708" s="86"/>
      <c r="S3708" s="86"/>
      <c r="T3708" s="86"/>
      <c r="U3708" s="86"/>
      <c r="V3708" s="48"/>
      <c r="W3708" s="48"/>
      <c r="X3708" s="48"/>
      <c r="Y3708" s="48"/>
      <c r="Z3708" s="48"/>
      <c r="AA3708" s="48"/>
      <c r="AB3708" s="48"/>
      <c r="AC3708" s="48"/>
      <c r="AD3708" s="48"/>
      <c r="AE3708" s="48"/>
      <c r="AF3708" s="48"/>
      <c r="AG3708" s="48"/>
      <c r="AH3708" s="48"/>
      <c r="AI3708" s="48"/>
      <c r="AJ3708" s="48"/>
      <c r="AK3708" s="48"/>
      <c r="AL3708" s="48"/>
      <c r="AM3708" s="48"/>
      <c r="AN3708" s="48"/>
      <c r="AO3708" s="48"/>
      <c r="AP3708" s="48"/>
      <c r="AQ3708" s="48"/>
      <c r="AR3708" s="48"/>
      <c r="AS3708" s="48"/>
      <c r="AT3708" s="48"/>
      <c r="AU3708" s="48"/>
      <c r="AV3708" s="48"/>
      <c r="AW3708" s="48"/>
      <c r="AX3708" s="48"/>
      <c r="AY3708" s="48"/>
      <c r="AZ3708" s="48"/>
      <c r="BA3708" s="48"/>
      <c r="BB3708" s="48"/>
      <c r="BC3708" s="48"/>
      <c r="BD3708" s="48"/>
    </row>
    <row r="3709" spans="1:56">
      <c r="A3709" s="48"/>
      <c r="B3709" s="48"/>
      <c r="C3709" s="49"/>
      <c r="D3709" s="48"/>
      <c r="E3709" s="48"/>
      <c r="F3709" s="48"/>
      <c r="G3709" s="48"/>
      <c r="H3709" s="48"/>
      <c r="I3709" s="48"/>
      <c r="J3709" s="86"/>
      <c r="K3709" s="86"/>
      <c r="L3709" s="86"/>
      <c r="M3709" s="86"/>
      <c r="N3709" s="86"/>
      <c r="O3709" s="86"/>
      <c r="P3709" s="86"/>
      <c r="Q3709" s="86"/>
      <c r="R3709" s="86"/>
      <c r="S3709" s="86"/>
      <c r="T3709" s="86"/>
      <c r="U3709" s="86"/>
      <c r="V3709" s="48"/>
      <c r="W3709" s="48"/>
      <c r="X3709" s="48"/>
      <c r="Y3709" s="48"/>
      <c r="Z3709" s="48"/>
      <c r="AA3709" s="48"/>
      <c r="AB3709" s="48"/>
      <c r="AC3709" s="48"/>
      <c r="AD3709" s="48"/>
      <c r="AE3709" s="48"/>
      <c r="AF3709" s="48"/>
      <c r="AG3709" s="48"/>
      <c r="AH3709" s="48"/>
      <c r="AI3709" s="48"/>
      <c r="AJ3709" s="48"/>
      <c r="AK3709" s="48"/>
      <c r="AL3709" s="48"/>
      <c r="AM3709" s="48"/>
      <c r="AN3709" s="48"/>
      <c r="AO3709" s="48"/>
      <c r="AP3709" s="48"/>
      <c r="AQ3709" s="48"/>
      <c r="AR3709" s="48"/>
      <c r="AS3709" s="48"/>
      <c r="AT3709" s="48"/>
      <c r="AU3709" s="48"/>
      <c r="AV3709" s="48"/>
      <c r="AW3709" s="48"/>
      <c r="AX3709" s="48"/>
      <c r="AY3709" s="48"/>
      <c r="AZ3709" s="48"/>
      <c r="BA3709" s="48"/>
      <c r="BB3709" s="48"/>
      <c r="BC3709" s="48"/>
      <c r="BD3709" s="48"/>
    </row>
    <row r="3710" spans="1:56">
      <c r="A3710" s="48"/>
      <c r="B3710" s="48"/>
      <c r="C3710" s="49"/>
      <c r="D3710" s="48"/>
      <c r="E3710" s="48"/>
      <c r="F3710" s="48"/>
      <c r="G3710" s="48"/>
      <c r="H3710" s="48"/>
      <c r="I3710" s="48"/>
      <c r="J3710" s="86"/>
      <c r="K3710" s="86"/>
      <c r="L3710" s="86"/>
      <c r="M3710" s="86"/>
      <c r="N3710" s="86"/>
      <c r="O3710" s="86"/>
      <c r="P3710" s="86"/>
      <c r="Q3710" s="86"/>
      <c r="R3710" s="86"/>
      <c r="S3710" s="86"/>
      <c r="T3710" s="86"/>
      <c r="U3710" s="86"/>
      <c r="V3710" s="48"/>
      <c r="W3710" s="48"/>
      <c r="X3710" s="48"/>
      <c r="Y3710" s="48"/>
      <c r="Z3710" s="48"/>
      <c r="AA3710" s="48"/>
      <c r="AB3710" s="48"/>
      <c r="AC3710" s="48"/>
      <c r="AD3710" s="48"/>
      <c r="AE3710" s="48"/>
      <c r="AF3710" s="48"/>
      <c r="AG3710" s="48"/>
      <c r="AH3710" s="48"/>
      <c r="AI3710" s="48"/>
      <c r="AJ3710" s="48"/>
      <c r="AK3710" s="48"/>
      <c r="AL3710" s="48"/>
      <c r="AM3710" s="48"/>
      <c r="AN3710" s="48"/>
      <c r="AO3710" s="48"/>
      <c r="AP3710" s="48"/>
      <c r="AQ3710" s="48"/>
      <c r="AR3710" s="48"/>
      <c r="AS3710" s="48"/>
      <c r="AT3710" s="48"/>
      <c r="AU3710" s="48"/>
      <c r="AV3710" s="48"/>
      <c r="AW3710" s="48"/>
      <c r="AX3710" s="48"/>
      <c r="AY3710" s="48"/>
      <c r="AZ3710" s="48"/>
      <c r="BA3710" s="48"/>
      <c r="BB3710" s="48"/>
      <c r="BC3710" s="48"/>
      <c r="BD3710" s="48"/>
    </row>
    <row r="3711" spans="1:56">
      <c r="A3711" s="48"/>
      <c r="B3711" s="48"/>
      <c r="C3711" s="49"/>
      <c r="D3711" s="48"/>
      <c r="E3711" s="48"/>
      <c r="F3711" s="48"/>
      <c r="G3711" s="48"/>
      <c r="H3711" s="48"/>
      <c r="I3711" s="48"/>
      <c r="J3711" s="86"/>
      <c r="K3711" s="86"/>
      <c r="L3711" s="86"/>
      <c r="M3711" s="86"/>
      <c r="N3711" s="86"/>
      <c r="O3711" s="86"/>
      <c r="P3711" s="86"/>
      <c r="Q3711" s="86"/>
      <c r="R3711" s="86"/>
      <c r="S3711" s="86"/>
      <c r="T3711" s="86"/>
      <c r="U3711" s="86"/>
      <c r="V3711" s="48"/>
      <c r="W3711" s="48"/>
      <c r="X3711" s="48"/>
      <c r="Y3711" s="48"/>
      <c r="Z3711" s="48"/>
      <c r="AA3711" s="48"/>
      <c r="AB3711" s="48"/>
      <c r="AC3711" s="48"/>
      <c r="AD3711" s="48"/>
      <c r="AE3711" s="48"/>
      <c r="AF3711" s="48"/>
      <c r="AG3711" s="48"/>
      <c r="AH3711" s="48"/>
      <c r="AI3711" s="48"/>
      <c r="AJ3711" s="48"/>
      <c r="AK3711" s="48"/>
      <c r="AL3711" s="48"/>
      <c r="AM3711" s="48"/>
      <c r="AN3711" s="48"/>
      <c r="AO3711" s="48"/>
      <c r="AP3711" s="48"/>
      <c r="AQ3711" s="48"/>
      <c r="AR3711" s="48"/>
      <c r="AS3711" s="48"/>
      <c r="AT3711" s="48"/>
      <c r="AU3711" s="48"/>
      <c r="AV3711" s="48"/>
      <c r="AW3711" s="48"/>
      <c r="AX3711" s="48"/>
      <c r="AY3711" s="48"/>
      <c r="AZ3711" s="48"/>
      <c r="BA3711" s="48"/>
      <c r="BB3711" s="48"/>
      <c r="BC3711" s="48"/>
      <c r="BD3711" s="48"/>
    </row>
    <row r="3712" spans="1:56">
      <c r="A3712" s="48"/>
      <c r="B3712" s="48"/>
      <c r="C3712" s="49"/>
      <c r="D3712" s="48"/>
      <c r="E3712" s="48"/>
      <c r="F3712" s="48"/>
      <c r="G3712" s="48"/>
      <c r="H3712" s="48"/>
      <c r="I3712" s="48"/>
      <c r="J3712" s="86"/>
      <c r="K3712" s="86"/>
      <c r="L3712" s="86"/>
      <c r="M3712" s="86"/>
      <c r="N3712" s="86"/>
      <c r="O3712" s="86"/>
      <c r="P3712" s="86"/>
      <c r="Q3712" s="86"/>
      <c r="R3712" s="86"/>
      <c r="S3712" s="86"/>
      <c r="T3712" s="86"/>
      <c r="U3712" s="86"/>
      <c r="V3712" s="48"/>
      <c r="W3712" s="48"/>
      <c r="X3712" s="48"/>
      <c r="Y3712" s="48"/>
      <c r="Z3712" s="48"/>
      <c r="AA3712" s="48"/>
      <c r="AB3712" s="48"/>
      <c r="AC3712" s="48"/>
      <c r="AD3712" s="48"/>
      <c r="AE3712" s="48"/>
      <c r="AF3712" s="48"/>
      <c r="AG3712" s="48"/>
      <c r="AH3712" s="48"/>
      <c r="AI3712" s="48"/>
      <c r="AJ3712" s="48"/>
      <c r="AK3712" s="48"/>
      <c r="AL3712" s="48"/>
      <c r="AM3712" s="48"/>
      <c r="AN3712" s="48"/>
      <c r="AO3712" s="48"/>
      <c r="AP3712" s="48"/>
      <c r="AQ3712" s="48"/>
      <c r="AR3712" s="48"/>
      <c r="AS3712" s="48"/>
      <c r="AT3712" s="48"/>
      <c r="AU3712" s="48"/>
      <c r="AV3712" s="48"/>
      <c r="AW3712" s="48"/>
      <c r="AX3712" s="48"/>
      <c r="AY3712" s="48"/>
      <c r="AZ3712" s="48"/>
      <c r="BA3712" s="48"/>
      <c r="BB3712" s="48"/>
      <c r="BC3712" s="48"/>
      <c r="BD3712" s="48"/>
    </row>
    <row r="3713" spans="1:56">
      <c r="A3713" s="48"/>
      <c r="B3713" s="48"/>
      <c r="C3713" s="49"/>
      <c r="D3713" s="48"/>
      <c r="E3713" s="48"/>
      <c r="F3713" s="48"/>
      <c r="G3713" s="48"/>
      <c r="H3713" s="48"/>
      <c r="I3713" s="48"/>
      <c r="J3713" s="86"/>
      <c r="K3713" s="86"/>
      <c r="L3713" s="86"/>
      <c r="M3713" s="86"/>
      <c r="N3713" s="86"/>
      <c r="O3713" s="86"/>
      <c r="P3713" s="86"/>
      <c r="Q3713" s="86"/>
      <c r="R3713" s="86"/>
      <c r="S3713" s="86"/>
      <c r="T3713" s="86"/>
      <c r="U3713" s="86"/>
      <c r="V3713" s="48"/>
      <c r="W3713" s="48"/>
      <c r="X3713" s="48"/>
      <c r="Y3713" s="48"/>
      <c r="Z3713" s="48"/>
      <c r="AA3713" s="48"/>
      <c r="AB3713" s="48"/>
      <c r="AC3713" s="48"/>
      <c r="AD3713" s="48"/>
      <c r="AE3713" s="48"/>
      <c r="AF3713" s="48"/>
      <c r="AG3713" s="48"/>
      <c r="AH3713" s="48"/>
      <c r="AI3713" s="48"/>
      <c r="AJ3713" s="48"/>
      <c r="AK3713" s="48"/>
      <c r="AL3713" s="48"/>
      <c r="AM3713" s="48"/>
      <c r="AN3713" s="48"/>
      <c r="AO3713" s="48"/>
      <c r="AP3713" s="48"/>
      <c r="AQ3713" s="48"/>
      <c r="AR3713" s="48"/>
      <c r="AS3713" s="48"/>
      <c r="AT3713" s="48"/>
      <c r="AU3713" s="48"/>
      <c r="AV3713" s="48"/>
      <c r="AW3713" s="48"/>
      <c r="AX3713" s="48"/>
      <c r="AY3713" s="48"/>
      <c r="AZ3713" s="48"/>
      <c r="BA3713" s="48"/>
      <c r="BB3713" s="48"/>
      <c r="BC3713" s="48"/>
      <c r="BD3713" s="48"/>
    </row>
    <row r="3714" spans="1:56">
      <c r="A3714" s="48"/>
      <c r="B3714" s="48"/>
      <c r="C3714" s="49"/>
      <c r="D3714" s="48"/>
      <c r="E3714" s="48"/>
      <c r="F3714" s="48"/>
      <c r="G3714" s="48"/>
      <c r="H3714" s="48"/>
      <c r="I3714" s="48"/>
      <c r="J3714" s="86"/>
      <c r="K3714" s="86"/>
      <c r="L3714" s="86"/>
      <c r="M3714" s="86"/>
      <c r="N3714" s="86"/>
      <c r="O3714" s="86"/>
      <c r="P3714" s="86"/>
      <c r="Q3714" s="86"/>
      <c r="R3714" s="86"/>
      <c r="S3714" s="86"/>
      <c r="T3714" s="86"/>
      <c r="U3714" s="86"/>
      <c r="V3714" s="48"/>
      <c r="W3714" s="48"/>
      <c r="X3714" s="48"/>
      <c r="Y3714" s="48"/>
      <c r="Z3714" s="48"/>
      <c r="AA3714" s="48"/>
      <c r="AB3714" s="48"/>
      <c r="AC3714" s="48"/>
      <c r="AD3714" s="48"/>
      <c r="AE3714" s="48"/>
      <c r="AF3714" s="48"/>
      <c r="AG3714" s="48"/>
      <c r="AH3714" s="48"/>
      <c r="AI3714" s="48"/>
      <c r="AJ3714" s="48"/>
      <c r="AK3714" s="48"/>
      <c r="AL3714" s="48"/>
      <c r="AM3714" s="48"/>
      <c r="AN3714" s="48"/>
      <c r="AO3714" s="48"/>
      <c r="AP3714" s="48"/>
      <c r="AQ3714" s="48"/>
      <c r="AR3714" s="48"/>
      <c r="AS3714" s="48"/>
      <c r="AT3714" s="48"/>
      <c r="AU3714" s="48"/>
      <c r="AV3714" s="48"/>
      <c r="AW3714" s="48"/>
      <c r="AX3714" s="48"/>
      <c r="AY3714" s="48"/>
      <c r="AZ3714" s="48"/>
      <c r="BA3714" s="48"/>
      <c r="BB3714" s="48"/>
      <c r="BC3714" s="48"/>
      <c r="BD3714" s="48"/>
    </row>
    <row r="3715" spans="1:56">
      <c r="A3715" s="48"/>
      <c r="B3715" s="48"/>
      <c r="C3715" s="49"/>
      <c r="D3715" s="48"/>
      <c r="E3715" s="48"/>
      <c r="F3715" s="48"/>
      <c r="G3715" s="48"/>
      <c r="H3715" s="48"/>
      <c r="I3715" s="48"/>
      <c r="J3715" s="86"/>
      <c r="K3715" s="86"/>
      <c r="L3715" s="86"/>
      <c r="M3715" s="86"/>
      <c r="N3715" s="86"/>
      <c r="O3715" s="86"/>
      <c r="P3715" s="86"/>
      <c r="Q3715" s="86"/>
      <c r="R3715" s="86"/>
      <c r="S3715" s="86"/>
      <c r="T3715" s="86"/>
      <c r="U3715" s="86"/>
      <c r="V3715" s="48"/>
      <c r="W3715" s="48"/>
      <c r="X3715" s="48"/>
      <c r="Y3715" s="48"/>
      <c r="Z3715" s="48"/>
      <c r="AA3715" s="48"/>
      <c r="AB3715" s="48"/>
      <c r="AC3715" s="48"/>
      <c r="AD3715" s="48"/>
      <c r="AE3715" s="48"/>
      <c r="AF3715" s="48"/>
      <c r="AG3715" s="48"/>
      <c r="AH3715" s="48"/>
      <c r="AI3715" s="48"/>
      <c r="AJ3715" s="48"/>
      <c r="AK3715" s="48"/>
      <c r="AL3715" s="48"/>
      <c r="AM3715" s="48"/>
      <c r="AN3715" s="48"/>
      <c r="AO3715" s="48"/>
      <c r="AP3715" s="48"/>
      <c r="AQ3715" s="48"/>
      <c r="AR3715" s="48"/>
      <c r="AS3715" s="48"/>
      <c r="AT3715" s="48"/>
      <c r="AU3715" s="48"/>
      <c r="AV3715" s="48"/>
      <c r="AW3715" s="48"/>
      <c r="AX3715" s="48"/>
      <c r="AY3715" s="48"/>
      <c r="AZ3715" s="48"/>
      <c r="BA3715" s="48"/>
      <c r="BB3715" s="48"/>
      <c r="BC3715" s="48"/>
      <c r="BD3715" s="48"/>
    </row>
    <row r="3716" spans="1:56">
      <c r="A3716" s="48"/>
      <c r="B3716" s="48"/>
      <c r="C3716" s="49"/>
      <c r="D3716" s="48"/>
      <c r="E3716" s="48"/>
      <c r="F3716" s="48"/>
      <c r="G3716" s="48"/>
      <c r="H3716" s="48"/>
      <c r="I3716" s="48"/>
      <c r="J3716" s="86"/>
      <c r="K3716" s="86"/>
      <c r="L3716" s="86"/>
      <c r="M3716" s="86"/>
      <c r="N3716" s="86"/>
      <c r="O3716" s="86"/>
      <c r="P3716" s="86"/>
      <c r="Q3716" s="86"/>
      <c r="R3716" s="86"/>
      <c r="S3716" s="86"/>
      <c r="T3716" s="86"/>
      <c r="U3716" s="86"/>
      <c r="V3716" s="48"/>
      <c r="W3716" s="48"/>
      <c r="X3716" s="48"/>
      <c r="Y3716" s="48"/>
      <c r="Z3716" s="48"/>
      <c r="AA3716" s="48"/>
      <c r="AB3716" s="48"/>
      <c r="AC3716" s="48"/>
      <c r="AD3716" s="48"/>
      <c r="AE3716" s="48"/>
      <c r="AF3716" s="48"/>
      <c r="AG3716" s="48"/>
      <c r="AH3716" s="48"/>
      <c r="AI3716" s="48"/>
      <c r="AJ3716" s="48"/>
      <c r="AK3716" s="48"/>
      <c r="AL3716" s="48"/>
      <c r="AM3716" s="48"/>
      <c r="AN3716" s="48"/>
      <c r="AO3716" s="48"/>
      <c r="AP3716" s="48"/>
      <c r="AQ3716" s="48"/>
      <c r="AR3716" s="48"/>
      <c r="AS3716" s="48"/>
      <c r="AT3716" s="48"/>
      <c r="AU3716" s="48"/>
      <c r="AV3716" s="48"/>
      <c r="AW3716" s="48"/>
      <c r="AX3716" s="48"/>
      <c r="AY3716" s="48"/>
      <c r="AZ3716" s="48"/>
      <c r="BA3716" s="48"/>
      <c r="BB3716" s="48"/>
      <c r="BC3716" s="48"/>
      <c r="BD3716" s="48"/>
    </row>
    <row r="3717" spans="1:56">
      <c r="A3717" s="48"/>
      <c r="B3717" s="48"/>
      <c r="C3717" s="49"/>
      <c r="D3717" s="48"/>
      <c r="E3717" s="48"/>
      <c r="F3717" s="48"/>
      <c r="G3717" s="48"/>
      <c r="H3717" s="48"/>
      <c r="I3717" s="48"/>
      <c r="J3717" s="86"/>
      <c r="K3717" s="86"/>
      <c r="L3717" s="86"/>
      <c r="M3717" s="86"/>
      <c r="N3717" s="86"/>
      <c r="O3717" s="86"/>
      <c r="P3717" s="86"/>
      <c r="Q3717" s="86"/>
      <c r="R3717" s="86"/>
      <c r="S3717" s="86"/>
      <c r="T3717" s="86"/>
      <c r="U3717" s="86"/>
      <c r="V3717" s="48"/>
      <c r="W3717" s="48"/>
      <c r="X3717" s="48"/>
      <c r="Y3717" s="48"/>
      <c r="Z3717" s="48"/>
      <c r="AA3717" s="48"/>
      <c r="AB3717" s="48"/>
      <c r="AC3717" s="48"/>
      <c r="AD3717" s="48"/>
      <c r="AE3717" s="48"/>
      <c r="AF3717" s="48"/>
      <c r="AG3717" s="48"/>
      <c r="AH3717" s="48"/>
      <c r="AI3717" s="48"/>
      <c r="AJ3717" s="48"/>
      <c r="AK3717" s="48"/>
      <c r="AL3717" s="48"/>
      <c r="AM3717" s="48"/>
      <c r="AN3717" s="48"/>
      <c r="AO3717" s="48"/>
      <c r="AP3717" s="48"/>
      <c r="AQ3717" s="48"/>
      <c r="AR3717" s="48"/>
      <c r="AS3717" s="48"/>
      <c r="AT3717" s="48"/>
      <c r="AU3717" s="48"/>
      <c r="AV3717" s="48"/>
      <c r="AW3717" s="48"/>
      <c r="AX3717" s="48"/>
      <c r="AY3717" s="48"/>
      <c r="AZ3717" s="48"/>
      <c r="BA3717" s="48"/>
      <c r="BB3717" s="48"/>
      <c r="BC3717" s="48"/>
      <c r="BD3717" s="48"/>
    </row>
    <row r="3718" spans="1:56">
      <c r="A3718" s="48"/>
      <c r="B3718" s="48"/>
      <c r="C3718" s="49"/>
      <c r="D3718" s="48"/>
      <c r="E3718" s="48"/>
      <c r="F3718" s="48"/>
      <c r="G3718" s="48"/>
      <c r="H3718" s="48"/>
      <c r="I3718" s="48"/>
      <c r="J3718" s="86"/>
      <c r="K3718" s="86"/>
      <c r="L3718" s="86"/>
      <c r="M3718" s="86"/>
      <c r="N3718" s="86"/>
      <c r="O3718" s="86"/>
      <c r="P3718" s="86"/>
      <c r="Q3718" s="86"/>
      <c r="R3718" s="86"/>
      <c r="S3718" s="86"/>
      <c r="T3718" s="86"/>
      <c r="U3718" s="86"/>
      <c r="V3718" s="48"/>
      <c r="W3718" s="48"/>
      <c r="X3718" s="48"/>
      <c r="Y3718" s="48"/>
      <c r="Z3718" s="48"/>
      <c r="AA3718" s="48"/>
      <c r="AB3718" s="48"/>
      <c r="AC3718" s="48"/>
      <c r="AD3718" s="48"/>
      <c r="AE3718" s="48"/>
      <c r="AF3718" s="48"/>
      <c r="AG3718" s="48"/>
      <c r="AH3718" s="48"/>
      <c r="AI3718" s="48"/>
      <c r="AJ3718" s="48"/>
      <c r="AK3718" s="48"/>
      <c r="AL3718" s="48"/>
      <c r="AM3718" s="48"/>
      <c r="AN3718" s="48"/>
      <c r="AO3718" s="48"/>
      <c r="AP3718" s="48"/>
      <c r="AQ3718" s="48"/>
      <c r="AR3718" s="48"/>
      <c r="AS3718" s="48"/>
      <c r="AT3718" s="48"/>
      <c r="AU3718" s="48"/>
      <c r="AV3718" s="48"/>
      <c r="AW3718" s="48"/>
      <c r="AX3718" s="48"/>
      <c r="AY3718" s="48"/>
      <c r="AZ3718" s="48"/>
      <c r="BA3718" s="48"/>
      <c r="BB3718" s="48"/>
      <c r="BC3718" s="48"/>
      <c r="BD3718" s="48"/>
    </row>
    <row r="3719" spans="1:56">
      <c r="A3719" s="48"/>
      <c r="B3719" s="48"/>
      <c r="C3719" s="49"/>
      <c r="D3719" s="48"/>
      <c r="E3719" s="48"/>
      <c r="F3719" s="48"/>
      <c r="G3719" s="48"/>
      <c r="H3719" s="48"/>
      <c r="I3719" s="48"/>
      <c r="J3719" s="86"/>
      <c r="K3719" s="86"/>
      <c r="L3719" s="86"/>
      <c r="M3719" s="86"/>
      <c r="N3719" s="86"/>
      <c r="O3719" s="86"/>
      <c r="P3719" s="86"/>
      <c r="Q3719" s="86"/>
      <c r="R3719" s="86"/>
      <c r="S3719" s="86"/>
      <c r="T3719" s="86"/>
      <c r="U3719" s="86"/>
      <c r="V3719" s="48"/>
      <c r="W3719" s="48"/>
      <c r="X3719" s="48"/>
      <c r="Y3719" s="48"/>
      <c r="Z3719" s="48"/>
      <c r="AA3719" s="48"/>
      <c r="AB3719" s="48"/>
      <c r="AC3719" s="48"/>
      <c r="AD3719" s="48"/>
      <c r="AE3719" s="48"/>
      <c r="AF3719" s="48"/>
      <c r="AG3719" s="48"/>
      <c r="AH3719" s="48"/>
      <c r="AI3719" s="48"/>
      <c r="AJ3719" s="48"/>
      <c r="AK3719" s="48"/>
      <c r="AL3719" s="48"/>
      <c r="AM3719" s="48"/>
      <c r="AN3719" s="48"/>
      <c r="AO3719" s="48"/>
      <c r="AP3719" s="48"/>
      <c r="AQ3719" s="48"/>
      <c r="AR3719" s="48"/>
      <c r="AS3719" s="48"/>
      <c r="AT3719" s="48"/>
      <c r="AU3719" s="48"/>
      <c r="AV3719" s="48"/>
      <c r="AW3719" s="48"/>
      <c r="AX3719" s="48"/>
      <c r="AY3719" s="48"/>
      <c r="AZ3719" s="48"/>
      <c r="BA3719" s="48"/>
      <c r="BB3719" s="48"/>
      <c r="BC3719" s="48"/>
      <c r="BD3719" s="48"/>
    </row>
    <row r="3720" spans="1:56">
      <c r="A3720" s="48"/>
      <c r="B3720" s="48"/>
      <c r="C3720" s="49"/>
      <c r="D3720" s="48"/>
      <c r="E3720" s="48"/>
      <c r="F3720" s="48"/>
      <c r="G3720" s="48"/>
      <c r="H3720" s="48"/>
      <c r="I3720" s="48"/>
      <c r="J3720" s="86"/>
      <c r="K3720" s="86"/>
      <c r="L3720" s="86"/>
      <c r="M3720" s="86"/>
      <c r="N3720" s="86"/>
      <c r="O3720" s="86"/>
      <c r="P3720" s="86"/>
      <c r="Q3720" s="86"/>
      <c r="R3720" s="86"/>
      <c r="S3720" s="86"/>
      <c r="T3720" s="86"/>
      <c r="U3720" s="86"/>
      <c r="V3720" s="48"/>
      <c r="W3720" s="48"/>
      <c r="X3720" s="48"/>
      <c r="Y3720" s="48"/>
      <c r="Z3720" s="48"/>
      <c r="AA3720" s="48"/>
      <c r="AB3720" s="48"/>
      <c r="AC3720" s="48"/>
      <c r="AD3720" s="48"/>
      <c r="AE3720" s="48"/>
      <c r="AF3720" s="48"/>
      <c r="AG3720" s="48"/>
      <c r="AH3720" s="48"/>
      <c r="AI3720" s="48"/>
      <c r="AJ3720" s="48"/>
      <c r="AK3720" s="48"/>
      <c r="AL3720" s="48"/>
      <c r="AM3720" s="48"/>
      <c r="AN3720" s="48"/>
      <c r="AO3720" s="48"/>
      <c r="AP3720" s="48"/>
      <c r="AQ3720" s="48"/>
      <c r="AR3720" s="48"/>
      <c r="AS3720" s="48"/>
      <c r="AT3720" s="48"/>
      <c r="AU3720" s="48"/>
      <c r="AV3720" s="48"/>
      <c r="AW3720" s="48"/>
      <c r="AX3720" s="48"/>
      <c r="AY3720" s="48"/>
      <c r="AZ3720" s="48"/>
      <c r="BA3720" s="48"/>
      <c r="BB3720" s="48"/>
      <c r="BC3720" s="48"/>
      <c r="BD3720" s="48"/>
    </row>
    <row r="3721" spans="1:56">
      <c r="A3721" s="48"/>
      <c r="B3721" s="48"/>
      <c r="C3721" s="49"/>
      <c r="D3721" s="48"/>
      <c r="E3721" s="48"/>
      <c r="F3721" s="48"/>
      <c r="G3721" s="48"/>
      <c r="H3721" s="48"/>
      <c r="I3721" s="48"/>
      <c r="J3721" s="86"/>
      <c r="K3721" s="86"/>
      <c r="L3721" s="86"/>
      <c r="M3721" s="86"/>
      <c r="N3721" s="86"/>
      <c r="O3721" s="86"/>
      <c r="P3721" s="86"/>
      <c r="Q3721" s="86"/>
      <c r="R3721" s="86"/>
      <c r="S3721" s="86"/>
      <c r="T3721" s="86"/>
      <c r="U3721" s="86"/>
      <c r="V3721" s="48"/>
      <c r="W3721" s="48"/>
      <c r="X3721" s="48"/>
      <c r="Y3721" s="48"/>
      <c r="Z3721" s="48"/>
      <c r="AA3721" s="48"/>
      <c r="AB3721" s="48"/>
      <c r="AC3721" s="48"/>
      <c r="AD3721" s="48"/>
      <c r="AE3721" s="48"/>
      <c r="AF3721" s="48"/>
      <c r="AG3721" s="48"/>
      <c r="AH3721" s="48"/>
      <c r="AI3721" s="48"/>
      <c r="AJ3721" s="48"/>
      <c r="AK3721" s="48"/>
      <c r="AL3721" s="48"/>
      <c r="AM3721" s="48"/>
      <c r="AN3721" s="48"/>
      <c r="AO3721" s="48"/>
      <c r="AP3721" s="48"/>
      <c r="AQ3721" s="48"/>
      <c r="AR3721" s="48"/>
      <c r="AS3721" s="48"/>
      <c r="AT3721" s="48"/>
      <c r="AU3721" s="48"/>
      <c r="AV3721" s="48"/>
      <c r="AW3721" s="48"/>
      <c r="AX3721" s="48"/>
      <c r="AY3721" s="48"/>
      <c r="AZ3721" s="48"/>
      <c r="BA3721" s="48"/>
      <c r="BB3721" s="48"/>
      <c r="BC3721" s="48"/>
      <c r="BD3721" s="48"/>
    </row>
    <row r="3722" spans="1:56">
      <c r="A3722" s="48"/>
      <c r="B3722" s="48"/>
      <c r="C3722" s="49"/>
      <c r="D3722" s="48"/>
      <c r="E3722" s="48"/>
      <c r="F3722" s="48"/>
      <c r="G3722" s="48"/>
      <c r="H3722" s="48"/>
      <c r="I3722" s="48"/>
      <c r="J3722" s="86"/>
      <c r="K3722" s="86"/>
      <c r="L3722" s="86"/>
      <c r="M3722" s="86"/>
      <c r="N3722" s="86"/>
      <c r="O3722" s="86"/>
      <c r="P3722" s="86"/>
      <c r="Q3722" s="86"/>
      <c r="R3722" s="86"/>
      <c r="S3722" s="86"/>
      <c r="T3722" s="86"/>
      <c r="U3722" s="86"/>
      <c r="V3722" s="48"/>
      <c r="W3722" s="48"/>
      <c r="X3722" s="48"/>
      <c r="Y3722" s="48"/>
      <c r="Z3722" s="48"/>
      <c r="AA3722" s="48"/>
      <c r="AB3722" s="48"/>
      <c r="AC3722" s="48"/>
      <c r="AD3722" s="48"/>
      <c r="AE3722" s="48"/>
      <c r="AF3722" s="48"/>
      <c r="AG3722" s="48"/>
      <c r="AH3722" s="48"/>
      <c r="AI3722" s="48"/>
      <c r="AJ3722" s="48"/>
      <c r="AK3722" s="48"/>
      <c r="AL3722" s="48"/>
      <c r="AM3722" s="48"/>
      <c r="AN3722" s="48"/>
      <c r="AO3722" s="48"/>
      <c r="AP3722" s="48"/>
      <c r="AQ3722" s="48"/>
      <c r="AR3722" s="48"/>
      <c r="AS3722" s="48"/>
      <c r="AT3722" s="48"/>
      <c r="AU3722" s="48"/>
      <c r="AV3722" s="48"/>
      <c r="AW3722" s="48"/>
      <c r="AX3722" s="48"/>
      <c r="AY3722" s="48"/>
      <c r="AZ3722" s="48"/>
      <c r="BA3722" s="48"/>
      <c r="BB3722" s="48"/>
      <c r="BC3722" s="48"/>
      <c r="BD3722" s="48"/>
    </row>
    <row r="3723" spans="1:56">
      <c r="A3723" s="48"/>
      <c r="B3723" s="48"/>
      <c r="C3723" s="49"/>
      <c r="D3723" s="48"/>
      <c r="E3723" s="48"/>
      <c r="F3723" s="48"/>
      <c r="G3723" s="48"/>
      <c r="H3723" s="48"/>
      <c r="I3723" s="48"/>
      <c r="J3723" s="86"/>
      <c r="K3723" s="86"/>
      <c r="L3723" s="86"/>
      <c r="M3723" s="86"/>
      <c r="N3723" s="86"/>
      <c r="O3723" s="86"/>
      <c r="P3723" s="86"/>
      <c r="Q3723" s="86"/>
      <c r="R3723" s="86"/>
      <c r="S3723" s="86"/>
      <c r="T3723" s="86"/>
      <c r="U3723" s="86"/>
      <c r="V3723" s="48"/>
      <c r="W3723" s="48"/>
      <c r="X3723" s="48"/>
      <c r="Y3723" s="48"/>
      <c r="Z3723" s="48"/>
      <c r="AA3723" s="48"/>
      <c r="AB3723" s="48"/>
      <c r="AC3723" s="48"/>
      <c r="AD3723" s="48"/>
      <c r="AE3723" s="48"/>
      <c r="AF3723" s="48"/>
      <c r="AG3723" s="48"/>
      <c r="AH3723" s="48"/>
      <c r="AI3723" s="48"/>
      <c r="AJ3723" s="48"/>
      <c r="AK3723" s="48"/>
      <c r="AL3723" s="48"/>
      <c r="AM3723" s="48"/>
      <c r="AN3723" s="48"/>
      <c r="AO3723" s="48"/>
      <c r="AP3723" s="48"/>
      <c r="AQ3723" s="48"/>
      <c r="AR3723" s="48"/>
      <c r="AS3723" s="48"/>
      <c r="AT3723" s="48"/>
      <c r="AU3723" s="48"/>
      <c r="AV3723" s="48"/>
      <c r="AW3723" s="48"/>
      <c r="AX3723" s="48"/>
      <c r="AY3723" s="48"/>
      <c r="AZ3723" s="48"/>
      <c r="BA3723" s="48"/>
      <c r="BB3723" s="48"/>
      <c r="BC3723" s="48"/>
      <c r="BD3723" s="48"/>
    </row>
    <row r="3724" spans="1:56">
      <c r="A3724" s="48"/>
      <c r="B3724" s="48"/>
      <c r="C3724" s="49"/>
      <c r="D3724" s="48"/>
      <c r="E3724" s="48"/>
      <c r="F3724" s="48"/>
      <c r="G3724" s="48"/>
      <c r="H3724" s="48"/>
      <c r="I3724" s="48"/>
      <c r="J3724" s="86"/>
      <c r="K3724" s="86"/>
      <c r="L3724" s="86"/>
      <c r="M3724" s="86"/>
      <c r="N3724" s="86"/>
      <c r="O3724" s="86"/>
      <c r="P3724" s="86"/>
      <c r="Q3724" s="86"/>
      <c r="R3724" s="86"/>
      <c r="S3724" s="86"/>
      <c r="T3724" s="86"/>
      <c r="U3724" s="86"/>
      <c r="V3724" s="48"/>
      <c r="W3724" s="48"/>
      <c r="X3724" s="48"/>
      <c r="Y3724" s="48"/>
      <c r="Z3724" s="48"/>
      <c r="AA3724" s="48"/>
      <c r="AB3724" s="48"/>
      <c r="AC3724" s="48"/>
      <c r="AD3724" s="48"/>
      <c r="AE3724" s="48"/>
      <c r="AF3724" s="48"/>
      <c r="AG3724" s="48"/>
      <c r="AH3724" s="48"/>
      <c r="AI3724" s="48"/>
      <c r="AJ3724" s="48"/>
      <c r="AK3724" s="48"/>
      <c r="AL3724" s="48"/>
      <c r="AM3724" s="48"/>
      <c r="AN3724" s="48"/>
      <c r="AO3724" s="48"/>
      <c r="AP3724" s="48"/>
      <c r="AQ3724" s="48"/>
      <c r="AR3724" s="48"/>
      <c r="AS3724" s="48"/>
      <c r="AT3724" s="48"/>
      <c r="AU3724" s="48"/>
      <c r="AV3724" s="48"/>
      <c r="AW3724" s="48"/>
      <c r="AX3724" s="48"/>
      <c r="AY3724" s="48"/>
      <c r="AZ3724" s="48"/>
      <c r="BA3724" s="48"/>
      <c r="BB3724" s="48"/>
      <c r="BC3724" s="48"/>
      <c r="BD3724" s="48"/>
    </row>
    <row r="3725" spans="1:56">
      <c r="A3725" s="48"/>
      <c r="B3725" s="48"/>
      <c r="C3725" s="49"/>
      <c r="D3725" s="48"/>
      <c r="E3725" s="48"/>
      <c r="F3725" s="48"/>
      <c r="G3725" s="48"/>
      <c r="H3725" s="48"/>
      <c r="I3725" s="48"/>
      <c r="J3725" s="86"/>
      <c r="K3725" s="86"/>
      <c r="L3725" s="86"/>
      <c r="M3725" s="86"/>
      <c r="N3725" s="86"/>
      <c r="O3725" s="86"/>
      <c r="P3725" s="86"/>
      <c r="Q3725" s="86"/>
      <c r="R3725" s="86"/>
      <c r="S3725" s="86"/>
      <c r="T3725" s="86"/>
      <c r="U3725" s="86"/>
      <c r="V3725" s="48"/>
      <c r="W3725" s="48"/>
      <c r="X3725" s="48"/>
      <c r="Y3725" s="48"/>
      <c r="Z3725" s="48"/>
      <c r="AA3725" s="48"/>
      <c r="AB3725" s="48"/>
      <c r="AC3725" s="48"/>
      <c r="AD3725" s="48"/>
      <c r="AE3725" s="48"/>
      <c r="AF3725" s="48"/>
      <c r="AG3725" s="48"/>
      <c r="AH3725" s="48"/>
      <c r="AI3725" s="48"/>
      <c r="AJ3725" s="48"/>
      <c r="AK3725" s="48"/>
      <c r="AL3725" s="48"/>
      <c r="AM3725" s="48"/>
      <c r="AN3725" s="48"/>
      <c r="AO3725" s="48"/>
      <c r="AP3725" s="48"/>
      <c r="AQ3725" s="48"/>
      <c r="AR3725" s="48"/>
      <c r="AS3725" s="48"/>
      <c r="AT3725" s="48"/>
      <c r="AU3725" s="48"/>
      <c r="AV3725" s="48"/>
      <c r="AW3725" s="48"/>
      <c r="AX3725" s="48"/>
      <c r="AY3725" s="48"/>
      <c r="AZ3725" s="48"/>
      <c r="BA3725" s="48"/>
      <c r="BB3725" s="48"/>
      <c r="BC3725" s="48"/>
      <c r="BD3725" s="48"/>
    </row>
    <row r="3726" spans="1:56">
      <c r="A3726" s="48"/>
      <c r="B3726" s="48"/>
      <c r="C3726" s="49"/>
      <c r="D3726" s="48"/>
      <c r="E3726" s="48"/>
      <c r="F3726" s="48"/>
      <c r="G3726" s="48"/>
      <c r="H3726" s="48"/>
      <c r="I3726" s="48"/>
      <c r="J3726" s="86"/>
      <c r="K3726" s="86"/>
      <c r="L3726" s="86"/>
      <c r="M3726" s="86"/>
      <c r="N3726" s="86"/>
      <c r="O3726" s="86"/>
      <c r="P3726" s="86"/>
      <c r="Q3726" s="86"/>
      <c r="R3726" s="86"/>
      <c r="S3726" s="86"/>
      <c r="T3726" s="86"/>
      <c r="U3726" s="86"/>
      <c r="V3726" s="48"/>
      <c r="W3726" s="48"/>
      <c r="X3726" s="48"/>
      <c r="Y3726" s="48"/>
      <c r="Z3726" s="48"/>
      <c r="AA3726" s="48"/>
      <c r="AB3726" s="48"/>
      <c r="AC3726" s="48"/>
      <c r="AD3726" s="48"/>
      <c r="AE3726" s="48"/>
      <c r="AF3726" s="48"/>
      <c r="AG3726" s="48"/>
      <c r="AH3726" s="48"/>
      <c r="AI3726" s="48"/>
      <c r="AJ3726" s="48"/>
      <c r="AK3726" s="48"/>
      <c r="AL3726" s="48"/>
      <c r="AM3726" s="48"/>
      <c r="AN3726" s="48"/>
      <c r="AO3726" s="48"/>
      <c r="AP3726" s="48"/>
      <c r="AQ3726" s="48"/>
      <c r="AR3726" s="48"/>
      <c r="AS3726" s="48"/>
      <c r="AT3726" s="48"/>
      <c r="AU3726" s="48"/>
      <c r="AV3726" s="48"/>
      <c r="AW3726" s="48"/>
      <c r="AX3726" s="48"/>
      <c r="AY3726" s="48"/>
      <c r="AZ3726" s="48"/>
      <c r="BA3726" s="48"/>
      <c r="BB3726" s="48"/>
      <c r="BC3726" s="48"/>
      <c r="BD3726" s="48"/>
    </row>
    <row r="3727" spans="1:56">
      <c r="A3727" s="48"/>
      <c r="B3727" s="48"/>
      <c r="C3727" s="49"/>
      <c r="D3727" s="48"/>
      <c r="E3727" s="48"/>
      <c r="F3727" s="48"/>
      <c r="G3727" s="48"/>
      <c r="H3727" s="48"/>
      <c r="I3727" s="48"/>
      <c r="J3727" s="86"/>
      <c r="K3727" s="86"/>
      <c r="L3727" s="86"/>
      <c r="M3727" s="86"/>
      <c r="N3727" s="86"/>
      <c r="O3727" s="86"/>
      <c r="P3727" s="86"/>
      <c r="Q3727" s="86"/>
      <c r="R3727" s="86"/>
      <c r="S3727" s="86"/>
      <c r="T3727" s="86"/>
      <c r="U3727" s="86"/>
      <c r="V3727" s="48"/>
      <c r="W3727" s="48"/>
      <c r="X3727" s="48"/>
      <c r="Y3727" s="48"/>
      <c r="Z3727" s="48"/>
      <c r="AA3727" s="48"/>
      <c r="AB3727" s="48"/>
      <c r="AC3727" s="48"/>
      <c r="AD3727" s="48"/>
      <c r="AE3727" s="48"/>
      <c r="AF3727" s="48"/>
      <c r="AG3727" s="48"/>
      <c r="AH3727" s="48"/>
      <c r="AI3727" s="48"/>
      <c r="AJ3727" s="48"/>
      <c r="AK3727" s="48"/>
      <c r="AL3727" s="48"/>
      <c r="AM3727" s="48"/>
      <c r="AN3727" s="48"/>
      <c r="AO3727" s="48"/>
      <c r="AP3727" s="48"/>
      <c r="AQ3727" s="48"/>
      <c r="AR3727" s="48"/>
      <c r="AS3727" s="48"/>
      <c r="AT3727" s="48"/>
      <c r="AU3727" s="48"/>
      <c r="AV3727" s="48"/>
      <c r="AW3727" s="48"/>
      <c r="AX3727" s="48"/>
      <c r="AY3727" s="48"/>
      <c r="AZ3727" s="48"/>
      <c r="BA3727" s="48"/>
      <c r="BB3727" s="48"/>
      <c r="BC3727" s="48"/>
      <c r="BD3727" s="48"/>
    </row>
    <row r="3728" spans="1:56">
      <c r="A3728" s="48"/>
      <c r="B3728" s="48"/>
      <c r="C3728" s="49"/>
      <c r="D3728" s="48"/>
      <c r="E3728" s="48"/>
      <c r="F3728" s="48"/>
      <c r="G3728" s="48"/>
      <c r="H3728" s="48"/>
      <c r="I3728" s="48"/>
      <c r="J3728" s="86"/>
      <c r="K3728" s="86"/>
      <c r="L3728" s="86"/>
      <c r="M3728" s="86"/>
      <c r="N3728" s="86"/>
      <c r="O3728" s="86"/>
      <c r="P3728" s="86"/>
      <c r="Q3728" s="86"/>
      <c r="R3728" s="86"/>
      <c r="S3728" s="86"/>
      <c r="T3728" s="86"/>
      <c r="U3728" s="86"/>
      <c r="V3728" s="48"/>
      <c r="W3728" s="48"/>
      <c r="X3728" s="48"/>
      <c r="Y3728" s="48"/>
      <c r="Z3728" s="48"/>
      <c r="AA3728" s="48"/>
      <c r="AB3728" s="48"/>
      <c r="AC3728" s="48"/>
      <c r="AD3728" s="48"/>
      <c r="AE3728" s="48"/>
      <c r="AF3728" s="48"/>
      <c r="AG3728" s="48"/>
      <c r="AH3728" s="48"/>
      <c r="AI3728" s="48"/>
      <c r="AJ3728" s="48"/>
      <c r="AK3728" s="48"/>
      <c r="AL3728" s="48"/>
      <c r="AM3728" s="48"/>
      <c r="AN3728" s="48"/>
      <c r="AO3728" s="48"/>
      <c r="AP3728" s="48"/>
      <c r="AQ3728" s="48"/>
      <c r="AR3728" s="48"/>
      <c r="AS3728" s="48"/>
      <c r="AT3728" s="48"/>
      <c r="AU3728" s="48"/>
      <c r="AV3728" s="48"/>
      <c r="AW3728" s="48"/>
      <c r="AX3728" s="48"/>
      <c r="AY3728" s="48"/>
      <c r="AZ3728" s="48"/>
      <c r="BA3728" s="48"/>
      <c r="BB3728" s="48"/>
      <c r="BC3728" s="48"/>
      <c r="BD3728" s="48"/>
    </row>
    <row r="3729" spans="1:56">
      <c r="A3729" s="48"/>
      <c r="B3729" s="48"/>
      <c r="C3729" s="49"/>
      <c r="D3729" s="48"/>
      <c r="E3729" s="48"/>
      <c r="F3729" s="48"/>
      <c r="G3729" s="48"/>
      <c r="H3729" s="48"/>
      <c r="I3729" s="48"/>
      <c r="J3729" s="86"/>
      <c r="K3729" s="86"/>
      <c r="L3729" s="86"/>
      <c r="M3729" s="86"/>
      <c r="N3729" s="86"/>
      <c r="O3729" s="86"/>
      <c r="P3729" s="86"/>
      <c r="Q3729" s="86"/>
      <c r="R3729" s="86"/>
      <c r="S3729" s="86"/>
      <c r="T3729" s="86"/>
      <c r="U3729" s="86"/>
      <c r="V3729" s="48"/>
      <c r="W3729" s="48"/>
      <c r="X3729" s="48"/>
      <c r="Y3729" s="48"/>
      <c r="Z3729" s="48"/>
      <c r="AA3729" s="48"/>
      <c r="AB3729" s="48"/>
      <c r="AC3729" s="48"/>
      <c r="AD3729" s="48"/>
      <c r="AE3729" s="48"/>
      <c r="AF3729" s="48"/>
      <c r="AG3729" s="48"/>
      <c r="AH3729" s="48"/>
      <c r="AI3729" s="48"/>
      <c r="AJ3729" s="48"/>
      <c r="AK3729" s="48"/>
      <c r="AL3729" s="48"/>
      <c r="AM3729" s="48"/>
      <c r="AN3729" s="48"/>
      <c r="AO3729" s="48"/>
      <c r="AP3729" s="48"/>
      <c r="AQ3729" s="48"/>
      <c r="AR3729" s="48"/>
      <c r="AS3729" s="48"/>
      <c r="AT3729" s="48"/>
      <c r="AU3729" s="48"/>
      <c r="AV3729" s="48"/>
      <c r="AW3729" s="48"/>
      <c r="AX3729" s="48"/>
      <c r="AY3729" s="48"/>
      <c r="AZ3729" s="48"/>
      <c r="BA3729" s="48"/>
      <c r="BB3729" s="48"/>
      <c r="BC3729" s="48"/>
      <c r="BD3729" s="48"/>
    </row>
    <row r="3730" spans="1:56">
      <c r="A3730" s="48"/>
      <c r="B3730" s="48"/>
      <c r="C3730" s="49"/>
      <c r="D3730" s="48"/>
      <c r="E3730" s="48"/>
      <c r="F3730" s="48"/>
      <c r="G3730" s="48"/>
      <c r="H3730" s="48"/>
      <c r="I3730" s="48"/>
      <c r="J3730" s="86"/>
      <c r="K3730" s="86"/>
      <c r="L3730" s="86"/>
      <c r="M3730" s="86"/>
      <c r="N3730" s="86"/>
      <c r="O3730" s="86"/>
      <c r="P3730" s="86"/>
      <c r="Q3730" s="86"/>
      <c r="R3730" s="86"/>
      <c r="S3730" s="86"/>
      <c r="T3730" s="86"/>
      <c r="U3730" s="86"/>
      <c r="V3730" s="48"/>
      <c r="W3730" s="48"/>
      <c r="X3730" s="48"/>
      <c r="Y3730" s="48"/>
      <c r="Z3730" s="48"/>
      <c r="AA3730" s="48"/>
      <c r="AB3730" s="48"/>
      <c r="AC3730" s="48"/>
      <c r="AD3730" s="48"/>
      <c r="AE3730" s="48"/>
      <c r="AF3730" s="48"/>
      <c r="AG3730" s="48"/>
      <c r="AH3730" s="48"/>
      <c r="AI3730" s="48"/>
      <c r="AJ3730" s="48"/>
      <c r="AK3730" s="48"/>
      <c r="AL3730" s="48"/>
      <c r="AM3730" s="48"/>
      <c r="AN3730" s="48"/>
      <c r="AO3730" s="48"/>
      <c r="AP3730" s="48"/>
      <c r="AQ3730" s="48"/>
      <c r="AR3730" s="48"/>
      <c r="AS3730" s="48"/>
      <c r="AT3730" s="48"/>
      <c r="AU3730" s="48"/>
      <c r="AV3730" s="48"/>
      <c r="AW3730" s="48"/>
      <c r="AX3730" s="48"/>
      <c r="AY3730" s="48"/>
      <c r="AZ3730" s="48"/>
      <c r="BA3730" s="48"/>
      <c r="BB3730" s="48"/>
      <c r="BC3730" s="48"/>
      <c r="BD3730" s="48"/>
    </row>
    <row r="3731" spans="1:56">
      <c r="A3731" s="48"/>
      <c r="B3731" s="48"/>
      <c r="C3731" s="49"/>
      <c r="D3731" s="48"/>
      <c r="E3731" s="48"/>
      <c r="F3731" s="48"/>
      <c r="G3731" s="48"/>
      <c r="H3731" s="48"/>
      <c r="I3731" s="48"/>
      <c r="J3731" s="86"/>
      <c r="K3731" s="86"/>
      <c r="L3731" s="86"/>
      <c r="M3731" s="86"/>
      <c r="N3731" s="86"/>
      <c r="O3731" s="86"/>
      <c r="P3731" s="86"/>
      <c r="Q3731" s="86"/>
      <c r="R3731" s="86"/>
      <c r="S3731" s="86"/>
      <c r="T3731" s="86"/>
      <c r="U3731" s="86"/>
      <c r="V3731" s="48"/>
      <c r="W3731" s="48"/>
      <c r="X3731" s="48"/>
      <c r="Y3731" s="48"/>
      <c r="Z3731" s="48"/>
      <c r="AA3731" s="48"/>
      <c r="AB3731" s="48"/>
      <c r="AC3731" s="48"/>
      <c r="AD3731" s="48"/>
      <c r="AE3731" s="48"/>
      <c r="AF3731" s="48"/>
      <c r="AG3731" s="48"/>
      <c r="AH3731" s="48"/>
      <c r="AI3731" s="48"/>
      <c r="AJ3731" s="48"/>
      <c r="AK3731" s="48"/>
      <c r="AL3731" s="48"/>
      <c r="AM3731" s="48"/>
      <c r="AN3731" s="48"/>
      <c r="AO3731" s="48"/>
      <c r="AP3731" s="48"/>
      <c r="AQ3731" s="48"/>
      <c r="AR3731" s="48"/>
      <c r="AS3731" s="48"/>
      <c r="AT3731" s="48"/>
      <c r="AU3731" s="48"/>
      <c r="AV3731" s="48"/>
      <c r="AW3731" s="48"/>
      <c r="AX3731" s="48"/>
      <c r="AY3731" s="48"/>
      <c r="AZ3731" s="48"/>
      <c r="BA3731" s="48"/>
      <c r="BB3731" s="48"/>
      <c r="BC3731" s="48"/>
      <c r="BD3731" s="48"/>
    </row>
    <row r="3732" spans="1:56">
      <c r="A3732" s="48"/>
      <c r="B3732" s="48"/>
      <c r="C3732" s="49"/>
      <c r="D3732" s="48"/>
      <c r="E3732" s="48"/>
      <c r="F3732" s="48"/>
      <c r="G3732" s="48"/>
      <c r="H3732" s="48"/>
      <c r="I3732" s="48"/>
      <c r="J3732" s="86"/>
      <c r="K3732" s="86"/>
      <c r="L3732" s="86"/>
      <c r="M3732" s="86"/>
      <c r="N3732" s="86"/>
      <c r="O3732" s="86"/>
      <c r="P3732" s="86"/>
      <c r="Q3732" s="86"/>
      <c r="R3732" s="86"/>
      <c r="S3732" s="86"/>
      <c r="T3732" s="86"/>
      <c r="U3732" s="86"/>
      <c r="V3732" s="48"/>
      <c r="W3732" s="48"/>
      <c r="X3732" s="48"/>
      <c r="Y3732" s="48"/>
      <c r="Z3732" s="48"/>
      <c r="AA3732" s="48"/>
      <c r="AB3732" s="48"/>
      <c r="AC3732" s="48"/>
      <c r="AD3732" s="48"/>
      <c r="AE3732" s="48"/>
      <c r="AF3732" s="48"/>
      <c r="AG3732" s="48"/>
      <c r="AH3732" s="48"/>
      <c r="AI3732" s="48"/>
      <c r="AJ3732" s="48"/>
      <c r="AK3732" s="48"/>
      <c r="AL3732" s="48"/>
      <c r="AM3732" s="48"/>
      <c r="AN3732" s="48"/>
      <c r="AO3732" s="48"/>
      <c r="AP3732" s="48"/>
      <c r="AQ3732" s="48"/>
      <c r="AR3732" s="48"/>
      <c r="AS3732" s="48"/>
      <c r="AT3732" s="48"/>
      <c r="AU3732" s="48"/>
      <c r="AV3732" s="48"/>
      <c r="AW3732" s="48"/>
      <c r="AX3732" s="48"/>
      <c r="AY3732" s="48"/>
      <c r="AZ3732" s="48"/>
      <c r="BA3732" s="48"/>
      <c r="BB3732" s="48"/>
      <c r="BC3732" s="48"/>
      <c r="BD3732" s="48"/>
    </row>
    <row r="3733" spans="1:56">
      <c r="A3733" s="48"/>
      <c r="B3733" s="48"/>
      <c r="C3733" s="49"/>
      <c r="D3733" s="48"/>
      <c r="E3733" s="48"/>
      <c r="F3733" s="48"/>
      <c r="G3733" s="48"/>
      <c r="H3733" s="48"/>
      <c r="I3733" s="48"/>
      <c r="J3733" s="86"/>
      <c r="K3733" s="86"/>
      <c r="L3733" s="86"/>
      <c r="M3733" s="86"/>
      <c r="N3733" s="86"/>
      <c r="O3733" s="86"/>
      <c r="P3733" s="86"/>
      <c r="Q3733" s="86"/>
      <c r="R3733" s="86"/>
      <c r="S3733" s="86"/>
      <c r="T3733" s="86"/>
      <c r="U3733" s="86"/>
      <c r="V3733" s="48"/>
      <c r="W3733" s="48"/>
      <c r="X3733" s="48"/>
      <c r="Y3733" s="48"/>
      <c r="Z3733" s="48"/>
      <c r="AA3733" s="48"/>
      <c r="AB3733" s="48"/>
      <c r="AC3733" s="48"/>
      <c r="AD3733" s="48"/>
      <c r="AE3733" s="48"/>
      <c r="AF3733" s="48"/>
      <c r="AG3733" s="48"/>
      <c r="AH3733" s="48"/>
      <c r="AI3733" s="48"/>
      <c r="AJ3733" s="48"/>
      <c r="AK3733" s="48"/>
      <c r="AL3733" s="48"/>
      <c r="AM3733" s="48"/>
      <c r="AN3733" s="48"/>
      <c r="AO3733" s="48"/>
      <c r="AP3733" s="48"/>
      <c r="AQ3733" s="48"/>
      <c r="AR3733" s="48"/>
      <c r="AS3733" s="48"/>
      <c r="AT3733" s="48"/>
      <c r="AU3733" s="48"/>
      <c r="AV3733" s="48"/>
      <c r="AW3733" s="48"/>
      <c r="AX3733" s="48"/>
      <c r="AY3733" s="48"/>
      <c r="AZ3733" s="48"/>
      <c r="BA3733" s="48"/>
      <c r="BB3733" s="48"/>
      <c r="BC3733" s="48"/>
      <c r="BD3733" s="48"/>
    </row>
    <row r="3734" spans="1:56">
      <c r="A3734" s="48"/>
      <c r="B3734" s="48"/>
      <c r="C3734" s="49"/>
      <c r="D3734" s="48"/>
      <c r="E3734" s="48"/>
      <c r="F3734" s="48"/>
      <c r="G3734" s="48"/>
      <c r="H3734" s="48"/>
      <c r="I3734" s="48"/>
      <c r="J3734" s="86"/>
      <c r="K3734" s="86"/>
      <c r="L3734" s="86"/>
      <c r="M3734" s="86"/>
      <c r="N3734" s="86"/>
      <c r="O3734" s="86"/>
      <c r="P3734" s="86"/>
      <c r="Q3734" s="86"/>
      <c r="R3734" s="86"/>
      <c r="S3734" s="86"/>
      <c r="T3734" s="86"/>
      <c r="U3734" s="86"/>
      <c r="V3734" s="48"/>
      <c r="W3734" s="48"/>
      <c r="X3734" s="48"/>
      <c r="Y3734" s="48"/>
      <c r="Z3734" s="48"/>
      <c r="AA3734" s="48"/>
      <c r="AB3734" s="48"/>
      <c r="AC3734" s="48"/>
      <c r="AD3734" s="48"/>
      <c r="AE3734" s="48"/>
      <c r="AF3734" s="48"/>
      <c r="AG3734" s="48"/>
      <c r="AH3734" s="48"/>
      <c r="AI3734" s="48"/>
      <c r="AJ3734" s="48"/>
      <c r="AK3734" s="48"/>
      <c r="AL3734" s="48"/>
      <c r="AM3734" s="48"/>
      <c r="AN3734" s="48"/>
      <c r="AO3734" s="48"/>
      <c r="AP3734" s="48"/>
      <c r="AQ3734" s="48"/>
      <c r="AR3734" s="48"/>
      <c r="AS3734" s="48"/>
      <c r="AT3734" s="48"/>
      <c r="AU3734" s="48"/>
      <c r="AV3734" s="48"/>
      <c r="AW3734" s="48"/>
      <c r="AX3734" s="48"/>
      <c r="AY3734" s="48"/>
      <c r="AZ3734" s="48"/>
      <c r="BA3734" s="48"/>
      <c r="BB3734" s="48"/>
      <c r="BC3734" s="48"/>
      <c r="BD3734" s="48"/>
    </row>
    <row r="3735" spans="1:56">
      <c r="A3735" s="48"/>
      <c r="B3735" s="48"/>
      <c r="C3735" s="49"/>
      <c r="D3735" s="48"/>
      <c r="E3735" s="48"/>
      <c r="F3735" s="48"/>
      <c r="G3735" s="48"/>
      <c r="H3735" s="48"/>
      <c r="I3735" s="48"/>
      <c r="J3735" s="86"/>
      <c r="K3735" s="86"/>
      <c r="L3735" s="86"/>
      <c r="M3735" s="86"/>
      <c r="N3735" s="86"/>
      <c r="O3735" s="86"/>
      <c r="P3735" s="86"/>
      <c r="Q3735" s="86"/>
      <c r="R3735" s="86"/>
      <c r="S3735" s="86"/>
      <c r="T3735" s="86"/>
      <c r="U3735" s="86"/>
      <c r="V3735" s="48"/>
      <c r="W3735" s="48"/>
      <c r="X3735" s="48"/>
      <c r="Y3735" s="48"/>
      <c r="Z3735" s="48"/>
      <c r="AA3735" s="48"/>
      <c r="AB3735" s="48"/>
      <c r="AC3735" s="48"/>
      <c r="AD3735" s="48"/>
      <c r="AE3735" s="48"/>
      <c r="AF3735" s="48"/>
      <c r="AG3735" s="48"/>
      <c r="AH3735" s="48"/>
      <c r="AI3735" s="48"/>
      <c r="AJ3735" s="48"/>
      <c r="AK3735" s="48"/>
      <c r="AL3735" s="48"/>
      <c r="AM3735" s="48"/>
      <c r="AN3735" s="48"/>
      <c r="AO3735" s="48"/>
      <c r="AP3735" s="48"/>
      <c r="AQ3735" s="48"/>
      <c r="AR3735" s="48"/>
      <c r="AS3735" s="48"/>
      <c r="AT3735" s="48"/>
      <c r="AU3735" s="48"/>
      <c r="AV3735" s="48"/>
      <c r="AW3735" s="48"/>
      <c r="AX3735" s="48"/>
      <c r="AY3735" s="48"/>
      <c r="AZ3735" s="48"/>
      <c r="BA3735" s="48"/>
      <c r="BB3735" s="48"/>
      <c r="BC3735" s="48"/>
      <c r="BD3735" s="48"/>
    </row>
    <row r="3736" spans="1:56">
      <c r="A3736" s="48"/>
      <c r="B3736" s="48"/>
      <c r="C3736" s="49"/>
      <c r="D3736" s="48"/>
      <c r="E3736" s="48"/>
      <c r="F3736" s="48"/>
      <c r="G3736" s="48"/>
      <c r="H3736" s="48"/>
      <c r="I3736" s="48"/>
      <c r="J3736" s="86"/>
      <c r="K3736" s="86"/>
      <c r="L3736" s="86"/>
      <c r="M3736" s="86"/>
      <c r="N3736" s="86"/>
      <c r="O3736" s="86"/>
      <c r="P3736" s="86"/>
      <c r="Q3736" s="86"/>
      <c r="R3736" s="86"/>
      <c r="S3736" s="86"/>
      <c r="T3736" s="86"/>
      <c r="U3736" s="86"/>
      <c r="V3736" s="48"/>
      <c r="W3736" s="48"/>
      <c r="X3736" s="48"/>
      <c r="Y3736" s="48"/>
      <c r="Z3736" s="48"/>
      <c r="AA3736" s="48"/>
      <c r="AB3736" s="48"/>
      <c r="AC3736" s="48"/>
      <c r="AD3736" s="48"/>
      <c r="AE3736" s="48"/>
      <c r="AF3736" s="48"/>
      <c r="AG3736" s="48"/>
      <c r="AH3736" s="48"/>
      <c r="AI3736" s="48"/>
      <c r="AJ3736" s="48"/>
      <c r="AK3736" s="48"/>
      <c r="AL3736" s="48"/>
      <c r="AM3736" s="48"/>
      <c r="AN3736" s="48"/>
      <c r="AO3736" s="48"/>
      <c r="AP3736" s="48"/>
      <c r="AQ3736" s="48"/>
      <c r="AR3736" s="48"/>
      <c r="AS3736" s="48"/>
      <c r="AT3736" s="48"/>
      <c r="AU3736" s="48"/>
      <c r="AV3736" s="48"/>
      <c r="AW3736" s="48"/>
      <c r="AX3736" s="48"/>
      <c r="AY3736" s="48"/>
      <c r="AZ3736" s="48"/>
      <c r="BA3736" s="48"/>
      <c r="BB3736" s="48"/>
      <c r="BC3736" s="48"/>
      <c r="BD3736" s="48"/>
    </row>
    <row r="3737" spans="1:56">
      <c r="A3737" s="48"/>
      <c r="B3737" s="48"/>
      <c r="C3737" s="49"/>
      <c r="D3737" s="48"/>
      <c r="E3737" s="48"/>
      <c r="F3737" s="48"/>
      <c r="G3737" s="48"/>
      <c r="H3737" s="48"/>
      <c r="I3737" s="48"/>
      <c r="J3737" s="86"/>
      <c r="K3737" s="86"/>
      <c r="L3737" s="86"/>
      <c r="M3737" s="86"/>
      <c r="N3737" s="86"/>
      <c r="O3737" s="86"/>
      <c r="P3737" s="86"/>
      <c r="Q3737" s="86"/>
      <c r="R3737" s="86"/>
      <c r="S3737" s="86"/>
      <c r="T3737" s="86"/>
      <c r="U3737" s="86"/>
      <c r="V3737" s="48"/>
      <c r="W3737" s="48"/>
      <c r="X3737" s="48"/>
      <c r="Y3737" s="48"/>
      <c r="Z3737" s="48"/>
      <c r="AA3737" s="48"/>
      <c r="AB3737" s="48"/>
      <c r="AC3737" s="48"/>
      <c r="AD3737" s="48"/>
      <c r="AE3737" s="48"/>
      <c r="AF3737" s="48"/>
      <c r="AG3737" s="48"/>
      <c r="AH3737" s="48"/>
      <c r="AI3737" s="48"/>
      <c r="AJ3737" s="48"/>
      <c r="AK3737" s="48"/>
      <c r="AL3737" s="48"/>
      <c r="AM3737" s="48"/>
      <c r="AN3737" s="48"/>
      <c r="AO3737" s="48"/>
      <c r="AP3737" s="48"/>
      <c r="AQ3737" s="48"/>
      <c r="AR3737" s="48"/>
      <c r="AS3737" s="48"/>
      <c r="AT3737" s="48"/>
      <c r="AU3737" s="48"/>
      <c r="AV3737" s="48"/>
      <c r="AW3737" s="48"/>
      <c r="AX3737" s="48"/>
      <c r="AY3737" s="48"/>
      <c r="AZ3737" s="48"/>
      <c r="BA3737" s="48"/>
      <c r="BB3737" s="48"/>
      <c r="BC3737" s="48"/>
      <c r="BD3737" s="48"/>
    </row>
    <row r="3738" spans="1:56">
      <c r="A3738" s="48"/>
      <c r="B3738" s="48"/>
      <c r="C3738" s="49"/>
      <c r="D3738" s="48"/>
      <c r="E3738" s="48"/>
      <c r="F3738" s="48"/>
      <c r="G3738" s="48"/>
      <c r="H3738" s="48"/>
      <c r="I3738" s="48"/>
      <c r="J3738" s="86"/>
      <c r="K3738" s="86"/>
      <c r="L3738" s="86"/>
      <c r="M3738" s="86"/>
      <c r="N3738" s="86"/>
      <c r="O3738" s="86"/>
      <c r="P3738" s="86"/>
      <c r="Q3738" s="86"/>
      <c r="R3738" s="86"/>
      <c r="S3738" s="86"/>
      <c r="T3738" s="86"/>
      <c r="U3738" s="86"/>
      <c r="V3738" s="48"/>
      <c r="W3738" s="48"/>
      <c r="X3738" s="48"/>
      <c r="Y3738" s="48"/>
      <c r="Z3738" s="48"/>
      <c r="AA3738" s="48"/>
      <c r="AB3738" s="48"/>
      <c r="AC3738" s="48"/>
      <c r="AD3738" s="48"/>
      <c r="AE3738" s="48"/>
      <c r="AF3738" s="48"/>
      <c r="AG3738" s="48"/>
      <c r="AH3738" s="48"/>
      <c r="AI3738" s="48"/>
      <c r="AJ3738" s="48"/>
      <c r="AK3738" s="48"/>
      <c r="AL3738" s="48"/>
      <c r="AM3738" s="48"/>
      <c r="AN3738" s="48"/>
      <c r="AO3738" s="48"/>
      <c r="AP3738" s="48"/>
      <c r="AQ3738" s="48"/>
      <c r="AR3738" s="48"/>
      <c r="AS3738" s="48"/>
      <c r="AT3738" s="48"/>
      <c r="AU3738" s="48"/>
      <c r="AV3738" s="48"/>
      <c r="AW3738" s="48"/>
      <c r="AX3738" s="48"/>
      <c r="AY3738" s="48"/>
      <c r="AZ3738" s="48"/>
      <c r="BA3738" s="48"/>
      <c r="BB3738" s="48"/>
      <c r="BC3738" s="48"/>
      <c r="BD3738" s="48"/>
    </row>
    <row r="3739" spans="1:56">
      <c r="A3739" s="48"/>
      <c r="B3739" s="48"/>
      <c r="C3739" s="49"/>
      <c r="D3739" s="48"/>
      <c r="E3739" s="48"/>
      <c r="F3739" s="48"/>
      <c r="G3739" s="48"/>
      <c r="H3739" s="48"/>
      <c r="I3739" s="48"/>
      <c r="J3739" s="86"/>
      <c r="K3739" s="86"/>
      <c r="L3739" s="86"/>
      <c r="M3739" s="86"/>
      <c r="N3739" s="86"/>
      <c r="O3739" s="86"/>
      <c r="P3739" s="86"/>
      <c r="Q3739" s="86"/>
      <c r="R3739" s="86"/>
      <c r="S3739" s="86"/>
      <c r="T3739" s="86"/>
      <c r="U3739" s="86"/>
      <c r="V3739" s="48"/>
      <c r="W3739" s="48"/>
      <c r="X3739" s="48"/>
      <c r="Y3739" s="48"/>
      <c r="Z3739" s="48"/>
      <c r="AA3739" s="48"/>
      <c r="AB3739" s="48"/>
      <c r="AC3739" s="48"/>
      <c r="AD3739" s="48"/>
      <c r="AE3739" s="48"/>
      <c r="AF3739" s="48"/>
      <c r="AG3739" s="48"/>
      <c r="AH3739" s="48"/>
      <c r="AI3739" s="48"/>
      <c r="AJ3739" s="48"/>
      <c r="AK3739" s="48"/>
      <c r="AL3739" s="48"/>
      <c r="AM3739" s="48"/>
      <c r="AN3739" s="48"/>
      <c r="AO3739" s="48"/>
      <c r="AP3739" s="48"/>
      <c r="AQ3739" s="48"/>
      <c r="AR3739" s="48"/>
      <c r="AS3739" s="48"/>
      <c r="AT3739" s="48"/>
      <c r="AU3739" s="48"/>
      <c r="AV3739" s="48"/>
      <c r="AW3739" s="48"/>
      <c r="AX3739" s="48"/>
      <c r="AY3739" s="48"/>
      <c r="AZ3739" s="48"/>
      <c r="BA3739" s="48"/>
      <c r="BB3739" s="48"/>
      <c r="BC3739" s="48"/>
      <c r="BD3739" s="48"/>
    </row>
    <row r="3740" spans="1:56">
      <c r="A3740" s="48"/>
      <c r="B3740" s="48"/>
      <c r="C3740" s="49"/>
      <c r="D3740" s="48"/>
      <c r="E3740" s="48"/>
      <c r="F3740" s="48"/>
      <c r="G3740" s="48"/>
      <c r="H3740" s="48"/>
      <c r="I3740" s="48"/>
      <c r="J3740" s="86"/>
      <c r="K3740" s="86"/>
      <c r="L3740" s="86"/>
      <c r="M3740" s="86"/>
      <c r="N3740" s="86"/>
      <c r="O3740" s="86"/>
      <c r="P3740" s="86"/>
      <c r="Q3740" s="86"/>
      <c r="R3740" s="86"/>
      <c r="S3740" s="86"/>
      <c r="T3740" s="86"/>
      <c r="U3740" s="86"/>
      <c r="V3740" s="48"/>
      <c r="W3740" s="48"/>
      <c r="X3740" s="48"/>
      <c r="Y3740" s="48"/>
      <c r="Z3740" s="48"/>
      <c r="AA3740" s="48"/>
      <c r="AB3740" s="48"/>
      <c r="AC3740" s="48"/>
      <c r="AD3740" s="48"/>
      <c r="AE3740" s="48"/>
      <c r="AF3740" s="48"/>
      <c r="AG3740" s="48"/>
      <c r="AH3740" s="48"/>
      <c r="AI3740" s="48"/>
      <c r="AJ3740" s="48"/>
      <c r="AK3740" s="48"/>
      <c r="AL3740" s="48"/>
      <c r="AM3740" s="48"/>
      <c r="AN3740" s="48"/>
      <c r="AO3740" s="48"/>
      <c r="AP3740" s="48"/>
      <c r="AQ3740" s="48"/>
      <c r="AR3740" s="48"/>
      <c r="AS3740" s="48"/>
      <c r="AT3740" s="48"/>
      <c r="AU3740" s="48"/>
      <c r="AV3740" s="48"/>
      <c r="AW3740" s="48"/>
      <c r="AX3740" s="48"/>
      <c r="AY3740" s="48"/>
      <c r="AZ3740" s="48"/>
      <c r="BA3740" s="48"/>
      <c r="BB3740" s="48"/>
      <c r="BC3740" s="48"/>
      <c r="BD3740" s="48"/>
    </row>
    <row r="3741" spans="1:56">
      <c r="A3741" s="48"/>
      <c r="B3741" s="48"/>
      <c r="C3741" s="49"/>
      <c r="D3741" s="48"/>
      <c r="E3741" s="48"/>
      <c r="F3741" s="48"/>
      <c r="G3741" s="48"/>
      <c r="H3741" s="48"/>
      <c r="I3741" s="48"/>
      <c r="J3741" s="86"/>
      <c r="K3741" s="86"/>
      <c r="L3741" s="86"/>
      <c r="M3741" s="86"/>
      <c r="N3741" s="86"/>
      <c r="O3741" s="86"/>
      <c r="P3741" s="86"/>
      <c r="Q3741" s="86"/>
      <c r="R3741" s="86"/>
      <c r="S3741" s="86"/>
      <c r="T3741" s="86"/>
      <c r="U3741" s="86"/>
      <c r="V3741" s="48"/>
      <c r="W3741" s="48"/>
      <c r="X3741" s="48"/>
      <c r="Y3741" s="48"/>
      <c r="Z3741" s="48"/>
      <c r="AA3741" s="48"/>
      <c r="AB3741" s="48"/>
      <c r="AC3741" s="48"/>
      <c r="AD3741" s="48"/>
      <c r="AE3741" s="48"/>
      <c r="AF3741" s="48"/>
      <c r="AG3741" s="48"/>
      <c r="AH3741" s="48"/>
      <c r="AI3741" s="48"/>
      <c r="AJ3741" s="48"/>
      <c r="AK3741" s="48"/>
      <c r="AL3741" s="48"/>
      <c r="AM3741" s="48"/>
      <c r="AN3741" s="48"/>
      <c r="AO3741" s="48"/>
      <c r="AP3741" s="48"/>
      <c r="AQ3741" s="48"/>
      <c r="AR3741" s="48"/>
      <c r="AS3741" s="48"/>
      <c r="AT3741" s="48"/>
      <c r="AU3741" s="48"/>
      <c r="AV3741" s="48"/>
      <c r="AW3741" s="48"/>
      <c r="AX3741" s="48"/>
      <c r="AY3741" s="48"/>
      <c r="AZ3741" s="48"/>
      <c r="BA3741" s="48"/>
      <c r="BB3741" s="48"/>
      <c r="BC3741" s="48"/>
      <c r="BD3741" s="48"/>
    </row>
    <row r="3742" spans="1:56">
      <c r="A3742" s="48"/>
      <c r="B3742" s="48"/>
      <c r="C3742" s="49"/>
      <c r="D3742" s="48"/>
      <c r="E3742" s="48"/>
      <c r="F3742" s="48"/>
      <c r="G3742" s="48"/>
      <c r="H3742" s="48"/>
      <c r="I3742" s="48"/>
      <c r="J3742" s="86"/>
      <c r="K3742" s="86"/>
      <c r="L3742" s="86"/>
      <c r="M3742" s="86"/>
      <c r="N3742" s="86"/>
      <c r="O3742" s="86"/>
      <c r="P3742" s="86"/>
      <c r="Q3742" s="86"/>
      <c r="R3742" s="86"/>
      <c r="S3742" s="86"/>
      <c r="T3742" s="86"/>
      <c r="U3742" s="86"/>
      <c r="V3742" s="48"/>
      <c r="W3742" s="48"/>
      <c r="X3742" s="48"/>
      <c r="Y3742" s="48"/>
      <c r="Z3742" s="48"/>
      <c r="AA3742" s="48"/>
      <c r="AB3742" s="48"/>
      <c r="AC3742" s="48"/>
      <c r="AD3742" s="48"/>
      <c r="AE3742" s="48"/>
      <c r="AF3742" s="48"/>
      <c r="AG3742" s="48"/>
      <c r="AH3742" s="48"/>
      <c r="AI3742" s="48"/>
      <c r="AJ3742" s="48"/>
      <c r="AK3742" s="48"/>
      <c r="AL3742" s="48"/>
      <c r="AM3742" s="48"/>
      <c r="AN3742" s="48"/>
      <c r="AO3742" s="48"/>
      <c r="AP3742" s="48"/>
      <c r="AQ3742" s="48"/>
      <c r="AR3742" s="48"/>
      <c r="AS3742" s="48"/>
      <c r="AT3742" s="48"/>
      <c r="AU3742" s="48"/>
      <c r="AV3742" s="48"/>
      <c r="AW3742" s="48"/>
      <c r="AX3742" s="48"/>
      <c r="AY3742" s="48"/>
      <c r="AZ3742" s="48"/>
      <c r="BA3742" s="48"/>
      <c r="BB3742" s="48"/>
      <c r="BC3742" s="48"/>
      <c r="BD3742" s="48"/>
    </row>
    <row r="3743" spans="1:56">
      <c r="A3743" s="48"/>
      <c r="B3743" s="48"/>
      <c r="C3743" s="49"/>
      <c r="D3743" s="48"/>
      <c r="E3743" s="48"/>
      <c r="F3743" s="48"/>
      <c r="G3743" s="48"/>
      <c r="H3743" s="48"/>
      <c r="I3743" s="48"/>
      <c r="J3743" s="86"/>
      <c r="K3743" s="86"/>
      <c r="L3743" s="86"/>
      <c r="M3743" s="86"/>
      <c r="N3743" s="86"/>
      <c r="O3743" s="86"/>
      <c r="P3743" s="86"/>
      <c r="Q3743" s="86"/>
      <c r="R3743" s="86"/>
      <c r="S3743" s="86"/>
      <c r="T3743" s="86"/>
      <c r="U3743" s="86"/>
      <c r="V3743" s="48"/>
      <c r="W3743" s="48"/>
      <c r="X3743" s="48"/>
      <c r="Y3743" s="48"/>
      <c r="Z3743" s="48"/>
      <c r="AA3743" s="48"/>
      <c r="AB3743" s="48"/>
      <c r="AC3743" s="48"/>
      <c r="AD3743" s="48"/>
      <c r="AE3743" s="48"/>
      <c r="AF3743" s="48"/>
      <c r="AG3743" s="48"/>
      <c r="AH3743" s="48"/>
      <c r="AI3743" s="48"/>
      <c r="AJ3743" s="48"/>
      <c r="AK3743" s="48"/>
      <c r="AL3743" s="48"/>
      <c r="AM3743" s="48"/>
      <c r="AN3743" s="48"/>
      <c r="AO3743" s="48"/>
      <c r="AP3743" s="48"/>
      <c r="AQ3743" s="48"/>
      <c r="AR3743" s="48"/>
      <c r="AS3743" s="48"/>
      <c r="AT3743" s="48"/>
      <c r="AU3743" s="48"/>
      <c r="AV3743" s="48"/>
      <c r="AW3743" s="48"/>
      <c r="AX3743" s="48"/>
      <c r="AY3743" s="48"/>
      <c r="AZ3743" s="48"/>
      <c r="BA3743" s="48"/>
      <c r="BB3743" s="48"/>
      <c r="BC3743" s="48"/>
      <c r="BD3743" s="48"/>
    </row>
    <row r="3744" spans="1:56">
      <c r="A3744" s="48"/>
      <c r="B3744" s="48"/>
      <c r="C3744" s="49"/>
      <c r="D3744" s="48"/>
      <c r="E3744" s="48"/>
      <c r="F3744" s="48"/>
      <c r="G3744" s="48"/>
      <c r="H3744" s="48"/>
      <c r="I3744" s="48"/>
      <c r="J3744" s="86"/>
      <c r="K3744" s="86"/>
      <c r="L3744" s="86"/>
      <c r="M3744" s="86"/>
      <c r="N3744" s="86"/>
      <c r="O3744" s="86"/>
      <c r="P3744" s="86"/>
      <c r="Q3744" s="86"/>
      <c r="R3744" s="86"/>
      <c r="S3744" s="86"/>
      <c r="T3744" s="86"/>
      <c r="U3744" s="86"/>
      <c r="V3744" s="48"/>
      <c r="W3744" s="48"/>
      <c r="X3744" s="48"/>
      <c r="Y3744" s="48"/>
      <c r="Z3744" s="48"/>
      <c r="AA3744" s="48"/>
      <c r="AB3744" s="48"/>
      <c r="AC3744" s="48"/>
      <c r="AD3744" s="48"/>
      <c r="AE3744" s="48"/>
      <c r="AF3744" s="48"/>
      <c r="AG3744" s="48"/>
      <c r="AH3744" s="48"/>
      <c r="AI3744" s="48"/>
      <c r="AJ3744" s="48"/>
      <c r="AK3744" s="48"/>
      <c r="AL3744" s="48"/>
      <c r="AM3744" s="48"/>
      <c r="AN3744" s="48"/>
      <c r="AO3744" s="48"/>
      <c r="AP3744" s="48"/>
      <c r="AQ3744" s="48"/>
      <c r="AR3744" s="48"/>
      <c r="AS3744" s="48"/>
      <c r="AT3744" s="48"/>
      <c r="AU3744" s="48"/>
      <c r="AV3744" s="48"/>
      <c r="AW3744" s="48"/>
      <c r="AX3744" s="48"/>
      <c r="AY3744" s="48"/>
      <c r="AZ3744" s="48"/>
      <c r="BA3744" s="48"/>
      <c r="BB3744" s="48"/>
      <c r="BC3744" s="48"/>
      <c r="BD3744" s="48"/>
    </row>
    <row r="3745" spans="1:56">
      <c r="A3745" s="48"/>
      <c r="B3745" s="48"/>
      <c r="C3745" s="49"/>
      <c r="D3745" s="48"/>
      <c r="E3745" s="48"/>
      <c r="F3745" s="48"/>
      <c r="G3745" s="48"/>
      <c r="H3745" s="48"/>
      <c r="I3745" s="48"/>
      <c r="J3745" s="86"/>
      <c r="K3745" s="86"/>
      <c r="L3745" s="86"/>
      <c r="M3745" s="86"/>
      <c r="N3745" s="86"/>
      <c r="O3745" s="86"/>
      <c r="P3745" s="86"/>
      <c r="Q3745" s="86"/>
      <c r="R3745" s="86"/>
      <c r="S3745" s="86"/>
      <c r="T3745" s="86"/>
      <c r="U3745" s="86"/>
      <c r="V3745" s="48"/>
      <c r="W3745" s="48"/>
      <c r="X3745" s="48"/>
      <c r="Y3745" s="48"/>
      <c r="Z3745" s="48"/>
      <c r="AA3745" s="48"/>
      <c r="AB3745" s="48"/>
      <c r="AC3745" s="48"/>
      <c r="AD3745" s="48"/>
      <c r="AE3745" s="48"/>
      <c r="AF3745" s="48"/>
      <c r="AG3745" s="48"/>
      <c r="AH3745" s="48"/>
      <c r="AI3745" s="48"/>
      <c r="AJ3745" s="48"/>
      <c r="AK3745" s="48"/>
      <c r="AL3745" s="48"/>
      <c r="AM3745" s="48"/>
      <c r="AN3745" s="48"/>
      <c r="AO3745" s="48"/>
      <c r="AP3745" s="48"/>
      <c r="AQ3745" s="48"/>
      <c r="AR3745" s="48"/>
      <c r="AS3745" s="48"/>
      <c r="AT3745" s="48"/>
      <c r="AU3745" s="48"/>
      <c r="AV3745" s="48"/>
      <c r="AW3745" s="48"/>
      <c r="AX3745" s="48"/>
      <c r="AY3745" s="48"/>
      <c r="AZ3745" s="48"/>
      <c r="BA3745" s="48"/>
      <c r="BB3745" s="48"/>
      <c r="BC3745" s="48"/>
      <c r="BD3745" s="48"/>
    </row>
    <row r="3746" spans="1:56">
      <c r="A3746" s="48"/>
      <c r="B3746" s="48"/>
      <c r="C3746" s="49"/>
      <c r="D3746" s="48"/>
      <c r="E3746" s="48"/>
      <c r="F3746" s="48"/>
      <c r="G3746" s="48"/>
      <c r="H3746" s="48"/>
      <c r="I3746" s="48"/>
      <c r="J3746" s="86"/>
      <c r="K3746" s="86"/>
      <c r="L3746" s="86"/>
      <c r="M3746" s="86"/>
      <c r="N3746" s="86"/>
      <c r="O3746" s="86"/>
      <c r="P3746" s="86"/>
      <c r="Q3746" s="86"/>
      <c r="R3746" s="86"/>
      <c r="S3746" s="86"/>
      <c r="T3746" s="86"/>
      <c r="U3746" s="86"/>
      <c r="V3746" s="48"/>
      <c r="W3746" s="48"/>
      <c r="X3746" s="48"/>
      <c r="Y3746" s="48"/>
      <c r="Z3746" s="48"/>
      <c r="AA3746" s="48"/>
      <c r="AB3746" s="48"/>
      <c r="AC3746" s="48"/>
      <c r="AD3746" s="48"/>
      <c r="AE3746" s="48"/>
      <c r="AF3746" s="48"/>
      <c r="AG3746" s="48"/>
      <c r="AH3746" s="48"/>
      <c r="AI3746" s="48"/>
      <c r="AJ3746" s="48"/>
      <c r="AK3746" s="48"/>
      <c r="AL3746" s="48"/>
      <c r="AM3746" s="48"/>
      <c r="AN3746" s="48"/>
      <c r="AO3746" s="48"/>
      <c r="AP3746" s="48"/>
      <c r="AQ3746" s="48"/>
      <c r="AR3746" s="48"/>
      <c r="AS3746" s="48"/>
      <c r="AT3746" s="48"/>
      <c r="AU3746" s="48"/>
      <c r="AV3746" s="48"/>
      <c r="AW3746" s="48"/>
      <c r="AX3746" s="48"/>
      <c r="AY3746" s="48"/>
      <c r="AZ3746" s="48"/>
      <c r="BA3746" s="48"/>
      <c r="BB3746" s="48"/>
      <c r="BC3746" s="48"/>
      <c r="BD3746" s="48"/>
    </row>
    <row r="3747" spans="1:56">
      <c r="A3747" s="48"/>
      <c r="B3747" s="48"/>
      <c r="C3747" s="49"/>
      <c r="D3747" s="48"/>
      <c r="E3747" s="48"/>
      <c r="F3747" s="48"/>
      <c r="G3747" s="48"/>
      <c r="H3747" s="48"/>
      <c r="I3747" s="48"/>
      <c r="J3747" s="86"/>
      <c r="K3747" s="86"/>
      <c r="L3747" s="86"/>
      <c r="M3747" s="86"/>
      <c r="N3747" s="86"/>
      <c r="O3747" s="86"/>
      <c r="P3747" s="86"/>
      <c r="Q3747" s="86"/>
      <c r="R3747" s="86"/>
      <c r="S3747" s="86"/>
      <c r="T3747" s="86"/>
      <c r="U3747" s="86"/>
      <c r="V3747" s="48"/>
      <c r="W3747" s="48"/>
      <c r="X3747" s="48"/>
      <c r="Y3747" s="48"/>
      <c r="Z3747" s="48"/>
      <c r="AA3747" s="48"/>
      <c r="AB3747" s="48"/>
      <c r="AC3747" s="48"/>
      <c r="AD3747" s="48"/>
      <c r="AE3747" s="48"/>
      <c r="AF3747" s="48"/>
      <c r="AG3747" s="48"/>
      <c r="AH3747" s="48"/>
      <c r="AI3747" s="48"/>
      <c r="AJ3747" s="48"/>
      <c r="AK3747" s="48"/>
      <c r="AL3747" s="48"/>
      <c r="AM3747" s="48"/>
      <c r="AN3747" s="48"/>
      <c r="AO3747" s="48"/>
      <c r="AP3747" s="48"/>
      <c r="AQ3747" s="48"/>
      <c r="AR3747" s="48"/>
      <c r="AS3747" s="48"/>
      <c r="AT3747" s="48"/>
      <c r="AU3747" s="48"/>
      <c r="AV3747" s="48"/>
      <c r="AW3747" s="48"/>
      <c r="AX3747" s="48"/>
      <c r="AY3747" s="48"/>
      <c r="AZ3747" s="48"/>
      <c r="BA3747" s="48"/>
      <c r="BB3747" s="48"/>
      <c r="BC3747" s="48"/>
      <c r="BD3747" s="48"/>
    </row>
    <row r="3748" spans="1:56">
      <c r="A3748" s="48"/>
      <c r="B3748" s="48"/>
      <c r="C3748" s="49"/>
      <c r="D3748" s="48"/>
      <c r="E3748" s="48"/>
      <c r="F3748" s="48"/>
      <c r="G3748" s="48"/>
      <c r="H3748" s="48"/>
      <c r="I3748" s="48"/>
      <c r="J3748" s="86"/>
      <c r="K3748" s="86"/>
      <c r="L3748" s="86"/>
      <c r="M3748" s="86"/>
      <c r="N3748" s="86"/>
      <c r="O3748" s="86"/>
      <c r="P3748" s="86"/>
      <c r="Q3748" s="86"/>
      <c r="R3748" s="86"/>
      <c r="S3748" s="86"/>
      <c r="T3748" s="86"/>
      <c r="U3748" s="86"/>
      <c r="V3748" s="48"/>
      <c r="W3748" s="48"/>
      <c r="X3748" s="48"/>
      <c r="Y3748" s="48"/>
      <c r="Z3748" s="48"/>
      <c r="AA3748" s="48"/>
      <c r="AB3748" s="48"/>
      <c r="AC3748" s="48"/>
      <c r="AD3748" s="48"/>
      <c r="AE3748" s="48"/>
      <c r="AF3748" s="48"/>
      <c r="AG3748" s="48"/>
      <c r="AH3748" s="48"/>
      <c r="AI3748" s="48"/>
      <c r="AJ3748" s="48"/>
      <c r="AK3748" s="48"/>
      <c r="AL3748" s="48"/>
      <c r="AM3748" s="48"/>
      <c r="AN3748" s="48"/>
      <c r="AO3748" s="48"/>
      <c r="AP3748" s="48"/>
      <c r="AQ3748" s="48"/>
      <c r="AR3748" s="48"/>
      <c r="AS3748" s="48"/>
      <c r="AT3748" s="48"/>
      <c r="AU3748" s="48"/>
      <c r="AV3748" s="48"/>
      <c r="AW3748" s="48"/>
      <c r="AX3748" s="48"/>
      <c r="AY3748" s="48"/>
      <c r="AZ3748" s="48"/>
      <c r="BA3748" s="48"/>
      <c r="BB3748" s="48"/>
      <c r="BC3748" s="48"/>
      <c r="BD3748" s="48"/>
    </row>
    <row r="3749" spans="1:56">
      <c r="A3749" s="48"/>
      <c r="B3749" s="48"/>
      <c r="C3749" s="49"/>
      <c r="D3749" s="48"/>
      <c r="E3749" s="48"/>
      <c r="F3749" s="48"/>
      <c r="G3749" s="48"/>
      <c r="H3749" s="48"/>
      <c r="I3749" s="48"/>
      <c r="J3749" s="86"/>
      <c r="K3749" s="86"/>
      <c r="L3749" s="86"/>
      <c r="M3749" s="86"/>
      <c r="N3749" s="86"/>
      <c r="O3749" s="86"/>
      <c r="P3749" s="86"/>
      <c r="Q3749" s="86"/>
      <c r="R3749" s="86"/>
      <c r="S3749" s="86"/>
      <c r="T3749" s="86"/>
      <c r="U3749" s="86"/>
      <c r="V3749" s="48"/>
      <c r="W3749" s="48"/>
      <c r="X3749" s="48"/>
      <c r="Y3749" s="48"/>
      <c r="Z3749" s="48"/>
      <c r="AA3749" s="48"/>
      <c r="AB3749" s="48"/>
      <c r="AC3749" s="48"/>
      <c r="AD3749" s="48"/>
      <c r="AE3749" s="48"/>
      <c r="AF3749" s="48"/>
      <c r="AG3749" s="48"/>
      <c r="AH3749" s="48"/>
      <c r="AI3749" s="48"/>
      <c r="AJ3749" s="48"/>
      <c r="AK3749" s="48"/>
      <c r="AL3749" s="48"/>
      <c r="AM3749" s="48"/>
      <c r="AN3749" s="48"/>
      <c r="AO3749" s="48"/>
      <c r="AP3749" s="48"/>
      <c r="AQ3749" s="48"/>
      <c r="AR3749" s="48"/>
      <c r="AS3749" s="48"/>
      <c r="AT3749" s="48"/>
      <c r="AU3749" s="48"/>
      <c r="AV3749" s="48"/>
      <c r="AW3749" s="48"/>
      <c r="AX3749" s="48"/>
      <c r="AY3749" s="48"/>
      <c r="AZ3749" s="48"/>
      <c r="BA3749" s="48"/>
      <c r="BB3749" s="48"/>
      <c r="BC3749" s="48"/>
      <c r="BD3749" s="48"/>
    </row>
    <row r="3750" spans="1:56">
      <c r="A3750" s="48"/>
      <c r="B3750" s="48"/>
      <c r="C3750" s="49"/>
      <c r="D3750" s="48"/>
      <c r="E3750" s="48"/>
      <c r="F3750" s="48"/>
      <c r="G3750" s="48"/>
      <c r="H3750" s="48"/>
      <c r="I3750" s="48"/>
      <c r="J3750" s="86"/>
      <c r="K3750" s="86"/>
      <c r="L3750" s="86"/>
      <c r="M3750" s="86"/>
      <c r="N3750" s="86"/>
      <c r="O3750" s="86"/>
      <c r="P3750" s="86"/>
      <c r="Q3750" s="86"/>
      <c r="R3750" s="86"/>
      <c r="S3750" s="86"/>
      <c r="T3750" s="86"/>
      <c r="U3750" s="86"/>
      <c r="V3750" s="48"/>
      <c r="W3750" s="48"/>
      <c r="X3750" s="48"/>
      <c r="Y3750" s="48"/>
      <c r="Z3750" s="48"/>
      <c r="AA3750" s="48"/>
      <c r="AB3750" s="48"/>
      <c r="AC3750" s="48"/>
      <c r="AD3750" s="48"/>
      <c r="AE3750" s="48"/>
      <c r="AF3750" s="48"/>
      <c r="AG3750" s="48"/>
      <c r="AH3750" s="48"/>
      <c r="AI3750" s="48"/>
      <c r="AJ3750" s="48"/>
      <c r="AK3750" s="48"/>
      <c r="AL3750" s="48"/>
      <c r="AM3750" s="48"/>
      <c r="AN3750" s="48"/>
      <c r="AO3750" s="48"/>
      <c r="AP3750" s="48"/>
      <c r="AQ3750" s="48"/>
      <c r="AR3750" s="48"/>
      <c r="AS3750" s="48"/>
      <c r="AT3750" s="48"/>
      <c r="AU3750" s="48"/>
      <c r="AV3750" s="48"/>
      <c r="AW3750" s="48"/>
      <c r="AX3750" s="48"/>
      <c r="AY3750" s="48"/>
      <c r="AZ3750" s="48"/>
      <c r="BA3750" s="48"/>
      <c r="BB3750" s="48"/>
      <c r="BC3750" s="48"/>
      <c r="BD3750" s="48"/>
    </row>
    <row r="3751" spans="1:56">
      <c r="A3751" s="48"/>
      <c r="B3751" s="48"/>
      <c r="C3751" s="49"/>
      <c r="D3751" s="48"/>
      <c r="E3751" s="48"/>
      <c r="F3751" s="48"/>
      <c r="G3751" s="48"/>
      <c r="H3751" s="48"/>
      <c r="I3751" s="48"/>
      <c r="J3751" s="86"/>
      <c r="K3751" s="86"/>
      <c r="L3751" s="86"/>
      <c r="M3751" s="86"/>
      <c r="N3751" s="86"/>
      <c r="O3751" s="86"/>
      <c r="P3751" s="86"/>
      <c r="Q3751" s="86"/>
      <c r="R3751" s="86"/>
      <c r="S3751" s="86"/>
      <c r="T3751" s="86"/>
      <c r="U3751" s="86"/>
      <c r="V3751" s="48"/>
      <c r="W3751" s="48"/>
      <c r="X3751" s="48"/>
      <c r="Y3751" s="48"/>
      <c r="Z3751" s="48"/>
      <c r="AA3751" s="48"/>
      <c r="AB3751" s="48"/>
      <c r="AC3751" s="48"/>
      <c r="AD3751" s="48"/>
      <c r="AE3751" s="48"/>
      <c r="AF3751" s="48"/>
      <c r="AG3751" s="48"/>
      <c r="AH3751" s="48"/>
      <c r="AI3751" s="48"/>
      <c r="AJ3751" s="48"/>
      <c r="AK3751" s="48"/>
      <c r="AL3751" s="48"/>
      <c r="AM3751" s="48"/>
      <c r="AN3751" s="48"/>
      <c r="AO3751" s="48"/>
      <c r="AP3751" s="48"/>
      <c r="AQ3751" s="48"/>
      <c r="AR3751" s="48"/>
      <c r="AS3751" s="48"/>
      <c r="AT3751" s="48"/>
      <c r="AU3751" s="48"/>
      <c r="AV3751" s="48"/>
      <c r="AW3751" s="48"/>
      <c r="AX3751" s="48"/>
      <c r="AY3751" s="48"/>
      <c r="AZ3751" s="48"/>
      <c r="BA3751" s="48"/>
      <c r="BB3751" s="48"/>
      <c r="BC3751" s="48"/>
      <c r="BD3751" s="48"/>
    </row>
    <row r="3752" spans="1:56">
      <c r="A3752" s="48"/>
      <c r="B3752" s="48"/>
      <c r="C3752" s="49"/>
      <c r="D3752" s="48"/>
      <c r="E3752" s="48"/>
      <c r="F3752" s="48"/>
      <c r="G3752" s="48"/>
      <c r="H3752" s="48"/>
      <c r="I3752" s="48"/>
      <c r="J3752" s="86"/>
      <c r="K3752" s="86"/>
      <c r="L3752" s="86"/>
      <c r="M3752" s="86"/>
      <c r="N3752" s="86"/>
      <c r="O3752" s="86"/>
      <c r="P3752" s="86"/>
      <c r="Q3752" s="86"/>
      <c r="R3752" s="86"/>
      <c r="S3752" s="86"/>
      <c r="T3752" s="86"/>
      <c r="U3752" s="86"/>
      <c r="V3752" s="48"/>
      <c r="W3752" s="48"/>
      <c r="X3752" s="48"/>
      <c r="Y3752" s="48"/>
      <c r="Z3752" s="48"/>
      <c r="AA3752" s="48"/>
      <c r="AB3752" s="48"/>
      <c r="AC3752" s="48"/>
      <c r="AD3752" s="48"/>
      <c r="AE3752" s="48"/>
      <c r="AF3752" s="48"/>
      <c r="AG3752" s="48"/>
      <c r="AH3752" s="48"/>
      <c r="AI3752" s="48"/>
      <c r="AJ3752" s="48"/>
      <c r="AK3752" s="48"/>
      <c r="AL3752" s="48"/>
      <c r="AM3752" s="48"/>
      <c r="AN3752" s="48"/>
      <c r="AO3752" s="48"/>
      <c r="AP3752" s="48"/>
      <c r="AQ3752" s="48"/>
      <c r="AR3752" s="48"/>
      <c r="AS3752" s="48"/>
      <c r="AT3752" s="48"/>
      <c r="AU3752" s="48"/>
      <c r="AV3752" s="48"/>
      <c r="AW3752" s="48"/>
      <c r="AX3752" s="48"/>
      <c r="AY3752" s="48"/>
      <c r="AZ3752" s="48"/>
      <c r="BA3752" s="48"/>
      <c r="BB3752" s="48"/>
      <c r="BC3752" s="48"/>
      <c r="BD3752" s="48"/>
    </row>
    <row r="3753" spans="1:56">
      <c r="A3753" s="48"/>
      <c r="B3753" s="48"/>
      <c r="C3753" s="49"/>
      <c r="D3753" s="48"/>
      <c r="E3753" s="48"/>
      <c r="F3753" s="48"/>
      <c r="G3753" s="48"/>
      <c r="H3753" s="48"/>
      <c r="I3753" s="48"/>
      <c r="J3753" s="86"/>
      <c r="K3753" s="86"/>
      <c r="L3753" s="86"/>
      <c r="M3753" s="86"/>
      <c r="N3753" s="86"/>
      <c r="O3753" s="86"/>
      <c r="P3753" s="86"/>
      <c r="Q3753" s="86"/>
      <c r="R3753" s="86"/>
      <c r="S3753" s="86"/>
      <c r="T3753" s="86"/>
      <c r="U3753" s="86"/>
      <c r="V3753" s="48"/>
      <c r="W3753" s="48"/>
      <c r="X3753" s="48"/>
      <c r="Y3753" s="48"/>
      <c r="Z3753" s="48"/>
      <c r="AA3753" s="48"/>
      <c r="AB3753" s="48"/>
      <c r="AC3753" s="48"/>
      <c r="AD3753" s="48"/>
      <c r="AE3753" s="48"/>
      <c r="AF3753" s="48"/>
      <c r="AG3753" s="48"/>
      <c r="AH3753" s="48"/>
      <c r="AI3753" s="48"/>
      <c r="AJ3753" s="48"/>
      <c r="AK3753" s="48"/>
      <c r="AL3753" s="48"/>
      <c r="AM3753" s="48"/>
      <c r="AN3753" s="48"/>
      <c r="AO3753" s="48"/>
      <c r="AP3753" s="48"/>
      <c r="AQ3753" s="48"/>
      <c r="AR3753" s="48"/>
      <c r="AS3753" s="48"/>
      <c r="AT3753" s="48"/>
      <c r="AU3753" s="48"/>
      <c r="AV3753" s="48"/>
      <c r="AW3753" s="48"/>
      <c r="AX3753" s="48"/>
      <c r="AY3753" s="48"/>
      <c r="AZ3753" s="48"/>
      <c r="BA3753" s="48"/>
      <c r="BB3753" s="48"/>
      <c r="BC3753" s="48"/>
      <c r="BD3753" s="48"/>
    </row>
    <row r="3754" spans="1:56">
      <c r="A3754" s="48"/>
      <c r="B3754" s="48"/>
      <c r="C3754" s="49"/>
      <c r="D3754" s="48"/>
      <c r="E3754" s="48"/>
      <c r="F3754" s="48"/>
      <c r="G3754" s="48"/>
      <c r="H3754" s="48"/>
      <c r="I3754" s="48"/>
      <c r="J3754" s="86"/>
      <c r="K3754" s="86"/>
      <c r="L3754" s="86"/>
      <c r="M3754" s="86"/>
      <c r="N3754" s="86"/>
      <c r="O3754" s="86"/>
      <c r="P3754" s="86"/>
      <c r="Q3754" s="86"/>
      <c r="R3754" s="86"/>
      <c r="S3754" s="86"/>
      <c r="T3754" s="86"/>
      <c r="U3754" s="86"/>
      <c r="V3754" s="48"/>
      <c r="W3754" s="48"/>
      <c r="X3754" s="48"/>
      <c r="Y3754" s="48"/>
      <c r="Z3754" s="48"/>
      <c r="AA3754" s="48"/>
      <c r="AB3754" s="48"/>
      <c r="AC3754" s="48"/>
      <c r="AD3754" s="48"/>
      <c r="AE3754" s="48"/>
      <c r="AF3754" s="48"/>
      <c r="AG3754" s="48"/>
      <c r="AH3754" s="48"/>
      <c r="AI3754" s="48"/>
      <c r="AJ3754" s="48"/>
      <c r="AK3754" s="48"/>
      <c r="AL3754" s="48"/>
      <c r="AM3754" s="48"/>
      <c r="AN3754" s="48"/>
      <c r="AO3754" s="48"/>
      <c r="AP3754" s="48"/>
      <c r="AQ3754" s="48"/>
      <c r="AR3754" s="48"/>
      <c r="AS3754" s="48"/>
      <c r="AT3754" s="48"/>
      <c r="AU3754" s="48"/>
      <c r="AV3754" s="48"/>
      <c r="AW3754" s="48"/>
      <c r="AX3754" s="48"/>
      <c r="AY3754" s="48"/>
      <c r="AZ3754" s="48"/>
      <c r="BA3754" s="48"/>
      <c r="BB3754" s="48"/>
      <c r="BC3754" s="48"/>
      <c r="BD3754" s="48"/>
    </row>
    <row r="3755" spans="1:56">
      <c r="A3755" s="48"/>
      <c r="B3755" s="48"/>
      <c r="C3755" s="49"/>
      <c r="D3755" s="48"/>
      <c r="E3755" s="48"/>
      <c r="F3755" s="48"/>
      <c r="G3755" s="48"/>
      <c r="H3755" s="48"/>
      <c r="I3755" s="48"/>
      <c r="J3755" s="86"/>
      <c r="K3755" s="86"/>
      <c r="L3755" s="86"/>
      <c r="M3755" s="86"/>
      <c r="N3755" s="86"/>
      <c r="O3755" s="86"/>
      <c r="P3755" s="86"/>
      <c r="Q3755" s="86"/>
      <c r="R3755" s="86"/>
      <c r="S3755" s="86"/>
      <c r="T3755" s="86"/>
      <c r="U3755" s="86"/>
      <c r="V3755" s="48"/>
      <c r="W3755" s="48"/>
      <c r="X3755" s="48"/>
      <c r="Y3755" s="48"/>
      <c r="Z3755" s="48"/>
      <c r="AA3755" s="48"/>
      <c r="AB3755" s="48"/>
      <c r="AC3755" s="48"/>
      <c r="AD3755" s="48"/>
      <c r="AE3755" s="48"/>
      <c r="AF3755" s="48"/>
      <c r="AG3755" s="48"/>
      <c r="AH3755" s="48"/>
      <c r="AI3755" s="48"/>
      <c r="AJ3755" s="48"/>
      <c r="AK3755" s="48"/>
      <c r="AL3755" s="48"/>
      <c r="AM3755" s="48"/>
      <c r="AN3755" s="48"/>
      <c r="AO3755" s="48"/>
      <c r="AP3755" s="48"/>
      <c r="AQ3755" s="48"/>
      <c r="AR3755" s="48"/>
      <c r="AS3755" s="48"/>
      <c r="AT3755" s="48"/>
      <c r="AU3755" s="48"/>
      <c r="AV3755" s="48"/>
      <c r="AW3755" s="48"/>
      <c r="AX3755" s="48"/>
      <c r="AY3755" s="48"/>
      <c r="AZ3755" s="48"/>
      <c r="BA3755" s="48"/>
      <c r="BB3755" s="48"/>
      <c r="BC3755" s="48"/>
      <c r="BD3755" s="48"/>
    </row>
    <row r="3756" spans="1:56">
      <c r="A3756" s="48"/>
      <c r="B3756" s="48"/>
      <c r="C3756" s="49"/>
      <c r="D3756" s="48"/>
      <c r="E3756" s="48"/>
      <c r="F3756" s="48"/>
      <c r="G3756" s="48"/>
      <c r="H3756" s="48"/>
      <c r="I3756" s="48"/>
      <c r="J3756" s="86"/>
      <c r="K3756" s="86"/>
      <c r="L3756" s="86"/>
      <c r="M3756" s="86"/>
      <c r="N3756" s="86"/>
      <c r="O3756" s="86"/>
      <c r="P3756" s="86"/>
      <c r="Q3756" s="86"/>
      <c r="R3756" s="86"/>
      <c r="S3756" s="86"/>
      <c r="T3756" s="86"/>
      <c r="U3756" s="86"/>
      <c r="V3756" s="48"/>
      <c r="W3756" s="48"/>
      <c r="X3756" s="48"/>
      <c r="Y3756" s="48"/>
      <c r="Z3756" s="48"/>
      <c r="AA3756" s="48"/>
      <c r="AB3756" s="48"/>
      <c r="AC3756" s="48"/>
      <c r="AD3756" s="48"/>
      <c r="AE3756" s="48"/>
      <c r="AF3756" s="48"/>
      <c r="AG3756" s="48"/>
      <c r="AH3756" s="48"/>
      <c r="AI3756" s="48"/>
      <c r="AJ3756" s="48"/>
      <c r="AK3756" s="48"/>
      <c r="AL3756" s="48"/>
      <c r="AM3756" s="48"/>
      <c r="AN3756" s="48"/>
      <c r="AO3756" s="48"/>
      <c r="AP3756" s="48"/>
      <c r="AQ3756" s="48"/>
      <c r="AR3756" s="48"/>
      <c r="AS3756" s="48"/>
      <c r="AT3756" s="48"/>
      <c r="AU3756" s="48"/>
      <c r="AV3756" s="48"/>
      <c r="AW3756" s="48"/>
      <c r="AX3756" s="48"/>
      <c r="AY3756" s="48"/>
      <c r="AZ3756" s="48"/>
      <c r="BA3756" s="48"/>
      <c r="BB3756" s="48"/>
      <c r="BC3756" s="48"/>
      <c r="BD3756" s="48"/>
    </row>
    <row r="3757" spans="1:56">
      <c r="A3757" s="48"/>
      <c r="B3757" s="48"/>
      <c r="C3757" s="49"/>
      <c r="D3757" s="48"/>
      <c r="E3757" s="48"/>
      <c r="F3757" s="48"/>
      <c r="G3757" s="48"/>
      <c r="H3757" s="48"/>
      <c r="I3757" s="48"/>
      <c r="J3757" s="86"/>
      <c r="K3757" s="86"/>
      <c r="L3757" s="86"/>
      <c r="M3757" s="86"/>
      <c r="N3757" s="86"/>
      <c r="O3757" s="86"/>
      <c r="P3757" s="86"/>
      <c r="Q3757" s="86"/>
      <c r="R3757" s="86"/>
      <c r="S3757" s="86"/>
      <c r="T3757" s="86"/>
      <c r="U3757" s="86"/>
      <c r="V3757" s="48"/>
      <c r="W3757" s="48"/>
      <c r="X3757" s="48"/>
      <c r="Y3757" s="48"/>
      <c r="Z3757" s="48"/>
      <c r="AA3757" s="48"/>
      <c r="AB3757" s="48"/>
      <c r="AC3757" s="48"/>
      <c r="AD3757" s="48"/>
      <c r="AE3757" s="48"/>
      <c r="AF3757" s="48"/>
      <c r="AG3757" s="48"/>
      <c r="AH3757" s="48"/>
      <c r="AI3757" s="48"/>
      <c r="AJ3757" s="48"/>
      <c r="AK3757" s="48"/>
      <c r="AL3757" s="48"/>
      <c r="AM3757" s="48"/>
      <c r="AN3757" s="48"/>
      <c r="AO3757" s="48"/>
      <c r="AP3757" s="48"/>
      <c r="AQ3757" s="48"/>
      <c r="AR3757" s="48"/>
      <c r="AS3757" s="48"/>
      <c r="AT3757" s="48"/>
      <c r="AU3757" s="48"/>
      <c r="AV3757" s="48"/>
      <c r="AW3757" s="48"/>
      <c r="AX3757" s="48"/>
      <c r="AY3757" s="48"/>
      <c r="AZ3757" s="48"/>
      <c r="BA3757" s="48"/>
      <c r="BB3757" s="48"/>
      <c r="BC3757" s="48"/>
      <c r="BD3757" s="48"/>
    </row>
    <row r="3758" spans="1:56">
      <c r="A3758" s="48"/>
      <c r="B3758" s="48"/>
      <c r="C3758" s="49"/>
      <c r="D3758" s="48"/>
      <c r="E3758" s="48"/>
      <c r="F3758" s="48"/>
      <c r="G3758" s="48"/>
      <c r="H3758" s="48"/>
      <c r="I3758" s="48"/>
      <c r="J3758" s="86"/>
      <c r="K3758" s="86"/>
      <c r="L3758" s="86"/>
      <c r="M3758" s="86"/>
      <c r="N3758" s="86"/>
      <c r="O3758" s="86"/>
      <c r="P3758" s="86"/>
      <c r="Q3758" s="86"/>
      <c r="R3758" s="86"/>
      <c r="S3758" s="86"/>
      <c r="T3758" s="86"/>
      <c r="U3758" s="86"/>
      <c r="V3758" s="48"/>
      <c r="W3758" s="48"/>
      <c r="X3758" s="48"/>
      <c r="Y3758" s="48"/>
      <c r="Z3758" s="48"/>
      <c r="AA3758" s="48"/>
      <c r="AB3758" s="48"/>
      <c r="AC3758" s="48"/>
      <c r="AD3758" s="48"/>
      <c r="AE3758" s="48"/>
      <c r="AF3758" s="48"/>
      <c r="AG3758" s="48"/>
      <c r="AH3758" s="48"/>
      <c r="AI3758" s="48"/>
      <c r="AJ3758" s="48"/>
      <c r="AK3758" s="48"/>
      <c r="AL3758" s="48"/>
      <c r="AM3758" s="48"/>
      <c r="AN3758" s="48"/>
      <c r="AO3758" s="48"/>
      <c r="AP3758" s="48"/>
      <c r="AQ3758" s="48"/>
      <c r="AR3758" s="48"/>
      <c r="AS3758" s="48"/>
      <c r="AT3758" s="48"/>
      <c r="AU3758" s="48"/>
      <c r="AV3758" s="48"/>
      <c r="AW3758" s="48"/>
      <c r="AX3758" s="48"/>
      <c r="AY3758" s="48"/>
      <c r="AZ3758" s="48"/>
      <c r="BA3758" s="48"/>
      <c r="BB3758" s="48"/>
      <c r="BC3758" s="48"/>
      <c r="BD3758" s="48"/>
    </row>
    <row r="3759" spans="1:56">
      <c r="A3759" s="48"/>
      <c r="B3759" s="48"/>
      <c r="C3759" s="49"/>
      <c r="D3759" s="48"/>
      <c r="E3759" s="48"/>
      <c r="F3759" s="48"/>
      <c r="G3759" s="48"/>
      <c r="H3759" s="48"/>
      <c r="I3759" s="48"/>
      <c r="J3759" s="86"/>
      <c r="K3759" s="86"/>
      <c r="L3759" s="86"/>
      <c r="M3759" s="86"/>
      <c r="N3759" s="86"/>
      <c r="O3759" s="86"/>
      <c r="P3759" s="86"/>
      <c r="Q3759" s="86"/>
      <c r="R3759" s="86"/>
      <c r="S3759" s="86"/>
      <c r="T3759" s="86"/>
      <c r="U3759" s="86"/>
      <c r="V3759" s="48"/>
      <c r="W3759" s="48"/>
      <c r="X3759" s="48"/>
      <c r="Y3759" s="48"/>
      <c r="Z3759" s="48"/>
      <c r="AA3759" s="48"/>
      <c r="AB3759" s="48"/>
      <c r="AC3759" s="48"/>
      <c r="AD3759" s="48"/>
      <c r="AE3759" s="48"/>
      <c r="AF3759" s="48"/>
      <c r="AG3759" s="48"/>
      <c r="AH3759" s="48"/>
      <c r="AI3759" s="48"/>
      <c r="AJ3759" s="48"/>
      <c r="AK3759" s="48"/>
      <c r="AL3759" s="48"/>
      <c r="AM3759" s="48"/>
      <c r="AN3759" s="48"/>
      <c r="AO3759" s="48"/>
      <c r="AP3759" s="48"/>
      <c r="AQ3759" s="48"/>
      <c r="AR3759" s="48"/>
      <c r="AS3759" s="48"/>
      <c r="AT3759" s="48"/>
      <c r="AU3759" s="48"/>
      <c r="AV3759" s="48"/>
      <c r="AW3759" s="48"/>
      <c r="AX3759" s="48"/>
      <c r="AY3759" s="48"/>
      <c r="AZ3759" s="48"/>
      <c r="BA3759" s="48"/>
      <c r="BB3759" s="48"/>
      <c r="BC3759" s="48"/>
      <c r="BD3759" s="48"/>
    </row>
    <row r="3760" spans="1:56">
      <c r="A3760" s="48"/>
      <c r="B3760" s="48"/>
      <c r="C3760" s="49"/>
      <c r="D3760" s="48"/>
      <c r="E3760" s="48"/>
      <c r="F3760" s="48"/>
      <c r="G3760" s="48"/>
      <c r="H3760" s="48"/>
      <c r="I3760" s="48"/>
      <c r="J3760" s="86"/>
      <c r="K3760" s="86"/>
      <c r="L3760" s="86"/>
      <c r="M3760" s="86"/>
      <c r="N3760" s="86"/>
      <c r="O3760" s="86"/>
      <c r="P3760" s="86"/>
      <c r="Q3760" s="86"/>
      <c r="R3760" s="86"/>
      <c r="S3760" s="86"/>
      <c r="T3760" s="86"/>
      <c r="U3760" s="86"/>
      <c r="V3760" s="48"/>
      <c r="W3760" s="48"/>
      <c r="X3760" s="48"/>
      <c r="Y3760" s="48"/>
      <c r="Z3760" s="48"/>
      <c r="AA3760" s="48"/>
      <c r="AB3760" s="48"/>
      <c r="AC3760" s="48"/>
      <c r="AD3760" s="48"/>
      <c r="AE3760" s="48"/>
      <c r="AF3760" s="48"/>
      <c r="AG3760" s="48"/>
      <c r="AH3760" s="48"/>
      <c r="AI3760" s="48"/>
      <c r="AJ3760" s="48"/>
      <c r="AK3760" s="48"/>
      <c r="AL3760" s="48"/>
      <c r="AM3760" s="48"/>
      <c r="AN3760" s="48"/>
      <c r="AO3760" s="48"/>
      <c r="AP3760" s="48"/>
      <c r="AQ3760" s="48"/>
      <c r="AR3760" s="48"/>
      <c r="AS3760" s="48"/>
      <c r="AT3760" s="48"/>
      <c r="AU3760" s="48"/>
      <c r="AV3760" s="48"/>
      <c r="AW3760" s="48"/>
      <c r="AX3760" s="48"/>
      <c r="AY3760" s="48"/>
      <c r="AZ3760" s="48"/>
      <c r="BA3760" s="48"/>
      <c r="BB3760" s="48"/>
      <c r="BC3760" s="48"/>
      <c r="BD3760" s="48"/>
    </row>
    <row r="3761" spans="1:56">
      <c r="A3761" s="48"/>
      <c r="B3761" s="48"/>
      <c r="C3761" s="49"/>
      <c r="D3761" s="48"/>
      <c r="E3761" s="48"/>
      <c r="F3761" s="48"/>
      <c r="G3761" s="48"/>
      <c r="H3761" s="48"/>
      <c r="I3761" s="48"/>
      <c r="J3761" s="86"/>
      <c r="K3761" s="86"/>
      <c r="L3761" s="86"/>
      <c r="M3761" s="86"/>
      <c r="N3761" s="86"/>
      <c r="O3761" s="86"/>
      <c r="P3761" s="86"/>
      <c r="Q3761" s="86"/>
      <c r="R3761" s="86"/>
      <c r="S3761" s="86"/>
      <c r="T3761" s="86"/>
      <c r="U3761" s="86"/>
      <c r="V3761" s="48"/>
      <c r="W3761" s="48"/>
      <c r="X3761" s="48"/>
      <c r="Y3761" s="48"/>
      <c r="Z3761" s="48"/>
      <c r="AA3761" s="48"/>
      <c r="AB3761" s="48"/>
      <c r="AC3761" s="48"/>
      <c r="AD3761" s="48"/>
      <c r="AE3761" s="48"/>
      <c r="AF3761" s="48"/>
      <c r="AG3761" s="48"/>
      <c r="AH3761" s="48"/>
      <c r="AI3761" s="48"/>
      <c r="AJ3761" s="48"/>
      <c r="AK3761" s="48"/>
      <c r="AL3761" s="48"/>
      <c r="AM3761" s="48"/>
      <c r="AN3761" s="48"/>
      <c r="AO3761" s="48"/>
      <c r="AP3761" s="48"/>
      <c r="AQ3761" s="48"/>
      <c r="AR3761" s="48"/>
      <c r="AS3761" s="48"/>
      <c r="AT3761" s="48"/>
      <c r="AU3761" s="48"/>
      <c r="AV3761" s="48"/>
      <c r="AW3761" s="48"/>
      <c r="AX3761" s="48"/>
      <c r="AY3761" s="48"/>
      <c r="AZ3761" s="48"/>
      <c r="BA3761" s="48"/>
      <c r="BB3761" s="48"/>
      <c r="BC3761" s="48"/>
      <c r="BD3761" s="48"/>
    </row>
    <row r="3762" spans="1:56">
      <c r="A3762" s="48"/>
      <c r="B3762" s="48"/>
      <c r="C3762" s="49"/>
      <c r="D3762" s="48"/>
      <c r="E3762" s="48"/>
      <c r="F3762" s="48"/>
      <c r="G3762" s="48"/>
      <c r="H3762" s="48"/>
      <c r="I3762" s="48"/>
      <c r="J3762" s="86"/>
      <c r="K3762" s="86"/>
      <c r="L3762" s="86"/>
      <c r="M3762" s="86"/>
      <c r="N3762" s="86"/>
      <c r="O3762" s="86"/>
      <c r="P3762" s="86"/>
      <c r="Q3762" s="86"/>
      <c r="R3762" s="86"/>
      <c r="S3762" s="86"/>
      <c r="T3762" s="86"/>
      <c r="U3762" s="86"/>
      <c r="V3762" s="48"/>
      <c r="W3762" s="48"/>
      <c r="X3762" s="48"/>
      <c r="Y3762" s="48"/>
      <c r="Z3762" s="48"/>
      <c r="AA3762" s="48"/>
      <c r="AB3762" s="48"/>
      <c r="AC3762" s="48"/>
      <c r="AD3762" s="48"/>
      <c r="AE3762" s="48"/>
      <c r="AF3762" s="48"/>
      <c r="AG3762" s="48"/>
      <c r="AH3762" s="48"/>
      <c r="AI3762" s="48"/>
      <c r="AJ3762" s="48"/>
      <c r="AK3762" s="48"/>
      <c r="AL3762" s="48"/>
      <c r="AM3762" s="48"/>
      <c r="AN3762" s="48"/>
      <c r="AO3762" s="48"/>
      <c r="AP3762" s="48"/>
      <c r="AQ3762" s="48"/>
      <c r="AR3762" s="48"/>
      <c r="AS3762" s="48"/>
      <c r="AT3762" s="48"/>
      <c r="AU3762" s="48"/>
      <c r="AV3762" s="48"/>
      <c r="AW3762" s="48"/>
      <c r="AX3762" s="48"/>
      <c r="AY3762" s="48"/>
      <c r="AZ3762" s="48"/>
      <c r="BA3762" s="48"/>
      <c r="BB3762" s="48"/>
      <c r="BC3762" s="48"/>
      <c r="BD3762" s="48"/>
    </row>
    <row r="3763" spans="1:56">
      <c r="A3763" s="48"/>
      <c r="B3763" s="48"/>
      <c r="C3763" s="49"/>
      <c r="D3763" s="48"/>
      <c r="E3763" s="48"/>
      <c r="F3763" s="48"/>
      <c r="G3763" s="48"/>
      <c r="H3763" s="48"/>
      <c r="I3763" s="48"/>
      <c r="J3763" s="86"/>
      <c r="K3763" s="86"/>
      <c r="L3763" s="86"/>
      <c r="M3763" s="86"/>
      <c r="N3763" s="86"/>
      <c r="O3763" s="86"/>
      <c r="P3763" s="86"/>
      <c r="Q3763" s="86"/>
      <c r="R3763" s="86"/>
      <c r="S3763" s="86"/>
      <c r="T3763" s="86"/>
      <c r="U3763" s="86"/>
      <c r="V3763" s="48"/>
      <c r="W3763" s="48"/>
      <c r="X3763" s="48"/>
      <c r="Y3763" s="48"/>
      <c r="Z3763" s="48"/>
      <c r="AA3763" s="48"/>
      <c r="AB3763" s="48"/>
      <c r="AC3763" s="48"/>
      <c r="AD3763" s="48"/>
      <c r="AE3763" s="48"/>
      <c r="AF3763" s="48"/>
      <c r="AG3763" s="48"/>
      <c r="AH3763" s="48"/>
      <c r="AI3763" s="48"/>
      <c r="AJ3763" s="48"/>
      <c r="AK3763" s="48"/>
      <c r="AL3763" s="48"/>
      <c r="AM3763" s="48"/>
      <c r="AN3763" s="48"/>
      <c r="AO3763" s="48"/>
      <c r="AP3763" s="48"/>
      <c r="AQ3763" s="48"/>
      <c r="AR3763" s="48"/>
      <c r="AS3763" s="48"/>
      <c r="AT3763" s="48"/>
      <c r="AU3763" s="48"/>
      <c r="AV3763" s="48"/>
      <c r="AW3763" s="48"/>
      <c r="AX3763" s="48"/>
      <c r="AY3763" s="48"/>
      <c r="AZ3763" s="48"/>
      <c r="BA3763" s="48"/>
      <c r="BB3763" s="48"/>
      <c r="BC3763" s="48"/>
      <c r="BD3763" s="48"/>
    </row>
    <row r="3764" spans="1:56">
      <c r="A3764" s="48"/>
      <c r="B3764" s="48"/>
      <c r="C3764" s="49"/>
      <c r="D3764" s="48"/>
      <c r="E3764" s="48"/>
      <c r="F3764" s="48"/>
      <c r="G3764" s="48"/>
      <c r="H3764" s="48"/>
      <c r="I3764" s="48"/>
      <c r="J3764" s="86"/>
      <c r="K3764" s="86"/>
      <c r="L3764" s="86"/>
      <c r="M3764" s="86"/>
      <c r="N3764" s="86"/>
      <c r="O3764" s="86"/>
      <c r="P3764" s="86"/>
      <c r="Q3764" s="86"/>
      <c r="R3764" s="86"/>
      <c r="S3764" s="86"/>
      <c r="T3764" s="86"/>
      <c r="U3764" s="86"/>
      <c r="V3764" s="48"/>
      <c r="W3764" s="48"/>
      <c r="X3764" s="48"/>
      <c r="Y3764" s="48"/>
      <c r="Z3764" s="48"/>
      <c r="AA3764" s="48"/>
      <c r="AB3764" s="48"/>
      <c r="AC3764" s="48"/>
      <c r="AD3764" s="48"/>
      <c r="AE3764" s="48"/>
      <c r="AF3764" s="48"/>
      <c r="AG3764" s="48"/>
      <c r="AH3764" s="48"/>
      <c r="AI3764" s="48"/>
      <c r="AJ3764" s="48"/>
      <c r="AK3764" s="48"/>
      <c r="AL3764" s="48"/>
      <c r="AM3764" s="48"/>
      <c r="AN3764" s="48"/>
      <c r="AO3764" s="48"/>
      <c r="AP3764" s="48"/>
      <c r="AQ3764" s="48"/>
      <c r="AR3764" s="48"/>
      <c r="AS3764" s="48"/>
      <c r="AT3764" s="48"/>
      <c r="AU3764" s="48"/>
      <c r="AV3764" s="48"/>
      <c r="AW3764" s="48"/>
      <c r="AX3764" s="48"/>
      <c r="AY3764" s="48"/>
      <c r="AZ3764" s="48"/>
      <c r="BA3764" s="48"/>
      <c r="BB3764" s="48"/>
      <c r="BC3764" s="48"/>
      <c r="BD3764" s="48"/>
    </row>
    <row r="3765" spans="1:56">
      <c r="A3765" s="48"/>
      <c r="B3765" s="48"/>
      <c r="C3765" s="49"/>
      <c r="D3765" s="48"/>
      <c r="E3765" s="48"/>
      <c r="F3765" s="48"/>
      <c r="G3765" s="48"/>
      <c r="H3765" s="48"/>
      <c r="I3765" s="48"/>
      <c r="J3765" s="86"/>
      <c r="K3765" s="86"/>
      <c r="L3765" s="86"/>
      <c r="M3765" s="86"/>
      <c r="N3765" s="86"/>
      <c r="O3765" s="86"/>
      <c r="P3765" s="86"/>
      <c r="Q3765" s="86"/>
      <c r="R3765" s="86"/>
      <c r="S3765" s="86"/>
      <c r="T3765" s="86"/>
      <c r="U3765" s="86"/>
      <c r="V3765" s="48"/>
      <c r="W3765" s="48"/>
      <c r="X3765" s="48"/>
      <c r="Y3765" s="48"/>
      <c r="Z3765" s="48"/>
      <c r="AA3765" s="48"/>
      <c r="AB3765" s="48"/>
      <c r="AC3765" s="48"/>
      <c r="AD3765" s="48"/>
      <c r="AE3765" s="48"/>
      <c r="AF3765" s="48"/>
      <c r="AG3765" s="48"/>
      <c r="AH3765" s="48"/>
      <c r="AI3765" s="48"/>
      <c r="AJ3765" s="48"/>
      <c r="AK3765" s="48"/>
      <c r="AL3765" s="48"/>
      <c r="AM3765" s="48"/>
      <c r="AN3765" s="48"/>
      <c r="AO3765" s="48"/>
      <c r="AP3765" s="48"/>
      <c r="AQ3765" s="48"/>
      <c r="AR3765" s="48"/>
      <c r="AS3765" s="48"/>
      <c r="AT3765" s="48"/>
      <c r="AU3765" s="48"/>
      <c r="AV3765" s="48"/>
      <c r="AW3765" s="48"/>
      <c r="AX3765" s="48"/>
      <c r="AY3765" s="48"/>
      <c r="AZ3765" s="48"/>
      <c r="BA3765" s="48"/>
      <c r="BB3765" s="48"/>
      <c r="BC3765" s="48"/>
      <c r="BD3765" s="48"/>
    </row>
    <row r="3766" spans="1:56">
      <c r="A3766" s="48"/>
      <c r="B3766" s="48"/>
      <c r="C3766" s="49"/>
      <c r="D3766" s="48"/>
      <c r="E3766" s="48"/>
      <c r="F3766" s="48"/>
      <c r="G3766" s="48"/>
      <c r="H3766" s="48"/>
      <c r="I3766" s="48"/>
      <c r="J3766" s="86"/>
      <c r="K3766" s="86"/>
      <c r="L3766" s="86"/>
      <c r="M3766" s="86"/>
      <c r="N3766" s="86"/>
      <c r="O3766" s="86"/>
      <c r="P3766" s="86"/>
      <c r="Q3766" s="86"/>
      <c r="R3766" s="86"/>
      <c r="S3766" s="86"/>
      <c r="T3766" s="86"/>
      <c r="U3766" s="86"/>
      <c r="V3766" s="48"/>
      <c r="W3766" s="48"/>
      <c r="X3766" s="48"/>
      <c r="Y3766" s="48"/>
      <c r="Z3766" s="48"/>
      <c r="AA3766" s="48"/>
      <c r="AB3766" s="48"/>
      <c r="AC3766" s="48"/>
      <c r="AD3766" s="48"/>
      <c r="AE3766" s="48"/>
      <c r="AF3766" s="48"/>
      <c r="AG3766" s="48"/>
      <c r="AH3766" s="48"/>
      <c r="AI3766" s="48"/>
      <c r="AJ3766" s="48"/>
      <c r="AK3766" s="48"/>
      <c r="AL3766" s="48"/>
      <c r="AM3766" s="48"/>
      <c r="AN3766" s="48"/>
      <c r="AO3766" s="48"/>
      <c r="AP3766" s="48"/>
      <c r="AQ3766" s="48"/>
      <c r="AR3766" s="48"/>
      <c r="AS3766" s="48"/>
      <c r="AT3766" s="48"/>
      <c r="AU3766" s="48"/>
      <c r="AV3766" s="48"/>
      <c r="AW3766" s="48"/>
      <c r="AX3766" s="48"/>
      <c r="AY3766" s="48"/>
      <c r="AZ3766" s="48"/>
      <c r="BA3766" s="48"/>
      <c r="BB3766" s="48"/>
      <c r="BC3766" s="48"/>
      <c r="BD3766" s="48"/>
    </row>
    <row r="3767" spans="1:56">
      <c r="A3767" s="48"/>
      <c r="B3767" s="48"/>
      <c r="C3767" s="49"/>
      <c r="D3767" s="48"/>
      <c r="E3767" s="48"/>
      <c r="F3767" s="48"/>
      <c r="G3767" s="48"/>
      <c r="H3767" s="48"/>
      <c r="I3767" s="48"/>
      <c r="J3767" s="86"/>
      <c r="K3767" s="86"/>
      <c r="L3767" s="86"/>
      <c r="M3767" s="86"/>
      <c r="N3767" s="86"/>
      <c r="O3767" s="86"/>
      <c r="P3767" s="86"/>
      <c r="Q3767" s="86"/>
      <c r="R3767" s="86"/>
      <c r="S3767" s="86"/>
      <c r="T3767" s="86"/>
      <c r="U3767" s="86"/>
      <c r="V3767" s="48"/>
      <c r="W3767" s="48"/>
      <c r="X3767" s="48"/>
      <c r="Y3767" s="48"/>
      <c r="Z3767" s="48"/>
      <c r="AA3767" s="48"/>
      <c r="AB3767" s="48"/>
      <c r="AC3767" s="48"/>
      <c r="AD3767" s="48"/>
      <c r="AE3767" s="48"/>
      <c r="AF3767" s="48"/>
      <c r="AG3767" s="48"/>
      <c r="AH3767" s="48"/>
      <c r="AI3767" s="48"/>
      <c r="AJ3767" s="48"/>
      <c r="AK3767" s="48"/>
      <c r="AL3767" s="48"/>
      <c r="AM3767" s="48"/>
      <c r="AN3767" s="48"/>
      <c r="AO3767" s="48"/>
      <c r="AP3767" s="48"/>
      <c r="AQ3767" s="48"/>
      <c r="AR3767" s="48"/>
      <c r="AS3767" s="48"/>
      <c r="AT3767" s="48"/>
      <c r="AU3767" s="48"/>
      <c r="AV3767" s="48"/>
      <c r="AW3767" s="48"/>
      <c r="AX3767" s="48"/>
      <c r="AY3767" s="48"/>
      <c r="AZ3767" s="48"/>
      <c r="BA3767" s="48"/>
      <c r="BB3767" s="48"/>
      <c r="BC3767" s="48"/>
      <c r="BD3767" s="48"/>
    </row>
    <row r="3768" spans="1:56">
      <c r="A3768" s="48"/>
      <c r="B3768" s="48"/>
      <c r="C3768" s="49"/>
      <c r="D3768" s="48"/>
      <c r="E3768" s="48"/>
      <c r="F3768" s="48"/>
      <c r="G3768" s="48"/>
      <c r="H3768" s="48"/>
      <c r="I3768" s="48"/>
      <c r="J3768" s="86"/>
      <c r="K3768" s="86"/>
      <c r="L3768" s="86"/>
      <c r="M3768" s="86"/>
      <c r="N3768" s="86"/>
      <c r="O3768" s="86"/>
      <c r="P3768" s="86"/>
      <c r="Q3768" s="86"/>
      <c r="R3768" s="86"/>
      <c r="S3768" s="86"/>
      <c r="T3768" s="86"/>
      <c r="U3768" s="86"/>
      <c r="V3768" s="48"/>
      <c r="W3768" s="48"/>
      <c r="X3768" s="48"/>
      <c r="Y3768" s="48"/>
      <c r="Z3768" s="48"/>
      <c r="AA3768" s="48"/>
      <c r="AB3768" s="48"/>
      <c r="AC3768" s="48"/>
      <c r="AD3768" s="48"/>
      <c r="AE3768" s="48"/>
      <c r="AF3768" s="48"/>
      <c r="AG3768" s="48"/>
      <c r="AH3768" s="48"/>
      <c r="AI3768" s="48"/>
      <c r="AJ3768" s="48"/>
      <c r="AK3768" s="48"/>
      <c r="AL3768" s="48"/>
      <c r="AM3768" s="48"/>
      <c r="AN3768" s="48"/>
      <c r="AO3768" s="48"/>
      <c r="AP3768" s="48"/>
      <c r="AQ3768" s="48"/>
      <c r="AR3768" s="48"/>
      <c r="AS3768" s="48"/>
      <c r="AT3768" s="48"/>
      <c r="AU3768" s="48"/>
      <c r="AV3768" s="48"/>
      <c r="AW3768" s="48"/>
      <c r="AX3768" s="48"/>
      <c r="AY3768" s="48"/>
      <c r="AZ3768" s="48"/>
      <c r="BA3768" s="48"/>
      <c r="BB3768" s="48"/>
      <c r="BC3768" s="48"/>
      <c r="BD3768" s="48"/>
    </row>
    <row r="3769" spans="1:56">
      <c r="A3769" s="48"/>
      <c r="B3769" s="48"/>
      <c r="C3769" s="49"/>
      <c r="D3769" s="48"/>
      <c r="E3769" s="48"/>
      <c r="F3769" s="48"/>
      <c r="G3769" s="48"/>
      <c r="H3769" s="48"/>
      <c r="I3769" s="48"/>
      <c r="J3769" s="86"/>
      <c r="K3769" s="86"/>
      <c r="L3769" s="86"/>
      <c r="M3769" s="86"/>
      <c r="N3769" s="86"/>
      <c r="O3769" s="86"/>
      <c r="P3769" s="86"/>
      <c r="Q3769" s="86"/>
      <c r="R3769" s="86"/>
      <c r="S3769" s="86"/>
      <c r="T3769" s="86"/>
      <c r="U3769" s="86"/>
      <c r="V3769" s="48"/>
      <c r="W3769" s="48"/>
      <c r="X3769" s="48"/>
      <c r="Y3769" s="48"/>
      <c r="Z3769" s="48"/>
      <c r="AA3769" s="48"/>
      <c r="AB3769" s="48"/>
      <c r="AC3769" s="48"/>
      <c r="AD3769" s="48"/>
      <c r="AE3769" s="48"/>
      <c r="AF3769" s="48"/>
      <c r="AG3769" s="48"/>
      <c r="AH3769" s="48"/>
      <c r="AI3769" s="48"/>
      <c r="AJ3769" s="48"/>
      <c r="AK3769" s="48"/>
      <c r="AL3769" s="48"/>
      <c r="AM3769" s="48"/>
      <c r="AN3769" s="48"/>
      <c r="AO3769" s="48"/>
      <c r="AP3769" s="48"/>
      <c r="AQ3769" s="48"/>
      <c r="AR3769" s="48"/>
      <c r="AS3769" s="48"/>
      <c r="AT3769" s="48"/>
      <c r="AU3769" s="48"/>
      <c r="AV3769" s="48"/>
      <c r="AW3769" s="48"/>
      <c r="AX3769" s="48"/>
      <c r="AY3769" s="48"/>
      <c r="AZ3769" s="48"/>
      <c r="BA3769" s="48"/>
      <c r="BB3769" s="48"/>
      <c r="BC3769" s="48"/>
      <c r="BD3769" s="48"/>
    </row>
    <row r="3770" spans="1:56">
      <c r="A3770" s="48"/>
      <c r="B3770" s="48"/>
      <c r="C3770" s="49"/>
      <c r="D3770" s="48"/>
      <c r="E3770" s="48"/>
      <c r="F3770" s="48"/>
      <c r="G3770" s="48"/>
      <c r="H3770" s="48"/>
      <c r="I3770" s="48"/>
      <c r="J3770" s="86"/>
      <c r="K3770" s="86"/>
      <c r="L3770" s="86"/>
      <c r="M3770" s="86"/>
      <c r="N3770" s="86"/>
      <c r="O3770" s="86"/>
      <c r="P3770" s="86"/>
      <c r="Q3770" s="86"/>
      <c r="R3770" s="86"/>
      <c r="S3770" s="86"/>
      <c r="T3770" s="86"/>
      <c r="U3770" s="86"/>
      <c r="V3770" s="48"/>
      <c r="W3770" s="48"/>
      <c r="X3770" s="48"/>
      <c r="Y3770" s="48"/>
      <c r="Z3770" s="48"/>
      <c r="AA3770" s="48"/>
      <c r="AB3770" s="48"/>
      <c r="AC3770" s="48"/>
      <c r="AD3770" s="48"/>
      <c r="AE3770" s="48"/>
      <c r="AF3770" s="48"/>
      <c r="AG3770" s="48"/>
      <c r="AH3770" s="48"/>
      <c r="AI3770" s="48"/>
      <c r="AJ3770" s="48"/>
      <c r="AK3770" s="48"/>
      <c r="AL3770" s="48"/>
      <c r="AM3770" s="48"/>
      <c r="AN3770" s="48"/>
      <c r="AO3770" s="48"/>
      <c r="AP3770" s="48"/>
      <c r="AQ3770" s="48"/>
      <c r="AR3770" s="48"/>
      <c r="AS3770" s="48"/>
      <c r="AT3770" s="48"/>
      <c r="AU3770" s="48"/>
      <c r="AV3770" s="48"/>
      <c r="AW3770" s="48"/>
      <c r="AX3770" s="48"/>
      <c r="AY3770" s="48"/>
      <c r="AZ3770" s="48"/>
      <c r="BA3770" s="48"/>
      <c r="BB3770" s="48"/>
      <c r="BC3770" s="48"/>
      <c r="BD3770" s="48"/>
    </row>
    <row r="3771" spans="1:56">
      <c r="A3771" s="48"/>
      <c r="B3771" s="48"/>
      <c r="C3771" s="49"/>
      <c r="D3771" s="48"/>
      <c r="E3771" s="48"/>
      <c r="F3771" s="48"/>
      <c r="G3771" s="48"/>
      <c r="H3771" s="48"/>
      <c r="I3771" s="48"/>
      <c r="J3771" s="86"/>
      <c r="K3771" s="86"/>
      <c r="L3771" s="86"/>
      <c r="M3771" s="86"/>
      <c r="N3771" s="86"/>
      <c r="O3771" s="86"/>
      <c r="P3771" s="86"/>
      <c r="Q3771" s="86"/>
      <c r="R3771" s="86"/>
      <c r="S3771" s="86"/>
      <c r="T3771" s="86"/>
      <c r="U3771" s="86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48"/>
      <c r="BB3771" s="48"/>
      <c r="BC3771" s="48"/>
      <c r="BD3771" s="48"/>
    </row>
    <row r="3772" spans="1:56">
      <c r="A3772" s="48"/>
      <c r="B3772" s="48"/>
      <c r="C3772" s="49"/>
      <c r="D3772" s="48"/>
      <c r="E3772" s="48"/>
      <c r="F3772" s="48"/>
      <c r="G3772" s="48"/>
      <c r="H3772" s="48"/>
      <c r="I3772" s="48"/>
      <c r="J3772" s="86"/>
      <c r="K3772" s="86"/>
      <c r="L3772" s="86"/>
      <c r="M3772" s="86"/>
      <c r="N3772" s="86"/>
      <c r="O3772" s="86"/>
      <c r="P3772" s="86"/>
      <c r="Q3772" s="86"/>
      <c r="R3772" s="86"/>
      <c r="S3772" s="86"/>
      <c r="T3772" s="86"/>
      <c r="U3772" s="86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48"/>
      <c r="BB3772" s="48"/>
      <c r="BC3772" s="48"/>
      <c r="BD3772" s="48"/>
    </row>
    <row r="3773" spans="1:56">
      <c r="A3773" s="48"/>
      <c r="B3773" s="48"/>
      <c r="C3773" s="49"/>
      <c r="D3773" s="48"/>
      <c r="E3773" s="48"/>
      <c r="F3773" s="48"/>
      <c r="G3773" s="48"/>
      <c r="H3773" s="48"/>
      <c r="I3773" s="48"/>
      <c r="J3773" s="86"/>
      <c r="K3773" s="86"/>
      <c r="L3773" s="86"/>
      <c r="M3773" s="86"/>
      <c r="N3773" s="86"/>
      <c r="O3773" s="86"/>
      <c r="P3773" s="86"/>
      <c r="Q3773" s="86"/>
      <c r="R3773" s="86"/>
      <c r="S3773" s="86"/>
      <c r="T3773" s="86"/>
      <c r="U3773" s="86"/>
      <c r="V3773" s="48"/>
      <c r="W3773" s="48"/>
      <c r="X3773" s="48"/>
      <c r="Y3773" s="48"/>
      <c r="Z3773" s="48"/>
      <c r="AA3773" s="48"/>
      <c r="AB3773" s="48"/>
      <c r="AC3773" s="48"/>
      <c r="AD3773" s="48"/>
      <c r="AE3773" s="48"/>
      <c r="AF3773" s="48"/>
      <c r="AG3773" s="48"/>
      <c r="AH3773" s="48"/>
      <c r="AI3773" s="48"/>
      <c r="AJ3773" s="48"/>
      <c r="AK3773" s="48"/>
      <c r="AL3773" s="48"/>
      <c r="AM3773" s="48"/>
      <c r="AN3773" s="48"/>
      <c r="AO3773" s="48"/>
      <c r="AP3773" s="48"/>
      <c r="AQ3773" s="48"/>
      <c r="AR3773" s="48"/>
      <c r="AS3773" s="48"/>
      <c r="AT3773" s="48"/>
      <c r="AU3773" s="48"/>
      <c r="AV3773" s="48"/>
      <c r="AW3773" s="48"/>
      <c r="AX3773" s="48"/>
      <c r="AY3773" s="48"/>
      <c r="AZ3773" s="48"/>
      <c r="BA3773" s="48"/>
      <c r="BB3773" s="48"/>
      <c r="BC3773" s="48"/>
      <c r="BD3773" s="48"/>
    </row>
    <row r="3774" spans="1:56">
      <c r="A3774" s="48"/>
      <c r="B3774" s="48"/>
      <c r="C3774" s="49"/>
      <c r="D3774" s="48"/>
      <c r="E3774" s="48"/>
      <c r="F3774" s="48"/>
      <c r="G3774" s="48"/>
      <c r="H3774" s="48"/>
      <c r="I3774" s="48"/>
      <c r="J3774" s="86"/>
      <c r="K3774" s="86"/>
      <c r="L3774" s="86"/>
      <c r="M3774" s="86"/>
      <c r="N3774" s="86"/>
      <c r="O3774" s="86"/>
      <c r="P3774" s="86"/>
      <c r="Q3774" s="86"/>
      <c r="R3774" s="86"/>
      <c r="S3774" s="86"/>
      <c r="T3774" s="86"/>
      <c r="U3774" s="86"/>
      <c r="V3774" s="48"/>
      <c r="W3774" s="48"/>
      <c r="X3774" s="48"/>
      <c r="Y3774" s="48"/>
      <c r="Z3774" s="48"/>
      <c r="AA3774" s="48"/>
      <c r="AB3774" s="48"/>
      <c r="AC3774" s="48"/>
      <c r="AD3774" s="48"/>
      <c r="AE3774" s="48"/>
      <c r="AF3774" s="48"/>
      <c r="AG3774" s="48"/>
      <c r="AH3774" s="48"/>
      <c r="AI3774" s="48"/>
      <c r="AJ3774" s="48"/>
      <c r="AK3774" s="48"/>
      <c r="AL3774" s="48"/>
      <c r="AM3774" s="48"/>
      <c r="AN3774" s="48"/>
      <c r="AO3774" s="48"/>
      <c r="AP3774" s="48"/>
      <c r="AQ3774" s="48"/>
      <c r="AR3774" s="48"/>
      <c r="AS3774" s="48"/>
      <c r="AT3774" s="48"/>
      <c r="AU3774" s="48"/>
      <c r="AV3774" s="48"/>
      <c r="AW3774" s="48"/>
      <c r="AX3774" s="48"/>
      <c r="AY3774" s="48"/>
      <c r="AZ3774" s="48"/>
      <c r="BA3774" s="48"/>
      <c r="BB3774" s="48"/>
      <c r="BC3774" s="48"/>
      <c r="BD3774" s="48"/>
    </row>
    <row r="3775" spans="1:56">
      <c r="A3775" s="48"/>
      <c r="B3775" s="48"/>
      <c r="C3775" s="49"/>
      <c r="D3775" s="48"/>
      <c r="E3775" s="48"/>
      <c r="F3775" s="48"/>
      <c r="G3775" s="48"/>
      <c r="H3775" s="48"/>
      <c r="I3775" s="48"/>
      <c r="J3775" s="86"/>
      <c r="K3775" s="86"/>
      <c r="L3775" s="86"/>
      <c r="M3775" s="86"/>
      <c r="N3775" s="86"/>
      <c r="O3775" s="86"/>
      <c r="P3775" s="86"/>
      <c r="Q3775" s="86"/>
      <c r="R3775" s="86"/>
      <c r="S3775" s="86"/>
      <c r="T3775" s="86"/>
      <c r="U3775" s="86"/>
      <c r="V3775" s="48"/>
      <c r="W3775" s="48"/>
      <c r="X3775" s="48"/>
      <c r="Y3775" s="48"/>
      <c r="Z3775" s="48"/>
      <c r="AA3775" s="48"/>
      <c r="AB3775" s="48"/>
      <c r="AC3775" s="48"/>
      <c r="AD3775" s="48"/>
      <c r="AE3775" s="48"/>
      <c r="AF3775" s="48"/>
      <c r="AG3775" s="48"/>
      <c r="AH3775" s="48"/>
      <c r="AI3775" s="48"/>
      <c r="AJ3775" s="48"/>
      <c r="AK3775" s="48"/>
      <c r="AL3775" s="48"/>
      <c r="AM3775" s="48"/>
      <c r="AN3775" s="48"/>
      <c r="AO3775" s="48"/>
      <c r="AP3775" s="48"/>
      <c r="AQ3775" s="48"/>
      <c r="AR3775" s="48"/>
      <c r="AS3775" s="48"/>
      <c r="AT3775" s="48"/>
      <c r="AU3775" s="48"/>
      <c r="AV3775" s="48"/>
      <c r="AW3775" s="48"/>
      <c r="AX3775" s="48"/>
      <c r="AY3775" s="48"/>
      <c r="AZ3775" s="48"/>
      <c r="BA3775" s="48"/>
      <c r="BB3775" s="48"/>
      <c r="BC3775" s="48"/>
      <c r="BD3775" s="48"/>
    </row>
    <row r="3776" spans="1:56">
      <c r="A3776" s="48"/>
      <c r="B3776" s="48"/>
      <c r="C3776" s="49"/>
      <c r="D3776" s="48"/>
      <c r="E3776" s="48"/>
      <c r="F3776" s="48"/>
      <c r="G3776" s="48"/>
      <c r="H3776" s="48"/>
      <c r="I3776" s="48"/>
      <c r="J3776" s="86"/>
      <c r="K3776" s="86"/>
      <c r="L3776" s="86"/>
      <c r="M3776" s="86"/>
      <c r="N3776" s="86"/>
      <c r="O3776" s="86"/>
      <c r="P3776" s="86"/>
      <c r="Q3776" s="86"/>
      <c r="R3776" s="86"/>
      <c r="S3776" s="86"/>
      <c r="T3776" s="86"/>
      <c r="U3776" s="86"/>
      <c r="V3776" s="48"/>
      <c r="W3776" s="48"/>
      <c r="X3776" s="48"/>
      <c r="Y3776" s="48"/>
      <c r="Z3776" s="48"/>
      <c r="AA3776" s="48"/>
      <c r="AB3776" s="48"/>
      <c r="AC3776" s="48"/>
      <c r="AD3776" s="48"/>
      <c r="AE3776" s="48"/>
      <c r="AF3776" s="48"/>
      <c r="AG3776" s="48"/>
      <c r="AH3776" s="48"/>
      <c r="AI3776" s="48"/>
      <c r="AJ3776" s="48"/>
      <c r="AK3776" s="48"/>
      <c r="AL3776" s="48"/>
      <c r="AM3776" s="48"/>
      <c r="AN3776" s="48"/>
      <c r="AO3776" s="48"/>
      <c r="AP3776" s="48"/>
      <c r="AQ3776" s="48"/>
      <c r="AR3776" s="48"/>
      <c r="AS3776" s="48"/>
      <c r="AT3776" s="48"/>
      <c r="AU3776" s="48"/>
      <c r="AV3776" s="48"/>
      <c r="AW3776" s="48"/>
      <c r="AX3776" s="48"/>
      <c r="AY3776" s="48"/>
      <c r="AZ3776" s="48"/>
      <c r="BA3776" s="48"/>
      <c r="BB3776" s="48"/>
      <c r="BC3776" s="48"/>
      <c r="BD3776" s="48"/>
    </row>
    <row r="3777" spans="1:56">
      <c r="A3777" s="48"/>
      <c r="B3777" s="48"/>
      <c r="C3777" s="49"/>
      <c r="D3777" s="48"/>
      <c r="E3777" s="48"/>
      <c r="F3777" s="48"/>
      <c r="G3777" s="48"/>
      <c r="H3777" s="48"/>
      <c r="I3777" s="48"/>
      <c r="J3777" s="86"/>
      <c r="K3777" s="86"/>
      <c r="L3777" s="86"/>
      <c r="M3777" s="86"/>
      <c r="N3777" s="86"/>
      <c r="O3777" s="86"/>
      <c r="P3777" s="86"/>
      <c r="Q3777" s="86"/>
      <c r="R3777" s="86"/>
      <c r="S3777" s="86"/>
      <c r="T3777" s="86"/>
      <c r="U3777" s="86"/>
      <c r="V3777" s="48"/>
      <c r="W3777" s="48"/>
      <c r="X3777" s="48"/>
      <c r="Y3777" s="48"/>
      <c r="Z3777" s="48"/>
      <c r="AA3777" s="48"/>
      <c r="AB3777" s="48"/>
      <c r="AC3777" s="48"/>
      <c r="AD3777" s="48"/>
      <c r="AE3777" s="48"/>
      <c r="AF3777" s="48"/>
      <c r="AG3777" s="48"/>
      <c r="AH3777" s="48"/>
      <c r="AI3777" s="48"/>
      <c r="AJ3777" s="48"/>
      <c r="AK3777" s="48"/>
      <c r="AL3777" s="48"/>
      <c r="AM3777" s="48"/>
      <c r="AN3777" s="48"/>
      <c r="AO3777" s="48"/>
      <c r="AP3777" s="48"/>
      <c r="AQ3777" s="48"/>
      <c r="AR3777" s="48"/>
      <c r="AS3777" s="48"/>
      <c r="AT3777" s="48"/>
      <c r="AU3777" s="48"/>
      <c r="AV3777" s="48"/>
      <c r="AW3777" s="48"/>
      <c r="AX3777" s="48"/>
      <c r="AY3777" s="48"/>
      <c r="AZ3777" s="48"/>
      <c r="BA3777" s="48"/>
      <c r="BB3777" s="48"/>
      <c r="BC3777" s="48"/>
      <c r="BD3777" s="48"/>
    </row>
    <row r="3778" spans="1:56">
      <c r="A3778" s="48"/>
      <c r="B3778" s="48"/>
      <c r="C3778" s="49"/>
      <c r="D3778" s="48"/>
      <c r="E3778" s="48"/>
      <c r="F3778" s="48"/>
      <c r="G3778" s="48"/>
      <c r="H3778" s="48"/>
      <c r="I3778" s="48"/>
      <c r="J3778" s="86"/>
      <c r="K3778" s="86"/>
      <c r="L3778" s="86"/>
      <c r="M3778" s="86"/>
      <c r="N3778" s="86"/>
      <c r="O3778" s="86"/>
      <c r="P3778" s="86"/>
      <c r="Q3778" s="86"/>
      <c r="R3778" s="86"/>
      <c r="S3778" s="86"/>
      <c r="T3778" s="86"/>
      <c r="U3778" s="86"/>
      <c r="V3778" s="48"/>
      <c r="W3778" s="48"/>
      <c r="X3778" s="48"/>
      <c r="Y3778" s="48"/>
      <c r="Z3778" s="48"/>
      <c r="AA3778" s="48"/>
      <c r="AB3778" s="48"/>
      <c r="AC3778" s="48"/>
      <c r="AD3778" s="48"/>
      <c r="AE3778" s="48"/>
      <c r="AF3778" s="48"/>
      <c r="AG3778" s="48"/>
      <c r="AH3778" s="48"/>
      <c r="AI3778" s="48"/>
      <c r="AJ3778" s="48"/>
      <c r="AK3778" s="48"/>
      <c r="AL3778" s="48"/>
      <c r="AM3778" s="48"/>
      <c r="AN3778" s="48"/>
      <c r="AO3778" s="48"/>
      <c r="AP3778" s="48"/>
      <c r="AQ3778" s="48"/>
      <c r="AR3778" s="48"/>
      <c r="AS3778" s="48"/>
      <c r="AT3778" s="48"/>
      <c r="AU3778" s="48"/>
      <c r="AV3778" s="48"/>
      <c r="AW3778" s="48"/>
      <c r="AX3778" s="48"/>
      <c r="AY3778" s="48"/>
      <c r="AZ3778" s="48"/>
      <c r="BA3778" s="48"/>
      <c r="BB3778" s="48"/>
      <c r="BC3778" s="48"/>
      <c r="BD3778" s="48"/>
    </row>
    <row r="3779" spans="1:56">
      <c r="A3779" s="48"/>
      <c r="B3779" s="48"/>
      <c r="C3779" s="49"/>
      <c r="D3779" s="48"/>
      <c r="E3779" s="48"/>
      <c r="F3779" s="48"/>
      <c r="G3779" s="48"/>
      <c r="H3779" s="48"/>
      <c r="I3779" s="48"/>
      <c r="J3779" s="86"/>
      <c r="K3779" s="86"/>
      <c r="L3779" s="86"/>
      <c r="M3779" s="86"/>
      <c r="N3779" s="86"/>
      <c r="O3779" s="86"/>
      <c r="P3779" s="86"/>
      <c r="Q3779" s="86"/>
      <c r="R3779" s="86"/>
      <c r="S3779" s="86"/>
      <c r="T3779" s="86"/>
      <c r="U3779" s="86"/>
      <c r="V3779" s="48"/>
      <c r="W3779" s="48"/>
      <c r="X3779" s="48"/>
      <c r="Y3779" s="48"/>
      <c r="Z3779" s="48"/>
      <c r="AA3779" s="48"/>
      <c r="AB3779" s="48"/>
      <c r="AC3779" s="48"/>
      <c r="AD3779" s="48"/>
      <c r="AE3779" s="48"/>
      <c r="AF3779" s="48"/>
      <c r="AG3779" s="48"/>
      <c r="AH3779" s="48"/>
      <c r="AI3779" s="48"/>
      <c r="AJ3779" s="48"/>
      <c r="AK3779" s="48"/>
      <c r="AL3779" s="48"/>
      <c r="AM3779" s="48"/>
      <c r="AN3779" s="48"/>
      <c r="AO3779" s="48"/>
      <c r="AP3779" s="48"/>
      <c r="AQ3779" s="48"/>
      <c r="AR3779" s="48"/>
      <c r="AS3779" s="48"/>
      <c r="AT3779" s="48"/>
      <c r="AU3779" s="48"/>
      <c r="AV3779" s="48"/>
      <c r="AW3779" s="48"/>
      <c r="AX3779" s="48"/>
      <c r="AY3779" s="48"/>
      <c r="AZ3779" s="48"/>
      <c r="BA3779" s="48"/>
      <c r="BB3779" s="48"/>
      <c r="BC3779" s="48"/>
      <c r="BD3779" s="48"/>
    </row>
    <row r="3780" spans="1:56">
      <c r="A3780" s="48"/>
      <c r="B3780" s="48"/>
      <c r="C3780" s="49"/>
      <c r="D3780" s="48"/>
      <c r="E3780" s="48"/>
      <c r="F3780" s="48"/>
      <c r="G3780" s="48"/>
      <c r="H3780" s="48"/>
      <c r="I3780" s="48"/>
      <c r="J3780" s="86"/>
      <c r="K3780" s="86"/>
      <c r="L3780" s="86"/>
      <c r="M3780" s="86"/>
      <c r="N3780" s="86"/>
      <c r="O3780" s="86"/>
      <c r="P3780" s="86"/>
      <c r="Q3780" s="86"/>
      <c r="R3780" s="86"/>
      <c r="S3780" s="86"/>
      <c r="T3780" s="86"/>
      <c r="U3780" s="86"/>
      <c r="V3780" s="48"/>
      <c r="W3780" s="48"/>
      <c r="X3780" s="48"/>
      <c r="Y3780" s="48"/>
      <c r="Z3780" s="48"/>
      <c r="AA3780" s="48"/>
      <c r="AB3780" s="48"/>
      <c r="AC3780" s="48"/>
      <c r="AD3780" s="48"/>
      <c r="AE3780" s="48"/>
      <c r="AF3780" s="48"/>
      <c r="AG3780" s="48"/>
      <c r="AH3780" s="48"/>
      <c r="AI3780" s="48"/>
      <c r="AJ3780" s="48"/>
      <c r="AK3780" s="48"/>
      <c r="AL3780" s="48"/>
      <c r="AM3780" s="48"/>
      <c r="AN3780" s="48"/>
      <c r="AO3780" s="48"/>
      <c r="AP3780" s="48"/>
      <c r="AQ3780" s="48"/>
      <c r="AR3780" s="48"/>
      <c r="AS3780" s="48"/>
      <c r="AT3780" s="48"/>
      <c r="AU3780" s="48"/>
      <c r="AV3780" s="48"/>
      <c r="AW3780" s="48"/>
      <c r="AX3780" s="48"/>
      <c r="AY3780" s="48"/>
      <c r="AZ3780" s="48"/>
      <c r="BA3780" s="48"/>
      <c r="BB3780" s="48"/>
      <c r="BC3780" s="48"/>
      <c r="BD3780" s="48"/>
    </row>
    <row r="3781" spans="1:56">
      <c r="A3781" s="48"/>
      <c r="B3781" s="48"/>
      <c r="C3781" s="49"/>
      <c r="D3781" s="48"/>
      <c r="E3781" s="48"/>
      <c r="F3781" s="48"/>
      <c r="G3781" s="48"/>
      <c r="H3781" s="48"/>
      <c r="I3781" s="48"/>
      <c r="J3781" s="86"/>
      <c r="K3781" s="86"/>
      <c r="L3781" s="86"/>
      <c r="M3781" s="86"/>
      <c r="N3781" s="86"/>
      <c r="O3781" s="86"/>
      <c r="P3781" s="86"/>
      <c r="Q3781" s="86"/>
      <c r="R3781" s="86"/>
      <c r="S3781" s="86"/>
      <c r="T3781" s="86"/>
      <c r="U3781" s="86"/>
      <c r="V3781" s="48"/>
      <c r="W3781" s="48"/>
      <c r="X3781" s="48"/>
      <c r="Y3781" s="48"/>
      <c r="Z3781" s="48"/>
      <c r="AA3781" s="48"/>
      <c r="AB3781" s="48"/>
      <c r="AC3781" s="48"/>
      <c r="AD3781" s="48"/>
      <c r="AE3781" s="48"/>
      <c r="AF3781" s="48"/>
      <c r="AG3781" s="48"/>
      <c r="AH3781" s="48"/>
      <c r="AI3781" s="48"/>
      <c r="AJ3781" s="48"/>
      <c r="AK3781" s="48"/>
      <c r="AL3781" s="48"/>
      <c r="AM3781" s="48"/>
      <c r="AN3781" s="48"/>
      <c r="AO3781" s="48"/>
      <c r="AP3781" s="48"/>
      <c r="AQ3781" s="48"/>
      <c r="AR3781" s="48"/>
      <c r="AS3781" s="48"/>
      <c r="AT3781" s="48"/>
      <c r="AU3781" s="48"/>
      <c r="AV3781" s="48"/>
      <c r="AW3781" s="48"/>
      <c r="AX3781" s="48"/>
      <c r="AY3781" s="48"/>
      <c r="AZ3781" s="48"/>
      <c r="BA3781" s="48"/>
      <c r="BB3781" s="48"/>
      <c r="BC3781" s="48"/>
      <c r="BD3781" s="48"/>
    </row>
    <row r="3782" spans="1:56">
      <c r="A3782" s="48"/>
      <c r="B3782" s="48"/>
      <c r="C3782" s="49"/>
      <c r="D3782" s="48"/>
      <c r="E3782" s="48"/>
      <c r="F3782" s="48"/>
      <c r="G3782" s="48"/>
      <c r="H3782" s="48"/>
      <c r="I3782" s="48"/>
      <c r="J3782" s="86"/>
      <c r="K3782" s="86"/>
      <c r="L3782" s="86"/>
      <c r="M3782" s="86"/>
      <c r="N3782" s="86"/>
      <c r="O3782" s="86"/>
      <c r="P3782" s="86"/>
      <c r="Q3782" s="86"/>
      <c r="R3782" s="86"/>
      <c r="S3782" s="86"/>
      <c r="T3782" s="86"/>
      <c r="U3782" s="86"/>
      <c r="V3782" s="48"/>
      <c r="W3782" s="48"/>
      <c r="X3782" s="48"/>
      <c r="Y3782" s="48"/>
      <c r="Z3782" s="48"/>
      <c r="AA3782" s="48"/>
      <c r="AB3782" s="48"/>
      <c r="AC3782" s="48"/>
      <c r="AD3782" s="48"/>
      <c r="AE3782" s="48"/>
      <c r="AF3782" s="48"/>
      <c r="AG3782" s="48"/>
      <c r="AH3782" s="48"/>
      <c r="AI3782" s="48"/>
      <c r="AJ3782" s="48"/>
      <c r="AK3782" s="48"/>
      <c r="AL3782" s="48"/>
      <c r="AM3782" s="48"/>
      <c r="AN3782" s="48"/>
      <c r="AO3782" s="48"/>
      <c r="AP3782" s="48"/>
      <c r="AQ3782" s="48"/>
      <c r="AR3782" s="48"/>
      <c r="AS3782" s="48"/>
      <c r="AT3782" s="48"/>
      <c r="AU3782" s="48"/>
      <c r="AV3782" s="48"/>
      <c r="AW3782" s="48"/>
      <c r="AX3782" s="48"/>
      <c r="AY3782" s="48"/>
      <c r="AZ3782" s="48"/>
      <c r="BA3782" s="48"/>
      <c r="BB3782" s="48"/>
      <c r="BC3782" s="48"/>
      <c r="BD3782" s="48"/>
    </row>
    <row r="3783" spans="1:56">
      <c r="A3783" s="48"/>
      <c r="B3783" s="48"/>
      <c r="C3783" s="49"/>
      <c r="D3783" s="48"/>
      <c r="E3783" s="48"/>
      <c r="F3783" s="48"/>
      <c r="G3783" s="48"/>
      <c r="H3783" s="48"/>
      <c r="I3783" s="48"/>
      <c r="J3783" s="86"/>
      <c r="K3783" s="86"/>
      <c r="L3783" s="86"/>
      <c r="M3783" s="86"/>
      <c r="N3783" s="86"/>
      <c r="O3783" s="86"/>
      <c r="P3783" s="86"/>
      <c r="Q3783" s="86"/>
      <c r="R3783" s="86"/>
      <c r="S3783" s="86"/>
      <c r="T3783" s="86"/>
      <c r="U3783" s="86"/>
      <c r="V3783" s="48"/>
      <c r="W3783" s="48"/>
      <c r="X3783" s="48"/>
      <c r="Y3783" s="48"/>
      <c r="Z3783" s="48"/>
      <c r="AA3783" s="48"/>
      <c r="AB3783" s="48"/>
      <c r="AC3783" s="48"/>
      <c r="AD3783" s="48"/>
      <c r="AE3783" s="48"/>
      <c r="AF3783" s="48"/>
      <c r="AG3783" s="48"/>
      <c r="AH3783" s="48"/>
      <c r="AI3783" s="48"/>
      <c r="AJ3783" s="48"/>
      <c r="AK3783" s="48"/>
      <c r="AL3783" s="48"/>
      <c r="AM3783" s="48"/>
      <c r="AN3783" s="48"/>
      <c r="AO3783" s="48"/>
      <c r="AP3783" s="48"/>
      <c r="AQ3783" s="48"/>
      <c r="AR3783" s="48"/>
      <c r="AS3783" s="48"/>
      <c r="AT3783" s="48"/>
      <c r="AU3783" s="48"/>
      <c r="AV3783" s="48"/>
      <c r="AW3783" s="48"/>
      <c r="AX3783" s="48"/>
      <c r="AY3783" s="48"/>
      <c r="AZ3783" s="48"/>
      <c r="BA3783" s="48"/>
      <c r="BB3783" s="48"/>
      <c r="BC3783" s="48"/>
      <c r="BD3783" s="48"/>
    </row>
    <row r="3784" spans="1:56">
      <c r="A3784" s="48"/>
      <c r="B3784" s="48"/>
      <c r="C3784" s="49"/>
      <c r="D3784" s="48"/>
      <c r="E3784" s="48"/>
      <c r="F3784" s="48"/>
      <c r="G3784" s="48"/>
      <c r="H3784" s="48"/>
      <c r="I3784" s="48"/>
      <c r="J3784" s="86"/>
      <c r="K3784" s="86"/>
      <c r="L3784" s="86"/>
      <c r="M3784" s="86"/>
      <c r="N3784" s="86"/>
      <c r="O3784" s="86"/>
      <c r="P3784" s="86"/>
      <c r="Q3784" s="86"/>
      <c r="R3784" s="86"/>
      <c r="S3784" s="86"/>
      <c r="T3784" s="86"/>
      <c r="U3784" s="86"/>
      <c r="V3784" s="48"/>
      <c r="W3784" s="48"/>
      <c r="X3784" s="48"/>
      <c r="Y3784" s="48"/>
      <c r="Z3784" s="48"/>
      <c r="AA3784" s="48"/>
      <c r="AB3784" s="48"/>
      <c r="AC3784" s="48"/>
      <c r="AD3784" s="48"/>
      <c r="AE3784" s="48"/>
      <c r="AF3784" s="48"/>
      <c r="AG3784" s="48"/>
      <c r="AH3784" s="48"/>
      <c r="AI3784" s="48"/>
      <c r="AJ3784" s="48"/>
      <c r="AK3784" s="48"/>
      <c r="AL3784" s="48"/>
      <c r="AM3784" s="48"/>
      <c r="AN3784" s="48"/>
      <c r="AO3784" s="48"/>
      <c r="AP3784" s="48"/>
      <c r="AQ3784" s="48"/>
      <c r="AR3784" s="48"/>
      <c r="AS3784" s="48"/>
      <c r="AT3784" s="48"/>
      <c r="AU3784" s="48"/>
      <c r="AV3784" s="48"/>
      <c r="AW3784" s="48"/>
      <c r="AX3784" s="48"/>
      <c r="AY3784" s="48"/>
      <c r="AZ3784" s="48"/>
      <c r="BA3784" s="48"/>
      <c r="BB3784" s="48"/>
      <c r="BC3784" s="48"/>
      <c r="BD3784" s="48"/>
    </row>
    <row r="3785" spans="1:56">
      <c r="A3785" s="48"/>
      <c r="B3785" s="48"/>
      <c r="C3785" s="49"/>
      <c r="D3785" s="48"/>
      <c r="E3785" s="48"/>
      <c r="F3785" s="48"/>
      <c r="G3785" s="48"/>
      <c r="H3785" s="48"/>
      <c r="I3785" s="48"/>
      <c r="J3785" s="86"/>
      <c r="K3785" s="86"/>
      <c r="L3785" s="86"/>
      <c r="M3785" s="86"/>
      <c r="N3785" s="86"/>
      <c r="O3785" s="86"/>
      <c r="P3785" s="86"/>
      <c r="Q3785" s="86"/>
      <c r="R3785" s="86"/>
      <c r="S3785" s="86"/>
      <c r="T3785" s="86"/>
      <c r="U3785" s="86"/>
      <c r="V3785" s="48"/>
      <c r="W3785" s="48"/>
      <c r="X3785" s="48"/>
      <c r="Y3785" s="48"/>
      <c r="Z3785" s="48"/>
      <c r="AA3785" s="48"/>
      <c r="AB3785" s="48"/>
      <c r="AC3785" s="48"/>
      <c r="AD3785" s="48"/>
      <c r="AE3785" s="48"/>
      <c r="AF3785" s="48"/>
      <c r="AG3785" s="48"/>
      <c r="AH3785" s="48"/>
      <c r="AI3785" s="48"/>
      <c r="AJ3785" s="48"/>
      <c r="AK3785" s="48"/>
      <c r="AL3785" s="48"/>
      <c r="AM3785" s="48"/>
      <c r="AN3785" s="48"/>
      <c r="AO3785" s="48"/>
      <c r="AP3785" s="48"/>
      <c r="AQ3785" s="48"/>
      <c r="AR3785" s="48"/>
      <c r="AS3785" s="48"/>
      <c r="AT3785" s="48"/>
      <c r="AU3785" s="48"/>
      <c r="AV3785" s="48"/>
      <c r="AW3785" s="48"/>
      <c r="AX3785" s="48"/>
      <c r="AY3785" s="48"/>
      <c r="AZ3785" s="48"/>
      <c r="BA3785" s="48"/>
      <c r="BB3785" s="48"/>
      <c r="BC3785" s="48"/>
      <c r="BD3785" s="48"/>
    </row>
    <row r="3786" spans="1:56">
      <c r="A3786" s="48"/>
      <c r="B3786" s="48"/>
      <c r="C3786" s="49"/>
      <c r="D3786" s="48"/>
      <c r="E3786" s="48"/>
      <c r="F3786" s="48"/>
      <c r="G3786" s="48"/>
      <c r="H3786" s="48"/>
      <c r="I3786" s="48"/>
      <c r="J3786" s="86"/>
      <c r="K3786" s="86"/>
      <c r="L3786" s="86"/>
      <c r="M3786" s="86"/>
      <c r="N3786" s="86"/>
      <c r="O3786" s="86"/>
      <c r="P3786" s="86"/>
      <c r="Q3786" s="86"/>
      <c r="R3786" s="86"/>
      <c r="S3786" s="86"/>
      <c r="T3786" s="86"/>
      <c r="U3786" s="86"/>
      <c r="V3786" s="48"/>
      <c r="W3786" s="48"/>
      <c r="X3786" s="48"/>
      <c r="Y3786" s="48"/>
      <c r="Z3786" s="48"/>
      <c r="AA3786" s="48"/>
      <c r="AB3786" s="48"/>
      <c r="AC3786" s="48"/>
      <c r="AD3786" s="48"/>
      <c r="AE3786" s="48"/>
      <c r="AF3786" s="48"/>
      <c r="AG3786" s="48"/>
      <c r="AH3786" s="48"/>
      <c r="AI3786" s="48"/>
      <c r="AJ3786" s="48"/>
      <c r="AK3786" s="48"/>
      <c r="AL3786" s="48"/>
      <c r="AM3786" s="48"/>
      <c r="AN3786" s="48"/>
      <c r="AO3786" s="48"/>
      <c r="AP3786" s="48"/>
      <c r="AQ3786" s="48"/>
      <c r="AR3786" s="48"/>
      <c r="AS3786" s="48"/>
      <c r="AT3786" s="48"/>
      <c r="AU3786" s="48"/>
      <c r="AV3786" s="48"/>
      <c r="AW3786" s="48"/>
      <c r="AX3786" s="48"/>
      <c r="AY3786" s="48"/>
      <c r="AZ3786" s="48"/>
      <c r="BA3786" s="48"/>
      <c r="BB3786" s="48"/>
      <c r="BC3786" s="48"/>
      <c r="BD3786" s="48"/>
    </row>
    <row r="3787" spans="1:56">
      <c r="A3787" s="48"/>
      <c r="B3787" s="48"/>
      <c r="C3787" s="49"/>
      <c r="D3787" s="48"/>
      <c r="E3787" s="48"/>
      <c r="F3787" s="48"/>
      <c r="G3787" s="48"/>
      <c r="H3787" s="48"/>
      <c r="I3787" s="48"/>
      <c r="J3787" s="86"/>
      <c r="K3787" s="86"/>
      <c r="L3787" s="86"/>
      <c r="M3787" s="86"/>
      <c r="N3787" s="86"/>
      <c r="O3787" s="86"/>
      <c r="P3787" s="86"/>
      <c r="Q3787" s="86"/>
      <c r="R3787" s="86"/>
      <c r="S3787" s="86"/>
      <c r="T3787" s="86"/>
      <c r="U3787" s="86"/>
      <c r="V3787" s="48"/>
      <c r="W3787" s="48"/>
      <c r="X3787" s="48"/>
      <c r="Y3787" s="48"/>
      <c r="Z3787" s="48"/>
      <c r="AA3787" s="48"/>
      <c r="AB3787" s="48"/>
      <c r="AC3787" s="48"/>
      <c r="AD3787" s="48"/>
      <c r="AE3787" s="48"/>
      <c r="AF3787" s="48"/>
      <c r="AG3787" s="48"/>
      <c r="AH3787" s="48"/>
      <c r="AI3787" s="48"/>
      <c r="AJ3787" s="48"/>
      <c r="AK3787" s="48"/>
      <c r="AL3787" s="48"/>
      <c r="AM3787" s="48"/>
      <c r="AN3787" s="48"/>
      <c r="AO3787" s="48"/>
      <c r="AP3787" s="48"/>
      <c r="AQ3787" s="48"/>
      <c r="AR3787" s="48"/>
      <c r="AS3787" s="48"/>
      <c r="AT3787" s="48"/>
      <c r="AU3787" s="48"/>
      <c r="AV3787" s="48"/>
      <c r="AW3787" s="48"/>
      <c r="AX3787" s="48"/>
      <c r="AY3787" s="48"/>
      <c r="AZ3787" s="48"/>
      <c r="BA3787" s="48"/>
      <c r="BB3787" s="48"/>
      <c r="BC3787" s="48"/>
      <c r="BD3787" s="48"/>
    </row>
    <row r="3788" spans="1:56">
      <c r="A3788" s="48"/>
      <c r="B3788" s="48"/>
      <c r="C3788" s="49"/>
      <c r="D3788" s="48"/>
      <c r="E3788" s="48"/>
      <c r="F3788" s="48"/>
      <c r="G3788" s="48"/>
      <c r="H3788" s="48"/>
      <c r="I3788" s="48"/>
      <c r="J3788" s="86"/>
      <c r="K3788" s="86"/>
      <c r="L3788" s="86"/>
      <c r="M3788" s="86"/>
      <c r="N3788" s="86"/>
      <c r="O3788" s="86"/>
      <c r="P3788" s="86"/>
      <c r="Q3788" s="86"/>
      <c r="R3788" s="86"/>
      <c r="S3788" s="86"/>
      <c r="T3788" s="86"/>
      <c r="U3788" s="86"/>
      <c r="V3788" s="48"/>
      <c r="W3788" s="48"/>
      <c r="X3788" s="48"/>
      <c r="Y3788" s="48"/>
      <c r="Z3788" s="48"/>
      <c r="AA3788" s="48"/>
      <c r="AB3788" s="48"/>
      <c r="AC3788" s="48"/>
      <c r="AD3788" s="48"/>
      <c r="AE3788" s="48"/>
      <c r="AF3788" s="48"/>
      <c r="AG3788" s="48"/>
      <c r="AH3788" s="48"/>
      <c r="AI3788" s="48"/>
      <c r="AJ3788" s="48"/>
      <c r="AK3788" s="48"/>
      <c r="AL3788" s="48"/>
      <c r="AM3788" s="48"/>
      <c r="AN3788" s="48"/>
      <c r="AO3788" s="48"/>
      <c r="AP3788" s="48"/>
      <c r="AQ3788" s="48"/>
      <c r="AR3788" s="48"/>
      <c r="AS3788" s="48"/>
      <c r="AT3788" s="48"/>
      <c r="AU3788" s="48"/>
      <c r="AV3788" s="48"/>
      <c r="AW3788" s="48"/>
      <c r="AX3788" s="48"/>
      <c r="AY3788" s="48"/>
      <c r="AZ3788" s="48"/>
      <c r="BA3788" s="48"/>
      <c r="BB3788" s="48"/>
      <c r="BC3788" s="48"/>
      <c r="BD3788" s="48"/>
    </row>
    <row r="3789" spans="1:56">
      <c r="A3789" s="48"/>
      <c r="B3789" s="48"/>
      <c r="C3789" s="49"/>
      <c r="D3789" s="48"/>
      <c r="E3789" s="48"/>
      <c r="F3789" s="48"/>
      <c r="G3789" s="48"/>
      <c r="H3789" s="48"/>
      <c r="I3789" s="48"/>
      <c r="J3789" s="86"/>
      <c r="K3789" s="86"/>
      <c r="L3789" s="86"/>
      <c r="M3789" s="86"/>
      <c r="N3789" s="86"/>
      <c r="O3789" s="86"/>
      <c r="P3789" s="86"/>
      <c r="Q3789" s="86"/>
      <c r="R3789" s="86"/>
      <c r="S3789" s="86"/>
      <c r="T3789" s="86"/>
      <c r="U3789" s="86"/>
      <c r="V3789" s="48"/>
      <c r="W3789" s="48"/>
      <c r="X3789" s="48"/>
      <c r="Y3789" s="48"/>
      <c r="Z3789" s="48"/>
      <c r="AA3789" s="48"/>
      <c r="AB3789" s="48"/>
      <c r="AC3789" s="48"/>
      <c r="AD3789" s="48"/>
      <c r="AE3789" s="48"/>
      <c r="AF3789" s="48"/>
      <c r="AG3789" s="48"/>
      <c r="AH3789" s="48"/>
      <c r="AI3789" s="48"/>
      <c r="AJ3789" s="48"/>
      <c r="AK3789" s="48"/>
      <c r="AL3789" s="48"/>
      <c r="AM3789" s="48"/>
      <c r="AN3789" s="48"/>
      <c r="AO3789" s="48"/>
      <c r="AP3789" s="48"/>
      <c r="AQ3789" s="48"/>
      <c r="AR3789" s="48"/>
      <c r="AS3789" s="48"/>
      <c r="AT3789" s="48"/>
      <c r="AU3789" s="48"/>
      <c r="AV3789" s="48"/>
      <c r="AW3789" s="48"/>
      <c r="AX3789" s="48"/>
      <c r="AY3789" s="48"/>
      <c r="AZ3789" s="48"/>
      <c r="BA3789" s="48"/>
      <c r="BB3789" s="48"/>
      <c r="BC3789" s="48"/>
      <c r="BD3789" s="48"/>
    </row>
    <row r="3790" spans="1:56">
      <c r="A3790" s="48"/>
      <c r="B3790" s="48"/>
      <c r="C3790" s="49"/>
      <c r="D3790" s="48"/>
      <c r="E3790" s="48"/>
      <c r="F3790" s="48"/>
      <c r="G3790" s="48"/>
      <c r="H3790" s="48"/>
      <c r="I3790" s="48"/>
      <c r="J3790" s="86"/>
      <c r="K3790" s="86"/>
      <c r="L3790" s="86"/>
      <c r="M3790" s="86"/>
      <c r="N3790" s="86"/>
      <c r="O3790" s="86"/>
      <c r="P3790" s="86"/>
      <c r="Q3790" s="86"/>
      <c r="R3790" s="86"/>
      <c r="S3790" s="86"/>
      <c r="T3790" s="86"/>
      <c r="U3790" s="86"/>
      <c r="V3790" s="48"/>
      <c r="W3790" s="48"/>
      <c r="X3790" s="48"/>
      <c r="Y3790" s="48"/>
      <c r="Z3790" s="48"/>
      <c r="AA3790" s="48"/>
      <c r="AB3790" s="48"/>
      <c r="AC3790" s="48"/>
      <c r="AD3790" s="48"/>
      <c r="AE3790" s="48"/>
      <c r="AF3790" s="48"/>
      <c r="AG3790" s="48"/>
      <c r="AH3790" s="48"/>
      <c r="AI3790" s="48"/>
      <c r="AJ3790" s="48"/>
      <c r="AK3790" s="48"/>
      <c r="AL3790" s="48"/>
      <c r="AM3790" s="48"/>
      <c r="AN3790" s="48"/>
      <c r="AO3790" s="48"/>
      <c r="AP3790" s="48"/>
      <c r="AQ3790" s="48"/>
      <c r="AR3790" s="48"/>
      <c r="AS3790" s="48"/>
      <c r="AT3790" s="48"/>
      <c r="AU3790" s="48"/>
      <c r="AV3790" s="48"/>
      <c r="AW3790" s="48"/>
      <c r="AX3790" s="48"/>
      <c r="AY3790" s="48"/>
      <c r="AZ3790" s="48"/>
      <c r="BA3790" s="48"/>
      <c r="BB3790" s="48"/>
      <c r="BC3790" s="48"/>
      <c r="BD3790" s="48"/>
    </row>
    <row r="3791" spans="1:56">
      <c r="A3791" s="48"/>
      <c r="B3791" s="48"/>
      <c r="C3791" s="49"/>
      <c r="D3791" s="48"/>
      <c r="E3791" s="48"/>
      <c r="F3791" s="48"/>
      <c r="G3791" s="48"/>
      <c r="H3791" s="48"/>
      <c r="I3791" s="48"/>
      <c r="J3791" s="86"/>
      <c r="K3791" s="86"/>
      <c r="L3791" s="86"/>
      <c r="M3791" s="86"/>
      <c r="N3791" s="86"/>
      <c r="O3791" s="86"/>
      <c r="P3791" s="86"/>
      <c r="Q3791" s="86"/>
      <c r="R3791" s="86"/>
      <c r="S3791" s="86"/>
      <c r="T3791" s="86"/>
      <c r="U3791" s="86"/>
      <c r="V3791" s="48"/>
      <c r="W3791" s="48"/>
      <c r="X3791" s="48"/>
      <c r="Y3791" s="48"/>
      <c r="Z3791" s="48"/>
      <c r="AA3791" s="48"/>
      <c r="AB3791" s="48"/>
      <c r="AC3791" s="48"/>
      <c r="AD3791" s="48"/>
      <c r="AE3791" s="48"/>
      <c r="AF3791" s="48"/>
      <c r="AG3791" s="48"/>
      <c r="AH3791" s="48"/>
      <c r="AI3791" s="48"/>
      <c r="AJ3791" s="48"/>
      <c r="AK3791" s="48"/>
      <c r="AL3791" s="48"/>
      <c r="AM3791" s="48"/>
      <c r="AN3791" s="48"/>
      <c r="AO3791" s="48"/>
      <c r="AP3791" s="48"/>
      <c r="AQ3791" s="48"/>
      <c r="AR3791" s="48"/>
      <c r="AS3791" s="48"/>
      <c r="AT3791" s="48"/>
      <c r="AU3791" s="48"/>
      <c r="AV3791" s="48"/>
      <c r="AW3791" s="48"/>
      <c r="AX3791" s="48"/>
      <c r="AY3791" s="48"/>
      <c r="AZ3791" s="48"/>
      <c r="BA3791" s="48"/>
      <c r="BB3791" s="48"/>
      <c r="BC3791" s="48"/>
      <c r="BD3791" s="48"/>
    </row>
    <row r="3792" spans="1:56">
      <c r="A3792" s="48"/>
      <c r="B3792" s="48"/>
      <c r="C3792" s="49"/>
      <c r="D3792" s="48"/>
      <c r="E3792" s="48"/>
      <c r="F3792" s="48"/>
      <c r="G3792" s="48"/>
      <c r="H3792" s="48"/>
      <c r="I3792" s="48"/>
      <c r="J3792" s="86"/>
      <c r="K3792" s="86"/>
      <c r="L3792" s="86"/>
      <c r="M3792" s="86"/>
      <c r="N3792" s="86"/>
      <c r="O3792" s="86"/>
      <c r="P3792" s="86"/>
      <c r="Q3792" s="86"/>
      <c r="R3792" s="86"/>
      <c r="S3792" s="86"/>
      <c r="T3792" s="86"/>
      <c r="U3792" s="86"/>
      <c r="V3792" s="48"/>
      <c r="W3792" s="48"/>
      <c r="X3792" s="48"/>
      <c r="Y3792" s="48"/>
      <c r="Z3792" s="48"/>
      <c r="AA3792" s="48"/>
      <c r="AB3792" s="48"/>
      <c r="AC3792" s="48"/>
      <c r="AD3792" s="48"/>
      <c r="AE3792" s="48"/>
      <c r="AF3792" s="48"/>
      <c r="AG3792" s="48"/>
      <c r="AH3792" s="48"/>
      <c r="AI3792" s="48"/>
      <c r="AJ3792" s="48"/>
      <c r="AK3792" s="48"/>
      <c r="AL3792" s="48"/>
      <c r="AM3792" s="48"/>
      <c r="AN3792" s="48"/>
      <c r="AO3792" s="48"/>
      <c r="AP3792" s="48"/>
      <c r="AQ3792" s="48"/>
      <c r="AR3792" s="48"/>
      <c r="AS3792" s="48"/>
      <c r="AT3792" s="48"/>
      <c r="AU3792" s="48"/>
      <c r="AV3792" s="48"/>
      <c r="AW3792" s="48"/>
      <c r="AX3792" s="48"/>
      <c r="AY3792" s="48"/>
      <c r="AZ3792" s="48"/>
      <c r="BA3792" s="48"/>
      <c r="BB3792" s="48"/>
      <c r="BC3792" s="48"/>
      <c r="BD3792" s="48"/>
    </row>
    <row r="3793" spans="1:56">
      <c r="A3793" s="48"/>
      <c r="B3793" s="48"/>
      <c r="C3793" s="49"/>
      <c r="D3793" s="48"/>
      <c r="E3793" s="48"/>
      <c r="F3793" s="48"/>
      <c r="G3793" s="48"/>
      <c r="H3793" s="48"/>
      <c r="I3793" s="48"/>
      <c r="J3793" s="86"/>
      <c r="K3793" s="86"/>
      <c r="L3793" s="86"/>
      <c r="M3793" s="86"/>
      <c r="N3793" s="86"/>
      <c r="O3793" s="86"/>
      <c r="P3793" s="86"/>
      <c r="Q3793" s="86"/>
      <c r="R3793" s="86"/>
      <c r="S3793" s="86"/>
      <c r="T3793" s="86"/>
      <c r="U3793" s="86"/>
      <c r="V3793" s="48"/>
      <c r="W3793" s="48"/>
      <c r="X3793" s="48"/>
      <c r="Y3793" s="48"/>
      <c r="Z3793" s="48"/>
      <c r="AA3793" s="48"/>
      <c r="AB3793" s="48"/>
      <c r="AC3793" s="48"/>
      <c r="AD3793" s="48"/>
      <c r="AE3793" s="48"/>
      <c r="AF3793" s="48"/>
      <c r="AG3793" s="48"/>
      <c r="AH3793" s="48"/>
      <c r="AI3793" s="48"/>
      <c r="AJ3793" s="48"/>
      <c r="AK3793" s="48"/>
      <c r="AL3793" s="48"/>
      <c r="AM3793" s="48"/>
      <c r="AN3793" s="48"/>
      <c r="AO3793" s="48"/>
      <c r="AP3793" s="48"/>
      <c r="AQ3793" s="48"/>
      <c r="AR3793" s="48"/>
      <c r="AS3793" s="48"/>
      <c r="AT3793" s="48"/>
      <c r="AU3793" s="48"/>
      <c r="AV3793" s="48"/>
      <c r="AW3793" s="48"/>
      <c r="AX3793" s="48"/>
      <c r="AY3793" s="48"/>
      <c r="AZ3793" s="48"/>
      <c r="BA3793" s="48"/>
      <c r="BB3793" s="48"/>
      <c r="BC3793" s="48"/>
      <c r="BD3793" s="48"/>
    </row>
    <row r="3794" spans="1:56">
      <c r="A3794" s="48"/>
      <c r="B3794" s="48"/>
      <c r="C3794" s="49"/>
      <c r="D3794" s="48"/>
      <c r="E3794" s="48"/>
      <c r="F3794" s="48"/>
      <c r="G3794" s="48"/>
      <c r="H3794" s="48"/>
      <c r="I3794" s="48"/>
      <c r="J3794" s="86"/>
      <c r="K3794" s="86"/>
      <c r="L3794" s="86"/>
      <c r="M3794" s="86"/>
      <c r="N3794" s="86"/>
      <c r="O3794" s="86"/>
      <c r="P3794" s="86"/>
      <c r="Q3794" s="86"/>
      <c r="R3794" s="86"/>
      <c r="S3794" s="86"/>
      <c r="T3794" s="86"/>
      <c r="U3794" s="86"/>
      <c r="V3794" s="48"/>
      <c r="W3794" s="48"/>
      <c r="X3794" s="48"/>
      <c r="Y3794" s="48"/>
      <c r="Z3794" s="48"/>
      <c r="AA3794" s="48"/>
      <c r="AB3794" s="48"/>
      <c r="AC3794" s="48"/>
      <c r="AD3794" s="48"/>
      <c r="AE3794" s="48"/>
      <c r="AF3794" s="48"/>
      <c r="AG3794" s="48"/>
      <c r="AH3794" s="48"/>
      <c r="AI3794" s="48"/>
      <c r="AJ3794" s="48"/>
      <c r="AK3794" s="48"/>
      <c r="AL3794" s="48"/>
      <c r="AM3794" s="48"/>
      <c r="AN3794" s="48"/>
      <c r="AO3794" s="48"/>
      <c r="AP3794" s="48"/>
      <c r="AQ3794" s="48"/>
      <c r="AR3794" s="48"/>
      <c r="AS3794" s="48"/>
      <c r="AT3794" s="48"/>
      <c r="AU3794" s="48"/>
      <c r="AV3794" s="48"/>
      <c r="AW3794" s="48"/>
      <c r="AX3794" s="48"/>
      <c r="AY3794" s="48"/>
      <c r="AZ3794" s="48"/>
      <c r="BA3794" s="48"/>
      <c r="BB3794" s="48"/>
      <c r="BC3794" s="48"/>
      <c r="BD3794" s="48"/>
    </row>
    <row r="3795" spans="1:56">
      <c r="A3795" s="48"/>
      <c r="B3795" s="48"/>
      <c r="C3795" s="49"/>
      <c r="D3795" s="48"/>
      <c r="E3795" s="48"/>
      <c r="F3795" s="48"/>
      <c r="G3795" s="48"/>
      <c r="H3795" s="48"/>
      <c r="I3795" s="48"/>
      <c r="J3795" s="86"/>
      <c r="K3795" s="86"/>
      <c r="L3795" s="86"/>
      <c r="M3795" s="86"/>
      <c r="N3795" s="86"/>
      <c r="O3795" s="86"/>
      <c r="P3795" s="86"/>
      <c r="Q3795" s="86"/>
      <c r="R3795" s="86"/>
      <c r="S3795" s="86"/>
      <c r="T3795" s="86"/>
      <c r="U3795" s="86"/>
      <c r="V3795" s="48"/>
      <c r="W3795" s="48"/>
      <c r="X3795" s="48"/>
      <c r="Y3795" s="48"/>
      <c r="Z3795" s="48"/>
      <c r="AA3795" s="48"/>
      <c r="AB3795" s="48"/>
      <c r="AC3795" s="48"/>
      <c r="AD3795" s="48"/>
      <c r="AE3795" s="48"/>
      <c r="AF3795" s="48"/>
      <c r="AG3795" s="48"/>
      <c r="AH3795" s="48"/>
      <c r="AI3795" s="48"/>
      <c r="AJ3795" s="48"/>
      <c r="AK3795" s="48"/>
      <c r="AL3795" s="48"/>
      <c r="AM3795" s="48"/>
      <c r="AN3795" s="48"/>
      <c r="AO3795" s="48"/>
      <c r="AP3795" s="48"/>
      <c r="AQ3795" s="48"/>
      <c r="AR3795" s="48"/>
      <c r="AS3795" s="48"/>
      <c r="AT3795" s="48"/>
      <c r="AU3795" s="48"/>
      <c r="AV3795" s="48"/>
      <c r="AW3795" s="48"/>
      <c r="AX3795" s="48"/>
      <c r="AY3795" s="48"/>
      <c r="AZ3795" s="48"/>
      <c r="BA3795" s="48"/>
      <c r="BB3795" s="48"/>
      <c r="BC3795" s="48"/>
      <c r="BD3795" s="48"/>
    </row>
    <row r="3796" spans="1:56">
      <c r="A3796" s="48"/>
      <c r="B3796" s="48"/>
      <c r="C3796" s="49"/>
      <c r="D3796" s="48"/>
      <c r="E3796" s="48"/>
      <c r="F3796" s="48"/>
      <c r="G3796" s="48"/>
      <c r="H3796" s="48"/>
      <c r="I3796" s="48"/>
      <c r="J3796" s="86"/>
      <c r="K3796" s="86"/>
      <c r="L3796" s="86"/>
      <c r="M3796" s="86"/>
      <c r="N3796" s="86"/>
      <c r="O3796" s="86"/>
      <c r="P3796" s="86"/>
      <c r="Q3796" s="86"/>
      <c r="R3796" s="86"/>
      <c r="S3796" s="86"/>
      <c r="T3796" s="86"/>
      <c r="U3796" s="86"/>
      <c r="V3796" s="48"/>
      <c r="W3796" s="48"/>
      <c r="X3796" s="48"/>
      <c r="Y3796" s="48"/>
      <c r="Z3796" s="48"/>
      <c r="AA3796" s="48"/>
      <c r="AB3796" s="48"/>
      <c r="AC3796" s="48"/>
      <c r="AD3796" s="48"/>
      <c r="AE3796" s="48"/>
      <c r="AF3796" s="48"/>
      <c r="AG3796" s="48"/>
      <c r="AH3796" s="48"/>
      <c r="AI3796" s="48"/>
      <c r="AJ3796" s="48"/>
      <c r="AK3796" s="48"/>
      <c r="AL3796" s="48"/>
      <c r="AM3796" s="48"/>
      <c r="AN3796" s="48"/>
      <c r="AO3796" s="48"/>
      <c r="AP3796" s="48"/>
      <c r="AQ3796" s="48"/>
      <c r="AR3796" s="48"/>
      <c r="AS3796" s="48"/>
      <c r="AT3796" s="48"/>
      <c r="AU3796" s="48"/>
      <c r="AV3796" s="48"/>
      <c r="AW3796" s="48"/>
      <c r="AX3796" s="48"/>
      <c r="AY3796" s="48"/>
      <c r="AZ3796" s="48"/>
      <c r="BA3796" s="48"/>
      <c r="BB3796" s="48"/>
      <c r="BC3796" s="48"/>
      <c r="BD3796" s="48"/>
    </row>
    <row r="3797" spans="1:56">
      <c r="A3797" s="48"/>
      <c r="B3797" s="48"/>
      <c r="C3797" s="49"/>
      <c r="D3797" s="48"/>
      <c r="E3797" s="48"/>
      <c r="F3797" s="48"/>
      <c r="G3797" s="48"/>
      <c r="H3797" s="48"/>
      <c r="I3797" s="48"/>
      <c r="J3797" s="86"/>
      <c r="K3797" s="86"/>
      <c r="L3797" s="86"/>
      <c r="M3797" s="86"/>
      <c r="N3797" s="86"/>
      <c r="O3797" s="86"/>
      <c r="P3797" s="86"/>
      <c r="Q3797" s="86"/>
      <c r="R3797" s="86"/>
      <c r="S3797" s="86"/>
      <c r="T3797" s="86"/>
      <c r="U3797" s="86"/>
      <c r="V3797" s="48"/>
      <c r="W3797" s="48"/>
      <c r="X3797" s="48"/>
      <c r="Y3797" s="48"/>
      <c r="Z3797" s="48"/>
      <c r="AA3797" s="48"/>
      <c r="AB3797" s="48"/>
      <c r="AC3797" s="48"/>
      <c r="AD3797" s="48"/>
      <c r="AE3797" s="48"/>
      <c r="AF3797" s="48"/>
      <c r="AG3797" s="48"/>
      <c r="AH3797" s="48"/>
      <c r="AI3797" s="48"/>
      <c r="AJ3797" s="48"/>
      <c r="AK3797" s="48"/>
      <c r="AL3797" s="48"/>
      <c r="AM3797" s="48"/>
      <c r="AN3797" s="48"/>
      <c r="AO3797" s="48"/>
      <c r="AP3797" s="48"/>
      <c r="AQ3797" s="48"/>
      <c r="AR3797" s="48"/>
      <c r="AS3797" s="48"/>
      <c r="AT3797" s="48"/>
      <c r="AU3797" s="48"/>
      <c r="AV3797" s="48"/>
      <c r="AW3797" s="48"/>
      <c r="AX3797" s="48"/>
      <c r="AY3797" s="48"/>
      <c r="AZ3797" s="48"/>
      <c r="BA3797" s="48"/>
      <c r="BB3797" s="48"/>
      <c r="BC3797" s="48"/>
      <c r="BD3797" s="48"/>
    </row>
    <row r="3798" spans="1:56">
      <c r="A3798" s="48"/>
      <c r="B3798" s="48"/>
      <c r="C3798" s="49"/>
      <c r="D3798" s="48"/>
      <c r="E3798" s="48"/>
      <c r="F3798" s="48"/>
      <c r="G3798" s="48"/>
      <c r="H3798" s="48"/>
      <c r="I3798" s="48"/>
      <c r="J3798" s="86"/>
      <c r="K3798" s="86"/>
      <c r="L3798" s="86"/>
      <c r="M3798" s="86"/>
      <c r="N3798" s="86"/>
      <c r="O3798" s="86"/>
      <c r="P3798" s="86"/>
      <c r="Q3798" s="86"/>
      <c r="R3798" s="86"/>
      <c r="S3798" s="86"/>
      <c r="T3798" s="86"/>
      <c r="U3798" s="86"/>
      <c r="V3798" s="48"/>
      <c r="W3798" s="48"/>
      <c r="X3798" s="48"/>
      <c r="Y3798" s="48"/>
      <c r="Z3798" s="48"/>
      <c r="AA3798" s="48"/>
      <c r="AB3798" s="48"/>
      <c r="AC3798" s="48"/>
      <c r="AD3798" s="48"/>
      <c r="AE3798" s="48"/>
      <c r="AF3798" s="48"/>
      <c r="AG3798" s="48"/>
      <c r="AH3798" s="48"/>
      <c r="AI3798" s="48"/>
      <c r="AJ3798" s="48"/>
      <c r="AK3798" s="48"/>
      <c r="AL3798" s="48"/>
      <c r="AM3798" s="48"/>
      <c r="AN3798" s="48"/>
      <c r="AO3798" s="48"/>
      <c r="AP3798" s="48"/>
      <c r="AQ3798" s="48"/>
      <c r="AR3798" s="48"/>
      <c r="AS3798" s="48"/>
      <c r="AT3798" s="48"/>
      <c r="AU3798" s="48"/>
      <c r="AV3798" s="48"/>
      <c r="AW3798" s="48"/>
      <c r="AX3798" s="48"/>
      <c r="AY3798" s="48"/>
      <c r="AZ3798" s="48"/>
      <c r="BA3798" s="48"/>
      <c r="BB3798" s="48"/>
      <c r="BC3798" s="48"/>
      <c r="BD3798" s="48"/>
    </row>
    <row r="3799" spans="1:56">
      <c r="A3799" s="48"/>
      <c r="B3799" s="48"/>
      <c r="C3799" s="49"/>
      <c r="D3799" s="48"/>
      <c r="E3799" s="48"/>
      <c r="F3799" s="48"/>
      <c r="G3799" s="48"/>
      <c r="H3799" s="48"/>
      <c r="I3799" s="48"/>
      <c r="J3799" s="86"/>
      <c r="K3799" s="86"/>
      <c r="L3799" s="86"/>
      <c r="M3799" s="86"/>
      <c r="N3799" s="86"/>
      <c r="O3799" s="86"/>
      <c r="P3799" s="86"/>
      <c r="Q3799" s="86"/>
      <c r="R3799" s="86"/>
      <c r="S3799" s="86"/>
      <c r="T3799" s="86"/>
      <c r="U3799" s="86"/>
      <c r="V3799" s="48"/>
      <c r="W3799" s="48"/>
      <c r="X3799" s="48"/>
      <c r="Y3799" s="48"/>
      <c r="Z3799" s="48"/>
      <c r="AA3799" s="48"/>
      <c r="AB3799" s="48"/>
      <c r="AC3799" s="48"/>
      <c r="AD3799" s="48"/>
      <c r="AE3799" s="48"/>
      <c r="AF3799" s="48"/>
      <c r="AG3799" s="48"/>
      <c r="AH3799" s="48"/>
      <c r="AI3799" s="48"/>
      <c r="AJ3799" s="48"/>
      <c r="AK3799" s="48"/>
      <c r="AL3799" s="48"/>
      <c r="AM3799" s="48"/>
      <c r="AN3799" s="48"/>
      <c r="AO3799" s="48"/>
      <c r="AP3799" s="48"/>
      <c r="AQ3799" s="48"/>
      <c r="AR3799" s="48"/>
      <c r="AS3799" s="48"/>
      <c r="AT3799" s="48"/>
      <c r="AU3799" s="48"/>
      <c r="AV3799" s="48"/>
      <c r="AW3799" s="48"/>
      <c r="AX3799" s="48"/>
      <c r="AY3799" s="48"/>
      <c r="AZ3799" s="48"/>
      <c r="BA3799" s="48"/>
      <c r="BB3799" s="48"/>
      <c r="BC3799" s="48"/>
      <c r="BD3799" s="48"/>
    </row>
    <row r="3800" spans="1:56">
      <c r="A3800" s="48"/>
      <c r="B3800" s="48"/>
      <c r="C3800" s="49"/>
      <c r="D3800" s="48"/>
      <c r="E3800" s="48"/>
      <c r="F3800" s="48"/>
      <c r="G3800" s="48"/>
      <c r="H3800" s="48"/>
      <c r="I3800" s="48"/>
      <c r="J3800" s="86"/>
      <c r="K3800" s="86"/>
      <c r="L3800" s="86"/>
      <c r="M3800" s="86"/>
      <c r="N3800" s="86"/>
      <c r="O3800" s="86"/>
      <c r="P3800" s="86"/>
      <c r="Q3800" s="86"/>
      <c r="R3800" s="86"/>
      <c r="S3800" s="86"/>
      <c r="T3800" s="86"/>
      <c r="U3800" s="86"/>
      <c r="V3800" s="48"/>
      <c r="W3800" s="48"/>
      <c r="X3800" s="48"/>
      <c r="Y3800" s="48"/>
      <c r="Z3800" s="48"/>
      <c r="AA3800" s="48"/>
      <c r="AB3800" s="48"/>
      <c r="AC3800" s="48"/>
      <c r="AD3800" s="48"/>
      <c r="AE3800" s="48"/>
      <c r="AF3800" s="48"/>
      <c r="AG3800" s="48"/>
      <c r="AH3800" s="48"/>
      <c r="AI3800" s="48"/>
      <c r="AJ3800" s="48"/>
      <c r="AK3800" s="48"/>
      <c r="AL3800" s="48"/>
      <c r="AM3800" s="48"/>
      <c r="AN3800" s="48"/>
      <c r="AO3800" s="48"/>
      <c r="AP3800" s="48"/>
      <c r="AQ3800" s="48"/>
      <c r="AR3800" s="48"/>
      <c r="AS3800" s="48"/>
      <c r="AT3800" s="48"/>
      <c r="AU3800" s="48"/>
      <c r="AV3800" s="48"/>
      <c r="AW3800" s="48"/>
      <c r="AX3800" s="48"/>
      <c r="AY3800" s="48"/>
      <c r="AZ3800" s="48"/>
      <c r="BA3800" s="48"/>
      <c r="BB3800" s="48"/>
      <c r="BC3800" s="48"/>
      <c r="BD3800" s="48"/>
    </row>
    <row r="3801" spans="1:56">
      <c r="A3801" s="48"/>
      <c r="B3801" s="48"/>
      <c r="C3801" s="49"/>
      <c r="D3801" s="48"/>
      <c r="E3801" s="48"/>
      <c r="F3801" s="48"/>
      <c r="G3801" s="48"/>
      <c r="H3801" s="48"/>
      <c r="I3801" s="48"/>
      <c r="J3801" s="86"/>
      <c r="K3801" s="86"/>
      <c r="L3801" s="86"/>
      <c r="M3801" s="86"/>
      <c r="N3801" s="86"/>
      <c r="O3801" s="86"/>
      <c r="P3801" s="86"/>
      <c r="Q3801" s="86"/>
      <c r="R3801" s="86"/>
      <c r="S3801" s="86"/>
      <c r="T3801" s="86"/>
      <c r="U3801" s="86"/>
      <c r="V3801" s="48"/>
      <c r="W3801" s="48"/>
      <c r="X3801" s="48"/>
      <c r="Y3801" s="48"/>
      <c r="Z3801" s="48"/>
      <c r="AA3801" s="48"/>
      <c r="AB3801" s="48"/>
      <c r="AC3801" s="48"/>
      <c r="AD3801" s="48"/>
      <c r="AE3801" s="48"/>
      <c r="AF3801" s="48"/>
      <c r="AG3801" s="48"/>
      <c r="AH3801" s="48"/>
      <c r="AI3801" s="48"/>
      <c r="AJ3801" s="48"/>
      <c r="AK3801" s="48"/>
      <c r="AL3801" s="48"/>
      <c r="AM3801" s="48"/>
      <c r="AN3801" s="48"/>
      <c r="AO3801" s="48"/>
      <c r="AP3801" s="48"/>
      <c r="AQ3801" s="48"/>
      <c r="AR3801" s="48"/>
      <c r="AS3801" s="48"/>
      <c r="AT3801" s="48"/>
      <c r="AU3801" s="48"/>
      <c r="AV3801" s="48"/>
      <c r="AW3801" s="48"/>
      <c r="AX3801" s="48"/>
      <c r="AY3801" s="48"/>
      <c r="AZ3801" s="48"/>
      <c r="BA3801" s="48"/>
      <c r="BB3801" s="48"/>
      <c r="BC3801" s="48"/>
      <c r="BD3801" s="48"/>
    </row>
    <row r="3802" spans="1:56">
      <c r="A3802" s="48"/>
      <c r="B3802" s="48"/>
      <c r="C3802" s="49"/>
      <c r="D3802" s="48"/>
      <c r="E3802" s="48"/>
      <c r="F3802" s="48"/>
      <c r="G3802" s="48"/>
      <c r="H3802" s="48"/>
      <c r="I3802" s="48"/>
      <c r="J3802" s="86"/>
      <c r="K3802" s="86"/>
      <c r="L3802" s="86"/>
      <c r="M3802" s="86"/>
      <c r="N3802" s="86"/>
      <c r="O3802" s="86"/>
      <c r="P3802" s="86"/>
      <c r="Q3802" s="86"/>
      <c r="R3802" s="86"/>
      <c r="S3802" s="86"/>
      <c r="T3802" s="86"/>
      <c r="U3802" s="86"/>
      <c r="V3802" s="48"/>
      <c r="W3802" s="48"/>
      <c r="X3802" s="48"/>
      <c r="Y3802" s="48"/>
      <c r="Z3802" s="48"/>
      <c r="AA3802" s="48"/>
      <c r="AB3802" s="48"/>
      <c r="AC3802" s="48"/>
      <c r="AD3802" s="48"/>
      <c r="AE3802" s="48"/>
      <c r="AF3802" s="48"/>
      <c r="AG3802" s="48"/>
      <c r="AH3802" s="48"/>
      <c r="AI3802" s="48"/>
      <c r="AJ3802" s="48"/>
      <c r="AK3802" s="48"/>
      <c r="AL3802" s="48"/>
      <c r="AM3802" s="48"/>
      <c r="AN3802" s="48"/>
      <c r="AO3802" s="48"/>
      <c r="AP3802" s="48"/>
      <c r="AQ3802" s="48"/>
      <c r="AR3802" s="48"/>
      <c r="AS3802" s="48"/>
      <c r="AT3802" s="48"/>
      <c r="AU3802" s="48"/>
      <c r="AV3802" s="48"/>
      <c r="AW3802" s="48"/>
      <c r="AX3802" s="48"/>
      <c r="AY3802" s="48"/>
      <c r="AZ3802" s="48"/>
      <c r="BA3802" s="48"/>
      <c r="BB3802" s="48"/>
      <c r="BC3802" s="48"/>
      <c r="BD3802" s="48"/>
    </row>
    <row r="3803" spans="1:56">
      <c r="A3803" s="48"/>
      <c r="B3803" s="48"/>
      <c r="C3803" s="49"/>
      <c r="D3803" s="48"/>
      <c r="E3803" s="48"/>
      <c r="F3803" s="48"/>
      <c r="G3803" s="48"/>
      <c r="H3803" s="48"/>
      <c r="I3803" s="48"/>
      <c r="J3803" s="86"/>
      <c r="K3803" s="86"/>
      <c r="L3803" s="86"/>
      <c r="M3803" s="86"/>
      <c r="N3803" s="86"/>
      <c r="O3803" s="86"/>
      <c r="P3803" s="86"/>
      <c r="Q3803" s="86"/>
      <c r="R3803" s="86"/>
      <c r="S3803" s="86"/>
      <c r="T3803" s="86"/>
      <c r="U3803" s="86"/>
      <c r="V3803" s="48"/>
      <c r="W3803" s="48"/>
      <c r="X3803" s="48"/>
      <c r="Y3803" s="48"/>
      <c r="Z3803" s="48"/>
      <c r="AA3803" s="48"/>
      <c r="AB3803" s="48"/>
      <c r="AC3803" s="48"/>
      <c r="AD3803" s="48"/>
      <c r="AE3803" s="48"/>
      <c r="AF3803" s="48"/>
      <c r="AG3803" s="48"/>
      <c r="AH3803" s="48"/>
      <c r="AI3803" s="48"/>
      <c r="AJ3803" s="48"/>
      <c r="AK3803" s="48"/>
      <c r="AL3803" s="48"/>
      <c r="AM3803" s="48"/>
      <c r="AN3803" s="48"/>
      <c r="AO3803" s="48"/>
      <c r="AP3803" s="48"/>
      <c r="AQ3803" s="48"/>
      <c r="AR3803" s="48"/>
      <c r="AS3803" s="48"/>
      <c r="AT3803" s="48"/>
      <c r="AU3803" s="48"/>
      <c r="AV3803" s="48"/>
      <c r="AW3803" s="48"/>
      <c r="AX3803" s="48"/>
      <c r="AY3803" s="48"/>
      <c r="AZ3803" s="48"/>
      <c r="BA3803" s="48"/>
      <c r="BB3803" s="48"/>
      <c r="BC3803" s="48"/>
      <c r="BD3803" s="48"/>
    </row>
    <row r="3804" spans="1:56">
      <c r="A3804" s="48"/>
      <c r="B3804" s="48"/>
      <c r="C3804" s="49"/>
      <c r="D3804" s="48"/>
      <c r="E3804" s="48"/>
      <c r="F3804" s="48"/>
      <c r="G3804" s="48"/>
      <c r="H3804" s="48"/>
      <c r="I3804" s="48"/>
      <c r="J3804" s="86"/>
      <c r="K3804" s="86"/>
      <c r="L3804" s="86"/>
      <c r="M3804" s="86"/>
      <c r="N3804" s="86"/>
      <c r="O3804" s="86"/>
      <c r="P3804" s="86"/>
      <c r="Q3804" s="86"/>
      <c r="R3804" s="86"/>
      <c r="S3804" s="86"/>
      <c r="T3804" s="86"/>
      <c r="U3804" s="86"/>
      <c r="V3804" s="48"/>
      <c r="W3804" s="48"/>
      <c r="X3804" s="48"/>
      <c r="Y3804" s="48"/>
      <c r="Z3804" s="48"/>
      <c r="AA3804" s="48"/>
      <c r="AB3804" s="48"/>
      <c r="AC3804" s="48"/>
      <c r="AD3804" s="48"/>
      <c r="AE3804" s="48"/>
      <c r="AF3804" s="48"/>
      <c r="AG3804" s="48"/>
      <c r="AH3804" s="48"/>
      <c r="AI3804" s="48"/>
      <c r="AJ3804" s="48"/>
      <c r="AK3804" s="48"/>
      <c r="AL3804" s="48"/>
      <c r="AM3804" s="48"/>
      <c r="AN3804" s="48"/>
      <c r="AO3804" s="48"/>
      <c r="AP3804" s="48"/>
      <c r="AQ3804" s="48"/>
      <c r="AR3804" s="48"/>
      <c r="AS3804" s="48"/>
      <c r="AT3804" s="48"/>
      <c r="AU3804" s="48"/>
      <c r="AV3804" s="48"/>
      <c r="AW3804" s="48"/>
      <c r="AX3804" s="48"/>
      <c r="AY3804" s="48"/>
      <c r="AZ3804" s="48"/>
      <c r="BA3804" s="48"/>
      <c r="BB3804" s="48"/>
      <c r="BC3804" s="48"/>
      <c r="BD3804" s="48"/>
    </row>
    <row r="3805" spans="1:56">
      <c r="A3805" s="48"/>
      <c r="B3805" s="48"/>
      <c r="C3805" s="49"/>
      <c r="D3805" s="48"/>
      <c r="E3805" s="48"/>
      <c r="F3805" s="48"/>
      <c r="G3805" s="48"/>
      <c r="H3805" s="48"/>
      <c r="I3805" s="48"/>
      <c r="J3805" s="86"/>
      <c r="K3805" s="86"/>
      <c r="L3805" s="86"/>
      <c r="M3805" s="86"/>
      <c r="N3805" s="86"/>
      <c r="O3805" s="86"/>
      <c r="P3805" s="86"/>
      <c r="Q3805" s="86"/>
      <c r="R3805" s="86"/>
      <c r="S3805" s="86"/>
      <c r="T3805" s="86"/>
      <c r="U3805" s="86"/>
      <c r="V3805" s="48"/>
      <c r="W3805" s="48"/>
      <c r="X3805" s="48"/>
      <c r="Y3805" s="48"/>
      <c r="Z3805" s="48"/>
      <c r="AA3805" s="48"/>
      <c r="AB3805" s="48"/>
      <c r="AC3805" s="48"/>
      <c r="AD3805" s="48"/>
      <c r="AE3805" s="48"/>
      <c r="AF3805" s="48"/>
      <c r="AG3805" s="48"/>
      <c r="AH3805" s="48"/>
      <c r="AI3805" s="48"/>
      <c r="AJ3805" s="48"/>
      <c r="AK3805" s="48"/>
      <c r="AL3805" s="48"/>
      <c r="AM3805" s="48"/>
      <c r="AN3805" s="48"/>
      <c r="AO3805" s="48"/>
      <c r="AP3805" s="48"/>
      <c r="AQ3805" s="48"/>
      <c r="AR3805" s="48"/>
      <c r="AS3805" s="48"/>
      <c r="AT3805" s="48"/>
      <c r="AU3805" s="48"/>
      <c r="AV3805" s="48"/>
      <c r="AW3805" s="48"/>
      <c r="AX3805" s="48"/>
      <c r="AY3805" s="48"/>
      <c r="AZ3805" s="48"/>
      <c r="BA3805" s="48"/>
      <c r="BB3805" s="48"/>
      <c r="BC3805" s="48"/>
      <c r="BD3805" s="48"/>
    </row>
    <row r="3806" spans="1:56">
      <c r="A3806" s="48"/>
      <c r="B3806" s="48"/>
      <c r="C3806" s="49"/>
      <c r="D3806" s="48"/>
      <c r="E3806" s="48"/>
      <c r="F3806" s="48"/>
      <c r="G3806" s="48"/>
      <c r="H3806" s="48"/>
      <c r="I3806" s="48"/>
      <c r="J3806" s="86"/>
      <c r="K3806" s="86"/>
      <c r="L3806" s="86"/>
      <c r="M3806" s="86"/>
      <c r="N3806" s="86"/>
      <c r="O3806" s="86"/>
      <c r="P3806" s="86"/>
      <c r="Q3806" s="86"/>
      <c r="R3806" s="86"/>
      <c r="S3806" s="86"/>
      <c r="T3806" s="86"/>
      <c r="U3806" s="86"/>
      <c r="V3806" s="48"/>
      <c r="W3806" s="48"/>
      <c r="X3806" s="48"/>
      <c r="Y3806" s="48"/>
      <c r="Z3806" s="48"/>
      <c r="AA3806" s="48"/>
      <c r="AB3806" s="48"/>
      <c r="AC3806" s="48"/>
      <c r="AD3806" s="48"/>
      <c r="AE3806" s="48"/>
      <c r="AF3806" s="48"/>
      <c r="AG3806" s="48"/>
      <c r="AH3806" s="48"/>
      <c r="AI3806" s="48"/>
      <c r="AJ3806" s="48"/>
      <c r="AK3806" s="48"/>
      <c r="AL3806" s="48"/>
      <c r="AM3806" s="48"/>
      <c r="AN3806" s="48"/>
      <c r="AO3806" s="48"/>
      <c r="AP3806" s="48"/>
      <c r="AQ3806" s="48"/>
      <c r="AR3806" s="48"/>
      <c r="AS3806" s="48"/>
      <c r="AT3806" s="48"/>
      <c r="AU3806" s="48"/>
      <c r="AV3806" s="48"/>
      <c r="AW3806" s="48"/>
      <c r="AX3806" s="48"/>
      <c r="AY3806" s="48"/>
      <c r="AZ3806" s="48"/>
      <c r="BA3806" s="48"/>
      <c r="BB3806" s="48"/>
      <c r="BC3806" s="48"/>
      <c r="BD3806" s="48"/>
    </row>
    <row r="3807" spans="1:56">
      <c r="A3807" s="48"/>
      <c r="B3807" s="48"/>
      <c r="C3807" s="49"/>
      <c r="D3807" s="48"/>
      <c r="E3807" s="48"/>
      <c r="F3807" s="48"/>
      <c r="G3807" s="48"/>
      <c r="H3807" s="48"/>
      <c r="I3807" s="48"/>
      <c r="J3807" s="86"/>
      <c r="K3807" s="86"/>
      <c r="L3807" s="86"/>
      <c r="M3807" s="86"/>
      <c r="N3807" s="86"/>
      <c r="O3807" s="86"/>
      <c r="P3807" s="86"/>
      <c r="Q3807" s="86"/>
      <c r="R3807" s="86"/>
      <c r="S3807" s="86"/>
      <c r="T3807" s="86"/>
      <c r="U3807" s="86"/>
      <c r="V3807" s="48"/>
      <c r="W3807" s="48"/>
      <c r="X3807" s="48"/>
      <c r="Y3807" s="48"/>
      <c r="Z3807" s="48"/>
      <c r="AA3807" s="48"/>
      <c r="AB3807" s="48"/>
      <c r="AC3807" s="48"/>
      <c r="AD3807" s="48"/>
      <c r="AE3807" s="48"/>
      <c r="AF3807" s="48"/>
      <c r="AG3807" s="48"/>
      <c r="AH3807" s="48"/>
      <c r="AI3807" s="48"/>
      <c r="AJ3807" s="48"/>
      <c r="AK3807" s="48"/>
      <c r="AL3807" s="48"/>
      <c r="AM3807" s="48"/>
      <c r="AN3807" s="48"/>
      <c r="AO3807" s="48"/>
      <c r="AP3807" s="48"/>
      <c r="AQ3807" s="48"/>
      <c r="AR3807" s="48"/>
      <c r="AS3807" s="48"/>
      <c r="AT3807" s="48"/>
      <c r="AU3807" s="48"/>
      <c r="AV3807" s="48"/>
      <c r="AW3807" s="48"/>
      <c r="AX3807" s="48"/>
      <c r="AY3807" s="48"/>
      <c r="AZ3807" s="48"/>
      <c r="BA3807" s="48"/>
      <c r="BB3807" s="48"/>
      <c r="BC3807" s="48"/>
      <c r="BD3807" s="48"/>
    </row>
    <row r="3808" spans="1:56">
      <c r="A3808" s="48"/>
      <c r="B3808" s="48"/>
      <c r="C3808" s="49"/>
      <c r="D3808" s="48"/>
      <c r="E3808" s="48"/>
      <c r="F3808" s="48"/>
      <c r="G3808" s="48"/>
      <c r="H3808" s="48"/>
      <c r="I3808" s="48"/>
      <c r="J3808" s="86"/>
      <c r="K3808" s="86"/>
      <c r="L3808" s="86"/>
      <c r="M3808" s="86"/>
      <c r="N3808" s="86"/>
      <c r="O3808" s="86"/>
      <c r="P3808" s="86"/>
      <c r="Q3808" s="86"/>
      <c r="R3808" s="86"/>
      <c r="S3808" s="86"/>
      <c r="T3808" s="86"/>
      <c r="U3808" s="86"/>
      <c r="V3808" s="48"/>
      <c r="W3808" s="48"/>
      <c r="X3808" s="48"/>
      <c r="Y3808" s="48"/>
      <c r="Z3808" s="48"/>
      <c r="AA3808" s="48"/>
      <c r="AB3808" s="48"/>
      <c r="AC3808" s="48"/>
      <c r="AD3808" s="48"/>
      <c r="AE3808" s="48"/>
      <c r="AF3808" s="48"/>
      <c r="AG3808" s="48"/>
      <c r="AH3808" s="48"/>
      <c r="AI3808" s="48"/>
      <c r="AJ3808" s="48"/>
      <c r="AK3808" s="48"/>
      <c r="AL3808" s="48"/>
      <c r="AM3808" s="48"/>
      <c r="AN3808" s="48"/>
      <c r="AO3808" s="48"/>
      <c r="AP3808" s="48"/>
      <c r="AQ3808" s="48"/>
      <c r="AR3808" s="48"/>
      <c r="AS3808" s="48"/>
      <c r="AT3808" s="48"/>
      <c r="AU3808" s="48"/>
      <c r="AV3808" s="48"/>
      <c r="AW3808" s="48"/>
      <c r="AX3808" s="48"/>
      <c r="AY3808" s="48"/>
      <c r="AZ3808" s="48"/>
      <c r="BA3808" s="48"/>
      <c r="BB3808" s="48"/>
      <c r="BC3808" s="48"/>
      <c r="BD3808" s="48"/>
    </row>
    <row r="3809" spans="1:56">
      <c r="A3809" s="48"/>
      <c r="B3809" s="48"/>
      <c r="C3809" s="49"/>
      <c r="D3809" s="48"/>
      <c r="E3809" s="48"/>
      <c r="F3809" s="48"/>
      <c r="G3809" s="48"/>
      <c r="H3809" s="48"/>
      <c r="I3809" s="48"/>
      <c r="J3809" s="86"/>
      <c r="K3809" s="86"/>
      <c r="L3809" s="86"/>
      <c r="M3809" s="86"/>
      <c r="N3809" s="86"/>
      <c r="O3809" s="86"/>
      <c r="P3809" s="86"/>
      <c r="Q3809" s="86"/>
      <c r="R3809" s="86"/>
      <c r="S3809" s="86"/>
      <c r="T3809" s="86"/>
      <c r="U3809" s="86"/>
      <c r="V3809" s="48"/>
      <c r="W3809" s="48"/>
      <c r="X3809" s="48"/>
      <c r="Y3809" s="48"/>
      <c r="Z3809" s="48"/>
      <c r="AA3809" s="48"/>
      <c r="AB3809" s="48"/>
      <c r="AC3809" s="48"/>
      <c r="AD3809" s="48"/>
      <c r="AE3809" s="48"/>
      <c r="AF3809" s="48"/>
      <c r="AG3809" s="48"/>
      <c r="AH3809" s="48"/>
      <c r="AI3809" s="48"/>
      <c r="AJ3809" s="48"/>
      <c r="AK3809" s="48"/>
      <c r="AL3809" s="48"/>
      <c r="AM3809" s="48"/>
      <c r="AN3809" s="48"/>
      <c r="AO3809" s="48"/>
      <c r="AP3809" s="48"/>
      <c r="AQ3809" s="48"/>
      <c r="AR3809" s="48"/>
      <c r="AS3809" s="48"/>
      <c r="AT3809" s="48"/>
      <c r="AU3809" s="48"/>
      <c r="AV3809" s="48"/>
      <c r="AW3809" s="48"/>
      <c r="AX3809" s="48"/>
      <c r="AY3809" s="48"/>
      <c r="AZ3809" s="48"/>
      <c r="BA3809" s="48"/>
      <c r="BB3809" s="48"/>
      <c r="BC3809" s="48"/>
      <c r="BD3809" s="48"/>
    </row>
    <row r="3810" spans="1:56">
      <c r="A3810" s="48"/>
      <c r="B3810" s="48"/>
      <c r="C3810" s="49"/>
      <c r="D3810" s="48"/>
      <c r="E3810" s="48"/>
      <c r="F3810" s="48"/>
      <c r="G3810" s="48"/>
      <c r="H3810" s="48"/>
      <c r="I3810" s="48"/>
      <c r="J3810" s="86"/>
      <c r="K3810" s="86"/>
      <c r="L3810" s="86"/>
      <c r="M3810" s="86"/>
      <c r="N3810" s="86"/>
      <c r="O3810" s="86"/>
      <c r="P3810" s="86"/>
      <c r="Q3810" s="86"/>
      <c r="R3810" s="86"/>
      <c r="S3810" s="86"/>
      <c r="T3810" s="86"/>
      <c r="U3810" s="86"/>
      <c r="V3810" s="48"/>
      <c r="W3810" s="48"/>
      <c r="X3810" s="48"/>
      <c r="Y3810" s="48"/>
      <c r="Z3810" s="48"/>
      <c r="AA3810" s="48"/>
      <c r="AB3810" s="48"/>
      <c r="AC3810" s="48"/>
      <c r="AD3810" s="48"/>
      <c r="AE3810" s="48"/>
      <c r="AF3810" s="48"/>
      <c r="AG3810" s="48"/>
      <c r="AH3810" s="48"/>
      <c r="AI3810" s="48"/>
      <c r="AJ3810" s="48"/>
      <c r="AK3810" s="48"/>
      <c r="AL3810" s="48"/>
      <c r="AM3810" s="48"/>
      <c r="AN3810" s="48"/>
      <c r="AO3810" s="48"/>
      <c r="AP3810" s="48"/>
      <c r="AQ3810" s="48"/>
      <c r="AR3810" s="48"/>
      <c r="AS3810" s="48"/>
      <c r="AT3810" s="48"/>
      <c r="AU3810" s="48"/>
      <c r="AV3810" s="48"/>
      <c r="AW3810" s="48"/>
      <c r="AX3810" s="48"/>
      <c r="AY3810" s="48"/>
      <c r="AZ3810" s="48"/>
      <c r="BA3810" s="48"/>
      <c r="BB3810" s="48"/>
      <c r="BC3810" s="48"/>
      <c r="BD3810" s="48"/>
    </row>
    <row r="3811" spans="1:56">
      <c r="A3811" s="48"/>
      <c r="B3811" s="48"/>
      <c r="C3811" s="49"/>
      <c r="D3811" s="48"/>
      <c r="E3811" s="48"/>
      <c r="F3811" s="48"/>
      <c r="G3811" s="48"/>
      <c r="H3811" s="48"/>
      <c r="I3811" s="48"/>
      <c r="J3811" s="86"/>
      <c r="K3811" s="86"/>
      <c r="L3811" s="86"/>
      <c r="M3811" s="86"/>
      <c r="N3811" s="86"/>
      <c r="O3811" s="86"/>
      <c r="P3811" s="86"/>
      <c r="Q3811" s="86"/>
      <c r="R3811" s="86"/>
      <c r="S3811" s="86"/>
      <c r="T3811" s="86"/>
      <c r="U3811" s="86"/>
      <c r="V3811" s="48"/>
      <c r="W3811" s="48"/>
      <c r="X3811" s="48"/>
      <c r="Y3811" s="48"/>
      <c r="Z3811" s="48"/>
      <c r="AA3811" s="48"/>
      <c r="AB3811" s="48"/>
      <c r="AC3811" s="48"/>
      <c r="AD3811" s="48"/>
      <c r="AE3811" s="48"/>
      <c r="AF3811" s="48"/>
      <c r="AG3811" s="48"/>
      <c r="AH3811" s="48"/>
      <c r="AI3811" s="48"/>
      <c r="AJ3811" s="48"/>
      <c r="AK3811" s="48"/>
      <c r="AL3811" s="48"/>
      <c r="AM3811" s="48"/>
      <c r="AN3811" s="48"/>
      <c r="AO3811" s="48"/>
      <c r="AP3811" s="48"/>
      <c r="AQ3811" s="48"/>
      <c r="AR3811" s="48"/>
      <c r="AS3811" s="48"/>
      <c r="AT3811" s="48"/>
      <c r="AU3811" s="48"/>
      <c r="AV3811" s="48"/>
      <c r="AW3811" s="48"/>
      <c r="AX3811" s="48"/>
      <c r="AY3811" s="48"/>
      <c r="AZ3811" s="48"/>
      <c r="BA3811" s="48"/>
      <c r="BB3811" s="48"/>
      <c r="BC3811" s="48"/>
      <c r="BD3811" s="48"/>
    </row>
    <row r="3812" spans="1:56">
      <c r="A3812" s="48"/>
      <c r="B3812" s="48"/>
      <c r="C3812" s="49"/>
      <c r="D3812" s="48"/>
      <c r="E3812" s="48"/>
      <c r="F3812" s="48"/>
      <c r="G3812" s="48"/>
      <c r="H3812" s="48"/>
      <c r="I3812" s="48"/>
      <c r="J3812" s="86"/>
      <c r="K3812" s="86"/>
      <c r="L3812" s="86"/>
      <c r="M3812" s="86"/>
      <c r="N3812" s="86"/>
      <c r="O3812" s="86"/>
      <c r="P3812" s="86"/>
      <c r="Q3812" s="86"/>
      <c r="R3812" s="86"/>
      <c r="S3812" s="86"/>
      <c r="T3812" s="86"/>
      <c r="U3812" s="86"/>
      <c r="V3812" s="48"/>
      <c r="W3812" s="48"/>
      <c r="X3812" s="48"/>
      <c r="Y3812" s="48"/>
      <c r="Z3812" s="48"/>
      <c r="AA3812" s="48"/>
      <c r="AB3812" s="48"/>
      <c r="AC3812" s="48"/>
      <c r="AD3812" s="48"/>
      <c r="AE3812" s="48"/>
      <c r="AF3812" s="48"/>
      <c r="AG3812" s="48"/>
      <c r="AH3812" s="48"/>
      <c r="AI3812" s="48"/>
      <c r="AJ3812" s="48"/>
      <c r="AK3812" s="48"/>
      <c r="AL3812" s="48"/>
      <c r="AM3812" s="48"/>
      <c r="AN3812" s="48"/>
      <c r="AO3812" s="48"/>
      <c r="AP3812" s="48"/>
      <c r="AQ3812" s="48"/>
      <c r="AR3812" s="48"/>
      <c r="AS3812" s="48"/>
      <c r="AT3812" s="48"/>
      <c r="AU3812" s="48"/>
      <c r="AV3812" s="48"/>
      <c r="AW3812" s="48"/>
      <c r="AX3812" s="48"/>
      <c r="AY3812" s="48"/>
      <c r="AZ3812" s="48"/>
      <c r="BA3812" s="48"/>
      <c r="BB3812" s="48"/>
      <c r="BC3812" s="48"/>
      <c r="BD3812" s="48"/>
    </row>
    <row r="3813" spans="1:56">
      <c r="A3813" s="48"/>
      <c r="B3813" s="48"/>
      <c r="C3813" s="49"/>
      <c r="D3813" s="48"/>
      <c r="E3813" s="48"/>
      <c r="F3813" s="48"/>
      <c r="G3813" s="48"/>
      <c r="H3813" s="48"/>
      <c r="I3813" s="48"/>
      <c r="J3813" s="86"/>
      <c r="K3813" s="86"/>
      <c r="L3813" s="86"/>
      <c r="M3813" s="86"/>
      <c r="N3813" s="86"/>
      <c r="O3813" s="86"/>
      <c r="P3813" s="86"/>
      <c r="Q3813" s="86"/>
      <c r="R3813" s="86"/>
      <c r="S3813" s="86"/>
      <c r="T3813" s="86"/>
      <c r="U3813" s="86"/>
      <c r="V3813" s="48"/>
      <c r="W3813" s="48"/>
      <c r="X3813" s="48"/>
      <c r="Y3813" s="48"/>
      <c r="Z3813" s="48"/>
      <c r="AA3813" s="48"/>
      <c r="AB3813" s="48"/>
      <c r="AC3813" s="48"/>
      <c r="AD3813" s="48"/>
      <c r="AE3813" s="48"/>
      <c r="AF3813" s="48"/>
      <c r="AG3813" s="48"/>
      <c r="AH3813" s="48"/>
      <c r="AI3813" s="48"/>
      <c r="AJ3813" s="48"/>
      <c r="AK3813" s="48"/>
      <c r="AL3813" s="48"/>
      <c r="AM3813" s="48"/>
      <c r="AN3813" s="48"/>
      <c r="AO3813" s="48"/>
      <c r="AP3813" s="48"/>
      <c r="AQ3813" s="48"/>
      <c r="AR3813" s="48"/>
      <c r="AS3813" s="48"/>
      <c r="AT3813" s="48"/>
      <c r="AU3813" s="48"/>
      <c r="AV3813" s="48"/>
      <c r="AW3813" s="48"/>
      <c r="AX3813" s="48"/>
      <c r="AY3813" s="48"/>
      <c r="AZ3813" s="48"/>
      <c r="BA3813" s="48"/>
      <c r="BB3813" s="48"/>
      <c r="BC3813" s="48"/>
      <c r="BD3813" s="48"/>
    </row>
    <row r="3814" spans="1:56">
      <c r="A3814" s="48"/>
      <c r="B3814" s="48"/>
      <c r="C3814" s="49"/>
      <c r="D3814" s="48"/>
      <c r="E3814" s="48"/>
      <c r="F3814" s="48"/>
      <c r="G3814" s="48"/>
      <c r="H3814" s="48"/>
      <c r="I3814" s="48"/>
      <c r="J3814" s="86"/>
      <c r="K3814" s="86"/>
      <c r="L3814" s="86"/>
      <c r="M3814" s="86"/>
      <c r="N3814" s="86"/>
      <c r="O3814" s="86"/>
      <c r="P3814" s="86"/>
      <c r="Q3814" s="86"/>
      <c r="R3814" s="86"/>
      <c r="S3814" s="86"/>
      <c r="T3814" s="86"/>
      <c r="U3814" s="86"/>
      <c r="V3814" s="48"/>
      <c r="W3814" s="48"/>
      <c r="X3814" s="48"/>
      <c r="Y3814" s="48"/>
      <c r="Z3814" s="48"/>
      <c r="AA3814" s="48"/>
      <c r="AB3814" s="48"/>
      <c r="AC3814" s="48"/>
      <c r="AD3814" s="48"/>
      <c r="AE3814" s="48"/>
      <c r="AF3814" s="48"/>
      <c r="AG3814" s="48"/>
      <c r="AH3814" s="48"/>
      <c r="AI3814" s="48"/>
      <c r="AJ3814" s="48"/>
      <c r="AK3814" s="48"/>
      <c r="AL3814" s="48"/>
      <c r="AM3814" s="48"/>
      <c r="AN3814" s="48"/>
      <c r="AO3814" s="48"/>
      <c r="AP3814" s="48"/>
      <c r="AQ3814" s="48"/>
      <c r="AR3814" s="48"/>
      <c r="AS3814" s="48"/>
      <c r="AT3814" s="48"/>
      <c r="AU3814" s="48"/>
      <c r="AV3814" s="48"/>
      <c r="AW3814" s="48"/>
      <c r="AX3814" s="48"/>
      <c r="AY3814" s="48"/>
      <c r="AZ3814" s="48"/>
      <c r="BA3814" s="48"/>
      <c r="BB3814" s="48"/>
      <c r="BC3814" s="48"/>
      <c r="BD3814" s="48"/>
    </row>
    <row r="3815" spans="1:56">
      <c r="A3815" s="48"/>
      <c r="B3815" s="48"/>
      <c r="C3815" s="49"/>
      <c r="D3815" s="48"/>
      <c r="E3815" s="48"/>
      <c r="F3815" s="48"/>
      <c r="G3815" s="48"/>
      <c r="H3815" s="48"/>
      <c r="I3815" s="48"/>
      <c r="J3815" s="86"/>
      <c r="K3815" s="86"/>
      <c r="L3815" s="86"/>
      <c r="M3815" s="86"/>
      <c r="N3815" s="86"/>
      <c r="O3815" s="86"/>
      <c r="P3815" s="86"/>
      <c r="Q3815" s="86"/>
      <c r="R3815" s="86"/>
      <c r="S3815" s="86"/>
      <c r="T3815" s="86"/>
      <c r="U3815" s="86"/>
      <c r="V3815" s="48"/>
      <c r="W3815" s="48"/>
      <c r="X3815" s="48"/>
      <c r="Y3815" s="48"/>
      <c r="Z3815" s="48"/>
      <c r="AA3815" s="48"/>
      <c r="AB3815" s="48"/>
      <c r="AC3815" s="48"/>
      <c r="AD3815" s="48"/>
      <c r="AE3815" s="48"/>
      <c r="AF3815" s="48"/>
      <c r="AG3815" s="48"/>
      <c r="AH3815" s="48"/>
      <c r="AI3815" s="48"/>
      <c r="AJ3815" s="48"/>
      <c r="AK3815" s="48"/>
      <c r="AL3815" s="48"/>
      <c r="AM3815" s="48"/>
      <c r="AN3815" s="48"/>
      <c r="AO3815" s="48"/>
      <c r="AP3815" s="48"/>
      <c r="AQ3815" s="48"/>
      <c r="AR3815" s="48"/>
      <c r="AS3815" s="48"/>
      <c r="AT3815" s="48"/>
      <c r="AU3815" s="48"/>
      <c r="AV3815" s="48"/>
      <c r="AW3815" s="48"/>
      <c r="AX3815" s="48"/>
      <c r="AY3815" s="48"/>
      <c r="AZ3815" s="48"/>
      <c r="BA3815" s="48"/>
      <c r="BB3815" s="48"/>
      <c r="BC3815" s="48"/>
      <c r="BD3815" s="48"/>
    </row>
    <row r="3816" spans="1:56">
      <c r="A3816" s="48"/>
      <c r="B3816" s="48"/>
      <c r="C3816" s="49"/>
      <c r="D3816" s="48"/>
      <c r="E3816" s="48"/>
      <c r="F3816" s="48"/>
      <c r="G3816" s="48"/>
      <c r="H3816" s="48"/>
      <c r="I3816" s="48"/>
      <c r="J3816" s="86"/>
      <c r="K3816" s="86"/>
      <c r="L3816" s="86"/>
      <c r="M3816" s="86"/>
      <c r="N3816" s="86"/>
      <c r="O3816" s="86"/>
      <c r="P3816" s="86"/>
      <c r="Q3816" s="86"/>
      <c r="R3816" s="86"/>
      <c r="S3816" s="86"/>
      <c r="T3816" s="86"/>
      <c r="U3816" s="86"/>
      <c r="V3816" s="48"/>
      <c r="W3816" s="48"/>
      <c r="X3816" s="48"/>
      <c r="Y3816" s="48"/>
      <c r="Z3816" s="48"/>
      <c r="AA3816" s="48"/>
      <c r="AB3816" s="48"/>
      <c r="AC3816" s="48"/>
      <c r="AD3816" s="48"/>
      <c r="AE3816" s="48"/>
      <c r="AF3816" s="48"/>
      <c r="AG3816" s="48"/>
      <c r="AH3816" s="48"/>
      <c r="AI3816" s="48"/>
      <c r="AJ3816" s="48"/>
      <c r="AK3816" s="48"/>
      <c r="AL3816" s="48"/>
      <c r="AM3816" s="48"/>
      <c r="AN3816" s="48"/>
      <c r="AO3816" s="48"/>
      <c r="AP3816" s="48"/>
      <c r="AQ3816" s="48"/>
      <c r="AR3816" s="48"/>
      <c r="AS3816" s="48"/>
      <c r="AT3816" s="48"/>
      <c r="AU3816" s="48"/>
      <c r="AV3816" s="48"/>
      <c r="AW3816" s="48"/>
      <c r="AX3816" s="48"/>
      <c r="AY3816" s="48"/>
      <c r="AZ3816" s="48"/>
      <c r="BA3816" s="48"/>
      <c r="BB3816" s="48"/>
      <c r="BC3816" s="48"/>
      <c r="BD3816" s="48"/>
    </row>
    <row r="3817" spans="1:56">
      <c r="A3817" s="48"/>
      <c r="B3817" s="48"/>
      <c r="C3817" s="49"/>
      <c r="D3817" s="48"/>
      <c r="E3817" s="48"/>
      <c r="F3817" s="48"/>
      <c r="G3817" s="48"/>
      <c r="H3817" s="48"/>
      <c r="I3817" s="48"/>
      <c r="J3817" s="86"/>
      <c r="K3817" s="86"/>
      <c r="L3817" s="86"/>
      <c r="M3817" s="86"/>
      <c r="N3817" s="86"/>
      <c r="O3817" s="86"/>
      <c r="P3817" s="86"/>
      <c r="Q3817" s="86"/>
      <c r="R3817" s="86"/>
      <c r="S3817" s="86"/>
      <c r="T3817" s="86"/>
      <c r="U3817" s="86"/>
      <c r="V3817" s="48"/>
      <c r="W3817" s="48"/>
      <c r="X3817" s="48"/>
      <c r="Y3817" s="48"/>
      <c r="Z3817" s="48"/>
      <c r="AA3817" s="48"/>
      <c r="AB3817" s="48"/>
      <c r="AC3817" s="48"/>
      <c r="AD3817" s="48"/>
      <c r="AE3817" s="48"/>
      <c r="AF3817" s="48"/>
      <c r="AG3817" s="48"/>
      <c r="AH3817" s="48"/>
      <c r="AI3817" s="48"/>
      <c r="AJ3817" s="48"/>
      <c r="AK3817" s="48"/>
      <c r="AL3817" s="48"/>
      <c r="AM3817" s="48"/>
      <c r="AN3817" s="48"/>
      <c r="AO3817" s="48"/>
      <c r="AP3817" s="48"/>
      <c r="AQ3817" s="48"/>
      <c r="AR3817" s="48"/>
      <c r="AS3817" s="48"/>
      <c r="AT3817" s="48"/>
      <c r="AU3817" s="48"/>
      <c r="AV3817" s="48"/>
      <c r="AW3817" s="48"/>
      <c r="AX3817" s="48"/>
      <c r="AY3817" s="48"/>
      <c r="AZ3817" s="48"/>
      <c r="BA3817" s="48"/>
      <c r="BB3817" s="48"/>
      <c r="BC3817" s="48"/>
      <c r="BD3817" s="48"/>
    </row>
    <row r="3818" spans="1:56">
      <c r="A3818" s="48"/>
      <c r="B3818" s="48"/>
      <c r="C3818" s="49"/>
      <c r="D3818" s="48"/>
      <c r="E3818" s="48"/>
      <c r="F3818" s="48"/>
      <c r="G3818" s="48"/>
      <c r="H3818" s="48"/>
      <c r="I3818" s="48"/>
      <c r="J3818" s="86"/>
      <c r="K3818" s="86"/>
      <c r="L3818" s="86"/>
      <c r="M3818" s="86"/>
      <c r="N3818" s="86"/>
      <c r="O3818" s="86"/>
      <c r="P3818" s="86"/>
      <c r="Q3818" s="86"/>
      <c r="R3818" s="86"/>
      <c r="S3818" s="86"/>
      <c r="T3818" s="86"/>
      <c r="U3818" s="86"/>
      <c r="V3818" s="48"/>
      <c r="W3818" s="48"/>
      <c r="X3818" s="48"/>
      <c r="Y3818" s="48"/>
      <c r="Z3818" s="48"/>
      <c r="AA3818" s="48"/>
      <c r="AB3818" s="48"/>
      <c r="AC3818" s="48"/>
      <c r="AD3818" s="48"/>
      <c r="AE3818" s="48"/>
      <c r="AF3818" s="48"/>
      <c r="AG3818" s="48"/>
      <c r="AH3818" s="48"/>
      <c r="AI3818" s="48"/>
      <c r="AJ3818" s="48"/>
      <c r="AK3818" s="48"/>
      <c r="AL3818" s="48"/>
      <c r="AM3818" s="48"/>
      <c r="AN3818" s="48"/>
      <c r="AO3818" s="48"/>
      <c r="AP3818" s="48"/>
      <c r="AQ3818" s="48"/>
      <c r="AR3818" s="48"/>
      <c r="AS3818" s="48"/>
      <c r="AT3818" s="48"/>
      <c r="AU3818" s="48"/>
      <c r="AV3818" s="48"/>
      <c r="AW3818" s="48"/>
      <c r="AX3818" s="48"/>
      <c r="AY3818" s="48"/>
      <c r="AZ3818" s="48"/>
      <c r="BA3818" s="48"/>
      <c r="BB3818" s="48"/>
      <c r="BC3818" s="48"/>
      <c r="BD3818" s="48"/>
    </row>
    <row r="3819" spans="1:56">
      <c r="A3819" s="48"/>
      <c r="B3819" s="48"/>
      <c r="C3819" s="49"/>
      <c r="D3819" s="48"/>
      <c r="E3819" s="48"/>
      <c r="F3819" s="48"/>
      <c r="G3819" s="48"/>
      <c r="H3819" s="48"/>
      <c r="I3819" s="48"/>
      <c r="J3819" s="86"/>
      <c r="K3819" s="86"/>
      <c r="L3819" s="86"/>
      <c r="M3819" s="86"/>
      <c r="N3819" s="86"/>
      <c r="O3819" s="86"/>
      <c r="P3819" s="86"/>
      <c r="Q3819" s="86"/>
      <c r="R3819" s="86"/>
      <c r="S3819" s="86"/>
      <c r="T3819" s="86"/>
      <c r="U3819" s="86"/>
      <c r="V3819" s="48"/>
      <c r="W3819" s="48"/>
      <c r="X3819" s="48"/>
      <c r="Y3819" s="48"/>
      <c r="Z3819" s="48"/>
      <c r="AA3819" s="48"/>
      <c r="AB3819" s="48"/>
      <c r="AC3819" s="48"/>
      <c r="AD3819" s="48"/>
      <c r="AE3819" s="48"/>
      <c r="AF3819" s="48"/>
      <c r="AG3819" s="48"/>
      <c r="AH3819" s="48"/>
      <c r="AI3819" s="48"/>
      <c r="AJ3819" s="48"/>
      <c r="AK3819" s="48"/>
      <c r="AL3819" s="48"/>
      <c r="AM3819" s="48"/>
      <c r="AN3819" s="48"/>
      <c r="AO3819" s="48"/>
      <c r="AP3819" s="48"/>
      <c r="AQ3819" s="48"/>
      <c r="AR3819" s="48"/>
      <c r="AS3819" s="48"/>
      <c r="AT3819" s="48"/>
      <c r="AU3819" s="48"/>
      <c r="AV3819" s="48"/>
      <c r="AW3819" s="48"/>
      <c r="AX3819" s="48"/>
      <c r="AY3819" s="48"/>
      <c r="AZ3819" s="48"/>
      <c r="BA3819" s="48"/>
      <c r="BB3819" s="48"/>
      <c r="BC3819" s="48"/>
      <c r="BD3819" s="48"/>
    </row>
    <row r="3820" spans="1:56">
      <c r="A3820" s="48"/>
      <c r="B3820" s="48"/>
      <c r="C3820" s="49"/>
      <c r="D3820" s="48"/>
      <c r="E3820" s="48"/>
      <c r="F3820" s="48"/>
      <c r="G3820" s="48"/>
      <c r="H3820" s="48"/>
      <c r="I3820" s="48"/>
      <c r="J3820" s="86"/>
      <c r="K3820" s="86"/>
      <c r="L3820" s="86"/>
      <c r="M3820" s="86"/>
      <c r="N3820" s="86"/>
      <c r="O3820" s="86"/>
      <c r="P3820" s="86"/>
      <c r="Q3820" s="86"/>
      <c r="R3820" s="86"/>
      <c r="S3820" s="86"/>
      <c r="T3820" s="86"/>
      <c r="U3820" s="86"/>
      <c r="V3820" s="48"/>
      <c r="W3820" s="48"/>
      <c r="X3820" s="48"/>
      <c r="Y3820" s="48"/>
      <c r="Z3820" s="48"/>
      <c r="AA3820" s="48"/>
      <c r="AB3820" s="48"/>
      <c r="AC3820" s="48"/>
      <c r="AD3820" s="48"/>
      <c r="AE3820" s="48"/>
      <c r="AF3820" s="48"/>
      <c r="AG3820" s="48"/>
      <c r="AH3820" s="48"/>
      <c r="AI3820" s="48"/>
      <c r="AJ3820" s="48"/>
      <c r="AK3820" s="48"/>
      <c r="AL3820" s="48"/>
      <c r="AM3820" s="48"/>
      <c r="AN3820" s="48"/>
      <c r="AO3820" s="48"/>
      <c r="AP3820" s="48"/>
      <c r="AQ3820" s="48"/>
      <c r="AR3820" s="48"/>
      <c r="AS3820" s="48"/>
      <c r="AT3820" s="48"/>
      <c r="AU3820" s="48"/>
      <c r="AV3820" s="48"/>
      <c r="AW3820" s="48"/>
      <c r="AX3820" s="48"/>
      <c r="AY3820" s="48"/>
      <c r="AZ3820" s="48"/>
      <c r="BA3820" s="48"/>
      <c r="BB3820" s="48"/>
      <c r="BC3820" s="48"/>
      <c r="BD3820" s="48"/>
    </row>
    <row r="3821" spans="1:56">
      <c r="A3821" s="48"/>
      <c r="B3821" s="48"/>
      <c r="C3821" s="49"/>
      <c r="D3821" s="48"/>
      <c r="E3821" s="48"/>
      <c r="F3821" s="48"/>
      <c r="G3821" s="48"/>
      <c r="H3821" s="48"/>
      <c r="I3821" s="48"/>
      <c r="J3821" s="86"/>
      <c r="K3821" s="86"/>
      <c r="L3821" s="86"/>
      <c r="M3821" s="86"/>
      <c r="N3821" s="86"/>
      <c r="O3821" s="86"/>
      <c r="P3821" s="86"/>
      <c r="Q3821" s="86"/>
      <c r="R3821" s="86"/>
      <c r="S3821" s="86"/>
      <c r="T3821" s="86"/>
      <c r="U3821" s="86"/>
      <c r="V3821" s="48"/>
      <c r="W3821" s="48"/>
      <c r="X3821" s="48"/>
      <c r="Y3821" s="48"/>
      <c r="Z3821" s="48"/>
      <c r="AA3821" s="48"/>
      <c r="AB3821" s="48"/>
      <c r="AC3821" s="48"/>
      <c r="AD3821" s="48"/>
      <c r="AE3821" s="48"/>
      <c r="AF3821" s="48"/>
      <c r="AG3821" s="48"/>
      <c r="AH3821" s="48"/>
      <c r="AI3821" s="48"/>
      <c r="AJ3821" s="48"/>
      <c r="AK3821" s="48"/>
      <c r="AL3821" s="48"/>
      <c r="AM3821" s="48"/>
      <c r="AN3821" s="48"/>
      <c r="AO3821" s="48"/>
      <c r="AP3821" s="48"/>
      <c r="AQ3821" s="48"/>
      <c r="AR3821" s="48"/>
      <c r="AS3821" s="48"/>
      <c r="AT3821" s="48"/>
      <c r="AU3821" s="48"/>
      <c r="AV3821" s="48"/>
      <c r="AW3821" s="48"/>
      <c r="AX3821" s="48"/>
      <c r="AY3821" s="48"/>
      <c r="AZ3821" s="48"/>
      <c r="BA3821" s="48"/>
      <c r="BB3821" s="48"/>
      <c r="BC3821" s="48"/>
      <c r="BD3821" s="48"/>
    </row>
    <row r="3822" spans="1:56">
      <c r="A3822" s="48"/>
      <c r="B3822" s="48"/>
      <c r="C3822" s="49"/>
      <c r="D3822" s="48"/>
      <c r="E3822" s="48"/>
      <c r="F3822" s="48"/>
      <c r="G3822" s="48"/>
      <c r="H3822" s="48"/>
      <c r="I3822" s="48"/>
      <c r="J3822" s="86"/>
      <c r="K3822" s="86"/>
      <c r="L3822" s="86"/>
      <c r="M3822" s="86"/>
      <c r="N3822" s="86"/>
      <c r="O3822" s="86"/>
      <c r="P3822" s="86"/>
      <c r="Q3822" s="86"/>
      <c r="R3822" s="86"/>
      <c r="S3822" s="86"/>
      <c r="T3822" s="86"/>
      <c r="U3822" s="86"/>
      <c r="V3822" s="48"/>
      <c r="W3822" s="48"/>
      <c r="X3822" s="48"/>
      <c r="Y3822" s="48"/>
      <c r="Z3822" s="48"/>
      <c r="AA3822" s="48"/>
      <c r="AB3822" s="48"/>
      <c r="AC3822" s="48"/>
      <c r="AD3822" s="48"/>
      <c r="AE3822" s="48"/>
      <c r="AF3822" s="48"/>
      <c r="AG3822" s="48"/>
      <c r="AH3822" s="48"/>
      <c r="AI3822" s="48"/>
      <c r="AJ3822" s="48"/>
      <c r="AK3822" s="48"/>
      <c r="AL3822" s="48"/>
      <c r="AM3822" s="48"/>
      <c r="AN3822" s="48"/>
      <c r="AO3822" s="48"/>
      <c r="AP3822" s="48"/>
      <c r="AQ3822" s="48"/>
      <c r="AR3822" s="48"/>
      <c r="AS3822" s="48"/>
      <c r="AT3822" s="48"/>
      <c r="AU3822" s="48"/>
      <c r="AV3822" s="48"/>
      <c r="AW3822" s="48"/>
      <c r="AX3822" s="48"/>
      <c r="AY3822" s="48"/>
      <c r="AZ3822" s="48"/>
      <c r="BA3822" s="48"/>
      <c r="BB3822" s="48"/>
      <c r="BC3822" s="48"/>
      <c r="BD3822" s="48"/>
    </row>
    <row r="3823" spans="1:56">
      <c r="A3823" s="48"/>
      <c r="B3823" s="48"/>
      <c r="C3823" s="49"/>
      <c r="D3823" s="48"/>
      <c r="E3823" s="48"/>
      <c r="F3823" s="48"/>
      <c r="G3823" s="48"/>
      <c r="H3823" s="48"/>
      <c r="I3823" s="48"/>
      <c r="J3823" s="86"/>
      <c r="K3823" s="86"/>
      <c r="L3823" s="86"/>
      <c r="M3823" s="86"/>
      <c r="N3823" s="86"/>
      <c r="O3823" s="86"/>
      <c r="P3823" s="86"/>
      <c r="Q3823" s="86"/>
      <c r="R3823" s="86"/>
      <c r="S3823" s="86"/>
      <c r="T3823" s="86"/>
      <c r="U3823" s="86"/>
      <c r="V3823" s="48"/>
      <c r="W3823" s="48"/>
      <c r="X3823" s="48"/>
      <c r="Y3823" s="48"/>
      <c r="Z3823" s="48"/>
      <c r="AA3823" s="48"/>
      <c r="AB3823" s="48"/>
      <c r="AC3823" s="48"/>
      <c r="AD3823" s="48"/>
      <c r="AE3823" s="48"/>
      <c r="AF3823" s="48"/>
      <c r="AG3823" s="48"/>
      <c r="AH3823" s="48"/>
      <c r="AI3823" s="48"/>
      <c r="AJ3823" s="48"/>
      <c r="AK3823" s="48"/>
      <c r="AL3823" s="48"/>
      <c r="AM3823" s="48"/>
      <c r="AN3823" s="48"/>
      <c r="AO3823" s="48"/>
      <c r="AP3823" s="48"/>
      <c r="AQ3823" s="48"/>
      <c r="AR3823" s="48"/>
      <c r="AS3823" s="48"/>
      <c r="AT3823" s="48"/>
      <c r="AU3823" s="48"/>
      <c r="AV3823" s="48"/>
      <c r="AW3823" s="48"/>
      <c r="AX3823" s="48"/>
      <c r="AY3823" s="48"/>
      <c r="AZ3823" s="48"/>
      <c r="BA3823" s="48"/>
      <c r="BB3823" s="48"/>
      <c r="BC3823" s="48"/>
      <c r="BD3823" s="48"/>
    </row>
    <row r="3824" spans="1:56">
      <c r="A3824" s="48"/>
      <c r="B3824" s="48"/>
      <c r="C3824" s="49"/>
      <c r="D3824" s="48"/>
      <c r="E3824" s="48"/>
      <c r="F3824" s="48"/>
      <c r="G3824" s="48"/>
      <c r="H3824" s="48"/>
      <c r="I3824" s="48"/>
      <c r="J3824" s="86"/>
      <c r="K3824" s="86"/>
      <c r="L3824" s="86"/>
      <c r="M3824" s="86"/>
      <c r="N3824" s="86"/>
      <c r="O3824" s="86"/>
      <c r="P3824" s="86"/>
      <c r="Q3824" s="86"/>
      <c r="R3824" s="86"/>
      <c r="S3824" s="86"/>
      <c r="T3824" s="86"/>
      <c r="U3824" s="86"/>
      <c r="V3824" s="48"/>
      <c r="W3824" s="48"/>
      <c r="X3824" s="48"/>
      <c r="Y3824" s="48"/>
      <c r="Z3824" s="48"/>
      <c r="AA3824" s="48"/>
      <c r="AB3824" s="48"/>
      <c r="AC3824" s="48"/>
      <c r="AD3824" s="48"/>
      <c r="AE3824" s="48"/>
      <c r="AF3824" s="48"/>
      <c r="AG3824" s="48"/>
      <c r="AH3824" s="48"/>
      <c r="AI3824" s="48"/>
      <c r="AJ3824" s="48"/>
      <c r="AK3824" s="48"/>
      <c r="AL3824" s="48"/>
      <c r="AM3824" s="48"/>
      <c r="AN3824" s="48"/>
      <c r="AO3824" s="48"/>
      <c r="AP3824" s="48"/>
      <c r="AQ3824" s="48"/>
      <c r="AR3824" s="48"/>
      <c r="AS3824" s="48"/>
      <c r="AT3824" s="48"/>
      <c r="AU3824" s="48"/>
      <c r="AV3824" s="48"/>
      <c r="AW3824" s="48"/>
      <c r="AX3824" s="48"/>
      <c r="AY3824" s="48"/>
      <c r="AZ3824" s="48"/>
      <c r="BA3824" s="48"/>
      <c r="BB3824" s="48"/>
      <c r="BC3824" s="48"/>
      <c r="BD3824" s="48"/>
    </row>
    <row r="3825" spans="1:56">
      <c r="A3825" s="48"/>
      <c r="B3825" s="48"/>
      <c r="C3825" s="49"/>
      <c r="D3825" s="48"/>
      <c r="E3825" s="48"/>
      <c r="F3825" s="48"/>
      <c r="G3825" s="48"/>
      <c r="H3825" s="48"/>
      <c r="I3825" s="48"/>
      <c r="J3825" s="86"/>
      <c r="K3825" s="86"/>
      <c r="L3825" s="86"/>
      <c r="M3825" s="86"/>
      <c r="N3825" s="86"/>
      <c r="O3825" s="86"/>
      <c r="P3825" s="86"/>
      <c r="Q3825" s="86"/>
      <c r="R3825" s="86"/>
      <c r="S3825" s="86"/>
      <c r="T3825" s="86"/>
      <c r="U3825" s="86"/>
      <c r="V3825" s="48"/>
      <c r="W3825" s="48"/>
      <c r="X3825" s="48"/>
      <c r="Y3825" s="48"/>
      <c r="Z3825" s="48"/>
      <c r="AA3825" s="48"/>
      <c r="AB3825" s="48"/>
      <c r="AC3825" s="48"/>
      <c r="AD3825" s="48"/>
      <c r="AE3825" s="48"/>
      <c r="AF3825" s="48"/>
      <c r="AG3825" s="48"/>
      <c r="AH3825" s="48"/>
      <c r="AI3825" s="48"/>
      <c r="AJ3825" s="48"/>
      <c r="AK3825" s="48"/>
      <c r="AL3825" s="48"/>
      <c r="AM3825" s="48"/>
      <c r="AN3825" s="48"/>
      <c r="AO3825" s="48"/>
      <c r="AP3825" s="48"/>
      <c r="AQ3825" s="48"/>
      <c r="AR3825" s="48"/>
      <c r="AS3825" s="48"/>
      <c r="AT3825" s="48"/>
      <c r="AU3825" s="48"/>
      <c r="AV3825" s="48"/>
      <c r="AW3825" s="48"/>
      <c r="AX3825" s="48"/>
      <c r="AY3825" s="48"/>
      <c r="AZ3825" s="48"/>
      <c r="BA3825" s="48"/>
      <c r="BB3825" s="48"/>
      <c r="BC3825" s="48"/>
      <c r="BD3825" s="48"/>
    </row>
    <row r="3826" spans="1:56">
      <c r="A3826" s="48"/>
      <c r="B3826" s="48"/>
      <c r="C3826" s="49"/>
      <c r="D3826" s="48"/>
      <c r="E3826" s="48"/>
      <c r="F3826" s="48"/>
      <c r="G3826" s="48"/>
      <c r="H3826" s="48"/>
      <c r="I3826" s="48"/>
      <c r="J3826" s="86"/>
      <c r="K3826" s="86"/>
      <c r="L3826" s="86"/>
      <c r="M3826" s="86"/>
      <c r="N3826" s="86"/>
      <c r="O3826" s="86"/>
      <c r="P3826" s="86"/>
      <c r="Q3826" s="86"/>
      <c r="R3826" s="86"/>
      <c r="S3826" s="86"/>
      <c r="T3826" s="86"/>
      <c r="U3826" s="86"/>
      <c r="V3826" s="48"/>
      <c r="W3826" s="48"/>
      <c r="X3826" s="48"/>
      <c r="Y3826" s="48"/>
      <c r="Z3826" s="48"/>
      <c r="AA3826" s="48"/>
      <c r="AB3826" s="48"/>
      <c r="AC3826" s="48"/>
      <c r="AD3826" s="48"/>
      <c r="AE3826" s="48"/>
      <c r="AF3826" s="48"/>
      <c r="AG3826" s="48"/>
      <c r="AH3826" s="48"/>
      <c r="AI3826" s="48"/>
      <c r="AJ3826" s="48"/>
      <c r="AK3826" s="48"/>
      <c r="AL3826" s="48"/>
      <c r="AM3826" s="48"/>
      <c r="AN3826" s="48"/>
      <c r="AO3826" s="48"/>
      <c r="AP3826" s="48"/>
      <c r="AQ3826" s="48"/>
      <c r="AR3826" s="48"/>
      <c r="AS3826" s="48"/>
      <c r="AT3826" s="48"/>
      <c r="AU3826" s="48"/>
      <c r="AV3826" s="48"/>
      <c r="AW3826" s="48"/>
      <c r="AX3826" s="48"/>
      <c r="AY3826" s="48"/>
      <c r="AZ3826" s="48"/>
      <c r="BA3826" s="48"/>
      <c r="BB3826" s="48"/>
      <c r="BC3826" s="48"/>
      <c r="BD3826" s="48"/>
    </row>
    <row r="3827" spans="1:56">
      <c r="A3827" s="48"/>
      <c r="B3827" s="48"/>
      <c r="C3827" s="49"/>
      <c r="D3827" s="48"/>
      <c r="E3827" s="48"/>
      <c r="F3827" s="48"/>
      <c r="G3827" s="48"/>
      <c r="H3827" s="48"/>
      <c r="I3827" s="48"/>
      <c r="J3827" s="86"/>
      <c r="K3827" s="86"/>
      <c r="L3827" s="86"/>
      <c r="M3827" s="86"/>
      <c r="N3827" s="86"/>
      <c r="O3827" s="86"/>
      <c r="P3827" s="86"/>
      <c r="Q3827" s="86"/>
      <c r="R3827" s="86"/>
      <c r="S3827" s="86"/>
      <c r="T3827" s="86"/>
      <c r="U3827" s="86"/>
      <c r="V3827" s="48"/>
      <c r="W3827" s="48"/>
      <c r="X3827" s="48"/>
      <c r="Y3827" s="48"/>
      <c r="Z3827" s="48"/>
      <c r="AA3827" s="48"/>
      <c r="AB3827" s="48"/>
      <c r="AC3827" s="48"/>
      <c r="AD3827" s="48"/>
      <c r="AE3827" s="48"/>
      <c r="AF3827" s="48"/>
      <c r="AG3827" s="48"/>
      <c r="AH3827" s="48"/>
      <c r="AI3827" s="48"/>
      <c r="AJ3827" s="48"/>
      <c r="AK3827" s="48"/>
      <c r="AL3827" s="48"/>
      <c r="AM3827" s="48"/>
      <c r="AN3827" s="48"/>
      <c r="AO3827" s="48"/>
      <c r="AP3827" s="48"/>
      <c r="AQ3827" s="48"/>
      <c r="AR3827" s="48"/>
      <c r="AS3827" s="48"/>
      <c r="AT3827" s="48"/>
      <c r="AU3827" s="48"/>
      <c r="AV3827" s="48"/>
      <c r="AW3827" s="48"/>
      <c r="AX3827" s="48"/>
      <c r="AY3827" s="48"/>
      <c r="AZ3827" s="48"/>
      <c r="BA3827" s="48"/>
      <c r="BB3827" s="48"/>
      <c r="BC3827" s="48"/>
      <c r="BD3827" s="48"/>
    </row>
    <row r="3828" spans="1:56">
      <c r="A3828" s="48"/>
      <c r="B3828" s="48"/>
      <c r="C3828" s="49"/>
      <c r="D3828" s="48"/>
      <c r="E3828" s="48"/>
      <c r="F3828" s="48"/>
      <c r="G3828" s="48"/>
      <c r="H3828" s="48"/>
      <c r="I3828" s="48"/>
      <c r="J3828" s="86"/>
      <c r="K3828" s="86"/>
      <c r="L3828" s="86"/>
      <c r="M3828" s="86"/>
      <c r="N3828" s="86"/>
      <c r="O3828" s="86"/>
      <c r="P3828" s="86"/>
      <c r="Q3828" s="86"/>
      <c r="R3828" s="86"/>
      <c r="S3828" s="86"/>
      <c r="T3828" s="86"/>
      <c r="U3828" s="86"/>
      <c r="V3828" s="48"/>
      <c r="W3828" s="48"/>
      <c r="X3828" s="48"/>
      <c r="Y3828" s="48"/>
      <c r="Z3828" s="48"/>
      <c r="AA3828" s="48"/>
      <c r="AB3828" s="48"/>
      <c r="AC3828" s="48"/>
      <c r="AD3828" s="48"/>
      <c r="AE3828" s="48"/>
      <c r="AF3828" s="48"/>
      <c r="AG3828" s="48"/>
      <c r="AH3828" s="48"/>
      <c r="AI3828" s="48"/>
      <c r="AJ3828" s="48"/>
      <c r="AK3828" s="48"/>
      <c r="AL3828" s="48"/>
      <c r="AM3828" s="48"/>
      <c r="AN3828" s="48"/>
      <c r="AO3828" s="48"/>
      <c r="AP3828" s="48"/>
      <c r="AQ3828" s="48"/>
      <c r="AR3828" s="48"/>
      <c r="AS3828" s="48"/>
      <c r="AT3828" s="48"/>
      <c r="AU3828" s="48"/>
      <c r="AV3828" s="48"/>
      <c r="AW3828" s="48"/>
      <c r="AX3828" s="48"/>
      <c r="AY3828" s="48"/>
      <c r="AZ3828" s="48"/>
      <c r="BA3828" s="48"/>
      <c r="BB3828" s="48"/>
      <c r="BC3828" s="48"/>
      <c r="BD3828" s="48"/>
    </row>
    <row r="3829" spans="1:56">
      <c r="A3829" s="48"/>
      <c r="B3829" s="48"/>
      <c r="C3829" s="49"/>
      <c r="D3829" s="48"/>
      <c r="E3829" s="48"/>
      <c r="F3829" s="48"/>
      <c r="G3829" s="48"/>
      <c r="H3829" s="48"/>
      <c r="I3829" s="48"/>
      <c r="J3829" s="86"/>
      <c r="K3829" s="86"/>
      <c r="L3829" s="86"/>
      <c r="M3829" s="86"/>
      <c r="N3829" s="86"/>
      <c r="O3829" s="86"/>
      <c r="P3829" s="86"/>
      <c r="Q3829" s="86"/>
      <c r="R3829" s="86"/>
      <c r="S3829" s="86"/>
      <c r="T3829" s="86"/>
      <c r="U3829" s="86"/>
      <c r="V3829" s="48"/>
      <c r="W3829" s="48"/>
      <c r="X3829" s="48"/>
      <c r="Y3829" s="48"/>
      <c r="Z3829" s="48"/>
      <c r="AA3829" s="48"/>
      <c r="AB3829" s="48"/>
      <c r="AC3829" s="48"/>
      <c r="AD3829" s="48"/>
      <c r="AE3829" s="48"/>
      <c r="AF3829" s="48"/>
      <c r="AG3829" s="48"/>
      <c r="AH3829" s="48"/>
      <c r="AI3829" s="48"/>
      <c r="AJ3829" s="48"/>
      <c r="AK3829" s="48"/>
      <c r="AL3829" s="48"/>
      <c r="AM3829" s="48"/>
      <c r="AN3829" s="48"/>
      <c r="AO3829" s="48"/>
      <c r="AP3829" s="48"/>
      <c r="AQ3829" s="48"/>
      <c r="AR3829" s="48"/>
      <c r="AS3829" s="48"/>
      <c r="AT3829" s="48"/>
      <c r="AU3829" s="48"/>
      <c r="AV3829" s="48"/>
      <c r="AW3829" s="48"/>
      <c r="AX3829" s="48"/>
      <c r="AY3829" s="48"/>
      <c r="AZ3829" s="48"/>
      <c r="BA3829" s="48"/>
      <c r="BB3829" s="48"/>
      <c r="BC3829" s="48"/>
      <c r="BD3829" s="48"/>
    </row>
    <row r="3830" spans="1:56">
      <c r="A3830" s="48"/>
      <c r="B3830" s="48"/>
      <c r="C3830" s="49"/>
      <c r="D3830" s="48"/>
      <c r="E3830" s="48"/>
      <c r="F3830" s="48"/>
      <c r="G3830" s="48"/>
      <c r="H3830" s="48"/>
      <c r="I3830" s="48"/>
      <c r="J3830" s="86"/>
      <c r="K3830" s="86"/>
      <c r="L3830" s="86"/>
      <c r="M3830" s="86"/>
      <c r="N3830" s="86"/>
      <c r="O3830" s="86"/>
      <c r="P3830" s="86"/>
      <c r="Q3830" s="86"/>
      <c r="R3830" s="86"/>
      <c r="S3830" s="86"/>
      <c r="T3830" s="86"/>
      <c r="U3830" s="86"/>
      <c r="V3830" s="48"/>
      <c r="W3830" s="48"/>
      <c r="X3830" s="48"/>
      <c r="Y3830" s="48"/>
      <c r="Z3830" s="48"/>
      <c r="AA3830" s="48"/>
      <c r="AB3830" s="48"/>
      <c r="AC3830" s="48"/>
      <c r="AD3830" s="48"/>
      <c r="AE3830" s="48"/>
      <c r="AF3830" s="48"/>
      <c r="AG3830" s="48"/>
      <c r="AH3830" s="48"/>
      <c r="AI3830" s="48"/>
      <c r="AJ3830" s="48"/>
      <c r="AK3830" s="48"/>
      <c r="AL3830" s="48"/>
      <c r="AM3830" s="48"/>
      <c r="AN3830" s="48"/>
      <c r="AO3830" s="48"/>
      <c r="AP3830" s="48"/>
      <c r="AQ3830" s="48"/>
      <c r="AR3830" s="48"/>
      <c r="AS3830" s="48"/>
      <c r="AT3830" s="48"/>
      <c r="AU3830" s="48"/>
      <c r="AV3830" s="48"/>
      <c r="AW3830" s="48"/>
      <c r="AX3830" s="48"/>
      <c r="AY3830" s="48"/>
      <c r="AZ3830" s="48"/>
      <c r="BA3830" s="48"/>
      <c r="BB3830" s="48"/>
      <c r="BC3830" s="48"/>
      <c r="BD3830" s="48"/>
    </row>
    <row r="3831" spans="1:56">
      <c r="A3831" s="48"/>
      <c r="B3831" s="48"/>
      <c r="C3831" s="49"/>
      <c r="D3831" s="48"/>
      <c r="E3831" s="48"/>
      <c r="F3831" s="48"/>
      <c r="G3831" s="48"/>
      <c r="H3831" s="48"/>
      <c r="I3831" s="48"/>
      <c r="J3831" s="86"/>
      <c r="K3831" s="86"/>
      <c r="L3831" s="86"/>
      <c r="M3831" s="86"/>
      <c r="N3831" s="86"/>
      <c r="O3831" s="86"/>
      <c r="P3831" s="86"/>
      <c r="Q3831" s="86"/>
      <c r="R3831" s="86"/>
      <c r="S3831" s="86"/>
      <c r="T3831" s="86"/>
      <c r="U3831" s="86"/>
      <c r="V3831" s="48"/>
      <c r="W3831" s="48"/>
      <c r="X3831" s="48"/>
      <c r="Y3831" s="48"/>
      <c r="Z3831" s="48"/>
      <c r="AA3831" s="48"/>
      <c r="AB3831" s="48"/>
      <c r="AC3831" s="48"/>
      <c r="AD3831" s="48"/>
      <c r="AE3831" s="48"/>
      <c r="AF3831" s="48"/>
      <c r="AG3831" s="48"/>
      <c r="AH3831" s="48"/>
      <c r="AI3831" s="48"/>
      <c r="AJ3831" s="48"/>
      <c r="AK3831" s="48"/>
      <c r="AL3831" s="48"/>
      <c r="AM3831" s="48"/>
      <c r="AN3831" s="48"/>
      <c r="AO3831" s="48"/>
      <c r="AP3831" s="48"/>
      <c r="AQ3831" s="48"/>
      <c r="AR3831" s="48"/>
      <c r="AS3831" s="48"/>
      <c r="AT3831" s="48"/>
      <c r="AU3831" s="48"/>
      <c r="AV3831" s="48"/>
      <c r="AW3831" s="48"/>
      <c r="AX3831" s="48"/>
      <c r="AY3831" s="48"/>
      <c r="AZ3831" s="48"/>
      <c r="BA3831" s="48"/>
      <c r="BB3831" s="48"/>
      <c r="BC3831" s="48"/>
      <c r="BD3831" s="48"/>
    </row>
    <row r="3832" spans="1:56">
      <c r="A3832" s="48"/>
      <c r="B3832" s="48"/>
      <c r="C3832" s="49"/>
      <c r="D3832" s="48"/>
      <c r="E3832" s="48"/>
      <c r="F3832" s="48"/>
      <c r="G3832" s="48"/>
      <c r="H3832" s="48"/>
      <c r="I3832" s="48"/>
      <c r="J3832" s="86"/>
      <c r="K3832" s="86"/>
      <c r="L3832" s="86"/>
      <c r="M3832" s="86"/>
      <c r="N3832" s="86"/>
      <c r="O3832" s="86"/>
      <c r="P3832" s="86"/>
      <c r="Q3832" s="86"/>
      <c r="R3832" s="86"/>
      <c r="S3832" s="86"/>
      <c r="T3832" s="86"/>
      <c r="U3832" s="86"/>
      <c r="V3832" s="48"/>
      <c r="W3832" s="48"/>
      <c r="X3832" s="48"/>
      <c r="Y3832" s="48"/>
      <c r="Z3832" s="48"/>
      <c r="AA3832" s="48"/>
      <c r="AB3832" s="48"/>
      <c r="AC3832" s="48"/>
      <c r="AD3832" s="48"/>
      <c r="AE3832" s="48"/>
      <c r="AF3832" s="48"/>
      <c r="AG3832" s="48"/>
      <c r="AH3832" s="48"/>
      <c r="AI3832" s="48"/>
      <c r="AJ3832" s="48"/>
      <c r="AK3832" s="48"/>
      <c r="AL3832" s="48"/>
      <c r="AM3832" s="48"/>
      <c r="AN3832" s="48"/>
      <c r="AO3832" s="48"/>
      <c r="AP3832" s="48"/>
      <c r="AQ3832" s="48"/>
      <c r="AR3832" s="48"/>
      <c r="AS3832" s="48"/>
      <c r="AT3832" s="48"/>
      <c r="AU3832" s="48"/>
      <c r="AV3832" s="48"/>
      <c r="AW3832" s="48"/>
      <c r="AX3832" s="48"/>
      <c r="AY3832" s="48"/>
      <c r="AZ3832" s="48"/>
      <c r="BA3832" s="48"/>
      <c r="BB3832" s="48"/>
      <c r="BC3832" s="48"/>
      <c r="BD3832" s="48"/>
    </row>
    <row r="3833" spans="1:56">
      <c r="A3833" s="48"/>
      <c r="B3833" s="48"/>
      <c r="C3833" s="49"/>
      <c r="D3833" s="48"/>
      <c r="E3833" s="48"/>
      <c r="F3833" s="48"/>
      <c r="G3833" s="48"/>
      <c r="H3833" s="48"/>
      <c r="I3833" s="48"/>
      <c r="J3833" s="86"/>
      <c r="K3833" s="86"/>
      <c r="L3833" s="86"/>
      <c r="M3833" s="86"/>
      <c r="N3833" s="86"/>
      <c r="O3833" s="86"/>
      <c r="P3833" s="86"/>
      <c r="Q3833" s="86"/>
      <c r="R3833" s="86"/>
      <c r="S3833" s="86"/>
      <c r="T3833" s="86"/>
      <c r="U3833" s="86"/>
      <c r="V3833" s="48"/>
      <c r="W3833" s="48"/>
      <c r="X3833" s="48"/>
      <c r="Y3833" s="48"/>
      <c r="Z3833" s="48"/>
      <c r="AA3833" s="48"/>
      <c r="AB3833" s="48"/>
      <c r="AC3833" s="48"/>
      <c r="AD3833" s="48"/>
      <c r="AE3833" s="48"/>
      <c r="AF3833" s="48"/>
      <c r="AG3833" s="48"/>
      <c r="AH3833" s="48"/>
      <c r="AI3833" s="48"/>
      <c r="AJ3833" s="48"/>
      <c r="AK3833" s="48"/>
      <c r="AL3833" s="48"/>
      <c r="AM3833" s="48"/>
      <c r="AN3833" s="48"/>
      <c r="AO3833" s="48"/>
      <c r="AP3833" s="48"/>
      <c r="AQ3833" s="48"/>
      <c r="AR3833" s="48"/>
      <c r="AS3833" s="48"/>
      <c r="AT3833" s="48"/>
      <c r="AU3833" s="48"/>
      <c r="AV3833" s="48"/>
      <c r="AW3833" s="48"/>
      <c r="AX3833" s="48"/>
      <c r="AY3833" s="48"/>
      <c r="AZ3833" s="48"/>
      <c r="BA3833" s="48"/>
      <c r="BB3833" s="48"/>
      <c r="BC3833" s="48"/>
      <c r="BD3833" s="48"/>
    </row>
    <row r="3834" spans="1:56">
      <c r="A3834" s="48"/>
      <c r="B3834" s="48"/>
      <c r="C3834" s="49"/>
      <c r="D3834" s="48"/>
      <c r="E3834" s="48"/>
      <c r="F3834" s="48"/>
      <c r="G3834" s="48"/>
      <c r="H3834" s="48"/>
      <c r="I3834" s="48"/>
      <c r="J3834" s="86"/>
      <c r="K3834" s="86"/>
      <c r="L3834" s="86"/>
      <c r="M3834" s="86"/>
      <c r="N3834" s="86"/>
      <c r="O3834" s="86"/>
      <c r="P3834" s="86"/>
      <c r="Q3834" s="86"/>
      <c r="R3834" s="86"/>
      <c r="S3834" s="86"/>
      <c r="T3834" s="86"/>
      <c r="U3834" s="86"/>
      <c r="V3834" s="48"/>
      <c r="W3834" s="48"/>
      <c r="X3834" s="48"/>
      <c r="Y3834" s="48"/>
      <c r="Z3834" s="48"/>
      <c r="AA3834" s="48"/>
      <c r="AB3834" s="48"/>
      <c r="AC3834" s="48"/>
      <c r="AD3834" s="48"/>
      <c r="AE3834" s="48"/>
      <c r="AF3834" s="48"/>
      <c r="AG3834" s="48"/>
      <c r="AH3834" s="48"/>
      <c r="AI3834" s="48"/>
      <c r="AJ3834" s="48"/>
      <c r="AK3834" s="48"/>
      <c r="AL3834" s="48"/>
      <c r="AM3834" s="48"/>
      <c r="AN3834" s="48"/>
      <c r="AO3834" s="48"/>
      <c r="AP3834" s="48"/>
      <c r="AQ3834" s="48"/>
      <c r="AR3834" s="48"/>
      <c r="AS3834" s="48"/>
      <c r="AT3834" s="48"/>
      <c r="AU3834" s="48"/>
      <c r="AV3834" s="48"/>
      <c r="AW3834" s="48"/>
      <c r="AX3834" s="48"/>
      <c r="AY3834" s="48"/>
      <c r="AZ3834" s="48"/>
      <c r="BA3834" s="48"/>
      <c r="BB3834" s="48"/>
      <c r="BC3834" s="48"/>
      <c r="BD3834" s="48"/>
    </row>
    <row r="3835" spans="1:56">
      <c r="A3835" s="48"/>
      <c r="B3835" s="48"/>
      <c r="C3835" s="49"/>
      <c r="D3835" s="48"/>
      <c r="E3835" s="48"/>
      <c r="F3835" s="48"/>
      <c r="G3835" s="48"/>
      <c r="H3835" s="48"/>
      <c r="I3835" s="48"/>
      <c r="J3835" s="86"/>
      <c r="K3835" s="86"/>
      <c r="L3835" s="86"/>
      <c r="M3835" s="86"/>
      <c r="N3835" s="86"/>
      <c r="O3835" s="86"/>
      <c r="P3835" s="86"/>
      <c r="Q3835" s="86"/>
      <c r="R3835" s="86"/>
      <c r="S3835" s="86"/>
      <c r="T3835" s="86"/>
      <c r="U3835" s="86"/>
      <c r="V3835" s="48"/>
      <c r="W3835" s="48"/>
      <c r="X3835" s="48"/>
      <c r="Y3835" s="48"/>
      <c r="Z3835" s="48"/>
      <c r="AA3835" s="48"/>
      <c r="AB3835" s="48"/>
      <c r="AC3835" s="48"/>
      <c r="AD3835" s="48"/>
      <c r="AE3835" s="48"/>
      <c r="AF3835" s="48"/>
      <c r="AG3835" s="48"/>
      <c r="AH3835" s="48"/>
      <c r="AI3835" s="48"/>
      <c r="AJ3835" s="48"/>
      <c r="AK3835" s="48"/>
      <c r="AL3835" s="48"/>
      <c r="AM3835" s="48"/>
      <c r="AN3835" s="48"/>
      <c r="AO3835" s="48"/>
      <c r="AP3835" s="48"/>
      <c r="AQ3835" s="48"/>
      <c r="AR3835" s="48"/>
      <c r="AS3835" s="48"/>
      <c r="AT3835" s="48"/>
      <c r="AU3835" s="48"/>
      <c r="AV3835" s="48"/>
      <c r="AW3835" s="48"/>
      <c r="AX3835" s="48"/>
      <c r="AY3835" s="48"/>
      <c r="AZ3835" s="48"/>
      <c r="BA3835" s="48"/>
      <c r="BB3835" s="48"/>
      <c r="BC3835" s="48"/>
      <c r="BD3835" s="48"/>
    </row>
    <row r="3836" spans="1:56">
      <c r="A3836" s="48"/>
      <c r="B3836" s="48"/>
      <c r="C3836" s="49"/>
      <c r="D3836" s="48"/>
      <c r="E3836" s="48"/>
      <c r="F3836" s="48"/>
      <c r="G3836" s="48"/>
      <c r="H3836" s="48"/>
      <c r="I3836" s="48"/>
      <c r="J3836" s="86"/>
      <c r="K3836" s="86"/>
      <c r="L3836" s="86"/>
      <c r="M3836" s="86"/>
      <c r="N3836" s="86"/>
      <c r="O3836" s="86"/>
      <c r="P3836" s="86"/>
      <c r="Q3836" s="86"/>
      <c r="R3836" s="86"/>
      <c r="S3836" s="86"/>
      <c r="T3836" s="86"/>
      <c r="U3836" s="86"/>
      <c r="V3836" s="48"/>
      <c r="W3836" s="48"/>
      <c r="X3836" s="48"/>
      <c r="Y3836" s="48"/>
      <c r="Z3836" s="48"/>
      <c r="AA3836" s="48"/>
      <c r="AB3836" s="48"/>
      <c r="AC3836" s="48"/>
      <c r="AD3836" s="48"/>
      <c r="AE3836" s="48"/>
      <c r="AF3836" s="48"/>
      <c r="AG3836" s="48"/>
      <c r="AH3836" s="48"/>
      <c r="AI3836" s="48"/>
      <c r="AJ3836" s="48"/>
      <c r="AK3836" s="48"/>
      <c r="AL3836" s="48"/>
      <c r="AM3836" s="48"/>
      <c r="AN3836" s="48"/>
      <c r="AO3836" s="48"/>
      <c r="AP3836" s="48"/>
      <c r="AQ3836" s="48"/>
      <c r="AR3836" s="48"/>
      <c r="AS3836" s="48"/>
      <c r="AT3836" s="48"/>
      <c r="AU3836" s="48"/>
      <c r="AV3836" s="48"/>
      <c r="AW3836" s="48"/>
      <c r="AX3836" s="48"/>
      <c r="AY3836" s="48"/>
      <c r="AZ3836" s="48"/>
      <c r="BA3836" s="48"/>
      <c r="BB3836" s="48"/>
      <c r="BC3836" s="48"/>
      <c r="BD3836" s="48"/>
    </row>
    <row r="3837" spans="1:56">
      <c r="A3837" s="48"/>
      <c r="B3837" s="48"/>
      <c r="C3837" s="49"/>
      <c r="D3837" s="48"/>
      <c r="E3837" s="48"/>
      <c r="F3837" s="48"/>
      <c r="G3837" s="48"/>
      <c r="H3837" s="48"/>
      <c r="I3837" s="48"/>
      <c r="J3837" s="86"/>
      <c r="K3837" s="86"/>
      <c r="L3837" s="86"/>
      <c r="M3837" s="86"/>
      <c r="N3837" s="86"/>
      <c r="O3837" s="86"/>
      <c r="P3837" s="86"/>
      <c r="Q3837" s="86"/>
      <c r="R3837" s="86"/>
      <c r="S3837" s="86"/>
      <c r="T3837" s="86"/>
      <c r="U3837" s="86"/>
      <c r="V3837" s="48"/>
      <c r="W3837" s="48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48"/>
      <c r="AI3837" s="48"/>
      <c r="AJ3837" s="48"/>
      <c r="AK3837" s="48"/>
      <c r="AL3837" s="48"/>
      <c r="AM3837" s="48"/>
      <c r="AN3837" s="48"/>
      <c r="AO3837" s="48"/>
      <c r="AP3837" s="48"/>
      <c r="AQ3837" s="48"/>
      <c r="AR3837" s="48"/>
      <c r="AS3837" s="48"/>
      <c r="AT3837" s="48"/>
      <c r="AU3837" s="48"/>
      <c r="AV3837" s="48"/>
      <c r="AW3837" s="48"/>
      <c r="AX3837" s="48"/>
      <c r="AY3837" s="48"/>
      <c r="AZ3837" s="48"/>
      <c r="BA3837" s="48"/>
      <c r="BB3837" s="48"/>
      <c r="BC3837" s="48"/>
      <c r="BD3837" s="48"/>
    </row>
    <row r="3838" spans="1:56">
      <c r="A3838" s="48"/>
      <c r="B3838" s="48"/>
      <c r="C3838" s="49"/>
      <c r="D3838" s="48"/>
      <c r="E3838" s="48"/>
      <c r="F3838" s="48"/>
      <c r="G3838" s="48"/>
      <c r="H3838" s="48"/>
      <c r="I3838" s="48"/>
      <c r="J3838" s="86"/>
      <c r="K3838" s="86"/>
      <c r="L3838" s="86"/>
      <c r="M3838" s="86"/>
      <c r="N3838" s="86"/>
      <c r="O3838" s="86"/>
      <c r="P3838" s="86"/>
      <c r="Q3838" s="86"/>
      <c r="R3838" s="86"/>
      <c r="S3838" s="86"/>
      <c r="T3838" s="86"/>
      <c r="U3838" s="86"/>
      <c r="V3838" s="48"/>
      <c r="W3838" s="48"/>
      <c r="X3838" s="48"/>
      <c r="Y3838" s="48"/>
      <c r="Z3838" s="48"/>
      <c r="AA3838" s="48"/>
      <c r="AB3838" s="48"/>
      <c r="AC3838" s="48"/>
      <c r="AD3838" s="48"/>
      <c r="AE3838" s="48"/>
      <c r="AF3838" s="48"/>
      <c r="AG3838" s="48"/>
      <c r="AH3838" s="48"/>
      <c r="AI3838" s="48"/>
      <c r="AJ3838" s="48"/>
      <c r="AK3838" s="48"/>
      <c r="AL3838" s="48"/>
      <c r="AM3838" s="48"/>
      <c r="AN3838" s="48"/>
      <c r="AO3838" s="48"/>
      <c r="AP3838" s="48"/>
      <c r="AQ3838" s="48"/>
      <c r="AR3838" s="48"/>
      <c r="AS3838" s="48"/>
      <c r="AT3838" s="48"/>
      <c r="AU3838" s="48"/>
      <c r="AV3838" s="48"/>
      <c r="AW3838" s="48"/>
      <c r="AX3838" s="48"/>
      <c r="AY3838" s="48"/>
      <c r="AZ3838" s="48"/>
      <c r="BA3838" s="48"/>
      <c r="BB3838" s="48"/>
      <c r="BC3838" s="48"/>
      <c r="BD3838" s="48"/>
    </row>
    <row r="3839" spans="1:56">
      <c r="A3839" s="48"/>
      <c r="B3839" s="48"/>
      <c r="C3839" s="49"/>
      <c r="D3839" s="48"/>
      <c r="E3839" s="48"/>
      <c r="F3839" s="48"/>
      <c r="G3839" s="48"/>
      <c r="H3839" s="48"/>
      <c r="I3839" s="48"/>
      <c r="J3839" s="86"/>
      <c r="K3839" s="86"/>
      <c r="L3839" s="86"/>
      <c r="M3839" s="86"/>
      <c r="N3839" s="86"/>
      <c r="O3839" s="86"/>
      <c r="P3839" s="86"/>
      <c r="Q3839" s="86"/>
      <c r="R3839" s="86"/>
      <c r="S3839" s="86"/>
      <c r="T3839" s="86"/>
      <c r="U3839" s="86"/>
      <c r="V3839" s="48"/>
      <c r="W3839" s="48"/>
      <c r="X3839" s="48"/>
      <c r="Y3839" s="48"/>
      <c r="Z3839" s="48"/>
      <c r="AA3839" s="48"/>
      <c r="AB3839" s="48"/>
      <c r="AC3839" s="48"/>
      <c r="AD3839" s="48"/>
      <c r="AE3839" s="48"/>
      <c r="AF3839" s="48"/>
      <c r="AG3839" s="48"/>
      <c r="AH3839" s="48"/>
      <c r="AI3839" s="48"/>
      <c r="AJ3839" s="48"/>
      <c r="AK3839" s="48"/>
      <c r="AL3839" s="48"/>
      <c r="AM3839" s="48"/>
      <c r="AN3839" s="48"/>
      <c r="AO3839" s="48"/>
      <c r="AP3839" s="48"/>
      <c r="AQ3839" s="48"/>
      <c r="AR3839" s="48"/>
      <c r="AS3839" s="48"/>
      <c r="AT3839" s="48"/>
      <c r="AU3839" s="48"/>
      <c r="AV3839" s="48"/>
      <c r="AW3839" s="48"/>
      <c r="AX3839" s="48"/>
      <c r="AY3839" s="48"/>
      <c r="AZ3839" s="48"/>
      <c r="BA3839" s="48"/>
      <c r="BB3839" s="48"/>
      <c r="BC3839" s="48"/>
      <c r="BD3839" s="48"/>
    </row>
    <row r="3840" spans="1:56">
      <c r="A3840" s="48"/>
      <c r="B3840" s="48"/>
      <c r="C3840" s="49"/>
      <c r="D3840" s="48"/>
      <c r="E3840" s="48"/>
      <c r="F3840" s="48"/>
      <c r="G3840" s="48"/>
      <c r="H3840" s="48"/>
      <c r="I3840" s="48"/>
      <c r="J3840" s="86"/>
      <c r="K3840" s="86"/>
      <c r="L3840" s="86"/>
      <c r="M3840" s="86"/>
      <c r="N3840" s="86"/>
      <c r="O3840" s="86"/>
      <c r="P3840" s="86"/>
      <c r="Q3840" s="86"/>
      <c r="R3840" s="86"/>
      <c r="S3840" s="86"/>
      <c r="T3840" s="86"/>
      <c r="U3840" s="86"/>
      <c r="V3840" s="48"/>
      <c r="W3840" s="48"/>
      <c r="X3840" s="48"/>
      <c r="Y3840" s="48"/>
      <c r="Z3840" s="48"/>
      <c r="AA3840" s="48"/>
      <c r="AB3840" s="48"/>
      <c r="AC3840" s="48"/>
      <c r="AD3840" s="48"/>
      <c r="AE3840" s="48"/>
      <c r="AF3840" s="48"/>
      <c r="AG3840" s="48"/>
      <c r="AH3840" s="48"/>
      <c r="AI3840" s="48"/>
      <c r="AJ3840" s="48"/>
      <c r="AK3840" s="48"/>
      <c r="AL3840" s="48"/>
      <c r="AM3840" s="48"/>
      <c r="AN3840" s="48"/>
      <c r="AO3840" s="48"/>
      <c r="AP3840" s="48"/>
      <c r="AQ3840" s="48"/>
      <c r="AR3840" s="48"/>
      <c r="AS3840" s="48"/>
      <c r="AT3840" s="48"/>
      <c r="AU3840" s="48"/>
      <c r="AV3840" s="48"/>
      <c r="AW3840" s="48"/>
      <c r="AX3840" s="48"/>
      <c r="AY3840" s="48"/>
      <c r="AZ3840" s="48"/>
      <c r="BA3840" s="48"/>
      <c r="BB3840" s="48"/>
      <c r="BC3840" s="48"/>
      <c r="BD3840" s="48"/>
    </row>
    <row r="3841" spans="1:56">
      <c r="A3841" s="48"/>
      <c r="B3841" s="48"/>
      <c r="C3841" s="49"/>
      <c r="D3841" s="48"/>
      <c r="E3841" s="48"/>
      <c r="F3841" s="48"/>
      <c r="G3841" s="48"/>
      <c r="H3841" s="48"/>
      <c r="I3841" s="48"/>
      <c r="J3841" s="86"/>
      <c r="K3841" s="86"/>
      <c r="L3841" s="86"/>
      <c r="M3841" s="86"/>
      <c r="N3841" s="86"/>
      <c r="O3841" s="86"/>
      <c r="P3841" s="86"/>
      <c r="Q3841" s="86"/>
      <c r="R3841" s="86"/>
      <c r="S3841" s="86"/>
      <c r="T3841" s="86"/>
      <c r="U3841" s="86"/>
      <c r="V3841" s="48"/>
      <c r="W3841" s="48"/>
      <c r="X3841" s="48"/>
      <c r="Y3841" s="48"/>
      <c r="Z3841" s="48"/>
      <c r="AA3841" s="48"/>
      <c r="AB3841" s="48"/>
      <c r="AC3841" s="48"/>
      <c r="AD3841" s="48"/>
      <c r="AE3841" s="48"/>
      <c r="AF3841" s="48"/>
      <c r="AG3841" s="48"/>
      <c r="AH3841" s="48"/>
      <c r="AI3841" s="48"/>
      <c r="AJ3841" s="48"/>
      <c r="AK3841" s="48"/>
      <c r="AL3841" s="48"/>
      <c r="AM3841" s="48"/>
      <c r="AN3841" s="48"/>
      <c r="AO3841" s="48"/>
      <c r="AP3841" s="48"/>
      <c r="AQ3841" s="48"/>
      <c r="AR3841" s="48"/>
      <c r="AS3841" s="48"/>
      <c r="AT3841" s="48"/>
      <c r="AU3841" s="48"/>
      <c r="AV3841" s="48"/>
      <c r="AW3841" s="48"/>
      <c r="AX3841" s="48"/>
      <c r="AY3841" s="48"/>
      <c r="AZ3841" s="48"/>
      <c r="BA3841" s="48"/>
      <c r="BB3841" s="48"/>
      <c r="BC3841" s="48"/>
      <c r="BD3841" s="48"/>
    </row>
    <row r="3842" spans="1:56">
      <c r="A3842" s="48"/>
      <c r="B3842" s="48"/>
      <c r="C3842" s="49"/>
      <c r="D3842" s="48"/>
      <c r="E3842" s="48"/>
      <c r="F3842" s="48"/>
      <c r="G3842" s="48"/>
      <c r="H3842" s="48"/>
      <c r="I3842" s="48"/>
      <c r="J3842" s="86"/>
      <c r="K3842" s="86"/>
      <c r="L3842" s="86"/>
      <c r="M3842" s="86"/>
      <c r="N3842" s="86"/>
      <c r="O3842" s="86"/>
      <c r="P3842" s="86"/>
      <c r="Q3842" s="86"/>
      <c r="R3842" s="86"/>
      <c r="S3842" s="86"/>
      <c r="T3842" s="86"/>
      <c r="U3842" s="86"/>
      <c r="V3842" s="48"/>
      <c r="W3842" s="48"/>
      <c r="X3842" s="48"/>
      <c r="Y3842" s="48"/>
      <c r="Z3842" s="48"/>
      <c r="AA3842" s="48"/>
      <c r="AB3842" s="48"/>
      <c r="AC3842" s="48"/>
      <c r="AD3842" s="48"/>
      <c r="AE3842" s="48"/>
      <c r="AF3842" s="48"/>
      <c r="AG3842" s="48"/>
      <c r="AH3842" s="48"/>
      <c r="AI3842" s="48"/>
      <c r="AJ3842" s="48"/>
      <c r="AK3842" s="48"/>
      <c r="AL3842" s="48"/>
      <c r="AM3842" s="48"/>
      <c r="AN3842" s="48"/>
      <c r="AO3842" s="48"/>
      <c r="AP3842" s="48"/>
      <c r="AQ3842" s="48"/>
      <c r="AR3842" s="48"/>
      <c r="AS3842" s="48"/>
      <c r="AT3842" s="48"/>
      <c r="AU3842" s="48"/>
      <c r="AV3842" s="48"/>
      <c r="AW3842" s="48"/>
      <c r="AX3842" s="48"/>
      <c r="AY3842" s="48"/>
      <c r="AZ3842" s="48"/>
      <c r="BA3842" s="48"/>
      <c r="BB3842" s="48"/>
      <c r="BC3842" s="48"/>
      <c r="BD3842" s="48"/>
    </row>
    <row r="3843" spans="1:56">
      <c r="A3843" s="48"/>
      <c r="B3843" s="48"/>
      <c r="C3843" s="49"/>
      <c r="D3843" s="48"/>
      <c r="E3843" s="48"/>
      <c r="F3843" s="48"/>
      <c r="G3843" s="48"/>
      <c r="H3843" s="48"/>
      <c r="I3843" s="48"/>
      <c r="J3843" s="86"/>
      <c r="K3843" s="86"/>
      <c r="L3843" s="86"/>
      <c r="M3843" s="86"/>
      <c r="N3843" s="86"/>
      <c r="O3843" s="86"/>
      <c r="P3843" s="86"/>
      <c r="Q3843" s="86"/>
      <c r="R3843" s="86"/>
      <c r="S3843" s="86"/>
      <c r="T3843" s="86"/>
      <c r="U3843" s="86"/>
      <c r="V3843" s="48"/>
      <c r="W3843" s="48"/>
      <c r="X3843" s="48"/>
      <c r="Y3843" s="48"/>
      <c r="Z3843" s="48"/>
      <c r="AA3843" s="48"/>
      <c r="AB3843" s="48"/>
      <c r="AC3843" s="48"/>
      <c r="AD3843" s="48"/>
      <c r="AE3843" s="48"/>
      <c r="AF3843" s="48"/>
      <c r="AG3843" s="48"/>
      <c r="AH3843" s="48"/>
      <c r="AI3843" s="48"/>
      <c r="AJ3843" s="48"/>
      <c r="AK3843" s="48"/>
      <c r="AL3843" s="48"/>
      <c r="AM3843" s="48"/>
      <c r="AN3843" s="48"/>
      <c r="AO3843" s="48"/>
      <c r="AP3843" s="48"/>
      <c r="AQ3843" s="48"/>
      <c r="AR3843" s="48"/>
      <c r="AS3843" s="48"/>
      <c r="AT3843" s="48"/>
      <c r="AU3843" s="48"/>
      <c r="AV3843" s="48"/>
      <c r="AW3843" s="48"/>
      <c r="AX3843" s="48"/>
      <c r="AY3843" s="48"/>
      <c r="AZ3843" s="48"/>
      <c r="BA3843" s="48"/>
      <c r="BB3843" s="48"/>
      <c r="BC3843" s="48"/>
      <c r="BD3843" s="48"/>
    </row>
    <row r="3844" spans="1:56">
      <c r="A3844" s="48"/>
      <c r="B3844" s="48"/>
      <c r="C3844" s="49"/>
      <c r="D3844" s="48"/>
      <c r="E3844" s="48"/>
      <c r="F3844" s="48"/>
      <c r="G3844" s="48"/>
      <c r="H3844" s="48"/>
      <c r="I3844" s="48"/>
      <c r="J3844" s="86"/>
      <c r="K3844" s="86"/>
      <c r="L3844" s="86"/>
      <c r="M3844" s="86"/>
      <c r="N3844" s="86"/>
      <c r="O3844" s="86"/>
      <c r="P3844" s="86"/>
      <c r="Q3844" s="86"/>
      <c r="R3844" s="86"/>
      <c r="S3844" s="86"/>
      <c r="T3844" s="86"/>
      <c r="U3844" s="86"/>
      <c r="V3844" s="48"/>
      <c r="W3844" s="48"/>
      <c r="X3844" s="48"/>
      <c r="Y3844" s="48"/>
      <c r="Z3844" s="48"/>
      <c r="AA3844" s="48"/>
      <c r="AB3844" s="48"/>
      <c r="AC3844" s="48"/>
      <c r="AD3844" s="48"/>
      <c r="AE3844" s="48"/>
      <c r="AF3844" s="48"/>
      <c r="AG3844" s="48"/>
      <c r="AH3844" s="48"/>
      <c r="AI3844" s="48"/>
      <c r="AJ3844" s="48"/>
      <c r="AK3844" s="48"/>
      <c r="AL3844" s="48"/>
      <c r="AM3844" s="48"/>
      <c r="AN3844" s="48"/>
      <c r="AO3844" s="48"/>
      <c r="AP3844" s="48"/>
      <c r="AQ3844" s="48"/>
      <c r="AR3844" s="48"/>
      <c r="AS3844" s="48"/>
      <c r="AT3844" s="48"/>
      <c r="AU3844" s="48"/>
      <c r="AV3844" s="48"/>
      <c r="AW3844" s="48"/>
      <c r="AX3844" s="48"/>
      <c r="AY3844" s="48"/>
      <c r="AZ3844" s="48"/>
      <c r="BA3844" s="48"/>
      <c r="BB3844" s="48"/>
      <c r="BC3844" s="48"/>
      <c r="BD3844" s="48"/>
    </row>
    <row r="3845" spans="1:56">
      <c r="A3845" s="48"/>
      <c r="B3845" s="48"/>
      <c r="C3845" s="49"/>
      <c r="D3845" s="48"/>
      <c r="E3845" s="48"/>
      <c r="F3845" s="48"/>
      <c r="G3845" s="48"/>
      <c r="H3845" s="48"/>
      <c r="I3845" s="48"/>
      <c r="J3845" s="86"/>
      <c r="K3845" s="86"/>
      <c r="L3845" s="86"/>
      <c r="M3845" s="86"/>
      <c r="N3845" s="86"/>
      <c r="O3845" s="86"/>
      <c r="P3845" s="86"/>
      <c r="Q3845" s="86"/>
      <c r="R3845" s="86"/>
      <c r="S3845" s="86"/>
      <c r="T3845" s="86"/>
      <c r="U3845" s="86"/>
      <c r="V3845" s="48"/>
      <c r="W3845" s="48"/>
      <c r="X3845" s="48"/>
      <c r="Y3845" s="48"/>
      <c r="Z3845" s="48"/>
      <c r="AA3845" s="48"/>
      <c r="AB3845" s="48"/>
      <c r="AC3845" s="48"/>
      <c r="AD3845" s="48"/>
      <c r="AE3845" s="48"/>
      <c r="AF3845" s="48"/>
      <c r="AG3845" s="48"/>
      <c r="AH3845" s="48"/>
      <c r="AI3845" s="48"/>
      <c r="AJ3845" s="48"/>
      <c r="AK3845" s="48"/>
      <c r="AL3845" s="48"/>
      <c r="AM3845" s="48"/>
      <c r="AN3845" s="48"/>
      <c r="AO3845" s="48"/>
      <c r="AP3845" s="48"/>
      <c r="AQ3845" s="48"/>
      <c r="AR3845" s="48"/>
      <c r="AS3845" s="48"/>
      <c r="AT3845" s="48"/>
      <c r="AU3845" s="48"/>
      <c r="AV3845" s="48"/>
      <c r="AW3845" s="48"/>
      <c r="AX3845" s="48"/>
      <c r="AY3845" s="48"/>
      <c r="AZ3845" s="48"/>
      <c r="BA3845" s="48"/>
      <c r="BB3845" s="48"/>
      <c r="BC3845" s="48"/>
      <c r="BD3845" s="48"/>
    </row>
    <row r="3846" spans="1:56">
      <c r="A3846" s="48"/>
      <c r="B3846" s="48"/>
      <c r="C3846" s="49"/>
      <c r="D3846" s="48"/>
      <c r="E3846" s="48"/>
      <c r="F3846" s="48"/>
      <c r="G3846" s="48"/>
      <c r="H3846" s="48"/>
      <c r="I3846" s="48"/>
      <c r="J3846" s="86"/>
      <c r="K3846" s="86"/>
      <c r="L3846" s="86"/>
      <c r="M3846" s="86"/>
      <c r="N3846" s="86"/>
      <c r="O3846" s="86"/>
      <c r="P3846" s="86"/>
      <c r="Q3846" s="86"/>
      <c r="R3846" s="86"/>
      <c r="S3846" s="86"/>
      <c r="T3846" s="86"/>
      <c r="U3846" s="86"/>
      <c r="V3846" s="48"/>
      <c r="W3846" s="48"/>
      <c r="X3846" s="48"/>
      <c r="Y3846" s="48"/>
      <c r="Z3846" s="48"/>
      <c r="AA3846" s="48"/>
      <c r="AB3846" s="48"/>
      <c r="AC3846" s="48"/>
      <c r="AD3846" s="48"/>
      <c r="AE3846" s="48"/>
      <c r="AF3846" s="48"/>
      <c r="AG3846" s="48"/>
      <c r="AH3846" s="48"/>
      <c r="AI3846" s="48"/>
      <c r="AJ3846" s="48"/>
      <c r="AK3846" s="48"/>
      <c r="AL3846" s="48"/>
      <c r="AM3846" s="48"/>
      <c r="AN3846" s="48"/>
      <c r="AO3846" s="48"/>
      <c r="AP3846" s="48"/>
      <c r="AQ3846" s="48"/>
      <c r="AR3846" s="48"/>
      <c r="AS3846" s="48"/>
      <c r="AT3846" s="48"/>
      <c r="AU3846" s="48"/>
      <c r="AV3846" s="48"/>
      <c r="AW3846" s="48"/>
      <c r="AX3846" s="48"/>
      <c r="AY3846" s="48"/>
      <c r="AZ3846" s="48"/>
      <c r="BA3846" s="48"/>
      <c r="BB3846" s="48"/>
      <c r="BC3846" s="48"/>
      <c r="BD3846" s="48"/>
    </row>
    <row r="3847" spans="1:56">
      <c r="A3847" s="48"/>
      <c r="B3847" s="48"/>
      <c r="C3847" s="49"/>
      <c r="D3847" s="48"/>
      <c r="E3847" s="48"/>
      <c r="F3847" s="48"/>
      <c r="G3847" s="48"/>
      <c r="H3847" s="48"/>
      <c r="I3847" s="48"/>
      <c r="J3847" s="86"/>
      <c r="K3847" s="86"/>
      <c r="L3847" s="86"/>
      <c r="M3847" s="86"/>
      <c r="N3847" s="86"/>
      <c r="O3847" s="86"/>
      <c r="P3847" s="86"/>
      <c r="Q3847" s="86"/>
      <c r="R3847" s="86"/>
      <c r="S3847" s="86"/>
      <c r="T3847" s="86"/>
      <c r="U3847" s="86"/>
      <c r="V3847" s="48"/>
      <c r="W3847" s="48"/>
      <c r="X3847" s="48"/>
      <c r="Y3847" s="48"/>
      <c r="Z3847" s="48"/>
      <c r="AA3847" s="48"/>
      <c r="AB3847" s="48"/>
      <c r="AC3847" s="48"/>
      <c r="AD3847" s="48"/>
      <c r="AE3847" s="48"/>
      <c r="AF3847" s="48"/>
      <c r="AG3847" s="48"/>
      <c r="AH3847" s="48"/>
      <c r="AI3847" s="48"/>
      <c r="AJ3847" s="48"/>
      <c r="AK3847" s="48"/>
      <c r="AL3847" s="48"/>
      <c r="AM3847" s="48"/>
      <c r="AN3847" s="48"/>
      <c r="AO3847" s="48"/>
      <c r="AP3847" s="48"/>
      <c r="AQ3847" s="48"/>
      <c r="AR3847" s="48"/>
      <c r="AS3847" s="48"/>
      <c r="AT3847" s="48"/>
      <c r="AU3847" s="48"/>
      <c r="AV3847" s="48"/>
      <c r="AW3847" s="48"/>
      <c r="AX3847" s="48"/>
      <c r="AY3847" s="48"/>
      <c r="AZ3847" s="48"/>
      <c r="BA3847" s="48"/>
      <c r="BB3847" s="48"/>
      <c r="BC3847" s="48"/>
      <c r="BD3847" s="48"/>
    </row>
    <row r="3848" spans="1:56">
      <c r="A3848" s="48"/>
      <c r="B3848" s="48"/>
      <c r="C3848" s="49"/>
      <c r="D3848" s="48"/>
      <c r="E3848" s="48"/>
      <c r="F3848" s="48"/>
      <c r="G3848" s="48"/>
      <c r="H3848" s="48"/>
      <c r="I3848" s="48"/>
      <c r="J3848" s="86"/>
      <c r="K3848" s="86"/>
      <c r="L3848" s="86"/>
      <c r="M3848" s="86"/>
      <c r="N3848" s="86"/>
      <c r="O3848" s="86"/>
      <c r="P3848" s="86"/>
      <c r="Q3848" s="86"/>
      <c r="R3848" s="86"/>
      <c r="S3848" s="86"/>
      <c r="T3848" s="86"/>
      <c r="U3848" s="86"/>
      <c r="V3848" s="48"/>
      <c r="W3848" s="48"/>
      <c r="X3848" s="48"/>
      <c r="Y3848" s="48"/>
      <c r="Z3848" s="48"/>
      <c r="AA3848" s="48"/>
      <c r="AB3848" s="48"/>
      <c r="AC3848" s="48"/>
      <c r="AD3848" s="48"/>
      <c r="AE3848" s="48"/>
      <c r="AF3848" s="48"/>
      <c r="AG3848" s="48"/>
      <c r="AH3848" s="48"/>
      <c r="AI3848" s="48"/>
      <c r="AJ3848" s="48"/>
      <c r="AK3848" s="48"/>
      <c r="AL3848" s="48"/>
      <c r="AM3848" s="48"/>
      <c r="AN3848" s="48"/>
      <c r="AO3848" s="48"/>
      <c r="AP3848" s="48"/>
      <c r="AQ3848" s="48"/>
      <c r="AR3848" s="48"/>
      <c r="AS3848" s="48"/>
      <c r="AT3848" s="48"/>
      <c r="AU3848" s="48"/>
      <c r="AV3848" s="48"/>
      <c r="AW3848" s="48"/>
      <c r="AX3848" s="48"/>
      <c r="AY3848" s="48"/>
      <c r="AZ3848" s="48"/>
      <c r="BA3848" s="48"/>
      <c r="BB3848" s="48"/>
      <c r="BC3848" s="48"/>
      <c r="BD3848" s="48"/>
    </row>
    <row r="3849" spans="1:56">
      <c r="A3849" s="48"/>
      <c r="B3849" s="48"/>
      <c r="C3849" s="49"/>
      <c r="D3849" s="48"/>
      <c r="E3849" s="48"/>
      <c r="F3849" s="48"/>
      <c r="G3849" s="48"/>
      <c r="H3849" s="48"/>
      <c r="I3849" s="48"/>
      <c r="J3849" s="86"/>
      <c r="K3849" s="86"/>
      <c r="L3849" s="86"/>
      <c r="M3849" s="86"/>
      <c r="N3849" s="86"/>
      <c r="O3849" s="86"/>
      <c r="P3849" s="86"/>
      <c r="Q3849" s="86"/>
      <c r="R3849" s="86"/>
      <c r="S3849" s="86"/>
      <c r="T3849" s="86"/>
      <c r="U3849" s="86"/>
      <c r="V3849" s="48"/>
      <c r="W3849" s="48"/>
      <c r="X3849" s="48"/>
      <c r="Y3849" s="48"/>
      <c r="Z3849" s="48"/>
      <c r="AA3849" s="48"/>
      <c r="AB3849" s="48"/>
      <c r="AC3849" s="48"/>
      <c r="AD3849" s="48"/>
      <c r="AE3849" s="48"/>
      <c r="AF3849" s="48"/>
      <c r="AG3849" s="48"/>
      <c r="AH3849" s="48"/>
      <c r="AI3849" s="48"/>
      <c r="AJ3849" s="48"/>
      <c r="AK3849" s="48"/>
      <c r="AL3849" s="48"/>
      <c r="AM3849" s="48"/>
      <c r="AN3849" s="48"/>
      <c r="AO3849" s="48"/>
      <c r="AP3849" s="48"/>
      <c r="AQ3849" s="48"/>
      <c r="AR3849" s="48"/>
      <c r="AS3849" s="48"/>
      <c r="AT3849" s="48"/>
      <c r="AU3849" s="48"/>
      <c r="AV3849" s="48"/>
      <c r="AW3849" s="48"/>
      <c r="AX3849" s="48"/>
      <c r="AY3849" s="48"/>
      <c r="AZ3849" s="48"/>
      <c r="BA3849" s="48"/>
      <c r="BB3849" s="48"/>
      <c r="BC3849" s="48"/>
      <c r="BD3849" s="48"/>
    </row>
    <row r="3850" spans="1:56">
      <c r="A3850" s="48"/>
      <c r="B3850" s="48"/>
      <c r="C3850" s="49"/>
      <c r="D3850" s="48"/>
      <c r="E3850" s="48"/>
      <c r="F3850" s="48"/>
      <c r="G3850" s="48"/>
      <c r="H3850" s="48"/>
      <c r="I3850" s="48"/>
      <c r="J3850" s="86"/>
      <c r="K3850" s="86"/>
      <c r="L3850" s="86"/>
      <c r="M3850" s="86"/>
      <c r="N3850" s="86"/>
      <c r="O3850" s="86"/>
      <c r="P3850" s="86"/>
      <c r="Q3850" s="86"/>
      <c r="R3850" s="86"/>
      <c r="S3850" s="86"/>
      <c r="T3850" s="86"/>
      <c r="U3850" s="86"/>
      <c r="V3850" s="48"/>
      <c r="W3850" s="48"/>
      <c r="X3850" s="48"/>
      <c r="Y3850" s="48"/>
      <c r="Z3850" s="48"/>
      <c r="AA3850" s="48"/>
      <c r="AB3850" s="48"/>
      <c r="AC3850" s="48"/>
      <c r="AD3850" s="48"/>
      <c r="AE3850" s="48"/>
      <c r="AF3850" s="48"/>
      <c r="AG3850" s="48"/>
      <c r="AH3850" s="48"/>
      <c r="AI3850" s="48"/>
      <c r="AJ3850" s="48"/>
      <c r="AK3850" s="48"/>
      <c r="AL3850" s="48"/>
      <c r="AM3850" s="48"/>
      <c r="AN3850" s="48"/>
      <c r="AO3850" s="48"/>
      <c r="AP3850" s="48"/>
      <c r="AQ3850" s="48"/>
      <c r="AR3850" s="48"/>
      <c r="AS3850" s="48"/>
      <c r="AT3850" s="48"/>
      <c r="AU3850" s="48"/>
      <c r="AV3850" s="48"/>
      <c r="AW3850" s="48"/>
      <c r="AX3850" s="48"/>
      <c r="AY3850" s="48"/>
      <c r="AZ3850" s="48"/>
      <c r="BA3850" s="48"/>
      <c r="BB3850" s="48"/>
      <c r="BC3850" s="48"/>
      <c r="BD3850" s="48"/>
    </row>
    <row r="3851" spans="1:56">
      <c r="A3851" s="48"/>
      <c r="B3851" s="48"/>
      <c r="C3851" s="49"/>
      <c r="D3851" s="48"/>
      <c r="E3851" s="48"/>
      <c r="F3851" s="48"/>
      <c r="G3851" s="48"/>
      <c r="H3851" s="48"/>
      <c r="I3851" s="48"/>
      <c r="J3851" s="86"/>
      <c r="K3851" s="86"/>
      <c r="L3851" s="86"/>
      <c r="M3851" s="86"/>
      <c r="N3851" s="86"/>
      <c r="O3851" s="86"/>
      <c r="P3851" s="86"/>
      <c r="Q3851" s="86"/>
      <c r="R3851" s="86"/>
      <c r="S3851" s="86"/>
      <c r="T3851" s="86"/>
      <c r="U3851" s="86"/>
      <c r="V3851" s="48"/>
      <c r="W3851" s="48"/>
      <c r="X3851" s="48"/>
      <c r="Y3851" s="48"/>
      <c r="Z3851" s="48"/>
      <c r="AA3851" s="48"/>
      <c r="AB3851" s="48"/>
      <c r="AC3851" s="48"/>
      <c r="AD3851" s="48"/>
      <c r="AE3851" s="48"/>
      <c r="AF3851" s="48"/>
      <c r="AG3851" s="48"/>
      <c r="AH3851" s="48"/>
      <c r="AI3851" s="48"/>
      <c r="AJ3851" s="48"/>
      <c r="AK3851" s="48"/>
      <c r="AL3851" s="48"/>
      <c r="AM3851" s="48"/>
      <c r="AN3851" s="48"/>
      <c r="AO3851" s="48"/>
      <c r="AP3851" s="48"/>
      <c r="AQ3851" s="48"/>
      <c r="AR3851" s="48"/>
      <c r="AS3851" s="48"/>
      <c r="AT3851" s="48"/>
      <c r="AU3851" s="48"/>
      <c r="AV3851" s="48"/>
      <c r="AW3851" s="48"/>
      <c r="AX3851" s="48"/>
      <c r="AY3851" s="48"/>
      <c r="AZ3851" s="48"/>
      <c r="BA3851" s="48"/>
      <c r="BB3851" s="48"/>
      <c r="BC3851" s="48"/>
      <c r="BD3851" s="48"/>
    </row>
    <row r="3852" spans="1:56">
      <c r="A3852" s="48"/>
      <c r="B3852" s="48"/>
      <c r="C3852" s="49"/>
      <c r="D3852" s="48"/>
      <c r="E3852" s="48"/>
      <c r="F3852" s="48"/>
      <c r="G3852" s="48"/>
      <c r="H3852" s="48"/>
      <c r="I3852" s="48"/>
      <c r="J3852" s="86"/>
      <c r="K3852" s="86"/>
      <c r="L3852" s="86"/>
      <c r="M3852" s="86"/>
      <c r="N3852" s="86"/>
      <c r="O3852" s="86"/>
      <c r="P3852" s="86"/>
      <c r="Q3852" s="86"/>
      <c r="R3852" s="86"/>
      <c r="S3852" s="86"/>
      <c r="T3852" s="86"/>
      <c r="U3852" s="86"/>
      <c r="V3852" s="48"/>
      <c r="W3852" s="48"/>
      <c r="X3852" s="48"/>
      <c r="Y3852" s="48"/>
      <c r="Z3852" s="48"/>
      <c r="AA3852" s="48"/>
      <c r="AB3852" s="48"/>
      <c r="AC3852" s="48"/>
      <c r="AD3852" s="48"/>
      <c r="AE3852" s="48"/>
      <c r="AF3852" s="48"/>
      <c r="AG3852" s="48"/>
      <c r="AH3852" s="48"/>
      <c r="AI3852" s="48"/>
      <c r="AJ3852" s="48"/>
      <c r="AK3852" s="48"/>
      <c r="AL3852" s="48"/>
      <c r="AM3852" s="48"/>
      <c r="AN3852" s="48"/>
      <c r="AO3852" s="48"/>
      <c r="AP3852" s="48"/>
      <c r="AQ3852" s="48"/>
      <c r="AR3852" s="48"/>
      <c r="AS3852" s="48"/>
      <c r="AT3852" s="48"/>
      <c r="AU3852" s="48"/>
      <c r="AV3852" s="48"/>
      <c r="AW3852" s="48"/>
      <c r="AX3852" s="48"/>
      <c r="AY3852" s="48"/>
      <c r="AZ3852" s="48"/>
      <c r="BA3852" s="48"/>
      <c r="BB3852" s="48"/>
      <c r="BC3852" s="48"/>
      <c r="BD3852" s="48"/>
    </row>
    <row r="3853" spans="1:56">
      <c r="A3853" s="48"/>
      <c r="B3853" s="48"/>
      <c r="C3853" s="49"/>
      <c r="D3853" s="48"/>
      <c r="E3853" s="48"/>
      <c r="F3853" s="48"/>
      <c r="G3853" s="48"/>
      <c r="H3853" s="48"/>
      <c r="I3853" s="48"/>
      <c r="J3853" s="86"/>
      <c r="K3853" s="86"/>
      <c r="L3853" s="86"/>
      <c r="M3853" s="86"/>
      <c r="N3853" s="86"/>
      <c r="O3853" s="86"/>
      <c r="P3853" s="86"/>
      <c r="Q3853" s="86"/>
      <c r="R3853" s="86"/>
      <c r="S3853" s="86"/>
      <c r="T3853" s="86"/>
      <c r="U3853" s="86"/>
      <c r="V3853" s="48"/>
      <c r="W3853" s="48"/>
      <c r="X3853" s="48"/>
      <c r="Y3853" s="48"/>
      <c r="Z3853" s="48"/>
      <c r="AA3853" s="48"/>
      <c r="AB3853" s="48"/>
      <c r="AC3853" s="48"/>
      <c r="AD3853" s="48"/>
      <c r="AE3853" s="48"/>
      <c r="AF3853" s="48"/>
      <c r="AG3853" s="48"/>
      <c r="AH3853" s="48"/>
      <c r="AI3853" s="48"/>
      <c r="AJ3853" s="48"/>
      <c r="AK3853" s="48"/>
      <c r="AL3853" s="48"/>
      <c r="AM3853" s="48"/>
      <c r="AN3853" s="48"/>
      <c r="AO3853" s="48"/>
      <c r="AP3853" s="48"/>
      <c r="AQ3853" s="48"/>
      <c r="AR3853" s="48"/>
      <c r="AS3853" s="48"/>
      <c r="AT3853" s="48"/>
      <c r="AU3853" s="48"/>
      <c r="AV3853" s="48"/>
      <c r="AW3853" s="48"/>
      <c r="AX3853" s="48"/>
      <c r="AY3853" s="48"/>
      <c r="AZ3853" s="48"/>
      <c r="BA3853" s="48"/>
      <c r="BB3853" s="48"/>
      <c r="BC3853" s="48"/>
      <c r="BD3853" s="48"/>
    </row>
    <row r="3854" spans="1:56">
      <c r="A3854" s="48"/>
      <c r="B3854" s="48"/>
      <c r="C3854" s="49"/>
      <c r="D3854" s="48"/>
      <c r="E3854" s="48"/>
      <c r="F3854" s="48"/>
      <c r="G3854" s="48"/>
      <c r="H3854" s="48"/>
      <c r="I3854" s="48"/>
      <c r="J3854" s="86"/>
      <c r="K3854" s="86"/>
      <c r="L3854" s="86"/>
      <c r="M3854" s="86"/>
      <c r="N3854" s="86"/>
      <c r="O3854" s="86"/>
      <c r="P3854" s="86"/>
      <c r="Q3854" s="86"/>
      <c r="R3854" s="86"/>
      <c r="S3854" s="86"/>
      <c r="T3854" s="86"/>
      <c r="U3854" s="86"/>
      <c r="V3854" s="48"/>
      <c r="W3854" s="48"/>
      <c r="X3854" s="48"/>
      <c r="Y3854" s="48"/>
      <c r="Z3854" s="48"/>
      <c r="AA3854" s="48"/>
      <c r="AB3854" s="48"/>
      <c r="AC3854" s="48"/>
      <c r="AD3854" s="48"/>
      <c r="AE3854" s="48"/>
      <c r="AF3854" s="48"/>
      <c r="AG3854" s="48"/>
      <c r="AH3854" s="48"/>
      <c r="AI3854" s="48"/>
      <c r="AJ3854" s="48"/>
      <c r="AK3854" s="48"/>
      <c r="AL3854" s="48"/>
      <c r="AM3854" s="48"/>
      <c r="AN3854" s="48"/>
      <c r="AO3854" s="48"/>
      <c r="AP3854" s="48"/>
      <c r="AQ3854" s="48"/>
      <c r="AR3854" s="48"/>
      <c r="AS3854" s="48"/>
      <c r="AT3854" s="48"/>
      <c r="AU3854" s="48"/>
      <c r="AV3854" s="48"/>
      <c r="AW3854" s="48"/>
      <c r="AX3854" s="48"/>
      <c r="AY3854" s="48"/>
      <c r="AZ3854" s="48"/>
      <c r="BA3854" s="48"/>
      <c r="BB3854" s="48"/>
      <c r="BC3854" s="48"/>
      <c r="BD3854" s="48"/>
    </row>
    <row r="3855" spans="1:56">
      <c r="A3855" s="48"/>
      <c r="B3855" s="48"/>
      <c r="C3855" s="49"/>
      <c r="D3855" s="48"/>
      <c r="E3855" s="48"/>
      <c r="F3855" s="48"/>
      <c r="G3855" s="48"/>
      <c r="H3855" s="48"/>
      <c r="I3855" s="48"/>
      <c r="J3855" s="86"/>
      <c r="K3855" s="86"/>
      <c r="L3855" s="86"/>
      <c r="M3855" s="86"/>
      <c r="N3855" s="86"/>
      <c r="O3855" s="86"/>
      <c r="P3855" s="86"/>
      <c r="Q3855" s="86"/>
      <c r="R3855" s="86"/>
      <c r="S3855" s="86"/>
      <c r="T3855" s="86"/>
      <c r="U3855" s="86"/>
      <c r="V3855" s="48"/>
      <c r="W3855" s="48"/>
      <c r="X3855" s="48"/>
      <c r="Y3855" s="48"/>
      <c r="Z3855" s="48"/>
      <c r="AA3855" s="48"/>
      <c r="AB3855" s="48"/>
      <c r="AC3855" s="48"/>
      <c r="AD3855" s="48"/>
      <c r="AE3855" s="48"/>
      <c r="AF3855" s="48"/>
      <c r="AG3855" s="48"/>
      <c r="AH3855" s="48"/>
      <c r="AI3855" s="48"/>
      <c r="AJ3855" s="48"/>
      <c r="AK3855" s="48"/>
      <c r="AL3855" s="48"/>
      <c r="AM3855" s="48"/>
      <c r="AN3855" s="48"/>
      <c r="AO3855" s="48"/>
      <c r="AP3855" s="48"/>
      <c r="AQ3855" s="48"/>
      <c r="AR3855" s="48"/>
      <c r="AS3855" s="48"/>
      <c r="AT3855" s="48"/>
      <c r="AU3855" s="48"/>
      <c r="AV3855" s="48"/>
      <c r="AW3855" s="48"/>
      <c r="AX3855" s="48"/>
      <c r="AY3855" s="48"/>
      <c r="AZ3855" s="48"/>
      <c r="BA3855" s="48"/>
      <c r="BB3855" s="48"/>
      <c r="BC3855" s="48"/>
      <c r="BD3855" s="48"/>
    </row>
    <row r="3856" spans="1:56">
      <c r="A3856" s="48"/>
      <c r="B3856" s="48"/>
      <c r="C3856" s="49"/>
      <c r="D3856" s="48"/>
      <c r="E3856" s="48"/>
      <c r="F3856" s="48"/>
      <c r="G3856" s="48"/>
      <c r="H3856" s="48"/>
      <c r="I3856" s="48"/>
      <c r="J3856" s="86"/>
      <c r="K3856" s="86"/>
      <c r="L3856" s="86"/>
      <c r="M3856" s="86"/>
      <c r="N3856" s="86"/>
      <c r="O3856" s="86"/>
      <c r="P3856" s="86"/>
      <c r="Q3856" s="86"/>
      <c r="R3856" s="86"/>
      <c r="S3856" s="86"/>
      <c r="T3856" s="86"/>
      <c r="U3856" s="86"/>
      <c r="V3856" s="48"/>
      <c r="W3856" s="48"/>
      <c r="X3856" s="48"/>
      <c r="Y3856" s="48"/>
      <c r="Z3856" s="48"/>
      <c r="AA3856" s="48"/>
      <c r="AB3856" s="48"/>
      <c r="AC3856" s="48"/>
      <c r="AD3856" s="48"/>
      <c r="AE3856" s="48"/>
      <c r="AF3856" s="48"/>
      <c r="AG3856" s="48"/>
      <c r="AH3856" s="48"/>
      <c r="AI3856" s="48"/>
      <c r="AJ3856" s="48"/>
      <c r="AK3856" s="48"/>
      <c r="AL3856" s="48"/>
      <c r="AM3856" s="48"/>
      <c r="AN3856" s="48"/>
      <c r="AO3856" s="48"/>
      <c r="AP3856" s="48"/>
      <c r="AQ3856" s="48"/>
      <c r="AR3856" s="48"/>
      <c r="AS3856" s="48"/>
      <c r="AT3856" s="48"/>
      <c r="AU3856" s="48"/>
      <c r="AV3856" s="48"/>
      <c r="AW3856" s="48"/>
      <c r="AX3856" s="48"/>
      <c r="AY3856" s="48"/>
      <c r="AZ3856" s="48"/>
      <c r="BA3856" s="48"/>
      <c r="BB3856" s="48"/>
      <c r="BC3856" s="48"/>
      <c r="BD3856" s="48"/>
    </row>
    <row r="3857" spans="1:56">
      <c r="A3857" s="48"/>
      <c r="B3857" s="48"/>
      <c r="C3857" s="49"/>
      <c r="D3857" s="48"/>
      <c r="E3857" s="48"/>
      <c r="F3857" s="48"/>
      <c r="G3857" s="48"/>
      <c r="H3857" s="48"/>
      <c r="I3857" s="48"/>
      <c r="J3857" s="86"/>
      <c r="K3857" s="86"/>
      <c r="L3857" s="86"/>
      <c r="M3857" s="86"/>
      <c r="N3857" s="86"/>
      <c r="O3857" s="86"/>
      <c r="P3857" s="86"/>
      <c r="Q3857" s="86"/>
      <c r="R3857" s="86"/>
      <c r="S3857" s="86"/>
      <c r="T3857" s="86"/>
      <c r="U3857" s="86"/>
      <c r="V3857" s="48"/>
      <c r="W3857" s="48"/>
      <c r="X3857" s="48"/>
      <c r="Y3857" s="48"/>
      <c r="Z3857" s="48"/>
      <c r="AA3857" s="48"/>
      <c r="AB3857" s="48"/>
      <c r="AC3857" s="48"/>
      <c r="AD3857" s="48"/>
      <c r="AE3857" s="48"/>
      <c r="AF3857" s="48"/>
      <c r="AG3857" s="48"/>
      <c r="AH3857" s="48"/>
      <c r="AI3857" s="48"/>
      <c r="AJ3857" s="48"/>
      <c r="AK3857" s="48"/>
      <c r="AL3857" s="48"/>
      <c r="AM3857" s="48"/>
      <c r="AN3857" s="48"/>
      <c r="AO3857" s="48"/>
      <c r="AP3857" s="48"/>
      <c r="AQ3857" s="48"/>
      <c r="AR3857" s="48"/>
      <c r="AS3857" s="48"/>
      <c r="AT3857" s="48"/>
      <c r="AU3857" s="48"/>
      <c r="AV3857" s="48"/>
      <c r="AW3857" s="48"/>
      <c r="AX3857" s="48"/>
      <c r="AY3857" s="48"/>
      <c r="AZ3857" s="48"/>
      <c r="BA3857" s="48"/>
      <c r="BB3857" s="48"/>
      <c r="BC3857" s="48"/>
      <c r="BD3857" s="48"/>
    </row>
    <row r="3858" spans="1:56">
      <c r="A3858" s="48"/>
      <c r="B3858" s="48"/>
      <c r="C3858" s="49"/>
      <c r="D3858" s="48"/>
      <c r="E3858" s="48"/>
      <c r="F3858" s="48"/>
      <c r="G3858" s="48"/>
      <c r="H3858" s="48"/>
      <c r="I3858" s="48"/>
      <c r="J3858" s="86"/>
      <c r="K3858" s="86"/>
      <c r="L3858" s="86"/>
      <c r="M3858" s="86"/>
      <c r="N3858" s="86"/>
      <c r="O3858" s="86"/>
      <c r="P3858" s="86"/>
      <c r="Q3858" s="86"/>
      <c r="R3858" s="86"/>
      <c r="S3858" s="86"/>
      <c r="T3858" s="86"/>
      <c r="U3858" s="86"/>
      <c r="V3858" s="48"/>
      <c r="W3858" s="48"/>
      <c r="X3858" s="48"/>
      <c r="Y3858" s="48"/>
      <c r="Z3858" s="48"/>
      <c r="AA3858" s="48"/>
      <c r="AB3858" s="48"/>
      <c r="AC3858" s="48"/>
      <c r="AD3858" s="48"/>
      <c r="AE3858" s="48"/>
      <c r="AF3858" s="48"/>
      <c r="AG3858" s="48"/>
      <c r="AH3858" s="48"/>
      <c r="AI3858" s="48"/>
      <c r="AJ3858" s="48"/>
      <c r="AK3858" s="48"/>
      <c r="AL3858" s="48"/>
      <c r="AM3858" s="48"/>
      <c r="AN3858" s="48"/>
      <c r="AO3858" s="48"/>
      <c r="AP3858" s="48"/>
      <c r="AQ3858" s="48"/>
      <c r="AR3858" s="48"/>
      <c r="AS3858" s="48"/>
      <c r="AT3858" s="48"/>
      <c r="AU3858" s="48"/>
      <c r="AV3858" s="48"/>
      <c r="AW3858" s="48"/>
      <c r="AX3858" s="48"/>
      <c r="AY3858" s="48"/>
      <c r="AZ3858" s="48"/>
      <c r="BA3858" s="48"/>
      <c r="BB3858" s="48"/>
      <c r="BC3858" s="48"/>
      <c r="BD3858" s="48"/>
    </row>
    <row r="3859" spans="1:56">
      <c r="A3859" s="48"/>
      <c r="B3859" s="48"/>
      <c r="C3859" s="49"/>
      <c r="D3859" s="48"/>
      <c r="E3859" s="48"/>
      <c r="F3859" s="48"/>
      <c r="G3859" s="48"/>
      <c r="H3859" s="48"/>
      <c r="I3859" s="48"/>
      <c r="J3859" s="86"/>
      <c r="K3859" s="86"/>
      <c r="L3859" s="86"/>
      <c r="M3859" s="86"/>
      <c r="N3859" s="86"/>
      <c r="O3859" s="86"/>
      <c r="P3859" s="86"/>
      <c r="Q3859" s="86"/>
      <c r="R3859" s="86"/>
      <c r="S3859" s="86"/>
      <c r="T3859" s="86"/>
      <c r="U3859" s="86"/>
      <c r="V3859" s="48"/>
      <c r="W3859" s="48"/>
      <c r="X3859" s="48"/>
      <c r="Y3859" s="48"/>
      <c r="Z3859" s="48"/>
      <c r="AA3859" s="48"/>
      <c r="AB3859" s="48"/>
      <c r="AC3859" s="48"/>
      <c r="AD3859" s="48"/>
      <c r="AE3859" s="48"/>
      <c r="AF3859" s="48"/>
      <c r="AG3859" s="48"/>
      <c r="AH3859" s="48"/>
      <c r="AI3859" s="48"/>
      <c r="AJ3859" s="48"/>
      <c r="AK3859" s="48"/>
      <c r="AL3859" s="48"/>
      <c r="AM3859" s="48"/>
      <c r="AN3859" s="48"/>
      <c r="AO3859" s="48"/>
      <c r="AP3859" s="48"/>
      <c r="AQ3859" s="48"/>
      <c r="AR3859" s="48"/>
      <c r="AS3859" s="48"/>
      <c r="AT3859" s="48"/>
      <c r="AU3859" s="48"/>
      <c r="AV3859" s="48"/>
      <c r="AW3859" s="48"/>
      <c r="AX3859" s="48"/>
      <c r="AY3859" s="48"/>
      <c r="AZ3859" s="48"/>
      <c r="BA3859" s="48"/>
      <c r="BB3859" s="48"/>
      <c r="BC3859" s="48"/>
      <c r="BD3859" s="48"/>
    </row>
    <row r="3860" spans="1:56">
      <c r="A3860" s="48"/>
      <c r="B3860" s="48"/>
      <c r="C3860" s="49"/>
      <c r="D3860" s="48"/>
      <c r="E3860" s="48"/>
      <c r="F3860" s="48"/>
      <c r="G3860" s="48"/>
      <c r="H3860" s="48"/>
      <c r="I3860" s="48"/>
      <c r="J3860" s="86"/>
      <c r="K3860" s="86"/>
      <c r="L3860" s="86"/>
      <c r="M3860" s="86"/>
      <c r="N3860" s="86"/>
      <c r="O3860" s="86"/>
      <c r="P3860" s="86"/>
      <c r="Q3860" s="86"/>
      <c r="R3860" s="86"/>
      <c r="S3860" s="86"/>
      <c r="T3860" s="86"/>
      <c r="U3860" s="86"/>
      <c r="V3860" s="48"/>
      <c r="W3860" s="48"/>
      <c r="X3860" s="48"/>
      <c r="Y3860" s="48"/>
      <c r="Z3860" s="48"/>
      <c r="AA3860" s="48"/>
      <c r="AB3860" s="48"/>
      <c r="AC3860" s="48"/>
      <c r="AD3860" s="48"/>
      <c r="AE3860" s="48"/>
      <c r="AF3860" s="48"/>
      <c r="AG3860" s="48"/>
      <c r="AH3860" s="48"/>
      <c r="AI3860" s="48"/>
      <c r="AJ3860" s="48"/>
      <c r="AK3860" s="48"/>
      <c r="AL3860" s="48"/>
      <c r="AM3860" s="48"/>
      <c r="AN3860" s="48"/>
      <c r="AO3860" s="48"/>
      <c r="AP3860" s="48"/>
      <c r="AQ3860" s="48"/>
      <c r="AR3860" s="48"/>
      <c r="AS3860" s="48"/>
      <c r="AT3860" s="48"/>
      <c r="AU3860" s="48"/>
      <c r="AV3860" s="48"/>
      <c r="AW3860" s="48"/>
      <c r="AX3860" s="48"/>
      <c r="AY3860" s="48"/>
      <c r="AZ3860" s="48"/>
      <c r="BA3860" s="48"/>
      <c r="BB3860" s="48"/>
      <c r="BC3860" s="48"/>
      <c r="BD3860" s="48"/>
    </row>
    <row r="3861" spans="1:56">
      <c r="A3861" s="48"/>
      <c r="B3861" s="48"/>
      <c r="C3861" s="49"/>
      <c r="D3861" s="48"/>
      <c r="E3861" s="48"/>
      <c r="F3861" s="48"/>
      <c r="G3861" s="48"/>
      <c r="H3861" s="48"/>
      <c r="I3861" s="48"/>
      <c r="J3861" s="86"/>
      <c r="K3861" s="86"/>
      <c r="L3861" s="86"/>
      <c r="M3861" s="86"/>
      <c r="N3861" s="86"/>
      <c r="O3861" s="86"/>
      <c r="P3861" s="86"/>
      <c r="Q3861" s="86"/>
      <c r="R3861" s="86"/>
      <c r="S3861" s="86"/>
      <c r="T3861" s="86"/>
      <c r="U3861" s="86"/>
      <c r="V3861" s="48"/>
      <c r="W3861" s="48"/>
      <c r="X3861" s="48"/>
      <c r="Y3861" s="48"/>
      <c r="Z3861" s="48"/>
      <c r="AA3861" s="48"/>
      <c r="AB3861" s="48"/>
      <c r="AC3861" s="48"/>
      <c r="AD3861" s="48"/>
      <c r="AE3861" s="48"/>
      <c r="AF3861" s="48"/>
      <c r="AG3861" s="48"/>
      <c r="AH3861" s="48"/>
      <c r="AI3861" s="48"/>
      <c r="AJ3861" s="48"/>
      <c r="AK3861" s="48"/>
      <c r="AL3861" s="48"/>
      <c r="AM3861" s="48"/>
      <c r="AN3861" s="48"/>
      <c r="AO3861" s="48"/>
      <c r="AP3861" s="48"/>
      <c r="AQ3861" s="48"/>
      <c r="AR3861" s="48"/>
      <c r="AS3861" s="48"/>
      <c r="AT3861" s="48"/>
      <c r="AU3861" s="48"/>
      <c r="AV3861" s="48"/>
      <c r="AW3861" s="48"/>
      <c r="AX3861" s="48"/>
      <c r="AY3861" s="48"/>
      <c r="AZ3861" s="48"/>
      <c r="BA3861" s="48"/>
      <c r="BB3861" s="48"/>
      <c r="BC3861" s="48"/>
      <c r="BD3861" s="48"/>
    </row>
    <row r="3862" spans="1:56">
      <c r="A3862" s="48"/>
      <c r="B3862" s="48"/>
      <c r="C3862" s="49"/>
      <c r="D3862" s="48"/>
      <c r="E3862" s="48"/>
      <c r="F3862" s="48"/>
      <c r="G3862" s="48"/>
      <c r="H3862" s="48"/>
      <c r="I3862" s="48"/>
      <c r="J3862" s="86"/>
      <c r="K3862" s="86"/>
      <c r="L3862" s="86"/>
      <c r="M3862" s="86"/>
      <c r="N3862" s="86"/>
      <c r="O3862" s="86"/>
      <c r="P3862" s="86"/>
      <c r="Q3862" s="86"/>
      <c r="R3862" s="86"/>
      <c r="S3862" s="86"/>
      <c r="T3862" s="86"/>
      <c r="U3862" s="86"/>
      <c r="V3862" s="48"/>
      <c r="W3862" s="48"/>
      <c r="X3862" s="48"/>
      <c r="Y3862" s="48"/>
      <c r="Z3862" s="48"/>
      <c r="AA3862" s="48"/>
      <c r="AB3862" s="48"/>
      <c r="AC3862" s="48"/>
      <c r="AD3862" s="48"/>
      <c r="AE3862" s="48"/>
      <c r="AF3862" s="48"/>
      <c r="AG3862" s="48"/>
      <c r="AH3862" s="48"/>
      <c r="AI3862" s="48"/>
      <c r="AJ3862" s="48"/>
      <c r="AK3862" s="48"/>
      <c r="AL3862" s="48"/>
      <c r="AM3862" s="48"/>
      <c r="AN3862" s="48"/>
      <c r="AO3862" s="48"/>
      <c r="AP3862" s="48"/>
      <c r="AQ3862" s="48"/>
      <c r="AR3862" s="48"/>
      <c r="AS3862" s="48"/>
      <c r="AT3862" s="48"/>
      <c r="AU3862" s="48"/>
      <c r="AV3862" s="48"/>
      <c r="AW3862" s="48"/>
      <c r="AX3862" s="48"/>
      <c r="AY3862" s="48"/>
      <c r="AZ3862" s="48"/>
      <c r="BA3862" s="48"/>
      <c r="BB3862" s="48"/>
      <c r="BC3862" s="48"/>
      <c r="BD3862" s="48"/>
    </row>
    <row r="3863" spans="1:56">
      <c r="A3863" s="48"/>
      <c r="B3863" s="48"/>
      <c r="C3863" s="49"/>
      <c r="D3863" s="48"/>
      <c r="E3863" s="48"/>
      <c r="F3863" s="48"/>
      <c r="G3863" s="48"/>
      <c r="H3863" s="48"/>
      <c r="I3863" s="48"/>
      <c r="J3863" s="86"/>
      <c r="K3863" s="86"/>
      <c r="L3863" s="86"/>
      <c r="M3863" s="86"/>
      <c r="N3863" s="86"/>
      <c r="O3863" s="86"/>
      <c r="P3863" s="86"/>
      <c r="Q3863" s="86"/>
      <c r="R3863" s="86"/>
      <c r="S3863" s="86"/>
      <c r="T3863" s="86"/>
      <c r="U3863" s="86"/>
      <c r="V3863" s="48"/>
      <c r="W3863" s="48"/>
      <c r="X3863" s="48"/>
      <c r="Y3863" s="48"/>
      <c r="Z3863" s="48"/>
      <c r="AA3863" s="48"/>
      <c r="AB3863" s="48"/>
      <c r="AC3863" s="48"/>
      <c r="AD3863" s="48"/>
      <c r="AE3863" s="48"/>
      <c r="AF3863" s="48"/>
      <c r="AG3863" s="48"/>
      <c r="AH3863" s="48"/>
      <c r="AI3863" s="48"/>
      <c r="AJ3863" s="48"/>
      <c r="AK3863" s="48"/>
      <c r="AL3863" s="48"/>
      <c r="AM3863" s="48"/>
      <c r="AN3863" s="48"/>
      <c r="AO3863" s="48"/>
      <c r="AP3863" s="48"/>
      <c r="AQ3863" s="48"/>
      <c r="AR3863" s="48"/>
      <c r="AS3863" s="48"/>
      <c r="AT3863" s="48"/>
      <c r="AU3863" s="48"/>
      <c r="AV3863" s="48"/>
      <c r="AW3863" s="48"/>
      <c r="AX3863" s="48"/>
      <c r="AY3863" s="48"/>
      <c r="AZ3863" s="48"/>
      <c r="BA3863" s="48"/>
      <c r="BB3863" s="48"/>
      <c r="BC3863" s="48"/>
      <c r="BD3863" s="48"/>
    </row>
    <row r="3864" spans="1:56">
      <c r="A3864" s="48"/>
      <c r="B3864" s="48"/>
      <c r="C3864" s="49"/>
      <c r="D3864" s="48"/>
      <c r="E3864" s="48"/>
      <c r="F3864" s="48"/>
      <c r="G3864" s="48"/>
      <c r="H3864" s="48"/>
      <c r="I3864" s="48"/>
      <c r="J3864" s="86"/>
      <c r="K3864" s="86"/>
      <c r="L3864" s="86"/>
      <c r="M3864" s="86"/>
      <c r="N3864" s="86"/>
      <c r="O3864" s="86"/>
      <c r="P3864" s="86"/>
      <c r="Q3864" s="86"/>
      <c r="R3864" s="86"/>
      <c r="S3864" s="86"/>
      <c r="T3864" s="86"/>
      <c r="U3864" s="86"/>
      <c r="V3864" s="48"/>
      <c r="W3864" s="48"/>
      <c r="X3864" s="48"/>
      <c r="Y3864" s="48"/>
      <c r="Z3864" s="48"/>
      <c r="AA3864" s="48"/>
      <c r="AB3864" s="48"/>
      <c r="AC3864" s="48"/>
      <c r="AD3864" s="48"/>
      <c r="AE3864" s="48"/>
      <c r="AF3864" s="48"/>
      <c r="AG3864" s="48"/>
      <c r="AH3864" s="48"/>
      <c r="AI3864" s="48"/>
      <c r="AJ3864" s="48"/>
      <c r="AK3864" s="48"/>
      <c r="AL3864" s="48"/>
      <c r="AM3864" s="48"/>
      <c r="AN3864" s="48"/>
      <c r="AO3864" s="48"/>
      <c r="AP3864" s="48"/>
      <c r="AQ3864" s="48"/>
      <c r="AR3864" s="48"/>
      <c r="AS3864" s="48"/>
      <c r="AT3864" s="48"/>
      <c r="AU3864" s="48"/>
      <c r="AV3864" s="48"/>
      <c r="AW3864" s="48"/>
      <c r="AX3864" s="48"/>
      <c r="AY3864" s="48"/>
      <c r="AZ3864" s="48"/>
      <c r="BA3864" s="48"/>
      <c r="BB3864" s="48"/>
      <c r="BC3864" s="48"/>
      <c r="BD3864" s="48"/>
    </row>
    <row r="3865" spans="1:56">
      <c r="A3865" s="48"/>
      <c r="B3865" s="48"/>
      <c r="C3865" s="49"/>
      <c r="D3865" s="48"/>
      <c r="E3865" s="48"/>
      <c r="F3865" s="48"/>
      <c r="G3865" s="48"/>
      <c r="H3865" s="48"/>
      <c r="I3865" s="48"/>
      <c r="J3865" s="86"/>
      <c r="K3865" s="86"/>
      <c r="L3865" s="86"/>
      <c r="M3865" s="86"/>
      <c r="N3865" s="86"/>
      <c r="O3865" s="86"/>
      <c r="P3865" s="86"/>
      <c r="Q3865" s="86"/>
      <c r="R3865" s="86"/>
      <c r="S3865" s="86"/>
      <c r="T3865" s="86"/>
      <c r="U3865" s="86"/>
      <c r="V3865" s="48"/>
      <c r="W3865" s="48"/>
      <c r="X3865" s="48"/>
      <c r="Y3865" s="48"/>
      <c r="Z3865" s="48"/>
      <c r="AA3865" s="48"/>
      <c r="AB3865" s="48"/>
      <c r="AC3865" s="48"/>
      <c r="AD3865" s="48"/>
      <c r="AE3865" s="48"/>
      <c r="AF3865" s="48"/>
      <c r="AG3865" s="48"/>
      <c r="AH3865" s="48"/>
      <c r="AI3865" s="48"/>
      <c r="AJ3865" s="48"/>
      <c r="AK3865" s="48"/>
      <c r="AL3865" s="48"/>
      <c r="AM3865" s="48"/>
      <c r="AN3865" s="48"/>
      <c r="AO3865" s="48"/>
      <c r="AP3865" s="48"/>
      <c r="AQ3865" s="48"/>
      <c r="AR3865" s="48"/>
      <c r="AS3865" s="48"/>
      <c r="AT3865" s="48"/>
      <c r="AU3865" s="48"/>
      <c r="AV3865" s="48"/>
      <c r="AW3865" s="48"/>
      <c r="AX3865" s="48"/>
      <c r="AY3865" s="48"/>
      <c r="AZ3865" s="48"/>
      <c r="BA3865" s="48"/>
      <c r="BB3865" s="48"/>
      <c r="BC3865" s="48"/>
      <c r="BD3865" s="48"/>
    </row>
    <row r="3866" spans="1:56">
      <c r="A3866" s="48"/>
      <c r="B3866" s="48"/>
      <c r="C3866" s="49"/>
      <c r="D3866" s="48"/>
      <c r="E3866" s="48"/>
      <c r="F3866" s="48"/>
      <c r="G3866" s="48"/>
      <c r="H3866" s="48"/>
      <c r="I3866" s="48"/>
      <c r="J3866" s="86"/>
      <c r="K3866" s="86"/>
      <c r="L3866" s="86"/>
      <c r="M3866" s="86"/>
      <c r="N3866" s="86"/>
      <c r="O3866" s="86"/>
      <c r="P3866" s="86"/>
      <c r="Q3866" s="86"/>
      <c r="R3866" s="86"/>
      <c r="S3866" s="86"/>
      <c r="T3866" s="86"/>
      <c r="U3866" s="86"/>
      <c r="V3866" s="48"/>
      <c r="W3866" s="48"/>
      <c r="X3866" s="48"/>
      <c r="Y3866" s="48"/>
      <c r="Z3866" s="48"/>
      <c r="AA3866" s="48"/>
      <c r="AB3866" s="48"/>
      <c r="AC3866" s="48"/>
      <c r="AD3866" s="48"/>
      <c r="AE3866" s="48"/>
      <c r="AF3866" s="48"/>
      <c r="AG3866" s="48"/>
      <c r="AH3866" s="48"/>
      <c r="AI3866" s="48"/>
      <c r="AJ3866" s="48"/>
      <c r="AK3866" s="48"/>
      <c r="AL3866" s="48"/>
      <c r="AM3866" s="48"/>
      <c r="AN3866" s="48"/>
      <c r="AO3866" s="48"/>
      <c r="AP3866" s="48"/>
      <c r="AQ3866" s="48"/>
      <c r="AR3866" s="48"/>
      <c r="AS3866" s="48"/>
      <c r="AT3866" s="48"/>
      <c r="AU3866" s="48"/>
      <c r="AV3866" s="48"/>
      <c r="AW3866" s="48"/>
      <c r="AX3866" s="48"/>
      <c r="AY3866" s="48"/>
      <c r="AZ3866" s="48"/>
      <c r="BA3866" s="48"/>
      <c r="BB3866" s="48"/>
      <c r="BC3866" s="48"/>
      <c r="BD3866" s="48"/>
    </row>
    <row r="3867" spans="1:56">
      <c r="A3867" s="48"/>
      <c r="B3867" s="48"/>
      <c r="C3867" s="49"/>
      <c r="D3867" s="48"/>
      <c r="E3867" s="48"/>
      <c r="F3867" s="48"/>
      <c r="G3867" s="48"/>
      <c r="H3867" s="48"/>
      <c r="I3867" s="48"/>
      <c r="J3867" s="86"/>
      <c r="K3867" s="86"/>
      <c r="L3867" s="86"/>
      <c r="M3867" s="86"/>
      <c r="N3867" s="86"/>
      <c r="O3867" s="86"/>
      <c r="P3867" s="86"/>
      <c r="Q3867" s="86"/>
      <c r="R3867" s="86"/>
      <c r="S3867" s="86"/>
      <c r="T3867" s="86"/>
      <c r="U3867" s="86"/>
      <c r="V3867" s="48"/>
      <c r="W3867" s="48"/>
      <c r="X3867" s="48"/>
      <c r="Y3867" s="48"/>
      <c r="Z3867" s="48"/>
      <c r="AA3867" s="48"/>
      <c r="AB3867" s="48"/>
      <c r="AC3867" s="48"/>
      <c r="AD3867" s="48"/>
      <c r="AE3867" s="48"/>
      <c r="AF3867" s="48"/>
      <c r="AG3867" s="48"/>
      <c r="AH3867" s="48"/>
      <c r="AI3867" s="48"/>
      <c r="AJ3867" s="48"/>
      <c r="AK3867" s="48"/>
      <c r="AL3867" s="48"/>
      <c r="AM3867" s="48"/>
      <c r="AN3867" s="48"/>
      <c r="AO3867" s="48"/>
      <c r="AP3867" s="48"/>
      <c r="AQ3867" s="48"/>
      <c r="AR3867" s="48"/>
      <c r="AS3867" s="48"/>
      <c r="AT3867" s="48"/>
      <c r="AU3867" s="48"/>
      <c r="AV3867" s="48"/>
      <c r="AW3867" s="48"/>
      <c r="AX3867" s="48"/>
      <c r="AY3867" s="48"/>
      <c r="AZ3867" s="48"/>
      <c r="BA3867" s="48"/>
      <c r="BB3867" s="48"/>
      <c r="BC3867" s="48"/>
      <c r="BD3867" s="48"/>
    </row>
    <row r="3868" spans="1:56">
      <c r="A3868" s="48"/>
      <c r="B3868" s="48"/>
      <c r="C3868" s="49"/>
      <c r="D3868" s="48"/>
      <c r="E3868" s="48"/>
      <c r="F3868" s="48"/>
      <c r="G3868" s="48"/>
      <c r="H3868" s="48"/>
      <c r="I3868" s="48"/>
      <c r="J3868" s="86"/>
      <c r="K3868" s="86"/>
      <c r="L3868" s="86"/>
      <c r="M3868" s="86"/>
      <c r="N3868" s="86"/>
      <c r="O3868" s="86"/>
      <c r="P3868" s="86"/>
      <c r="Q3868" s="86"/>
      <c r="R3868" s="86"/>
      <c r="S3868" s="86"/>
      <c r="T3868" s="86"/>
      <c r="U3868" s="86"/>
      <c r="V3868" s="48"/>
      <c r="W3868" s="48"/>
      <c r="X3868" s="48"/>
      <c r="Y3868" s="48"/>
      <c r="Z3868" s="48"/>
      <c r="AA3868" s="48"/>
      <c r="AB3868" s="48"/>
      <c r="AC3868" s="48"/>
      <c r="AD3868" s="48"/>
      <c r="AE3868" s="48"/>
      <c r="AF3868" s="48"/>
      <c r="AG3868" s="48"/>
      <c r="AH3868" s="48"/>
      <c r="AI3868" s="48"/>
      <c r="AJ3868" s="48"/>
      <c r="AK3868" s="48"/>
      <c r="AL3868" s="48"/>
      <c r="AM3868" s="48"/>
      <c r="AN3868" s="48"/>
      <c r="AO3868" s="48"/>
      <c r="AP3868" s="48"/>
      <c r="AQ3868" s="48"/>
      <c r="AR3868" s="48"/>
      <c r="AS3868" s="48"/>
      <c r="AT3868" s="48"/>
      <c r="AU3868" s="48"/>
      <c r="AV3868" s="48"/>
      <c r="AW3868" s="48"/>
      <c r="AX3868" s="48"/>
      <c r="AY3868" s="48"/>
      <c r="AZ3868" s="48"/>
      <c r="BA3868" s="48"/>
      <c r="BB3868" s="48"/>
      <c r="BC3868" s="48"/>
      <c r="BD3868" s="48"/>
    </row>
    <row r="3869" spans="1:56">
      <c r="A3869" s="48"/>
      <c r="B3869" s="48"/>
      <c r="C3869" s="49"/>
      <c r="D3869" s="48"/>
      <c r="E3869" s="48"/>
      <c r="F3869" s="48"/>
      <c r="G3869" s="48"/>
      <c r="H3869" s="48"/>
      <c r="I3869" s="48"/>
      <c r="J3869" s="86"/>
      <c r="K3869" s="86"/>
      <c r="L3869" s="86"/>
      <c r="M3869" s="86"/>
      <c r="N3869" s="86"/>
      <c r="O3869" s="86"/>
      <c r="P3869" s="86"/>
      <c r="Q3869" s="86"/>
      <c r="R3869" s="86"/>
      <c r="S3869" s="86"/>
      <c r="T3869" s="86"/>
      <c r="U3869" s="86"/>
      <c r="V3869" s="48"/>
      <c r="W3869" s="48"/>
      <c r="X3869" s="48"/>
      <c r="Y3869" s="48"/>
      <c r="Z3869" s="48"/>
      <c r="AA3869" s="48"/>
      <c r="AB3869" s="48"/>
      <c r="AC3869" s="48"/>
      <c r="AD3869" s="48"/>
      <c r="AE3869" s="48"/>
      <c r="AF3869" s="48"/>
      <c r="AG3869" s="48"/>
      <c r="AH3869" s="48"/>
      <c r="AI3869" s="48"/>
      <c r="AJ3869" s="48"/>
      <c r="AK3869" s="48"/>
      <c r="AL3869" s="48"/>
      <c r="AM3869" s="48"/>
      <c r="AN3869" s="48"/>
      <c r="AO3869" s="48"/>
      <c r="AP3869" s="48"/>
      <c r="AQ3869" s="48"/>
      <c r="AR3869" s="48"/>
      <c r="AS3869" s="48"/>
      <c r="AT3869" s="48"/>
      <c r="AU3869" s="48"/>
      <c r="AV3869" s="48"/>
      <c r="AW3869" s="48"/>
      <c r="AX3869" s="48"/>
      <c r="AY3869" s="48"/>
      <c r="AZ3869" s="48"/>
      <c r="BA3869" s="48"/>
      <c r="BB3869" s="48"/>
      <c r="BC3869" s="48"/>
      <c r="BD3869" s="48"/>
    </row>
    <row r="3870" spans="1:56">
      <c r="A3870" s="48"/>
      <c r="B3870" s="48"/>
      <c r="C3870" s="49"/>
      <c r="D3870" s="48"/>
      <c r="E3870" s="48"/>
      <c r="F3870" s="48"/>
      <c r="G3870" s="48"/>
      <c r="H3870" s="48"/>
      <c r="I3870" s="48"/>
      <c r="J3870" s="86"/>
      <c r="K3870" s="86"/>
      <c r="L3870" s="86"/>
      <c r="M3870" s="86"/>
      <c r="N3870" s="86"/>
      <c r="O3870" s="86"/>
      <c r="P3870" s="86"/>
      <c r="Q3870" s="86"/>
      <c r="R3870" s="86"/>
      <c r="S3870" s="86"/>
      <c r="T3870" s="86"/>
      <c r="U3870" s="86"/>
      <c r="V3870" s="48"/>
      <c r="W3870" s="48"/>
      <c r="X3870" s="48"/>
      <c r="Y3870" s="48"/>
      <c r="Z3870" s="48"/>
      <c r="AA3870" s="48"/>
      <c r="AB3870" s="48"/>
      <c r="AC3870" s="48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48"/>
      <c r="AO3870" s="48"/>
      <c r="AP3870" s="48"/>
      <c r="AQ3870" s="48"/>
      <c r="AR3870" s="48"/>
      <c r="AS3870" s="48"/>
      <c r="AT3870" s="48"/>
      <c r="AU3870" s="48"/>
      <c r="AV3870" s="48"/>
      <c r="AW3870" s="48"/>
      <c r="AX3870" s="48"/>
      <c r="AY3870" s="48"/>
      <c r="AZ3870" s="48"/>
      <c r="BA3870" s="48"/>
      <c r="BB3870" s="48"/>
      <c r="BC3870" s="48"/>
      <c r="BD3870" s="48"/>
    </row>
    <row r="3871" spans="1:56">
      <c r="A3871" s="48"/>
      <c r="B3871" s="48"/>
      <c r="C3871" s="49"/>
      <c r="D3871" s="48"/>
      <c r="E3871" s="48"/>
      <c r="F3871" s="48"/>
      <c r="G3871" s="48"/>
      <c r="H3871" s="48"/>
      <c r="I3871" s="48"/>
      <c r="J3871" s="86"/>
      <c r="K3871" s="86"/>
      <c r="L3871" s="86"/>
      <c r="M3871" s="86"/>
      <c r="N3871" s="86"/>
      <c r="O3871" s="86"/>
      <c r="P3871" s="86"/>
      <c r="Q3871" s="86"/>
      <c r="R3871" s="86"/>
      <c r="S3871" s="86"/>
      <c r="T3871" s="86"/>
      <c r="U3871" s="86"/>
      <c r="V3871" s="48"/>
      <c r="W3871" s="48"/>
      <c r="X3871" s="48"/>
      <c r="Y3871" s="48"/>
      <c r="Z3871" s="48"/>
      <c r="AA3871" s="48"/>
      <c r="AB3871" s="48"/>
      <c r="AC3871" s="48"/>
      <c r="AD3871" s="48"/>
      <c r="AE3871" s="48"/>
      <c r="AF3871" s="48"/>
      <c r="AG3871" s="48"/>
      <c r="AH3871" s="48"/>
      <c r="AI3871" s="48"/>
      <c r="AJ3871" s="48"/>
      <c r="AK3871" s="48"/>
      <c r="AL3871" s="48"/>
      <c r="AM3871" s="48"/>
      <c r="AN3871" s="48"/>
      <c r="AO3871" s="48"/>
      <c r="AP3871" s="48"/>
      <c r="AQ3871" s="48"/>
      <c r="AR3871" s="48"/>
      <c r="AS3871" s="48"/>
      <c r="AT3871" s="48"/>
      <c r="AU3871" s="48"/>
      <c r="AV3871" s="48"/>
      <c r="AW3871" s="48"/>
      <c r="AX3871" s="48"/>
      <c r="AY3871" s="48"/>
      <c r="AZ3871" s="48"/>
      <c r="BA3871" s="48"/>
      <c r="BB3871" s="48"/>
      <c r="BC3871" s="48"/>
      <c r="BD3871" s="48"/>
    </row>
    <row r="3872" spans="1:56">
      <c r="A3872" s="48"/>
      <c r="B3872" s="48"/>
      <c r="C3872" s="49"/>
      <c r="D3872" s="48"/>
      <c r="E3872" s="48"/>
      <c r="F3872" s="48"/>
      <c r="G3872" s="48"/>
      <c r="H3872" s="48"/>
      <c r="I3872" s="48"/>
      <c r="J3872" s="86"/>
      <c r="K3872" s="86"/>
      <c r="L3872" s="86"/>
      <c r="M3872" s="86"/>
      <c r="N3872" s="86"/>
      <c r="O3872" s="86"/>
      <c r="P3872" s="86"/>
      <c r="Q3872" s="86"/>
      <c r="R3872" s="86"/>
      <c r="S3872" s="86"/>
      <c r="T3872" s="86"/>
      <c r="U3872" s="86"/>
      <c r="V3872" s="48"/>
      <c r="W3872" s="48"/>
      <c r="X3872" s="48"/>
      <c r="Y3872" s="48"/>
      <c r="Z3872" s="48"/>
      <c r="AA3872" s="48"/>
      <c r="AB3872" s="48"/>
      <c r="AC3872" s="48"/>
      <c r="AD3872" s="48"/>
      <c r="AE3872" s="48"/>
      <c r="AF3872" s="48"/>
      <c r="AG3872" s="48"/>
      <c r="AH3872" s="48"/>
      <c r="AI3872" s="48"/>
      <c r="AJ3872" s="48"/>
      <c r="AK3872" s="48"/>
      <c r="AL3872" s="48"/>
      <c r="AM3872" s="48"/>
      <c r="AN3872" s="48"/>
      <c r="AO3872" s="48"/>
      <c r="AP3872" s="48"/>
      <c r="AQ3872" s="48"/>
      <c r="AR3872" s="48"/>
      <c r="AS3872" s="48"/>
      <c r="AT3872" s="48"/>
      <c r="AU3872" s="48"/>
      <c r="AV3872" s="48"/>
      <c r="AW3872" s="48"/>
      <c r="AX3872" s="48"/>
      <c r="AY3872" s="48"/>
      <c r="AZ3872" s="48"/>
      <c r="BA3872" s="48"/>
      <c r="BB3872" s="48"/>
      <c r="BC3872" s="48"/>
      <c r="BD3872" s="48"/>
    </row>
    <row r="3873" spans="1:56">
      <c r="A3873" s="48"/>
      <c r="B3873" s="48"/>
      <c r="C3873" s="49"/>
      <c r="D3873" s="48"/>
      <c r="E3873" s="48"/>
      <c r="F3873" s="48"/>
      <c r="G3873" s="48"/>
      <c r="H3873" s="48"/>
      <c r="I3873" s="48"/>
      <c r="J3873" s="86"/>
      <c r="K3873" s="86"/>
      <c r="L3873" s="86"/>
      <c r="M3873" s="86"/>
      <c r="N3873" s="86"/>
      <c r="O3873" s="86"/>
      <c r="P3873" s="86"/>
      <c r="Q3873" s="86"/>
      <c r="R3873" s="86"/>
      <c r="S3873" s="86"/>
      <c r="T3873" s="86"/>
      <c r="U3873" s="86"/>
      <c r="V3873" s="48"/>
      <c r="W3873" s="48"/>
      <c r="X3873" s="48"/>
      <c r="Y3873" s="48"/>
      <c r="Z3873" s="48"/>
      <c r="AA3873" s="48"/>
      <c r="AB3873" s="48"/>
      <c r="AC3873" s="48"/>
      <c r="AD3873" s="48"/>
      <c r="AE3873" s="48"/>
      <c r="AF3873" s="48"/>
      <c r="AG3873" s="48"/>
      <c r="AH3873" s="48"/>
      <c r="AI3873" s="48"/>
      <c r="AJ3873" s="48"/>
      <c r="AK3873" s="48"/>
      <c r="AL3873" s="48"/>
      <c r="AM3873" s="48"/>
      <c r="AN3873" s="48"/>
      <c r="AO3873" s="48"/>
      <c r="AP3873" s="48"/>
      <c r="AQ3873" s="48"/>
      <c r="AR3873" s="48"/>
      <c r="AS3873" s="48"/>
      <c r="AT3873" s="48"/>
      <c r="AU3873" s="48"/>
      <c r="AV3873" s="48"/>
      <c r="AW3873" s="48"/>
      <c r="AX3873" s="48"/>
      <c r="AY3873" s="48"/>
      <c r="AZ3873" s="48"/>
      <c r="BA3873" s="48"/>
      <c r="BB3873" s="48"/>
      <c r="BC3873" s="48"/>
      <c r="BD3873" s="48"/>
    </row>
    <row r="3874" spans="1:56">
      <c r="A3874" s="48"/>
      <c r="B3874" s="48"/>
      <c r="C3874" s="49"/>
      <c r="D3874" s="48"/>
      <c r="E3874" s="48"/>
      <c r="F3874" s="48"/>
      <c r="G3874" s="48"/>
      <c r="H3874" s="48"/>
      <c r="I3874" s="48"/>
      <c r="J3874" s="86"/>
      <c r="K3874" s="86"/>
      <c r="L3874" s="86"/>
      <c r="M3874" s="86"/>
      <c r="N3874" s="86"/>
      <c r="O3874" s="86"/>
      <c r="P3874" s="86"/>
      <c r="Q3874" s="86"/>
      <c r="R3874" s="86"/>
      <c r="S3874" s="86"/>
      <c r="T3874" s="86"/>
      <c r="U3874" s="86"/>
      <c r="V3874" s="48"/>
      <c r="W3874" s="48"/>
      <c r="X3874" s="48"/>
      <c r="Y3874" s="48"/>
      <c r="Z3874" s="48"/>
      <c r="AA3874" s="48"/>
      <c r="AB3874" s="48"/>
      <c r="AC3874" s="48"/>
      <c r="AD3874" s="48"/>
      <c r="AE3874" s="48"/>
      <c r="AF3874" s="48"/>
      <c r="AG3874" s="48"/>
      <c r="AH3874" s="48"/>
      <c r="AI3874" s="48"/>
      <c r="AJ3874" s="48"/>
      <c r="AK3874" s="48"/>
      <c r="AL3874" s="48"/>
      <c r="AM3874" s="48"/>
      <c r="AN3874" s="48"/>
      <c r="AO3874" s="48"/>
      <c r="AP3874" s="48"/>
      <c r="AQ3874" s="48"/>
      <c r="AR3874" s="48"/>
      <c r="AS3874" s="48"/>
      <c r="AT3874" s="48"/>
      <c r="AU3874" s="48"/>
      <c r="AV3874" s="48"/>
      <c r="AW3874" s="48"/>
      <c r="AX3874" s="48"/>
      <c r="AY3874" s="48"/>
      <c r="AZ3874" s="48"/>
      <c r="BA3874" s="48"/>
      <c r="BB3874" s="48"/>
      <c r="BC3874" s="48"/>
      <c r="BD3874" s="48"/>
    </row>
    <row r="3875" spans="1:56">
      <c r="A3875" s="48"/>
      <c r="B3875" s="48"/>
      <c r="C3875" s="49"/>
      <c r="D3875" s="48"/>
      <c r="E3875" s="48"/>
      <c r="F3875" s="48"/>
      <c r="G3875" s="48"/>
      <c r="H3875" s="48"/>
      <c r="I3875" s="48"/>
      <c r="J3875" s="86"/>
      <c r="K3875" s="86"/>
      <c r="L3875" s="86"/>
      <c r="M3875" s="86"/>
      <c r="N3875" s="86"/>
      <c r="O3875" s="86"/>
      <c r="P3875" s="86"/>
      <c r="Q3875" s="86"/>
      <c r="R3875" s="86"/>
      <c r="S3875" s="86"/>
      <c r="T3875" s="86"/>
      <c r="U3875" s="86"/>
      <c r="V3875" s="48"/>
      <c r="W3875" s="48"/>
      <c r="X3875" s="48"/>
      <c r="Y3875" s="48"/>
      <c r="Z3875" s="48"/>
      <c r="AA3875" s="48"/>
      <c r="AB3875" s="48"/>
      <c r="AC3875" s="48"/>
      <c r="AD3875" s="48"/>
      <c r="AE3875" s="48"/>
      <c r="AF3875" s="48"/>
      <c r="AG3875" s="48"/>
      <c r="AH3875" s="48"/>
      <c r="AI3875" s="48"/>
      <c r="AJ3875" s="48"/>
      <c r="AK3875" s="48"/>
      <c r="AL3875" s="48"/>
      <c r="AM3875" s="48"/>
      <c r="AN3875" s="48"/>
      <c r="AO3875" s="48"/>
      <c r="AP3875" s="48"/>
      <c r="AQ3875" s="48"/>
      <c r="AR3875" s="48"/>
      <c r="AS3875" s="48"/>
      <c r="AT3875" s="48"/>
      <c r="AU3875" s="48"/>
      <c r="AV3875" s="48"/>
      <c r="AW3875" s="48"/>
      <c r="AX3875" s="48"/>
      <c r="AY3875" s="48"/>
      <c r="AZ3875" s="48"/>
      <c r="BA3875" s="48"/>
      <c r="BB3875" s="48"/>
      <c r="BC3875" s="48"/>
      <c r="BD3875" s="48"/>
    </row>
    <row r="3876" spans="1:56">
      <c r="A3876" s="48"/>
      <c r="B3876" s="48"/>
      <c r="C3876" s="49"/>
      <c r="D3876" s="48"/>
      <c r="E3876" s="48"/>
      <c r="F3876" s="48"/>
      <c r="G3876" s="48"/>
      <c r="H3876" s="48"/>
      <c r="I3876" s="48"/>
      <c r="J3876" s="86"/>
      <c r="K3876" s="86"/>
      <c r="L3876" s="86"/>
      <c r="M3876" s="86"/>
      <c r="N3876" s="86"/>
      <c r="O3876" s="86"/>
      <c r="P3876" s="86"/>
      <c r="Q3876" s="86"/>
      <c r="R3876" s="86"/>
      <c r="S3876" s="86"/>
      <c r="T3876" s="86"/>
      <c r="U3876" s="86"/>
      <c r="V3876" s="48"/>
      <c r="W3876" s="48"/>
      <c r="X3876" s="48"/>
      <c r="Y3876" s="48"/>
      <c r="Z3876" s="48"/>
      <c r="AA3876" s="48"/>
      <c r="AB3876" s="48"/>
      <c r="AC3876" s="48"/>
      <c r="AD3876" s="48"/>
      <c r="AE3876" s="48"/>
      <c r="AF3876" s="48"/>
      <c r="AG3876" s="48"/>
      <c r="AH3876" s="48"/>
      <c r="AI3876" s="48"/>
      <c r="AJ3876" s="48"/>
      <c r="AK3876" s="48"/>
      <c r="AL3876" s="48"/>
      <c r="AM3876" s="48"/>
      <c r="AN3876" s="48"/>
      <c r="AO3876" s="48"/>
      <c r="AP3876" s="48"/>
      <c r="AQ3876" s="48"/>
      <c r="AR3876" s="48"/>
      <c r="AS3876" s="48"/>
      <c r="AT3876" s="48"/>
      <c r="AU3876" s="48"/>
      <c r="AV3876" s="48"/>
      <c r="AW3876" s="48"/>
      <c r="AX3876" s="48"/>
      <c r="AY3876" s="48"/>
      <c r="AZ3876" s="48"/>
      <c r="BA3876" s="48"/>
      <c r="BB3876" s="48"/>
      <c r="BC3876" s="48"/>
      <c r="BD3876" s="48"/>
    </row>
    <row r="3877" spans="1:56">
      <c r="A3877" s="48"/>
      <c r="B3877" s="48"/>
      <c r="C3877" s="49"/>
      <c r="D3877" s="48"/>
      <c r="E3877" s="48"/>
      <c r="F3877" s="48"/>
      <c r="G3877" s="48"/>
      <c r="H3877" s="48"/>
      <c r="I3877" s="48"/>
      <c r="J3877" s="86"/>
      <c r="K3877" s="86"/>
      <c r="L3877" s="86"/>
      <c r="M3877" s="86"/>
      <c r="N3877" s="86"/>
      <c r="O3877" s="86"/>
      <c r="P3877" s="86"/>
      <c r="Q3877" s="86"/>
      <c r="R3877" s="86"/>
      <c r="S3877" s="86"/>
      <c r="T3877" s="86"/>
      <c r="U3877" s="86"/>
      <c r="V3877" s="48"/>
      <c r="W3877" s="48"/>
      <c r="X3877" s="48"/>
      <c r="Y3877" s="48"/>
      <c r="Z3877" s="48"/>
      <c r="AA3877" s="48"/>
      <c r="AB3877" s="48"/>
      <c r="AC3877" s="48"/>
      <c r="AD3877" s="48"/>
      <c r="AE3877" s="48"/>
      <c r="AF3877" s="48"/>
      <c r="AG3877" s="48"/>
      <c r="AH3877" s="48"/>
      <c r="AI3877" s="48"/>
      <c r="AJ3877" s="48"/>
      <c r="AK3877" s="48"/>
      <c r="AL3877" s="48"/>
      <c r="AM3877" s="48"/>
      <c r="AN3877" s="48"/>
      <c r="AO3877" s="48"/>
      <c r="AP3877" s="48"/>
      <c r="AQ3877" s="48"/>
      <c r="AR3877" s="48"/>
      <c r="AS3877" s="48"/>
      <c r="AT3877" s="48"/>
      <c r="AU3877" s="48"/>
      <c r="AV3877" s="48"/>
      <c r="AW3877" s="48"/>
      <c r="AX3877" s="48"/>
      <c r="AY3877" s="48"/>
      <c r="AZ3877" s="48"/>
      <c r="BA3877" s="48"/>
      <c r="BB3877" s="48"/>
      <c r="BC3877" s="48"/>
      <c r="BD3877" s="48"/>
    </row>
    <row r="3878" spans="1:56">
      <c r="A3878" s="48"/>
      <c r="B3878" s="48"/>
      <c r="C3878" s="49"/>
      <c r="D3878" s="48"/>
      <c r="E3878" s="48"/>
      <c r="F3878" s="48"/>
      <c r="G3878" s="48"/>
      <c r="H3878" s="48"/>
      <c r="I3878" s="48"/>
      <c r="J3878" s="86"/>
      <c r="K3878" s="86"/>
      <c r="L3878" s="86"/>
      <c r="M3878" s="86"/>
      <c r="N3878" s="86"/>
      <c r="O3878" s="86"/>
      <c r="P3878" s="86"/>
      <c r="Q3878" s="86"/>
      <c r="R3878" s="86"/>
      <c r="S3878" s="86"/>
      <c r="T3878" s="86"/>
      <c r="U3878" s="86"/>
      <c r="V3878" s="48"/>
      <c r="W3878" s="48"/>
      <c r="X3878" s="48"/>
      <c r="Y3878" s="48"/>
      <c r="Z3878" s="48"/>
      <c r="AA3878" s="48"/>
      <c r="AB3878" s="48"/>
      <c r="AC3878" s="48"/>
      <c r="AD3878" s="48"/>
      <c r="AE3878" s="48"/>
      <c r="AF3878" s="48"/>
      <c r="AG3878" s="48"/>
      <c r="AH3878" s="48"/>
      <c r="AI3878" s="48"/>
      <c r="AJ3878" s="48"/>
      <c r="AK3878" s="48"/>
      <c r="AL3878" s="48"/>
      <c r="AM3878" s="48"/>
      <c r="AN3878" s="48"/>
      <c r="AO3878" s="48"/>
      <c r="AP3878" s="48"/>
      <c r="AQ3878" s="48"/>
      <c r="AR3878" s="48"/>
      <c r="AS3878" s="48"/>
      <c r="AT3878" s="48"/>
      <c r="AU3878" s="48"/>
      <c r="AV3878" s="48"/>
      <c r="AW3878" s="48"/>
      <c r="AX3878" s="48"/>
      <c r="AY3878" s="48"/>
      <c r="AZ3878" s="48"/>
      <c r="BA3878" s="48"/>
      <c r="BB3878" s="48"/>
      <c r="BC3878" s="48"/>
      <c r="BD3878" s="48"/>
    </row>
    <row r="3879" spans="1:56">
      <c r="A3879" s="48"/>
      <c r="B3879" s="48"/>
      <c r="C3879" s="49"/>
      <c r="D3879" s="48"/>
      <c r="E3879" s="48"/>
      <c r="F3879" s="48"/>
      <c r="G3879" s="48"/>
      <c r="H3879" s="48"/>
      <c r="I3879" s="48"/>
      <c r="J3879" s="86"/>
      <c r="K3879" s="86"/>
      <c r="L3879" s="86"/>
      <c r="M3879" s="86"/>
      <c r="N3879" s="86"/>
      <c r="O3879" s="86"/>
      <c r="P3879" s="86"/>
      <c r="Q3879" s="86"/>
      <c r="R3879" s="86"/>
      <c r="S3879" s="86"/>
      <c r="T3879" s="86"/>
      <c r="U3879" s="86"/>
      <c r="V3879" s="48"/>
      <c r="W3879" s="48"/>
      <c r="X3879" s="48"/>
      <c r="Y3879" s="48"/>
      <c r="Z3879" s="48"/>
      <c r="AA3879" s="48"/>
      <c r="AB3879" s="48"/>
      <c r="AC3879" s="48"/>
      <c r="AD3879" s="48"/>
      <c r="AE3879" s="48"/>
      <c r="AF3879" s="48"/>
      <c r="AG3879" s="48"/>
      <c r="AH3879" s="48"/>
      <c r="AI3879" s="48"/>
      <c r="AJ3879" s="48"/>
      <c r="AK3879" s="48"/>
      <c r="AL3879" s="48"/>
      <c r="AM3879" s="48"/>
      <c r="AN3879" s="48"/>
      <c r="AO3879" s="48"/>
      <c r="AP3879" s="48"/>
      <c r="AQ3879" s="48"/>
      <c r="AR3879" s="48"/>
      <c r="AS3879" s="48"/>
      <c r="AT3879" s="48"/>
      <c r="AU3879" s="48"/>
      <c r="AV3879" s="48"/>
      <c r="AW3879" s="48"/>
      <c r="AX3879" s="48"/>
      <c r="AY3879" s="48"/>
      <c r="AZ3879" s="48"/>
      <c r="BA3879" s="48"/>
      <c r="BB3879" s="48"/>
      <c r="BC3879" s="48"/>
      <c r="BD3879" s="48"/>
    </row>
    <row r="3880" spans="1:56">
      <c r="A3880" s="48"/>
      <c r="B3880" s="48"/>
      <c r="C3880" s="49"/>
      <c r="D3880" s="48"/>
      <c r="E3880" s="48"/>
      <c r="F3880" s="48"/>
      <c r="G3880" s="48"/>
      <c r="H3880" s="48"/>
      <c r="I3880" s="48"/>
      <c r="J3880" s="86"/>
      <c r="K3880" s="86"/>
      <c r="L3880" s="86"/>
      <c r="M3880" s="86"/>
      <c r="N3880" s="86"/>
      <c r="O3880" s="86"/>
      <c r="P3880" s="86"/>
      <c r="Q3880" s="86"/>
      <c r="R3880" s="86"/>
      <c r="S3880" s="86"/>
      <c r="T3880" s="86"/>
      <c r="U3880" s="86"/>
      <c r="V3880" s="48"/>
      <c r="W3880" s="48"/>
      <c r="X3880" s="48"/>
      <c r="Y3880" s="48"/>
      <c r="Z3880" s="48"/>
      <c r="AA3880" s="48"/>
      <c r="AB3880" s="48"/>
      <c r="AC3880" s="48"/>
      <c r="AD3880" s="48"/>
      <c r="AE3880" s="48"/>
      <c r="AF3880" s="48"/>
      <c r="AG3880" s="48"/>
      <c r="AH3880" s="48"/>
      <c r="AI3880" s="48"/>
      <c r="AJ3880" s="48"/>
      <c r="AK3880" s="48"/>
      <c r="AL3880" s="48"/>
      <c r="AM3880" s="48"/>
      <c r="AN3880" s="48"/>
      <c r="AO3880" s="48"/>
      <c r="AP3880" s="48"/>
      <c r="AQ3880" s="48"/>
      <c r="AR3880" s="48"/>
      <c r="AS3880" s="48"/>
      <c r="AT3880" s="48"/>
      <c r="AU3880" s="48"/>
      <c r="AV3880" s="48"/>
      <c r="AW3880" s="48"/>
      <c r="AX3880" s="48"/>
      <c r="AY3880" s="48"/>
      <c r="AZ3880" s="48"/>
      <c r="BA3880" s="48"/>
      <c r="BB3880" s="48"/>
      <c r="BC3880" s="48"/>
      <c r="BD3880" s="48"/>
    </row>
    <row r="3881" spans="1:56">
      <c r="A3881" s="48"/>
      <c r="B3881" s="48"/>
      <c r="C3881" s="49"/>
      <c r="D3881" s="48"/>
      <c r="E3881" s="48"/>
      <c r="F3881" s="48"/>
      <c r="G3881" s="48"/>
      <c r="H3881" s="48"/>
      <c r="I3881" s="48"/>
      <c r="J3881" s="86"/>
      <c r="K3881" s="86"/>
      <c r="L3881" s="86"/>
      <c r="M3881" s="86"/>
      <c r="N3881" s="86"/>
      <c r="O3881" s="86"/>
      <c r="P3881" s="86"/>
      <c r="Q3881" s="86"/>
      <c r="R3881" s="86"/>
      <c r="S3881" s="86"/>
      <c r="T3881" s="86"/>
      <c r="U3881" s="86"/>
      <c r="V3881" s="48"/>
      <c r="W3881" s="48"/>
      <c r="X3881" s="48"/>
      <c r="Y3881" s="48"/>
      <c r="Z3881" s="48"/>
      <c r="AA3881" s="48"/>
      <c r="AB3881" s="48"/>
      <c r="AC3881" s="48"/>
      <c r="AD3881" s="48"/>
      <c r="AE3881" s="48"/>
      <c r="AF3881" s="48"/>
      <c r="AG3881" s="48"/>
      <c r="AH3881" s="48"/>
      <c r="AI3881" s="48"/>
      <c r="AJ3881" s="48"/>
      <c r="AK3881" s="48"/>
      <c r="AL3881" s="48"/>
      <c r="AM3881" s="48"/>
      <c r="AN3881" s="48"/>
      <c r="AO3881" s="48"/>
      <c r="AP3881" s="48"/>
      <c r="AQ3881" s="48"/>
      <c r="AR3881" s="48"/>
      <c r="AS3881" s="48"/>
      <c r="AT3881" s="48"/>
      <c r="AU3881" s="48"/>
      <c r="AV3881" s="48"/>
      <c r="AW3881" s="48"/>
      <c r="AX3881" s="48"/>
      <c r="AY3881" s="48"/>
      <c r="AZ3881" s="48"/>
      <c r="BA3881" s="48"/>
      <c r="BB3881" s="48"/>
      <c r="BC3881" s="48"/>
      <c r="BD3881" s="48"/>
    </row>
    <row r="3882" spans="1:56">
      <c r="A3882" s="48"/>
      <c r="B3882" s="48"/>
      <c r="C3882" s="49"/>
      <c r="D3882" s="48"/>
      <c r="E3882" s="48"/>
      <c r="F3882" s="48"/>
      <c r="G3882" s="48"/>
      <c r="H3882" s="48"/>
      <c r="I3882" s="48"/>
      <c r="J3882" s="86"/>
      <c r="K3882" s="86"/>
      <c r="L3882" s="86"/>
      <c r="M3882" s="86"/>
      <c r="N3882" s="86"/>
      <c r="O3882" s="86"/>
      <c r="P3882" s="86"/>
      <c r="Q3882" s="86"/>
      <c r="R3882" s="86"/>
      <c r="S3882" s="86"/>
      <c r="T3882" s="86"/>
      <c r="U3882" s="86"/>
      <c r="V3882" s="48"/>
      <c r="W3882" s="48"/>
      <c r="X3882" s="48"/>
      <c r="Y3882" s="48"/>
      <c r="Z3882" s="48"/>
      <c r="AA3882" s="48"/>
      <c r="AB3882" s="48"/>
      <c r="AC3882" s="48"/>
      <c r="AD3882" s="48"/>
      <c r="AE3882" s="48"/>
      <c r="AF3882" s="48"/>
      <c r="AG3882" s="48"/>
      <c r="AH3882" s="48"/>
      <c r="AI3882" s="48"/>
      <c r="AJ3882" s="48"/>
      <c r="AK3882" s="48"/>
      <c r="AL3882" s="48"/>
      <c r="AM3882" s="48"/>
      <c r="AN3882" s="48"/>
      <c r="AO3882" s="48"/>
      <c r="AP3882" s="48"/>
      <c r="AQ3882" s="48"/>
      <c r="AR3882" s="48"/>
      <c r="AS3882" s="48"/>
      <c r="AT3882" s="48"/>
      <c r="AU3882" s="48"/>
      <c r="AV3882" s="48"/>
      <c r="AW3882" s="48"/>
      <c r="AX3882" s="48"/>
      <c r="AY3882" s="48"/>
      <c r="AZ3882" s="48"/>
      <c r="BA3882" s="48"/>
      <c r="BB3882" s="48"/>
      <c r="BC3882" s="48"/>
      <c r="BD3882" s="48"/>
    </row>
    <row r="3883" spans="1:56">
      <c r="A3883" s="48"/>
      <c r="B3883" s="48"/>
      <c r="C3883" s="49"/>
      <c r="D3883" s="48"/>
      <c r="E3883" s="48"/>
      <c r="F3883" s="48"/>
      <c r="G3883" s="48"/>
      <c r="H3883" s="48"/>
      <c r="I3883" s="48"/>
      <c r="J3883" s="86"/>
      <c r="K3883" s="86"/>
      <c r="L3883" s="86"/>
      <c r="M3883" s="86"/>
      <c r="N3883" s="86"/>
      <c r="O3883" s="86"/>
      <c r="P3883" s="86"/>
      <c r="Q3883" s="86"/>
      <c r="R3883" s="86"/>
      <c r="S3883" s="86"/>
      <c r="T3883" s="86"/>
      <c r="U3883" s="86"/>
      <c r="V3883" s="48"/>
      <c r="W3883" s="48"/>
      <c r="X3883" s="48"/>
      <c r="Y3883" s="48"/>
      <c r="Z3883" s="48"/>
      <c r="AA3883" s="48"/>
      <c r="AB3883" s="48"/>
      <c r="AC3883" s="48"/>
      <c r="AD3883" s="48"/>
      <c r="AE3883" s="48"/>
      <c r="AF3883" s="48"/>
      <c r="AG3883" s="48"/>
      <c r="AH3883" s="48"/>
      <c r="AI3883" s="48"/>
      <c r="AJ3883" s="48"/>
      <c r="AK3883" s="48"/>
      <c r="AL3883" s="48"/>
      <c r="AM3883" s="48"/>
      <c r="AN3883" s="48"/>
      <c r="AO3883" s="48"/>
      <c r="AP3883" s="48"/>
      <c r="AQ3883" s="48"/>
      <c r="AR3883" s="48"/>
      <c r="AS3883" s="48"/>
      <c r="AT3883" s="48"/>
      <c r="AU3883" s="48"/>
      <c r="AV3883" s="48"/>
      <c r="AW3883" s="48"/>
      <c r="AX3883" s="48"/>
      <c r="AY3883" s="48"/>
      <c r="AZ3883" s="48"/>
      <c r="BA3883" s="48"/>
      <c r="BB3883" s="48"/>
      <c r="BC3883" s="48"/>
      <c r="BD3883" s="48"/>
    </row>
    <row r="3884" spans="1:56">
      <c r="A3884" s="48"/>
      <c r="B3884" s="48"/>
      <c r="C3884" s="49"/>
      <c r="D3884" s="48"/>
      <c r="E3884" s="48"/>
      <c r="F3884" s="48"/>
      <c r="G3884" s="48"/>
      <c r="H3884" s="48"/>
      <c r="I3884" s="48"/>
      <c r="J3884" s="86"/>
      <c r="K3884" s="86"/>
      <c r="L3884" s="86"/>
      <c r="M3884" s="86"/>
      <c r="N3884" s="86"/>
      <c r="O3884" s="86"/>
      <c r="P3884" s="86"/>
      <c r="Q3884" s="86"/>
      <c r="R3884" s="86"/>
      <c r="S3884" s="86"/>
      <c r="T3884" s="86"/>
      <c r="U3884" s="86"/>
      <c r="V3884" s="48"/>
      <c r="W3884" s="48"/>
      <c r="X3884" s="48"/>
      <c r="Y3884" s="48"/>
      <c r="Z3884" s="48"/>
      <c r="AA3884" s="48"/>
      <c r="AB3884" s="48"/>
      <c r="AC3884" s="48"/>
      <c r="AD3884" s="48"/>
      <c r="AE3884" s="48"/>
      <c r="AF3884" s="48"/>
      <c r="AG3884" s="48"/>
      <c r="AH3884" s="48"/>
      <c r="AI3884" s="48"/>
      <c r="AJ3884" s="48"/>
      <c r="AK3884" s="48"/>
      <c r="AL3884" s="48"/>
      <c r="AM3884" s="48"/>
      <c r="AN3884" s="48"/>
      <c r="AO3884" s="48"/>
      <c r="AP3884" s="48"/>
      <c r="AQ3884" s="48"/>
      <c r="AR3884" s="48"/>
      <c r="AS3884" s="48"/>
      <c r="AT3884" s="48"/>
      <c r="AU3884" s="48"/>
      <c r="AV3884" s="48"/>
      <c r="AW3884" s="48"/>
      <c r="AX3884" s="48"/>
      <c r="AY3884" s="48"/>
      <c r="AZ3884" s="48"/>
      <c r="BA3884" s="48"/>
      <c r="BB3884" s="48"/>
      <c r="BC3884" s="48"/>
      <c r="BD3884" s="48"/>
    </row>
    <row r="3885" spans="1:56">
      <c r="A3885" s="48"/>
      <c r="B3885" s="48"/>
      <c r="C3885" s="49"/>
      <c r="D3885" s="48"/>
      <c r="E3885" s="48"/>
      <c r="F3885" s="48"/>
      <c r="G3885" s="48"/>
      <c r="H3885" s="48"/>
      <c r="I3885" s="48"/>
      <c r="J3885" s="86"/>
      <c r="K3885" s="86"/>
      <c r="L3885" s="86"/>
      <c r="M3885" s="86"/>
      <c r="N3885" s="86"/>
      <c r="O3885" s="86"/>
      <c r="P3885" s="86"/>
      <c r="Q3885" s="86"/>
      <c r="R3885" s="86"/>
      <c r="S3885" s="86"/>
      <c r="T3885" s="86"/>
      <c r="U3885" s="86"/>
      <c r="V3885" s="48"/>
      <c r="W3885" s="48"/>
      <c r="X3885" s="48"/>
      <c r="Y3885" s="48"/>
      <c r="Z3885" s="48"/>
      <c r="AA3885" s="48"/>
      <c r="AB3885" s="48"/>
      <c r="AC3885" s="48"/>
      <c r="AD3885" s="48"/>
      <c r="AE3885" s="48"/>
      <c r="AF3885" s="48"/>
      <c r="AG3885" s="48"/>
      <c r="AH3885" s="48"/>
      <c r="AI3885" s="48"/>
      <c r="AJ3885" s="48"/>
      <c r="AK3885" s="48"/>
      <c r="AL3885" s="48"/>
      <c r="AM3885" s="48"/>
      <c r="AN3885" s="48"/>
      <c r="AO3885" s="48"/>
      <c r="AP3885" s="48"/>
      <c r="AQ3885" s="48"/>
      <c r="AR3885" s="48"/>
      <c r="AS3885" s="48"/>
      <c r="AT3885" s="48"/>
      <c r="AU3885" s="48"/>
      <c r="AV3885" s="48"/>
      <c r="AW3885" s="48"/>
      <c r="AX3885" s="48"/>
      <c r="AY3885" s="48"/>
      <c r="AZ3885" s="48"/>
      <c r="BA3885" s="48"/>
      <c r="BB3885" s="48"/>
      <c r="BC3885" s="48"/>
      <c r="BD3885" s="48"/>
    </row>
    <row r="3886" spans="1:56">
      <c r="A3886" s="48"/>
      <c r="B3886" s="48"/>
      <c r="C3886" s="49"/>
      <c r="D3886" s="48"/>
      <c r="E3886" s="48"/>
      <c r="F3886" s="48"/>
      <c r="G3886" s="48"/>
      <c r="H3886" s="48"/>
      <c r="I3886" s="48"/>
      <c r="J3886" s="86"/>
      <c r="K3886" s="86"/>
      <c r="L3886" s="86"/>
      <c r="M3886" s="86"/>
      <c r="N3886" s="86"/>
      <c r="O3886" s="86"/>
      <c r="P3886" s="86"/>
      <c r="Q3886" s="86"/>
      <c r="R3886" s="86"/>
      <c r="S3886" s="86"/>
      <c r="T3886" s="86"/>
      <c r="U3886" s="86"/>
      <c r="V3886" s="48"/>
      <c r="W3886" s="48"/>
      <c r="X3886" s="48"/>
      <c r="Y3886" s="48"/>
      <c r="Z3886" s="48"/>
      <c r="AA3886" s="48"/>
      <c r="AB3886" s="48"/>
      <c r="AC3886" s="48"/>
      <c r="AD3886" s="48"/>
      <c r="AE3886" s="48"/>
      <c r="AF3886" s="48"/>
      <c r="AG3886" s="48"/>
      <c r="AH3886" s="48"/>
      <c r="AI3886" s="48"/>
      <c r="AJ3886" s="48"/>
      <c r="AK3886" s="48"/>
      <c r="AL3886" s="48"/>
      <c r="AM3886" s="48"/>
      <c r="AN3886" s="48"/>
      <c r="AO3886" s="48"/>
      <c r="AP3886" s="48"/>
      <c r="AQ3886" s="48"/>
      <c r="AR3886" s="48"/>
      <c r="AS3886" s="48"/>
      <c r="AT3886" s="48"/>
      <c r="AU3886" s="48"/>
      <c r="AV3886" s="48"/>
      <c r="AW3886" s="48"/>
      <c r="AX3886" s="48"/>
      <c r="AY3886" s="48"/>
      <c r="AZ3886" s="48"/>
      <c r="BA3886" s="48"/>
      <c r="BB3886" s="48"/>
      <c r="BC3886" s="48"/>
      <c r="BD3886" s="48"/>
    </row>
    <row r="3887" spans="1:56">
      <c r="A3887" s="48"/>
      <c r="B3887" s="48"/>
      <c r="C3887" s="49"/>
      <c r="D3887" s="48"/>
      <c r="E3887" s="48"/>
      <c r="F3887" s="48"/>
      <c r="G3887" s="48"/>
      <c r="H3887" s="48"/>
      <c r="I3887" s="48"/>
      <c r="J3887" s="86"/>
      <c r="K3887" s="86"/>
      <c r="L3887" s="86"/>
      <c r="M3887" s="86"/>
      <c r="N3887" s="86"/>
      <c r="O3887" s="86"/>
      <c r="P3887" s="86"/>
      <c r="Q3887" s="86"/>
      <c r="R3887" s="86"/>
      <c r="S3887" s="86"/>
      <c r="T3887" s="86"/>
      <c r="U3887" s="86"/>
      <c r="V3887" s="48"/>
      <c r="W3887" s="48"/>
      <c r="X3887" s="48"/>
      <c r="Y3887" s="48"/>
      <c r="Z3887" s="48"/>
      <c r="AA3887" s="48"/>
      <c r="AB3887" s="48"/>
      <c r="AC3887" s="48"/>
      <c r="AD3887" s="48"/>
      <c r="AE3887" s="48"/>
      <c r="AF3887" s="48"/>
      <c r="AG3887" s="48"/>
      <c r="AH3887" s="48"/>
      <c r="AI3887" s="48"/>
      <c r="AJ3887" s="48"/>
      <c r="AK3887" s="48"/>
      <c r="AL3887" s="48"/>
      <c r="AM3887" s="48"/>
      <c r="AN3887" s="48"/>
      <c r="AO3887" s="48"/>
      <c r="AP3887" s="48"/>
      <c r="AQ3887" s="48"/>
      <c r="AR3887" s="48"/>
      <c r="AS3887" s="48"/>
      <c r="AT3887" s="48"/>
      <c r="AU3887" s="48"/>
      <c r="AV3887" s="48"/>
      <c r="AW3887" s="48"/>
      <c r="AX3887" s="48"/>
      <c r="AY3887" s="48"/>
      <c r="AZ3887" s="48"/>
      <c r="BA3887" s="48"/>
      <c r="BB3887" s="48"/>
      <c r="BC3887" s="48"/>
      <c r="BD3887" s="48"/>
    </row>
    <row r="3888" spans="1:56">
      <c r="A3888" s="48"/>
      <c r="B3888" s="48"/>
      <c r="C3888" s="49"/>
      <c r="D3888" s="48"/>
      <c r="E3888" s="48"/>
      <c r="F3888" s="48"/>
      <c r="G3888" s="48"/>
      <c r="H3888" s="48"/>
      <c r="I3888" s="48"/>
      <c r="J3888" s="86"/>
      <c r="K3888" s="86"/>
      <c r="L3888" s="86"/>
      <c r="M3888" s="86"/>
      <c r="N3888" s="86"/>
      <c r="O3888" s="86"/>
      <c r="P3888" s="86"/>
      <c r="Q3888" s="86"/>
      <c r="R3888" s="86"/>
      <c r="S3888" s="86"/>
      <c r="T3888" s="86"/>
      <c r="U3888" s="86"/>
      <c r="V3888" s="48"/>
      <c r="W3888" s="48"/>
      <c r="X3888" s="48"/>
      <c r="Y3888" s="48"/>
      <c r="Z3888" s="48"/>
      <c r="AA3888" s="48"/>
      <c r="AB3888" s="48"/>
      <c r="AC3888" s="48"/>
      <c r="AD3888" s="48"/>
      <c r="AE3888" s="48"/>
      <c r="AF3888" s="48"/>
      <c r="AG3888" s="48"/>
      <c r="AH3888" s="48"/>
      <c r="AI3888" s="48"/>
      <c r="AJ3888" s="48"/>
      <c r="AK3888" s="48"/>
      <c r="AL3888" s="48"/>
      <c r="AM3888" s="48"/>
      <c r="AN3888" s="48"/>
      <c r="AO3888" s="48"/>
      <c r="AP3888" s="48"/>
      <c r="AQ3888" s="48"/>
      <c r="AR3888" s="48"/>
      <c r="AS3888" s="48"/>
      <c r="AT3888" s="48"/>
      <c r="AU3888" s="48"/>
      <c r="AV3888" s="48"/>
      <c r="AW3888" s="48"/>
      <c r="AX3888" s="48"/>
      <c r="AY3888" s="48"/>
      <c r="AZ3888" s="48"/>
      <c r="BA3888" s="48"/>
      <c r="BB3888" s="48"/>
      <c r="BC3888" s="48"/>
      <c r="BD3888" s="48"/>
    </row>
    <row r="3889" spans="1:56">
      <c r="A3889" s="48"/>
      <c r="B3889" s="48"/>
      <c r="C3889" s="49"/>
      <c r="D3889" s="48"/>
      <c r="E3889" s="48"/>
      <c r="F3889" s="48"/>
      <c r="G3889" s="48"/>
      <c r="H3889" s="48"/>
      <c r="I3889" s="48"/>
      <c r="J3889" s="86"/>
      <c r="K3889" s="86"/>
      <c r="L3889" s="86"/>
      <c r="M3889" s="86"/>
      <c r="N3889" s="86"/>
      <c r="O3889" s="86"/>
      <c r="P3889" s="86"/>
      <c r="Q3889" s="86"/>
      <c r="R3889" s="86"/>
      <c r="S3889" s="86"/>
      <c r="T3889" s="86"/>
      <c r="U3889" s="86"/>
      <c r="V3889" s="48"/>
      <c r="W3889" s="48"/>
      <c r="X3889" s="48"/>
      <c r="Y3889" s="48"/>
      <c r="Z3889" s="48"/>
      <c r="AA3889" s="48"/>
      <c r="AB3889" s="48"/>
      <c r="AC3889" s="48"/>
      <c r="AD3889" s="48"/>
      <c r="AE3889" s="48"/>
      <c r="AF3889" s="48"/>
      <c r="AG3889" s="48"/>
      <c r="AH3889" s="48"/>
      <c r="AI3889" s="48"/>
      <c r="AJ3889" s="48"/>
      <c r="AK3889" s="48"/>
      <c r="AL3889" s="48"/>
      <c r="AM3889" s="48"/>
      <c r="AN3889" s="48"/>
      <c r="AO3889" s="48"/>
      <c r="AP3889" s="48"/>
      <c r="AQ3889" s="48"/>
      <c r="AR3889" s="48"/>
      <c r="AS3889" s="48"/>
      <c r="AT3889" s="48"/>
      <c r="AU3889" s="48"/>
      <c r="AV3889" s="48"/>
      <c r="AW3889" s="48"/>
      <c r="AX3889" s="48"/>
      <c r="AY3889" s="48"/>
      <c r="AZ3889" s="48"/>
      <c r="BA3889" s="48"/>
      <c r="BB3889" s="48"/>
      <c r="BC3889" s="48"/>
      <c r="BD3889" s="48"/>
    </row>
    <row r="3890" spans="1:56">
      <c r="A3890" s="48"/>
      <c r="B3890" s="48"/>
      <c r="C3890" s="49"/>
      <c r="D3890" s="48"/>
      <c r="E3890" s="48"/>
      <c r="F3890" s="48"/>
      <c r="G3890" s="48"/>
      <c r="H3890" s="48"/>
      <c r="I3890" s="48"/>
      <c r="J3890" s="86"/>
      <c r="K3890" s="86"/>
      <c r="L3890" s="86"/>
      <c r="M3890" s="86"/>
      <c r="N3890" s="86"/>
      <c r="O3890" s="86"/>
      <c r="P3890" s="86"/>
      <c r="Q3890" s="86"/>
      <c r="R3890" s="86"/>
      <c r="S3890" s="86"/>
      <c r="T3890" s="86"/>
      <c r="U3890" s="86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48"/>
      <c r="BB3890" s="48"/>
      <c r="BC3890" s="48"/>
      <c r="BD3890" s="48"/>
    </row>
    <row r="3891" spans="1:56">
      <c r="A3891" s="48"/>
      <c r="B3891" s="48"/>
      <c r="C3891" s="49"/>
      <c r="D3891" s="48"/>
      <c r="E3891" s="48"/>
      <c r="F3891" s="48"/>
      <c r="G3891" s="48"/>
      <c r="H3891" s="48"/>
      <c r="I3891" s="48"/>
      <c r="J3891" s="86"/>
      <c r="K3891" s="86"/>
      <c r="L3891" s="86"/>
      <c r="M3891" s="86"/>
      <c r="N3891" s="86"/>
      <c r="O3891" s="86"/>
      <c r="P3891" s="86"/>
      <c r="Q3891" s="86"/>
      <c r="R3891" s="86"/>
      <c r="S3891" s="86"/>
      <c r="T3891" s="86"/>
      <c r="U3891" s="86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48"/>
      <c r="BB3891" s="48"/>
      <c r="BC3891" s="48"/>
      <c r="BD3891" s="48"/>
    </row>
    <row r="3892" spans="1:56">
      <c r="A3892" s="48"/>
      <c r="B3892" s="48"/>
      <c r="C3892" s="49"/>
      <c r="D3892" s="48"/>
      <c r="E3892" s="48"/>
      <c r="F3892" s="48"/>
      <c r="G3892" s="48"/>
      <c r="H3892" s="48"/>
      <c r="I3892" s="48"/>
      <c r="J3892" s="86"/>
      <c r="K3892" s="86"/>
      <c r="L3892" s="86"/>
      <c r="M3892" s="86"/>
      <c r="N3892" s="86"/>
      <c r="O3892" s="86"/>
      <c r="P3892" s="86"/>
      <c r="Q3892" s="86"/>
      <c r="R3892" s="86"/>
      <c r="S3892" s="86"/>
      <c r="T3892" s="86"/>
      <c r="U3892" s="86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48"/>
      <c r="BB3892" s="48"/>
      <c r="BC3892" s="48"/>
      <c r="BD3892" s="48"/>
    </row>
    <row r="3893" spans="1:56">
      <c r="A3893" s="48"/>
      <c r="B3893" s="48"/>
      <c r="C3893" s="49"/>
      <c r="D3893" s="48"/>
      <c r="E3893" s="48"/>
      <c r="F3893" s="48"/>
      <c r="G3893" s="48"/>
      <c r="H3893" s="48"/>
      <c r="I3893" s="48"/>
      <c r="J3893" s="86"/>
      <c r="K3893" s="86"/>
      <c r="L3893" s="86"/>
      <c r="M3893" s="86"/>
      <c r="N3893" s="86"/>
      <c r="O3893" s="86"/>
      <c r="P3893" s="86"/>
      <c r="Q3893" s="86"/>
      <c r="R3893" s="86"/>
      <c r="S3893" s="86"/>
      <c r="T3893" s="86"/>
      <c r="U3893" s="86"/>
      <c r="V3893" s="48"/>
      <c r="W3893" s="48"/>
      <c r="X3893" s="48"/>
      <c r="Y3893" s="48"/>
      <c r="Z3893" s="48"/>
      <c r="AA3893" s="48"/>
      <c r="AB3893" s="48"/>
      <c r="AC3893" s="48"/>
      <c r="AD3893" s="48"/>
      <c r="AE3893" s="48"/>
      <c r="AF3893" s="48"/>
      <c r="AG3893" s="48"/>
      <c r="AH3893" s="48"/>
      <c r="AI3893" s="48"/>
      <c r="AJ3893" s="48"/>
      <c r="AK3893" s="48"/>
      <c r="AL3893" s="48"/>
      <c r="AM3893" s="48"/>
      <c r="AN3893" s="48"/>
      <c r="AO3893" s="48"/>
      <c r="AP3893" s="48"/>
      <c r="AQ3893" s="48"/>
      <c r="AR3893" s="48"/>
      <c r="AS3893" s="48"/>
      <c r="AT3893" s="48"/>
      <c r="AU3893" s="48"/>
      <c r="AV3893" s="48"/>
      <c r="AW3893" s="48"/>
      <c r="AX3893" s="48"/>
      <c r="AY3893" s="48"/>
      <c r="AZ3893" s="48"/>
      <c r="BA3893" s="48"/>
      <c r="BB3893" s="48"/>
      <c r="BC3893" s="48"/>
      <c r="BD3893" s="48"/>
    </row>
    <row r="3894" spans="1:56">
      <c r="A3894" s="48"/>
      <c r="B3894" s="48"/>
      <c r="C3894" s="49"/>
      <c r="D3894" s="48"/>
      <c r="E3894" s="48"/>
      <c r="F3894" s="48"/>
      <c r="G3894" s="48"/>
      <c r="H3894" s="48"/>
      <c r="I3894" s="48"/>
      <c r="J3894" s="86"/>
      <c r="K3894" s="86"/>
      <c r="L3894" s="86"/>
      <c r="M3894" s="86"/>
      <c r="N3894" s="86"/>
      <c r="O3894" s="86"/>
      <c r="P3894" s="86"/>
      <c r="Q3894" s="86"/>
      <c r="R3894" s="86"/>
      <c r="S3894" s="86"/>
      <c r="T3894" s="86"/>
      <c r="U3894" s="86"/>
      <c r="V3894" s="48"/>
      <c r="W3894" s="48"/>
      <c r="X3894" s="48"/>
      <c r="Y3894" s="48"/>
      <c r="Z3894" s="48"/>
      <c r="AA3894" s="48"/>
      <c r="AB3894" s="48"/>
      <c r="AC3894" s="48"/>
      <c r="AD3894" s="48"/>
      <c r="AE3894" s="48"/>
      <c r="AF3894" s="48"/>
      <c r="AG3894" s="48"/>
      <c r="AH3894" s="48"/>
      <c r="AI3894" s="48"/>
      <c r="AJ3894" s="48"/>
      <c r="AK3894" s="48"/>
      <c r="AL3894" s="48"/>
      <c r="AM3894" s="48"/>
      <c r="AN3894" s="48"/>
      <c r="AO3894" s="48"/>
      <c r="AP3894" s="48"/>
      <c r="AQ3894" s="48"/>
      <c r="AR3894" s="48"/>
      <c r="AS3894" s="48"/>
      <c r="AT3894" s="48"/>
      <c r="AU3894" s="48"/>
      <c r="AV3894" s="48"/>
      <c r="AW3894" s="48"/>
      <c r="AX3894" s="48"/>
      <c r="AY3894" s="48"/>
      <c r="AZ3894" s="48"/>
      <c r="BA3894" s="48"/>
      <c r="BB3894" s="48"/>
      <c r="BC3894" s="48"/>
      <c r="BD3894" s="48"/>
    </row>
    <row r="3895" spans="1:56">
      <c r="A3895" s="48"/>
      <c r="B3895" s="48"/>
      <c r="C3895" s="49"/>
      <c r="D3895" s="48"/>
      <c r="E3895" s="48"/>
      <c r="F3895" s="48"/>
      <c r="G3895" s="48"/>
      <c r="H3895" s="48"/>
      <c r="I3895" s="48"/>
      <c r="J3895" s="86"/>
      <c r="K3895" s="86"/>
      <c r="L3895" s="86"/>
      <c r="M3895" s="86"/>
      <c r="N3895" s="86"/>
      <c r="O3895" s="86"/>
      <c r="P3895" s="86"/>
      <c r="Q3895" s="86"/>
      <c r="R3895" s="86"/>
      <c r="S3895" s="86"/>
      <c r="T3895" s="86"/>
      <c r="U3895" s="86"/>
      <c r="V3895" s="48"/>
      <c r="W3895" s="48"/>
      <c r="X3895" s="48"/>
      <c r="Y3895" s="48"/>
      <c r="Z3895" s="48"/>
      <c r="AA3895" s="48"/>
      <c r="AB3895" s="48"/>
      <c r="AC3895" s="48"/>
      <c r="AD3895" s="48"/>
      <c r="AE3895" s="48"/>
      <c r="AF3895" s="48"/>
      <c r="AG3895" s="48"/>
      <c r="AH3895" s="48"/>
      <c r="AI3895" s="48"/>
      <c r="AJ3895" s="48"/>
      <c r="AK3895" s="48"/>
      <c r="AL3895" s="48"/>
      <c r="AM3895" s="48"/>
      <c r="AN3895" s="48"/>
      <c r="AO3895" s="48"/>
      <c r="AP3895" s="48"/>
      <c r="AQ3895" s="48"/>
      <c r="AR3895" s="48"/>
      <c r="AS3895" s="48"/>
      <c r="AT3895" s="48"/>
      <c r="AU3895" s="48"/>
      <c r="AV3895" s="48"/>
      <c r="AW3895" s="48"/>
      <c r="AX3895" s="48"/>
      <c r="AY3895" s="48"/>
      <c r="AZ3895" s="48"/>
      <c r="BA3895" s="48"/>
      <c r="BB3895" s="48"/>
      <c r="BC3895" s="48"/>
      <c r="BD3895" s="48"/>
    </row>
    <row r="3896" spans="1:56">
      <c r="A3896" s="48"/>
      <c r="B3896" s="48"/>
      <c r="C3896" s="49"/>
      <c r="D3896" s="48"/>
      <c r="E3896" s="48"/>
      <c r="F3896" s="48"/>
      <c r="G3896" s="48"/>
      <c r="H3896" s="48"/>
      <c r="I3896" s="48"/>
      <c r="J3896" s="86"/>
      <c r="K3896" s="86"/>
      <c r="L3896" s="86"/>
      <c r="M3896" s="86"/>
      <c r="N3896" s="86"/>
      <c r="O3896" s="86"/>
      <c r="P3896" s="86"/>
      <c r="Q3896" s="86"/>
      <c r="R3896" s="86"/>
      <c r="S3896" s="86"/>
      <c r="T3896" s="86"/>
      <c r="U3896" s="86"/>
      <c r="V3896" s="48"/>
      <c r="W3896" s="48"/>
      <c r="X3896" s="48"/>
      <c r="Y3896" s="48"/>
      <c r="Z3896" s="48"/>
      <c r="AA3896" s="48"/>
      <c r="AB3896" s="48"/>
      <c r="AC3896" s="48"/>
      <c r="AD3896" s="48"/>
      <c r="AE3896" s="48"/>
      <c r="AF3896" s="48"/>
      <c r="AG3896" s="48"/>
      <c r="AH3896" s="48"/>
      <c r="AI3896" s="48"/>
      <c r="AJ3896" s="48"/>
      <c r="AK3896" s="48"/>
      <c r="AL3896" s="48"/>
      <c r="AM3896" s="48"/>
      <c r="AN3896" s="48"/>
      <c r="AO3896" s="48"/>
      <c r="AP3896" s="48"/>
      <c r="AQ3896" s="48"/>
      <c r="AR3896" s="48"/>
      <c r="AS3896" s="48"/>
      <c r="AT3896" s="48"/>
      <c r="AU3896" s="48"/>
      <c r="AV3896" s="48"/>
      <c r="AW3896" s="48"/>
      <c r="AX3896" s="48"/>
      <c r="AY3896" s="48"/>
      <c r="AZ3896" s="48"/>
      <c r="BA3896" s="48"/>
      <c r="BB3896" s="48"/>
      <c r="BC3896" s="48"/>
      <c r="BD3896" s="48"/>
    </row>
    <row r="3897" spans="1:56">
      <c r="A3897" s="48"/>
      <c r="B3897" s="48"/>
      <c r="C3897" s="49"/>
      <c r="D3897" s="48"/>
      <c r="E3897" s="48"/>
      <c r="F3897" s="48"/>
      <c r="G3897" s="48"/>
      <c r="H3897" s="48"/>
      <c r="I3897" s="48"/>
      <c r="J3897" s="86"/>
      <c r="K3897" s="86"/>
      <c r="L3897" s="86"/>
      <c r="M3897" s="86"/>
      <c r="N3897" s="86"/>
      <c r="O3897" s="86"/>
      <c r="P3897" s="86"/>
      <c r="Q3897" s="86"/>
      <c r="R3897" s="86"/>
      <c r="S3897" s="86"/>
      <c r="T3897" s="86"/>
      <c r="U3897" s="86"/>
      <c r="V3897" s="48"/>
      <c r="W3897" s="48"/>
      <c r="X3897" s="48"/>
      <c r="Y3897" s="48"/>
      <c r="Z3897" s="48"/>
      <c r="AA3897" s="48"/>
      <c r="AB3897" s="48"/>
      <c r="AC3897" s="48"/>
      <c r="AD3897" s="48"/>
      <c r="AE3897" s="48"/>
      <c r="AF3897" s="48"/>
      <c r="AG3897" s="48"/>
      <c r="AH3897" s="48"/>
      <c r="AI3897" s="48"/>
      <c r="AJ3897" s="48"/>
      <c r="AK3897" s="48"/>
      <c r="AL3897" s="48"/>
      <c r="AM3897" s="48"/>
      <c r="AN3897" s="48"/>
      <c r="AO3897" s="48"/>
      <c r="AP3897" s="48"/>
      <c r="AQ3897" s="48"/>
      <c r="AR3897" s="48"/>
      <c r="AS3897" s="48"/>
      <c r="AT3897" s="48"/>
      <c r="AU3897" s="48"/>
      <c r="AV3897" s="48"/>
      <c r="AW3897" s="48"/>
      <c r="AX3897" s="48"/>
      <c r="AY3897" s="48"/>
      <c r="AZ3897" s="48"/>
      <c r="BA3897" s="48"/>
      <c r="BB3897" s="48"/>
      <c r="BC3897" s="48"/>
      <c r="BD3897" s="48"/>
    </row>
    <row r="3898" spans="1:56">
      <c r="A3898" s="48"/>
      <c r="B3898" s="48"/>
      <c r="C3898" s="49"/>
      <c r="D3898" s="48"/>
      <c r="E3898" s="48"/>
      <c r="F3898" s="48"/>
      <c r="G3898" s="48"/>
      <c r="H3898" s="48"/>
      <c r="I3898" s="48"/>
      <c r="J3898" s="86"/>
      <c r="K3898" s="86"/>
      <c r="L3898" s="86"/>
      <c r="M3898" s="86"/>
      <c r="N3898" s="86"/>
      <c r="O3898" s="86"/>
      <c r="P3898" s="86"/>
      <c r="Q3898" s="86"/>
      <c r="R3898" s="86"/>
      <c r="S3898" s="86"/>
      <c r="T3898" s="86"/>
      <c r="U3898" s="86"/>
      <c r="V3898" s="48"/>
      <c r="W3898" s="48"/>
      <c r="X3898" s="48"/>
      <c r="Y3898" s="48"/>
      <c r="Z3898" s="48"/>
      <c r="AA3898" s="48"/>
      <c r="AB3898" s="48"/>
      <c r="AC3898" s="48"/>
      <c r="AD3898" s="48"/>
      <c r="AE3898" s="48"/>
      <c r="AF3898" s="48"/>
      <c r="AG3898" s="48"/>
      <c r="AH3898" s="48"/>
      <c r="AI3898" s="48"/>
      <c r="AJ3898" s="48"/>
      <c r="AK3898" s="48"/>
      <c r="AL3898" s="48"/>
      <c r="AM3898" s="48"/>
      <c r="AN3898" s="48"/>
      <c r="AO3898" s="48"/>
      <c r="AP3898" s="48"/>
      <c r="AQ3898" s="48"/>
      <c r="AR3898" s="48"/>
      <c r="AS3898" s="48"/>
      <c r="AT3898" s="48"/>
      <c r="AU3898" s="48"/>
      <c r="AV3898" s="48"/>
      <c r="AW3898" s="48"/>
      <c r="AX3898" s="48"/>
      <c r="AY3898" s="48"/>
      <c r="AZ3898" s="48"/>
      <c r="BA3898" s="48"/>
      <c r="BB3898" s="48"/>
      <c r="BC3898" s="48"/>
      <c r="BD3898" s="48"/>
    </row>
    <row r="3899" spans="1:56">
      <c r="A3899" s="48"/>
      <c r="B3899" s="48"/>
      <c r="C3899" s="49"/>
      <c r="D3899" s="48"/>
      <c r="E3899" s="48"/>
      <c r="F3899" s="48"/>
      <c r="G3899" s="48"/>
      <c r="H3899" s="48"/>
      <c r="I3899" s="48"/>
      <c r="J3899" s="86"/>
      <c r="K3899" s="86"/>
      <c r="L3899" s="86"/>
      <c r="M3899" s="86"/>
      <c r="N3899" s="86"/>
      <c r="O3899" s="86"/>
      <c r="P3899" s="86"/>
      <c r="Q3899" s="86"/>
      <c r="R3899" s="86"/>
      <c r="S3899" s="86"/>
      <c r="T3899" s="86"/>
      <c r="U3899" s="86"/>
      <c r="V3899" s="48"/>
      <c r="W3899" s="48"/>
      <c r="X3899" s="48"/>
      <c r="Y3899" s="48"/>
      <c r="Z3899" s="48"/>
      <c r="AA3899" s="48"/>
      <c r="AB3899" s="48"/>
      <c r="AC3899" s="48"/>
      <c r="AD3899" s="48"/>
      <c r="AE3899" s="48"/>
      <c r="AF3899" s="48"/>
      <c r="AG3899" s="48"/>
      <c r="AH3899" s="48"/>
      <c r="AI3899" s="48"/>
      <c r="AJ3899" s="48"/>
      <c r="AK3899" s="48"/>
      <c r="AL3899" s="48"/>
      <c r="AM3899" s="48"/>
      <c r="AN3899" s="48"/>
      <c r="AO3899" s="48"/>
      <c r="AP3899" s="48"/>
      <c r="AQ3899" s="48"/>
      <c r="AR3899" s="48"/>
      <c r="AS3899" s="48"/>
      <c r="AT3899" s="48"/>
      <c r="AU3899" s="48"/>
      <c r="AV3899" s="48"/>
      <c r="AW3899" s="48"/>
      <c r="AX3899" s="48"/>
      <c r="AY3899" s="48"/>
      <c r="AZ3899" s="48"/>
      <c r="BA3899" s="48"/>
      <c r="BB3899" s="48"/>
      <c r="BC3899" s="48"/>
      <c r="BD3899" s="48"/>
    </row>
    <row r="3900" spans="1:56">
      <c r="A3900" s="48"/>
      <c r="B3900" s="48"/>
      <c r="C3900" s="49"/>
      <c r="D3900" s="48"/>
      <c r="E3900" s="48"/>
      <c r="F3900" s="48"/>
      <c r="G3900" s="48"/>
      <c r="H3900" s="48"/>
      <c r="I3900" s="48"/>
      <c r="J3900" s="86"/>
      <c r="K3900" s="86"/>
      <c r="L3900" s="86"/>
      <c r="M3900" s="86"/>
      <c r="N3900" s="86"/>
      <c r="O3900" s="86"/>
      <c r="P3900" s="86"/>
      <c r="Q3900" s="86"/>
      <c r="R3900" s="86"/>
      <c r="S3900" s="86"/>
      <c r="T3900" s="86"/>
      <c r="U3900" s="86"/>
      <c r="V3900" s="48"/>
      <c r="W3900" s="48"/>
      <c r="X3900" s="48"/>
      <c r="Y3900" s="48"/>
      <c r="Z3900" s="48"/>
      <c r="AA3900" s="48"/>
      <c r="AB3900" s="48"/>
      <c r="AC3900" s="48"/>
      <c r="AD3900" s="48"/>
      <c r="AE3900" s="48"/>
      <c r="AF3900" s="48"/>
      <c r="AG3900" s="48"/>
      <c r="AH3900" s="48"/>
      <c r="AI3900" s="48"/>
      <c r="AJ3900" s="48"/>
      <c r="AK3900" s="48"/>
      <c r="AL3900" s="48"/>
      <c r="AM3900" s="48"/>
      <c r="AN3900" s="48"/>
      <c r="AO3900" s="48"/>
      <c r="AP3900" s="48"/>
      <c r="AQ3900" s="48"/>
      <c r="AR3900" s="48"/>
      <c r="AS3900" s="48"/>
      <c r="AT3900" s="48"/>
      <c r="AU3900" s="48"/>
      <c r="AV3900" s="48"/>
      <c r="AW3900" s="48"/>
      <c r="AX3900" s="48"/>
      <c r="AY3900" s="48"/>
      <c r="AZ3900" s="48"/>
      <c r="BA3900" s="48"/>
      <c r="BB3900" s="48"/>
      <c r="BC3900" s="48"/>
      <c r="BD3900" s="48"/>
    </row>
    <row r="3901" spans="1:56">
      <c r="A3901" s="48"/>
      <c r="B3901" s="48"/>
      <c r="C3901" s="49"/>
      <c r="D3901" s="48"/>
      <c r="E3901" s="48"/>
      <c r="F3901" s="48"/>
      <c r="G3901" s="48"/>
      <c r="H3901" s="48"/>
      <c r="I3901" s="48"/>
      <c r="J3901" s="86"/>
      <c r="K3901" s="86"/>
      <c r="L3901" s="86"/>
      <c r="M3901" s="86"/>
      <c r="N3901" s="86"/>
      <c r="O3901" s="86"/>
      <c r="P3901" s="86"/>
      <c r="Q3901" s="86"/>
      <c r="R3901" s="86"/>
      <c r="S3901" s="86"/>
      <c r="T3901" s="86"/>
      <c r="U3901" s="86"/>
      <c r="V3901" s="48"/>
      <c r="W3901" s="48"/>
      <c r="X3901" s="48"/>
      <c r="Y3901" s="48"/>
      <c r="Z3901" s="48"/>
      <c r="AA3901" s="48"/>
      <c r="AB3901" s="48"/>
      <c r="AC3901" s="48"/>
      <c r="AD3901" s="48"/>
      <c r="AE3901" s="48"/>
      <c r="AF3901" s="48"/>
      <c r="AG3901" s="48"/>
      <c r="AH3901" s="48"/>
      <c r="AI3901" s="48"/>
      <c r="AJ3901" s="48"/>
      <c r="AK3901" s="48"/>
      <c r="AL3901" s="48"/>
      <c r="AM3901" s="48"/>
      <c r="AN3901" s="48"/>
      <c r="AO3901" s="48"/>
      <c r="AP3901" s="48"/>
      <c r="AQ3901" s="48"/>
      <c r="AR3901" s="48"/>
      <c r="AS3901" s="48"/>
      <c r="AT3901" s="48"/>
      <c r="AU3901" s="48"/>
      <c r="AV3901" s="48"/>
      <c r="AW3901" s="48"/>
      <c r="AX3901" s="48"/>
      <c r="AY3901" s="48"/>
      <c r="AZ3901" s="48"/>
      <c r="BA3901" s="48"/>
      <c r="BB3901" s="48"/>
      <c r="BC3901" s="48"/>
      <c r="BD3901" s="48"/>
    </row>
    <row r="3902" spans="1:56">
      <c r="A3902" s="48"/>
      <c r="B3902" s="48"/>
      <c r="C3902" s="49"/>
      <c r="D3902" s="48"/>
      <c r="E3902" s="48"/>
      <c r="F3902" s="48"/>
      <c r="G3902" s="48"/>
      <c r="H3902" s="48"/>
      <c r="I3902" s="48"/>
      <c r="J3902" s="86"/>
      <c r="K3902" s="86"/>
      <c r="L3902" s="86"/>
      <c r="M3902" s="86"/>
      <c r="N3902" s="86"/>
      <c r="O3902" s="86"/>
      <c r="P3902" s="86"/>
      <c r="Q3902" s="86"/>
      <c r="R3902" s="86"/>
      <c r="S3902" s="86"/>
      <c r="T3902" s="86"/>
      <c r="U3902" s="86"/>
      <c r="V3902" s="48"/>
      <c r="W3902" s="48"/>
      <c r="X3902" s="48"/>
      <c r="Y3902" s="48"/>
      <c r="Z3902" s="48"/>
      <c r="AA3902" s="48"/>
      <c r="AB3902" s="48"/>
      <c r="AC3902" s="48"/>
      <c r="AD3902" s="48"/>
      <c r="AE3902" s="48"/>
      <c r="AF3902" s="48"/>
      <c r="AG3902" s="48"/>
      <c r="AH3902" s="48"/>
      <c r="AI3902" s="48"/>
      <c r="AJ3902" s="48"/>
      <c r="AK3902" s="48"/>
      <c r="AL3902" s="48"/>
      <c r="AM3902" s="48"/>
      <c r="AN3902" s="48"/>
      <c r="AO3902" s="48"/>
      <c r="AP3902" s="48"/>
      <c r="AQ3902" s="48"/>
      <c r="AR3902" s="48"/>
      <c r="AS3902" s="48"/>
      <c r="AT3902" s="48"/>
      <c r="AU3902" s="48"/>
      <c r="AV3902" s="48"/>
      <c r="AW3902" s="48"/>
      <c r="AX3902" s="48"/>
      <c r="AY3902" s="48"/>
      <c r="AZ3902" s="48"/>
      <c r="BA3902" s="48"/>
      <c r="BB3902" s="48"/>
      <c r="BC3902" s="48"/>
      <c r="BD3902" s="48"/>
    </row>
    <row r="3903" spans="1:56">
      <c r="A3903" s="48"/>
      <c r="B3903" s="48"/>
      <c r="C3903" s="49"/>
      <c r="D3903" s="48"/>
      <c r="E3903" s="48"/>
      <c r="F3903" s="48"/>
      <c r="G3903" s="48"/>
      <c r="H3903" s="48"/>
      <c r="I3903" s="48"/>
      <c r="J3903" s="86"/>
      <c r="K3903" s="86"/>
      <c r="L3903" s="86"/>
      <c r="M3903" s="86"/>
      <c r="N3903" s="86"/>
      <c r="O3903" s="86"/>
      <c r="P3903" s="86"/>
      <c r="Q3903" s="86"/>
      <c r="R3903" s="86"/>
      <c r="S3903" s="86"/>
      <c r="T3903" s="86"/>
      <c r="U3903" s="86"/>
      <c r="V3903" s="48"/>
      <c r="W3903" s="48"/>
      <c r="X3903" s="48"/>
      <c r="Y3903" s="48"/>
      <c r="Z3903" s="48"/>
      <c r="AA3903" s="48"/>
      <c r="AB3903" s="48"/>
      <c r="AC3903" s="48"/>
      <c r="AD3903" s="48"/>
      <c r="AE3903" s="48"/>
      <c r="AF3903" s="48"/>
      <c r="AG3903" s="48"/>
      <c r="AH3903" s="48"/>
      <c r="AI3903" s="48"/>
      <c r="AJ3903" s="48"/>
      <c r="AK3903" s="48"/>
      <c r="AL3903" s="48"/>
      <c r="AM3903" s="48"/>
      <c r="AN3903" s="48"/>
      <c r="AO3903" s="48"/>
      <c r="AP3903" s="48"/>
      <c r="AQ3903" s="48"/>
      <c r="AR3903" s="48"/>
      <c r="AS3903" s="48"/>
      <c r="AT3903" s="48"/>
      <c r="AU3903" s="48"/>
      <c r="AV3903" s="48"/>
      <c r="AW3903" s="48"/>
      <c r="AX3903" s="48"/>
      <c r="AY3903" s="48"/>
      <c r="AZ3903" s="48"/>
      <c r="BA3903" s="48"/>
      <c r="BB3903" s="48"/>
      <c r="BC3903" s="48"/>
      <c r="BD3903" s="48"/>
    </row>
    <row r="3904" spans="1:56">
      <c r="A3904" s="48"/>
      <c r="B3904" s="48"/>
      <c r="C3904" s="49"/>
      <c r="D3904" s="48"/>
      <c r="E3904" s="48"/>
      <c r="F3904" s="48"/>
      <c r="G3904" s="48"/>
      <c r="H3904" s="48"/>
      <c r="I3904" s="48"/>
      <c r="J3904" s="86"/>
      <c r="K3904" s="86"/>
      <c r="L3904" s="86"/>
      <c r="M3904" s="86"/>
      <c r="N3904" s="86"/>
      <c r="O3904" s="86"/>
      <c r="P3904" s="86"/>
      <c r="Q3904" s="86"/>
      <c r="R3904" s="86"/>
      <c r="S3904" s="86"/>
      <c r="T3904" s="86"/>
      <c r="U3904" s="86"/>
      <c r="V3904" s="48"/>
      <c r="W3904" s="48"/>
      <c r="X3904" s="48"/>
      <c r="Y3904" s="48"/>
      <c r="Z3904" s="48"/>
      <c r="AA3904" s="48"/>
      <c r="AB3904" s="48"/>
      <c r="AC3904" s="48"/>
      <c r="AD3904" s="48"/>
      <c r="AE3904" s="48"/>
      <c r="AF3904" s="48"/>
      <c r="AG3904" s="48"/>
      <c r="AH3904" s="48"/>
      <c r="AI3904" s="48"/>
      <c r="AJ3904" s="48"/>
      <c r="AK3904" s="48"/>
      <c r="AL3904" s="48"/>
      <c r="AM3904" s="48"/>
      <c r="AN3904" s="48"/>
      <c r="AO3904" s="48"/>
      <c r="AP3904" s="48"/>
      <c r="AQ3904" s="48"/>
      <c r="AR3904" s="48"/>
      <c r="AS3904" s="48"/>
      <c r="AT3904" s="48"/>
      <c r="AU3904" s="48"/>
      <c r="AV3904" s="48"/>
      <c r="AW3904" s="48"/>
      <c r="AX3904" s="48"/>
      <c r="AY3904" s="48"/>
      <c r="AZ3904" s="48"/>
      <c r="BA3904" s="48"/>
      <c r="BB3904" s="48"/>
      <c r="BC3904" s="48"/>
      <c r="BD3904" s="48"/>
    </row>
    <row r="3905" spans="1:56">
      <c r="A3905" s="48"/>
      <c r="B3905" s="48"/>
      <c r="C3905" s="49"/>
      <c r="D3905" s="48"/>
      <c r="E3905" s="48"/>
      <c r="F3905" s="48"/>
      <c r="G3905" s="48"/>
      <c r="H3905" s="48"/>
      <c r="I3905" s="48"/>
      <c r="J3905" s="86"/>
      <c r="K3905" s="86"/>
      <c r="L3905" s="86"/>
      <c r="M3905" s="86"/>
      <c r="N3905" s="86"/>
      <c r="O3905" s="86"/>
      <c r="P3905" s="86"/>
      <c r="Q3905" s="86"/>
      <c r="R3905" s="86"/>
      <c r="S3905" s="86"/>
      <c r="T3905" s="86"/>
      <c r="U3905" s="86"/>
      <c r="V3905" s="48"/>
      <c r="W3905" s="48"/>
      <c r="X3905" s="48"/>
      <c r="Y3905" s="48"/>
      <c r="Z3905" s="48"/>
      <c r="AA3905" s="48"/>
      <c r="AB3905" s="48"/>
      <c r="AC3905" s="48"/>
      <c r="AD3905" s="48"/>
      <c r="AE3905" s="48"/>
      <c r="AF3905" s="48"/>
      <c r="AG3905" s="48"/>
      <c r="AH3905" s="48"/>
      <c r="AI3905" s="48"/>
      <c r="AJ3905" s="48"/>
      <c r="AK3905" s="48"/>
      <c r="AL3905" s="48"/>
      <c r="AM3905" s="48"/>
      <c r="AN3905" s="48"/>
      <c r="AO3905" s="48"/>
      <c r="AP3905" s="48"/>
      <c r="AQ3905" s="48"/>
      <c r="AR3905" s="48"/>
      <c r="AS3905" s="48"/>
      <c r="AT3905" s="48"/>
      <c r="AU3905" s="48"/>
      <c r="AV3905" s="48"/>
      <c r="AW3905" s="48"/>
      <c r="AX3905" s="48"/>
      <c r="AY3905" s="48"/>
      <c r="AZ3905" s="48"/>
      <c r="BA3905" s="48"/>
      <c r="BB3905" s="48"/>
      <c r="BC3905" s="48"/>
      <c r="BD3905" s="48"/>
    </row>
    <row r="3906" spans="1:56">
      <c r="A3906" s="48"/>
      <c r="B3906" s="48"/>
      <c r="C3906" s="49"/>
      <c r="D3906" s="48"/>
      <c r="E3906" s="48"/>
      <c r="F3906" s="48"/>
      <c r="G3906" s="48"/>
      <c r="H3906" s="48"/>
      <c r="I3906" s="48"/>
      <c r="J3906" s="86"/>
      <c r="K3906" s="86"/>
      <c r="L3906" s="86"/>
      <c r="M3906" s="86"/>
      <c r="N3906" s="86"/>
      <c r="O3906" s="86"/>
      <c r="P3906" s="86"/>
      <c r="Q3906" s="86"/>
      <c r="R3906" s="86"/>
      <c r="S3906" s="86"/>
      <c r="T3906" s="86"/>
      <c r="U3906" s="86"/>
      <c r="V3906" s="48"/>
      <c r="W3906" s="48"/>
      <c r="X3906" s="48"/>
      <c r="Y3906" s="48"/>
      <c r="Z3906" s="48"/>
      <c r="AA3906" s="48"/>
      <c r="AB3906" s="48"/>
      <c r="AC3906" s="48"/>
      <c r="AD3906" s="48"/>
      <c r="AE3906" s="48"/>
      <c r="AF3906" s="48"/>
      <c r="AG3906" s="48"/>
      <c r="AH3906" s="48"/>
      <c r="AI3906" s="48"/>
      <c r="AJ3906" s="48"/>
      <c r="AK3906" s="48"/>
      <c r="AL3906" s="48"/>
      <c r="AM3906" s="48"/>
      <c r="AN3906" s="48"/>
      <c r="AO3906" s="48"/>
      <c r="AP3906" s="48"/>
      <c r="AQ3906" s="48"/>
      <c r="AR3906" s="48"/>
      <c r="AS3906" s="48"/>
      <c r="AT3906" s="48"/>
      <c r="AU3906" s="48"/>
      <c r="AV3906" s="48"/>
      <c r="AW3906" s="48"/>
      <c r="AX3906" s="48"/>
      <c r="AY3906" s="48"/>
      <c r="AZ3906" s="48"/>
      <c r="BA3906" s="48"/>
      <c r="BB3906" s="48"/>
      <c r="BC3906" s="48"/>
      <c r="BD3906" s="48"/>
    </row>
    <row r="3907" spans="1:56">
      <c r="A3907" s="48"/>
      <c r="B3907" s="48"/>
      <c r="C3907" s="49"/>
      <c r="D3907" s="48"/>
      <c r="E3907" s="48"/>
      <c r="F3907" s="48"/>
      <c r="G3907" s="48"/>
      <c r="H3907" s="48"/>
      <c r="I3907" s="48"/>
      <c r="J3907" s="86"/>
      <c r="K3907" s="86"/>
      <c r="L3907" s="86"/>
      <c r="M3907" s="86"/>
      <c r="N3907" s="86"/>
      <c r="O3907" s="86"/>
      <c r="P3907" s="86"/>
      <c r="Q3907" s="86"/>
      <c r="R3907" s="86"/>
      <c r="S3907" s="86"/>
      <c r="T3907" s="86"/>
      <c r="U3907" s="86"/>
      <c r="V3907" s="48"/>
      <c r="W3907" s="48"/>
      <c r="X3907" s="48"/>
      <c r="Y3907" s="48"/>
      <c r="Z3907" s="48"/>
      <c r="AA3907" s="48"/>
      <c r="AB3907" s="48"/>
      <c r="AC3907" s="48"/>
      <c r="AD3907" s="48"/>
      <c r="AE3907" s="48"/>
      <c r="AF3907" s="48"/>
      <c r="AG3907" s="48"/>
      <c r="AH3907" s="48"/>
      <c r="AI3907" s="48"/>
      <c r="AJ3907" s="48"/>
      <c r="AK3907" s="48"/>
      <c r="AL3907" s="48"/>
      <c r="AM3907" s="48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48"/>
      <c r="BA3907" s="48"/>
      <c r="BB3907" s="48"/>
      <c r="BC3907" s="48"/>
      <c r="BD3907" s="48"/>
    </row>
    <row r="3908" spans="1:56">
      <c r="A3908" s="48"/>
      <c r="B3908" s="48"/>
      <c r="C3908" s="49"/>
      <c r="D3908" s="48"/>
      <c r="E3908" s="48"/>
      <c r="F3908" s="48"/>
      <c r="G3908" s="48"/>
      <c r="H3908" s="48"/>
      <c r="I3908" s="48"/>
      <c r="J3908" s="86"/>
      <c r="K3908" s="86"/>
      <c r="L3908" s="86"/>
      <c r="M3908" s="86"/>
      <c r="N3908" s="86"/>
      <c r="O3908" s="86"/>
      <c r="P3908" s="86"/>
      <c r="Q3908" s="86"/>
      <c r="R3908" s="86"/>
      <c r="S3908" s="86"/>
      <c r="T3908" s="86"/>
      <c r="U3908" s="86"/>
      <c r="V3908" s="48"/>
      <c r="W3908" s="48"/>
      <c r="X3908" s="48"/>
      <c r="Y3908" s="48"/>
      <c r="Z3908" s="48"/>
      <c r="AA3908" s="48"/>
      <c r="AB3908" s="48"/>
      <c r="AC3908" s="48"/>
      <c r="AD3908" s="48"/>
      <c r="AE3908" s="48"/>
      <c r="AF3908" s="48"/>
      <c r="AG3908" s="48"/>
      <c r="AH3908" s="48"/>
      <c r="AI3908" s="48"/>
      <c r="AJ3908" s="48"/>
      <c r="AK3908" s="48"/>
      <c r="AL3908" s="48"/>
      <c r="AM3908" s="48"/>
      <c r="AN3908" s="48"/>
      <c r="AO3908" s="48"/>
      <c r="AP3908" s="48"/>
      <c r="AQ3908" s="48"/>
      <c r="AR3908" s="48"/>
      <c r="AS3908" s="48"/>
      <c r="AT3908" s="48"/>
      <c r="AU3908" s="48"/>
      <c r="AV3908" s="48"/>
      <c r="AW3908" s="48"/>
      <c r="AX3908" s="48"/>
      <c r="AY3908" s="48"/>
      <c r="AZ3908" s="48"/>
      <c r="BA3908" s="48"/>
      <c r="BB3908" s="48"/>
      <c r="BC3908" s="48"/>
      <c r="BD3908" s="48"/>
    </row>
    <row r="3909" spans="1:56">
      <c r="A3909" s="48"/>
      <c r="B3909" s="48"/>
      <c r="C3909" s="49"/>
      <c r="D3909" s="48"/>
      <c r="E3909" s="48"/>
      <c r="F3909" s="48"/>
      <c r="G3909" s="48"/>
      <c r="H3909" s="48"/>
      <c r="I3909" s="48"/>
      <c r="J3909" s="86"/>
      <c r="K3909" s="86"/>
      <c r="L3909" s="86"/>
      <c r="M3909" s="86"/>
      <c r="N3909" s="86"/>
      <c r="O3909" s="86"/>
      <c r="P3909" s="86"/>
      <c r="Q3909" s="86"/>
      <c r="R3909" s="86"/>
      <c r="S3909" s="86"/>
      <c r="T3909" s="86"/>
      <c r="U3909" s="86"/>
      <c r="V3909" s="48"/>
      <c r="W3909" s="48"/>
      <c r="X3909" s="48"/>
      <c r="Y3909" s="48"/>
      <c r="Z3909" s="48"/>
      <c r="AA3909" s="48"/>
      <c r="AB3909" s="48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48"/>
      <c r="BB3909" s="48"/>
      <c r="BC3909" s="48"/>
      <c r="BD3909" s="48"/>
    </row>
    <row r="3910" spans="1:56">
      <c r="A3910" s="48"/>
      <c r="B3910" s="48"/>
      <c r="C3910" s="49"/>
      <c r="D3910" s="48"/>
      <c r="E3910" s="48"/>
      <c r="F3910" s="48"/>
      <c r="G3910" s="48"/>
      <c r="H3910" s="48"/>
      <c r="I3910" s="48"/>
      <c r="J3910" s="86"/>
      <c r="K3910" s="86"/>
      <c r="L3910" s="86"/>
      <c r="M3910" s="86"/>
      <c r="N3910" s="86"/>
      <c r="O3910" s="86"/>
      <c r="P3910" s="86"/>
      <c r="Q3910" s="86"/>
      <c r="R3910" s="86"/>
      <c r="S3910" s="86"/>
      <c r="T3910" s="86"/>
      <c r="U3910" s="86"/>
      <c r="V3910" s="48"/>
      <c r="W3910" s="48"/>
      <c r="X3910" s="48"/>
      <c r="Y3910" s="48"/>
      <c r="Z3910" s="48"/>
      <c r="AA3910" s="48"/>
      <c r="AB3910" s="48"/>
      <c r="AC3910" s="48"/>
      <c r="AD3910" s="48"/>
      <c r="AE3910" s="48"/>
      <c r="AF3910" s="48"/>
      <c r="AG3910" s="48"/>
      <c r="AH3910" s="48"/>
      <c r="AI3910" s="48"/>
      <c r="AJ3910" s="48"/>
      <c r="AK3910" s="48"/>
      <c r="AL3910" s="48"/>
      <c r="AM3910" s="48"/>
      <c r="AN3910" s="48"/>
      <c r="AO3910" s="48"/>
      <c r="AP3910" s="48"/>
      <c r="AQ3910" s="48"/>
      <c r="AR3910" s="48"/>
      <c r="AS3910" s="48"/>
      <c r="AT3910" s="48"/>
      <c r="AU3910" s="48"/>
      <c r="AV3910" s="48"/>
      <c r="AW3910" s="48"/>
      <c r="AX3910" s="48"/>
      <c r="AY3910" s="48"/>
      <c r="AZ3910" s="48"/>
      <c r="BA3910" s="48"/>
      <c r="BB3910" s="48"/>
      <c r="BC3910" s="48"/>
      <c r="BD3910" s="48"/>
    </row>
    <row r="3911" spans="1:56">
      <c r="A3911" s="48"/>
      <c r="B3911" s="48"/>
      <c r="C3911" s="49"/>
      <c r="D3911" s="48"/>
      <c r="E3911" s="48"/>
      <c r="F3911" s="48"/>
      <c r="G3911" s="48"/>
      <c r="H3911" s="48"/>
      <c r="I3911" s="48"/>
      <c r="J3911" s="86"/>
      <c r="K3911" s="86"/>
      <c r="L3911" s="86"/>
      <c r="M3911" s="86"/>
      <c r="N3911" s="86"/>
      <c r="O3911" s="86"/>
      <c r="P3911" s="86"/>
      <c r="Q3911" s="86"/>
      <c r="R3911" s="86"/>
      <c r="S3911" s="86"/>
      <c r="T3911" s="86"/>
      <c r="U3911" s="86"/>
      <c r="V3911" s="48"/>
      <c r="W3911" s="48"/>
      <c r="X3911" s="48"/>
      <c r="Y3911" s="48"/>
      <c r="Z3911" s="48"/>
      <c r="AA3911" s="48"/>
      <c r="AB3911" s="48"/>
      <c r="AC3911" s="48"/>
      <c r="AD3911" s="48"/>
      <c r="AE3911" s="48"/>
      <c r="AF3911" s="48"/>
      <c r="AG3911" s="48"/>
      <c r="AH3911" s="48"/>
      <c r="AI3911" s="48"/>
      <c r="AJ3911" s="48"/>
      <c r="AK3911" s="48"/>
      <c r="AL3911" s="48"/>
      <c r="AM3911" s="48"/>
      <c r="AN3911" s="48"/>
      <c r="AO3911" s="48"/>
      <c r="AP3911" s="48"/>
      <c r="AQ3911" s="48"/>
      <c r="AR3911" s="48"/>
      <c r="AS3911" s="48"/>
      <c r="AT3911" s="48"/>
      <c r="AU3911" s="48"/>
      <c r="AV3911" s="48"/>
      <c r="AW3911" s="48"/>
      <c r="AX3911" s="48"/>
      <c r="AY3911" s="48"/>
      <c r="AZ3911" s="48"/>
      <c r="BA3911" s="48"/>
      <c r="BB3911" s="48"/>
      <c r="BC3911" s="48"/>
      <c r="BD3911" s="48"/>
    </row>
    <row r="3912" spans="1:56">
      <c r="A3912" s="48"/>
      <c r="B3912" s="48"/>
      <c r="C3912" s="49"/>
      <c r="D3912" s="48"/>
      <c r="E3912" s="48"/>
      <c r="F3912" s="48"/>
      <c r="G3912" s="48"/>
      <c r="H3912" s="48"/>
      <c r="I3912" s="48"/>
      <c r="J3912" s="86"/>
      <c r="K3912" s="86"/>
      <c r="L3912" s="86"/>
      <c r="M3912" s="86"/>
      <c r="N3912" s="86"/>
      <c r="O3912" s="86"/>
      <c r="P3912" s="86"/>
      <c r="Q3912" s="86"/>
      <c r="R3912" s="86"/>
      <c r="S3912" s="86"/>
      <c r="T3912" s="86"/>
      <c r="U3912" s="86"/>
      <c r="V3912" s="48"/>
      <c r="W3912" s="48"/>
      <c r="X3912" s="48"/>
      <c r="Y3912" s="48"/>
      <c r="Z3912" s="48"/>
      <c r="AA3912" s="48"/>
      <c r="AB3912" s="48"/>
      <c r="AC3912" s="48"/>
      <c r="AD3912" s="48"/>
      <c r="AE3912" s="48"/>
      <c r="AF3912" s="48"/>
      <c r="AG3912" s="48"/>
      <c r="AH3912" s="48"/>
      <c r="AI3912" s="48"/>
      <c r="AJ3912" s="48"/>
      <c r="AK3912" s="48"/>
      <c r="AL3912" s="48"/>
      <c r="AM3912" s="48"/>
      <c r="AN3912" s="48"/>
      <c r="AO3912" s="48"/>
      <c r="AP3912" s="48"/>
      <c r="AQ3912" s="48"/>
      <c r="AR3912" s="48"/>
      <c r="AS3912" s="48"/>
      <c r="AT3912" s="48"/>
      <c r="AU3912" s="48"/>
      <c r="AV3912" s="48"/>
      <c r="AW3912" s="48"/>
      <c r="AX3912" s="48"/>
      <c r="AY3912" s="48"/>
      <c r="AZ3912" s="48"/>
      <c r="BA3912" s="48"/>
      <c r="BB3912" s="48"/>
      <c r="BC3912" s="48"/>
      <c r="BD3912" s="48"/>
    </row>
    <row r="3913" spans="1:56">
      <c r="A3913" s="48"/>
      <c r="B3913" s="48"/>
      <c r="C3913" s="49"/>
      <c r="D3913" s="48"/>
      <c r="E3913" s="48"/>
      <c r="F3913" s="48"/>
      <c r="G3913" s="48"/>
      <c r="H3913" s="48"/>
      <c r="I3913" s="48"/>
      <c r="J3913" s="86"/>
      <c r="K3913" s="86"/>
      <c r="L3913" s="86"/>
      <c r="M3913" s="86"/>
      <c r="N3913" s="86"/>
      <c r="O3913" s="86"/>
      <c r="P3913" s="86"/>
      <c r="Q3913" s="86"/>
      <c r="R3913" s="86"/>
      <c r="S3913" s="86"/>
      <c r="T3913" s="86"/>
      <c r="U3913" s="86"/>
      <c r="V3913" s="48"/>
      <c r="W3913" s="48"/>
      <c r="X3913" s="48"/>
      <c r="Y3913" s="48"/>
      <c r="Z3913" s="48"/>
      <c r="AA3913" s="48"/>
      <c r="AB3913" s="48"/>
      <c r="AC3913" s="48"/>
      <c r="AD3913" s="48"/>
      <c r="AE3913" s="48"/>
      <c r="AF3913" s="48"/>
      <c r="AG3913" s="48"/>
      <c r="AH3913" s="48"/>
      <c r="AI3913" s="48"/>
      <c r="AJ3913" s="48"/>
      <c r="AK3913" s="48"/>
      <c r="AL3913" s="48"/>
      <c r="AM3913" s="48"/>
      <c r="AN3913" s="48"/>
      <c r="AO3913" s="48"/>
      <c r="AP3913" s="48"/>
      <c r="AQ3913" s="48"/>
      <c r="AR3913" s="48"/>
      <c r="AS3913" s="48"/>
      <c r="AT3913" s="48"/>
      <c r="AU3913" s="48"/>
      <c r="AV3913" s="48"/>
      <c r="AW3913" s="48"/>
      <c r="AX3913" s="48"/>
      <c r="AY3913" s="48"/>
      <c r="AZ3913" s="48"/>
      <c r="BA3913" s="48"/>
      <c r="BB3913" s="48"/>
      <c r="BC3913" s="48"/>
      <c r="BD3913" s="48"/>
    </row>
    <row r="3914" spans="1:56">
      <c r="A3914" s="48"/>
      <c r="B3914" s="48"/>
      <c r="C3914" s="49"/>
      <c r="D3914" s="48"/>
      <c r="E3914" s="48"/>
      <c r="F3914" s="48"/>
      <c r="G3914" s="48"/>
      <c r="H3914" s="48"/>
      <c r="I3914" s="48"/>
      <c r="J3914" s="86"/>
      <c r="K3914" s="86"/>
      <c r="L3914" s="86"/>
      <c r="M3914" s="86"/>
      <c r="N3914" s="86"/>
      <c r="O3914" s="86"/>
      <c r="P3914" s="86"/>
      <c r="Q3914" s="86"/>
      <c r="R3914" s="86"/>
      <c r="S3914" s="86"/>
      <c r="T3914" s="86"/>
      <c r="U3914" s="86"/>
      <c r="V3914" s="48"/>
      <c r="W3914" s="48"/>
      <c r="X3914" s="48"/>
      <c r="Y3914" s="48"/>
      <c r="Z3914" s="48"/>
      <c r="AA3914" s="48"/>
      <c r="AB3914" s="48"/>
      <c r="AC3914" s="48"/>
      <c r="AD3914" s="48"/>
      <c r="AE3914" s="48"/>
      <c r="AF3914" s="48"/>
      <c r="AG3914" s="48"/>
      <c r="AH3914" s="48"/>
      <c r="AI3914" s="48"/>
      <c r="AJ3914" s="48"/>
      <c r="AK3914" s="48"/>
      <c r="AL3914" s="48"/>
      <c r="AM3914" s="48"/>
      <c r="AN3914" s="48"/>
      <c r="AO3914" s="48"/>
      <c r="AP3914" s="48"/>
      <c r="AQ3914" s="48"/>
      <c r="AR3914" s="48"/>
      <c r="AS3914" s="48"/>
      <c r="AT3914" s="48"/>
      <c r="AU3914" s="48"/>
      <c r="AV3914" s="48"/>
      <c r="AW3914" s="48"/>
      <c r="AX3914" s="48"/>
      <c r="AY3914" s="48"/>
      <c r="AZ3914" s="48"/>
      <c r="BA3914" s="48"/>
      <c r="BB3914" s="48"/>
      <c r="BC3914" s="48"/>
      <c r="BD3914" s="48"/>
    </row>
    <row r="3915" spans="1:56">
      <c r="A3915" s="48"/>
      <c r="B3915" s="48"/>
      <c r="C3915" s="49"/>
      <c r="D3915" s="48"/>
      <c r="E3915" s="48"/>
      <c r="F3915" s="48"/>
      <c r="G3915" s="48"/>
      <c r="H3915" s="48"/>
      <c r="I3915" s="48"/>
      <c r="J3915" s="86"/>
      <c r="K3915" s="86"/>
      <c r="L3915" s="86"/>
      <c r="M3915" s="86"/>
      <c r="N3915" s="86"/>
      <c r="O3915" s="86"/>
      <c r="P3915" s="86"/>
      <c r="Q3915" s="86"/>
      <c r="R3915" s="86"/>
      <c r="S3915" s="86"/>
      <c r="T3915" s="86"/>
      <c r="U3915" s="86"/>
      <c r="V3915" s="48"/>
      <c r="W3915" s="48"/>
      <c r="X3915" s="48"/>
      <c r="Y3915" s="48"/>
      <c r="Z3915" s="48"/>
      <c r="AA3915" s="48"/>
      <c r="AB3915" s="48"/>
      <c r="AC3915" s="48"/>
      <c r="AD3915" s="48"/>
      <c r="AE3915" s="48"/>
      <c r="AF3915" s="48"/>
      <c r="AG3915" s="48"/>
      <c r="AH3915" s="48"/>
      <c r="AI3915" s="48"/>
      <c r="AJ3915" s="48"/>
      <c r="AK3915" s="48"/>
      <c r="AL3915" s="48"/>
      <c r="AM3915" s="48"/>
      <c r="AN3915" s="48"/>
      <c r="AO3915" s="48"/>
      <c r="AP3915" s="48"/>
      <c r="AQ3915" s="48"/>
      <c r="AR3915" s="48"/>
      <c r="AS3915" s="48"/>
      <c r="AT3915" s="48"/>
      <c r="AU3915" s="48"/>
      <c r="AV3915" s="48"/>
      <c r="AW3915" s="48"/>
      <c r="AX3915" s="48"/>
      <c r="AY3915" s="48"/>
      <c r="AZ3915" s="48"/>
      <c r="BA3915" s="48"/>
      <c r="BB3915" s="48"/>
      <c r="BC3915" s="48"/>
      <c r="BD3915" s="48"/>
    </row>
    <row r="3916" spans="1:56">
      <c r="A3916" s="48"/>
      <c r="B3916" s="48"/>
      <c r="C3916" s="49"/>
      <c r="D3916" s="48"/>
      <c r="E3916" s="48"/>
      <c r="F3916" s="48"/>
      <c r="G3916" s="48"/>
      <c r="H3916" s="48"/>
      <c r="I3916" s="48"/>
      <c r="J3916" s="86"/>
      <c r="K3916" s="86"/>
      <c r="L3916" s="86"/>
      <c r="M3916" s="86"/>
      <c r="N3916" s="86"/>
      <c r="O3916" s="86"/>
      <c r="P3916" s="86"/>
      <c r="Q3916" s="86"/>
      <c r="R3916" s="86"/>
      <c r="S3916" s="86"/>
      <c r="T3916" s="86"/>
      <c r="U3916" s="86"/>
      <c r="V3916" s="48"/>
      <c r="W3916" s="48"/>
      <c r="X3916" s="48"/>
      <c r="Y3916" s="48"/>
      <c r="Z3916" s="48"/>
      <c r="AA3916" s="48"/>
      <c r="AB3916" s="48"/>
      <c r="AC3916" s="48"/>
      <c r="AD3916" s="48"/>
      <c r="AE3916" s="48"/>
      <c r="AF3916" s="48"/>
      <c r="AG3916" s="48"/>
      <c r="AH3916" s="48"/>
      <c r="AI3916" s="48"/>
      <c r="AJ3916" s="48"/>
      <c r="AK3916" s="48"/>
      <c r="AL3916" s="48"/>
      <c r="AM3916" s="48"/>
      <c r="AN3916" s="48"/>
      <c r="AO3916" s="48"/>
      <c r="AP3916" s="48"/>
      <c r="AQ3916" s="48"/>
      <c r="AR3916" s="48"/>
      <c r="AS3916" s="48"/>
      <c r="AT3916" s="48"/>
      <c r="AU3916" s="48"/>
      <c r="AV3916" s="48"/>
      <c r="AW3916" s="48"/>
      <c r="AX3916" s="48"/>
      <c r="AY3916" s="48"/>
      <c r="AZ3916" s="48"/>
      <c r="BA3916" s="48"/>
      <c r="BB3916" s="48"/>
      <c r="BC3916" s="48"/>
      <c r="BD3916" s="48"/>
    </row>
    <row r="3917" spans="1:56">
      <c r="A3917" s="48"/>
      <c r="B3917" s="48"/>
      <c r="C3917" s="49"/>
      <c r="D3917" s="48"/>
      <c r="E3917" s="48"/>
      <c r="F3917" s="48"/>
      <c r="G3917" s="48"/>
      <c r="H3917" s="48"/>
      <c r="I3917" s="48"/>
      <c r="J3917" s="86"/>
      <c r="K3917" s="86"/>
      <c r="L3917" s="86"/>
      <c r="M3917" s="86"/>
      <c r="N3917" s="86"/>
      <c r="O3917" s="86"/>
      <c r="P3917" s="86"/>
      <c r="Q3917" s="86"/>
      <c r="R3917" s="86"/>
      <c r="S3917" s="86"/>
      <c r="T3917" s="86"/>
      <c r="U3917" s="86"/>
      <c r="V3917" s="48"/>
      <c r="W3917" s="48"/>
      <c r="X3917" s="48"/>
      <c r="Y3917" s="48"/>
      <c r="Z3917" s="48"/>
      <c r="AA3917" s="48"/>
      <c r="AB3917" s="48"/>
      <c r="AC3917" s="48"/>
      <c r="AD3917" s="48"/>
      <c r="AE3917" s="48"/>
      <c r="AF3917" s="48"/>
      <c r="AG3917" s="48"/>
      <c r="AH3917" s="48"/>
      <c r="AI3917" s="48"/>
      <c r="AJ3917" s="48"/>
      <c r="AK3917" s="48"/>
      <c r="AL3917" s="48"/>
      <c r="AM3917" s="48"/>
      <c r="AN3917" s="48"/>
      <c r="AO3917" s="48"/>
      <c r="AP3917" s="48"/>
      <c r="AQ3917" s="48"/>
      <c r="AR3917" s="48"/>
      <c r="AS3917" s="48"/>
      <c r="AT3917" s="48"/>
      <c r="AU3917" s="48"/>
      <c r="AV3917" s="48"/>
      <c r="AW3917" s="48"/>
      <c r="AX3917" s="48"/>
      <c r="AY3917" s="48"/>
      <c r="AZ3917" s="48"/>
      <c r="BA3917" s="48"/>
      <c r="BB3917" s="48"/>
      <c r="BC3917" s="48"/>
      <c r="BD3917" s="48"/>
    </row>
    <row r="3918" spans="1:56">
      <c r="A3918" s="48"/>
      <c r="B3918" s="48"/>
      <c r="C3918" s="49"/>
      <c r="D3918" s="48"/>
      <c r="E3918" s="48"/>
      <c r="F3918" s="48"/>
      <c r="G3918" s="48"/>
      <c r="H3918" s="48"/>
      <c r="I3918" s="48"/>
      <c r="J3918" s="86"/>
      <c r="K3918" s="86"/>
      <c r="L3918" s="86"/>
      <c r="M3918" s="86"/>
      <c r="N3918" s="86"/>
      <c r="O3918" s="86"/>
      <c r="P3918" s="86"/>
      <c r="Q3918" s="86"/>
      <c r="R3918" s="86"/>
      <c r="S3918" s="86"/>
      <c r="T3918" s="86"/>
      <c r="U3918" s="86"/>
      <c r="V3918" s="48"/>
      <c r="W3918" s="48"/>
      <c r="X3918" s="48"/>
      <c r="Y3918" s="48"/>
      <c r="Z3918" s="48"/>
      <c r="AA3918" s="48"/>
      <c r="AB3918" s="48"/>
      <c r="AC3918" s="48"/>
      <c r="AD3918" s="48"/>
      <c r="AE3918" s="48"/>
      <c r="AF3918" s="48"/>
      <c r="AG3918" s="48"/>
      <c r="AH3918" s="48"/>
      <c r="AI3918" s="48"/>
      <c r="AJ3918" s="48"/>
      <c r="AK3918" s="48"/>
      <c r="AL3918" s="48"/>
      <c r="AM3918" s="48"/>
      <c r="AN3918" s="48"/>
      <c r="AO3918" s="48"/>
      <c r="AP3918" s="48"/>
      <c r="AQ3918" s="48"/>
      <c r="AR3918" s="48"/>
      <c r="AS3918" s="48"/>
      <c r="AT3918" s="48"/>
      <c r="AU3918" s="48"/>
      <c r="AV3918" s="48"/>
      <c r="AW3918" s="48"/>
      <c r="AX3918" s="48"/>
      <c r="AY3918" s="48"/>
      <c r="AZ3918" s="48"/>
      <c r="BA3918" s="48"/>
      <c r="BB3918" s="48"/>
      <c r="BC3918" s="48"/>
      <c r="BD3918" s="48"/>
    </row>
    <row r="3919" spans="1:56">
      <c r="A3919" s="48"/>
      <c r="B3919" s="48"/>
      <c r="C3919" s="49"/>
      <c r="D3919" s="48"/>
      <c r="E3919" s="48"/>
      <c r="F3919" s="48"/>
      <c r="G3919" s="48"/>
      <c r="H3919" s="48"/>
      <c r="I3919" s="48"/>
      <c r="J3919" s="86"/>
      <c r="K3919" s="86"/>
      <c r="L3919" s="86"/>
      <c r="M3919" s="86"/>
      <c r="N3919" s="86"/>
      <c r="O3919" s="86"/>
      <c r="P3919" s="86"/>
      <c r="Q3919" s="86"/>
      <c r="R3919" s="86"/>
      <c r="S3919" s="86"/>
      <c r="T3919" s="86"/>
      <c r="U3919" s="86"/>
      <c r="V3919" s="48"/>
      <c r="W3919" s="48"/>
      <c r="X3919" s="48"/>
      <c r="Y3919" s="48"/>
      <c r="Z3919" s="48"/>
      <c r="AA3919" s="48"/>
      <c r="AB3919" s="48"/>
      <c r="AC3919" s="48"/>
      <c r="AD3919" s="48"/>
      <c r="AE3919" s="48"/>
      <c r="AF3919" s="48"/>
      <c r="AG3919" s="48"/>
      <c r="AH3919" s="48"/>
      <c r="AI3919" s="48"/>
      <c r="AJ3919" s="48"/>
      <c r="AK3919" s="48"/>
      <c r="AL3919" s="48"/>
      <c r="AM3919" s="48"/>
      <c r="AN3919" s="48"/>
      <c r="AO3919" s="48"/>
      <c r="AP3919" s="48"/>
      <c r="AQ3919" s="48"/>
      <c r="AR3919" s="48"/>
      <c r="AS3919" s="48"/>
      <c r="AT3919" s="48"/>
      <c r="AU3919" s="48"/>
      <c r="AV3919" s="48"/>
      <c r="AW3919" s="48"/>
      <c r="AX3919" s="48"/>
      <c r="AY3919" s="48"/>
      <c r="AZ3919" s="48"/>
      <c r="BA3919" s="48"/>
      <c r="BB3919" s="48"/>
      <c r="BC3919" s="48"/>
      <c r="BD3919" s="48"/>
    </row>
    <row r="3920" spans="1:56">
      <c r="A3920" s="48"/>
      <c r="B3920" s="48"/>
      <c r="C3920" s="49"/>
      <c r="D3920" s="48"/>
      <c r="E3920" s="48"/>
      <c r="F3920" s="48"/>
      <c r="G3920" s="48"/>
      <c r="H3920" s="48"/>
      <c r="I3920" s="48"/>
      <c r="J3920" s="86"/>
      <c r="K3920" s="86"/>
      <c r="L3920" s="86"/>
      <c r="M3920" s="86"/>
      <c r="N3920" s="86"/>
      <c r="O3920" s="86"/>
      <c r="P3920" s="86"/>
      <c r="Q3920" s="86"/>
      <c r="R3920" s="86"/>
      <c r="S3920" s="86"/>
      <c r="T3920" s="86"/>
      <c r="U3920" s="86"/>
      <c r="V3920" s="48"/>
      <c r="W3920" s="48"/>
      <c r="X3920" s="48"/>
      <c r="Y3920" s="48"/>
      <c r="Z3920" s="48"/>
      <c r="AA3920" s="48"/>
      <c r="AB3920" s="48"/>
      <c r="AC3920" s="48"/>
      <c r="AD3920" s="48"/>
      <c r="AE3920" s="48"/>
      <c r="AF3920" s="48"/>
      <c r="AG3920" s="48"/>
      <c r="AH3920" s="48"/>
      <c r="AI3920" s="48"/>
      <c r="AJ3920" s="48"/>
      <c r="AK3920" s="48"/>
      <c r="AL3920" s="48"/>
      <c r="AM3920" s="48"/>
      <c r="AN3920" s="48"/>
      <c r="AO3920" s="48"/>
      <c r="AP3920" s="48"/>
      <c r="AQ3920" s="48"/>
      <c r="AR3920" s="48"/>
      <c r="AS3920" s="48"/>
      <c r="AT3920" s="48"/>
      <c r="AU3920" s="48"/>
      <c r="AV3920" s="48"/>
      <c r="AW3920" s="48"/>
      <c r="AX3920" s="48"/>
      <c r="AY3920" s="48"/>
      <c r="AZ3920" s="48"/>
      <c r="BA3920" s="48"/>
      <c r="BB3920" s="48"/>
      <c r="BC3920" s="48"/>
      <c r="BD3920" s="48"/>
    </row>
    <row r="3921" spans="1:56">
      <c r="A3921" s="48"/>
      <c r="B3921" s="48"/>
      <c r="C3921" s="49"/>
      <c r="D3921" s="48"/>
      <c r="E3921" s="48"/>
      <c r="F3921" s="48"/>
      <c r="G3921" s="48"/>
      <c r="H3921" s="48"/>
      <c r="I3921" s="48"/>
      <c r="J3921" s="86"/>
      <c r="K3921" s="86"/>
      <c r="L3921" s="86"/>
      <c r="M3921" s="86"/>
      <c r="N3921" s="86"/>
      <c r="O3921" s="86"/>
      <c r="P3921" s="86"/>
      <c r="Q3921" s="86"/>
      <c r="R3921" s="86"/>
      <c r="S3921" s="86"/>
      <c r="T3921" s="86"/>
      <c r="U3921" s="86"/>
      <c r="V3921" s="48"/>
      <c r="W3921" s="48"/>
      <c r="X3921" s="48"/>
      <c r="Y3921" s="48"/>
      <c r="Z3921" s="48"/>
      <c r="AA3921" s="48"/>
      <c r="AB3921" s="48"/>
      <c r="AC3921" s="48"/>
      <c r="AD3921" s="48"/>
      <c r="AE3921" s="48"/>
      <c r="AF3921" s="48"/>
      <c r="AG3921" s="48"/>
      <c r="AH3921" s="48"/>
      <c r="AI3921" s="48"/>
      <c r="AJ3921" s="48"/>
      <c r="AK3921" s="48"/>
      <c r="AL3921" s="48"/>
      <c r="AM3921" s="48"/>
      <c r="AN3921" s="48"/>
      <c r="AO3921" s="48"/>
      <c r="AP3921" s="48"/>
      <c r="AQ3921" s="48"/>
      <c r="AR3921" s="48"/>
      <c r="AS3921" s="48"/>
      <c r="AT3921" s="48"/>
      <c r="AU3921" s="48"/>
      <c r="AV3921" s="48"/>
      <c r="AW3921" s="48"/>
      <c r="AX3921" s="48"/>
      <c r="AY3921" s="48"/>
      <c r="AZ3921" s="48"/>
      <c r="BA3921" s="48"/>
      <c r="BB3921" s="48"/>
      <c r="BC3921" s="48"/>
      <c r="BD3921" s="48"/>
    </row>
    <row r="3922" spans="1:56">
      <c r="A3922" s="48"/>
      <c r="B3922" s="48"/>
      <c r="C3922" s="49"/>
      <c r="D3922" s="48"/>
      <c r="E3922" s="48"/>
      <c r="F3922" s="48"/>
      <c r="G3922" s="48"/>
      <c r="H3922" s="48"/>
      <c r="I3922" s="48"/>
      <c r="J3922" s="86"/>
      <c r="K3922" s="86"/>
      <c r="L3922" s="86"/>
      <c r="M3922" s="86"/>
      <c r="N3922" s="86"/>
      <c r="O3922" s="86"/>
      <c r="P3922" s="86"/>
      <c r="Q3922" s="86"/>
      <c r="R3922" s="86"/>
      <c r="S3922" s="86"/>
      <c r="T3922" s="86"/>
      <c r="U3922" s="86"/>
      <c r="V3922" s="48"/>
      <c r="W3922" s="48"/>
      <c r="X3922" s="48"/>
      <c r="Y3922" s="48"/>
      <c r="Z3922" s="48"/>
      <c r="AA3922" s="48"/>
      <c r="AB3922" s="48"/>
      <c r="AC3922" s="48"/>
      <c r="AD3922" s="48"/>
      <c r="AE3922" s="48"/>
      <c r="AF3922" s="48"/>
      <c r="AG3922" s="48"/>
      <c r="AH3922" s="48"/>
      <c r="AI3922" s="48"/>
      <c r="AJ3922" s="48"/>
      <c r="AK3922" s="48"/>
      <c r="AL3922" s="48"/>
      <c r="AM3922" s="48"/>
      <c r="AN3922" s="48"/>
      <c r="AO3922" s="48"/>
      <c r="AP3922" s="48"/>
      <c r="AQ3922" s="48"/>
      <c r="AR3922" s="48"/>
      <c r="AS3922" s="48"/>
      <c r="AT3922" s="48"/>
      <c r="AU3922" s="48"/>
      <c r="AV3922" s="48"/>
      <c r="AW3922" s="48"/>
      <c r="AX3922" s="48"/>
      <c r="AY3922" s="48"/>
      <c r="AZ3922" s="48"/>
      <c r="BA3922" s="48"/>
      <c r="BB3922" s="48"/>
      <c r="BC3922" s="48"/>
      <c r="BD3922" s="48"/>
    </row>
    <row r="3923" spans="1:56">
      <c r="A3923" s="48"/>
      <c r="B3923" s="48"/>
      <c r="C3923" s="49"/>
      <c r="D3923" s="48"/>
      <c r="E3923" s="48"/>
      <c r="F3923" s="48"/>
      <c r="G3923" s="48"/>
      <c r="H3923" s="48"/>
      <c r="I3923" s="48"/>
      <c r="J3923" s="86"/>
      <c r="K3923" s="86"/>
      <c r="L3923" s="86"/>
      <c r="M3923" s="86"/>
      <c r="N3923" s="86"/>
      <c r="O3923" s="86"/>
      <c r="P3923" s="86"/>
      <c r="Q3923" s="86"/>
      <c r="R3923" s="86"/>
      <c r="S3923" s="86"/>
      <c r="T3923" s="86"/>
      <c r="U3923" s="86"/>
      <c r="V3923" s="48"/>
      <c r="W3923" s="48"/>
      <c r="X3923" s="48"/>
      <c r="Y3923" s="48"/>
      <c r="Z3923" s="48"/>
      <c r="AA3923" s="48"/>
      <c r="AB3923" s="48"/>
      <c r="AC3923" s="48"/>
      <c r="AD3923" s="48"/>
      <c r="AE3923" s="48"/>
      <c r="AF3923" s="48"/>
      <c r="AG3923" s="48"/>
      <c r="AH3923" s="48"/>
      <c r="AI3923" s="48"/>
      <c r="AJ3923" s="48"/>
      <c r="AK3923" s="48"/>
      <c r="AL3923" s="48"/>
      <c r="AM3923" s="48"/>
      <c r="AN3923" s="48"/>
      <c r="AO3923" s="48"/>
      <c r="AP3923" s="48"/>
      <c r="AQ3923" s="48"/>
      <c r="AR3923" s="48"/>
      <c r="AS3923" s="48"/>
      <c r="AT3923" s="48"/>
      <c r="AU3923" s="48"/>
      <c r="AV3923" s="48"/>
      <c r="AW3923" s="48"/>
      <c r="AX3923" s="48"/>
      <c r="AY3923" s="48"/>
      <c r="AZ3923" s="48"/>
      <c r="BA3923" s="48"/>
      <c r="BB3923" s="48"/>
      <c r="BC3923" s="48"/>
      <c r="BD3923" s="48"/>
    </row>
    <row r="3924" spans="1:56">
      <c r="A3924" s="48"/>
      <c r="B3924" s="48"/>
      <c r="C3924" s="49"/>
      <c r="D3924" s="48"/>
      <c r="E3924" s="48"/>
      <c r="F3924" s="48"/>
      <c r="G3924" s="48"/>
      <c r="H3924" s="48"/>
      <c r="I3924" s="48"/>
      <c r="J3924" s="86"/>
      <c r="K3924" s="86"/>
      <c r="L3924" s="86"/>
      <c r="M3924" s="86"/>
      <c r="N3924" s="86"/>
      <c r="O3924" s="86"/>
      <c r="P3924" s="86"/>
      <c r="Q3924" s="86"/>
      <c r="R3924" s="86"/>
      <c r="S3924" s="86"/>
      <c r="T3924" s="86"/>
      <c r="U3924" s="86"/>
      <c r="V3924" s="48"/>
      <c r="W3924" s="48"/>
      <c r="X3924" s="48"/>
      <c r="Y3924" s="48"/>
      <c r="Z3924" s="48"/>
      <c r="AA3924" s="48"/>
      <c r="AB3924" s="48"/>
      <c r="AC3924" s="48"/>
      <c r="AD3924" s="48"/>
      <c r="AE3924" s="48"/>
      <c r="AF3924" s="48"/>
      <c r="AG3924" s="48"/>
      <c r="AH3924" s="48"/>
      <c r="AI3924" s="48"/>
      <c r="AJ3924" s="48"/>
      <c r="AK3924" s="48"/>
      <c r="AL3924" s="48"/>
      <c r="AM3924" s="48"/>
      <c r="AN3924" s="48"/>
      <c r="AO3924" s="48"/>
      <c r="AP3924" s="48"/>
      <c r="AQ3924" s="48"/>
      <c r="AR3924" s="48"/>
      <c r="AS3924" s="48"/>
      <c r="AT3924" s="48"/>
      <c r="AU3924" s="48"/>
      <c r="AV3924" s="48"/>
      <c r="AW3924" s="48"/>
      <c r="AX3924" s="48"/>
      <c r="AY3924" s="48"/>
      <c r="AZ3924" s="48"/>
      <c r="BA3924" s="48"/>
      <c r="BB3924" s="48"/>
      <c r="BC3924" s="48"/>
      <c r="BD3924" s="48"/>
    </row>
    <row r="3925" spans="1:56">
      <c r="A3925" s="48"/>
      <c r="B3925" s="48"/>
      <c r="C3925" s="49"/>
      <c r="D3925" s="48"/>
      <c r="E3925" s="48"/>
      <c r="F3925" s="48"/>
      <c r="G3925" s="48"/>
      <c r="H3925" s="48"/>
      <c r="I3925" s="48"/>
      <c r="J3925" s="86"/>
      <c r="K3925" s="86"/>
      <c r="L3925" s="86"/>
      <c r="M3925" s="86"/>
      <c r="N3925" s="86"/>
      <c r="O3925" s="86"/>
      <c r="P3925" s="86"/>
      <c r="Q3925" s="86"/>
      <c r="R3925" s="86"/>
      <c r="S3925" s="86"/>
      <c r="T3925" s="86"/>
      <c r="U3925" s="86"/>
      <c r="V3925" s="48"/>
      <c r="W3925" s="48"/>
      <c r="X3925" s="48"/>
      <c r="Y3925" s="48"/>
      <c r="Z3925" s="48"/>
      <c r="AA3925" s="48"/>
      <c r="AB3925" s="48"/>
      <c r="AC3925" s="48"/>
      <c r="AD3925" s="48"/>
      <c r="AE3925" s="48"/>
      <c r="AF3925" s="48"/>
      <c r="AG3925" s="48"/>
      <c r="AH3925" s="48"/>
      <c r="AI3925" s="48"/>
      <c r="AJ3925" s="48"/>
      <c r="AK3925" s="48"/>
      <c r="AL3925" s="48"/>
      <c r="AM3925" s="48"/>
      <c r="AN3925" s="48"/>
      <c r="AO3925" s="48"/>
      <c r="AP3925" s="48"/>
      <c r="AQ3925" s="48"/>
      <c r="AR3925" s="48"/>
      <c r="AS3925" s="48"/>
      <c r="AT3925" s="48"/>
      <c r="AU3925" s="48"/>
      <c r="AV3925" s="48"/>
      <c r="AW3925" s="48"/>
      <c r="AX3925" s="48"/>
      <c r="AY3925" s="48"/>
      <c r="AZ3925" s="48"/>
      <c r="BA3925" s="48"/>
      <c r="BB3925" s="48"/>
      <c r="BC3925" s="48"/>
      <c r="BD3925" s="48"/>
    </row>
    <row r="3926" spans="1:56">
      <c r="A3926" s="48"/>
      <c r="B3926" s="48"/>
      <c r="C3926" s="49"/>
      <c r="D3926" s="48"/>
      <c r="E3926" s="48"/>
      <c r="F3926" s="48"/>
      <c r="G3926" s="48"/>
      <c r="H3926" s="48"/>
      <c r="I3926" s="48"/>
      <c r="J3926" s="86"/>
      <c r="K3926" s="86"/>
      <c r="L3926" s="86"/>
      <c r="M3926" s="86"/>
      <c r="N3926" s="86"/>
      <c r="O3926" s="86"/>
      <c r="P3926" s="86"/>
      <c r="Q3926" s="86"/>
      <c r="R3926" s="86"/>
      <c r="S3926" s="86"/>
      <c r="T3926" s="86"/>
      <c r="U3926" s="86"/>
      <c r="V3926" s="48"/>
      <c r="W3926" s="48"/>
      <c r="X3926" s="48"/>
      <c r="Y3926" s="48"/>
      <c r="Z3926" s="48"/>
      <c r="AA3926" s="48"/>
      <c r="AB3926" s="48"/>
      <c r="AC3926" s="48"/>
      <c r="AD3926" s="48"/>
      <c r="AE3926" s="48"/>
      <c r="AF3926" s="48"/>
      <c r="AG3926" s="48"/>
      <c r="AH3926" s="48"/>
      <c r="AI3926" s="48"/>
      <c r="AJ3926" s="48"/>
      <c r="AK3926" s="48"/>
      <c r="AL3926" s="48"/>
      <c r="AM3926" s="48"/>
      <c r="AN3926" s="48"/>
      <c r="AO3926" s="48"/>
      <c r="AP3926" s="48"/>
      <c r="AQ3926" s="48"/>
      <c r="AR3926" s="48"/>
      <c r="AS3926" s="48"/>
      <c r="AT3926" s="48"/>
      <c r="AU3926" s="48"/>
      <c r="AV3926" s="48"/>
      <c r="AW3926" s="48"/>
      <c r="AX3926" s="48"/>
      <c r="AY3926" s="48"/>
      <c r="AZ3926" s="48"/>
      <c r="BA3926" s="48"/>
      <c r="BB3926" s="48"/>
      <c r="BC3926" s="48"/>
      <c r="BD3926" s="48"/>
    </row>
    <row r="3927" spans="1:56">
      <c r="A3927" s="48"/>
      <c r="B3927" s="48"/>
      <c r="C3927" s="49"/>
      <c r="D3927" s="48"/>
      <c r="E3927" s="48"/>
      <c r="F3927" s="48"/>
      <c r="G3927" s="48"/>
      <c r="H3927" s="48"/>
      <c r="I3927" s="48"/>
      <c r="J3927" s="86"/>
      <c r="K3927" s="86"/>
      <c r="L3927" s="86"/>
      <c r="M3927" s="86"/>
      <c r="N3927" s="86"/>
      <c r="O3927" s="86"/>
      <c r="P3927" s="86"/>
      <c r="Q3927" s="86"/>
      <c r="R3927" s="86"/>
      <c r="S3927" s="86"/>
      <c r="T3927" s="86"/>
      <c r="U3927" s="86"/>
      <c r="V3927" s="48"/>
      <c r="W3927" s="48"/>
      <c r="X3927" s="48"/>
      <c r="Y3927" s="48"/>
      <c r="Z3927" s="48"/>
      <c r="AA3927" s="48"/>
      <c r="AB3927" s="48"/>
      <c r="AC3927" s="48"/>
      <c r="AD3927" s="48"/>
      <c r="AE3927" s="48"/>
      <c r="AF3927" s="48"/>
      <c r="AG3927" s="48"/>
      <c r="AH3927" s="48"/>
      <c r="AI3927" s="48"/>
      <c r="AJ3927" s="48"/>
      <c r="AK3927" s="48"/>
      <c r="AL3927" s="48"/>
      <c r="AM3927" s="48"/>
      <c r="AN3927" s="48"/>
      <c r="AO3927" s="48"/>
      <c r="AP3927" s="48"/>
      <c r="AQ3927" s="48"/>
      <c r="AR3927" s="48"/>
      <c r="AS3927" s="48"/>
      <c r="AT3927" s="48"/>
      <c r="AU3927" s="48"/>
      <c r="AV3927" s="48"/>
      <c r="AW3927" s="48"/>
      <c r="AX3927" s="48"/>
      <c r="AY3927" s="48"/>
      <c r="AZ3927" s="48"/>
      <c r="BA3927" s="48"/>
      <c r="BB3927" s="48"/>
      <c r="BC3927" s="48"/>
      <c r="BD3927" s="48"/>
    </row>
    <row r="3928" spans="1:56">
      <c r="A3928" s="48"/>
      <c r="B3928" s="48"/>
      <c r="C3928" s="49"/>
      <c r="D3928" s="48"/>
      <c r="E3928" s="48"/>
      <c r="F3928" s="48"/>
      <c r="G3928" s="48"/>
      <c r="H3928" s="48"/>
      <c r="I3928" s="48"/>
      <c r="J3928" s="86"/>
      <c r="K3928" s="86"/>
      <c r="L3928" s="86"/>
      <c r="M3928" s="86"/>
      <c r="N3928" s="86"/>
      <c r="O3928" s="86"/>
      <c r="P3928" s="86"/>
      <c r="Q3928" s="86"/>
      <c r="R3928" s="86"/>
      <c r="S3928" s="86"/>
      <c r="T3928" s="86"/>
      <c r="U3928" s="86"/>
      <c r="V3928" s="48"/>
      <c r="W3928" s="48"/>
      <c r="X3928" s="48"/>
      <c r="Y3928" s="48"/>
      <c r="Z3928" s="48"/>
      <c r="AA3928" s="48"/>
      <c r="AB3928" s="48"/>
      <c r="AC3928" s="48"/>
      <c r="AD3928" s="48"/>
      <c r="AE3928" s="48"/>
      <c r="AF3928" s="48"/>
      <c r="AG3928" s="48"/>
      <c r="AH3928" s="48"/>
      <c r="AI3928" s="48"/>
      <c r="AJ3928" s="48"/>
      <c r="AK3928" s="48"/>
      <c r="AL3928" s="48"/>
      <c r="AM3928" s="48"/>
      <c r="AN3928" s="48"/>
      <c r="AO3928" s="48"/>
      <c r="AP3928" s="48"/>
      <c r="AQ3928" s="48"/>
      <c r="AR3928" s="48"/>
      <c r="AS3928" s="48"/>
      <c r="AT3928" s="48"/>
      <c r="AU3928" s="48"/>
      <c r="AV3928" s="48"/>
      <c r="AW3928" s="48"/>
      <c r="AX3928" s="48"/>
      <c r="AY3928" s="48"/>
      <c r="AZ3928" s="48"/>
      <c r="BA3928" s="48"/>
      <c r="BB3928" s="48"/>
      <c r="BC3928" s="48"/>
      <c r="BD3928" s="48"/>
    </row>
    <row r="3929" spans="1:56">
      <c r="A3929" s="48"/>
      <c r="B3929" s="48"/>
      <c r="C3929" s="49"/>
      <c r="D3929" s="48"/>
      <c r="E3929" s="48"/>
      <c r="F3929" s="48"/>
      <c r="G3929" s="48"/>
      <c r="H3929" s="48"/>
      <c r="I3929" s="48"/>
      <c r="J3929" s="86"/>
      <c r="K3929" s="86"/>
      <c r="L3929" s="86"/>
      <c r="M3929" s="86"/>
      <c r="N3929" s="86"/>
      <c r="O3929" s="86"/>
      <c r="P3929" s="86"/>
      <c r="Q3929" s="86"/>
      <c r="R3929" s="86"/>
      <c r="S3929" s="86"/>
      <c r="T3929" s="86"/>
      <c r="U3929" s="86"/>
      <c r="V3929" s="48"/>
      <c r="W3929" s="48"/>
      <c r="X3929" s="48"/>
      <c r="Y3929" s="48"/>
      <c r="Z3929" s="48"/>
      <c r="AA3929" s="48"/>
      <c r="AB3929" s="48"/>
      <c r="AC3929" s="48"/>
      <c r="AD3929" s="48"/>
      <c r="AE3929" s="48"/>
      <c r="AF3929" s="48"/>
      <c r="AG3929" s="48"/>
      <c r="AH3929" s="48"/>
      <c r="AI3929" s="48"/>
      <c r="AJ3929" s="48"/>
      <c r="AK3929" s="48"/>
      <c r="AL3929" s="48"/>
      <c r="AM3929" s="48"/>
      <c r="AN3929" s="48"/>
      <c r="AO3929" s="48"/>
      <c r="AP3929" s="48"/>
      <c r="AQ3929" s="48"/>
      <c r="AR3929" s="48"/>
      <c r="AS3929" s="48"/>
      <c r="AT3929" s="48"/>
      <c r="AU3929" s="48"/>
      <c r="AV3929" s="48"/>
      <c r="AW3929" s="48"/>
      <c r="AX3929" s="48"/>
      <c r="AY3929" s="48"/>
      <c r="AZ3929" s="48"/>
      <c r="BA3929" s="48"/>
      <c r="BB3929" s="48"/>
      <c r="BC3929" s="48"/>
      <c r="BD3929" s="48"/>
    </row>
    <row r="3930" spans="1:56">
      <c r="A3930" s="48"/>
      <c r="B3930" s="48"/>
      <c r="C3930" s="49"/>
      <c r="D3930" s="48"/>
      <c r="E3930" s="48"/>
      <c r="F3930" s="48"/>
      <c r="G3930" s="48"/>
      <c r="H3930" s="48"/>
      <c r="I3930" s="48"/>
      <c r="J3930" s="86"/>
      <c r="K3930" s="86"/>
      <c r="L3930" s="86"/>
      <c r="M3930" s="86"/>
      <c r="N3930" s="86"/>
      <c r="O3930" s="86"/>
      <c r="P3930" s="86"/>
      <c r="Q3930" s="86"/>
      <c r="R3930" s="86"/>
      <c r="S3930" s="86"/>
      <c r="T3930" s="86"/>
      <c r="U3930" s="86"/>
      <c r="V3930" s="48"/>
      <c r="W3930" s="48"/>
      <c r="X3930" s="48"/>
      <c r="Y3930" s="48"/>
      <c r="Z3930" s="48"/>
      <c r="AA3930" s="48"/>
      <c r="AB3930" s="48"/>
      <c r="AC3930" s="48"/>
      <c r="AD3930" s="48"/>
      <c r="AE3930" s="48"/>
      <c r="AF3930" s="48"/>
      <c r="AG3930" s="48"/>
      <c r="AH3930" s="48"/>
      <c r="AI3930" s="48"/>
      <c r="AJ3930" s="48"/>
      <c r="AK3930" s="48"/>
      <c r="AL3930" s="48"/>
      <c r="AM3930" s="48"/>
      <c r="AN3930" s="48"/>
      <c r="AO3930" s="48"/>
      <c r="AP3930" s="48"/>
      <c r="AQ3930" s="48"/>
      <c r="AR3930" s="48"/>
      <c r="AS3930" s="48"/>
      <c r="AT3930" s="48"/>
      <c r="AU3930" s="48"/>
      <c r="AV3930" s="48"/>
      <c r="AW3930" s="48"/>
      <c r="AX3930" s="48"/>
      <c r="AY3930" s="48"/>
      <c r="AZ3930" s="48"/>
      <c r="BA3930" s="48"/>
      <c r="BB3930" s="48"/>
      <c r="BC3930" s="48"/>
      <c r="BD3930" s="48"/>
    </row>
    <row r="3931" spans="1:56">
      <c r="A3931" s="48"/>
      <c r="B3931" s="48"/>
      <c r="C3931" s="49"/>
      <c r="D3931" s="48"/>
      <c r="E3931" s="48"/>
      <c r="F3931" s="48"/>
      <c r="G3931" s="48"/>
      <c r="H3931" s="48"/>
      <c r="I3931" s="48"/>
      <c r="J3931" s="86"/>
      <c r="K3931" s="86"/>
      <c r="L3931" s="86"/>
      <c r="M3931" s="86"/>
      <c r="N3931" s="86"/>
      <c r="O3931" s="86"/>
      <c r="P3931" s="86"/>
      <c r="Q3931" s="86"/>
      <c r="R3931" s="86"/>
      <c r="S3931" s="86"/>
      <c r="T3931" s="86"/>
      <c r="U3931" s="86"/>
      <c r="V3931" s="48"/>
      <c r="W3931" s="48"/>
      <c r="X3931" s="48"/>
      <c r="Y3931" s="48"/>
      <c r="Z3931" s="48"/>
      <c r="AA3931" s="48"/>
      <c r="AB3931" s="48"/>
      <c r="AC3931" s="48"/>
      <c r="AD3931" s="48"/>
      <c r="AE3931" s="48"/>
      <c r="AF3931" s="48"/>
      <c r="AG3931" s="48"/>
      <c r="AH3931" s="48"/>
      <c r="AI3931" s="48"/>
      <c r="AJ3931" s="48"/>
      <c r="AK3931" s="48"/>
      <c r="AL3931" s="48"/>
      <c r="AM3931" s="48"/>
      <c r="AN3931" s="48"/>
      <c r="AO3931" s="48"/>
      <c r="AP3931" s="48"/>
      <c r="AQ3931" s="48"/>
      <c r="AR3931" s="48"/>
      <c r="AS3931" s="48"/>
      <c r="AT3931" s="48"/>
      <c r="AU3931" s="48"/>
      <c r="AV3931" s="48"/>
      <c r="AW3931" s="48"/>
      <c r="AX3931" s="48"/>
      <c r="AY3931" s="48"/>
      <c r="AZ3931" s="48"/>
      <c r="BA3931" s="48"/>
      <c r="BB3931" s="48"/>
      <c r="BC3931" s="48"/>
      <c r="BD3931" s="48"/>
    </row>
    <row r="3932" spans="1:56">
      <c r="A3932" s="48"/>
      <c r="B3932" s="48"/>
      <c r="C3932" s="49"/>
      <c r="D3932" s="48"/>
      <c r="E3932" s="48"/>
      <c r="F3932" s="48"/>
      <c r="G3932" s="48"/>
      <c r="H3932" s="48"/>
      <c r="I3932" s="48"/>
      <c r="J3932" s="86"/>
      <c r="K3932" s="86"/>
      <c r="L3932" s="86"/>
      <c r="M3932" s="86"/>
      <c r="N3932" s="86"/>
      <c r="O3932" s="86"/>
      <c r="P3932" s="86"/>
      <c r="Q3932" s="86"/>
      <c r="R3932" s="86"/>
      <c r="S3932" s="86"/>
      <c r="T3932" s="86"/>
      <c r="U3932" s="86"/>
      <c r="V3932" s="48"/>
      <c r="W3932" s="48"/>
      <c r="X3932" s="48"/>
      <c r="Y3932" s="48"/>
      <c r="Z3932" s="48"/>
      <c r="AA3932" s="48"/>
      <c r="AB3932" s="48"/>
      <c r="AC3932" s="48"/>
      <c r="AD3932" s="48"/>
      <c r="AE3932" s="48"/>
      <c r="AF3932" s="48"/>
      <c r="AG3932" s="48"/>
      <c r="AH3932" s="48"/>
      <c r="AI3932" s="48"/>
      <c r="AJ3932" s="48"/>
      <c r="AK3932" s="48"/>
      <c r="AL3932" s="48"/>
      <c r="AM3932" s="48"/>
      <c r="AN3932" s="48"/>
      <c r="AO3932" s="48"/>
      <c r="AP3932" s="48"/>
      <c r="AQ3932" s="48"/>
      <c r="AR3932" s="48"/>
      <c r="AS3932" s="48"/>
      <c r="AT3932" s="48"/>
      <c r="AU3932" s="48"/>
      <c r="AV3932" s="48"/>
      <c r="AW3932" s="48"/>
      <c r="AX3932" s="48"/>
      <c r="AY3932" s="48"/>
      <c r="AZ3932" s="48"/>
      <c r="BA3932" s="48"/>
      <c r="BB3932" s="48"/>
      <c r="BC3932" s="48"/>
      <c r="BD3932" s="48"/>
    </row>
    <row r="3933" spans="1:56">
      <c r="A3933" s="48"/>
      <c r="B3933" s="48"/>
      <c r="C3933" s="49"/>
      <c r="D3933" s="48"/>
      <c r="E3933" s="48"/>
      <c r="F3933" s="48"/>
      <c r="G3933" s="48"/>
      <c r="H3933" s="48"/>
      <c r="I3933" s="48"/>
      <c r="J3933" s="86"/>
      <c r="K3933" s="86"/>
      <c r="L3933" s="86"/>
      <c r="M3933" s="86"/>
      <c r="N3933" s="86"/>
      <c r="O3933" s="86"/>
      <c r="P3933" s="86"/>
      <c r="Q3933" s="86"/>
      <c r="R3933" s="86"/>
      <c r="S3933" s="86"/>
      <c r="T3933" s="86"/>
      <c r="U3933" s="86"/>
      <c r="V3933" s="48"/>
      <c r="W3933" s="48"/>
      <c r="X3933" s="48"/>
      <c r="Y3933" s="48"/>
      <c r="Z3933" s="48"/>
      <c r="AA3933" s="48"/>
      <c r="AB3933" s="48"/>
      <c r="AC3933" s="48"/>
      <c r="AD3933" s="48"/>
      <c r="AE3933" s="48"/>
      <c r="AF3933" s="48"/>
      <c r="AG3933" s="48"/>
      <c r="AH3933" s="48"/>
      <c r="AI3933" s="48"/>
      <c r="AJ3933" s="48"/>
      <c r="AK3933" s="48"/>
      <c r="AL3933" s="48"/>
      <c r="AM3933" s="48"/>
      <c r="AN3933" s="48"/>
      <c r="AO3933" s="48"/>
      <c r="AP3933" s="48"/>
      <c r="AQ3933" s="48"/>
      <c r="AR3933" s="48"/>
      <c r="AS3933" s="48"/>
      <c r="AT3933" s="48"/>
      <c r="AU3933" s="48"/>
      <c r="AV3933" s="48"/>
      <c r="AW3933" s="48"/>
      <c r="AX3933" s="48"/>
      <c r="AY3933" s="48"/>
      <c r="AZ3933" s="48"/>
      <c r="BA3933" s="48"/>
      <c r="BB3933" s="48"/>
      <c r="BC3933" s="48"/>
      <c r="BD3933" s="48"/>
    </row>
    <row r="3934" spans="1:56">
      <c r="A3934" s="48"/>
      <c r="B3934" s="48"/>
      <c r="C3934" s="49"/>
      <c r="D3934" s="48"/>
      <c r="E3934" s="48"/>
      <c r="F3934" s="48"/>
      <c r="G3934" s="48"/>
      <c r="H3934" s="48"/>
      <c r="I3934" s="48"/>
      <c r="J3934" s="86"/>
      <c r="K3934" s="86"/>
      <c r="L3934" s="86"/>
      <c r="M3934" s="86"/>
      <c r="N3934" s="86"/>
      <c r="O3934" s="86"/>
      <c r="P3934" s="86"/>
      <c r="Q3934" s="86"/>
      <c r="R3934" s="86"/>
      <c r="S3934" s="86"/>
      <c r="T3934" s="86"/>
      <c r="U3934" s="86"/>
      <c r="V3934" s="48"/>
      <c r="W3934" s="48"/>
      <c r="X3934" s="48"/>
      <c r="Y3934" s="48"/>
      <c r="Z3934" s="48"/>
      <c r="AA3934" s="48"/>
      <c r="AB3934" s="48"/>
      <c r="AC3934" s="48"/>
      <c r="AD3934" s="48"/>
      <c r="AE3934" s="48"/>
      <c r="AF3934" s="48"/>
      <c r="AG3934" s="48"/>
      <c r="AH3934" s="48"/>
      <c r="AI3934" s="48"/>
      <c r="AJ3934" s="48"/>
      <c r="AK3934" s="48"/>
      <c r="AL3934" s="48"/>
      <c r="AM3934" s="48"/>
      <c r="AN3934" s="48"/>
      <c r="AO3934" s="48"/>
      <c r="AP3934" s="48"/>
      <c r="AQ3934" s="48"/>
      <c r="AR3934" s="48"/>
      <c r="AS3934" s="48"/>
      <c r="AT3934" s="48"/>
      <c r="AU3934" s="48"/>
      <c r="AV3934" s="48"/>
      <c r="AW3934" s="48"/>
      <c r="AX3934" s="48"/>
      <c r="AY3934" s="48"/>
      <c r="AZ3934" s="48"/>
      <c r="BA3934" s="48"/>
      <c r="BB3934" s="48"/>
      <c r="BC3934" s="48"/>
      <c r="BD3934" s="48"/>
    </row>
    <row r="3935" spans="1:56">
      <c r="A3935" s="48"/>
      <c r="B3935" s="48"/>
      <c r="C3935" s="49"/>
      <c r="D3935" s="48"/>
      <c r="E3935" s="48"/>
      <c r="F3935" s="48"/>
      <c r="G3935" s="48"/>
      <c r="H3935" s="48"/>
      <c r="I3935" s="48"/>
      <c r="J3935" s="86"/>
      <c r="K3935" s="86"/>
      <c r="L3935" s="86"/>
      <c r="M3935" s="86"/>
      <c r="N3935" s="86"/>
      <c r="O3935" s="86"/>
      <c r="P3935" s="86"/>
      <c r="Q3935" s="86"/>
      <c r="R3935" s="86"/>
      <c r="S3935" s="86"/>
      <c r="T3935" s="86"/>
      <c r="U3935" s="86"/>
      <c r="V3935" s="48"/>
      <c r="W3935" s="48"/>
      <c r="X3935" s="48"/>
      <c r="Y3935" s="48"/>
      <c r="Z3935" s="48"/>
      <c r="AA3935" s="48"/>
      <c r="AB3935" s="48"/>
      <c r="AC3935" s="48"/>
      <c r="AD3935" s="48"/>
      <c r="AE3935" s="48"/>
      <c r="AF3935" s="48"/>
      <c r="AG3935" s="48"/>
      <c r="AH3935" s="48"/>
      <c r="AI3935" s="48"/>
      <c r="AJ3935" s="48"/>
      <c r="AK3935" s="48"/>
      <c r="AL3935" s="48"/>
      <c r="AM3935" s="48"/>
      <c r="AN3935" s="48"/>
      <c r="AO3935" s="48"/>
      <c r="AP3935" s="48"/>
      <c r="AQ3935" s="48"/>
      <c r="AR3935" s="48"/>
      <c r="AS3935" s="48"/>
      <c r="AT3935" s="48"/>
      <c r="AU3935" s="48"/>
      <c r="AV3935" s="48"/>
      <c r="AW3935" s="48"/>
      <c r="AX3935" s="48"/>
      <c r="AY3935" s="48"/>
      <c r="AZ3935" s="48"/>
      <c r="BA3935" s="48"/>
      <c r="BB3935" s="48"/>
      <c r="BC3935" s="48"/>
      <c r="BD3935" s="48"/>
    </row>
    <row r="3936" spans="1:56">
      <c r="A3936" s="48"/>
      <c r="B3936" s="48"/>
      <c r="C3936" s="49"/>
      <c r="D3936" s="48"/>
      <c r="E3936" s="48"/>
      <c r="F3936" s="48"/>
      <c r="G3936" s="48"/>
      <c r="H3936" s="48"/>
      <c r="I3936" s="48"/>
      <c r="J3936" s="86"/>
      <c r="K3936" s="86"/>
      <c r="L3936" s="86"/>
      <c r="M3936" s="86"/>
      <c r="N3936" s="86"/>
      <c r="O3936" s="86"/>
      <c r="P3936" s="86"/>
      <c r="Q3936" s="86"/>
      <c r="R3936" s="86"/>
      <c r="S3936" s="86"/>
      <c r="T3936" s="86"/>
      <c r="U3936" s="86"/>
      <c r="V3936" s="48"/>
      <c r="W3936" s="48"/>
      <c r="X3936" s="48"/>
      <c r="Y3936" s="48"/>
      <c r="Z3936" s="48"/>
      <c r="AA3936" s="48"/>
      <c r="AB3936" s="48"/>
      <c r="AC3936" s="48"/>
      <c r="AD3936" s="48"/>
      <c r="AE3936" s="48"/>
      <c r="AF3936" s="48"/>
      <c r="AG3936" s="48"/>
      <c r="AH3936" s="48"/>
      <c r="AI3936" s="48"/>
      <c r="AJ3936" s="48"/>
      <c r="AK3936" s="48"/>
      <c r="AL3936" s="48"/>
      <c r="AM3936" s="48"/>
      <c r="AN3936" s="48"/>
      <c r="AO3936" s="48"/>
      <c r="AP3936" s="48"/>
      <c r="AQ3936" s="48"/>
      <c r="AR3936" s="48"/>
      <c r="AS3936" s="48"/>
      <c r="AT3936" s="48"/>
      <c r="AU3936" s="48"/>
      <c r="AV3936" s="48"/>
      <c r="AW3936" s="48"/>
      <c r="AX3936" s="48"/>
      <c r="AY3936" s="48"/>
      <c r="AZ3936" s="48"/>
      <c r="BA3936" s="48"/>
      <c r="BB3936" s="48"/>
      <c r="BC3936" s="48"/>
      <c r="BD3936" s="48"/>
    </row>
    <row r="3937" spans="1:56">
      <c r="A3937" s="48"/>
      <c r="B3937" s="48"/>
      <c r="C3937" s="49"/>
      <c r="D3937" s="48"/>
      <c r="E3937" s="48"/>
      <c r="F3937" s="48"/>
      <c r="G3937" s="48"/>
      <c r="H3937" s="48"/>
      <c r="I3937" s="48"/>
      <c r="J3937" s="86"/>
      <c r="K3937" s="86"/>
      <c r="L3937" s="86"/>
      <c r="M3937" s="86"/>
      <c r="N3937" s="86"/>
      <c r="O3937" s="86"/>
      <c r="P3937" s="86"/>
      <c r="Q3937" s="86"/>
      <c r="R3937" s="86"/>
      <c r="S3937" s="86"/>
      <c r="T3937" s="86"/>
      <c r="U3937" s="86"/>
      <c r="V3937" s="48"/>
      <c r="W3937" s="48"/>
      <c r="X3937" s="48"/>
      <c r="Y3937" s="48"/>
      <c r="Z3937" s="48"/>
      <c r="AA3937" s="48"/>
      <c r="AB3937" s="48"/>
      <c r="AC3937" s="48"/>
      <c r="AD3937" s="48"/>
      <c r="AE3937" s="48"/>
      <c r="AF3937" s="48"/>
      <c r="AG3937" s="48"/>
      <c r="AH3937" s="48"/>
      <c r="AI3937" s="48"/>
      <c r="AJ3937" s="48"/>
      <c r="AK3937" s="48"/>
      <c r="AL3937" s="48"/>
      <c r="AM3937" s="48"/>
      <c r="AN3937" s="48"/>
      <c r="AO3937" s="48"/>
      <c r="AP3937" s="48"/>
      <c r="AQ3937" s="48"/>
      <c r="AR3937" s="48"/>
      <c r="AS3937" s="48"/>
      <c r="AT3937" s="48"/>
      <c r="AU3937" s="48"/>
      <c r="AV3937" s="48"/>
      <c r="AW3937" s="48"/>
      <c r="AX3937" s="48"/>
      <c r="AY3937" s="48"/>
      <c r="AZ3937" s="48"/>
      <c r="BA3937" s="48"/>
      <c r="BB3937" s="48"/>
      <c r="BC3937" s="48"/>
      <c r="BD3937" s="48"/>
    </row>
    <row r="3938" spans="1:56">
      <c r="A3938" s="48"/>
      <c r="B3938" s="48"/>
      <c r="C3938" s="49"/>
      <c r="D3938" s="48"/>
      <c r="E3938" s="48"/>
      <c r="F3938" s="48"/>
      <c r="G3938" s="48"/>
      <c r="H3938" s="48"/>
      <c r="I3938" s="48"/>
      <c r="J3938" s="86"/>
      <c r="K3938" s="86"/>
      <c r="L3938" s="86"/>
      <c r="M3938" s="86"/>
      <c r="N3938" s="86"/>
      <c r="O3938" s="86"/>
      <c r="P3938" s="86"/>
      <c r="Q3938" s="86"/>
      <c r="R3938" s="86"/>
      <c r="S3938" s="86"/>
      <c r="T3938" s="86"/>
      <c r="U3938" s="86"/>
      <c r="V3938" s="48"/>
      <c r="W3938" s="48"/>
      <c r="X3938" s="48"/>
      <c r="Y3938" s="48"/>
      <c r="Z3938" s="48"/>
      <c r="AA3938" s="48"/>
      <c r="AB3938" s="48"/>
      <c r="AC3938" s="48"/>
      <c r="AD3938" s="48"/>
      <c r="AE3938" s="48"/>
      <c r="AF3938" s="48"/>
      <c r="AG3938" s="48"/>
      <c r="AH3938" s="48"/>
      <c r="AI3938" s="48"/>
      <c r="AJ3938" s="48"/>
      <c r="AK3938" s="48"/>
      <c r="AL3938" s="48"/>
      <c r="AM3938" s="48"/>
      <c r="AN3938" s="48"/>
      <c r="AO3938" s="48"/>
      <c r="AP3938" s="48"/>
      <c r="AQ3938" s="48"/>
      <c r="AR3938" s="48"/>
      <c r="AS3938" s="48"/>
      <c r="AT3938" s="48"/>
      <c r="AU3938" s="48"/>
      <c r="AV3938" s="48"/>
      <c r="AW3938" s="48"/>
      <c r="AX3938" s="48"/>
      <c r="AY3938" s="48"/>
      <c r="AZ3938" s="48"/>
      <c r="BA3938" s="48"/>
      <c r="BB3938" s="48"/>
      <c r="BC3938" s="48"/>
      <c r="BD3938" s="48"/>
    </row>
    <row r="3939" spans="1:56">
      <c r="A3939" s="48"/>
      <c r="B3939" s="48"/>
      <c r="C3939" s="49"/>
      <c r="D3939" s="48"/>
      <c r="E3939" s="48"/>
      <c r="F3939" s="48"/>
      <c r="G3939" s="48"/>
      <c r="H3939" s="48"/>
      <c r="I3939" s="48"/>
      <c r="J3939" s="86"/>
      <c r="K3939" s="86"/>
      <c r="L3939" s="86"/>
      <c r="M3939" s="86"/>
      <c r="N3939" s="86"/>
      <c r="O3939" s="86"/>
      <c r="P3939" s="86"/>
      <c r="Q3939" s="86"/>
      <c r="R3939" s="86"/>
      <c r="S3939" s="86"/>
      <c r="T3939" s="86"/>
      <c r="U3939" s="86"/>
      <c r="V3939" s="48"/>
      <c r="W3939" s="48"/>
      <c r="X3939" s="48"/>
      <c r="Y3939" s="48"/>
      <c r="Z3939" s="48"/>
      <c r="AA3939" s="48"/>
      <c r="AB3939" s="48"/>
      <c r="AC3939" s="48"/>
      <c r="AD3939" s="48"/>
      <c r="AE3939" s="48"/>
      <c r="AF3939" s="48"/>
      <c r="AG3939" s="48"/>
      <c r="AH3939" s="48"/>
      <c r="AI3939" s="48"/>
      <c r="AJ3939" s="48"/>
      <c r="AK3939" s="48"/>
      <c r="AL3939" s="48"/>
      <c r="AM3939" s="48"/>
      <c r="AN3939" s="48"/>
      <c r="AO3939" s="48"/>
      <c r="AP3939" s="48"/>
      <c r="AQ3939" s="48"/>
      <c r="AR3939" s="48"/>
      <c r="AS3939" s="48"/>
      <c r="AT3939" s="48"/>
      <c r="AU3939" s="48"/>
      <c r="AV3939" s="48"/>
      <c r="AW3939" s="48"/>
      <c r="AX3939" s="48"/>
      <c r="AY3939" s="48"/>
      <c r="AZ3939" s="48"/>
      <c r="BA3939" s="48"/>
      <c r="BB3939" s="48"/>
      <c r="BC3939" s="48"/>
      <c r="BD3939" s="48"/>
    </row>
    <row r="3940" spans="1:56">
      <c r="A3940" s="48"/>
      <c r="B3940" s="48"/>
      <c r="C3940" s="49"/>
      <c r="D3940" s="48"/>
      <c r="E3940" s="48"/>
      <c r="F3940" s="48"/>
      <c r="G3940" s="48"/>
      <c r="H3940" s="48"/>
      <c r="I3940" s="48"/>
      <c r="J3940" s="86"/>
      <c r="K3940" s="86"/>
      <c r="L3940" s="86"/>
      <c r="M3940" s="86"/>
      <c r="N3940" s="86"/>
      <c r="O3940" s="86"/>
      <c r="P3940" s="86"/>
      <c r="Q3940" s="86"/>
      <c r="R3940" s="86"/>
      <c r="S3940" s="86"/>
      <c r="T3940" s="86"/>
      <c r="U3940" s="86"/>
      <c r="V3940" s="48"/>
      <c r="W3940" s="48"/>
      <c r="X3940" s="48"/>
      <c r="Y3940" s="48"/>
      <c r="Z3940" s="48"/>
      <c r="AA3940" s="48"/>
      <c r="AB3940" s="48"/>
      <c r="AC3940" s="48"/>
      <c r="AD3940" s="48"/>
      <c r="AE3940" s="48"/>
      <c r="AF3940" s="48"/>
      <c r="AG3940" s="48"/>
      <c r="AH3940" s="48"/>
      <c r="AI3940" s="48"/>
      <c r="AJ3940" s="48"/>
      <c r="AK3940" s="48"/>
      <c r="AL3940" s="48"/>
      <c r="AM3940" s="48"/>
      <c r="AN3940" s="48"/>
      <c r="AO3940" s="48"/>
      <c r="AP3940" s="48"/>
      <c r="AQ3940" s="48"/>
      <c r="AR3940" s="48"/>
      <c r="AS3940" s="48"/>
      <c r="AT3940" s="48"/>
      <c r="AU3940" s="48"/>
      <c r="AV3940" s="48"/>
      <c r="AW3940" s="48"/>
      <c r="AX3940" s="48"/>
      <c r="AY3940" s="48"/>
      <c r="AZ3940" s="48"/>
      <c r="BA3940" s="48"/>
      <c r="BB3940" s="48"/>
      <c r="BC3940" s="48"/>
      <c r="BD3940" s="48"/>
    </row>
    <row r="3941" spans="1:56">
      <c r="A3941" s="48"/>
      <c r="B3941" s="48"/>
      <c r="C3941" s="49"/>
      <c r="D3941" s="48"/>
      <c r="E3941" s="48"/>
      <c r="F3941" s="48"/>
      <c r="G3941" s="48"/>
      <c r="H3941" s="48"/>
      <c r="I3941" s="48"/>
      <c r="J3941" s="86"/>
      <c r="K3941" s="86"/>
      <c r="L3941" s="86"/>
      <c r="M3941" s="86"/>
      <c r="N3941" s="86"/>
      <c r="O3941" s="86"/>
      <c r="P3941" s="86"/>
      <c r="Q3941" s="86"/>
      <c r="R3941" s="86"/>
      <c r="S3941" s="86"/>
      <c r="T3941" s="86"/>
      <c r="U3941" s="86"/>
      <c r="V3941" s="48"/>
      <c r="W3941" s="48"/>
      <c r="X3941" s="48"/>
      <c r="Y3941" s="48"/>
      <c r="Z3941" s="48"/>
      <c r="AA3941" s="48"/>
      <c r="AB3941" s="48"/>
      <c r="AC3941" s="48"/>
      <c r="AD3941" s="48"/>
      <c r="AE3941" s="48"/>
      <c r="AF3941" s="48"/>
      <c r="AG3941" s="48"/>
      <c r="AH3941" s="48"/>
      <c r="AI3941" s="48"/>
      <c r="AJ3941" s="48"/>
      <c r="AK3941" s="48"/>
      <c r="AL3941" s="48"/>
      <c r="AM3941" s="48"/>
      <c r="AN3941" s="48"/>
      <c r="AO3941" s="48"/>
      <c r="AP3941" s="48"/>
      <c r="AQ3941" s="48"/>
      <c r="AR3941" s="48"/>
      <c r="AS3941" s="48"/>
      <c r="AT3941" s="48"/>
      <c r="AU3941" s="48"/>
      <c r="AV3941" s="48"/>
      <c r="AW3941" s="48"/>
      <c r="AX3941" s="48"/>
      <c r="AY3941" s="48"/>
      <c r="AZ3941" s="48"/>
      <c r="BA3941" s="48"/>
      <c r="BB3941" s="48"/>
      <c r="BC3941" s="48"/>
      <c r="BD3941" s="48"/>
    </row>
    <row r="3942" spans="1:56">
      <c r="A3942" s="48"/>
      <c r="B3942" s="48"/>
      <c r="C3942" s="49"/>
      <c r="D3942" s="48"/>
      <c r="E3942" s="48"/>
      <c r="F3942" s="48"/>
      <c r="G3942" s="48"/>
      <c r="H3942" s="48"/>
      <c r="I3942" s="48"/>
      <c r="J3942" s="86"/>
      <c r="K3942" s="86"/>
      <c r="L3942" s="86"/>
      <c r="M3942" s="86"/>
      <c r="N3942" s="86"/>
      <c r="O3942" s="86"/>
      <c r="P3942" s="86"/>
      <c r="Q3942" s="86"/>
      <c r="R3942" s="86"/>
      <c r="S3942" s="86"/>
      <c r="T3942" s="86"/>
      <c r="U3942" s="86"/>
      <c r="V3942" s="48"/>
      <c r="W3942" s="48"/>
      <c r="X3942" s="48"/>
      <c r="Y3942" s="48"/>
      <c r="Z3942" s="48"/>
      <c r="AA3942" s="48"/>
      <c r="AB3942" s="48"/>
      <c r="AC3942" s="48"/>
      <c r="AD3942" s="48"/>
      <c r="AE3942" s="48"/>
      <c r="AF3942" s="48"/>
      <c r="AG3942" s="48"/>
      <c r="AH3942" s="48"/>
      <c r="AI3942" s="48"/>
      <c r="AJ3942" s="48"/>
      <c r="AK3942" s="48"/>
      <c r="AL3942" s="48"/>
      <c r="AM3942" s="48"/>
      <c r="AN3942" s="48"/>
      <c r="AO3942" s="48"/>
      <c r="AP3942" s="48"/>
      <c r="AQ3942" s="48"/>
      <c r="AR3942" s="48"/>
      <c r="AS3942" s="48"/>
      <c r="AT3942" s="48"/>
      <c r="AU3942" s="48"/>
      <c r="AV3942" s="48"/>
      <c r="AW3942" s="48"/>
      <c r="AX3942" s="48"/>
      <c r="AY3942" s="48"/>
      <c r="AZ3942" s="48"/>
      <c r="BA3942" s="48"/>
      <c r="BB3942" s="48"/>
      <c r="BC3942" s="48"/>
      <c r="BD3942" s="48"/>
    </row>
    <row r="3943" spans="1:56">
      <c r="A3943" s="48"/>
      <c r="B3943" s="48"/>
      <c r="C3943" s="49"/>
      <c r="D3943" s="48"/>
      <c r="E3943" s="48"/>
      <c r="F3943" s="48"/>
      <c r="G3943" s="48"/>
      <c r="H3943" s="48"/>
      <c r="I3943" s="48"/>
      <c r="J3943" s="86"/>
      <c r="K3943" s="86"/>
      <c r="L3943" s="86"/>
      <c r="M3943" s="86"/>
      <c r="N3943" s="86"/>
      <c r="O3943" s="86"/>
      <c r="P3943" s="86"/>
      <c r="Q3943" s="86"/>
      <c r="R3943" s="86"/>
      <c r="S3943" s="86"/>
      <c r="T3943" s="86"/>
      <c r="U3943" s="86"/>
      <c r="V3943" s="48"/>
      <c r="W3943" s="48"/>
      <c r="X3943" s="48"/>
      <c r="Y3943" s="48"/>
      <c r="Z3943" s="48"/>
      <c r="AA3943" s="48"/>
      <c r="AB3943" s="48"/>
      <c r="AC3943" s="48"/>
      <c r="AD3943" s="48"/>
      <c r="AE3943" s="48"/>
      <c r="AF3943" s="48"/>
      <c r="AG3943" s="48"/>
      <c r="AH3943" s="48"/>
      <c r="AI3943" s="48"/>
      <c r="AJ3943" s="48"/>
      <c r="AK3943" s="48"/>
      <c r="AL3943" s="48"/>
      <c r="AM3943" s="48"/>
      <c r="AN3943" s="48"/>
      <c r="AO3943" s="48"/>
      <c r="AP3943" s="48"/>
      <c r="AQ3943" s="48"/>
      <c r="AR3943" s="48"/>
      <c r="AS3943" s="48"/>
      <c r="AT3943" s="48"/>
      <c r="AU3943" s="48"/>
      <c r="AV3943" s="48"/>
      <c r="AW3943" s="48"/>
      <c r="AX3943" s="48"/>
      <c r="AY3943" s="48"/>
      <c r="AZ3943" s="48"/>
      <c r="BA3943" s="48"/>
      <c r="BB3943" s="48"/>
      <c r="BC3943" s="48"/>
      <c r="BD3943" s="48"/>
    </row>
    <row r="3944" spans="1:56">
      <c r="A3944" s="48"/>
      <c r="B3944" s="48"/>
      <c r="C3944" s="49"/>
      <c r="D3944" s="48"/>
      <c r="E3944" s="48"/>
      <c r="F3944" s="48"/>
      <c r="G3944" s="48"/>
      <c r="H3944" s="48"/>
      <c r="I3944" s="48"/>
      <c r="J3944" s="86"/>
      <c r="K3944" s="86"/>
      <c r="L3944" s="86"/>
      <c r="M3944" s="86"/>
      <c r="N3944" s="86"/>
      <c r="O3944" s="86"/>
      <c r="P3944" s="86"/>
      <c r="Q3944" s="86"/>
      <c r="R3944" s="86"/>
      <c r="S3944" s="86"/>
      <c r="T3944" s="86"/>
      <c r="U3944" s="86"/>
      <c r="V3944" s="48"/>
      <c r="W3944" s="48"/>
      <c r="X3944" s="48"/>
      <c r="Y3944" s="48"/>
      <c r="Z3944" s="48"/>
      <c r="AA3944" s="48"/>
      <c r="AB3944" s="48"/>
      <c r="AC3944" s="48"/>
      <c r="AD3944" s="48"/>
      <c r="AE3944" s="48"/>
      <c r="AF3944" s="48"/>
      <c r="AG3944" s="48"/>
      <c r="AH3944" s="48"/>
      <c r="AI3944" s="48"/>
      <c r="AJ3944" s="48"/>
      <c r="AK3944" s="48"/>
      <c r="AL3944" s="48"/>
      <c r="AM3944" s="48"/>
      <c r="AN3944" s="48"/>
      <c r="AO3944" s="48"/>
      <c r="AP3944" s="48"/>
      <c r="AQ3944" s="48"/>
      <c r="AR3944" s="48"/>
      <c r="AS3944" s="48"/>
      <c r="AT3944" s="48"/>
      <c r="AU3944" s="48"/>
      <c r="AV3944" s="48"/>
      <c r="AW3944" s="48"/>
      <c r="AX3944" s="48"/>
      <c r="AY3944" s="48"/>
      <c r="AZ3944" s="48"/>
      <c r="BA3944" s="48"/>
      <c r="BB3944" s="48"/>
      <c r="BC3944" s="48"/>
      <c r="BD3944" s="48"/>
    </row>
    <row r="3945" spans="1:56">
      <c r="A3945" s="48"/>
      <c r="B3945" s="48"/>
      <c r="C3945" s="49"/>
      <c r="D3945" s="48"/>
      <c r="E3945" s="48"/>
      <c r="F3945" s="48"/>
      <c r="G3945" s="48"/>
      <c r="H3945" s="48"/>
      <c r="I3945" s="48"/>
      <c r="J3945" s="86"/>
      <c r="K3945" s="86"/>
      <c r="L3945" s="86"/>
      <c r="M3945" s="86"/>
      <c r="N3945" s="86"/>
      <c r="O3945" s="86"/>
      <c r="P3945" s="86"/>
      <c r="Q3945" s="86"/>
      <c r="R3945" s="86"/>
      <c r="S3945" s="86"/>
      <c r="T3945" s="86"/>
      <c r="U3945" s="86"/>
      <c r="V3945" s="48"/>
      <c r="W3945" s="48"/>
      <c r="X3945" s="48"/>
      <c r="Y3945" s="48"/>
      <c r="Z3945" s="48"/>
      <c r="AA3945" s="48"/>
      <c r="AB3945" s="48"/>
      <c r="AC3945" s="48"/>
      <c r="AD3945" s="48"/>
      <c r="AE3945" s="48"/>
      <c r="AF3945" s="48"/>
      <c r="AG3945" s="48"/>
      <c r="AH3945" s="48"/>
      <c r="AI3945" s="48"/>
      <c r="AJ3945" s="48"/>
      <c r="AK3945" s="48"/>
      <c r="AL3945" s="48"/>
      <c r="AM3945" s="48"/>
      <c r="AN3945" s="48"/>
      <c r="AO3945" s="48"/>
      <c r="AP3945" s="48"/>
      <c r="AQ3945" s="48"/>
      <c r="AR3945" s="48"/>
      <c r="AS3945" s="48"/>
      <c r="AT3945" s="48"/>
      <c r="AU3945" s="48"/>
      <c r="AV3945" s="48"/>
      <c r="AW3945" s="48"/>
      <c r="AX3945" s="48"/>
      <c r="AY3945" s="48"/>
      <c r="AZ3945" s="48"/>
      <c r="BA3945" s="48"/>
      <c r="BB3945" s="48"/>
      <c r="BC3945" s="48"/>
      <c r="BD3945" s="48"/>
    </row>
    <row r="3946" spans="1:56">
      <c r="A3946" s="48"/>
      <c r="B3946" s="48"/>
      <c r="C3946" s="49"/>
      <c r="D3946" s="48"/>
      <c r="E3946" s="48"/>
      <c r="F3946" s="48"/>
      <c r="G3946" s="48"/>
      <c r="H3946" s="48"/>
      <c r="I3946" s="48"/>
      <c r="J3946" s="86"/>
      <c r="K3946" s="86"/>
      <c r="L3946" s="86"/>
      <c r="M3946" s="86"/>
      <c r="N3946" s="86"/>
      <c r="O3946" s="86"/>
      <c r="P3946" s="86"/>
      <c r="Q3946" s="86"/>
      <c r="R3946" s="86"/>
      <c r="S3946" s="86"/>
      <c r="T3946" s="86"/>
      <c r="U3946" s="86"/>
      <c r="V3946" s="48"/>
      <c r="W3946" s="48"/>
      <c r="X3946" s="48"/>
      <c r="Y3946" s="48"/>
      <c r="Z3946" s="48"/>
      <c r="AA3946" s="48"/>
      <c r="AB3946" s="48"/>
      <c r="AC3946" s="48"/>
      <c r="AD3946" s="48"/>
      <c r="AE3946" s="48"/>
      <c r="AF3946" s="48"/>
      <c r="AG3946" s="48"/>
      <c r="AH3946" s="48"/>
      <c r="AI3946" s="48"/>
      <c r="AJ3946" s="48"/>
      <c r="AK3946" s="48"/>
      <c r="AL3946" s="48"/>
      <c r="AM3946" s="48"/>
      <c r="AN3946" s="48"/>
      <c r="AO3946" s="48"/>
      <c r="AP3946" s="48"/>
      <c r="AQ3946" s="48"/>
      <c r="AR3946" s="48"/>
      <c r="AS3946" s="48"/>
      <c r="AT3946" s="48"/>
      <c r="AU3946" s="48"/>
      <c r="AV3946" s="48"/>
      <c r="AW3946" s="48"/>
      <c r="AX3946" s="48"/>
      <c r="AY3946" s="48"/>
      <c r="AZ3946" s="48"/>
      <c r="BA3946" s="48"/>
      <c r="BB3946" s="48"/>
      <c r="BC3946" s="48"/>
      <c r="BD3946" s="48"/>
    </row>
    <row r="3947" spans="1:56">
      <c r="A3947" s="48"/>
      <c r="B3947" s="48"/>
      <c r="C3947" s="49"/>
      <c r="D3947" s="48"/>
      <c r="E3947" s="48"/>
      <c r="F3947" s="48"/>
      <c r="G3947" s="48"/>
      <c r="H3947" s="48"/>
      <c r="I3947" s="48"/>
      <c r="J3947" s="86"/>
      <c r="K3947" s="86"/>
      <c r="L3947" s="86"/>
      <c r="M3947" s="86"/>
      <c r="N3947" s="86"/>
      <c r="O3947" s="86"/>
      <c r="P3947" s="86"/>
      <c r="Q3947" s="86"/>
      <c r="R3947" s="86"/>
      <c r="S3947" s="86"/>
      <c r="T3947" s="86"/>
      <c r="U3947" s="86"/>
      <c r="V3947" s="48"/>
      <c r="W3947" s="48"/>
      <c r="X3947" s="48"/>
      <c r="Y3947" s="48"/>
      <c r="Z3947" s="48"/>
      <c r="AA3947" s="48"/>
      <c r="AB3947" s="48"/>
      <c r="AC3947" s="48"/>
      <c r="AD3947" s="48"/>
      <c r="AE3947" s="48"/>
      <c r="AF3947" s="48"/>
      <c r="AG3947" s="48"/>
      <c r="AH3947" s="48"/>
      <c r="AI3947" s="48"/>
      <c r="AJ3947" s="48"/>
      <c r="AK3947" s="48"/>
      <c r="AL3947" s="48"/>
      <c r="AM3947" s="48"/>
      <c r="AN3947" s="48"/>
      <c r="AO3947" s="48"/>
      <c r="AP3947" s="48"/>
      <c r="AQ3947" s="48"/>
      <c r="AR3947" s="48"/>
      <c r="AS3947" s="48"/>
      <c r="AT3947" s="48"/>
      <c r="AU3947" s="48"/>
      <c r="AV3947" s="48"/>
      <c r="AW3947" s="48"/>
      <c r="AX3947" s="48"/>
      <c r="AY3947" s="48"/>
      <c r="AZ3947" s="48"/>
      <c r="BA3947" s="48"/>
      <c r="BB3947" s="48"/>
      <c r="BC3947" s="48"/>
      <c r="BD3947" s="48"/>
    </row>
    <row r="3948" spans="1:56">
      <c r="A3948" s="48"/>
      <c r="B3948" s="48"/>
      <c r="C3948" s="49"/>
      <c r="D3948" s="48"/>
      <c r="E3948" s="48"/>
      <c r="F3948" s="48"/>
      <c r="G3948" s="48"/>
      <c r="H3948" s="48"/>
      <c r="I3948" s="48"/>
      <c r="J3948" s="86"/>
      <c r="K3948" s="86"/>
      <c r="L3948" s="86"/>
      <c r="M3948" s="86"/>
      <c r="N3948" s="86"/>
      <c r="O3948" s="86"/>
      <c r="P3948" s="86"/>
      <c r="Q3948" s="86"/>
      <c r="R3948" s="86"/>
      <c r="S3948" s="86"/>
      <c r="T3948" s="86"/>
      <c r="U3948" s="86"/>
      <c r="V3948" s="48"/>
      <c r="W3948" s="48"/>
      <c r="X3948" s="48"/>
      <c r="Y3948" s="48"/>
      <c r="Z3948" s="48"/>
      <c r="AA3948" s="48"/>
      <c r="AB3948" s="48"/>
      <c r="AC3948" s="48"/>
      <c r="AD3948" s="48"/>
      <c r="AE3948" s="48"/>
      <c r="AF3948" s="48"/>
      <c r="AG3948" s="48"/>
      <c r="AH3948" s="48"/>
      <c r="AI3948" s="48"/>
      <c r="AJ3948" s="48"/>
      <c r="AK3948" s="48"/>
      <c r="AL3948" s="48"/>
      <c r="AM3948" s="48"/>
      <c r="AN3948" s="48"/>
      <c r="AO3948" s="48"/>
      <c r="AP3948" s="48"/>
      <c r="AQ3948" s="48"/>
      <c r="AR3948" s="48"/>
      <c r="AS3948" s="48"/>
      <c r="AT3948" s="48"/>
      <c r="AU3948" s="48"/>
      <c r="AV3948" s="48"/>
      <c r="AW3948" s="48"/>
      <c r="AX3948" s="48"/>
      <c r="AY3948" s="48"/>
      <c r="AZ3948" s="48"/>
      <c r="BA3948" s="48"/>
      <c r="BB3948" s="48"/>
      <c r="BC3948" s="48"/>
      <c r="BD3948" s="48"/>
    </row>
    <row r="3949" spans="1:56">
      <c r="A3949" s="48"/>
      <c r="B3949" s="48"/>
      <c r="C3949" s="49"/>
      <c r="D3949" s="48"/>
      <c r="E3949" s="48"/>
      <c r="F3949" s="48"/>
      <c r="G3949" s="48"/>
      <c r="H3949" s="48"/>
      <c r="I3949" s="48"/>
      <c r="J3949" s="86"/>
      <c r="K3949" s="86"/>
      <c r="L3949" s="86"/>
      <c r="M3949" s="86"/>
      <c r="N3949" s="86"/>
      <c r="O3949" s="86"/>
      <c r="P3949" s="86"/>
      <c r="Q3949" s="86"/>
      <c r="R3949" s="86"/>
      <c r="S3949" s="86"/>
      <c r="T3949" s="86"/>
      <c r="U3949" s="86"/>
      <c r="V3949" s="48"/>
      <c r="W3949" s="48"/>
      <c r="X3949" s="48"/>
      <c r="Y3949" s="48"/>
      <c r="Z3949" s="48"/>
      <c r="AA3949" s="48"/>
      <c r="AB3949" s="48"/>
      <c r="AC3949" s="48"/>
      <c r="AD3949" s="48"/>
      <c r="AE3949" s="48"/>
      <c r="AF3949" s="48"/>
      <c r="AG3949" s="48"/>
      <c r="AH3949" s="48"/>
      <c r="AI3949" s="48"/>
      <c r="AJ3949" s="48"/>
      <c r="AK3949" s="48"/>
      <c r="AL3949" s="48"/>
      <c r="AM3949" s="48"/>
      <c r="AN3949" s="48"/>
      <c r="AO3949" s="48"/>
      <c r="AP3949" s="48"/>
      <c r="AQ3949" s="48"/>
      <c r="AR3949" s="48"/>
      <c r="AS3949" s="48"/>
      <c r="AT3949" s="48"/>
      <c r="AU3949" s="48"/>
      <c r="AV3949" s="48"/>
      <c r="AW3949" s="48"/>
      <c r="AX3949" s="48"/>
      <c r="AY3949" s="48"/>
      <c r="AZ3949" s="48"/>
      <c r="BA3949" s="48"/>
      <c r="BB3949" s="48"/>
      <c r="BC3949" s="48"/>
      <c r="BD3949" s="48"/>
    </row>
    <row r="3950" spans="1:56">
      <c r="A3950" s="48"/>
      <c r="B3950" s="48"/>
      <c r="C3950" s="49"/>
      <c r="D3950" s="48"/>
      <c r="E3950" s="48"/>
      <c r="F3950" s="48"/>
      <c r="G3950" s="48"/>
      <c r="H3950" s="48"/>
      <c r="I3950" s="48"/>
      <c r="J3950" s="86"/>
      <c r="K3950" s="86"/>
      <c r="L3950" s="86"/>
      <c r="M3950" s="86"/>
      <c r="N3950" s="86"/>
      <c r="O3950" s="86"/>
      <c r="P3950" s="86"/>
      <c r="Q3950" s="86"/>
      <c r="R3950" s="86"/>
      <c r="S3950" s="86"/>
      <c r="T3950" s="86"/>
      <c r="U3950" s="86"/>
      <c r="V3950" s="48"/>
      <c r="W3950" s="48"/>
      <c r="X3950" s="48"/>
      <c r="Y3950" s="48"/>
      <c r="Z3950" s="48"/>
      <c r="AA3950" s="48"/>
      <c r="AB3950" s="48"/>
      <c r="AC3950" s="48"/>
      <c r="AD3950" s="48"/>
      <c r="AE3950" s="48"/>
      <c r="AF3950" s="48"/>
      <c r="AG3950" s="48"/>
      <c r="AH3950" s="48"/>
      <c r="AI3950" s="48"/>
      <c r="AJ3950" s="48"/>
      <c r="AK3950" s="48"/>
      <c r="AL3950" s="48"/>
      <c r="AM3950" s="48"/>
      <c r="AN3950" s="48"/>
      <c r="AO3950" s="48"/>
      <c r="AP3950" s="48"/>
      <c r="AQ3950" s="48"/>
      <c r="AR3950" s="48"/>
      <c r="AS3950" s="48"/>
      <c r="AT3950" s="48"/>
      <c r="AU3950" s="48"/>
      <c r="AV3950" s="48"/>
      <c r="AW3950" s="48"/>
      <c r="AX3950" s="48"/>
      <c r="AY3950" s="48"/>
      <c r="AZ3950" s="48"/>
      <c r="BA3950" s="48"/>
      <c r="BB3950" s="48"/>
      <c r="BC3950" s="48"/>
      <c r="BD3950" s="48"/>
    </row>
    <row r="3951" spans="1:56">
      <c r="A3951" s="48"/>
      <c r="B3951" s="48"/>
      <c r="C3951" s="49"/>
      <c r="D3951" s="48"/>
      <c r="E3951" s="48"/>
      <c r="F3951" s="48"/>
      <c r="G3951" s="48"/>
      <c r="H3951" s="48"/>
      <c r="I3951" s="48"/>
      <c r="J3951" s="86"/>
      <c r="K3951" s="86"/>
      <c r="L3951" s="86"/>
      <c r="M3951" s="86"/>
      <c r="N3951" s="86"/>
      <c r="O3951" s="86"/>
      <c r="P3951" s="86"/>
      <c r="Q3951" s="86"/>
      <c r="R3951" s="86"/>
      <c r="S3951" s="86"/>
      <c r="T3951" s="86"/>
      <c r="U3951" s="86"/>
      <c r="V3951" s="48"/>
      <c r="W3951" s="48"/>
      <c r="X3951" s="48"/>
      <c r="Y3951" s="48"/>
      <c r="Z3951" s="48"/>
      <c r="AA3951" s="48"/>
      <c r="AB3951" s="48"/>
      <c r="AC3951" s="48"/>
      <c r="AD3951" s="48"/>
      <c r="AE3951" s="48"/>
      <c r="AF3951" s="48"/>
      <c r="AG3951" s="48"/>
      <c r="AH3951" s="48"/>
      <c r="AI3951" s="48"/>
      <c r="AJ3951" s="48"/>
      <c r="AK3951" s="48"/>
      <c r="AL3951" s="48"/>
      <c r="AM3951" s="48"/>
      <c r="AN3951" s="48"/>
      <c r="AO3951" s="48"/>
      <c r="AP3951" s="48"/>
      <c r="AQ3951" s="48"/>
      <c r="AR3951" s="48"/>
      <c r="AS3951" s="48"/>
      <c r="AT3951" s="48"/>
      <c r="AU3951" s="48"/>
      <c r="AV3951" s="48"/>
      <c r="AW3951" s="48"/>
      <c r="AX3951" s="48"/>
      <c r="AY3951" s="48"/>
      <c r="AZ3951" s="48"/>
      <c r="BA3951" s="48"/>
      <c r="BB3951" s="48"/>
      <c r="BC3951" s="48"/>
      <c r="BD3951" s="48"/>
    </row>
    <row r="3952" spans="1:56">
      <c r="A3952" s="48"/>
      <c r="B3952" s="48"/>
      <c r="C3952" s="49"/>
      <c r="D3952" s="48"/>
      <c r="E3952" s="48"/>
      <c r="F3952" s="48"/>
      <c r="G3952" s="48"/>
      <c r="H3952" s="48"/>
      <c r="I3952" s="48"/>
      <c r="J3952" s="86"/>
      <c r="K3952" s="86"/>
      <c r="L3952" s="86"/>
      <c r="M3952" s="86"/>
      <c r="N3952" s="86"/>
      <c r="O3952" s="86"/>
      <c r="P3952" s="86"/>
      <c r="Q3952" s="86"/>
      <c r="R3952" s="86"/>
      <c r="S3952" s="86"/>
      <c r="T3952" s="86"/>
      <c r="U3952" s="86"/>
      <c r="V3952" s="48"/>
      <c r="W3952" s="48"/>
      <c r="X3952" s="48"/>
      <c r="Y3952" s="48"/>
      <c r="Z3952" s="48"/>
      <c r="AA3952" s="48"/>
      <c r="AB3952" s="48"/>
      <c r="AC3952" s="48"/>
      <c r="AD3952" s="48"/>
      <c r="AE3952" s="48"/>
      <c r="AF3952" s="48"/>
      <c r="AG3952" s="48"/>
      <c r="AH3952" s="48"/>
      <c r="AI3952" s="48"/>
      <c r="AJ3952" s="48"/>
      <c r="AK3952" s="48"/>
      <c r="AL3952" s="48"/>
      <c r="AM3952" s="48"/>
      <c r="AN3952" s="48"/>
      <c r="AO3952" s="48"/>
      <c r="AP3952" s="48"/>
      <c r="AQ3952" s="48"/>
      <c r="AR3952" s="48"/>
      <c r="AS3952" s="48"/>
      <c r="AT3952" s="48"/>
      <c r="AU3952" s="48"/>
      <c r="AV3952" s="48"/>
      <c r="AW3952" s="48"/>
      <c r="AX3952" s="48"/>
      <c r="AY3952" s="48"/>
      <c r="AZ3952" s="48"/>
      <c r="BA3952" s="48"/>
      <c r="BB3952" s="48"/>
      <c r="BC3952" s="48"/>
      <c r="BD3952" s="48"/>
    </row>
    <row r="3953" spans="1:56">
      <c r="A3953" s="48"/>
      <c r="B3953" s="48"/>
      <c r="C3953" s="49"/>
      <c r="D3953" s="48"/>
      <c r="E3953" s="48"/>
      <c r="F3953" s="48"/>
      <c r="G3953" s="48"/>
      <c r="H3953" s="48"/>
      <c r="I3953" s="48"/>
      <c r="J3953" s="86"/>
      <c r="K3953" s="86"/>
      <c r="L3953" s="86"/>
      <c r="M3953" s="86"/>
      <c r="N3953" s="86"/>
      <c r="O3953" s="86"/>
      <c r="P3953" s="86"/>
      <c r="Q3953" s="86"/>
      <c r="R3953" s="86"/>
      <c r="S3953" s="86"/>
      <c r="T3953" s="86"/>
      <c r="U3953" s="86"/>
      <c r="V3953" s="48"/>
      <c r="W3953" s="48"/>
      <c r="X3953" s="48"/>
      <c r="Y3953" s="48"/>
      <c r="Z3953" s="48"/>
      <c r="AA3953" s="48"/>
      <c r="AB3953" s="48"/>
      <c r="AC3953" s="48"/>
      <c r="AD3953" s="48"/>
      <c r="AE3953" s="48"/>
      <c r="AF3953" s="48"/>
      <c r="AG3953" s="48"/>
      <c r="AH3953" s="48"/>
      <c r="AI3953" s="48"/>
      <c r="AJ3953" s="48"/>
      <c r="AK3953" s="48"/>
      <c r="AL3953" s="48"/>
      <c r="AM3953" s="48"/>
      <c r="AN3953" s="48"/>
      <c r="AO3953" s="48"/>
      <c r="AP3953" s="48"/>
      <c r="AQ3953" s="48"/>
      <c r="AR3953" s="48"/>
      <c r="AS3953" s="48"/>
      <c r="AT3953" s="48"/>
      <c r="AU3953" s="48"/>
      <c r="AV3953" s="48"/>
      <c r="AW3953" s="48"/>
      <c r="AX3953" s="48"/>
      <c r="AY3953" s="48"/>
      <c r="AZ3953" s="48"/>
      <c r="BA3953" s="48"/>
      <c r="BB3953" s="48"/>
      <c r="BC3953" s="48"/>
      <c r="BD3953" s="48"/>
    </row>
    <row r="3954" spans="1:56">
      <c r="A3954" s="48"/>
      <c r="B3954" s="48"/>
      <c r="C3954" s="49"/>
      <c r="D3954" s="48"/>
      <c r="E3954" s="48"/>
      <c r="F3954" s="48"/>
      <c r="G3954" s="48"/>
      <c r="H3954" s="48"/>
      <c r="I3954" s="48"/>
      <c r="J3954" s="86"/>
      <c r="K3954" s="86"/>
      <c r="L3954" s="86"/>
      <c r="M3954" s="86"/>
      <c r="N3954" s="86"/>
      <c r="O3954" s="86"/>
      <c r="P3954" s="86"/>
      <c r="Q3954" s="86"/>
      <c r="R3954" s="86"/>
      <c r="S3954" s="86"/>
      <c r="T3954" s="86"/>
      <c r="U3954" s="86"/>
      <c r="V3954" s="48"/>
      <c r="W3954" s="48"/>
      <c r="X3954" s="48"/>
      <c r="Y3954" s="48"/>
      <c r="Z3954" s="48"/>
      <c r="AA3954" s="48"/>
      <c r="AB3954" s="48"/>
      <c r="AC3954" s="48"/>
      <c r="AD3954" s="48"/>
      <c r="AE3954" s="48"/>
      <c r="AF3954" s="48"/>
      <c r="AG3954" s="48"/>
      <c r="AH3954" s="48"/>
      <c r="AI3954" s="48"/>
      <c r="AJ3954" s="48"/>
      <c r="AK3954" s="48"/>
      <c r="AL3954" s="48"/>
      <c r="AM3954" s="48"/>
      <c r="AN3954" s="48"/>
      <c r="AO3954" s="48"/>
      <c r="AP3954" s="48"/>
      <c r="AQ3954" s="48"/>
      <c r="AR3954" s="48"/>
      <c r="AS3954" s="48"/>
      <c r="AT3954" s="48"/>
      <c r="AU3954" s="48"/>
      <c r="AV3954" s="48"/>
      <c r="AW3954" s="48"/>
      <c r="AX3954" s="48"/>
      <c r="AY3954" s="48"/>
      <c r="AZ3954" s="48"/>
      <c r="BA3954" s="48"/>
      <c r="BB3954" s="48"/>
      <c r="BC3954" s="48"/>
      <c r="BD3954" s="48"/>
    </row>
    <row r="3955" spans="1:56">
      <c r="A3955" s="48"/>
      <c r="B3955" s="48"/>
      <c r="C3955" s="49"/>
      <c r="D3955" s="48"/>
      <c r="E3955" s="48"/>
      <c r="F3955" s="48"/>
      <c r="G3955" s="48"/>
      <c r="H3955" s="48"/>
      <c r="I3955" s="48"/>
      <c r="J3955" s="86"/>
      <c r="K3955" s="86"/>
      <c r="L3955" s="86"/>
      <c r="M3955" s="86"/>
      <c r="N3955" s="86"/>
      <c r="O3955" s="86"/>
      <c r="P3955" s="86"/>
      <c r="Q3955" s="86"/>
      <c r="R3955" s="86"/>
      <c r="S3955" s="86"/>
      <c r="T3955" s="86"/>
      <c r="U3955" s="86"/>
      <c r="V3955" s="48"/>
      <c r="W3955" s="48"/>
      <c r="X3955" s="48"/>
      <c r="Y3955" s="48"/>
      <c r="Z3955" s="48"/>
      <c r="AA3955" s="48"/>
      <c r="AB3955" s="48"/>
      <c r="AC3955" s="48"/>
      <c r="AD3955" s="48"/>
      <c r="AE3955" s="48"/>
      <c r="AF3955" s="48"/>
      <c r="AG3955" s="48"/>
      <c r="AH3955" s="48"/>
      <c r="AI3955" s="48"/>
      <c r="AJ3955" s="48"/>
      <c r="AK3955" s="48"/>
      <c r="AL3955" s="48"/>
      <c r="AM3955" s="48"/>
      <c r="AN3955" s="48"/>
      <c r="AO3955" s="48"/>
      <c r="AP3955" s="48"/>
      <c r="AQ3955" s="48"/>
      <c r="AR3955" s="48"/>
      <c r="AS3955" s="48"/>
      <c r="AT3955" s="48"/>
      <c r="AU3955" s="48"/>
      <c r="AV3955" s="48"/>
      <c r="AW3955" s="48"/>
      <c r="AX3955" s="48"/>
      <c r="AY3955" s="48"/>
      <c r="AZ3955" s="48"/>
      <c r="BA3955" s="48"/>
      <c r="BB3955" s="48"/>
      <c r="BC3955" s="48"/>
      <c r="BD3955" s="48"/>
    </row>
    <row r="3956" spans="1:56">
      <c r="A3956" s="48"/>
      <c r="B3956" s="48"/>
      <c r="C3956" s="49"/>
      <c r="D3956" s="48"/>
      <c r="E3956" s="48"/>
      <c r="F3956" s="48"/>
      <c r="G3956" s="48"/>
      <c r="H3956" s="48"/>
      <c r="I3956" s="48"/>
      <c r="J3956" s="86"/>
      <c r="K3956" s="86"/>
      <c r="L3956" s="86"/>
      <c r="M3956" s="86"/>
      <c r="N3956" s="86"/>
      <c r="O3956" s="86"/>
      <c r="P3956" s="86"/>
      <c r="Q3956" s="86"/>
      <c r="R3956" s="86"/>
      <c r="S3956" s="86"/>
      <c r="T3956" s="86"/>
      <c r="U3956" s="86"/>
      <c r="V3956" s="48"/>
      <c r="W3956" s="48"/>
      <c r="X3956" s="48"/>
      <c r="Y3956" s="48"/>
      <c r="Z3956" s="48"/>
      <c r="AA3956" s="48"/>
      <c r="AB3956" s="48"/>
      <c r="AC3956" s="48"/>
      <c r="AD3956" s="48"/>
      <c r="AE3956" s="48"/>
      <c r="AF3956" s="48"/>
      <c r="AG3956" s="48"/>
      <c r="AH3956" s="48"/>
      <c r="AI3956" s="48"/>
      <c r="AJ3956" s="48"/>
      <c r="AK3956" s="48"/>
      <c r="AL3956" s="48"/>
      <c r="AM3956" s="48"/>
      <c r="AN3956" s="48"/>
      <c r="AO3956" s="48"/>
      <c r="AP3956" s="48"/>
      <c r="AQ3956" s="48"/>
      <c r="AR3956" s="48"/>
      <c r="AS3956" s="48"/>
      <c r="AT3956" s="48"/>
      <c r="AU3956" s="48"/>
      <c r="AV3956" s="48"/>
      <c r="AW3956" s="48"/>
      <c r="AX3956" s="48"/>
      <c r="AY3956" s="48"/>
      <c r="AZ3956" s="48"/>
      <c r="BA3956" s="48"/>
      <c r="BB3956" s="48"/>
      <c r="BC3956" s="48"/>
      <c r="BD3956" s="48"/>
    </row>
    <row r="3957" spans="1:56">
      <c r="A3957" s="48"/>
      <c r="B3957" s="48"/>
      <c r="C3957" s="49"/>
      <c r="D3957" s="48"/>
      <c r="E3957" s="48"/>
      <c r="F3957" s="48"/>
      <c r="G3957" s="48"/>
      <c r="H3957" s="48"/>
      <c r="I3957" s="48"/>
      <c r="J3957" s="86"/>
      <c r="K3957" s="86"/>
      <c r="L3957" s="86"/>
      <c r="M3957" s="86"/>
      <c r="N3957" s="86"/>
      <c r="O3957" s="86"/>
      <c r="P3957" s="86"/>
      <c r="Q3957" s="86"/>
      <c r="R3957" s="86"/>
      <c r="S3957" s="86"/>
      <c r="T3957" s="86"/>
      <c r="U3957" s="86"/>
      <c r="V3957" s="48"/>
      <c r="W3957" s="48"/>
      <c r="X3957" s="48"/>
      <c r="Y3957" s="48"/>
      <c r="Z3957" s="48"/>
      <c r="AA3957" s="48"/>
      <c r="AB3957" s="48"/>
      <c r="AC3957" s="48"/>
      <c r="AD3957" s="48"/>
      <c r="AE3957" s="48"/>
      <c r="AF3957" s="48"/>
      <c r="AG3957" s="48"/>
      <c r="AH3957" s="48"/>
      <c r="AI3957" s="48"/>
      <c r="AJ3957" s="48"/>
      <c r="AK3957" s="48"/>
      <c r="AL3957" s="48"/>
      <c r="AM3957" s="48"/>
      <c r="AN3957" s="48"/>
      <c r="AO3957" s="48"/>
      <c r="AP3957" s="48"/>
      <c r="AQ3957" s="48"/>
      <c r="AR3957" s="48"/>
      <c r="AS3957" s="48"/>
      <c r="AT3957" s="48"/>
      <c r="AU3957" s="48"/>
      <c r="AV3957" s="48"/>
      <c r="AW3957" s="48"/>
      <c r="AX3957" s="48"/>
      <c r="AY3957" s="48"/>
      <c r="AZ3957" s="48"/>
      <c r="BA3957" s="48"/>
      <c r="BB3957" s="48"/>
      <c r="BC3957" s="48"/>
      <c r="BD3957" s="48"/>
    </row>
    <row r="3958" spans="1:56">
      <c r="A3958" s="48"/>
      <c r="B3958" s="48"/>
      <c r="C3958" s="49"/>
      <c r="D3958" s="48"/>
      <c r="E3958" s="48"/>
      <c r="F3958" s="48"/>
      <c r="G3958" s="48"/>
      <c r="H3958" s="48"/>
      <c r="I3958" s="48"/>
      <c r="J3958" s="86"/>
      <c r="K3958" s="86"/>
      <c r="L3958" s="86"/>
      <c r="M3958" s="86"/>
      <c r="N3958" s="86"/>
      <c r="O3958" s="86"/>
      <c r="P3958" s="86"/>
      <c r="Q3958" s="86"/>
      <c r="R3958" s="86"/>
      <c r="S3958" s="86"/>
      <c r="T3958" s="86"/>
      <c r="U3958" s="86"/>
      <c r="V3958" s="48"/>
      <c r="W3958" s="48"/>
      <c r="X3958" s="48"/>
      <c r="Y3958" s="48"/>
      <c r="Z3958" s="48"/>
      <c r="AA3958" s="48"/>
      <c r="AB3958" s="48"/>
      <c r="AC3958" s="48"/>
      <c r="AD3958" s="48"/>
      <c r="AE3958" s="48"/>
      <c r="AF3958" s="48"/>
      <c r="AG3958" s="48"/>
      <c r="AH3958" s="48"/>
      <c r="AI3958" s="48"/>
      <c r="AJ3958" s="48"/>
      <c r="AK3958" s="48"/>
      <c r="AL3958" s="48"/>
      <c r="AM3958" s="48"/>
      <c r="AN3958" s="48"/>
      <c r="AO3958" s="48"/>
      <c r="AP3958" s="48"/>
      <c r="AQ3958" s="48"/>
      <c r="AR3958" s="48"/>
      <c r="AS3958" s="48"/>
      <c r="AT3958" s="48"/>
      <c r="AU3958" s="48"/>
      <c r="AV3958" s="48"/>
      <c r="AW3958" s="48"/>
      <c r="AX3958" s="48"/>
      <c r="AY3958" s="48"/>
      <c r="AZ3958" s="48"/>
      <c r="BA3958" s="48"/>
      <c r="BB3958" s="48"/>
      <c r="BC3958" s="48"/>
      <c r="BD3958" s="48"/>
    </row>
    <row r="3959" spans="1:56">
      <c r="A3959" s="48"/>
      <c r="B3959" s="48"/>
      <c r="C3959" s="49"/>
      <c r="D3959" s="48"/>
      <c r="E3959" s="48"/>
      <c r="F3959" s="48"/>
      <c r="G3959" s="48"/>
      <c r="H3959" s="48"/>
      <c r="I3959" s="48"/>
      <c r="J3959" s="86"/>
      <c r="K3959" s="86"/>
      <c r="L3959" s="86"/>
      <c r="M3959" s="86"/>
      <c r="N3959" s="86"/>
      <c r="O3959" s="86"/>
      <c r="P3959" s="86"/>
      <c r="Q3959" s="86"/>
      <c r="R3959" s="86"/>
      <c r="S3959" s="86"/>
      <c r="T3959" s="86"/>
      <c r="U3959" s="86"/>
      <c r="V3959" s="48"/>
      <c r="W3959" s="48"/>
      <c r="X3959" s="48"/>
      <c r="Y3959" s="48"/>
      <c r="Z3959" s="48"/>
      <c r="AA3959" s="48"/>
      <c r="AB3959" s="48"/>
      <c r="AC3959" s="48"/>
      <c r="AD3959" s="48"/>
      <c r="AE3959" s="48"/>
      <c r="AF3959" s="48"/>
      <c r="AG3959" s="48"/>
      <c r="AH3959" s="48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48"/>
      <c r="AV3959" s="48"/>
      <c r="AW3959" s="48"/>
      <c r="AX3959" s="48"/>
      <c r="AY3959" s="48"/>
      <c r="AZ3959" s="48"/>
      <c r="BA3959" s="48"/>
      <c r="BB3959" s="48"/>
      <c r="BC3959" s="48"/>
      <c r="BD3959" s="48"/>
    </row>
    <row r="3960" spans="1:56">
      <c r="A3960" s="48"/>
      <c r="B3960" s="48"/>
      <c r="C3960" s="49"/>
      <c r="D3960" s="48"/>
      <c r="E3960" s="48"/>
      <c r="F3960" s="48"/>
      <c r="G3960" s="48"/>
      <c r="H3960" s="48"/>
      <c r="I3960" s="48"/>
      <c r="J3960" s="86"/>
      <c r="K3960" s="86"/>
      <c r="L3960" s="86"/>
      <c r="M3960" s="86"/>
      <c r="N3960" s="86"/>
      <c r="O3960" s="86"/>
      <c r="P3960" s="86"/>
      <c r="Q3960" s="86"/>
      <c r="R3960" s="86"/>
      <c r="S3960" s="86"/>
      <c r="T3960" s="86"/>
      <c r="U3960" s="86"/>
      <c r="V3960" s="48"/>
      <c r="W3960" s="48"/>
      <c r="X3960" s="48"/>
      <c r="Y3960" s="48"/>
      <c r="Z3960" s="48"/>
      <c r="AA3960" s="48"/>
      <c r="AB3960" s="48"/>
      <c r="AC3960" s="48"/>
      <c r="AD3960" s="48"/>
      <c r="AE3960" s="48"/>
      <c r="AF3960" s="48"/>
      <c r="AG3960" s="48"/>
      <c r="AH3960" s="48"/>
      <c r="AI3960" s="48"/>
      <c r="AJ3960" s="48"/>
      <c r="AK3960" s="48"/>
      <c r="AL3960" s="48"/>
      <c r="AM3960" s="48"/>
      <c r="AN3960" s="48"/>
      <c r="AO3960" s="48"/>
      <c r="AP3960" s="48"/>
      <c r="AQ3960" s="48"/>
      <c r="AR3960" s="48"/>
      <c r="AS3960" s="48"/>
      <c r="AT3960" s="48"/>
      <c r="AU3960" s="48"/>
      <c r="AV3960" s="48"/>
      <c r="AW3960" s="48"/>
      <c r="AX3960" s="48"/>
      <c r="AY3960" s="48"/>
      <c r="AZ3960" s="48"/>
      <c r="BA3960" s="48"/>
      <c r="BB3960" s="48"/>
      <c r="BC3960" s="48"/>
      <c r="BD3960" s="48"/>
    </row>
    <row r="3961" spans="1:56">
      <c r="A3961" s="48"/>
      <c r="B3961" s="48"/>
      <c r="C3961" s="49"/>
      <c r="D3961" s="48"/>
      <c r="E3961" s="48"/>
      <c r="F3961" s="48"/>
      <c r="G3961" s="48"/>
      <c r="H3961" s="48"/>
      <c r="I3961" s="48"/>
      <c r="J3961" s="86"/>
      <c r="K3961" s="86"/>
      <c r="L3961" s="86"/>
      <c r="M3961" s="86"/>
      <c r="N3961" s="86"/>
      <c r="O3961" s="86"/>
      <c r="P3961" s="86"/>
      <c r="Q3961" s="86"/>
      <c r="R3961" s="86"/>
      <c r="S3961" s="86"/>
      <c r="T3961" s="86"/>
      <c r="U3961" s="86"/>
      <c r="V3961" s="48"/>
      <c r="W3961" s="48"/>
      <c r="X3961" s="48"/>
      <c r="Y3961" s="48"/>
      <c r="Z3961" s="48"/>
      <c r="AA3961" s="48"/>
      <c r="AB3961" s="48"/>
      <c r="AC3961" s="48"/>
      <c r="AD3961" s="48"/>
      <c r="AE3961" s="48"/>
      <c r="AF3961" s="48"/>
      <c r="AG3961" s="48"/>
      <c r="AH3961" s="48"/>
      <c r="AI3961" s="48"/>
      <c r="AJ3961" s="48"/>
      <c r="AK3961" s="48"/>
      <c r="AL3961" s="48"/>
      <c r="AM3961" s="48"/>
      <c r="AN3961" s="48"/>
      <c r="AO3961" s="48"/>
      <c r="AP3961" s="48"/>
      <c r="AQ3961" s="48"/>
      <c r="AR3961" s="48"/>
      <c r="AS3961" s="48"/>
      <c r="AT3961" s="48"/>
      <c r="AU3961" s="48"/>
      <c r="AV3961" s="48"/>
      <c r="AW3961" s="48"/>
      <c r="AX3961" s="48"/>
      <c r="AY3961" s="48"/>
      <c r="AZ3961" s="48"/>
      <c r="BA3961" s="48"/>
      <c r="BB3961" s="48"/>
      <c r="BC3961" s="48"/>
      <c r="BD3961" s="48"/>
    </row>
    <row r="3962" spans="1:56">
      <c r="A3962" s="48"/>
      <c r="B3962" s="48"/>
      <c r="C3962" s="49"/>
      <c r="D3962" s="48"/>
      <c r="E3962" s="48"/>
      <c r="F3962" s="48"/>
      <c r="G3962" s="48"/>
      <c r="H3962" s="48"/>
      <c r="I3962" s="48"/>
      <c r="J3962" s="86"/>
      <c r="K3962" s="86"/>
      <c r="L3962" s="86"/>
      <c r="M3962" s="86"/>
      <c r="N3962" s="86"/>
      <c r="O3962" s="86"/>
      <c r="P3962" s="86"/>
      <c r="Q3962" s="86"/>
      <c r="R3962" s="86"/>
      <c r="S3962" s="86"/>
      <c r="T3962" s="86"/>
      <c r="U3962" s="86"/>
      <c r="V3962" s="48"/>
      <c r="W3962" s="48"/>
      <c r="X3962" s="48"/>
      <c r="Y3962" s="48"/>
      <c r="Z3962" s="48"/>
      <c r="AA3962" s="48"/>
      <c r="AB3962" s="48"/>
      <c r="AC3962" s="48"/>
      <c r="AD3962" s="48"/>
      <c r="AE3962" s="48"/>
      <c r="AF3962" s="48"/>
      <c r="AG3962" s="48"/>
      <c r="AH3962" s="48"/>
      <c r="AI3962" s="48"/>
      <c r="AJ3962" s="48"/>
      <c r="AK3962" s="48"/>
      <c r="AL3962" s="48"/>
      <c r="AM3962" s="48"/>
      <c r="AN3962" s="48"/>
      <c r="AO3962" s="48"/>
      <c r="AP3962" s="48"/>
      <c r="AQ3962" s="48"/>
      <c r="AR3962" s="48"/>
      <c r="AS3962" s="48"/>
      <c r="AT3962" s="48"/>
      <c r="AU3962" s="48"/>
      <c r="AV3962" s="48"/>
      <c r="AW3962" s="48"/>
      <c r="AX3962" s="48"/>
      <c r="AY3962" s="48"/>
      <c r="AZ3962" s="48"/>
      <c r="BA3962" s="48"/>
      <c r="BB3962" s="48"/>
      <c r="BC3962" s="48"/>
      <c r="BD3962" s="48"/>
    </row>
    <row r="3963" spans="1:56">
      <c r="A3963" s="48"/>
      <c r="B3963" s="48"/>
      <c r="C3963" s="49"/>
      <c r="D3963" s="48"/>
      <c r="E3963" s="48"/>
      <c r="F3963" s="48"/>
      <c r="G3963" s="48"/>
      <c r="H3963" s="48"/>
      <c r="I3963" s="48"/>
      <c r="J3963" s="86"/>
      <c r="K3963" s="86"/>
      <c r="L3963" s="86"/>
      <c r="M3963" s="86"/>
      <c r="N3963" s="86"/>
      <c r="O3963" s="86"/>
      <c r="P3963" s="86"/>
      <c r="Q3963" s="86"/>
      <c r="R3963" s="86"/>
      <c r="S3963" s="86"/>
      <c r="T3963" s="86"/>
      <c r="U3963" s="86"/>
      <c r="V3963" s="48"/>
      <c r="W3963" s="48"/>
      <c r="X3963" s="48"/>
      <c r="Y3963" s="48"/>
      <c r="Z3963" s="48"/>
      <c r="AA3963" s="48"/>
      <c r="AB3963" s="48"/>
      <c r="AC3963" s="48"/>
      <c r="AD3963" s="48"/>
      <c r="AE3963" s="48"/>
      <c r="AF3963" s="48"/>
      <c r="AG3963" s="48"/>
      <c r="AH3963" s="48"/>
      <c r="AI3963" s="48"/>
      <c r="AJ3963" s="48"/>
      <c r="AK3963" s="48"/>
      <c r="AL3963" s="48"/>
      <c r="AM3963" s="48"/>
      <c r="AN3963" s="48"/>
      <c r="AO3963" s="48"/>
      <c r="AP3963" s="48"/>
      <c r="AQ3963" s="48"/>
      <c r="AR3963" s="48"/>
      <c r="AS3963" s="48"/>
      <c r="AT3963" s="48"/>
      <c r="AU3963" s="48"/>
      <c r="AV3963" s="48"/>
      <c r="AW3963" s="48"/>
      <c r="AX3963" s="48"/>
      <c r="AY3963" s="48"/>
      <c r="AZ3963" s="48"/>
      <c r="BA3963" s="48"/>
      <c r="BB3963" s="48"/>
      <c r="BC3963" s="48"/>
      <c r="BD3963" s="48"/>
    </row>
    <row r="3964" spans="1:56">
      <c r="A3964" s="48"/>
      <c r="B3964" s="48"/>
      <c r="C3964" s="49"/>
      <c r="D3964" s="48"/>
      <c r="E3964" s="48"/>
      <c r="F3964" s="48"/>
      <c r="G3964" s="48"/>
      <c r="H3964" s="48"/>
      <c r="I3964" s="48"/>
      <c r="J3964" s="86"/>
      <c r="K3964" s="86"/>
      <c r="L3964" s="86"/>
      <c r="M3964" s="86"/>
      <c r="N3964" s="86"/>
      <c r="O3964" s="86"/>
      <c r="P3964" s="86"/>
      <c r="Q3964" s="86"/>
      <c r="R3964" s="86"/>
      <c r="S3964" s="86"/>
      <c r="T3964" s="86"/>
      <c r="U3964" s="86"/>
      <c r="V3964" s="48"/>
      <c r="W3964" s="48"/>
      <c r="X3964" s="48"/>
      <c r="Y3964" s="48"/>
      <c r="Z3964" s="48"/>
      <c r="AA3964" s="48"/>
      <c r="AB3964" s="48"/>
      <c r="AC3964" s="48"/>
      <c r="AD3964" s="48"/>
      <c r="AE3964" s="48"/>
      <c r="AF3964" s="48"/>
      <c r="AG3964" s="48"/>
      <c r="AH3964" s="48"/>
      <c r="AI3964" s="48"/>
      <c r="AJ3964" s="48"/>
      <c r="AK3964" s="48"/>
      <c r="AL3964" s="48"/>
      <c r="AM3964" s="48"/>
      <c r="AN3964" s="48"/>
      <c r="AO3964" s="48"/>
      <c r="AP3964" s="48"/>
      <c r="AQ3964" s="48"/>
      <c r="AR3964" s="48"/>
      <c r="AS3964" s="48"/>
      <c r="AT3964" s="48"/>
      <c r="AU3964" s="48"/>
      <c r="AV3964" s="48"/>
      <c r="AW3964" s="48"/>
      <c r="AX3964" s="48"/>
      <c r="AY3964" s="48"/>
      <c r="AZ3964" s="48"/>
      <c r="BA3964" s="48"/>
      <c r="BB3964" s="48"/>
      <c r="BC3964" s="48"/>
      <c r="BD3964" s="48"/>
    </row>
    <row r="3965" spans="1:56">
      <c r="A3965" s="48"/>
      <c r="B3965" s="48"/>
      <c r="C3965" s="49"/>
      <c r="D3965" s="48"/>
      <c r="E3965" s="48"/>
      <c r="F3965" s="48"/>
      <c r="G3965" s="48"/>
      <c r="H3965" s="48"/>
      <c r="I3965" s="48"/>
      <c r="J3965" s="86"/>
      <c r="K3965" s="86"/>
      <c r="L3965" s="86"/>
      <c r="M3965" s="86"/>
      <c r="N3965" s="86"/>
      <c r="O3965" s="86"/>
      <c r="P3965" s="86"/>
      <c r="Q3965" s="86"/>
      <c r="R3965" s="86"/>
      <c r="S3965" s="86"/>
      <c r="T3965" s="86"/>
      <c r="U3965" s="86"/>
      <c r="V3965" s="48"/>
      <c r="W3965" s="48"/>
      <c r="X3965" s="48"/>
      <c r="Y3965" s="48"/>
      <c r="Z3965" s="48"/>
      <c r="AA3965" s="48"/>
      <c r="AB3965" s="48"/>
      <c r="AC3965" s="48"/>
      <c r="AD3965" s="48"/>
      <c r="AE3965" s="48"/>
      <c r="AF3965" s="48"/>
      <c r="AG3965" s="48"/>
      <c r="AH3965" s="48"/>
      <c r="AI3965" s="48"/>
      <c r="AJ3965" s="48"/>
      <c r="AK3965" s="48"/>
      <c r="AL3965" s="48"/>
      <c r="AM3965" s="48"/>
      <c r="AN3965" s="48"/>
      <c r="AO3965" s="48"/>
      <c r="AP3965" s="48"/>
      <c r="AQ3965" s="48"/>
      <c r="AR3965" s="48"/>
      <c r="AS3965" s="48"/>
      <c r="AT3965" s="48"/>
      <c r="AU3965" s="48"/>
      <c r="AV3965" s="48"/>
      <c r="AW3965" s="48"/>
      <c r="AX3965" s="48"/>
      <c r="AY3965" s="48"/>
      <c r="AZ3965" s="48"/>
      <c r="BA3965" s="48"/>
      <c r="BB3965" s="48"/>
      <c r="BC3965" s="48"/>
      <c r="BD3965" s="48"/>
    </row>
    <row r="3966" spans="1:56">
      <c r="A3966" s="48"/>
      <c r="B3966" s="48"/>
      <c r="C3966" s="49"/>
      <c r="D3966" s="48"/>
      <c r="E3966" s="48"/>
      <c r="F3966" s="48"/>
      <c r="G3966" s="48"/>
      <c r="H3966" s="48"/>
      <c r="I3966" s="48"/>
      <c r="J3966" s="86"/>
      <c r="K3966" s="86"/>
      <c r="L3966" s="86"/>
      <c r="M3966" s="86"/>
      <c r="N3966" s="86"/>
      <c r="O3966" s="86"/>
      <c r="P3966" s="86"/>
      <c r="Q3966" s="86"/>
      <c r="R3966" s="86"/>
      <c r="S3966" s="86"/>
      <c r="T3966" s="86"/>
      <c r="U3966" s="86"/>
      <c r="V3966" s="48"/>
      <c r="W3966" s="48"/>
      <c r="X3966" s="48"/>
      <c r="Y3966" s="48"/>
      <c r="Z3966" s="48"/>
      <c r="AA3966" s="48"/>
      <c r="AB3966" s="48"/>
      <c r="AC3966" s="48"/>
      <c r="AD3966" s="48"/>
      <c r="AE3966" s="48"/>
      <c r="AF3966" s="48"/>
      <c r="AG3966" s="48"/>
      <c r="AH3966" s="48"/>
      <c r="AI3966" s="48"/>
      <c r="AJ3966" s="48"/>
      <c r="AK3966" s="48"/>
      <c r="AL3966" s="48"/>
      <c r="AM3966" s="48"/>
      <c r="AN3966" s="48"/>
      <c r="AO3966" s="48"/>
      <c r="AP3966" s="48"/>
      <c r="AQ3966" s="48"/>
      <c r="AR3966" s="48"/>
      <c r="AS3966" s="48"/>
      <c r="AT3966" s="48"/>
      <c r="AU3966" s="48"/>
      <c r="AV3966" s="48"/>
      <c r="AW3966" s="48"/>
      <c r="AX3966" s="48"/>
      <c r="AY3966" s="48"/>
      <c r="AZ3966" s="48"/>
      <c r="BA3966" s="48"/>
      <c r="BB3966" s="48"/>
      <c r="BC3966" s="48"/>
      <c r="BD3966" s="48"/>
    </row>
    <row r="3967" spans="1:56">
      <c r="A3967" s="48"/>
      <c r="B3967" s="48"/>
      <c r="C3967" s="49"/>
      <c r="D3967" s="48"/>
      <c r="E3967" s="48"/>
      <c r="F3967" s="48"/>
      <c r="G3967" s="48"/>
      <c r="H3967" s="48"/>
      <c r="I3967" s="48"/>
      <c r="J3967" s="86"/>
      <c r="K3967" s="86"/>
      <c r="L3967" s="86"/>
      <c r="M3967" s="86"/>
      <c r="N3967" s="86"/>
      <c r="O3967" s="86"/>
      <c r="P3967" s="86"/>
      <c r="Q3967" s="86"/>
      <c r="R3967" s="86"/>
      <c r="S3967" s="86"/>
      <c r="T3967" s="86"/>
      <c r="U3967" s="86"/>
      <c r="V3967" s="48"/>
      <c r="W3967" s="48"/>
      <c r="X3967" s="48"/>
      <c r="Y3967" s="48"/>
      <c r="Z3967" s="48"/>
      <c r="AA3967" s="48"/>
      <c r="AB3967" s="48"/>
      <c r="AC3967" s="48"/>
      <c r="AD3967" s="48"/>
      <c r="AE3967" s="48"/>
      <c r="AF3967" s="48"/>
      <c r="AG3967" s="48"/>
      <c r="AH3967" s="48"/>
      <c r="AI3967" s="48"/>
      <c r="AJ3967" s="48"/>
      <c r="AK3967" s="48"/>
      <c r="AL3967" s="48"/>
      <c r="AM3967" s="48"/>
      <c r="AN3967" s="48"/>
      <c r="AO3967" s="48"/>
      <c r="AP3967" s="48"/>
      <c r="AQ3967" s="48"/>
      <c r="AR3967" s="48"/>
      <c r="AS3967" s="48"/>
      <c r="AT3967" s="48"/>
      <c r="AU3967" s="48"/>
      <c r="AV3967" s="48"/>
      <c r="AW3967" s="48"/>
      <c r="AX3967" s="48"/>
      <c r="AY3967" s="48"/>
      <c r="AZ3967" s="48"/>
      <c r="BA3967" s="48"/>
      <c r="BB3967" s="48"/>
      <c r="BC3967" s="48"/>
      <c r="BD3967" s="48"/>
    </row>
    <row r="3968" spans="1:56">
      <c r="A3968" s="48"/>
      <c r="B3968" s="48"/>
      <c r="C3968" s="49"/>
      <c r="D3968" s="48"/>
      <c r="E3968" s="48"/>
      <c r="F3968" s="48"/>
      <c r="G3968" s="48"/>
      <c r="H3968" s="48"/>
      <c r="I3968" s="48"/>
      <c r="J3968" s="86"/>
      <c r="K3968" s="86"/>
      <c r="L3968" s="86"/>
      <c r="M3968" s="86"/>
      <c r="N3968" s="86"/>
      <c r="O3968" s="86"/>
      <c r="P3968" s="86"/>
      <c r="Q3968" s="86"/>
      <c r="R3968" s="86"/>
      <c r="S3968" s="86"/>
      <c r="T3968" s="86"/>
      <c r="U3968" s="86"/>
      <c r="V3968" s="48"/>
      <c r="W3968" s="48"/>
      <c r="X3968" s="48"/>
      <c r="Y3968" s="48"/>
      <c r="Z3968" s="48"/>
      <c r="AA3968" s="48"/>
      <c r="AB3968" s="48"/>
      <c r="AC3968" s="48"/>
      <c r="AD3968" s="48"/>
      <c r="AE3968" s="48"/>
      <c r="AF3968" s="48"/>
      <c r="AG3968" s="48"/>
      <c r="AH3968" s="48"/>
      <c r="AI3968" s="48"/>
      <c r="AJ3968" s="48"/>
      <c r="AK3968" s="48"/>
      <c r="AL3968" s="48"/>
      <c r="AM3968" s="48"/>
      <c r="AN3968" s="48"/>
      <c r="AO3968" s="48"/>
      <c r="AP3968" s="48"/>
      <c r="AQ3968" s="48"/>
      <c r="AR3968" s="48"/>
      <c r="AS3968" s="48"/>
      <c r="AT3968" s="48"/>
      <c r="AU3968" s="48"/>
      <c r="AV3968" s="48"/>
      <c r="AW3968" s="48"/>
      <c r="AX3968" s="48"/>
      <c r="AY3968" s="48"/>
      <c r="AZ3968" s="48"/>
      <c r="BA3968" s="48"/>
      <c r="BB3968" s="48"/>
      <c r="BC3968" s="48"/>
      <c r="BD3968" s="48"/>
    </row>
    <row r="3969" spans="1:56">
      <c r="A3969" s="48"/>
      <c r="B3969" s="48"/>
      <c r="C3969" s="49"/>
      <c r="D3969" s="48"/>
      <c r="E3969" s="48"/>
      <c r="F3969" s="48"/>
      <c r="G3969" s="48"/>
      <c r="H3969" s="48"/>
      <c r="I3969" s="48"/>
      <c r="J3969" s="86"/>
      <c r="K3969" s="86"/>
      <c r="L3969" s="86"/>
      <c r="M3969" s="86"/>
      <c r="N3969" s="86"/>
      <c r="O3969" s="86"/>
      <c r="P3969" s="86"/>
      <c r="Q3969" s="86"/>
      <c r="R3969" s="86"/>
      <c r="S3969" s="86"/>
      <c r="T3969" s="86"/>
      <c r="U3969" s="86"/>
      <c r="V3969" s="48"/>
      <c r="W3969" s="48"/>
      <c r="X3969" s="48"/>
      <c r="Y3969" s="48"/>
      <c r="Z3969" s="48"/>
      <c r="AA3969" s="48"/>
      <c r="AB3969" s="48"/>
      <c r="AC3969" s="48"/>
      <c r="AD3969" s="48"/>
      <c r="AE3969" s="48"/>
      <c r="AF3969" s="48"/>
      <c r="AG3969" s="48"/>
      <c r="AH3969" s="48"/>
      <c r="AI3969" s="48"/>
      <c r="AJ3969" s="48"/>
      <c r="AK3969" s="48"/>
      <c r="AL3969" s="48"/>
      <c r="AM3969" s="48"/>
      <c r="AN3969" s="48"/>
      <c r="AO3969" s="48"/>
      <c r="AP3969" s="48"/>
      <c r="AQ3969" s="48"/>
      <c r="AR3969" s="48"/>
      <c r="AS3969" s="48"/>
      <c r="AT3969" s="48"/>
      <c r="AU3969" s="48"/>
      <c r="AV3969" s="48"/>
      <c r="AW3969" s="48"/>
      <c r="AX3969" s="48"/>
      <c r="AY3969" s="48"/>
      <c r="AZ3969" s="48"/>
      <c r="BA3969" s="48"/>
      <c r="BB3969" s="48"/>
      <c r="BC3969" s="48"/>
      <c r="BD3969" s="48"/>
    </row>
    <row r="3970" spans="1:56">
      <c r="A3970" s="48"/>
      <c r="B3970" s="48"/>
      <c r="C3970" s="49"/>
      <c r="D3970" s="48"/>
      <c r="E3970" s="48"/>
      <c r="F3970" s="48"/>
      <c r="G3970" s="48"/>
      <c r="H3970" s="48"/>
      <c r="I3970" s="48"/>
      <c r="J3970" s="86"/>
      <c r="K3970" s="86"/>
      <c r="L3970" s="86"/>
      <c r="M3970" s="86"/>
      <c r="N3970" s="86"/>
      <c r="O3970" s="86"/>
      <c r="P3970" s="86"/>
      <c r="Q3970" s="86"/>
      <c r="R3970" s="86"/>
      <c r="S3970" s="86"/>
      <c r="T3970" s="86"/>
      <c r="U3970" s="86"/>
      <c r="V3970" s="48"/>
      <c r="W3970" s="48"/>
      <c r="X3970" s="48"/>
      <c r="Y3970" s="48"/>
      <c r="Z3970" s="48"/>
      <c r="AA3970" s="48"/>
      <c r="AB3970" s="48"/>
      <c r="AC3970" s="48"/>
      <c r="AD3970" s="48"/>
      <c r="AE3970" s="48"/>
      <c r="AF3970" s="48"/>
      <c r="AG3970" s="48"/>
      <c r="AH3970" s="48"/>
      <c r="AI3970" s="48"/>
      <c r="AJ3970" s="48"/>
      <c r="AK3970" s="48"/>
      <c r="AL3970" s="48"/>
      <c r="AM3970" s="48"/>
      <c r="AN3970" s="48"/>
      <c r="AO3970" s="48"/>
      <c r="AP3970" s="48"/>
      <c r="AQ3970" s="48"/>
      <c r="AR3970" s="48"/>
      <c r="AS3970" s="48"/>
      <c r="AT3970" s="48"/>
      <c r="AU3970" s="48"/>
      <c r="AV3970" s="48"/>
      <c r="AW3970" s="48"/>
      <c r="AX3970" s="48"/>
      <c r="AY3970" s="48"/>
      <c r="AZ3970" s="48"/>
      <c r="BA3970" s="48"/>
      <c r="BB3970" s="48"/>
      <c r="BC3970" s="48"/>
      <c r="BD3970" s="48"/>
    </row>
    <row r="3971" spans="1:56">
      <c r="A3971" s="48"/>
      <c r="B3971" s="48"/>
      <c r="C3971" s="49"/>
      <c r="D3971" s="48"/>
      <c r="E3971" s="48"/>
      <c r="F3971" s="48"/>
      <c r="G3971" s="48"/>
      <c r="H3971" s="48"/>
      <c r="I3971" s="48"/>
      <c r="J3971" s="86"/>
      <c r="K3971" s="86"/>
      <c r="L3971" s="86"/>
      <c r="M3971" s="86"/>
      <c r="N3971" s="86"/>
      <c r="O3971" s="86"/>
      <c r="P3971" s="86"/>
      <c r="Q3971" s="86"/>
      <c r="R3971" s="86"/>
      <c r="S3971" s="86"/>
      <c r="T3971" s="86"/>
      <c r="U3971" s="86"/>
      <c r="V3971" s="48"/>
      <c r="W3971" s="48"/>
      <c r="X3971" s="48"/>
      <c r="Y3971" s="48"/>
      <c r="Z3971" s="48"/>
      <c r="AA3971" s="48"/>
      <c r="AB3971" s="48"/>
      <c r="AC3971" s="48"/>
      <c r="AD3971" s="48"/>
      <c r="AE3971" s="48"/>
      <c r="AF3971" s="48"/>
      <c r="AG3971" s="48"/>
      <c r="AH3971" s="48"/>
      <c r="AI3971" s="48"/>
      <c r="AJ3971" s="48"/>
      <c r="AK3971" s="48"/>
      <c r="AL3971" s="48"/>
      <c r="AM3971" s="48"/>
      <c r="AN3971" s="48"/>
      <c r="AO3971" s="48"/>
      <c r="AP3971" s="48"/>
      <c r="AQ3971" s="48"/>
      <c r="AR3971" s="48"/>
      <c r="AS3971" s="48"/>
      <c r="AT3971" s="48"/>
      <c r="AU3971" s="48"/>
      <c r="AV3971" s="48"/>
      <c r="AW3971" s="48"/>
      <c r="AX3971" s="48"/>
      <c r="AY3971" s="48"/>
      <c r="AZ3971" s="48"/>
      <c r="BA3971" s="48"/>
      <c r="BB3971" s="48"/>
      <c r="BC3971" s="48"/>
      <c r="BD3971" s="48"/>
    </row>
    <row r="3972" spans="1:56">
      <c r="A3972" s="48"/>
      <c r="B3972" s="48"/>
      <c r="C3972" s="49"/>
      <c r="D3972" s="48"/>
      <c r="E3972" s="48"/>
      <c r="F3972" s="48"/>
      <c r="G3972" s="48"/>
      <c r="H3972" s="48"/>
      <c r="I3972" s="48"/>
      <c r="J3972" s="86"/>
      <c r="K3972" s="86"/>
      <c r="L3972" s="86"/>
      <c r="M3972" s="86"/>
      <c r="N3972" s="86"/>
      <c r="O3972" s="86"/>
      <c r="P3972" s="86"/>
      <c r="Q3972" s="86"/>
      <c r="R3972" s="86"/>
      <c r="S3972" s="86"/>
      <c r="T3972" s="86"/>
      <c r="U3972" s="86"/>
      <c r="V3972" s="48"/>
      <c r="W3972" s="48"/>
      <c r="X3972" s="48"/>
      <c r="Y3972" s="48"/>
      <c r="Z3972" s="48"/>
      <c r="AA3972" s="48"/>
      <c r="AB3972" s="48"/>
      <c r="AC3972" s="48"/>
      <c r="AD3972" s="48"/>
      <c r="AE3972" s="48"/>
      <c r="AF3972" s="48"/>
      <c r="AG3972" s="48"/>
      <c r="AH3972" s="48"/>
      <c r="AI3972" s="48"/>
      <c r="AJ3972" s="48"/>
      <c r="AK3972" s="48"/>
      <c r="AL3972" s="48"/>
      <c r="AM3972" s="48"/>
      <c r="AN3972" s="48"/>
      <c r="AO3972" s="48"/>
      <c r="AP3972" s="48"/>
      <c r="AQ3972" s="48"/>
      <c r="AR3972" s="48"/>
      <c r="AS3972" s="48"/>
      <c r="AT3972" s="48"/>
      <c r="AU3972" s="48"/>
      <c r="AV3972" s="48"/>
      <c r="AW3972" s="48"/>
      <c r="AX3972" s="48"/>
      <c r="AY3972" s="48"/>
      <c r="AZ3972" s="48"/>
      <c r="BA3972" s="48"/>
      <c r="BB3972" s="48"/>
      <c r="BC3972" s="48"/>
      <c r="BD3972" s="48"/>
    </row>
    <row r="3973" spans="1:56">
      <c r="A3973" s="48"/>
      <c r="B3973" s="48"/>
      <c r="C3973" s="49"/>
      <c r="D3973" s="48"/>
      <c r="E3973" s="48"/>
      <c r="F3973" s="48"/>
      <c r="G3973" s="48"/>
      <c r="H3973" s="48"/>
      <c r="I3973" s="48"/>
      <c r="J3973" s="86"/>
      <c r="K3973" s="86"/>
      <c r="L3973" s="86"/>
      <c r="M3973" s="86"/>
      <c r="N3973" s="86"/>
      <c r="O3973" s="86"/>
      <c r="P3973" s="86"/>
      <c r="Q3973" s="86"/>
      <c r="R3973" s="86"/>
      <c r="S3973" s="86"/>
      <c r="T3973" s="86"/>
      <c r="U3973" s="86"/>
      <c r="V3973" s="48"/>
      <c r="W3973" s="48"/>
      <c r="X3973" s="48"/>
      <c r="Y3973" s="48"/>
      <c r="Z3973" s="48"/>
      <c r="AA3973" s="48"/>
      <c r="AB3973" s="48"/>
      <c r="AC3973" s="48"/>
      <c r="AD3973" s="48"/>
      <c r="AE3973" s="48"/>
      <c r="AF3973" s="48"/>
      <c r="AG3973" s="48"/>
      <c r="AH3973" s="48"/>
      <c r="AI3973" s="48"/>
      <c r="AJ3973" s="48"/>
      <c r="AK3973" s="48"/>
      <c r="AL3973" s="48"/>
      <c r="AM3973" s="48"/>
      <c r="AN3973" s="48"/>
      <c r="AO3973" s="48"/>
      <c r="AP3973" s="48"/>
      <c r="AQ3973" s="48"/>
      <c r="AR3973" s="48"/>
      <c r="AS3973" s="48"/>
      <c r="AT3973" s="48"/>
      <c r="AU3973" s="48"/>
      <c r="AV3973" s="48"/>
      <c r="AW3973" s="48"/>
      <c r="AX3973" s="48"/>
      <c r="AY3973" s="48"/>
      <c r="AZ3973" s="48"/>
      <c r="BA3973" s="48"/>
      <c r="BB3973" s="48"/>
      <c r="BC3973" s="48"/>
      <c r="BD3973" s="48"/>
    </row>
    <row r="3974" spans="1:56">
      <c r="A3974" s="48"/>
      <c r="B3974" s="48"/>
      <c r="C3974" s="49"/>
      <c r="D3974" s="48"/>
      <c r="E3974" s="48"/>
      <c r="F3974" s="48"/>
      <c r="G3974" s="48"/>
      <c r="H3974" s="48"/>
      <c r="I3974" s="48"/>
      <c r="J3974" s="86"/>
      <c r="K3974" s="86"/>
      <c r="L3974" s="86"/>
      <c r="M3974" s="86"/>
      <c r="N3974" s="86"/>
      <c r="O3974" s="86"/>
      <c r="P3974" s="86"/>
      <c r="Q3974" s="86"/>
      <c r="R3974" s="86"/>
      <c r="S3974" s="86"/>
      <c r="T3974" s="86"/>
      <c r="U3974" s="86"/>
      <c r="V3974" s="48"/>
      <c r="W3974" s="48"/>
      <c r="X3974" s="48"/>
      <c r="Y3974" s="48"/>
      <c r="Z3974" s="48"/>
      <c r="AA3974" s="48"/>
      <c r="AB3974" s="48"/>
      <c r="AC3974" s="48"/>
      <c r="AD3974" s="48"/>
      <c r="AE3974" s="48"/>
      <c r="AF3974" s="48"/>
      <c r="AG3974" s="48"/>
      <c r="AH3974" s="48"/>
      <c r="AI3974" s="48"/>
      <c r="AJ3974" s="48"/>
      <c r="AK3974" s="48"/>
      <c r="AL3974" s="48"/>
      <c r="AM3974" s="48"/>
      <c r="AN3974" s="48"/>
      <c r="AO3974" s="48"/>
      <c r="AP3974" s="48"/>
      <c r="AQ3974" s="48"/>
      <c r="AR3974" s="48"/>
      <c r="AS3974" s="48"/>
      <c r="AT3974" s="48"/>
      <c r="AU3974" s="48"/>
      <c r="AV3974" s="48"/>
      <c r="AW3974" s="48"/>
      <c r="AX3974" s="48"/>
      <c r="AY3974" s="48"/>
      <c r="AZ3974" s="48"/>
      <c r="BA3974" s="48"/>
      <c r="BB3974" s="48"/>
      <c r="BC3974" s="48"/>
      <c r="BD3974" s="48"/>
    </row>
    <row r="3975" spans="1:56">
      <c r="A3975" s="48"/>
      <c r="B3975" s="48"/>
      <c r="C3975" s="49"/>
      <c r="D3975" s="48"/>
      <c r="E3975" s="48"/>
      <c r="F3975" s="48"/>
      <c r="G3975" s="48"/>
      <c r="H3975" s="48"/>
      <c r="I3975" s="48"/>
      <c r="J3975" s="86"/>
      <c r="K3975" s="86"/>
      <c r="L3975" s="86"/>
      <c r="M3975" s="86"/>
      <c r="N3975" s="86"/>
      <c r="O3975" s="86"/>
      <c r="P3975" s="86"/>
      <c r="Q3975" s="86"/>
      <c r="R3975" s="86"/>
      <c r="S3975" s="86"/>
      <c r="T3975" s="86"/>
      <c r="U3975" s="86"/>
      <c r="V3975" s="48"/>
      <c r="W3975" s="48"/>
      <c r="X3975" s="48"/>
      <c r="Y3975" s="48"/>
      <c r="Z3975" s="48"/>
      <c r="AA3975" s="48"/>
      <c r="AB3975" s="48"/>
      <c r="AC3975" s="48"/>
      <c r="AD3975" s="48"/>
      <c r="AE3975" s="48"/>
      <c r="AF3975" s="48"/>
      <c r="AG3975" s="48"/>
      <c r="AH3975" s="48"/>
      <c r="AI3975" s="48"/>
      <c r="AJ3975" s="48"/>
      <c r="AK3975" s="48"/>
      <c r="AL3975" s="48"/>
      <c r="AM3975" s="48"/>
      <c r="AN3975" s="48"/>
      <c r="AO3975" s="48"/>
      <c r="AP3975" s="48"/>
      <c r="AQ3975" s="48"/>
      <c r="AR3975" s="48"/>
      <c r="AS3975" s="48"/>
      <c r="AT3975" s="48"/>
      <c r="AU3975" s="48"/>
      <c r="AV3975" s="48"/>
      <c r="AW3975" s="48"/>
      <c r="AX3975" s="48"/>
      <c r="AY3975" s="48"/>
      <c r="AZ3975" s="48"/>
      <c r="BA3975" s="48"/>
      <c r="BB3975" s="48"/>
      <c r="BC3975" s="48"/>
      <c r="BD3975" s="48"/>
    </row>
    <row r="3976" spans="1:56">
      <c r="A3976" s="48"/>
      <c r="B3976" s="48"/>
      <c r="C3976" s="49"/>
      <c r="D3976" s="48"/>
      <c r="E3976" s="48"/>
      <c r="F3976" s="48"/>
      <c r="G3976" s="48"/>
      <c r="H3976" s="48"/>
      <c r="I3976" s="48"/>
      <c r="J3976" s="86"/>
      <c r="K3976" s="86"/>
      <c r="L3976" s="86"/>
      <c r="M3976" s="86"/>
      <c r="N3976" s="86"/>
      <c r="O3976" s="86"/>
      <c r="P3976" s="86"/>
      <c r="Q3976" s="86"/>
      <c r="R3976" s="86"/>
      <c r="S3976" s="86"/>
      <c r="T3976" s="86"/>
      <c r="U3976" s="86"/>
      <c r="V3976" s="48"/>
      <c r="W3976" s="48"/>
      <c r="X3976" s="48"/>
      <c r="Y3976" s="48"/>
      <c r="Z3976" s="48"/>
      <c r="AA3976" s="48"/>
      <c r="AB3976" s="48"/>
      <c r="AC3976" s="48"/>
      <c r="AD3976" s="48"/>
      <c r="AE3976" s="48"/>
      <c r="AF3976" s="48"/>
      <c r="AG3976" s="48"/>
      <c r="AH3976" s="48"/>
      <c r="AI3976" s="48"/>
      <c r="AJ3976" s="48"/>
      <c r="AK3976" s="48"/>
      <c r="AL3976" s="48"/>
      <c r="AM3976" s="48"/>
      <c r="AN3976" s="48"/>
      <c r="AO3976" s="48"/>
      <c r="AP3976" s="48"/>
      <c r="AQ3976" s="48"/>
      <c r="AR3976" s="48"/>
      <c r="AS3976" s="48"/>
      <c r="AT3976" s="48"/>
      <c r="AU3976" s="48"/>
      <c r="AV3976" s="48"/>
      <c r="AW3976" s="48"/>
      <c r="AX3976" s="48"/>
      <c r="AY3976" s="48"/>
      <c r="AZ3976" s="48"/>
      <c r="BA3976" s="48"/>
      <c r="BB3976" s="48"/>
      <c r="BC3976" s="48"/>
      <c r="BD3976" s="48"/>
    </row>
    <row r="3977" spans="1:56">
      <c r="A3977" s="48"/>
      <c r="B3977" s="48"/>
      <c r="C3977" s="49"/>
      <c r="D3977" s="48"/>
      <c r="E3977" s="48"/>
      <c r="F3977" s="48"/>
      <c r="G3977" s="48"/>
      <c r="H3977" s="48"/>
      <c r="I3977" s="48"/>
      <c r="J3977" s="86"/>
      <c r="K3977" s="86"/>
      <c r="L3977" s="86"/>
      <c r="M3977" s="86"/>
      <c r="N3977" s="86"/>
      <c r="O3977" s="86"/>
      <c r="P3977" s="86"/>
      <c r="Q3977" s="86"/>
      <c r="R3977" s="86"/>
      <c r="S3977" s="86"/>
      <c r="T3977" s="86"/>
      <c r="U3977" s="86"/>
      <c r="V3977" s="48"/>
      <c r="W3977" s="48"/>
      <c r="X3977" s="48"/>
      <c r="Y3977" s="48"/>
      <c r="Z3977" s="48"/>
      <c r="AA3977" s="48"/>
      <c r="AB3977" s="48"/>
      <c r="AC3977" s="48"/>
      <c r="AD3977" s="48"/>
      <c r="AE3977" s="48"/>
      <c r="AF3977" s="48"/>
      <c r="AG3977" s="48"/>
      <c r="AH3977" s="48"/>
      <c r="AI3977" s="48"/>
      <c r="AJ3977" s="48"/>
      <c r="AK3977" s="48"/>
      <c r="AL3977" s="48"/>
      <c r="AM3977" s="48"/>
      <c r="AN3977" s="48"/>
      <c r="AO3977" s="48"/>
      <c r="AP3977" s="48"/>
      <c r="AQ3977" s="48"/>
      <c r="AR3977" s="48"/>
      <c r="AS3977" s="48"/>
      <c r="AT3977" s="48"/>
      <c r="AU3977" s="48"/>
      <c r="AV3977" s="48"/>
      <c r="AW3977" s="48"/>
      <c r="AX3977" s="48"/>
      <c r="AY3977" s="48"/>
      <c r="AZ3977" s="48"/>
      <c r="BA3977" s="48"/>
      <c r="BB3977" s="48"/>
      <c r="BC3977" s="48"/>
      <c r="BD3977" s="48"/>
    </row>
    <row r="3978" spans="1:56">
      <c r="A3978" s="48"/>
      <c r="B3978" s="48"/>
      <c r="C3978" s="49"/>
      <c r="D3978" s="48"/>
      <c r="E3978" s="48"/>
      <c r="F3978" s="48"/>
      <c r="G3978" s="48"/>
      <c r="H3978" s="48"/>
      <c r="I3978" s="48"/>
      <c r="J3978" s="86"/>
      <c r="K3978" s="86"/>
      <c r="L3978" s="86"/>
      <c r="M3978" s="86"/>
      <c r="N3978" s="86"/>
      <c r="O3978" s="86"/>
      <c r="P3978" s="86"/>
      <c r="Q3978" s="86"/>
      <c r="R3978" s="86"/>
      <c r="S3978" s="86"/>
      <c r="T3978" s="86"/>
      <c r="U3978" s="86"/>
      <c r="V3978" s="48"/>
      <c r="W3978" s="48"/>
      <c r="X3978" s="48"/>
      <c r="Y3978" s="48"/>
      <c r="Z3978" s="48"/>
      <c r="AA3978" s="48"/>
      <c r="AB3978" s="48"/>
      <c r="AC3978" s="48"/>
      <c r="AD3978" s="48"/>
      <c r="AE3978" s="48"/>
      <c r="AF3978" s="48"/>
      <c r="AG3978" s="48"/>
      <c r="AH3978" s="48"/>
      <c r="AI3978" s="48"/>
      <c r="AJ3978" s="48"/>
      <c r="AK3978" s="48"/>
      <c r="AL3978" s="48"/>
      <c r="AM3978" s="48"/>
      <c r="AN3978" s="48"/>
      <c r="AO3978" s="48"/>
      <c r="AP3978" s="48"/>
      <c r="AQ3978" s="48"/>
      <c r="AR3978" s="48"/>
      <c r="AS3978" s="48"/>
      <c r="AT3978" s="48"/>
      <c r="AU3978" s="48"/>
      <c r="AV3978" s="48"/>
      <c r="AW3978" s="48"/>
      <c r="AX3978" s="48"/>
      <c r="AY3978" s="48"/>
      <c r="AZ3978" s="48"/>
      <c r="BA3978" s="48"/>
      <c r="BB3978" s="48"/>
      <c r="BC3978" s="48"/>
      <c r="BD3978" s="48"/>
    </row>
    <row r="3979" spans="1:56">
      <c r="A3979" s="48"/>
      <c r="B3979" s="48"/>
      <c r="C3979" s="49"/>
      <c r="D3979" s="48"/>
      <c r="E3979" s="48"/>
      <c r="F3979" s="48"/>
      <c r="G3979" s="48"/>
      <c r="H3979" s="48"/>
      <c r="I3979" s="48"/>
      <c r="J3979" s="86"/>
      <c r="K3979" s="86"/>
      <c r="L3979" s="86"/>
      <c r="M3979" s="86"/>
      <c r="N3979" s="86"/>
      <c r="O3979" s="86"/>
      <c r="P3979" s="86"/>
      <c r="Q3979" s="86"/>
      <c r="R3979" s="86"/>
      <c r="S3979" s="86"/>
      <c r="T3979" s="86"/>
      <c r="U3979" s="86"/>
      <c r="V3979" s="48"/>
      <c r="W3979" s="48"/>
      <c r="X3979" s="48"/>
      <c r="Y3979" s="48"/>
      <c r="Z3979" s="48"/>
      <c r="AA3979" s="48"/>
      <c r="AB3979" s="48"/>
      <c r="AC3979" s="48"/>
      <c r="AD3979" s="48"/>
      <c r="AE3979" s="48"/>
      <c r="AF3979" s="48"/>
      <c r="AG3979" s="48"/>
      <c r="AH3979" s="48"/>
      <c r="AI3979" s="48"/>
      <c r="AJ3979" s="48"/>
      <c r="AK3979" s="48"/>
      <c r="AL3979" s="48"/>
      <c r="AM3979" s="48"/>
      <c r="AN3979" s="48"/>
      <c r="AO3979" s="48"/>
      <c r="AP3979" s="48"/>
      <c r="AQ3979" s="48"/>
      <c r="AR3979" s="48"/>
      <c r="AS3979" s="48"/>
      <c r="AT3979" s="48"/>
      <c r="AU3979" s="48"/>
      <c r="AV3979" s="48"/>
      <c r="AW3979" s="48"/>
      <c r="AX3979" s="48"/>
      <c r="AY3979" s="48"/>
      <c r="AZ3979" s="48"/>
      <c r="BA3979" s="48"/>
      <c r="BB3979" s="48"/>
      <c r="BC3979" s="48"/>
      <c r="BD3979" s="48"/>
    </row>
    <row r="3980" spans="1:56">
      <c r="A3980" s="48"/>
      <c r="B3980" s="48"/>
      <c r="C3980" s="49"/>
      <c r="D3980" s="48"/>
      <c r="E3980" s="48"/>
      <c r="F3980" s="48"/>
      <c r="G3980" s="48"/>
      <c r="H3980" s="48"/>
      <c r="I3980" s="48"/>
      <c r="J3980" s="86"/>
      <c r="K3980" s="86"/>
      <c r="L3980" s="86"/>
      <c r="M3980" s="86"/>
      <c r="N3980" s="86"/>
      <c r="O3980" s="86"/>
      <c r="P3980" s="86"/>
      <c r="Q3980" s="86"/>
      <c r="R3980" s="86"/>
      <c r="S3980" s="86"/>
      <c r="T3980" s="86"/>
      <c r="U3980" s="86"/>
      <c r="V3980" s="48"/>
      <c r="W3980" s="48"/>
      <c r="X3980" s="48"/>
      <c r="Y3980" s="48"/>
      <c r="Z3980" s="48"/>
      <c r="AA3980" s="48"/>
      <c r="AB3980" s="48"/>
      <c r="AC3980" s="48"/>
      <c r="AD3980" s="48"/>
      <c r="AE3980" s="48"/>
      <c r="AF3980" s="48"/>
      <c r="AG3980" s="48"/>
      <c r="AH3980" s="48"/>
      <c r="AI3980" s="48"/>
      <c r="AJ3980" s="48"/>
      <c r="AK3980" s="48"/>
      <c r="AL3980" s="48"/>
      <c r="AM3980" s="48"/>
      <c r="AN3980" s="48"/>
      <c r="AO3980" s="48"/>
      <c r="AP3980" s="48"/>
      <c r="AQ3980" s="48"/>
      <c r="AR3980" s="48"/>
      <c r="AS3980" s="48"/>
      <c r="AT3980" s="48"/>
      <c r="AU3980" s="48"/>
      <c r="AV3980" s="48"/>
      <c r="AW3980" s="48"/>
      <c r="AX3980" s="48"/>
      <c r="AY3980" s="48"/>
      <c r="AZ3980" s="48"/>
      <c r="BA3980" s="48"/>
      <c r="BB3980" s="48"/>
      <c r="BC3980" s="48"/>
      <c r="BD3980" s="48"/>
    </row>
    <row r="3981" spans="1:56">
      <c r="A3981" s="48"/>
      <c r="B3981" s="48"/>
      <c r="C3981" s="49"/>
      <c r="D3981" s="48"/>
      <c r="E3981" s="48"/>
      <c r="F3981" s="48"/>
      <c r="G3981" s="48"/>
      <c r="H3981" s="48"/>
      <c r="I3981" s="48"/>
      <c r="J3981" s="86"/>
      <c r="K3981" s="86"/>
      <c r="L3981" s="86"/>
      <c r="M3981" s="86"/>
      <c r="N3981" s="86"/>
      <c r="O3981" s="86"/>
      <c r="P3981" s="86"/>
      <c r="Q3981" s="86"/>
      <c r="R3981" s="86"/>
      <c r="S3981" s="86"/>
      <c r="T3981" s="86"/>
      <c r="U3981" s="86"/>
      <c r="V3981" s="48"/>
      <c r="W3981" s="48"/>
      <c r="X3981" s="48"/>
      <c r="Y3981" s="48"/>
      <c r="Z3981" s="48"/>
      <c r="AA3981" s="48"/>
      <c r="AB3981" s="48"/>
      <c r="AC3981" s="48"/>
      <c r="AD3981" s="48"/>
      <c r="AE3981" s="48"/>
      <c r="AF3981" s="48"/>
      <c r="AG3981" s="48"/>
      <c r="AH3981" s="48"/>
      <c r="AI3981" s="48"/>
      <c r="AJ3981" s="48"/>
      <c r="AK3981" s="48"/>
      <c r="AL3981" s="48"/>
      <c r="AM3981" s="48"/>
      <c r="AN3981" s="48"/>
      <c r="AO3981" s="48"/>
      <c r="AP3981" s="48"/>
      <c r="AQ3981" s="48"/>
      <c r="AR3981" s="48"/>
      <c r="AS3981" s="48"/>
      <c r="AT3981" s="48"/>
      <c r="AU3981" s="48"/>
      <c r="AV3981" s="48"/>
      <c r="AW3981" s="48"/>
      <c r="AX3981" s="48"/>
      <c r="AY3981" s="48"/>
      <c r="AZ3981" s="48"/>
      <c r="BA3981" s="48"/>
      <c r="BB3981" s="48"/>
      <c r="BC3981" s="48"/>
      <c r="BD3981" s="48"/>
    </row>
    <row r="3982" spans="1:56">
      <c r="A3982" s="48"/>
      <c r="B3982" s="48"/>
      <c r="C3982" s="49"/>
      <c r="D3982" s="48"/>
      <c r="E3982" s="48"/>
      <c r="F3982" s="48"/>
      <c r="G3982" s="48"/>
      <c r="H3982" s="48"/>
      <c r="I3982" s="48"/>
      <c r="J3982" s="86"/>
      <c r="K3982" s="86"/>
      <c r="L3982" s="86"/>
      <c r="M3982" s="86"/>
      <c r="N3982" s="86"/>
      <c r="O3982" s="86"/>
      <c r="P3982" s="86"/>
      <c r="Q3982" s="86"/>
      <c r="R3982" s="86"/>
      <c r="S3982" s="86"/>
      <c r="T3982" s="86"/>
      <c r="U3982" s="86"/>
      <c r="V3982" s="48"/>
      <c r="W3982" s="48"/>
      <c r="X3982" s="48"/>
      <c r="Y3982" s="48"/>
      <c r="Z3982" s="48"/>
      <c r="AA3982" s="48"/>
      <c r="AB3982" s="48"/>
      <c r="AC3982" s="48"/>
      <c r="AD3982" s="48"/>
      <c r="AE3982" s="48"/>
      <c r="AF3982" s="48"/>
      <c r="AG3982" s="48"/>
      <c r="AH3982" s="48"/>
      <c r="AI3982" s="48"/>
      <c r="AJ3982" s="48"/>
      <c r="AK3982" s="48"/>
      <c r="AL3982" s="48"/>
      <c r="AM3982" s="48"/>
      <c r="AN3982" s="48"/>
      <c r="AO3982" s="48"/>
      <c r="AP3982" s="48"/>
      <c r="AQ3982" s="48"/>
      <c r="AR3982" s="48"/>
      <c r="AS3982" s="48"/>
      <c r="AT3982" s="48"/>
      <c r="AU3982" s="48"/>
      <c r="AV3982" s="48"/>
      <c r="AW3982" s="48"/>
      <c r="AX3982" s="48"/>
      <c r="AY3982" s="48"/>
      <c r="AZ3982" s="48"/>
      <c r="BA3982" s="48"/>
      <c r="BB3982" s="48"/>
      <c r="BC3982" s="48"/>
      <c r="BD3982" s="48"/>
    </row>
    <row r="3983" spans="1:56">
      <c r="A3983" s="48"/>
      <c r="B3983" s="48"/>
      <c r="C3983" s="49"/>
      <c r="D3983" s="48"/>
      <c r="E3983" s="48"/>
      <c r="F3983" s="48"/>
      <c r="G3983" s="48"/>
      <c r="H3983" s="48"/>
      <c r="I3983" s="48"/>
      <c r="J3983" s="86"/>
      <c r="K3983" s="86"/>
      <c r="L3983" s="86"/>
      <c r="M3983" s="86"/>
      <c r="N3983" s="86"/>
      <c r="O3983" s="86"/>
      <c r="P3983" s="86"/>
      <c r="Q3983" s="86"/>
      <c r="R3983" s="86"/>
      <c r="S3983" s="86"/>
      <c r="T3983" s="86"/>
      <c r="U3983" s="86"/>
      <c r="V3983" s="48"/>
      <c r="W3983" s="48"/>
      <c r="X3983" s="48"/>
      <c r="Y3983" s="48"/>
      <c r="Z3983" s="48"/>
      <c r="AA3983" s="48"/>
      <c r="AB3983" s="48"/>
      <c r="AC3983" s="48"/>
      <c r="AD3983" s="48"/>
      <c r="AE3983" s="48"/>
      <c r="AF3983" s="48"/>
      <c r="AG3983" s="48"/>
      <c r="AH3983" s="48"/>
      <c r="AI3983" s="48"/>
      <c r="AJ3983" s="48"/>
      <c r="AK3983" s="48"/>
      <c r="AL3983" s="48"/>
      <c r="AM3983" s="48"/>
      <c r="AN3983" s="48"/>
      <c r="AO3983" s="48"/>
      <c r="AP3983" s="48"/>
      <c r="AQ3983" s="48"/>
      <c r="AR3983" s="48"/>
      <c r="AS3983" s="48"/>
      <c r="AT3983" s="48"/>
      <c r="AU3983" s="48"/>
      <c r="AV3983" s="48"/>
      <c r="AW3983" s="48"/>
      <c r="AX3983" s="48"/>
      <c r="AY3983" s="48"/>
      <c r="AZ3983" s="48"/>
      <c r="BA3983" s="48"/>
      <c r="BB3983" s="48"/>
      <c r="BC3983" s="48"/>
      <c r="BD3983" s="48"/>
    </row>
    <row r="3984" spans="1:56">
      <c r="A3984" s="48"/>
      <c r="B3984" s="48"/>
      <c r="C3984" s="49"/>
      <c r="D3984" s="48"/>
      <c r="E3984" s="48"/>
      <c r="F3984" s="48"/>
      <c r="G3984" s="48"/>
      <c r="H3984" s="48"/>
      <c r="I3984" s="48"/>
      <c r="J3984" s="86"/>
      <c r="K3984" s="86"/>
      <c r="L3984" s="86"/>
      <c r="M3984" s="86"/>
      <c r="N3984" s="86"/>
      <c r="O3984" s="86"/>
      <c r="P3984" s="86"/>
      <c r="Q3984" s="86"/>
      <c r="R3984" s="86"/>
      <c r="S3984" s="86"/>
      <c r="T3984" s="86"/>
      <c r="U3984" s="86"/>
      <c r="V3984" s="48"/>
      <c r="W3984" s="48"/>
      <c r="X3984" s="48"/>
      <c r="Y3984" s="48"/>
      <c r="Z3984" s="48"/>
      <c r="AA3984" s="48"/>
      <c r="AB3984" s="48"/>
      <c r="AC3984" s="48"/>
      <c r="AD3984" s="48"/>
      <c r="AE3984" s="48"/>
      <c r="AF3984" s="48"/>
      <c r="AG3984" s="48"/>
      <c r="AH3984" s="48"/>
      <c r="AI3984" s="48"/>
      <c r="AJ3984" s="48"/>
      <c r="AK3984" s="48"/>
      <c r="AL3984" s="48"/>
      <c r="AM3984" s="48"/>
      <c r="AN3984" s="48"/>
      <c r="AO3984" s="48"/>
      <c r="AP3984" s="48"/>
      <c r="AQ3984" s="48"/>
      <c r="AR3984" s="48"/>
      <c r="AS3984" s="48"/>
      <c r="AT3984" s="48"/>
      <c r="AU3984" s="48"/>
      <c r="AV3984" s="48"/>
      <c r="AW3984" s="48"/>
      <c r="AX3984" s="48"/>
      <c r="AY3984" s="48"/>
      <c r="AZ3984" s="48"/>
      <c r="BA3984" s="48"/>
      <c r="BB3984" s="48"/>
      <c r="BC3984" s="48"/>
      <c r="BD3984" s="48"/>
    </row>
    <row r="3985" spans="1:56">
      <c r="A3985" s="48"/>
      <c r="B3985" s="48"/>
      <c r="C3985" s="49"/>
      <c r="D3985" s="48"/>
      <c r="E3985" s="48"/>
      <c r="F3985" s="48"/>
      <c r="G3985" s="48"/>
      <c r="H3985" s="48"/>
      <c r="I3985" s="48"/>
      <c r="J3985" s="86"/>
      <c r="K3985" s="86"/>
      <c r="L3985" s="86"/>
      <c r="M3985" s="86"/>
      <c r="N3985" s="86"/>
      <c r="O3985" s="86"/>
      <c r="P3985" s="86"/>
      <c r="Q3985" s="86"/>
      <c r="R3985" s="86"/>
      <c r="S3985" s="86"/>
      <c r="T3985" s="86"/>
      <c r="U3985" s="86"/>
      <c r="V3985" s="48"/>
      <c r="W3985" s="48"/>
      <c r="X3985" s="48"/>
      <c r="Y3985" s="48"/>
      <c r="Z3985" s="48"/>
      <c r="AA3985" s="48"/>
      <c r="AB3985" s="48"/>
      <c r="AC3985" s="48"/>
      <c r="AD3985" s="48"/>
      <c r="AE3985" s="48"/>
      <c r="AF3985" s="48"/>
      <c r="AG3985" s="48"/>
      <c r="AH3985" s="48"/>
      <c r="AI3985" s="48"/>
      <c r="AJ3985" s="48"/>
      <c r="AK3985" s="48"/>
      <c r="AL3985" s="48"/>
      <c r="AM3985" s="48"/>
      <c r="AN3985" s="48"/>
      <c r="AO3985" s="48"/>
      <c r="AP3985" s="48"/>
      <c r="AQ3985" s="48"/>
      <c r="AR3985" s="48"/>
      <c r="AS3985" s="48"/>
      <c r="AT3985" s="48"/>
      <c r="AU3985" s="48"/>
      <c r="AV3985" s="48"/>
      <c r="AW3985" s="48"/>
      <c r="AX3985" s="48"/>
      <c r="AY3985" s="48"/>
      <c r="AZ3985" s="48"/>
      <c r="BA3985" s="48"/>
      <c r="BB3985" s="48"/>
      <c r="BC3985" s="48"/>
      <c r="BD3985" s="48"/>
    </row>
    <row r="3986" spans="1:56">
      <c r="A3986" s="48"/>
      <c r="B3986" s="48"/>
      <c r="C3986" s="49"/>
      <c r="D3986" s="48"/>
      <c r="E3986" s="48"/>
      <c r="F3986" s="48"/>
      <c r="G3986" s="48"/>
      <c r="H3986" s="48"/>
      <c r="I3986" s="48"/>
      <c r="J3986" s="86"/>
      <c r="K3986" s="86"/>
      <c r="L3986" s="86"/>
      <c r="M3986" s="86"/>
      <c r="N3986" s="86"/>
      <c r="O3986" s="86"/>
      <c r="P3986" s="86"/>
      <c r="Q3986" s="86"/>
      <c r="R3986" s="86"/>
      <c r="S3986" s="86"/>
      <c r="T3986" s="86"/>
      <c r="U3986" s="86"/>
      <c r="V3986" s="48"/>
      <c r="W3986" s="48"/>
      <c r="X3986" s="48"/>
      <c r="Y3986" s="48"/>
      <c r="Z3986" s="48"/>
      <c r="AA3986" s="48"/>
      <c r="AB3986" s="48"/>
      <c r="AC3986" s="48"/>
      <c r="AD3986" s="48"/>
      <c r="AE3986" s="48"/>
      <c r="AF3986" s="48"/>
      <c r="AG3986" s="48"/>
      <c r="AH3986" s="48"/>
      <c r="AI3986" s="48"/>
      <c r="AJ3986" s="48"/>
      <c r="AK3986" s="48"/>
      <c r="AL3986" s="48"/>
      <c r="AM3986" s="48"/>
      <c r="AN3986" s="48"/>
      <c r="AO3986" s="48"/>
      <c r="AP3986" s="48"/>
      <c r="AQ3986" s="48"/>
      <c r="AR3986" s="48"/>
      <c r="AS3986" s="48"/>
      <c r="AT3986" s="48"/>
      <c r="AU3986" s="48"/>
      <c r="AV3986" s="48"/>
      <c r="AW3986" s="48"/>
      <c r="AX3986" s="48"/>
      <c r="AY3986" s="48"/>
      <c r="AZ3986" s="48"/>
      <c r="BA3986" s="48"/>
      <c r="BB3986" s="48"/>
      <c r="BC3986" s="48"/>
      <c r="BD3986" s="48"/>
    </row>
    <row r="3987" spans="1:56">
      <c r="A3987" s="48"/>
      <c r="B3987" s="48"/>
      <c r="C3987" s="49"/>
      <c r="D3987" s="48"/>
      <c r="E3987" s="48"/>
      <c r="F3987" s="48"/>
      <c r="G3987" s="48"/>
      <c r="H3987" s="48"/>
      <c r="I3987" s="48"/>
      <c r="J3987" s="86"/>
      <c r="K3987" s="86"/>
      <c r="L3987" s="86"/>
      <c r="M3987" s="86"/>
      <c r="N3987" s="86"/>
      <c r="O3987" s="86"/>
      <c r="P3987" s="86"/>
      <c r="Q3987" s="86"/>
      <c r="R3987" s="86"/>
      <c r="S3987" s="86"/>
      <c r="T3987" s="86"/>
      <c r="U3987" s="86"/>
      <c r="V3987" s="48"/>
      <c r="W3987" s="48"/>
      <c r="X3987" s="48"/>
      <c r="Y3987" s="48"/>
      <c r="Z3987" s="48"/>
      <c r="AA3987" s="48"/>
      <c r="AB3987" s="48"/>
      <c r="AC3987" s="48"/>
      <c r="AD3987" s="48"/>
      <c r="AE3987" s="48"/>
      <c r="AF3987" s="48"/>
      <c r="AG3987" s="48"/>
      <c r="AH3987" s="48"/>
      <c r="AI3987" s="48"/>
      <c r="AJ3987" s="48"/>
      <c r="AK3987" s="48"/>
      <c r="AL3987" s="48"/>
      <c r="AM3987" s="48"/>
      <c r="AN3987" s="48"/>
      <c r="AO3987" s="48"/>
      <c r="AP3987" s="48"/>
      <c r="AQ3987" s="48"/>
      <c r="AR3987" s="48"/>
      <c r="AS3987" s="48"/>
      <c r="AT3987" s="48"/>
      <c r="AU3987" s="48"/>
      <c r="AV3987" s="48"/>
      <c r="AW3987" s="48"/>
      <c r="AX3987" s="48"/>
      <c r="AY3987" s="48"/>
      <c r="AZ3987" s="48"/>
      <c r="BA3987" s="48"/>
      <c r="BB3987" s="48"/>
      <c r="BC3987" s="48"/>
      <c r="BD3987" s="48"/>
    </row>
    <row r="3988" spans="1:56">
      <c r="A3988" s="48"/>
      <c r="B3988" s="48"/>
      <c r="C3988" s="49"/>
      <c r="D3988" s="48"/>
      <c r="E3988" s="48"/>
      <c r="F3988" s="48"/>
      <c r="G3988" s="48"/>
      <c r="H3988" s="48"/>
      <c r="I3988" s="48"/>
      <c r="J3988" s="86"/>
      <c r="K3988" s="86"/>
      <c r="L3988" s="86"/>
      <c r="M3988" s="86"/>
      <c r="N3988" s="86"/>
      <c r="O3988" s="86"/>
      <c r="P3988" s="86"/>
      <c r="Q3988" s="86"/>
      <c r="R3988" s="86"/>
      <c r="S3988" s="86"/>
      <c r="T3988" s="86"/>
      <c r="U3988" s="86"/>
      <c r="V3988" s="48"/>
      <c r="W3988" s="48"/>
      <c r="X3988" s="48"/>
      <c r="Y3988" s="48"/>
      <c r="Z3988" s="48"/>
      <c r="AA3988" s="48"/>
      <c r="AB3988" s="48"/>
      <c r="AC3988" s="48"/>
      <c r="AD3988" s="48"/>
      <c r="AE3988" s="48"/>
      <c r="AF3988" s="48"/>
      <c r="AG3988" s="48"/>
      <c r="AH3988" s="48"/>
      <c r="AI3988" s="48"/>
      <c r="AJ3988" s="48"/>
      <c r="AK3988" s="48"/>
      <c r="AL3988" s="48"/>
      <c r="AM3988" s="48"/>
      <c r="AN3988" s="48"/>
      <c r="AO3988" s="48"/>
      <c r="AP3988" s="48"/>
      <c r="AQ3988" s="48"/>
      <c r="AR3988" s="48"/>
      <c r="AS3988" s="48"/>
      <c r="AT3988" s="48"/>
      <c r="AU3988" s="48"/>
      <c r="AV3988" s="48"/>
      <c r="AW3988" s="48"/>
      <c r="AX3988" s="48"/>
      <c r="AY3988" s="48"/>
      <c r="AZ3988" s="48"/>
      <c r="BA3988" s="48"/>
      <c r="BB3988" s="48"/>
      <c r="BC3988" s="48"/>
      <c r="BD3988" s="48"/>
    </row>
    <row r="3989" spans="1:56">
      <c r="A3989" s="48"/>
      <c r="B3989" s="48"/>
      <c r="C3989" s="49"/>
      <c r="D3989" s="48"/>
      <c r="E3989" s="48"/>
      <c r="F3989" s="48"/>
      <c r="G3989" s="48"/>
      <c r="H3989" s="48"/>
      <c r="I3989" s="48"/>
      <c r="J3989" s="86"/>
      <c r="K3989" s="86"/>
      <c r="L3989" s="86"/>
      <c r="M3989" s="86"/>
      <c r="N3989" s="86"/>
      <c r="O3989" s="86"/>
      <c r="P3989" s="86"/>
      <c r="Q3989" s="86"/>
      <c r="R3989" s="86"/>
      <c r="S3989" s="86"/>
      <c r="T3989" s="86"/>
      <c r="U3989" s="86"/>
      <c r="V3989" s="48"/>
      <c r="W3989" s="48"/>
      <c r="X3989" s="48"/>
      <c r="Y3989" s="48"/>
      <c r="Z3989" s="48"/>
      <c r="AA3989" s="48"/>
      <c r="AB3989" s="48"/>
      <c r="AC3989" s="48"/>
      <c r="AD3989" s="48"/>
      <c r="AE3989" s="48"/>
      <c r="AF3989" s="48"/>
      <c r="AG3989" s="48"/>
      <c r="AH3989" s="48"/>
      <c r="AI3989" s="48"/>
      <c r="AJ3989" s="48"/>
      <c r="AK3989" s="48"/>
      <c r="AL3989" s="48"/>
      <c r="AM3989" s="48"/>
      <c r="AN3989" s="48"/>
      <c r="AO3989" s="48"/>
      <c r="AP3989" s="48"/>
      <c r="AQ3989" s="48"/>
      <c r="AR3989" s="48"/>
      <c r="AS3989" s="48"/>
      <c r="AT3989" s="48"/>
      <c r="AU3989" s="48"/>
      <c r="AV3989" s="48"/>
      <c r="AW3989" s="48"/>
      <c r="AX3989" s="48"/>
      <c r="AY3989" s="48"/>
      <c r="AZ3989" s="48"/>
      <c r="BA3989" s="48"/>
      <c r="BB3989" s="48"/>
      <c r="BC3989" s="48"/>
      <c r="BD3989" s="48"/>
    </row>
    <row r="3990" spans="1:56">
      <c r="A3990" s="48"/>
      <c r="B3990" s="48"/>
      <c r="C3990" s="49"/>
      <c r="D3990" s="48"/>
      <c r="E3990" s="48"/>
      <c r="F3990" s="48"/>
      <c r="G3990" s="48"/>
      <c r="H3990" s="48"/>
      <c r="I3990" s="48"/>
      <c r="J3990" s="86"/>
      <c r="K3990" s="86"/>
      <c r="L3990" s="86"/>
      <c r="M3990" s="86"/>
      <c r="N3990" s="86"/>
      <c r="O3990" s="86"/>
      <c r="P3990" s="86"/>
      <c r="Q3990" s="86"/>
      <c r="R3990" s="86"/>
      <c r="S3990" s="86"/>
      <c r="T3990" s="86"/>
      <c r="U3990" s="86"/>
      <c r="V3990" s="48"/>
      <c r="W3990" s="48"/>
      <c r="X3990" s="48"/>
      <c r="Y3990" s="48"/>
      <c r="Z3990" s="48"/>
      <c r="AA3990" s="48"/>
      <c r="AB3990" s="48"/>
      <c r="AC3990" s="48"/>
      <c r="AD3990" s="48"/>
      <c r="AE3990" s="48"/>
      <c r="AF3990" s="48"/>
      <c r="AG3990" s="48"/>
      <c r="AH3990" s="48"/>
      <c r="AI3990" s="48"/>
      <c r="AJ3990" s="48"/>
      <c r="AK3990" s="48"/>
      <c r="AL3990" s="48"/>
      <c r="AM3990" s="48"/>
      <c r="AN3990" s="48"/>
      <c r="AO3990" s="48"/>
      <c r="AP3990" s="48"/>
      <c r="AQ3990" s="48"/>
      <c r="AR3990" s="48"/>
      <c r="AS3990" s="48"/>
      <c r="AT3990" s="48"/>
      <c r="AU3990" s="48"/>
      <c r="AV3990" s="48"/>
      <c r="AW3990" s="48"/>
      <c r="AX3990" s="48"/>
      <c r="AY3990" s="48"/>
      <c r="AZ3990" s="48"/>
      <c r="BA3990" s="48"/>
      <c r="BB3990" s="48"/>
      <c r="BC3990" s="48"/>
      <c r="BD3990" s="48"/>
    </row>
    <row r="3991" spans="1:56">
      <c r="A3991" s="48"/>
      <c r="B3991" s="48"/>
      <c r="C3991" s="49"/>
      <c r="D3991" s="48"/>
      <c r="E3991" s="48"/>
      <c r="F3991" s="48"/>
      <c r="G3991" s="48"/>
      <c r="H3991" s="48"/>
      <c r="I3991" s="48"/>
      <c r="J3991" s="86"/>
      <c r="K3991" s="86"/>
      <c r="L3991" s="86"/>
      <c r="M3991" s="86"/>
      <c r="N3991" s="86"/>
      <c r="O3991" s="86"/>
      <c r="P3991" s="86"/>
      <c r="Q3991" s="86"/>
      <c r="R3991" s="86"/>
      <c r="S3991" s="86"/>
      <c r="T3991" s="86"/>
      <c r="U3991" s="86"/>
      <c r="V3991" s="48"/>
      <c r="W3991" s="48"/>
      <c r="X3991" s="48"/>
      <c r="Y3991" s="48"/>
      <c r="Z3991" s="48"/>
      <c r="AA3991" s="48"/>
      <c r="AB3991" s="48"/>
      <c r="AC3991" s="48"/>
      <c r="AD3991" s="48"/>
      <c r="AE3991" s="48"/>
      <c r="AF3991" s="48"/>
      <c r="AG3991" s="48"/>
      <c r="AH3991" s="48"/>
      <c r="AI3991" s="48"/>
      <c r="AJ3991" s="48"/>
      <c r="AK3991" s="48"/>
      <c r="AL3991" s="48"/>
      <c r="AM3991" s="48"/>
      <c r="AN3991" s="48"/>
      <c r="AO3991" s="48"/>
      <c r="AP3991" s="48"/>
      <c r="AQ3991" s="48"/>
      <c r="AR3991" s="48"/>
      <c r="AS3991" s="48"/>
      <c r="AT3991" s="48"/>
      <c r="AU3991" s="48"/>
      <c r="AV3991" s="48"/>
      <c r="AW3991" s="48"/>
      <c r="AX3991" s="48"/>
      <c r="AY3991" s="48"/>
      <c r="AZ3991" s="48"/>
      <c r="BA3991" s="48"/>
      <c r="BB3991" s="48"/>
      <c r="BC3991" s="48"/>
      <c r="BD3991" s="48"/>
    </row>
    <row r="3992" spans="1:56">
      <c r="A3992" s="48"/>
      <c r="B3992" s="48"/>
      <c r="C3992" s="49"/>
      <c r="D3992" s="48"/>
      <c r="E3992" s="48"/>
      <c r="F3992" s="48"/>
      <c r="G3992" s="48"/>
      <c r="H3992" s="48"/>
      <c r="I3992" s="48"/>
      <c r="J3992" s="86"/>
      <c r="K3992" s="86"/>
      <c r="L3992" s="86"/>
      <c r="M3992" s="86"/>
      <c r="N3992" s="86"/>
      <c r="O3992" s="86"/>
      <c r="P3992" s="86"/>
      <c r="Q3992" s="86"/>
      <c r="R3992" s="86"/>
      <c r="S3992" s="86"/>
      <c r="T3992" s="86"/>
      <c r="U3992" s="86"/>
      <c r="V3992" s="48"/>
      <c r="W3992" s="48"/>
      <c r="X3992" s="48"/>
      <c r="Y3992" s="48"/>
      <c r="Z3992" s="48"/>
      <c r="AA3992" s="48"/>
      <c r="AB3992" s="48"/>
      <c r="AC3992" s="48"/>
      <c r="AD3992" s="48"/>
      <c r="AE3992" s="48"/>
      <c r="AF3992" s="48"/>
      <c r="AG3992" s="48"/>
      <c r="AH3992" s="48"/>
      <c r="AI3992" s="48"/>
      <c r="AJ3992" s="48"/>
      <c r="AK3992" s="48"/>
      <c r="AL3992" s="48"/>
      <c r="AM3992" s="48"/>
      <c r="AN3992" s="48"/>
      <c r="AO3992" s="48"/>
      <c r="AP3992" s="48"/>
      <c r="AQ3992" s="48"/>
      <c r="AR3992" s="48"/>
      <c r="AS3992" s="48"/>
      <c r="AT3992" s="48"/>
      <c r="AU3992" s="48"/>
      <c r="AV3992" s="48"/>
      <c r="AW3992" s="48"/>
      <c r="AX3992" s="48"/>
      <c r="AY3992" s="48"/>
      <c r="AZ3992" s="48"/>
      <c r="BA3992" s="48"/>
      <c r="BB3992" s="48"/>
      <c r="BC3992" s="48"/>
      <c r="BD3992" s="48"/>
    </row>
    <row r="3993" spans="1:56">
      <c r="A3993" s="48"/>
      <c r="B3993" s="48"/>
      <c r="C3993" s="49"/>
      <c r="D3993" s="48"/>
      <c r="E3993" s="48"/>
      <c r="F3993" s="48"/>
      <c r="G3993" s="48"/>
      <c r="H3993" s="48"/>
      <c r="I3993" s="48"/>
      <c r="J3993" s="86"/>
      <c r="K3993" s="86"/>
      <c r="L3993" s="86"/>
      <c r="M3993" s="86"/>
      <c r="N3993" s="86"/>
      <c r="O3993" s="86"/>
      <c r="P3993" s="86"/>
      <c r="Q3993" s="86"/>
      <c r="R3993" s="86"/>
      <c r="S3993" s="86"/>
      <c r="T3993" s="86"/>
      <c r="U3993" s="86"/>
      <c r="V3993" s="48"/>
      <c r="W3993" s="48"/>
      <c r="X3993" s="48"/>
      <c r="Y3993" s="48"/>
      <c r="Z3993" s="48"/>
      <c r="AA3993" s="48"/>
      <c r="AB3993" s="48"/>
      <c r="AC3993" s="48"/>
      <c r="AD3993" s="48"/>
      <c r="AE3993" s="48"/>
      <c r="AF3993" s="48"/>
      <c r="AG3993" s="48"/>
      <c r="AH3993" s="48"/>
      <c r="AI3993" s="48"/>
      <c r="AJ3993" s="48"/>
      <c r="AK3993" s="48"/>
      <c r="AL3993" s="48"/>
      <c r="AM3993" s="48"/>
      <c r="AN3993" s="48"/>
      <c r="AO3993" s="48"/>
      <c r="AP3993" s="48"/>
      <c r="AQ3993" s="48"/>
      <c r="AR3993" s="48"/>
      <c r="AS3993" s="48"/>
      <c r="AT3993" s="48"/>
      <c r="AU3993" s="48"/>
      <c r="AV3993" s="48"/>
      <c r="AW3993" s="48"/>
      <c r="AX3993" s="48"/>
      <c r="AY3993" s="48"/>
      <c r="AZ3993" s="48"/>
      <c r="BA3993" s="48"/>
      <c r="BB3993" s="48"/>
      <c r="BC3993" s="48"/>
      <c r="BD3993" s="48"/>
    </row>
    <row r="3994" spans="1:56">
      <c r="A3994" s="48"/>
      <c r="B3994" s="48"/>
      <c r="C3994" s="49"/>
      <c r="D3994" s="48"/>
      <c r="E3994" s="48"/>
      <c r="F3994" s="48"/>
      <c r="G3994" s="48"/>
      <c r="H3994" s="48"/>
      <c r="I3994" s="48"/>
      <c r="J3994" s="86"/>
      <c r="K3994" s="86"/>
      <c r="L3994" s="86"/>
      <c r="M3994" s="86"/>
      <c r="N3994" s="86"/>
      <c r="O3994" s="86"/>
      <c r="P3994" s="86"/>
      <c r="Q3994" s="86"/>
      <c r="R3994" s="86"/>
      <c r="S3994" s="86"/>
      <c r="T3994" s="86"/>
      <c r="U3994" s="86"/>
      <c r="V3994" s="48"/>
      <c r="W3994" s="48"/>
      <c r="X3994" s="48"/>
      <c r="Y3994" s="48"/>
      <c r="Z3994" s="48"/>
      <c r="AA3994" s="48"/>
      <c r="AB3994" s="48"/>
      <c r="AC3994" s="48"/>
      <c r="AD3994" s="48"/>
      <c r="AE3994" s="48"/>
      <c r="AF3994" s="48"/>
      <c r="AG3994" s="48"/>
      <c r="AH3994" s="48"/>
      <c r="AI3994" s="48"/>
      <c r="AJ3994" s="48"/>
      <c r="AK3994" s="48"/>
      <c r="AL3994" s="48"/>
      <c r="AM3994" s="48"/>
      <c r="AN3994" s="48"/>
      <c r="AO3994" s="48"/>
      <c r="AP3994" s="48"/>
      <c r="AQ3994" s="48"/>
      <c r="AR3994" s="48"/>
      <c r="AS3994" s="48"/>
      <c r="AT3994" s="48"/>
      <c r="AU3994" s="48"/>
      <c r="AV3994" s="48"/>
      <c r="AW3994" s="48"/>
      <c r="AX3994" s="48"/>
      <c r="AY3994" s="48"/>
      <c r="AZ3994" s="48"/>
      <c r="BA3994" s="48"/>
      <c r="BB3994" s="48"/>
      <c r="BC3994" s="48"/>
      <c r="BD3994" s="48"/>
    </row>
    <row r="3995" spans="1:56">
      <c r="A3995" s="48"/>
      <c r="B3995" s="48"/>
      <c r="C3995" s="49"/>
      <c r="D3995" s="48"/>
      <c r="E3995" s="48"/>
      <c r="F3995" s="48"/>
      <c r="G3995" s="48"/>
      <c r="H3995" s="48"/>
      <c r="I3995" s="48"/>
      <c r="J3995" s="86"/>
      <c r="K3995" s="86"/>
      <c r="L3995" s="86"/>
      <c r="M3995" s="86"/>
      <c r="N3995" s="86"/>
      <c r="O3995" s="86"/>
      <c r="P3995" s="86"/>
      <c r="Q3995" s="86"/>
      <c r="R3995" s="86"/>
      <c r="S3995" s="86"/>
      <c r="T3995" s="86"/>
      <c r="U3995" s="86"/>
      <c r="V3995" s="48"/>
      <c r="W3995" s="48"/>
      <c r="X3995" s="48"/>
      <c r="Y3995" s="48"/>
      <c r="Z3995" s="48"/>
      <c r="AA3995" s="48"/>
      <c r="AB3995" s="48"/>
      <c r="AC3995" s="48"/>
      <c r="AD3995" s="48"/>
      <c r="AE3995" s="48"/>
      <c r="AF3995" s="48"/>
      <c r="AG3995" s="48"/>
      <c r="AH3995" s="48"/>
      <c r="AI3995" s="48"/>
      <c r="AJ3995" s="48"/>
      <c r="AK3995" s="48"/>
      <c r="AL3995" s="48"/>
      <c r="AM3995" s="48"/>
      <c r="AN3995" s="48"/>
      <c r="AO3995" s="48"/>
      <c r="AP3995" s="48"/>
      <c r="AQ3995" s="48"/>
      <c r="AR3995" s="48"/>
      <c r="AS3995" s="48"/>
      <c r="AT3995" s="48"/>
      <c r="AU3995" s="48"/>
      <c r="AV3995" s="48"/>
      <c r="AW3995" s="48"/>
      <c r="AX3995" s="48"/>
      <c r="AY3995" s="48"/>
      <c r="AZ3995" s="48"/>
      <c r="BA3995" s="48"/>
      <c r="BB3995" s="48"/>
      <c r="BC3995" s="48"/>
      <c r="BD3995" s="48"/>
    </row>
    <row r="3996" spans="1:56">
      <c r="A3996" s="48"/>
      <c r="B3996" s="48"/>
      <c r="C3996" s="49"/>
      <c r="D3996" s="48"/>
      <c r="E3996" s="48"/>
      <c r="F3996" s="48"/>
      <c r="G3996" s="48"/>
      <c r="H3996" s="48"/>
      <c r="I3996" s="48"/>
      <c r="J3996" s="86"/>
      <c r="K3996" s="86"/>
      <c r="L3996" s="86"/>
      <c r="M3996" s="86"/>
      <c r="N3996" s="86"/>
      <c r="O3996" s="86"/>
      <c r="P3996" s="86"/>
      <c r="Q3996" s="86"/>
      <c r="R3996" s="86"/>
      <c r="S3996" s="86"/>
      <c r="T3996" s="86"/>
      <c r="U3996" s="86"/>
      <c r="V3996" s="48"/>
      <c r="W3996" s="48"/>
      <c r="X3996" s="48"/>
      <c r="Y3996" s="48"/>
      <c r="Z3996" s="48"/>
      <c r="AA3996" s="48"/>
      <c r="AB3996" s="48"/>
      <c r="AC3996" s="48"/>
      <c r="AD3996" s="48"/>
      <c r="AE3996" s="48"/>
      <c r="AF3996" s="48"/>
      <c r="AG3996" s="48"/>
      <c r="AH3996" s="48"/>
      <c r="AI3996" s="48"/>
      <c r="AJ3996" s="48"/>
      <c r="AK3996" s="48"/>
      <c r="AL3996" s="48"/>
      <c r="AM3996" s="48"/>
      <c r="AN3996" s="48"/>
      <c r="AO3996" s="48"/>
      <c r="AP3996" s="48"/>
      <c r="AQ3996" s="48"/>
      <c r="AR3996" s="48"/>
      <c r="AS3996" s="48"/>
      <c r="AT3996" s="48"/>
      <c r="AU3996" s="48"/>
      <c r="AV3996" s="48"/>
      <c r="AW3996" s="48"/>
      <c r="AX3996" s="48"/>
      <c r="AY3996" s="48"/>
      <c r="AZ3996" s="48"/>
      <c r="BA3996" s="48"/>
      <c r="BB3996" s="48"/>
      <c r="BC3996" s="48"/>
      <c r="BD3996" s="48"/>
    </row>
    <row r="3997" spans="1:56">
      <c r="A3997" s="48"/>
      <c r="B3997" s="48"/>
      <c r="C3997" s="49"/>
      <c r="D3997" s="48"/>
      <c r="E3997" s="48"/>
      <c r="F3997" s="48"/>
      <c r="G3997" s="48"/>
      <c r="H3997" s="48"/>
      <c r="I3997" s="48"/>
      <c r="J3997" s="86"/>
      <c r="K3997" s="86"/>
      <c r="L3997" s="86"/>
      <c r="M3997" s="86"/>
      <c r="N3997" s="86"/>
      <c r="O3997" s="86"/>
      <c r="P3997" s="86"/>
      <c r="Q3997" s="86"/>
      <c r="R3997" s="86"/>
      <c r="S3997" s="86"/>
      <c r="T3997" s="86"/>
      <c r="U3997" s="86"/>
      <c r="V3997" s="48"/>
      <c r="W3997" s="48"/>
      <c r="X3997" s="48"/>
      <c r="Y3997" s="48"/>
      <c r="Z3997" s="48"/>
      <c r="AA3997" s="48"/>
      <c r="AB3997" s="48"/>
      <c r="AC3997" s="48"/>
      <c r="AD3997" s="48"/>
      <c r="AE3997" s="48"/>
      <c r="AF3997" s="48"/>
      <c r="AG3997" s="48"/>
      <c r="AH3997" s="48"/>
      <c r="AI3997" s="48"/>
      <c r="AJ3997" s="48"/>
      <c r="AK3997" s="48"/>
      <c r="AL3997" s="48"/>
      <c r="AM3997" s="48"/>
      <c r="AN3997" s="48"/>
      <c r="AO3997" s="48"/>
      <c r="AP3997" s="48"/>
      <c r="AQ3997" s="48"/>
      <c r="AR3997" s="48"/>
      <c r="AS3997" s="48"/>
      <c r="AT3997" s="48"/>
      <c r="AU3997" s="48"/>
      <c r="AV3997" s="48"/>
      <c r="AW3997" s="48"/>
      <c r="AX3997" s="48"/>
      <c r="AY3997" s="48"/>
      <c r="AZ3997" s="48"/>
      <c r="BA3997" s="48"/>
      <c r="BB3997" s="48"/>
      <c r="BC3997" s="48"/>
      <c r="BD3997" s="48"/>
    </row>
    <row r="3998" spans="1:56">
      <c r="A3998" s="48"/>
      <c r="B3998" s="48"/>
      <c r="C3998" s="49"/>
      <c r="D3998" s="48"/>
      <c r="E3998" s="48"/>
      <c r="F3998" s="48"/>
      <c r="G3998" s="48"/>
      <c r="H3998" s="48"/>
      <c r="I3998" s="48"/>
      <c r="J3998" s="86"/>
      <c r="K3998" s="86"/>
      <c r="L3998" s="86"/>
      <c r="M3998" s="86"/>
      <c r="N3998" s="86"/>
      <c r="O3998" s="86"/>
      <c r="P3998" s="86"/>
      <c r="Q3998" s="86"/>
      <c r="R3998" s="86"/>
      <c r="S3998" s="86"/>
      <c r="T3998" s="86"/>
      <c r="U3998" s="86"/>
      <c r="V3998" s="48"/>
      <c r="W3998" s="48"/>
      <c r="X3998" s="48"/>
      <c r="Y3998" s="48"/>
      <c r="Z3998" s="48"/>
      <c r="AA3998" s="48"/>
      <c r="AB3998" s="48"/>
      <c r="AC3998" s="48"/>
      <c r="AD3998" s="48"/>
      <c r="AE3998" s="48"/>
      <c r="AF3998" s="48"/>
      <c r="AG3998" s="48"/>
      <c r="AH3998" s="48"/>
      <c r="AI3998" s="48"/>
      <c r="AJ3998" s="48"/>
      <c r="AK3998" s="48"/>
      <c r="AL3998" s="48"/>
      <c r="AM3998" s="48"/>
      <c r="AN3998" s="48"/>
      <c r="AO3998" s="48"/>
      <c r="AP3998" s="48"/>
      <c r="AQ3998" s="48"/>
      <c r="AR3998" s="48"/>
      <c r="AS3998" s="48"/>
      <c r="AT3998" s="48"/>
      <c r="AU3998" s="48"/>
      <c r="AV3998" s="48"/>
      <c r="AW3998" s="48"/>
      <c r="AX3998" s="48"/>
      <c r="AY3998" s="48"/>
      <c r="AZ3998" s="48"/>
      <c r="BA3998" s="48"/>
      <c r="BB3998" s="48"/>
      <c r="BC3998" s="48"/>
      <c r="BD3998" s="48"/>
    </row>
    <row r="3999" spans="1:56">
      <c r="A3999" s="48"/>
      <c r="B3999" s="48"/>
      <c r="C3999" s="49"/>
      <c r="D3999" s="48"/>
      <c r="E3999" s="48"/>
      <c r="F3999" s="48"/>
      <c r="G3999" s="48"/>
      <c r="H3999" s="48"/>
      <c r="I3999" s="48"/>
      <c r="J3999" s="86"/>
      <c r="K3999" s="86"/>
      <c r="L3999" s="86"/>
      <c r="M3999" s="86"/>
      <c r="N3999" s="86"/>
      <c r="O3999" s="86"/>
      <c r="P3999" s="86"/>
      <c r="Q3999" s="86"/>
      <c r="R3999" s="86"/>
      <c r="S3999" s="86"/>
      <c r="T3999" s="86"/>
      <c r="U3999" s="86"/>
      <c r="V3999" s="48"/>
      <c r="W3999" s="48"/>
      <c r="X3999" s="48"/>
      <c r="Y3999" s="48"/>
      <c r="Z3999" s="48"/>
      <c r="AA3999" s="48"/>
      <c r="AB3999" s="48"/>
      <c r="AC3999" s="48"/>
      <c r="AD3999" s="48"/>
      <c r="AE3999" s="48"/>
      <c r="AF3999" s="48"/>
      <c r="AG3999" s="48"/>
      <c r="AH3999" s="48"/>
      <c r="AI3999" s="48"/>
      <c r="AJ3999" s="48"/>
      <c r="AK3999" s="48"/>
      <c r="AL3999" s="48"/>
      <c r="AM3999" s="48"/>
      <c r="AN3999" s="48"/>
      <c r="AO3999" s="48"/>
      <c r="AP3999" s="48"/>
      <c r="AQ3999" s="48"/>
      <c r="AR3999" s="48"/>
      <c r="AS3999" s="48"/>
      <c r="AT3999" s="48"/>
      <c r="AU3999" s="48"/>
      <c r="AV3999" s="48"/>
      <c r="AW3999" s="48"/>
      <c r="AX3999" s="48"/>
      <c r="AY3999" s="48"/>
      <c r="AZ3999" s="48"/>
      <c r="BA3999" s="48"/>
      <c r="BB3999" s="48"/>
      <c r="BC3999" s="48"/>
      <c r="BD3999" s="48"/>
    </row>
    <row r="4000" spans="1:56">
      <c r="A4000" s="48"/>
      <c r="B4000" s="48"/>
      <c r="C4000" s="49"/>
      <c r="D4000" s="48"/>
      <c r="E4000" s="48"/>
      <c r="F4000" s="48"/>
      <c r="G4000" s="48"/>
      <c r="H4000" s="48"/>
      <c r="I4000" s="48"/>
      <c r="J4000" s="86"/>
      <c r="K4000" s="86"/>
      <c r="L4000" s="86"/>
      <c r="M4000" s="86"/>
      <c r="N4000" s="86"/>
      <c r="O4000" s="86"/>
      <c r="P4000" s="86"/>
      <c r="Q4000" s="86"/>
      <c r="R4000" s="86"/>
      <c r="S4000" s="86"/>
      <c r="T4000" s="86"/>
      <c r="U4000" s="86"/>
      <c r="V4000" s="48"/>
      <c r="W4000" s="48"/>
      <c r="X4000" s="48"/>
      <c r="Y4000" s="48"/>
      <c r="Z4000" s="48"/>
      <c r="AA4000" s="48"/>
      <c r="AB4000" s="48"/>
      <c r="AC4000" s="48"/>
      <c r="AD4000" s="48"/>
      <c r="AE4000" s="48"/>
      <c r="AF4000" s="48"/>
      <c r="AG4000" s="48"/>
      <c r="AH4000" s="48"/>
      <c r="AI4000" s="48"/>
      <c r="AJ4000" s="48"/>
      <c r="AK4000" s="48"/>
      <c r="AL4000" s="48"/>
      <c r="AM4000" s="48"/>
      <c r="AN4000" s="48"/>
      <c r="AO4000" s="48"/>
      <c r="AP4000" s="48"/>
      <c r="AQ4000" s="48"/>
      <c r="AR4000" s="48"/>
      <c r="AS4000" s="48"/>
      <c r="AT4000" s="48"/>
      <c r="AU4000" s="48"/>
      <c r="AV4000" s="48"/>
      <c r="AW4000" s="48"/>
      <c r="AX4000" s="48"/>
      <c r="AY4000" s="48"/>
      <c r="AZ4000" s="48"/>
      <c r="BA4000" s="48"/>
      <c r="BB4000" s="48"/>
      <c r="BC4000" s="48"/>
      <c r="BD4000" s="48"/>
    </row>
    <row r="4001" spans="1:56">
      <c r="A4001" s="48"/>
      <c r="B4001" s="48"/>
      <c r="C4001" s="49"/>
      <c r="D4001" s="48"/>
      <c r="E4001" s="48"/>
      <c r="F4001" s="48"/>
      <c r="G4001" s="48"/>
      <c r="H4001" s="48"/>
      <c r="I4001" s="48"/>
      <c r="J4001" s="86"/>
      <c r="K4001" s="86"/>
      <c r="L4001" s="86"/>
      <c r="M4001" s="86"/>
      <c r="N4001" s="86"/>
      <c r="O4001" s="86"/>
      <c r="P4001" s="86"/>
      <c r="Q4001" s="86"/>
      <c r="R4001" s="86"/>
      <c r="S4001" s="86"/>
      <c r="T4001" s="86"/>
      <c r="U4001" s="86"/>
      <c r="V4001" s="48"/>
      <c r="W4001" s="48"/>
      <c r="X4001" s="48"/>
      <c r="Y4001" s="48"/>
      <c r="Z4001" s="48"/>
      <c r="AA4001" s="48"/>
      <c r="AB4001" s="48"/>
      <c r="AC4001" s="48"/>
      <c r="AD4001" s="48"/>
      <c r="AE4001" s="48"/>
      <c r="AF4001" s="48"/>
      <c r="AG4001" s="48"/>
      <c r="AH4001" s="48"/>
      <c r="AI4001" s="48"/>
      <c r="AJ4001" s="48"/>
      <c r="AK4001" s="48"/>
      <c r="AL4001" s="48"/>
      <c r="AM4001" s="48"/>
      <c r="AN4001" s="48"/>
      <c r="AO4001" s="48"/>
      <c r="AP4001" s="48"/>
      <c r="AQ4001" s="48"/>
      <c r="AR4001" s="48"/>
      <c r="AS4001" s="48"/>
      <c r="AT4001" s="48"/>
      <c r="AU4001" s="48"/>
      <c r="AV4001" s="48"/>
      <c r="AW4001" s="48"/>
      <c r="AX4001" s="48"/>
      <c r="AY4001" s="48"/>
      <c r="AZ4001" s="48"/>
      <c r="BA4001" s="48"/>
      <c r="BB4001" s="48"/>
      <c r="BC4001" s="48"/>
      <c r="BD4001" s="48"/>
    </row>
    <row r="4002" spans="1:56">
      <c r="A4002" s="48"/>
      <c r="B4002" s="48"/>
      <c r="C4002" s="49"/>
      <c r="D4002" s="48"/>
      <c r="E4002" s="48"/>
      <c r="F4002" s="48"/>
      <c r="G4002" s="48"/>
      <c r="H4002" s="48"/>
      <c r="I4002" s="48"/>
      <c r="J4002" s="86"/>
      <c r="K4002" s="86"/>
      <c r="L4002" s="86"/>
      <c r="M4002" s="86"/>
      <c r="N4002" s="86"/>
      <c r="O4002" s="86"/>
      <c r="P4002" s="86"/>
      <c r="Q4002" s="86"/>
      <c r="R4002" s="86"/>
      <c r="S4002" s="86"/>
      <c r="T4002" s="86"/>
      <c r="U4002" s="86"/>
      <c r="V4002" s="48"/>
      <c r="W4002" s="48"/>
      <c r="X4002" s="48"/>
      <c r="Y4002" s="48"/>
      <c r="Z4002" s="48"/>
      <c r="AA4002" s="48"/>
      <c r="AB4002" s="48"/>
      <c r="AC4002" s="48"/>
      <c r="AD4002" s="48"/>
      <c r="AE4002" s="48"/>
      <c r="AF4002" s="48"/>
      <c r="AG4002" s="48"/>
      <c r="AH4002" s="48"/>
      <c r="AI4002" s="48"/>
      <c r="AJ4002" s="48"/>
      <c r="AK4002" s="48"/>
      <c r="AL4002" s="48"/>
      <c r="AM4002" s="48"/>
      <c r="AN4002" s="48"/>
      <c r="AO4002" s="48"/>
      <c r="AP4002" s="48"/>
      <c r="AQ4002" s="48"/>
      <c r="AR4002" s="48"/>
      <c r="AS4002" s="48"/>
      <c r="AT4002" s="48"/>
      <c r="AU4002" s="48"/>
      <c r="AV4002" s="48"/>
      <c r="AW4002" s="48"/>
      <c r="AX4002" s="48"/>
      <c r="AY4002" s="48"/>
      <c r="AZ4002" s="48"/>
      <c r="BA4002" s="48"/>
      <c r="BB4002" s="48"/>
      <c r="BC4002" s="48"/>
      <c r="BD4002" s="48"/>
    </row>
    <row r="4003" spans="1:56">
      <c r="A4003" s="48"/>
      <c r="B4003" s="48"/>
      <c r="C4003" s="49"/>
      <c r="D4003" s="48"/>
      <c r="E4003" s="48"/>
      <c r="F4003" s="48"/>
      <c r="G4003" s="48"/>
      <c r="H4003" s="48"/>
      <c r="I4003" s="48"/>
      <c r="J4003" s="86"/>
      <c r="K4003" s="86"/>
      <c r="L4003" s="86"/>
      <c r="M4003" s="86"/>
      <c r="N4003" s="86"/>
      <c r="O4003" s="86"/>
      <c r="P4003" s="86"/>
      <c r="Q4003" s="86"/>
      <c r="R4003" s="86"/>
      <c r="S4003" s="86"/>
      <c r="T4003" s="86"/>
      <c r="U4003" s="86"/>
      <c r="V4003" s="48"/>
      <c r="W4003" s="48"/>
      <c r="X4003" s="48"/>
      <c r="Y4003" s="48"/>
      <c r="Z4003" s="48"/>
      <c r="AA4003" s="48"/>
      <c r="AB4003" s="48"/>
      <c r="AC4003" s="48"/>
      <c r="AD4003" s="48"/>
      <c r="AE4003" s="48"/>
      <c r="AF4003" s="48"/>
      <c r="AG4003" s="48"/>
      <c r="AH4003" s="48"/>
      <c r="AI4003" s="48"/>
      <c r="AJ4003" s="48"/>
      <c r="AK4003" s="48"/>
      <c r="AL4003" s="48"/>
      <c r="AM4003" s="48"/>
      <c r="AN4003" s="48"/>
      <c r="AO4003" s="48"/>
      <c r="AP4003" s="48"/>
      <c r="AQ4003" s="48"/>
      <c r="AR4003" s="48"/>
      <c r="AS4003" s="48"/>
      <c r="AT4003" s="48"/>
      <c r="AU4003" s="48"/>
      <c r="AV4003" s="48"/>
      <c r="AW4003" s="48"/>
      <c r="AX4003" s="48"/>
      <c r="AY4003" s="48"/>
      <c r="AZ4003" s="48"/>
      <c r="BA4003" s="48"/>
      <c r="BB4003" s="48"/>
      <c r="BC4003" s="48"/>
      <c r="BD4003" s="48"/>
    </row>
    <row r="4004" spans="1:56">
      <c r="A4004" s="48"/>
      <c r="B4004" s="48"/>
      <c r="C4004" s="49"/>
      <c r="D4004" s="48"/>
      <c r="E4004" s="48"/>
      <c r="F4004" s="48"/>
      <c r="G4004" s="48"/>
      <c r="H4004" s="48"/>
      <c r="I4004" s="48"/>
      <c r="J4004" s="86"/>
      <c r="K4004" s="86"/>
      <c r="L4004" s="86"/>
      <c r="M4004" s="86"/>
      <c r="N4004" s="86"/>
      <c r="O4004" s="86"/>
      <c r="P4004" s="86"/>
      <c r="Q4004" s="86"/>
      <c r="R4004" s="86"/>
      <c r="S4004" s="86"/>
      <c r="T4004" s="86"/>
      <c r="U4004" s="86"/>
      <c r="V4004" s="48"/>
      <c r="W4004" s="48"/>
      <c r="X4004" s="48"/>
      <c r="Y4004" s="48"/>
      <c r="Z4004" s="48"/>
      <c r="AA4004" s="48"/>
      <c r="AB4004" s="48"/>
      <c r="AC4004" s="48"/>
      <c r="AD4004" s="48"/>
      <c r="AE4004" s="48"/>
      <c r="AF4004" s="48"/>
      <c r="AG4004" s="48"/>
      <c r="AH4004" s="48"/>
      <c r="AI4004" s="48"/>
      <c r="AJ4004" s="48"/>
      <c r="AK4004" s="48"/>
      <c r="AL4004" s="48"/>
      <c r="AM4004" s="48"/>
      <c r="AN4004" s="48"/>
      <c r="AO4004" s="48"/>
      <c r="AP4004" s="48"/>
      <c r="AQ4004" s="48"/>
      <c r="AR4004" s="48"/>
      <c r="AS4004" s="48"/>
      <c r="AT4004" s="48"/>
      <c r="AU4004" s="48"/>
      <c r="AV4004" s="48"/>
      <c r="AW4004" s="48"/>
      <c r="AX4004" s="48"/>
      <c r="AY4004" s="48"/>
      <c r="AZ4004" s="48"/>
      <c r="BA4004" s="48"/>
      <c r="BB4004" s="48"/>
      <c r="BC4004" s="48"/>
      <c r="BD4004" s="48"/>
    </row>
    <row r="4005" spans="1:56">
      <c r="A4005" s="48"/>
      <c r="B4005" s="48"/>
      <c r="C4005" s="49"/>
      <c r="D4005" s="48"/>
      <c r="E4005" s="48"/>
      <c r="F4005" s="48"/>
      <c r="G4005" s="48"/>
      <c r="H4005" s="48"/>
      <c r="I4005" s="48"/>
      <c r="J4005" s="86"/>
      <c r="K4005" s="86"/>
      <c r="L4005" s="86"/>
      <c r="M4005" s="86"/>
      <c r="N4005" s="86"/>
      <c r="O4005" s="86"/>
      <c r="P4005" s="86"/>
      <c r="Q4005" s="86"/>
      <c r="R4005" s="86"/>
      <c r="S4005" s="86"/>
      <c r="T4005" s="86"/>
      <c r="U4005" s="86"/>
      <c r="V4005" s="48"/>
      <c r="W4005" s="48"/>
      <c r="X4005" s="48"/>
      <c r="Y4005" s="48"/>
      <c r="Z4005" s="48"/>
      <c r="AA4005" s="48"/>
      <c r="AB4005" s="48"/>
      <c r="AC4005" s="48"/>
      <c r="AD4005" s="48"/>
      <c r="AE4005" s="48"/>
      <c r="AF4005" s="48"/>
      <c r="AG4005" s="48"/>
      <c r="AH4005" s="48"/>
      <c r="AI4005" s="48"/>
      <c r="AJ4005" s="48"/>
      <c r="AK4005" s="48"/>
      <c r="AL4005" s="48"/>
      <c r="AM4005" s="48"/>
      <c r="AN4005" s="48"/>
      <c r="AO4005" s="48"/>
      <c r="AP4005" s="48"/>
      <c r="AQ4005" s="48"/>
      <c r="AR4005" s="48"/>
      <c r="AS4005" s="48"/>
      <c r="AT4005" s="48"/>
      <c r="AU4005" s="48"/>
      <c r="AV4005" s="48"/>
      <c r="AW4005" s="48"/>
      <c r="AX4005" s="48"/>
      <c r="AY4005" s="48"/>
      <c r="AZ4005" s="48"/>
      <c r="BA4005" s="48"/>
      <c r="BB4005" s="48"/>
      <c r="BC4005" s="48"/>
      <c r="BD4005" s="48"/>
    </row>
    <row r="4006" spans="1:56">
      <c r="A4006" s="48"/>
      <c r="B4006" s="48"/>
      <c r="C4006" s="49"/>
      <c r="D4006" s="48"/>
      <c r="E4006" s="48"/>
      <c r="F4006" s="48"/>
      <c r="G4006" s="48"/>
      <c r="H4006" s="48"/>
      <c r="I4006" s="48"/>
      <c r="J4006" s="86"/>
      <c r="K4006" s="86"/>
      <c r="L4006" s="86"/>
      <c r="M4006" s="86"/>
      <c r="N4006" s="86"/>
      <c r="O4006" s="86"/>
      <c r="P4006" s="86"/>
      <c r="Q4006" s="86"/>
      <c r="R4006" s="86"/>
      <c r="S4006" s="86"/>
      <c r="T4006" s="86"/>
      <c r="U4006" s="86"/>
      <c r="V4006" s="48"/>
      <c r="W4006" s="48"/>
      <c r="X4006" s="48"/>
      <c r="Y4006" s="48"/>
      <c r="Z4006" s="48"/>
      <c r="AA4006" s="48"/>
      <c r="AB4006" s="48"/>
      <c r="AC4006" s="48"/>
      <c r="AD4006" s="48"/>
      <c r="AE4006" s="48"/>
      <c r="AF4006" s="48"/>
      <c r="AG4006" s="48"/>
      <c r="AH4006" s="48"/>
      <c r="AI4006" s="48"/>
      <c r="AJ4006" s="48"/>
      <c r="AK4006" s="48"/>
      <c r="AL4006" s="48"/>
      <c r="AM4006" s="48"/>
      <c r="AN4006" s="48"/>
      <c r="AO4006" s="48"/>
      <c r="AP4006" s="48"/>
      <c r="AQ4006" s="48"/>
      <c r="AR4006" s="48"/>
      <c r="AS4006" s="48"/>
      <c r="AT4006" s="48"/>
      <c r="AU4006" s="48"/>
      <c r="AV4006" s="48"/>
      <c r="AW4006" s="48"/>
      <c r="AX4006" s="48"/>
      <c r="AY4006" s="48"/>
      <c r="AZ4006" s="48"/>
      <c r="BA4006" s="48"/>
      <c r="BB4006" s="48"/>
      <c r="BC4006" s="48"/>
      <c r="BD4006" s="48"/>
    </row>
    <row r="4007" spans="1:56">
      <c r="A4007" s="48"/>
      <c r="B4007" s="48"/>
      <c r="C4007" s="49"/>
      <c r="D4007" s="48"/>
      <c r="E4007" s="48"/>
      <c r="F4007" s="48"/>
      <c r="G4007" s="48"/>
      <c r="H4007" s="48"/>
      <c r="I4007" s="48"/>
      <c r="J4007" s="86"/>
      <c r="K4007" s="86"/>
      <c r="L4007" s="86"/>
      <c r="M4007" s="86"/>
      <c r="N4007" s="86"/>
      <c r="O4007" s="86"/>
      <c r="P4007" s="86"/>
      <c r="Q4007" s="86"/>
      <c r="R4007" s="86"/>
      <c r="S4007" s="86"/>
      <c r="T4007" s="86"/>
      <c r="U4007" s="86"/>
      <c r="V4007" s="48"/>
      <c r="W4007" s="48"/>
      <c r="X4007" s="48"/>
      <c r="Y4007" s="48"/>
      <c r="Z4007" s="48"/>
      <c r="AA4007" s="48"/>
      <c r="AB4007" s="48"/>
      <c r="AC4007" s="48"/>
      <c r="AD4007" s="48"/>
      <c r="AE4007" s="48"/>
      <c r="AF4007" s="48"/>
      <c r="AG4007" s="48"/>
      <c r="AH4007" s="48"/>
      <c r="AI4007" s="48"/>
      <c r="AJ4007" s="48"/>
      <c r="AK4007" s="48"/>
      <c r="AL4007" s="48"/>
      <c r="AM4007" s="48"/>
      <c r="AN4007" s="48"/>
      <c r="AO4007" s="48"/>
      <c r="AP4007" s="48"/>
      <c r="AQ4007" s="48"/>
      <c r="AR4007" s="48"/>
      <c r="AS4007" s="48"/>
      <c r="AT4007" s="48"/>
      <c r="AU4007" s="48"/>
      <c r="AV4007" s="48"/>
      <c r="AW4007" s="48"/>
      <c r="AX4007" s="48"/>
      <c r="AY4007" s="48"/>
      <c r="AZ4007" s="48"/>
      <c r="BA4007" s="48"/>
      <c r="BB4007" s="48"/>
      <c r="BC4007" s="48"/>
      <c r="BD4007" s="48"/>
    </row>
    <row r="4008" spans="1:56">
      <c r="A4008" s="48"/>
      <c r="B4008" s="48"/>
      <c r="C4008" s="49"/>
      <c r="D4008" s="48"/>
      <c r="E4008" s="48"/>
      <c r="F4008" s="48"/>
      <c r="G4008" s="48"/>
      <c r="H4008" s="48"/>
      <c r="I4008" s="48"/>
      <c r="J4008" s="86"/>
      <c r="K4008" s="86"/>
      <c r="L4008" s="86"/>
      <c r="M4008" s="86"/>
      <c r="N4008" s="86"/>
      <c r="O4008" s="86"/>
      <c r="P4008" s="86"/>
      <c r="Q4008" s="86"/>
      <c r="R4008" s="86"/>
      <c r="S4008" s="86"/>
      <c r="T4008" s="86"/>
      <c r="U4008" s="86"/>
      <c r="V4008" s="48"/>
      <c r="W4008" s="48"/>
      <c r="X4008" s="48"/>
      <c r="Y4008" s="48"/>
      <c r="Z4008" s="48"/>
      <c r="AA4008" s="48"/>
      <c r="AB4008" s="48"/>
      <c r="AC4008" s="48"/>
      <c r="AD4008" s="48"/>
      <c r="AE4008" s="48"/>
      <c r="AF4008" s="48"/>
      <c r="AG4008" s="48"/>
      <c r="AH4008" s="48"/>
      <c r="AI4008" s="48"/>
      <c r="AJ4008" s="48"/>
      <c r="AK4008" s="48"/>
      <c r="AL4008" s="48"/>
      <c r="AM4008" s="48"/>
      <c r="AN4008" s="48"/>
      <c r="AO4008" s="48"/>
      <c r="AP4008" s="48"/>
      <c r="AQ4008" s="48"/>
      <c r="AR4008" s="48"/>
      <c r="AS4008" s="48"/>
      <c r="AT4008" s="48"/>
      <c r="AU4008" s="48"/>
      <c r="AV4008" s="48"/>
      <c r="AW4008" s="48"/>
      <c r="AX4008" s="48"/>
      <c r="AY4008" s="48"/>
      <c r="AZ4008" s="48"/>
      <c r="BA4008" s="48"/>
      <c r="BB4008" s="48"/>
      <c r="BC4008" s="48"/>
      <c r="BD4008" s="48"/>
    </row>
    <row r="4009" spans="1:56">
      <c r="A4009" s="48"/>
      <c r="B4009" s="48"/>
      <c r="C4009" s="49"/>
      <c r="D4009" s="48"/>
      <c r="E4009" s="48"/>
      <c r="F4009" s="48"/>
      <c r="G4009" s="48"/>
      <c r="H4009" s="48"/>
      <c r="I4009" s="48"/>
      <c r="J4009" s="86"/>
      <c r="K4009" s="86"/>
      <c r="L4009" s="86"/>
      <c r="M4009" s="86"/>
      <c r="N4009" s="86"/>
      <c r="O4009" s="86"/>
      <c r="P4009" s="86"/>
      <c r="Q4009" s="86"/>
      <c r="R4009" s="86"/>
      <c r="S4009" s="86"/>
      <c r="T4009" s="86"/>
      <c r="U4009" s="86"/>
      <c r="V4009" s="48"/>
      <c r="W4009" s="48"/>
      <c r="X4009" s="48"/>
      <c r="Y4009" s="48"/>
      <c r="Z4009" s="48"/>
      <c r="AA4009" s="48"/>
      <c r="AB4009" s="48"/>
      <c r="AC4009" s="48"/>
      <c r="AD4009" s="48"/>
      <c r="AE4009" s="48"/>
      <c r="AF4009" s="48"/>
      <c r="AG4009" s="48"/>
      <c r="AH4009" s="48"/>
      <c r="AI4009" s="48"/>
      <c r="AJ4009" s="48"/>
      <c r="AK4009" s="48"/>
      <c r="AL4009" s="48"/>
      <c r="AM4009" s="48"/>
      <c r="AN4009" s="48"/>
      <c r="AO4009" s="48"/>
      <c r="AP4009" s="48"/>
      <c r="AQ4009" s="48"/>
      <c r="AR4009" s="48"/>
      <c r="AS4009" s="48"/>
      <c r="AT4009" s="48"/>
      <c r="AU4009" s="48"/>
      <c r="AV4009" s="48"/>
      <c r="AW4009" s="48"/>
      <c r="AX4009" s="48"/>
      <c r="AY4009" s="48"/>
      <c r="AZ4009" s="48"/>
      <c r="BA4009" s="48"/>
      <c r="BB4009" s="48"/>
      <c r="BC4009" s="48"/>
      <c r="BD4009" s="48"/>
    </row>
    <row r="4010" spans="1:56">
      <c r="A4010" s="48"/>
      <c r="B4010" s="48"/>
      <c r="C4010" s="49"/>
      <c r="D4010" s="48"/>
      <c r="E4010" s="48"/>
      <c r="F4010" s="48"/>
      <c r="G4010" s="48"/>
      <c r="H4010" s="48"/>
      <c r="I4010" s="48"/>
      <c r="J4010" s="86"/>
      <c r="K4010" s="86"/>
      <c r="L4010" s="86"/>
      <c r="M4010" s="86"/>
      <c r="N4010" s="86"/>
      <c r="O4010" s="86"/>
      <c r="P4010" s="86"/>
      <c r="Q4010" s="86"/>
      <c r="R4010" s="86"/>
      <c r="S4010" s="86"/>
      <c r="T4010" s="86"/>
      <c r="U4010" s="86"/>
      <c r="V4010" s="48"/>
      <c r="W4010" s="48"/>
      <c r="X4010" s="48"/>
      <c r="Y4010" s="48"/>
      <c r="Z4010" s="48"/>
      <c r="AA4010" s="48"/>
      <c r="AB4010" s="48"/>
      <c r="AC4010" s="48"/>
      <c r="AD4010" s="48"/>
      <c r="AE4010" s="48"/>
      <c r="AF4010" s="48"/>
      <c r="AG4010" s="48"/>
      <c r="AH4010" s="48"/>
      <c r="AI4010" s="48"/>
      <c r="AJ4010" s="48"/>
      <c r="AK4010" s="48"/>
      <c r="AL4010" s="48"/>
      <c r="AM4010" s="48"/>
      <c r="AN4010" s="48"/>
      <c r="AO4010" s="48"/>
      <c r="AP4010" s="48"/>
      <c r="AQ4010" s="48"/>
      <c r="AR4010" s="48"/>
      <c r="AS4010" s="48"/>
      <c r="AT4010" s="48"/>
      <c r="AU4010" s="48"/>
      <c r="AV4010" s="48"/>
      <c r="AW4010" s="48"/>
      <c r="AX4010" s="48"/>
      <c r="AY4010" s="48"/>
      <c r="AZ4010" s="48"/>
      <c r="BA4010" s="48"/>
      <c r="BB4010" s="48"/>
      <c r="BC4010" s="48"/>
      <c r="BD4010" s="48"/>
    </row>
    <row r="4011" spans="1:56">
      <c r="A4011" s="48"/>
      <c r="B4011" s="48"/>
      <c r="C4011" s="49"/>
      <c r="D4011" s="48"/>
      <c r="E4011" s="48"/>
      <c r="F4011" s="48"/>
      <c r="G4011" s="48"/>
      <c r="H4011" s="48"/>
      <c r="I4011" s="48"/>
      <c r="J4011" s="86"/>
      <c r="K4011" s="86"/>
      <c r="L4011" s="86"/>
      <c r="M4011" s="86"/>
      <c r="N4011" s="86"/>
      <c r="O4011" s="86"/>
      <c r="P4011" s="86"/>
      <c r="Q4011" s="86"/>
      <c r="R4011" s="86"/>
      <c r="S4011" s="86"/>
      <c r="T4011" s="86"/>
      <c r="U4011" s="86"/>
      <c r="V4011" s="48"/>
      <c r="W4011" s="48"/>
      <c r="X4011" s="48"/>
      <c r="Y4011" s="48"/>
      <c r="Z4011" s="48"/>
      <c r="AA4011" s="48"/>
      <c r="AB4011" s="48"/>
      <c r="AC4011" s="48"/>
      <c r="AD4011" s="48"/>
      <c r="AE4011" s="48"/>
      <c r="AF4011" s="48"/>
      <c r="AG4011" s="48"/>
      <c r="AH4011" s="48"/>
      <c r="AI4011" s="48"/>
      <c r="AJ4011" s="48"/>
      <c r="AK4011" s="48"/>
      <c r="AL4011" s="48"/>
      <c r="AM4011" s="48"/>
      <c r="AN4011" s="48"/>
      <c r="AO4011" s="48"/>
      <c r="AP4011" s="48"/>
      <c r="AQ4011" s="48"/>
      <c r="AR4011" s="48"/>
      <c r="AS4011" s="48"/>
      <c r="AT4011" s="48"/>
      <c r="AU4011" s="48"/>
      <c r="AV4011" s="48"/>
      <c r="AW4011" s="48"/>
      <c r="AX4011" s="48"/>
      <c r="AY4011" s="48"/>
      <c r="AZ4011" s="48"/>
      <c r="BA4011" s="48"/>
      <c r="BB4011" s="48"/>
      <c r="BC4011" s="48"/>
      <c r="BD4011" s="48"/>
    </row>
    <row r="4012" spans="1:56">
      <c r="A4012" s="48"/>
      <c r="B4012" s="48"/>
      <c r="C4012" s="49"/>
      <c r="D4012" s="48"/>
      <c r="E4012" s="48"/>
      <c r="F4012" s="48"/>
      <c r="G4012" s="48"/>
      <c r="H4012" s="48"/>
      <c r="I4012" s="48"/>
      <c r="J4012" s="86"/>
      <c r="K4012" s="86"/>
      <c r="L4012" s="86"/>
      <c r="M4012" s="86"/>
      <c r="N4012" s="86"/>
      <c r="O4012" s="86"/>
      <c r="P4012" s="86"/>
      <c r="Q4012" s="86"/>
      <c r="R4012" s="86"/>
      <c r="S4012" s="86"/>
      <c r="T4012" s="86"/>
      <c r="U4012" s="86"/>
      <c r="V4012" s="48"/>
      <c r="W4012" s="48"/>
      <c r="X4012" s="48"/>
      <c r="Y4012" s="48"/>
      <c r="Z4012" s="48"/>
      <c r="AA4012" s="48"/>
      <c r="AB4012" s="48"/>
      <c r="AC4012" s="48"/>
      <c r="AD4012" s="48"/>
      <c r="AE4012" s="48"/>
      <c r="AF4012" s="48"/>
      <c r="AG4012" s="48"/>
      <c r="AH4012" s="48"/>
      <c r="AI4012" s="48"/>
      <c r="AJ4012" s="48"/>
      <c r="AK4012" s="48"/>
      <c r="AL4012" s="48"/>
      <c r="AM4012" s="48"/>
      <c r="AN4012" s="48"/>
      <c r="AO4012" s="48"/>
      <c r="AP4012" s="48"/>
      <c r="AQ4012" s="48"/>
      <c r="AR4012" s="48"/>
      <c r="AS4012" s="48"/>
      <c r="AT4012" s="48"/>
      <c r="AU4012" s="48"/>
      <c r="AV4012" s="48"/>
      <c r="AW4012" s="48"/>
      <c r="AX4012" s="48"/>
      <c r="AY4012" s="48"/>
      <c r="AZ4012" s="48"/>
      <c r="BA4012" s="48"/>
      <c r="BB4012" s="48"/>
      <c r="BC4012" s="48"/>
      <c r="BD4012" s="48"/>
    </row>
    <row r="4013" spans="1:56">
      <c r="A4013" s="48"/>
      <c r="B4013" s="48"/>
      <c r="C4013" s="49"/>
      <c r="D4013" s="48"/>
      <c r="E4013" s="48"/>
      <c r="F4013" s="48"/>
      <c r="G4013" s="48"/>
      <c r="H4013" s="48"/>
      <c r="I4013" s="48"/>
      <c r="J4013" s="86"/>
      <c r="K4013" s="86"/>
      <c r="L4013" s="86"/>
      <c r="M4013" s="86"/>
      <c r="N4013" s="86"/>
      <c r="O4013" s="86"/>
      <c r="P4013" s="86"/>
      <c r="Q4013" s="86"/>
      <c r="R4013" s="86"/>
      <c r="S4013" s="86"/>
      <c r="T4013" s="86"/>
      <c r="U4013" s="86"/>
      <c r="V4013" s="48"/>
      <c r="W4013" s="48"/>
      <c r="X4013" s="48"/>
      <c r="Y4013" s="48"/>
      <c r="Z4013" s="48"/>
      <c r="AA4013" s="48"/>
      <c r="AB4013" s="48"/>
      <c r="AC4013" s="48"/>
      <c r="AD4013" s="48"/>
      <c r="AE4013" s="48"/>
      <c r="AF4013" s="48"/>
      <c r="AG4013" s="48"/>
      <c r="AH4013" s="48"/>
      <c r="AI4013" s="48"/>
      <c r="AJ4013" s="48"/>
      <c r="AK4013" s="48"/>
      <c r="AL4013" s="48"/>
      <c r="AM4013" s="48"/>
      <c r="AN4013" s="48"/>
      <c r="AO4013" s="48"/>
      <c r="AP4013" s="48"/>
      <c r="AQ4013" s="48"/>
      <c r="AR4013" s="48"/>
      <c r="AS4013" s="48"/>
      <c r="AT4013" s="48"/>
      <c r="AU4013" s="48"/>
      <c r="AV4013" s="48"/>
      <c r="AW4013" s="48"/>
      <c r="AX4013" s="48"/>
      <c r="AY4013" s="48"/>
      <c r="AZ4013" s="48"/>
      <c r="BA4013" s="48"/>
      <c r="BB4013" s="48"/>
      <c r="BC4013" s="48"/>
      <c r="BD4013" s="48"/>
    </row>
    <row r="4014" spans="1:56">
      <c r="A4014" s="48"/>
      <c r="B4014" s="48"/>
      <c r="C4014" s="49"/>
      <c r="D4014" s="48"/>
      <c r="E4014" s="48"/>
      <c r="F4014" s="48"/>
      <c r="G4014" s="48"/>
      <c r="H4014" s="48"/>
      <c r="I4014" s="48"/>
      <c r="J4014" s="86"/>
      <c r="K4014" s="86"/>
      <c r="L4014" s="86"/>
      <c r="M4014" s="86"/>
      <c r="N4014" s="86"/>
      <c r="O4014" s="86"/>
      <c r="P4014" s="86"/>
      <c r="Q4014" s="86"/>
      <c r="R4014" s="86"/>
      <c r="S4014" s="86"/>
      <c r="T4014" s="86"/>
      <c r="U4014" s="86"/>
      <c r="V4014" s="48"/>
      <c r="W4014" s="48"/>
      <c r="X4014" s="48"/>
      <c r="Y4014" s="48"/>
      <c r="Z4014" s="48"/>
      <c r="AA4014" s="48"/>
      <c r="AB4014" s="48"/>
      <c r="AC4014" s="48"/>
      <c r="AD4014" s="48"/>
      <c r="AE4014" s="48"/>
      <c r="AF4014" s="48"/>
      <c r="AG4014" s="48"/>
      <c r="AH4014" s="48"/>
      <c r="AI4014" s="48"/>
      <c r="AJ4014" s="48"/>
      <c r="AK4014" s="48"/>
      <c r="AL4014" s="48"/>
      <c r="AM4014" s="48"/>
      <c r="AN4014" s="48"/>
      <c r="AO4014" s="48"/>
      <c r="AP4014" s="48"/>
      <c r="AQ4014" s="48"/>
      <c r="AR4014" s="48"/>
      <c r="AS4014" s="48"/>
      <c r="AT4014" s="48"/>
      <c r="AU4014" s="48"/>
      <c r="AV4014" s="48"/>
      <c r="AW4014" s="48"/>
      <c r="AX4014" s="48"/>
      <c r="AY4014" s="48"/>
      <c r="AZ4014" s="48"/>
      <c r="BA4014" s="48"/>
      <c r="BB4014" s="48"/>
      <c r="BC4014" s="48"/>
      <c r="BD4014" s="48"/>
    </row>
    <row r="4015" spans="1:56">
      <c r="A4015" s="48"/>
      <c r="B4015" s="48"/>
      <c r="C4015" s="49"/>
      <c r="D4015" s="48"/>
      <c r="E4015" s="48"/>
      <c r="F4015" s="48"/>
      <c r="G4015" s="48"/>
      <c r="H4015" s="48"/>
      <c r="I4015" s="48"/>
      <c r="J4015" s="86"/>
      <c r="K4015" s="86"/>
      <c r="L4015" s="86"/>
      <c r="M4015" s="86"/>
      <c r="N4015" s="86"/>
      <c r="O4015" s="86"/>
      <c r="P4015" s="86"/>
      <c r="Q4015" s="86"/>
      <c r="R4015" s="86"/>
      <c r="S4015" s="86"/>
      <c r="T4015" s="86"/>
      <c r="U4015" s="86"/>
      <c r="V4015" s="48"/>
      <c r="W4015" s="48"/>
      <c r="X4015" s="48"/>
      <c r="Y4015" s="48"/>
      <c r="Z4015" s="48"/>
      <c r="AA4015" s="48"/>
      <c r="AB4015" s="48"/>
      <c r="AC4015" s="48"/>
      <c r="AD4015" s="48"/>
      <c r="AE4015" s="48"/>
      <c r="AF4015" s="48"/>
      <c r="AG4015" s="48"/>
      <c r="AH4015" s="48"/>
      <c r="AI4015" s="48"/>
      <c r="AJ4015" s="48"/>
      <c r="AK4015" s="48"/>
      <c r="AL4015" s="48"/>
      <c r="AM4015" s="48"/>
      <c r="AN4015" s="48"/>
      <c r="AO4015" s="48"/>
      <c r="AP4015" s="48"/>
      <c r="AQ4015" s="48"/>
      <c r="AR4015" s="48"/>
      <c r="AS4015" s="48"/>
      <c r="AT4015" s="48"/>
      <c r="AU4015" s="48"/>
      <c r="AV4015" s="48"/>
      <c r="AW4015" s="48"/>
      <c r="AX4015" s="48"/>
      <c r="AY4015" s="48"/>
      <c r="AZ4015" s="48"/>
      <c r="BA4015" s="48"/>
      <c r="BB4015" s="48"/>
      <c r="BC4015" s="48"/>
      <c r="BD4015" s="48"/>
    </row>
    <row r="4016" spans="1:56">
      <c r="A4016" s="48"/>
      <c r="B4016" s="48"/>
      <c r="C4016" s="49"/>
      <c r="D4016" s="48"/>
      <c r="E4016" s="48"/>
      <c r="F4016" s="48"/>
      <c r="G4016" s="48"/>
      <c r="H4016" s="48"/>
      <c r="I4016" s="48"/>
      <c r="J4016" s="86"/>
      <c r="K4016" s="86"/>
      <c r="L4016" s="86"/>
      <c r="M4016" s="86"/>
      <c r="N4016" s="86"/>
      <c r="O4016" s="86"/>
      <c r="P4016" s="86"/>
      <c r="Q4016" s="86"/>
      <c r="R4016" s="86"/>
      <c r="S4016" s="86"/>
      <c r="T4016" s="86"/>
      <c r="U4016" s="86"/>
      <c r="V4016" s="48"/>
      <c r="W4016" s="48"/>
      <c r="X4016" s="48"/>
      <c r="Y4016" s="48"/>
      <c r="Z4016" s="48"/>
      <c r="AA4016" s="48"/>
      <c r="AB4016" s="48"/>
      <c r="AC4016" s="48"/>
      <c r="AD4016" s="48"/>
      <c r="AE4016" s="48"/>
      <c r="AF4016" s="48"/>
      <c r="AG4016" s="48"/>
      <c r="AH4016" s="48"/>
      <c r="AI4016" s="48"/>
      <c r="AJ4016" s="48"/>
      <c r="AK4016" s="48"/>
      <c r="AL4016" s="48"/>
      <c r="AM4016" s="48"/>
      <c r="AN4016" s="48"/>
      <c r="AO4016" s="48"/>
      <c r="AP4016" s="48"/>
      <c r="AQ4016" s="48"/>
      <c r="AR4016" s="48"/>
      <c r="AS4016" s="48"/>
      <c r="AT4016" s="48"/>
      <c r="AU4016" s="48"/>
      <c r="AV4016" s="48"/>
      <c r="AW4016" s="48"/>
      <c r="AX4016" s="48"/>
      <c r="AY4016" s="48"/>
      <c r="AZ4016" s="48"/>
      <c r="BA4016" s="48"/>
      <c r="BB4016" s="48"/>
      <c r="BC4016" s="48"/>
      <c r="BD4016" s="48"/>
    </row>
    <row r="4017" spans="1:56">
      <c r="A4017" s="48"/>
      <c r="B4017" s="48"/>
      <c r="C4017" s="49"/>
      <c r="D4017" s="48"/>
      <c r="E4017" s="48"/>
      <c r="F4017" s="48"/>
      <c r="G4017" s="48"/>
      <c r="H4017" s="48"/>
      <c r="I4017" s="48"/>
      <c r="J4017" s="86"/>
      <c r="K4017" s="86"/>
      <c r="L4017" s="86"/>
      <c r="M4017" s="86"/>
      <c r="N4017" s="86"/>
      <c r="O4017" s="86"/>
      <c r="P4017" s="86"/>
      <c r="Q4017" s="86"/>
      <c r="R4017" s="86"/>
      <c r="S4017" s="86"/>
      <c r="T4017" s="86"/>
      <c r="U4017" s="86"/>
      <c r="V4017" s="48"/>
      <c r="W4017" s="48"/>
      <c r="X4017" s="48"/>
      <c r="Y4017" s="48"/>
      <c r="Z4017" s="48"/>
      <c r="AA4017" s="48"/>
      <c r="AB4017" s="48"/>
      <c r="AC4017" s="48"/>
      <c r="AD4017" s="48"/>
      <c r="AE4017" s="48"/>
      <c r="AF4017" s="48"/>
      <c r="AG4017" s="48"/>
      <c r="AH4017" s="48"/>
      <c r="AI4017" s="48"/>
      <c r="AJ4017" s="48"/>
      <c r="AK4017" s="48"/>
      <c r="AL4017" s="48"/>
      <c r="AM4017" s="48"/>
      <c r="AN4017" s="48"/>
      <c r="AO4017" s="48"/>
      <c r="AP4017" s="48"/>
      <c r="AQ4017" s="48"/>
      <c r="AR4017" s="48"/>
      <c r="AS4017" s="48"/>
      <c r="AT4017" s="48"/>
      <c r="AU4017" s="48"/>
      <c r="AV4017" s="48"/>
      <c r="AW4017" s="48"/>
      <c r="AX4017" s="48"/>
      <c r="AY4017" s="48"/>
      <c r="AZ4017" s="48"/>
      <c r="BA4017" s="48"/>
      <c r="BB4017" s="48"/>
      <c r="BC4017" s="48"/>
      <c r="BD4017" s="48"/>
    </row>
    <row r="4018" spans="1:56">
      <c r="A4018" s="48"/>
      <c r="B4018" s="48"/>
      <c r="C4018" s="49"/>
      <c r="D4018" s="48"/>
      <c r="E4018" s="48"/>
      <c r="F4018" s="48"/>
      <c r="G4018" s="48"/>
      <c r="H4018" s="48"/>
      <c r="I4018" s="48"/>
      <c r="J4018" s="86"/>
      <c r="K4018" s="86"/>
      <c r="L4018" s="86"/>
      <c r="M4018" s="86"/>
      <c r="N4018" s="86"/>
      <c r="O4018" s="86"/>
      <c r="P4018" s="86"/>
      <c r="Q4018" s="86"/>
      <c r="R4018" s="86"/>
      <c r="S4018" s="86"/>
      <c r="T4018" s="86"/>
      <c r="U4018" s="86"/>
      <c r="V4018" s="48"/>
      <c r="W4018" s="48"/>
      <c r="X4018" s="48"/>
      <c r="Y4018" s="48"/>
      <c r="Z4018" s="48"/>
      <c r="AA4018" s="48"/>
      <c r="AB4018" s="48"/>
      <c r="AC4018" s="48"/>
      <c r="AD4018" s="48"/>
      <c r="AE4018" s="48"/>
      <c r="AF4018" s="48"/>
      <c r="AG4018" s="48"/>
      <c r="AH4018" s="48"/>
      <c r="AI4018" s="48"/>
      <c r="AJ4018" s="48"/>
      <c r="AK4018" s="48"/>
      <c r="AL4018" s="48"/>
      <c r="AM4018" s="48"/>
      <c r="AN4018" s="48"/>
      <c r="AO4018" s="48"/>
      <c r="AP4018" s="48"/>
      <c r="AQ4018" s="48"/>
      <c r="AR4018" s="48"/>
      <c r="AS4018" s="48"/>
      <c r="AT4018" s="48"/>
      <c r="AU4018" s="48"/>
      <c r="AV4018" s="48"/>
      <c r="AW4018" s="48"/>
      <c r="AX4018" s="48"/>
      <c r="AY4018" s="48"/>
      <c r="AZ4018" s="48"/>
      <c r="BA4018" s="48"/>
      <c r="BB4018" s="48"/>
      <c r="BC4018" s="48"/>
      <c r="BD4018" s="48"/>
    </row>
    <row r="4019" spans="1:56">
      <c r="A4019" s="48"/>
      <c r="B4019" s="48"/>
      <c r="C4019" s="49"/>
      <c r="D4019" s="48"/>
      <c r="E4019" s="48"/>
      <c r="F4019" s="48"/>
      <c r="G4019" s="48"/>
      <c r="H4019" s="48"/>
      <c r="I4019" s="48"/>
      <c r="J4019" s="86"/>
      <c r="K4019" s="86"/>
      <c r="L4019" s="86"/>
      <c r="M4019" s="86"/>
      <c r="N4019" s="86"/>
      <c r="O4019" s="86"/>
      <c r="P4019" s="86"/>
      <c r="Q4019" s="86"/>
      <c r="R4019" s="86"/>
      <c r="S4019" s="86"/>
      <c r="T4019" s="86"/>
      <c r="U4019" s="86"/>
      <c r="V4019" s="48"/>
      <c r="W4019" s="48"/>
      <c r="X4019" s="48"/>
      <c r="Y4019" s="48"/>
      <c r="Z4019" s="48"/>
      <c r="AA4019" s="48"/>
      <c r="AB4019" s="48"/>
      <c r="AC4019" s="48"/>
      <c r="AD4019" s="48"/>
      <c r="AE4019" s="48"/>
      <c r="AF4019" s="48"/>
      <c r="AG4019" s="48"/>
      <c r="AH4019" s="48"/>
      <c r="AI4019" s="48"/>
      <c r="AJ4019" s="48"/>
      <c r="AK4019" s="48"/>
      <c r="AL4019" s="48"/>
      <c r="AM4019" s="48"/>
      <c r="AN4019" s="48"/>
      <c r="AO4019" s="48"/>
      <c r="AP4019" s="48"/>
      <c r="AQ4019" s="48"/>
      <c r="AR4019" s="48"/>
      <c r="AS4019" s="48"/>
      <c r="AT4019" s="48"/>
      <c r="AU4019" s="48"/>
      <c r="AV4019" s="48"/>
      <c r="AW4019" s="48"/>
      <c r="AX4019" s="48"/>
      <c r="AY4019" s="48"/>
      <c r="AZ4019" s="48"/>
      <c r="BA4019" s="48"/>
      <c r="BB4019" s="48"/>
      <c r="BC4019" s="48"/>
      <c r="BD4019" s="48"/>
    </row>
    <row r="4020" spans="1:56">
      <c r="A4020" s="48"/>
      <c r="B4020" s="48"/>
      <c r="C4020" s="49"/>
      <c r="D4020" s="48"/>
      <c r="E4020" s="48"/>
      <c r="F4020" s="48"/>
      <c r="G4020" s="48"/>
      <c r="H4020" s="48"/>
      <c r="I4020" s="48"/>
      <c r="J4020" s="86"/>
      <c r="K4020" s="86"/>
      <c r="L4020" s="86"/>
      <c r="M4020" s="86"/>
      <c r="N4020" s="86"/>
      <c r="O4020" s="86"/>
      <c r="P4020" s="86"/>
      <c r="Q4020" s="86"/>
      <c r="R4020" s="86"/>
      <c r="S4020" s="86"/>
      <c r="T4020" s="86"/>
      <c r="U4020" s="86"/>
      <c r="V4020" s="48"/>
      <c r="W4020" s="48"/>
      <c r="X4020" s="48"/>
      <c r="Y4020" s="48"/>
      <c r="Z4020" s="48"/>
      <c r="AA4020" s="48"/>
      <c r="AB4020" s="48"/>
      <c r="AC4020" s="48"/>
      <c r="AD4020" s="48"/>
      <c r="AE4020" s="48"/>
      <c r="AF4020" s="48"/>
      <c r="AG4020" s="48"/>
      <c r="AH4020" s="48"/>
      <c r="AI4020" s="48"/>
      <c r="AJ4020" s="48"/>
      <c r="AK4020" s="48"/>
      <c r="AL4020" s="48"/>
      <c r="AM4020" s="48"/>
      <c r="AN4020" s="48"/>
      <c r="AO4020" s="48"/>
      <c r="AP4020" s="48"/>
      <c r="AQ4020" s="48"/>
      <c r="AR4020" s="48"/>
      <c r="AS4020" s="48"/>
      <c r="AT4020" s="48"/>
      <c r="AU4020" s="48"/>
      <c r="AV4020" s="48"/>
      <c r="AW4020" s="48"/>
      <c r="AX4020" s="48"/>
      <c r="AY4020" s="48"/>
      <c r="AZ4020" s="48"/>
      <c r="BA4020" s="48"/>
      <c r="BB4020" s="48"/>
      <c r="BC4020" s="48"/>
      <c r="BD4020" s="48"/>
    </row>
    <row r="4021" spans="1:56">
      <c r="A4021" s="48"/>
      <c r="B4021" s="48"/>
      <c r="C4021" s="49"/>
      <c r="D4021" s="48"/>
      <c r="E4021" s="48"/>
      <c r="F4021" s="48"/>
      <c r="G4021" s="48"/>
      <c r="H4021" s="48"/>
      <c r="I4021" s="48"/>
      <c r="J4021" s="86"/>
      <c r="K4021" s="86"/>
      <c r="L4021" s="86"/>
      <c r="M4021" s="86"/>
      <c r="N4021" s="86"/>
      <c r="O4021" s="86"/>
      <c r="P4021" s="86"/>
      <c r="Q4021" s="86"/>
      <c r="R4021" s="86"/>
      <c r="S4021" s="86"/>
      <c r="T4021" s="86"/>
      <c r="U4021" s="86"/>
      <c r="V4021" s="48"/>
      <c r="W4021" s="48"/>
      <c r="X4021" s="48"/>
      <c r="Y4021" s="48"/>
      <c r="Z4021" s="48"/>
      <c r="AA4021" s="48"/>
      <c r="AB4021" s="48"/>
      <c r="AC4021" s="48"/>
      <c r="AD4021" s="48"/>
      <c r="AE4021" s="48"/>
      <c r="AF4021" s="48"/>
      <c r="AG4021" s="48"/>
      <c r="AH4021" s="48"/>
      <c r="AI4021" s="48"/>
      <c r="AJ4021" s="48"/>
      <c r="AK4021" s="48"/>
      <c r="AL4021" s="48"/>
      <c r="AM4021" s="48"/>
      <c r="AN4021" s="48"/>
      <c r="AO4021" s="48"/>
      <c r="AP4021" s="48"/>
      <c r="AQ4021" s="48"/>
      <c r="AR4021" s="48"/>
      <c r="AS4021" s="48"/>
      <c r="AT4021" s="48"/>
      <c r="AU4021" s="48"/>
      <c r="AV4021" s="48"/>
      <c r="AW4021" s="48"/>
      <c r="AX4021" s="48"/>
      <c r="AY4021" s="48"/>
      <c r="AZ4021" s="48"/>
      <c r="BA4021" s="48"/>
      <c r="BB4021" s="48"/>
      <c r="BC4021" s="48"/>
      <c r="BD4021" s="48"/>
    </row>
    <row r="4022" spans="1:56">
      <c r="A4022" s="48"/>
      <c r="B4022" s="48"/>
      <c r="C4022" s="49"/>
      <c r="D4022" s="48"/>
      <c r="E4022" s="48"/>
      <c r="F4022" s="48"/>
      <c r="G4022" s="48"/>
      <c r="H4022" s="48"/>
      <c r="I4022" s="48"/>
      <c r="J4022" s="86"/>
      <c r="K4022" s="86"/>
      <c r="L4022" s="86"/>
      <c r="M4022" s="86"/>
      <c r="N4022" s="86"/>
      <c r="O4022" s="86"/>
      <c r="P4022" s="86"/>
      <c r="Q4022" s="86"/>
      <c r="R4022" s="86"/>
      <c r="S4022" s="86"/>
      <c r="T4022" s="86"/>
      <c r="U4022" s="86"/>
      <c r="V4022" s="48"/>
      <c r="W4022" s="48"/>
      <c r="X4022" s="48"/>
      <c r="Y4022" s="48"/>
      <c r="Z4022" s="48"/>
      <c r="AA4022" s="48"/>
      <c r="AB4022" s="48"/>
      <c r="AC4022" s="48"/>
      <c r="AD4022" s="48"/>
      <c r="AE4022" s="48"/>
      <c r="AF4022" s="48"/>
      <c r="AG4022" s="48"/>
      <c r="AH4022" s="48"/>
      <c r="AI4022" s="48"/>
      <c r="AJ4022" s="48"/>
      <c r="AK4022" s="48"/>
      <c r="AL4022" s="48"/>
      <c r="AM4022" s="48"/>
      <c r="AN4022" s="48"/>
      <c r="AO4022" s="48"/>
      <c r="AP4022" s="48"/>
      <c r="AQ4022" s="48"/>
      <c r="AR4022" s="48"/>
      <c r="AS4022" s="48"/>
      <c r="AT4022" s="48"/>
      <c r="AU4022" s="48"/>
      <c r="AV4022" s="48"/>
      <c r="AW4022" s="48"/>
      <c r="AX4022" s="48"/>
      <c r="AY4022" s="48"/>
      <c r="AZ4022" s="48"/>
      <c r="BA4022" s="48"/>
      <c r="BB4022" s="48"/>
      <c r="BC4022" s="48"/>
      <c r="BD4022" s="48"/>
    </row>
    <row r="4023" spans="1:56">
      <c r="A4023" s="48"/>
      <c r="B4023" s="48"/>
      <c r="C4023" s="49"/>
      <c r="D4023" s="48"/>
      <c r="E4023" s="48"/>
      <c r="F4023" s="48"/>
      <c r="G4023" s="48"/>
      <c r="H4023" s="48"/>
      <c r="I4023" s="48"/>
      <c r="J4023" s="86"/>
      <c r="K4023" s="86"/>
      <c r="L4023" s="86"/>
      <c r="M4023" s="86"/>
      <c r="N4023" s="86"/>
      <c r="O4023" s="86"/>
      <c r="P4023" s="86"/>
      <c r="Q4023" s="86"/>
      <c r="R4023" s="86"/>
      <c r="S4023" s="86"/>
      <c r="T4023" s="86"/>
      <c r="U4023" s="86"/>
      <c r="V4023" s="48"/>
      <c r="W4023" s="48"/>
      <c r="X4023" s="48"/>
      <c r="Y4023" s="48"/>
      <c r="Z4023" s="48"/>
      <c r="AA4023" s="48"/>
      <c r="AB4023" s="48"/>
      <c r="AC4023" s="48"/>
      <c r="AD4023" s="48"/>
      <c r="AE4023" s="48"/>
      <c r="AF4023" s="48"/>
      <c r="AG4023" s="48"/>
      <c r="AH4023" s="48"/>
      <c r="AI4023" s="48"/>
      <c r="AJ4023" s="48"/>
      <c r="AK4023" s="48"/>
      <c r="AL4023" s="48"/>
      <c r="AM4023" s="48"/>
      <c r="AN4023" s="48"/>
      <c r="AO4023" s="48"/>
      <c r="AP4023" s="48"/>
      <c r="AQ4023" s="48"/>
      <c r="AR4023" s="48"/>
      <c r="AS4023" s="48"/>
      <c r="AT4023" s="48"/>
      <c r="AU4023" s="48"/>
      <c r="AV4023" s="48"/>
      <c r="AW4023" s="48"/>
      <c r="AX4023" s="48"/>
      <c r="AY4023" s="48"/>
      <c r="AZ4023" s="48"/>
      <c r="BA4023" s="48"/>
      <c r="BB4023" s="48"/>
      <c r="BC4023" s="48"/>
      <c r="BD4023" s="48"/>
    </row>
    <row r="4024" spans="1:56">
      <c r="A4024" s="48"/>
      <c r="B4024" s="48"/>
      <c r="C4024" s="49"/>
      <c r="D4024" s="48"/>
      <c r="E4024" s="48"/>
      <c r="F4024" s="48"/>
      <c r="G4024" s="48"/>
      <c r="H4024" s="48"/>
      <c r="I4024" s="48"/>
      <c r="J4024" s="86"/>
      <c r="K4024" s="86"/>
      <c r="L4024" s="86"/>
      <c r="M4024" s="86"/>
      <c r="N4024" s="86"/>
      <c r="O4024" s="86"/>
      <c r="P4024" s="86"/>
      <c r="Q4024" s="86"/>
      <c r="R4024" s="86"/>
      <c r="S4024" s="86"/>
      <c r="T4024" s="86"/>
      <c r="U4024" s="86"/>
      <c r="V4024" s="48"/>
      <c r="W4024" s="48"/>
      <c r="X4024" s="48"/>
      <c r="Y4024" s="48"/>
      <c r="Z4024" s="48"/>
      <c r="AA4024" s="48"/>
      <c r="AB4024" s="48"/>
      <c r="AC4024" s="48"/>
      <c r="AD4024" s="48"/>
      <c r="AE4024" s="48"/>
      <c r="AF4024" s="48"/>
      <c r="AG4024" s="48"/>
      <c r="AH4024" s="48"/>
      <c r="AI4024" s="48"/>
      <c r="AJ4024" s="48"/>
      <c r="AK4024" s="48"/>
      <c r="AL4024" s="48"/>
      <c r="AM4024" s="48"/>
      <c r="AN4024" s="48"/>
      <c r="AO4024" s="48"/>
      <c r="AP4024" s="48"/>
      <c r="AQ4024" s="48"/>
      <c r="AR4024" s="48"/>
      <c r="AS4024" s="48"/>
      <c r="AT4024" s="48"/>
      <c r="AU4024" s="48"/>
      <c r="AV4024" s="48"/>
      <c r="AW4024" s="48"/>
      <c r="AX4024" s="48"/>
      <c r="AY4024" s="48"/>
      <c r="AZ4024" s="48"/>
      <c r="BA4024" s="48"/>
      <c r="BB4024" s="48"/>
      <c r="BC4024" s="48"/>
      <c r="BD4024" s="48"/>
    </row>
    <row r="4025" spans="1:56">
      <c r="A4025" s="48"/>
      <c r="B4025" s="48"/>
      <c r="C4025" s="49"/>
      <c r="D4025" s="48"/>
      <c r="E4025" s="48"/>
      <c r="F4025" s="48"/>
      <c r="G4025" s="48"/>
      <c r="H4025" s="48"/>
      <c r="I4025" s="48"/>
      <c r="J4025" s="86"/>
      <c r="K4025" s="86"/>
      <c r="L4025" s="86"/>
      <c r="M4025" s="86"/>
      <c r="N4025" s="86"/>
      <c r="O4025" s="86"/>
      <c r="P4025" s="86"/>
      <c r="Q4025" s="86"/>
      <c r="R4025" s="86"/>
      <c r="S4025" s="86"/>
      <c r="T4025" s="86"/>
      <c r="U4025" s="86"/>
      <c r="V4025" s="48"/>
      <c r="W4025" s="48"/>
      <c r="X4025" s="48"/>
      <c r="Y4025" s="48"/>
      <c r="Z4025" s="48"/>
      <c r="AA4025" s="48"/>
      <c r="AB4025" s="48"/>
      <c r="AC4025" s="48"/>
      <c r="AD4025" s="48"/>
      <c r="AE4025" s="48"/>
      <c r="AF4025" s="48"/>
      <c r="AG4025" s="48"/>
      <c r="AH4025" s="48"/>
      <c r="AI4025" s="48"/>
      <c r="AJ4025" s="48"/>
      <c r="AK4025" s="48"/>
      <c r="AL4025" s="48"/>
      <c r="AM4025" s="48"/>
      <c r="AN4025" s="48"/>
      <c r="AO4025" s="48"/>
      <c r="AP4025" s="48"/>
      <c r="AQ4025" s="48"/>
      <c r="AR4025" s="48"/>
      <c r="AS4025" s="48"/>
      <c r="AT4025" s="48"/>
      <c r="AU4025" s="48"/>
      <c r="AV4025" s="48"/>
      <c r="AW4025" s="48"/>
      <c r="AX4025" s="48"/>
      <c r="AY4025" s="48"/>
      <c r="AZ4025" s="48"/>
      <c r="BA4025" s="48"/>
      <c r="BB4025" s="48"/>
      <c r="BC4025" s="48"/>
      <c r="BD4025" s="48"/>
    </row>
    <row r="4026" spans="1:56">
      <c r="A4026" s="48"/>
      <c r="B4026" s="48"/>
      <c r="C4026" s="49"/>
      <c r="D4026" s="48"/>
      <c r="E4026" s="48"/>
      <c r="F4026" s="48"/>
      <c r="G4026" s="48"/>
      <c r="H4026" s="48"/>
      <c r="I4026" s="48"/>
      <c r="J4026" s="86"/>
      <c r="K4026" s="86"/>
      <c r="L4026" s="86"/>
      <c r="M4026" s="86"/>
      <c r="N4026" s="86"/>
      <c r="O4026" s="86"/>
      <c r="P4026" s="86"/>
      <c r="Q4026" s="86"/>
      <c r="R4026" s="86"/>
      <c r="S4026" s="86"/>
      <c r="T4026" s="86"/>
      <c r="U4026" s="86"/>
      <c r="V4026" s="48"/>
      <c r="W4026" s="48"/>
      <c r="X4026" s="48"/>
      <c r="Y4026" s="48"/>
      <c r="Z4026" s="48"/>
      <c r="AA4026" s="48"/>
      <c r="AB4026" s="48"/>
      <c r="AC4026" s="48"/>
      <c r="AD4026" s="48"/>
      <c r="AE4026" s="48"/>
      <c r="AF4026" s="48"/>
      <c r="AG4026" s="48"/>
      <c r="AH4026" s="48"/>
      <c r="AI4026" s="48"/>
      <c r="AJ4026" s="48"/>
      <c r="AK4026" s="48"/>
      <c r="AL4026" s="48"/>
      <c r="AM4026" s="48"/>
      <c r="AN4026" s="48"/>
      <c r="AO4026" s="48"/>
      <c r="AP4026" s="48"/>
      <c r="AQ4026" s="48"/>
      <c r="AR4026" s="48"/>
      <c r="AS4026" s="48"/>
      <c r="AT4026" s="48"/>
      <c r="AU4026" s="48"/>
      <c r="AV4026" s="48"/>
      <c r="AW4026" s="48"/>
      <c r="AX4026" s="48"/>
      <c r="AY4026" s="48"/>
      <c r="AZ4026" s="48"/>
      <c r="BA4026" s="48"/>
      <c r="BB4026" s="48"/>
      <c r="BC4026" s="48"/>
      <c r="BD4026" s="48"/>
    </row>
    <row r="4027" spans="1:56">
      <c r="A4027" s="48"/>
      <c r="B4027" s="48"/>
      <c r="C4027" s="49"/>
      <c r="D4027" s="48"/>
      <c r="E4027" s="48"/>
      <c r="F4027" s="48"/>
      <c r="G4027" s="48"/>
      <c r="H4027" s="48"/>
      <c r="I4027" s="48"/>
      <c r="J4027" s="86"/>
      <c r="K4027" s="86"/>
      <c r="L4027" s="86"/>
      <c r="M4027" s="86"/>
      <c r="N4027" s="86"/>
      <c r="O4027" s="86"/>
      <c r="P4027" s="86"/>
      <c r="Q4027" s="86"/>
      <c r="R4027" s="86"/>
      <c r="S4027" s="86"/>
      <c r="T4027" s="86"/>
      <c r="U4027" s="86"/>
      <c r="V4027" s="48"/>
      <c r="W4027" s="48"/>
      <c r="X4027" s="48"/>
      <c r="Y4027" s="48"/>
      <c r="Z4027" s="48"/>
      <c r="AA4027" s="48"/>
      <c r="AB4027" s="48"/>
      <c r="AC4027" s="48"/>
      <c r="AD4027" s="48"/>
      <c r="AE4027" s="48"/>
      <c r="AF4027" s="48"/>
      <c r="AG4027" s="48"/>
      <c r="AH4027" s="48"/>
      <c r="AI4027" s="48"/>
      <c r="AJ4027" s="48"/>
      <c r="AK4027" s="48"/>
      <c r="AL4027" s="48"/>
      <c r="AM4027" s="48"/>
      <c r="AN4027" s="48"/>
      <c r="AO4027" s="48"/>
      <c r="AP4027" s="48"/>
      <c r="AQ4027" s="48"/>
      <c r="AR4027" s="48"/>
      <c r="AS4027" s="48"/>
      <c r="AT4027" s="48"/>
      <c r="AU4027" s="48"/>
      <c r="AV4027" s="48"/>
      <c r="AW4027" s="48"/>
      <c r="AX4027" s="48"/>
      <c r="AY4027" s="48"/>
      <c r="AZ4027" s="48"/>
      <c r="BA4027" s="48"/>
      <c r="BB4027" s="48"/>
      <c r="BC4027" s="48"/>
      <c r="BD4027" s="48"/>
    </row>
    <row r="4028" spans="1:56">
      <c r="A4028" s="48"/>
      <c r="B4028" s="48"/>
      <c r="C4028" s="49"/>
      <c r="D4028" s="48"/>
      <c r="E4028" s="48"/>
      <c r="F4028" s="48"/>
      <c r="G4028" s="48"/>
      <c r="H4028" s="48"/>
      <c r="I4028" s="48"/>
      <c r="J4028" s="86"/>
      <c r="K4028" s="86"/>
      <c r="L4028" s="86"/>
      <c r="M4028" s="86"/>
      <c r="N4028" s="86"/>
      <c r="O4028" s="86"/>
      <c r="P4028" s="86"/>
      <c r="Q4028" s="86"/>
      <c r="R4028" s="86"/>
      <c r="S4028" s="86"/>
      <c r="T4028" s="86"/>
      <c r="U4028" s="86"/>
      <c r="V4028" s="48"/>
      <c r="W4028" s="48"/>
      <c r="X4028" s="48"/>
      <c r="Y4028" s="48"/>
      <c r="Z4028" s="48"/>
      <c r="AA4028" s="48"/>
      <c r="AB4028" s="48"/>
      <c r="AC4028" s="48"/>
      <c r="AD4028" s="48"/>
      <c r="AE4028" s="48"/>
      <c r="AF4028" s="48"/>
      <c r="AG4028" s="48"/>
      <c r="AH4028" s="48"/>
      <c r="AI4028" s="48"/>
      <c r="AJ4028" s="48"/>
      <c r="AK4028" s="48"/>
      <c r="AL4028" s="48"/>
      <c r="AM4028" s="48"/>
      <c r="AN4028" s="48"/>
      <c r="AO4028" s="48"/>
      <c r="AP4028" s="48"/>
      <c r="AQ4028" s="48"/>
      <c r="AR4028" s="48"/>
      <c r="AS4028" s="48"/>
      <c r="AT4028" s="48"/>
      <c r="AU4028" s="48"/>
      <c r="AV4028" s="48"/>
      <c r="AW4028" s="48"/>
      <c r="AX4028" s="48"/>
      <c r="AY4028" s="48"/>
      <c r="AZ4028" s="48"/>
      <c r="BA4028" s="48"/>
      <c r="BB4028" s="48"/>
      <c r="BC4028" s="48"/>
      <c r="BD4028" s="48"/>
    </row>
    <row r="4029" spans="1:56">
      <c r="A4029" s="48"/>
      <c r="B4029" s="48"/>
      <c r="C4029" s="49"/>
      <c r="D4029" s="48"/>
      <c r="E4029" s="48"/>
      <c r="F4029" s="48"/>
      <c r="G4029" s="48"/>
      <c r="H4029" s="48"/>
      <c r="I4029" s="48"/>
      <c r="J4029" s="86"/>
      <c r="K4029" s="86"/>
      <c r="L4029" s="86"/>
      <c r="M4029" s="86"/>
      <c r="N4029" s="86"/>
      <c r="O4029" s="86"/>
      <c r="P4029" s="86"/>
      <c r="Q4029" s="86"/>
      <c r="R4029" s="86"/>
      <c r="S4029" s="86"/>
      <c r="T4029" s="86"/>
      <c r="U4029" s="86"/>
      <c r="V4029" s="48"/>
      <c r="W4029" s="48"/>
      <c r="X4029" s="48"/>
      <c r="Y4029" s="48"/>
      <c r="Z4029" s="48"/>
      <c r="AA4029" s="48"/>
      <c r="AB4029" s="48"/>
      <c r="AC4029" s="48"/>
      <c r="AD4029" s="48"/>
      <c r="AE4029" s="48"/>
      <c r="AF4029" s="48"/>
      <c r="AG4029" s="48"/>
      <c r="AH4029" s="48"/>
      <c r="AI4029" s="48"/>
      <c r="AJ4029" s="48"/>
      <c r="AK4029" s="48"/>
      <c r="AL4029" s="48"/>
      <c r="AM4029" s="48"/>
      <c r="AN4029" s="48"/>
      <c r="AO4029" s="48"/>
      <c r="AP4029" s="48"/>
      <c r="AQ4029" s="48"/>
      <c r="AR4029" s="48"/>
      <c r="AS4029" s="48"/>
      <c r="AT4029" s="48"/>
      <c r="AU4029" s="48"/>
      <c r="AV4029" s="48"/>
      <c r="AW4029" s="48"/>
      <c r="AX4029" s="48"/>
      <c r="AY4029" s="48"/>
      <c r="AZ4029" s="48"/>
      <c r="BA4029" s="48"/>
      <c r="BB4029" s="48"/>
      <c r="BC4029" s="48"/>
      <c r="BD4029" s="48"/>
    </row>
    <row r="4030" spans="1:56">
      <c r="A4030" s="48"/>
      <c r="B4030" s="48"/>
      <c r="C4030" s="49"/>
      <c r="D4030" s="48"/>
      <c r="E4030" s="48"/>
      <c r="F4030" s="48"/>
      <c r="G4030" s="48"/>
      <c r="H4030" s="48"/>
      <c r="I4030" s="48"/>
      <c r="J4030" s="86"/>
      <c r="K4030" s="86"/>
      <c r="L4030" s="86"/>
      <c r="M4030" s="86"/>
      <c r="N4030" s="86"/>
      <c r="O4030" s="86"/>
      <c r="P4030" s="86"/>
      <c r="Q4030" s="86"/>
      <c r="R4030" s="86"/>
      <c r="S4030" s="86"/>
      <c r="T4030" s="86"/>
      <c r="U4030" s="86"/>
      <c r="V4030" s="48"/>
      <c r="W4030" s="48"/>
      <c r="X4030" s="48"/>
      <c r="Y4030" s="48"/>
      <c r="Z4030" s="48"/>
      <c r="AA4030" s="48"/>
      <c r="AB4030" s="48"/>
      <c r="AC4030" s="48"/>
      <c r="AD4030" s="48"/>
      <c r="AE4030" s="48"/>
      <c r="AF4030" s="48"/>
      <c r="AG4030" s="48"/>
      <c r="AH4030" s="48"/>
      <c r="AI4030" s="48"/>
      <c r="AJ4030" s="48"/>
      <c r="AK4030" s="48"/>
      <c r="AL4030" s="48"/>
      <c r="AM4030" s="48"/>
      <c r="AN4030" s="48"/>
      <c r="AO4030" s="48"/>
      <c r="AP4030" s="48"/>
      <c r="AQ4030" s="48"/>
      <c r="AR4030" s="48"/>
      <c r="AS4030" s="48"/>
      <c r="AT4030" s="48"/>
      <c r="AU4030" s="48"/>
      <c r="AV4030" s="48"/>
      <c r="AW4030" s="48"/>
      <c r="AX4030" s="48"/>
      <c r="AY4030" s="48"/>
      <c r="AZ4030" s="48"/>
      <c r="BA4030" s="48"/>
      <c r="BB4030" s="48"/>
      <c r="BC4030" s="48"/>
      <c r="BD4030" s="48"/>
    </row>
    <row r="4031" spans="1:56">
      <c r="A4031" s="48"/>
      <c r="B4031" s="48"/>
      <c r="C4031" s="49"/>
      <c r="D4031" s="48"/>
      <c r="E4031" s="48"/>
      <c r="F4031" s="48"/>
      <c r="G4031" s="48"/>
      <c r="H4031" s="48"/>
      <c r="I4031" s="48"/>
      <c r="J4031" s="86"/>
      <c r="K4031" s="86"/>
      <c r="L4031" s="86"/>
      <c r="M4031" s="86"/>
      <c r="N4031" s="86"/>
      <c r="O4031" s="86"/>
      <c r="P4031" s="86"/>
      <c r="Q4031" s="86"/>
      <c r="R4031" s="86"/>
      <c r="S4031" s="86"/>
      <c r="T4031" s="86"/>
      <c r="U4031" s="86"/>
      <c r="V4031" s="48"/>
      <c r="W4031" s="48"/>
      <c r="X4031" s="48"/>
      <c r="Y4031" s="48"/>
      <c r="Z4031" s="48"/>
      <c r="AA4031" s="48"/>
      <c r="AB4031" s="48"/>
      <c r="AC4031" s="48"/>
      <c r="AD4031" s="48"/>
      <c r="AE4031" s="48"/>
      <c r="AF4031" s="48"/>
      <c r="AG4031" s="48"/>
      <c r="AH4031" s="48"/>
      <c r="AI4031" s="48"/>
      <c r="AJ4031" s="48"/>
      <c r="AK4031" s="48"/>
      <c r="AL4031" s="48"/>
      <c r="AM4031" s="48"/>
      <c r="AN4031" s="48"/>
      <c r="AO4031" s="48"/>
      <c r="AP4031" s="48"/>
      <c r="AQ4031" s="48"/>
      <c r="AR4031" s="48"/>
      <c r="AS4031" s="48"/>
      <c r="AT4031" s="48"/>
      <c r="AU4031" s="48"/>
      <c r="AV4031" s="48"/>
      <c r="AW4031" s="48"/>
      <c r="AX4031" s="48"/>
      <c r="AY4031" s="48"/>
      <c r="AZ4031" s="48"/>
      <c r="BA4031" s="48"/>
      <c r="BB4031" s="48"/>
      <c r="BC4031" s="48"/>
      <c r="BD4031" s="48"/>
    </row>
    <row r="4032" spans="1:56">
      <c r="A4032" s="48"/>
      <c r="B4032" s="48"/>
      <c r="C4032" s="49"/>
      <c r="D4032" s="48"/>
      <c r="E4032" s="48"/>
      <c r="F4032" s="48"/>
      <c r="G4032" s="48"/>
      <c r="H4032" s="48"/>
      <c r="I4032" s="48"/>
      <c r="J4032" s="86"/>
      <c r="K4032" s="86"/>
      <c r="L4032" s="86"/>
      <c r="M4032" s="86"/>
      <c r="N4032" s="86"/>
      <c r="O4032" s="86"/>
      <c r="P4032" s="86"/>
      <c r="Q4032" s="86"/>
      <c r="R4032" s="86"/>
      <c r="S4032" s="86"/>
      <c r="T4032" s="86"/>
      <c r="U4032" s="86"/>
      <c r="V4032" s="48"/>
      <c r="W4032" s="48"/>
      <c r="X4032" s="48"/>
      <c r="Y4032" s="48"/>
      <c r="Z4032" s="48"/>
      <c r="AA4032" s="48"/>
      <c r="AB4032" s="48"/>
      <c r="AC4032" s="48"/>
      <c r="AD4032" s="48"/>
      <c r="AE4032" s="48"/>
      <c r="AF4032" s="48"/>
      <c r="AG4032" s="48"/>
      <c r="AH4032" s="48"/>
      <c r="AI4032" s="48"/>
      <c r="AJ4032" s="48"/>
      <c r="AK4032" s="48"/>
      <c r="AL4032" s="48"/>
      <c r="AM4032" s="48"/>
      <c r="AN4032" s="48"/>
      <c r="AO4032" s="48"/>
      <c r="AP4032" s="48"/>
      <c r="AQ4032" s="48"/>
      <c r="AR4032" s="48"/>
      <c r="AS4032" s="48"/>
      <c r="AT4032" s="48"/>
      <c r="AU4032" s="48"/>
      <c r="AV4032" s="48"/>
      <c r="AW4032" s="48"/>
      <c r="AX4032" s="48"/>
      <c r="AY4032" s="48"/>
      <c r="AZ4032" s="48"/>
      <c r="BA4032" s="48"/>
      <c r="BB4032" s="48"/>
      <c r="BC4032" s="48"/>
      <c r="BD4032" s="48"/>
    </row>
    <row r="4033" spans="1:56">
      <c r="A4033" s="48"/>
      <c r="B4033" s="48"/>
      <c r="C4033" s="49"/>
      <c r="D4033" s="48"/>
      <c r="E4033" s="48"/>
      <c r="F4033" s="48"/>
      <c r="G4033" s="48"/>
      <c r="H4033" s="48"/>
      <c r="I4033" s="48"/>
      <c r="J4033" s="86"/>
      <c r="K4033" s="86"/>
      <c r="L4033" s="86"/>
      <c r="M4033" s="86"/>
      <c r="N4033" s="86"/>
      <c r="O4033" s="86"/>
      <c r="P4033" s="86"/>
      <c r="Q4033" s="86"/>
      <c r="R4033" s="86"/>
      <c r="S4033" s="86"/>
      <c r="T4033" s="86"/>
      <c r="U4033" s="86"/>
      <c r="V4033" s="48"/>
      <c r="W4033" s="48"/>
      <c r="X4033" s="48"/>
      <c r="Y4033" s="48"/>
      <c r="Z4033" s="48"/>
      <c r="AA4033" s="48"/>
      <c r="AB4033" s="48"/>
      <c r="AC4033" s="48"/>
      <c r="AD4033" s="48"/>
      <c r="AE4033" s="48"/>
      <c r="AF4033" s="48"/>
      <c r="AG4033" s="48"/>
      <c r="AH4033" s="48"/>
      <c r="AI4033" s="48"/>
      <c r="AJ4033" s="48"/>
      <c r="AK4033" s="48"/>
      <c r="AL4033" s="48"/>
      <c r="AM4033" s="48"/>
      <c r="AN4033" s="48"/>
      <c r="AO4033" s="48"/>
      <c r="AP4033" s="48"/>
      <c r="AQ4033" s="48"/>
      <c r="AR4033" s="48"/>
      <c r="AS4033" s="48"/>
      <c r="AT4033" s="48"/>
      <c r="AU4033" s="48"/>
      <c r="AV4033" s="48"/>
      <c r="AW4033" s="48"/>
      <c r="AX4033" s="48"/>
      <c r="AY4033" s="48"/>
      <c r="AZ4033" s="48"/>
      <c r="BA4033" s="48"/>
      <c r="BB4033" s="48"/>
      <c r="BC4033" s="48"/>
      <c r="BD4033" s="48"/>
    </row>
    <row r="4034" spans="1:56">
      <c r="A4034" s="48"/>
      <c r="B4034" s="48"/>
      <c r="C4034" s="49"/>
      <c r="D4034" s="48"/>
      <c r="E4034" s="48"/>
      <c r="F4034" s="48"/>
      <c r="G4034" s="48"/>
      <c r="H4034" s="48"/>
      <c r="I4034" s="48"/>
      <c r="J4034" s="86"/>
      <c r="K4034" s="86"/>
      <c r="L4034" s="86"/>
      <c r="M4034" s="86"/>
      <c r="N4034" s="86"/>
      <c r="O4034" s="86"/>
      <c r="P4034" s="86"/>
      <c r="Q4034" s="86"/>
      <c r="R4034" s="86"/>
      <c r="S4034" s="86"/>
      <c r="T4034" s="86"/>
      <c r="U4034" s="86"/>
      <c r="V4034" s="48"/>
      <c r="W4034" s="48"/>
      <c r="X4034" s="48"/>
      <c r="Y4034" s="48"/>
      <c r="Z4034" s="48"/>
      <c r="AA4034" s="48"/>
      <c r="AB4034" s="48"/>
      <c r="AC4034" s="48"/>
      <c r="AD4034" s="48"/>
      <c r="AE4034" s="48"/>
      <c r="AF4034" s="48"/>
      <c r="AG4034" s="48"/>
      <c r="AH4034" s="48"/>
      <c r="AI4034" s="48"/>
      <c r="AJ4034" s="48"/>
      <c r="AK4034" s="48"/>
      <c r="AL4034" s="48"/>
      <c r="AM4034" s="48"/>
      <c r="AN4034" s="48"/>
      <c r="AO4034" s="48"/>
      <c r="AP4034" s="48"/>
      <c r="AQ4034" s="48"/>
      <c r="AR4034" s="48"/>
      <c r="AS4034" s="48"/>
      <c r="AT4034" s="48"/>
      <c r="AU4034" s="48"/>
      <c r="AV4034" s="48"/>
      <c r="AW4034" s="48"/>
      <c r="AX4034" s="48"/>
      <c r="AY4034" s="48"/>
      <c r="AZ4034" s="48"/>
      <c r="BA4034" s="48"/>
      <c r="BB4034" s="48"/>
      <c r="BC4034" s="48"/>
      <c r="BD4034" s="48"/>
    </row>
    <row r="4035" spans="1:56">
      <c r="A4035" s="48"/>
      <c r="B4035" s="48"/>
      <c r="C4035" s="49"/>
      <c r="D4035" s="48"/>
      <c r="E4035" s="48"/>
      <c r="F4035" s="48"/>
      <c r="G4035" s="48"/>
      <c r="H4035" s="48"/>
      <c r="I4035" s="48"/>
      <c r="J4035" s="86"/>
      <c r="K4035" s="86"/>
      <c r="L4035" s="86"/>
      <c r="M4035" s="86"/>
      <c r="N4035" s="86"/>
      <c r="O4035" s="86"/>
      <c r="P4035" s="86"/>
      <c r="Q4035" s="86"/>
      <c r="R4035" s="86"/>
      <c r="S4035" s="86"/>
      <c r="T4035" s="86"/>
      <c r="U4035" s="86"/>
      <c r="V4035" s="48"/>
      <c r="W4035" s="48"/>
      <c r="X4035" s="48"/>
      <c r="Y4035" s="48"/>
      <c r="Z4035" s="48"/>
      <c r="AA4035" s="48"/>
      <c r="AB4035" s="48"/>
      <c r="AC4035" s="48"/>
      <c r="AD4035" s="48"/>
      <c r="AE4035" s="48"/>
      <c r="AF4035" s="48"/>
      <c r="AG4035" s="48"/>
      <c r="AH4035" s="48"/>
      <c r="AI4035" s="48"/>
      <c r="AJ4035" s="48"/>
      <c r="AK4035" s="48"/>
      <c r="AL4035" s="48"/>
      <c r="AM4035" s="48"/>
      <c r="AN4035" s="48"/>
      <c r="AO4035" s="48"/>
      <c r="AP4035" s="48"/>
      <c r="AQ4035" s="48"/>
      <c r="AR4035" s="48"/>
      <c r="AS4035" s="48"/>
      <c r="AT4035" s="48"/>
      <c r="AU4035" s="48"/>
      <c r="AV4035" s="48"/>
      <c r="AW4035" s="48"/>
      <c r="AX4035" s="48"/>
      <c r="AY4035" s="48"/>
      <c r="AZ4035" s="48"/>
      <c r="BA4035" s="48"/>
      <c r="BB4035" s="48"/>
      <c r="BC4035" s="48"/>
      <c r="BD4035" s="48"/>
    </row>
    <row r="4036" spans="1:56">
      <c r="A4036" s="48"/>
      <c r="B4036" s="48"/>
      <c r="C4036" s="49"/>
      <c r="D4036" s="48"/>
      <c r="E4036" s="48"/>
      <c r="F4036" s="48"/>
      <c r="G4036" s="48"/>
      <c r="H4036" s="48"/>
      <c r="I4036" s="48"/>
      <c r="J4036" s="86"/>
      <c r="K4036" s="86"/>
      <c r="L4036" s="86"/>
      <c r="M4036" s="86"/>
      <c r="N4036" s="86"/>
      <c r="O4036" s="86"/>
      <c r="P4036" s="86"/>
      <c r="Q4036" s="86"/>
      <c r="R4036" s="86"/>
      <c r="S4036" s="86"/>
      <c r="T4036" s="86"/>
      <c r="U4036" s="86"/>
      <c r="V4036" s="48"/>
      <c r="W4036" s="48"/>
      <c r="X4036" s="48"/>
      <c r="Y4036" s="48"/>
      <c r="Z4036" s="48"/>
      <c r="AA4036" s="48"/>
      <c r="AB4036" s="48"/>
      <c r="AC4036" s="48"/>
      <c r="AD4036" s="48"/>
      <c r="AE4036" s="48"/>
      <c r="AF4036" s="48"/>
      <c r="AG4036" s="48"/>
      <c r="AH4036" s="48"/>
      <c r="AI4036" s="48"/>
      <c r="AJ4036" s="48"/>
      <c r="AK4036" s="48"/>
      <c r="AL4036" s="48"/>
      <c r="AM4036" s="48"/>
      <c r="AN4036" s="48"/>
      <c r="AO4036" s="48"/>
      <c r="AP4036" s="48"/>
      <c r="AQ4036" s="48"/>
      <c r="AR4036" s="48"/>
      <c r="AS4036" s="48"/>
      <c r="AT4036" s="48"/>
      <c r="AU4036" s="48"/>
      <c r="AV4036" s="48"/>
      <c r="AW4036" s="48"/>
      <c r="AX4036" s="48"/>
      <c r="AY4036" s="48"/>
      <c r="AZ4036" s="48"/>
      <c r="BA4036" s="48"/>
      <c r="BB4036" s="48"/>
      <c r="BC4036" s="48"/>
      <c r="BD4036" s="48"/>
    </row>
    <row r="4037" spans="1:56">
      <c r="A4037" s="48"/>
      <c r="B4037" s="48"/>
      <c r="C4037" s="49"/>
      <c r="D4037" s="48"/>
      <c r="E4037" s="48"/>
      <c r="F4037" s="48"/>
      <c r="G4037" s="48"/>
      <c r="H4037" s="48"/>
      <c r="I4037" s="48"/>
      <c r="J4037" s="86"/>
      <c r="K4037" s="86"/>
      <c r="L4037" s="86"/>
      <c r="M4037" s="86"/>
      <c r="N4037" s="86"/>
      <c r="O4037" s="86"/>
      <c r="P4037" s="86"/>
      <c r="Q4037" s="86"/>
      <c r="R4037" s="86"/>
      <c r="S4037" s="86"/>
      <c r="T4037" s="86"/>
      <c r="U4037" s="86"/>
      <c r="V4037" s="48"/>
      <c r="W4037" s="48"/>
      <c r="X4037" s="48"/>
      <c r="Y4037" s="48"/>
      <c r="Z4037" s="48"/>
      <c r="AA4037" s="48"/>
      <c r="AB4037" s="48"/>
      <c r="AC4037" s="48"/>
      <c r="AD4037" s="48"/>
      <c r="AE4037" s="48"/>
      <c r="AF4037" s="48"/>
      <c r="AG4037" s="48"/>
      <c r="AH4037" s="48"/>
      <c r="AI4037" s="48"/>
      <c r="AJ4037" s="48"/>
      <c r="AK4037" s="48"/>
      <c r="AL4037" s="48"/>
      <c r="AM4037" s="48"/>
      <c r="AN4037" s="48"/>
      <c r="AO4037" s="48"/>
      <c r="AP4037" s="48"/>
      <c r="AQ4037" s="48"/>
      <c r="AR4037" s="48"/>
      <c r="AS4037" s="48"/>
      <c r="AT4037" s="48"/>
      <c r="AU4037" s="48"/>
      <c r="AV4037" s="48"/>
      <c r="AW4037" s="48"/>
      <c r="AX4037" s="48"/>
      <c r="AY4037" s="48"/>
      <c r="AZ4037" s="48"/>
      <c r="BA4037" s="48"/>
      <c r="BB4037" s="48"/>
      <c r="BC4037" s="48"/>
      <c r="BD4037" s="48"/>
    </row>
    <row r="4038" spans="1:56">
      <c r="A4038" s="48"/>
      <c r="B4038" s="48"/>
      <c r="C4038" s="49"/>
      <c r="D4038" s="48"/>
      <c r="E4038" s="48"/>
      <c r="F4038" s="48"/>
      <c r="G4038" s="48"/>
      <c r="H4038" s="48"/>
      <c r="I4038" s="48"/>
      <c r="J4038" s="86"/>
      <c r="K4038" s="86"/>
      <c r="L4038" s="86"/>
      <c r="M4038" s="86"/>
      <c r="N4038" s="86"/>
      <c r="O4038" s="86"/>
      <c r="P4038" s="86"/>
      <c r="Q4038" s="86"/>
      <c r="R4038" s="86"/>
      <c r="S4038" s="86"/>
      <c r="T4038" s="86"/>
      <c r="U4038" s="86"/>
      <c r="V4038" s="48"/>
      <c r="W4038" s="48"/>
      <c r="X4038" s="48"/>
      <c r="Y4038" s="48"/>
      <c r="Z4038" s="48"/>
      <c r="AA4038" s="48"/>
      <c r="AB4038" s="48"/>
      <c r="AC4038" s="48"/>
      <c r="AD4038" s="48"/>
      <c r="AE4038" s="48"/>
      <c r="AF4038" s="48"/>
      <c r="AG4038" s="48"/>
      <c r="AH4038" s="48"/>
      <c r="AI4038" s="48"/>
      <c r="AJ4038" s="48"/>
      <c r="AK4038" s="48"/>
      <c r="AL4038" s="48"/>
      <c r="AM4038" s="48"/>
      <c r="AN4038" s="48"/>
      <c r="AO4038" s="48"/>
      <c r="AP4038" s="48"/>
      <c r="AQ4038" s="48"/>
      <c r="AR4038" s="48"/>
      <c r="AS4038" s="48"/>
      <c r="AT4038" s="48"/>
      <c r="AU4038" s="48"/>
      <c r="AV4038" s="48"/>
      <c r="AW4038" s="48"/>
      <c r="AX4038" s="48"/>
      <c r="AY4038" s="48"/>
      <c r="AZ4038" s="48"/>
      <c r="BA4038" s="48"/>
      <c r="BB4038" s="48"/>
      <c r="BC4038" s="48"/>
      <c r="BD4038" s="48"/>
    </row>
    <row r="4039" spans="1:56">
      <c r="A4039" s="48"/>
      <c r="B4039" s="48"/>
      <c r="C4039" s="49"/>
      <c r="D4039" s="48"/>
      <c r="E4039" s="48"/>
      <c r="F4039" s="48"/>
      <c r="G4039" s="48"/>
      <c r="H4039" s="48"/>
      <c r="I4039" s="48"/>
      <c r="J4039" s="86"/>
      <c r="K4039" s="86"/>
      <c r="L4039" s="86"/>
      <c r="M4039" s="86"/>
      <c r="N4039" s="86"/>
      <c r="O4039" s="86"/>
      <c r="P4039" s="86"/>
      <c r="Q4039" s="86"/>
      <c r="R4039" s="86"/>
      <c r="S4039" s="86"/>
      <c r="T4039" s="86"/>
      <c r="U4039" s="86"/>
      <c r="V4039" s="48"/>
      <c r="W4039" s="48"/>
      <c r="X4039" s="48"/>
      <c r="Y4039" s="48"/>
      <c r="Z4039" s="48"/>
      <c r="AA4039" s="48"/>
      <c r="AB4039" s="48"/>
      <c r="AC4039" s="48"/>
      <c r="AD4039" s="48"/>
      <c r="AE4039" s="48"/>
      <c r="AF4039" s="48"/>
      <c r="AG4039" s="48"/>
      <c r="AH4039" s="48"/>
      <c r="AI4039" s="48"/>
      <c r="AJ4039" s="48"/>
      <c r="AK4039" s="48"/>
      <c r="AL4039" s="48"/>
      <c r="AM4039" s="48"/>
      <c r="AN4039" s="48"/>
      <c r="AO4039" s="48"/>
      <c r="AP4039" s="48"/>
      <c r="AQ4039" s="48"/>
      <c r="AR4039" s="48"/>
      <c r="AS4039" s="48"/>
      <c r="AT4039" s="48"/>
      <c r="AU4039" s="48"/>
      <c r="AV4039" s="48"/>
      <c r="AW4039" s="48"/>
      <c r="AX4039" s="48"/>
      <c r="AY4039" s="48"/>
      <c r="AZ4039" s="48"/>
      <c r="BA4039" s="48"/>
      <c r="BB4039" s="48"/>
      <c r="BC4039" s="48"/>
      <c r="BD4039" s="48"/>
    </row>
    <row r="4040" spans="1:56">
      <c r="A4040" s="48"/>
      <c r="B4040" s="48"/>
      <c r="C4040" s="49"/>
      <c r="D4040" s="48"/>
      <c r="E4040" s="48"/>
      <c r="F4040" s="48"/>
      <c r="G4040" s="48"/>
      <c r="H4040" s="48"/>
      <c r="I4040" s="48"/>
      <c r="J4040" s="86"/>
      <c r="K4040" s="86"/>
      <c r="L4040" s="86"/>
      <c r="M4040" s="86"/>
      <c r="N4040" s="86"/>
      <c r="O4040" s="86"/>
      <c r="P4040" s="86"/>
      <c r="Q4040" s="86"/>
      <c r="R4040" s="86"/>
      <c r="S4040" s="86"/>
      <c r="T4040" s="86"/>
      <c r="U4040" s="86"/>
      <c r="V4040" s="48"/>
      <c r="W4040" s="48"/>
      <c r="X4040" s="48"/>
      <c r="Y4040" s="48"/>
      <c r="Z4040" s="48"/>
      <c r="AA4040" s="48"/>
      <c r="AB4040" s="48"/>
      <c r="AC4040" s="48"/>
      <c r="AD4040" s="48"/>
      <c r="AE4040" s="48"/>
      <c r="AF4040" s="48"/>
      <c r="AG4040" s="48"/>
      <c r="AH4040" s="48"/>
      <c r="AI4040" s="48"/>
      <c r="AJ4040" s="48"/>
      <c r="AK4040" s="48"/>
      <c r="AL4040" s="48"/>
      <c r="AM4040" s="48"/>
      <c r="AN4040" s="48"/>
      <c r="AO4040" s="48"/>
      <c r="AP4040" s="48"/>
      <c r="AQ4040" s="48"/>
      <c r="AR4040" s="48"/>
      <c r="AS4040" s="48"/>
      <c r="AT4040" s="48"/>
      <c r="AU4040" s="48"/>
      <c r="AV4040" s="48"/>
      <c r="AW4040" s="48"/>
      <c r="AX4040" s="48"/>
      <c r="AY4040" s="48"/>
      <c r="AZ4040" s="48"/>
      <c r="BA4040" s="48"/>
      <c r="BB4040" s="48"/>
      <c r="BC4040" s="48"/>
      <c r="BD4040" s="48"/>
    </row>
    <row r="4041" spans="1:56">
      <c r="A4041" s="48"/>
      <c r="B4041" s="48"/>
      <c r="C4041" s="49"/>
      <c r="D4041" s="48"/>
      <c r="E4041" s="48"/>
      <c r="F4041" s="48"/>
      <c r="G4041" s="48"/>
      <c r="H4041" s="48"/>
      <c r="I4041" s="48"/>
      <c r="J4041" s="86"/>
      <c r="K4041" s="86"/>
      <c r="L4041" s="86"/>
      <c r="M4041" s="86"/>
      <c r="N4041" s="86"/>
      <c r="O4041" s="86"/>
      <c r="P4041" s="86"/>
      <c r="Q4041" s="86"/>
      <c r="R4041" s="86"/>
      <c r="S4041" s="86"/>
      <c r="T4041" s="86"/>
      <c r="U4041" s="86"/>
      <c r="V4041" s="48"/>
      <c r="W4041" s="48"/>
      <c r="X4041" s="48"/>
      <c r="Y4041" s="48"/>
      <c r="Z4041" s="48"/>
      <c r="AA4041" s="48"/>
      <c r="AB4041" s="48"/>
      <c r="AC4041" s="48"/>
      <c r="AD4041" s="48"/>
      <c r="AE4041" s="48"/>
      <c r="AF4041" s="48"/>
      <c r="AG4041" s="48"/>
      <c r="AH4041" s="48"/>
      <c r="AI4041" s="48"/>
      <c r="AJ4041" s="48"/>
      <c r="AK4041" s="48"/>
      <c r="AL4041" s="48"/>
      <c r="AM4041" s="48"/>
      <c r="AN4041" s="48"/>
      <c r="AO4041" s="48"/>
      <c r="AP4041" s="48"/>
      <c r="AQ4041" s="48"/>
      <c r="AR4041" s="48"/>
      <c r="AS4041" s="48"/>
      <c r="AT4041" s="48"/>
      <c r="AU4041" s="48"/>
      <c r="AV4041" s="48"/>
      <c r="AW4041" s="48"/>
      <c r="AX4041" s="48"/>
      <c r="AY4041" s="48"/>
      <c r="AZ4041" s="48"/>
      <c r="BA4041" s="48"/>
      <c r="BB4041" s="48"/>
      <c r="BC4041" s="48"/>
      <c r="BD4041" s="48"/>
    </row>
    <row r="4042" spans="1:56">
      <c r="A4042" s="48"/>
      <c r="B4042" s="48"/>
      <c r="C4042" s="49"/>
      <c r="D4042" s="48"/>
      <c r="E4042" s="48"/>
      <c r="F4042" s="48"/>
      <c r="G4042" s="48"/>
      <c r="H4042" s="48"/>
      <c r="I4042" s="48"/>
      <c r="J4042" s="86"/>
      <c r="K4042" s="86"/>
      <c r="L4042" s="86"/>
      <c r="M4042" s="86"/>
      <c r="N4042" s="86"/>
      <c r="O4042" s="86"/>
      <c r="P4042" s="86"/>
      <c r="Q4042" s="86"/>
      <c r="R4042" s="86"/>
      <c r="S4042" s="86"/>
      <c r="T4042" s="86"/>
      <c r="U4042" s="86"/>
      <c r="V4042" s="48"/>
      <c r="W4042" s="48"/>
      <c r="X4042" s="48"/>
      <c r="Y4042" s="48"/>
      <c r="Z4042" s="48"/>
      <c r="AA4042" s="48"/>
      <c r="AB4042" s="48"/>
      <c r="AC4042" s="48"/>
      <c r="AD4042" s="48"/>
      <c r="AE4042" s="48"/>
      <c r="AF4042" s="48"/>
      <c r="AG4042" s="48"/>
      <c r="AH4042" s="48"/>
      <c r="AI4042" s="48"/>
      <c r="AJ4042" s="48"/>
      <c r="AK4042" s="48"/>
      <c r="AL4042" s="48"/>
      <c r="AM4042" s="48"/>
      <c r="AN4042" s="48"/>
      <c r="AO4042" s="48"/>
      <c r="AP4042" s="48"/>
      <c r="AQ4042" s="48"/>
      <c r="AR4042" s="48"/>
      <c r="AS4042" s="48"/>
      <c r="AT4042" s="48"/>
      <c r="AU4042" s="48"/>
      <c r="AV4042" s="48"/>
      <c r="AW4042" s="48"/>
      <c r="AX4042" s="48"/>
      <c r="AY4042" s="48"/>
      <c r="AZ4042" s="48"/>
      <c r="BA4042" s="48"/>
      <c r="BB4042" s="48"/>
      <c r="BC4042" s="48"/>
      <c r="BD4042" s="48"/>
    </row>
    <row r="4043" spans="1:56">
      <c r="A4043" s="48"/>
      <c r="B4043" s="48"/>
      <c r="C4043" s="49"/>
      <c r="D4043" s="48"/>
      <c r="E4043" s="48"/>
      <c r="F4043" s="48"/>
      <c r="G4043" s="48"/>
      <c r="H4043" s="48"/>
      <c r="I4043" s="48"/>
      <c r="J4043" s="86"/>
      <c r="K4043" s="86"/>
      <c r="L4043" s="86"/>
      <c r="M4043" s="86"/>
      <c r="N4043" s="86"/>
      <c r="O4043" s="86"/>
      <c r="P4043" s="86"/>
      <c r="Q4043" s="86"/>
      <c r="R4043" s="86"/>
      <c r="S4043" s="86"/>
      <c r="T4043" s="86"/>
      <c r="U4043" s="86"/>
      <c r="V4043" s="48"/>
      <c r="W4043" s="48"/>
      <c r="X4043" s="48"/>
      <c r="Y4043" s="48"/>
      <c r="Z4043" s="48"/>
      <c r="AA4043" s="48"/>
      <c r="AB4043" s="48"/>
      <c r="AC4043" s="48"/>
      <c r="AD4043" s="48"/>
      <c r="AE4043" s="48"/>
      <c r="AF4043" s="48"/>
      <c r="AG4043" s="48"/>
      <c r="AH4043" s="48"/>
      <c r="AI4043" s="48"/>
      <c r="AJ4043" s="48"/>
      <c r="AK4043" s="48"/>
      <c r="AL4043" s="48"/>
      <c r="AM4043" s="48"/>
      <c r="AN4043" s="48"/>
      <c r="AO4043" s="48"/>
      <c r="AP4043" s="48"/>
      <c r="AQ4043" s="48"/>
      <c r="AR4043" s="48"/>
      <c r="AS4043" s="48"/>
      <c r="AT4043" s="48"/>
      <c r="AU4043" s="48"/>
      <c r="AV4043" s="48"/>
      <c r="AW4043" s="48"/>
      <c r="AX4043" s="48"/>
      <c r="AY4043" s="48"/>
      <c r="AZ4043" s="48"/>
      <c r="BA4043" s="48"/>
      <c r="BB4043" s="48"/>
      <c r="BC4043" s="48"/>
      <c r="BD4043" s="48"/>
    </row>
    <row r="4044" spans="1:56">
      <c r="A4044" s="48"/>
      <c r="B4044" s="48"/>
      <c r="C4044" s="49"/>
      <c r="D4044" s="48"/>
      <c r="E4044" s="48"/>
      <c r="F4044" s="48"/>
      <c r="G4044" s="48"/>
      <c r="H4044" s="48"/>
      <c r="I4044" s="48"/>
      <c r="J4044" s="86"/>
      <c r="K4044" s="86"/>
      <c r="L4044" s="86"/>
      <c r="M4044" s="86"/>
      <c r="N4044" s="86"/>
      <c r="O4044" s="86"/>
      <c r="P4044" s="86"/>
      <c r="Q4044" s="86"/>
      <c r="R4044" s="86"/>
      <c r="S4044" s="86"/>
      <c r="T4044" s="86"/>
      <c r="U4044" s="86"/>
      <c r="V4044" s="48"/>
      <c r="W4044" s="48"/>
      <c r="X4044" s="48"/>
      <c r="Y4044" s="48"/>
      <c r="Z4044" s="48"/>
      <c r="AA4044" s="48"/>
      <c r="AB4044" s="48"/>
      <c r="AC4044" s="48"/>
      <c r="AD4044" s="48"/>
      <c r="AE4044" s="48"/>
      <c r="AF4044" s="48"/>
      <c r="AG4044" s="48"/>
      <c r="AH4044" s="48"/>
      <c r="AI4044" s="48"/>
      <c r="AJ4044" s="48"/>
      <c r="AK4044" s="48"/>
      <c r="AL4044" s="48"/>
      <c r="AM4044" s="48"/>
      <c r="AN4044" s="48"/>
      <c r="AO4044" s="48"/>
      <c r="AP4044" s="48"/>
      <c r="AQ4044" s="48"/>
      <c r="AR4044" s="48"/>
      <c r="AS4044" s="48"/>
      <c r="AT4044" s="48"/>
      <c r="AU4044" s="48"/>
      <c r="AV4044" s="48"/>
      <c r="AW4044" s="48"/>
      <c r="AX4044" s="48"/>
      <c r="AY4044" s="48"/>
      <c r="AZ4044" s="48"/>
      <c r="BA4044" s="48"/>
      <c r="BB4044" s="48"/>
      <c r="BC4044" s="48"/>
      <c r="BD4044" s="48"/>
    </row>
    <row r="4045" spans="1:56">
      <c r="A4045" s="48"/>
      <c r="B4045" s="48"/>
      <c r="C4045" s="49"/>
      <c r="D4045" s="48"/>
      <c r="E4045" s="48"/>
      <c r="F4045" s="48"/>
      <c r="G4045" s="48"/>
      <c r="H4045" s="48"/>
      <c r="I4045" s="48"/>
      <c r="J4045" s="86"/>
      <c r="K4045" s="86"/>
      <c r="L4045" s="86"/>
      <c r="M4045" s="86"/>
      <c r="N4045" s="86"/>
      <c r="O4045" s="86"/>
      <c r="P4045" s="86"/>
      <c r="Q4045" s="86"/>
      <c r="R4045" s="86"/>
      <c r="S4045" s="86"/>
      <c r="T4045" s="86"/>
      <c r="U4045" s="86"/>
      <c r="V4045" s="48"/>
      <c r="W4045" s="48"/>
      <c r="X4045" s="48"/>
      <c r="Y4045" s="48"/>
      <c r="Z4045" s="48"/>
      <c r="AA4045" s="48"/>
      <c r="AB4045" s="48"/>
      <c r="AC4045" s="48"/>
      <c r="AD4045" s="48"/>
      <c r="AE4045" s="48"/>
      <c r="AF4045" s="48"/>
      <c r="AG4045" s="48"/>
      <c r="AH4045" s="48"/>
      <c r="AI4045" s="48"/>
      <c r="AJ4045" s="48"/>
      <c r="AK4045" s="48"/>
      <c r="AL4045" s="48"/>
      <c r="AM4045" s="48"/>
      <c r="AN4045" s="48"/>
      <c r="AO4045" s="48"/>
      <c r="AP4045" s="48"/>
      <c r="AQ4045" s="48"/>
      <c r="AR4045" s="48"/>
      <c r="AS4045" s="48"/>
      <c r="AT4045" s="48"/>
      <c r="AU4045" s="48"/>
      <c r="AV4045" s="48"/>
      <c r="AW4045" s="48"/>
      <c r="AX4045" s="48"/>
      <c r="AY4045" s="48"/>
      <c r="AZ4045" s="48"/>
      <c r="BA4045" s="48"/>
      <c r="BB4045" s="48"/>
      <c r="BC4045" s="48"/>
      <c r="BD4045" s="48"/>
    </row>
    <row r="4046" spans="1:56">
      <c r="A4046" s="48"/>
      <c r="B4046" s="48"/>
      <c r="C4046" s="49"/>
      <c r="D4046" s="48"/>
      <c r="E4046" s="48"/>
      <c r="F4046" s="48"/>
      <c r="G4046" s="48"/>
      <c r="H4046" s="48"/>
      <c r="I4046" s="48"/>
      <c r="J4046" s="86"/>
      <c r="K4046" s="86"/>
      <c r="L4046" s="86"/>
      <c r="M4046" s="86"/>
      <c r="N4046" s="86"/>
      <c r="O4046" s="86"/>
      <c r="P4046" s="86"/>
      <c r="Q4046" s="86"/>
      <c r="R4046" s="86"/>
      <c r="S4046" s="86"/>
      <c r="T4046" s="86"/>
      <c r="U4046" s="86"/>
      <c r="V4046" s="48"/>
      <c r="W4046" s="48"/>
      <c r="X4046" s="48"/>
      <c r="Y4046" s="48"/>
      <c r="Z4046" s="48"/>
      <c r="AA4046" s="48"/>
      <c r="AB4046" s="48"/>
      <c r="AC4046" s="48"/>
      <c r="AD4046" s="48"/>
      <c r="AE4046" s="48"/>
      <c r="AF4046" s="48"/>
      <c r="AG4046" s="48"/>
      <c r="AH4046" s="48"/>
      <c r="AI4046" s="48"/>
      <c r="AJ4046" s="48"/>
      <c r="AK4046" s="48"/>
      <c r="AL4046" s="48"/>
      <c r="AM4046" s="48"/>
      <c r="AN4046" s="48"/>
      <c r="AO4046" s="48"/>
      <c r="AP4046" s="48"/>
      <c r="AQ4046" s="48"/>
      <c r="AR4046" s="48"/>
      <c r="AS4046" s="48"/>
      <c r="AT4046" s="48"/>
      <c r="AU4046" s="48"/>
      <c r="AV4046" s="48"/>
      <c r="AW4046" s="48"/>
      <c r="AX4046" s="48"/>
      <c r="AY4046" s="48"/>
      <c r="AZ4046" s="48"/>
      <c r="BA4046" s="48"/>
      <c r="BB4046" s="48"/>
      <c r="BC4046" s="48"/>
      <c r="BD4046" s="48"/>
    </row>
    <row r="4047" spans="1:56">
      <c r="A4047" s="48"/>
      <c r="B4047" s="48"/>
      <c r="C4047" s="49"/>
      <c r="D4047" s="48"/>
      <c r="E4047" s="48"/>
      <c r="F4047" s="48"/>
      <c r="G4047" s="48"/>
      <c r="H4047" s="48"/>
      <c r="I4047" s="48"/>
      <c r="J4047" s="86"/>
      <c r="K4047" s="86"/>
      <c r="L4047" s="86"/>
      <c r="M4047" s="86"/>
      <c r="N4047" s="86"/>
      <c r="O4047" s="86"/>
      <c r="P4047" s="86"/>
      <c r="Q4047" s="86"/>
      <c r="R4047" s="86"/>
      <c r="S4047" s="86"/>
      <c r="T4047" s="86"/>
      <c r="U4047" s="86"/>
      <c r="V4047" s="48"/>
      <c r="W4047" s="48"/>
      <c r="X4047" s="48"/>
      <c r="Y4047" s="48"/>
      <c r="Z4047" s="48"/>
      <c r="AA4047" s="48"/>
      <c r="AB4047" s="48"/>
      <c r="AC4047" s="48"/>
      <c r="AD4047" s="48"/>
      <c r="AE4047" s="48"/>
      <c r="AF4047" s="48"/>
      <c r="AG4047" s="48"/>
      <c r="AH4047" s="48"/>
      <c r="AI4047" s="48"/>
      <c r="AJ4047" s="48"/>
      <c r="AK4047" s="48"/>
      <c r="AL4047" s="48"/>
      <c r="AM4047" s="48"/>
      <c r="AN4047" s="48"/>
      <c r="AO4047" s="48"/>
      <c r="AP4047" s="48"/>
      <c r="AQ4047" s="48"/>
      <c r="AR4047" s="48"/>
      <c r="AS4047" s="48"/>
      <c r="AT4047" s="48"/>
      <c r="AU4047" s="48"/>
      <c r="AV4047" s="48"/>
      <c r="AW4047" s="48"/>
      <c r="AX4047" s="48"/>
      <c r="AY4047" s="48"/>
      <c r="AZ4047" s="48"/>
      <c r="BA4047" s="48"/>
      <c r="BB4047" s="48"/>
      <c r="BC4047" s="48"/>
      <c r="BD4047" s="48"/>
    </row>
    <row r="4048" spans="1:56">
      <c r="A4048" s="48"/>
      <c r="B4048" s="48"/>
      <c r="C4048" s="49"/>
      <c r="D4048" s="48"/>
      <c r="E4048" s="48"/>
      <c r="F4048" s="48"/>
      <c r="G4048" s="48"/>
      <c r="H4048" s="48"/>
      <c r="I4048" s="48"/>
      <c r="J4048" s="86"/>
      <c r="K4048" s="86"/>
      <c r="L4048" s="86"/>
      <c r="M4048" s="86"/>
      <c r="N4048" s="86"/>
      <c r="O4048" s="86"/>
      <c r="P4048" s="86"/>
      <c r="Q4048" s="86"/>
      <c r="R4048" s="86"/>
      <c r="S4048" s="86"/>
      <c r="T4048" s="86"/>
      <c r="U4048" s="86"/>
      <c r="V4048" s="48"/>
      <c r="W4048" s="48"/>
      <c r="X4048" s="48"/>
      <c r="Y4048" s="48"/>
      <c r="Z4048" s="48"/>
      <c r="AA4048" s="48"/>
      <c r="AB4048" s="48"/>
      <c r="AC4048" s="48"/>
      <c r="AD4048" s="48"/>
      <c r="AE4048" s="48"/>
      <c r="AF4048" s="48"/>
      <c r="AG4048" s="48"/>
      <c r="AH4048" s="48"/>
      <c r="AI4048" s="48"/>
      <c r="AJ4048" s="48"/>
      <c r="AK4048" s="48"/>
      <c r="AL4048" s="48"/>
      <c r="AM4048" s="48"/>
      <c r="AN4048" s="48"/>
      <c r="AO4048" s="48"/>
      <c r="AP4048" s="48"/>
      <c r="AQ4048" s="48"/>
      <c r="AR4048" s="48"/>
      <c r="AS4048" s="48"/>
      <c r="AT4048" s="48"/>
      <c r="AU4048" s="48"/>
      <c r="AV4048" s="48"/>
      <c r="AW4048" s="48"/>
      <c r="AX4048" s="48"/>
      <c r="AY4048" s="48"/>
      <c r="AZ4048" s="48"/>
      <c r="BA4048" s="48"/>
      <c r="BB4048" s="48"/>
      <c r="BC4048" s="48"/>
      <c r="BD4048" s="48"/>
    </row>
    <row r="4049" spans="1:56">
      <c r="A4049" s="48"/>
      <c r="B4049" s="48"/>
      <c r="C4049" s="49"/>
      <c r="D4049" s="48"/>
      <c r="E4049" s="48"/>
      <c r="F4049" s="48"/>
      <c r="G4049" s="48"/>
      <c r="H4049" s="48"/>
      <c r="I4049" s="48"/>
      <c r="J4049" s="86"/>
      <c r="K4049" s="86"/>
      <c r="L4049" s="86"/>
      <c r="M4049" s="86"/>
      <c r="N4049" s="86"/>
      <c r="O4049" s="86"/>
      <c r="P4049" s="86"/>
      <c r="Q4049" s="86"/>
      <c r="R4049" s="86"/>
      <c r="S4049" s="86"/>
      <c r="T4049" s="86"/>
      <c r="U4049" s="86"/>
      <c r="V4049" s="48"/>
      <c r="W4049" s="48"/>
      <c r="X4049" s="48"/>
      <c r="Y4049" s="48"/>
      <c r="Z4049" s="48"/>
      <c r="AA4049" s="48"/>
      <c r="AB4049" s="48"/>
      <c r="AC4049" s="48"/>
      <c r="AD4049" s="48"/>
      <c r="AE4049" s="48"/>
      <c r="AF4049" s="48"/>
      <c r="AG4049" s="48"/>
      <c r="AH4049" s="48"/>
      <c r="AI4049" s="48"/>
      <c r="AJ4049" s="48"/>
      <c r="AK4049" s="48"/>
      <c r="AL4049" s="48"/>
      <c r="AM4049" s="48"/>
      <c r="AN4049" s="48"/>
      <c r="AO4049" s="48"/>
      <c r="AP4049" s="48"/>
      <c r="AQ4049" s="48"/>
      <c r="AR4049" s="48"/>
      <c r="AS4049" s="48"/>
      <c r="AT4049" s="48"/>
      <c r="AU4049" s="48"/>
      <c r="AV4049" s="48"/>
      <c r="AW4049" s="48"/>
      <c r="AX4049" s="48"/>
      <c r="AY4049" s="48"/>
      <c r="AZ4049" s="48"/>
      <c r="BA4049" s="48"/>
      <c r="BB4049" s="48"/>
      <c r="BC4049" s="48"/>
      <c r="BD4049" s="48"/>
    </row>
    <row r="4050" spans="1:56">
      <c r="A4050" s="48"/>
      <c r="B4050" s="48"/>
      <c r="C4050" s="49"/>
      <c r="D4050" s="48"/>
      <c r="E4050" s="48"/>
      <c r="F4050" s="48"/>
      <c r="G4050" s="48"/>
      <c r="H4050" s="48"/>
      <c r="I4050" s="48"/>
      <c r="J4050" s="86"/>
      <c r="K4050" s="86"/>
      <c r="L4050" s="86"/>
      <c r="M4050" s="86"/>
      <c r="N4050" s="86"/>
      <c r="O4050" s="86"/>
      <c r="P4050" s="86"/>
      <c r="Q4050" s="86"/>
      <c r="R4050" s="86"/>
      <c r="S4050" s="86"/>
      <c r="T4050" s="86"/>
      <c r="U4050" s="86"/>
      <c r="V4050" s="48"/>
      <c r="W4050" s="48"/>
      <c r="X4050" s="48"/>
      <c r="Y4050" s="48"/>
      <c r="Z4050" s="48"/>
      <c r="AA4050" s="48"/>
      <c r="AB4050" s="48"/>
      <c r="AC4050" s="48"/>
      <c r="AD4050" s="48"/>
      <c r="AE4050" s="48"/>
      <c r="AF4050" s="48"/>
      <c r="AG4050" s="48"/>
      <c r="AH4050" s="48"/>
      <c r="AI4050" s="48"/>
      <c r="AJ4050" s="48"/>
      <c r="AK4050" s="48"/>
      <c r="AL4050" s="48"/>
      <c r="AM4050" s="48"/>
      <c r="AN4050" s="48"/>
      <c r="AO4050" s="48"/>
      <c r="AP4050" s="48"/>
      <c r="AQ4050" s="48"/>
      <c r="AR4050" s="48"/>
      <c r="AS4050" s="48"/>
      <c r="AT4050" s="48"/>
      <c r="AU4050" s="48"/>
      <c r="AV4050" s="48"/>
      <c r="AW4050" s="48"/>
      <c r="AX4050" s="48"/>
      <c r="AY4050" s="48"/>
      <c r="AZ4050" s="48"/>
      <c r="BA4050" s="48"/>
      <c r="BB4050" s="48"/>
      <c r="BC4050" s="48"/>
      <c r="BD4050" s="48"/>
    </row>
    <row r="4051" spans="1:56">
      <c r="A4051" s="48"/>
      <c r="B4051" s="48"/>
      <c r="C4051" s="49"/>
      <c r="D4051" s="48"/>
      <c r="E4051" s="48"/>
      <c r="F4051" s="48"/>
      <c r="G4051" s="48"/>
      <c r="H4051" s="48"/>
      <c r="I4051" s="48"/>
      <c r="J4051" s="86"/>
      <c r="K4051" s="86"/>
      <c r="L4051" s="86"/>
      <c r="M4051" s="86"/>
      <c r="N4051" s="86"/>
      <c r="O4051" s="86"/>
      <c r="P4051" s="86"/>
      <c r="Q4051" s="86"/>
      <c r="R4051" s="86"/>
      <c r="S4051" s="86"/>
      <c r="T4051" s="86"/>
      <c r="U4051" s="86"/>
      <c r="V4051" s="48"/>
      <c r="W4051" s="48"/>
      <c r="X4051" s="48"/>
      <c r="Y4051" s="48"/>
      <c r="Z4051" s="48"/>
      <c r="AA4051" s="48"/>
      <c r="AB4051" s="48"/>
      <c r="AC4051" s="48"/>
      <c r="AD4051" s="48"/>
      <c r="AE4051" s="48"/>
      <c r="AF4051" s="48"/>
      <c r="AG4051" s="48"/>
      <c r="AH4051" s="48"/>
      <c r="AI4051" s="48"/>
      <c r="AJ4051" s="48"/>
      <c r="AK4051" s="48"/>
      <c r="AL4051" s="48"/>
      <c r="AM4051" s="48"/>
      <c r="AN4051" s="48"/>
      <c r="AO4051" s="48"/>
      <c r="AP4051" s="48"/>
      <c r="AQ4051" s="48"/>
      <c r="AR4051" s="48"/>
      <c r="AS4051" s="48"/>
      <c r="AT4051" s="48"/>
      <c r="AU4051" s="48"/>
      <c r="AV4051" s="48"/>
      <c r="AW4051" s="48"/>
      <c r="AX4051" s="48"/>
      <c r="AY4051" s="48"/>
      <c r="AZ4051" s="48"/>
      <c r="BA4051" s="48"/>
      <c r="BB4051" s="48"/>
      <c r="BC4051" s="48"/>
      <c r="BD4051" s="48"/>
    </row>
    <row r="4052" spans="1:56">
      <c r="A4052" s="48"/>
      <c r="B4052" s="48"/>
      <c r="C4052" s="49"/>
      <c r="D4052" s="48"/>
      <c r="E4052" s="48"/>
      <c r="F4052" s="48"/>
      <c r="G4052" s="48"/>
      <c r="H4052" s="48"/>
      <c r="I4052" s="48"/>
      <c r="J4052" s="86"/>
      <c r="K4052" s="86"/>
      <c r="L4052" s="86"/>
      <c r="M4052" s="86"/>
      <c r="N4052" s="86"/>
      <c r="O4052" s="86"/>
      <c r="P4052" s="86"/>
      <c r="Q4052" s="86"/>
      <c r="R4052" s="86"/>
      <c r="S4052" s="86"/>
      <c r="T4052" s="86"/>
      <c r="U4052" s="86"/>
      <c r="V4052" s="48"/>
      <c r="W4052" s="48"/>
      <c r="X4052" s="48"/>
      <c r="Y4052" s="48"/>
      <c r="Z4052" s="48"/>
      <c r="AA4052" s="48"/>
      <c r="AB4052" s="48"/>
      <c r="AC4052" s="48"/>
      <c r="AD4052" s="48"/>
      <c r="AE4052" s="48"/>
      <c r="AF4052" s="48"/>
      <c r="AG4052" s="48"/>
      <c r="AH4052" s="48"/>
      <c r="AI4052" s="48"/>
      <c r="AJ4052" s="48"/>
      <c r="AK4052" s="48"/>
      <c r="AL4052" s="48"/>
      <c r="AM4052" s="48"/>
      <c r="AN4052" s="48"/>
      <c r="AO4052" s="48"/>
      <c r="AP4052" s="48"/>
      <c r="AQ4052" s="48"/>
      <c r="AR4052" s="48"/>
      <c r="AS4052" s="48"/>
      <c r="AT4052" s="48"/>
      <c r="AU4052" s="48"/>
      <c r="AV4052" s="48"/>
      <c r="AW4052" s="48"/>
      <c r="AX4052" s="48"/>
      <c r="AY4052" s="48"/>
      <c r="AZ4052" s="48"/>
      <c r="BA4052" s="48"/>
      <c r="BB4052" s="48"/>
      <c r="BC4052" s="48"/>
      <c r="BD4052" s="48"/>
    </row>
    <row r="4053" spans="1:56">
      <c r="A4053" s="48"/>
      <c r="B4053" s="48"/>
      <c r="C4053" s="49"/>
      <c r="D4053" s="48"/>
      <c r="E4053" s="48"/>
      <c r="F4053" s="48"/>
      <c r="G4053" s="48"/>
      <c r="H4053" s="48"/>
      <c r="I4053" s="48"/>
      <c r="J4053" s="86"/>
      <c r="K4053" s="86"/>
      <c r="L4053" s="86"/>
      <c r="M4053" s="86"/>
      <c r="N4053" s="86"/>
      <c r="O4053" s="86"/>
      <c r="P4053" s="86"/>
      <c r="Q4053" s="86"/>
      <c r="R4053" s="86"/>
      <c r="S4053" s="86"/>
      <c r="T4053" s="86"/>
      <c r="U4053" s="86"/>
      <c r="V4053" s="48"/>
      <c r="W4053" s="48"/>
      <c r="X4053" s="48"/>
      <c r="Y4053" s="48"/>
      <c r="Z4053" s="48"/>
      <c r="AA4053" s="48"/>
      <c r="AB4053" s="48"/>
      <c r="AC4053" s="48"/>
      <c r="AD4053" s="48"/>
      <c r="AE4053" s="48"/>
      <c r="AF4053" s="48"/>
      <c r="AG4053" s="48"/>
      <c r="AH4053" s="48"/>
      <c r="AI4053" s="48"/>
      <c r="AJ4053" s="48"/>
      <c r="AK4053" s="48"/>
      <c r="AL4053" s="48"/>
      <c r="AM4053" s="48"/>
      <c r="AN4053" s="48"/>
      <c r="AO4053" s="48"/>
      <c r="AP4053" s="48"/>
      <c r="AQ4053" s="48"/>
      <c r="AR4053" s="48"/>
      <c r="AS4053" s="48"/>
      <c r="AT4053" s="48"/>
      <c r="AU4053" s="48"/>
      <c r="AV4053" s="48"/>
      <c r="AW4053" s="48"/>
      <c r="AX4053" s="48"/>
      <c r="AY4053" s="48"/>
      <c r="AZ4053" s="48"/>
      <c r="BA4053" s="48"/>
      <c r="BB4053" s="48"/>
      <c r="BC4053" s="48"/>
      <c r="BD4053" s="48"/>
    </row>
    <row r="4054" spans="1:56">
      <c r="A4054" s="48"/>
      <c r="B4054" s="48"/>
      <c r="C4054" s="49"/>
      <c r="D4054" s="48"/>
      <c r="E4054" s="48"/>
      <c r="F4054" s="48"/>
      <c r="G4054" s="48"/>
      <c r="H4054" s="48"/>
      <c r="I4054" s="48"/>
      <c r="J4054" s="86"/>
      <c r="K4054" s="86"/>
      <c r="L4054" s="86"/>
      <c r="M4054" s="86"/>
      <c r="N4054" s="86"/>
      <c r="O4054" s="86"/>
      <c r="P4054" s="86"/>
      <c r="Q4054" s="86"/>
      <c r="R4054" s="86"/>
      <c r="S4054" s="86"/>
      <c r="T4054" s="86"/>
      <c r="U4054" s="86"/>
      <c r="V4054" s="48"/>
      <c r="W4054" s="48"/>
      <c r="X4054" s="48"/>
      <c r="Y4054" s="48"/>
      <c r="Z4054" s="48"/>
      <c r="AA4054" s="48"/>
      <c r="AB4054" s="48"/>
      <c r="AC4054" s="48"/>
      <c r="AD4054" s="48"/>
      <c r="AE4054" s="48"/>
      <c r="AF4054" s="48"/>
      <c r="AG4054" s="48"/>
      <c r="AH4054" s="48"/>
      <c r="AI4054" s="48"/>
      <c r="AJ4054" s="48"/>
      <c r="AK4054" s="48"/>
      <c r="AL4054" s="48"/>
      <c r="AM4054" s="48"/>
      <c r="AN4054" s="48"/>
      <c r="AO4054" s="48"/>
      <c r="AP4054" s="48"/>
      <c r="AQ4054" s="48"/>
      <c r="AR4054" s="48"/>
      <c r="AS4054" s="48"/>
      <c r="AT4054" s="48"/>
      <c r="AU4054" s="48"/>
      <c r="AV4054" s="48"/>
      <c r="AW4054" s="48"/>
      <c r="AX4054" s="48"/>
      <c r="AY4054" s="48"/>
      <c r="AZ4054" s="48"/>
      <c r="BA4054" s="48"/>
      <c r="BB4054" s="48"/>
      <c r="BC4054" s="48"/>
      <c r="BD4054" s="48"/>
    </row>
    <row r="4055" spans="1:56">
      <c r="A4055" s="48"/>
      <c r="B4055" s="48"/>
      <c r="C4055" s="49"/>
      <c r="D4055" s="48"/>
      <c r="E4055" s="48"/>
      <c r="F4055" s="48"/>
      <c r="G4055" s="48"/>
      <c r="H4055" s="48"/>
      <c r="I4055" s="48"/>
      <c r="J4055" s="86"/>
      <c r="K4055" s="86"/>
      <c r="L4055" s="86"/>
      <c r="M4055" s="86"/>
      <c r="N4055" s="86"/>
      <c r="O4055" s="86"/>
      <c r="P4055" s="86"/>
      <c r="Q4055" s="86"/>
      <c r="R4055" s="86"/>
      <c r="S4055" s="86"/>
      <c r="T4055" s="86"/>
      <c r="U4055" s="86"/>
      <c r="V4055" s="48"/>
      <c r="W4055" s="48"/>
      <c r="X4055" s="48"/>
      <c r="Y4055" s="48"/>
      <c r="Z4055" s="48"/>
      <c r="AA4055" s="48"/>
      <c r="AB4055" s="48"/>
      <c r="AC4055" s="48"/>
      <c r="AD4055" s="48"/>
      <c r="AE4055" s="48"/>
      <c r="AF4055" s="48"/>
      <c r="AG4055" s="48"/>
      <c r="AH4055" s="48"/>
      <c r="AI4055" s="48"/>
      <c r="AJ4055" s="48"/>
      <c r="AK4055" s="48"/>
      <c r="AL4055" s="48"/>
      <c r="AM4055" s="48"/>
      <c r="AN4055" s="48"/>
      <c r="AO4055" s="48"/>
      <c r="AP4055" s="48"/>
      <c r="AQ4055" s="48"/>
      <c r="AR4055" s="48"/>
      <c r="AS4055" s="48"/>
      <c r="AT4055" s="48"/>
      <c r="AU4055" s="48"/>
      <c r="AV4055" s="48"/>
      <c r="AW4055" s="48"/>
      <c r="AX4055" s="48"/>
      <c r="AY4055" s="48"/>
      <c r="AZ4055" s="48"/>
      <c r="BA4055" s="48"/>
      <c r="BB4055" s="48"/>
      <c r="BC4055" s="48"/>
      <c r="BD4055" s="48"/>
    </row>
    <row r="4056" spans="1:56">
      <c r="A4056" s="48"/>
      <c r="B4056" s="48"/>
      <c r="C4056" s="49"/>
      <c r="D4056" s="48"/>
      <c r="E4056" s="48"/>
      <c r="F4056" s="48"/>
      <c r="G4056" s="48"/>
      <c r="H4056" s="48"/>
      <c r="I4056" s="48"/>
      <c r="J4056" s="86"/>
      <c r="K4056" s="86"/>
      <c r="L4056" s="86"/>
      <c r="M4056" s="86"/>
      <c r="N4056" s="86"/>
      <c r="O4056" s="86"/>
      <c r="P4056" s="86"/>
      <c r="Q4056" s="86"/>
      <c r="R4056" s="86"/>
      <c r="S4056" s="86"/>
      <c r="T4056" s="86"/>
      <c r="U4056" s="86"/>
      <c r="V4056" s="48"/>
      <c r="W4056" s="48"/>
      <c r="X4056" s="48"/>
      <c r="Y4056" s="48"/>
      <c r="Z4056" s="48"/>
      <c r="AA4056" s="48"/>
      <c r="AB4056" s="48"/>
      <c r="AC4056" s="48"/>
      <c r="AD4056" s="48"/>
      <c r="AE4056" s="48"/>
      <c r="AF4056" s="48"/>
      <c r="AG4056" s="48"/>
      <c r="AH4056" s="48"/>
      <c r="AI4056" s="48"/>
      <c r="AJ4056" s="48"/>
      <c r="AK4056" s="48"/>
      <c r="AL4056" s="48"/>
      <c r="AM4056" s="48"/>
      <c r="AN4056" s="48"/>
      <c r="AO4056" s="48"/>
      <c r="AP4056" s="48"/>
      <c r="AQ4056" s="48"/>
      <c r="AR4056" s="48"/>
      <c r="AS4056" s="48"/>
      <c r="AT4056" s="48"/>
      <c r="AU4056" s="48"/>
      <c r="AV4056" s="48"/>
      <c r="AW4056" s="48"/>
      <c r="AX4056" s="48"/>
      <c r="AY4056" s="48"/>
      <c r="AZ4056" s="48"/>
      <c r="BA4056" s="48"/>
      <c r="BB4056" s="48"/>
      <c r="BC4056" s="48"/>
      <c r="BD4056" s="48"/>
    </row>
    <row r="4057" spans="1:56">
      <c r="A4057" s="48"/>
      <c r="B4057" s="48"/>
      <c r="C4057" s="49"/>
      <c r="D4057" s="48"/>
      <c r="E4057" s="48"/>
      <c r="F4057" s="48"/>
      <c r="G4057" s="48"/>
      <c r="H4057" s="48"/>
      <c r="I4057" s="48"/>
      <c r="J4057" s="86"/>
      <c r="K4057" s="86"/>
      <c r="L4057" s="86"/>
      <c r="M4057" s="86"/>
      <c r="N4057" s="86"/>
      <c r="O4057" s="86"/>
      <c r="P4057" s="86"/>
      <c r="Q4057" s="86"/>
      <c r="R4057" s="86"/>
      <c r="S4057" s="86"/>
      <c r="T4057" s="86"/>
      <c r="U4057" s="86"/>
      <c r="V4057" s="48"/>
      <c r="W4057" s="48"/>
      <c r="X4057" s="48"/>
      <c r="Y4057" s="48"/>
      <c r="Z4057" s="48"/>
      <c r="AA4057" s="48"/>
      <c r="AB4057" s="48"/>
      <c r="AC4057" s="48"/>
      <c r="AD4057" s="48"/>
      <c r="AE4057" s="48"/>
      <c r="AF4057" s="48"/>
      <c r="AG4057" s="48"/>
      <c r="AH4057" s="48"/>
      <c r="AI4057" s="48"/>
      <c r="AJ4057" s="48"/>
      <c r="AK4057" s="48"/>
      <c r="AL4057" s="48"/>
      <c r="AM4057" s="48"/>
      <c r="AN4057" s="48"/>
      <c r="AO4057" s="48"/>
      <c r="AP4057" s="48"/>
      <c r="AQ4057" s="48"/>
      <c r="AR4057" s="48"/>
      <c r="AS4057" s="48"/>
      <c r="AT4057" s="48"/>
      <c r="AU4057" s="48"/>
      <c r="AV4057" s="48"/>
      <c r="AW4057" s="48"/>
      <c r="AX4057" s="48"/>
      <c r="AY4057" s="48"/>
      <c r="AZ4057" s="48"/>
      <c r="BA4057" s="48"/>
      <c r="BB4057" s="48"/>
      <c r="BC4057" s="48"/>
      <c r="BD4057" s="48"/>
    </row>
    <row r="4058" spans="1:56">
      <c r="A4058" s="48"/>
      <c r="B4058" s="48"/>
      <c r="C4058" s="49"/>
      <c r="D4058" s="48"/>
      <c r="E4058" s="48"/>
      <c r="F4058" s="48"/>
      <c r="G4058" s="48"/>
      <c r="H4058" s="48"/>
      <c r="I4058" s="48"/>
      <c r="J4058" s="86"/>
      <c r="K4058" s="86"/>
      <c r="L4058" s="86"/>
      <c r="M4058" s="86"/>
      <c r="N4058" s="86"/>
      <c r="O4058" s="86"/>
      <c r="P4058" s="86"/>
      <c r="Q4058" s="86"/>
      <c r="R4058" s="86"/>
      <c r="S4058" s="86"/>
      <c r="T4058" s="86"/>
      <c r="U4058" s="86"/>
      <c r="V4058" s="48"/>
      <c r="W4058" s="48"/>
      <c r="X4058" s="48"/>
      <c r="Y4058" s="48"/>
      <c r="Z4058" s="48"/>
      <c r="AA4058" s="48"/>
      <c r="AB4058" s="48"/>
      <c r="AC4058" s="48"/>
      <c r="AD4058" s="48"/>
      <c r="AE4058" s="48"/>
      <c r="AF4058" s="48"/>
      <c r="AG4058" s="48"/>
      <c r="AH4058" s="48"/>
      <c r="AI4058" s="48"/>
      <c r="AJ4058" s="48"/>
      <c r="AK4058" s="48"/>
      <c r="AL4058" s="48"/>
      <c r="AM4058" s="48"/>
      <c r="AN4058" s="48"/>
      <c r="AO4058" s="48"/>
      <c r="AP4058" s="48"/>
      <c r="AQ4058" s="48"/>
      <c r="AR4058" s="48"/>
      <c r="AS4058" s="48"/>
      <c r="AT4058" s="48"/>
      <c r="AU4058" s="48"/>
      <c r="AV4058" s="48"/>
      <c r="AW4058" s="48"/>
      <c r="AX4058" s="48"/>
      <c r="AY4058" s="48"/>
      <c r="AZ4058" s="48"/>
      <c r="BA4058" s="48"/>
      <c r="BB4058" s="48"/>
      <c r="BC4058" s="48"/>
      <c r="BD4058" s="48"/>
    </row>
    <row r="4059" spans="1:56">
      <c r="A4059" s="48"/>
      <c r="B4059" s="48"/>
      <c r="C4059" s="49"/>
      <c r="D4059" s="48"/>
      <c r="E4059" s="48"/>
      <c r="F4059" s="48"/>
      <c r="G4059" s="48"/>
      <c r="H4059" s="48"/>
      <c r="I4059" s="48"/>
      <c r="J4059" s="86"/>
      <c r="K4059" s="86"/>
      <c r="L4059" s="86"/>
      <c r="M4059" s="86"/>
      <c r="N4059" s="86"/>
      <c r="O4059" s="86"/>
      <c r="P4059" s="86"/>
      <c r="Q4059" s="86"/>
      <c r="R4059" s="86"/>
      <c r="S4059" s="86"/>
      <c r="T4059" s="86"/>
      <c r="U4059" s="86"/>
      <c r="V4059" s="48"/>
      <c r="W4059" s="48"/>
      <c r="X4059" s="48"/>
      <c r="Y4059" s="48"/>
      <c r="Z4059" s="48"/>
      <c r="AA4059" s="48"/>
      <c r="AB4059" s="48"/>
      <c r="AC4059" s="48"/>
      <c r="AD4059" s="48"/>
      <c r="AE4059" s="48"/>
      <c r="AF4059" s="48"/>
      <c r="AG4059" s="48"/>
      <c r="AH4059" s="48"/>
      <c r="AI4059" s="48"/>
      <c r="AJ4059" s="48"/>
      <c r="AK4059" s="48"/>
      <c r="AL4059" s="48"/>
      <c r="AM4059" s="48"/>
      <c r="AN4059" s="48"/>
      <c r="AO4059" s="48"/>
      <c r="AP4059" s="48"/>
      <c r="AQ4059" s="48"/>
      <c r="AR4059" s="48"/>
      <c r="AS4059" s="48"/>
      <c r="AT4059" s="48"/>
      <c r="AU4059" s="48"/>
      <c r="AV4059" s="48"/>
      <c r="AW4059" s="48"/>
      <c r="AX4059" s="48"/>
      <c r="AY4059" s="48"/>
      <c r="AZ4059" s="48"/>
      <c r="BA4059" s="48"/>
      <c r="BB4059" s="48"/>
      <c r="BC4059" s="48"/>
      <c r="BD4059" s="48"/>
    </row>
    <row r="4060" spans="1:56">
      <c r="A4060" s="48"/>
      <c r="B4060" s="48"/>
      <c r="C4060" s="49"/>
      <c r="D4060" s="48"/>
      <c r="E4060" s="48"/>
      <c r="F4060" s="48"/>
      <c r="G4060" s="48"/>
      <c r="H4060" s="48"/>
      <c r="I4060" s="48"/>
      <c r="J4060" s="86"/>
      <c r="K4060" s="86"/>
      <c r="L4060" s="86"/>
      <c r="M4060" s="86"/>
      <c r="N4060" s="86"/>
      <c r="O4060" s="86"/>
      <c r="P4060" s="86"/>
      <c r="Q4060" s="86"/>
      <c r="R4060" s="86"/>
      <c r="S4060" s="86"/>
      <c r="T4060" s="86"/>
      <c r="U4060" s="86"/>
      <c r="V4060" s="48"/>
      <c r="W4060" s="48"/>
      <c r="X4060" s="48"/>
      <c r="Y4060" s="48"/>
      <c r="Z4060" s="48"/>
      <c r="AA4060" s="48"/>
      <c r="AB4060" s="48"/>
      <c r="AC4060" s="48"/>
      <c r="AD4060" s="48"/>
      <c r="AE4060" s="48"/>
      <c r="AF4060" s="48"/>
      <c r="AG4060" s="48"/>
      <c r="AH4060" s="48"/>
      <c r="AI4060" s="48"/>
      <c r="AJ4060" s="48"/>
      <c r="AK4060" s="48"/>
      <c r="AL4060" s="48"/>
      <c r="AM4060" s="48"/>
      <c r="AN4060" s="48"/>
      <c r="AO4060" s="48"/>
      <c r="AP4060" s="48"/>
      <c r="AQ4060" s="48"/>
      <c r="AR4060" s="48"/>
      <c r="AS4060" s="48"/>
      <c r="AT4060" s="48"/>
      <c r="AU4060" s="48"/>
      <c r="AV4060" s="48"/>
      <c r="AW4060" s="48"/>
      <c r="AX4060" s="48"/>
      <c r="AY4060" s="48"/>
      <c r="AZ4060" s="48"/>
      <c r="BA4060" s="48"/>
      <c r="BB4060" s="48"/>
      <c r="BC4060" s="48"/>
      <c r="BD4060" s="48"/>
    </row>
    <row r="4061" spans="1:56">
      <c r="A4061" s="48"/>
      <c r="B4061" s="48"/>
      <c r="C4061" s="49"/>
      <c r="D4061" s="48"/>
      <c r="E4061" s="48"/>
      <c r="F4061" s="48"/>
      <c r="G4061" s="48"/>
      <c r="H4061" s="48"/>
      <c r="I4061" s="48"/>
      <c r="J4061" s="86"/>
      <c r="K4061" s="86"/>
      <c r="L4061" s="86"/>
      <c r="M4061" s="86"/>
      <c r="N4061" s="86"/>
      <c r="O4061" s="86"/>
      <c r="P4061" s="86"/>
      <c r="Q4061" s="86"/>
      <c r="R4061" s="86"/>
      <c r="S4061" s="86"/>
      <c r="T4061" s="86"/>
      <c r="U4061" s="86"/>
      <c r="V4061" s="48"/>
      <c r="W4061" s="48"/>
      <c r="X4061" s="48"/>
      <c r="Y4061" s="48"/>
      <c r="Z4061" s="48"/>
      <c r="AA4061" s="48"/>
      <c r="AB4061" s="48"/>
      <c r="AC4061" s="48"/>
      <c r="AD4061" s="48"/>
      <c r="AE4061" s="48"/>
      <c r="AF4061" s="48"/>
      <c r="AG4061" s="48"/>
      <c r="AH4061" s="48"/>
      <c r="AI4061" s="48"/>
      <c r="AJ4061" s="48"/>
      <c r="AK4061" s="48"/>
      <c r="AL4061" s="48"/>
      <c r="AM4061" s="48"/>
      <c r="AN4061" s="48"/>
      <c r="AO4061" s="48"/>
      <c r="AP4061" s="48"/>
      <c r="AQ4061" s="48"/>
      <c r="AR4061" s="48"/>
      <c r="AS4061" s="48"/>
      <c r="AT4061" s="48"/>
      <c r="AU4061" s="48"/>
      <c r="AV4061" s="48"/>
      <c r="AW4061" s="48"/>
      <c r="AX4061" s="48"/>
      <c r="AY4061" s="48"/>
      <c r="AZ4061" s="48"/>
      <c r="BA4061" s="48"/>
      <c r="BB4061" s="48"/>
      <c r="BC4061" s="48"/>
      <c r="BD4061" s="48"/>
    </row>
    <row r="4062" spans="1:56">
      <c r="A4062" s="48"/>
      <c r="B4062" s="48"/>
      <c r="C4062" s="49"/>
      <c r="D4062" s="48"/>
      <c r="E4062" s="48"/>
      <c r="F4062" s="48"/>
      <c r="G4062" s="48"/>
      <c r="H4062" s="48"/>
      <c r="I4062" s="48"/>
      <c r="J4062" s="86"/>
      <c r="K4062" s="86"/>
      <c r="L4062" s="86"/>
      <c r="M4062" s="86"/>
      <c r="N4062" s="86"/>
      <c r="O4062" s="86"/>
      <c r="P4062" s="86"/>
      <c r="Q4062" s="86"/>
      <c r="R4062" s="86"/>
      <c r="S4062" s="86"/>
      <c r="T4062" s="86"/>
      <c r="U4062" s="86"/>
      <c r="V4062" s="48"/>
      <c r="W4062" s="48"/>
      <c r="X4062" s="48"/>
      <c r="Y4062" s="48"/>
      <c r="Z4062" s="48"/>
      <c r="AA4062" s="48"/>
      <c r="AB4062" s="48"/>
      <c r="AC4062" s="48"/>
      <c r="AD4062" s="48"/>
      <c r="AE4062" s="48"/>
      <c r="AF4062" s="48"/>
      <c r="AG4062" s="48"/>
      <c r="AH4062" s="48"/>
      <c r="AI4062" s="48"/>
      <c r="AJ4062" s="48"/>
      <c r="AK4062" s="48"/>
      <c r="AL4062" s="48"/>
      <c r="AM4062" s="48"/>
      <c r="AN4062" s="48"/>
      <c r="AO4062" s="48"/>
      <c r="AP4062" s="48"/>
      <c r="AQ4062" s="48"/>
      <c r="AR4062" s="48"/>
      <c r="AS4062" s="48"/>
      <c r="AT4062" s="48"/>
      <c r="AU4062" s="48"/>
      <c r="AV4062" s="48"/>
      <c r="AW4062" s="48"/>
      <c r="AX4062" s="48"/>
      <c r="AY4062" s="48"/>
      <c r="AZ4062" s="48"/>
      <c r="BA4062" s="48"/>
      <c r="BB4062" s="48"/>
      <c r="BC4062" s="48"/>
      <c r="BD4062" s="48"/>
    </row>
    <row r="4063" spans="1:56">
      <c r="A4063" s="48"/>
      <c r="B4063" s="48"/>
      <c r="C4063" s="49"/>
      <c r="D4063" s="48"/>
      <c r="E4063" s="48"/>
      <c r="F4063" s="48"/>
      <c r="G4063" s="48"/>
      <c r="H4063" s="48"/>
      <c r="I4063" s="48"/>
      <c r="J4063" s="86"/>
      <c r="K4063" s="86"/>
      <c r="L4063" s="86"/>
      <c r="M4063" s="86"/>
      <c r="N4063" s="86"/>
      <c r="O4063" s="86"/>
      <c r="P4063" s="86"/>
      <c r="Q4063" s="86"/>
      <c r="R4063" s="86"/>
      <c r="S4063" s="86"/>
      <c r="T4063" s="86"/>
      <c r="U4063" s="86"/>
      <c r="V4063" s="48"/>
      <c r="W4063" s="48"/>
      <c r="X4063" s="48"/>
      <c r="Y4063" s="48"/>
      <c r="Z4063" s="48"/>
      <c r="AA4063" s="48"/>
      <c r="AB4063" s="48"/>
      <c r="AC4063" s="48"/>
      <c r="AD4063" s="48"/>
      <c r="AE4063" s="48"/>
      <c r="AF4063" s="48"/>
      <c r="AG4063" s="48"/>
      <c r="AH4063" s="48"/>
      <c r="AI4063" s="48"/>
      <c r="AJ4063" s="48"/>
      <c r="AK4063" s="48"/>
      <c r="AL4063" s="48"/>
      <c r="AM4063" s="48"/>
      <c r="AN4063" s="48"/>
      <c r="AO4063" s="48"/>
      <c r="AP4063" s="48"/>
      <c r="AQ4063" s="48"/>
      <c r="AR4063" s="48"/>
      <c r="AS4063" s="48"/>
      <c r="AT4063" s="48"/>
      <c r="AU4063" s="48"/>
      <c r="AV4063" s="48"/>
      <c r="AW4063" s="48"/>
      <c r="AX4063" s="48"/>
      <c r="AY4063" s="48"/>
      <c r="AZ4063" s="48"/>
      <c r="BA4063" s="48"/>
      <c r="BB4063" s="48"/>
      <c r="BC4063" s="48"/>
      <c r="BD4063" s="48"/>
    </row>
    <row r="4064" spans="1:56">
      <c r="A4064" s="48"/>
      <c r="B4064" s="48"/>
      <c r="C4064" s="49"/>
      <c r="D4064" s="48"/>
      <c r="E4064" s="48"/>
      <c r="F4064" s="48"/>
      <c r="G4064" s="48"/>
      <c r="H4064" s="48"/>
      <c r="I4064" s="48"/>
      <c r="J4064" s="86"/>
      <c r="K4064" s="86"/>
      <c r="L4064" s="86"/>
      <c r="M4064" s="86"/>
      <c r="N4064" s="86"/>
      <c r="O4064" s="86"/>
      <c r="P4064" s="86"/>
      <c r="Q4064" s="86"/>
      <c r="R4064" s="86"/>
      <c r="S4064" s="86"/>
      <c r="T4064" s="86"/>
      <c r="U4064" s="86"/>
      <c r="V4064" s="48"/>
      <c r="W4064" s="48"/>
      <c r="X4064" s="48"/>
      <c r="Y4064" s="48"/>
      <c r="Z4064" s="48"/>
      <c r="AA4064" s="48"/>
      <c r="AB4064" s="48"/>
      <c r="AC4064" s="48"/>
      <c r="AD4064" s="48"/>
      <c r="AE4064" s="48"/>
      <c r="AF4064" s="48"/>
      <c r="AG4064" s="48"/>
      <c r="AH4064" s="48"/>
      <c r="AI4064" s="48"/>
      <c r="AJ4064" s="48"/>
      <c r="AK4064" s="48"/>
      <c r="AL4064" s="48"/>
      <c r="AM4064" s="48"/>
      <c r="AN4064" s="48"/>
      <c r="AO4064" s="48"/>
      <c r="AP4064" s="48"/>
      <c r="AQ4064" s="48"/>
      <c r="AR4064" s="48"/>
      <c r="AS4064" s="48"/>
      <c r="AT4064" s="48"/>
      <c r="AU4064" s="48"/>
      <c r="AV4064" s="48"/>
      <c r="AW4064" s="48"/>
      <c r="AX4064" s="48"/>
      <c r="AY4064" s="48"/>
      <c r="AZ4064" s="48"/>
      <c r="BA4064" s="48"/>
      <c r="BB4064" s="48"/>
      <c r="BC4064" s="48"/>
      <c r="BD4064" s="48"/>
    </row>
    <row r="4065" spans="1:56">
      <c r="A4065" s="48"/>
      <c r="B4065" s="48"/>
      <c r="C4065" s="49"/>
      <c r="D4065" s="48"/>
      <c r="E4065" s="48"/>
      <c r="F4065" s="48"/>
      <c r="G4065" s="48"/>
      <c r="H4065" s="48"/>
      <c r="I4065" s="48"/>
      <c r="J4065" s="86"/>
      <c r="K4065" s="86"/>
      <c r="L4065" s="86"/>
      <c r="M4065" s="86"/>
      <c r="N4065" s="86"/>
      <c r="O4065" s="86"/>
      <c r="P4065" s="86"/>
      <c r="Q4065" s="86"/>
      <c r="R4065" s="86"/>
      <c r="S4065" s="86"/>
      <c r="T4065" s="86"/>
      <c r="U4065" s="86"/>
      <c r="V4065" s="48"/>
      <c r="W4065" s="48"/>
      <c r="X4065" s="48"/>
      <c r="Y4065" s="48"/>
      <c r="Z4065" s="48"/>
      <c r="AA4065" s="48"/>
      <c r="AB4065" s="48"/>
      <c r="AC4065" s="48"/>
      <c r="AD4065" s="48"/>
      <c r="AE4065" s="48"/>
      <c r="AF4065" s="48"/>
      <c r="AG4065" s="48"/>
      <c r="AH4065" s="48"/>
      <c r="AI4065" s="48"/>
      <c r="AJ4065" s="48"/>
      <c r="AK4065" s="48"/>
      <c r="AL4065" s="48"/>
      <c r="AM4065" s="48"/>
      <c r="AN4065" s="48"/>
      <c r="AO4065" s="48"/>
      <c r="AP4065" s="48"/>
      <c r="AQ4065" s="48"/>
      <c r="AR4065" s="48"/>
      <c r="AS4065" s="48"/>
      <c r="AT4065" s="48"/>
      <c r="AU4065" s="48"/>
      <c r="AV4065" s="48"/>
      <c r="AW4065" s="48"/>
      <c r="AX4065" s="48"/>
      <c r="AY4065" s="48"/>
      <c r="AZ4065" s="48"/>
      <c r="BA4065" s="48"/>
      <c r="BB4065" s="48"/>
      <c r="BC4065" s="48"/>
      <c r="BD4065" s="48"/>
    </row>
    <row r="4066" spans="1:56">
      <c r="A4066" s="48"/>
      <c r="B4066" s="48"/>
      <c r="C4066" s="49"/>
      <c r="D4066" s="48"/>
      <c r="E4066" s="48"/>
      <c r="F4066" s="48"/>
      <c r="G4066" s="48"/>
      <c r="H4066" s="48"/>
      <c r="I4066" s="48"/>
      <c r="J4066" s="86"/>
      <c r="K4066" s="86"/>
      <c r="L4066" s="86"/>
      <c r="M4066" s="86"/>
      <c r="N4066" s="86"/>
      <c r="O4066" s="86"/>
      <c r="P4066" s="86"/>
      <c r="Q4066" s="86"/>
      <c r="R4066" s="86"/>
      <c r="S4066" s="86"/>
      <c r="T4066" s="86"/>
      <c r="U4066" s="86"/>
      <c r="V4066" s="48"/>
      <c r="W4066" s="48"/>
      <c r="X4066" s="48"/>
      <c r="Y4066" s="48"/>
      <c r="Z4066" s="48"/>
      <c r="AA4066" s="48"/>
      <c r="AB4066" s="48"/>
      <c r="AC4066" s="48"/>
      <c r="AD4066" s="48"/>
      <c r="AE4066" s="48"/>
      <c r="AF4066" s="48"/>
      <c r="AG4066" s="48"/>
      <c r="AH4066" s="48"/>
      <c r="AI4066" s="48"/>
      <c r="AJ4066" s="48"/>
      <c r="AK4066" s="48"/>
      <c r="AL4066" s="48"/>
      <c r="AM4066" s="48"/>
      <c r="AN4066" s="48"/>
      <c r="AO4066" s="48"/>
      <c r="AP4066" s="48"/>
      <c r="AQ4066" s="48"/>
      <c r="AR4066" s="48"/>
      <c r="AS4066" s="48"/>
      <c r="AT4066" s="48"/>
      <c r="AU4066" s="48"/>
      <c r="AV4066" s="48"/>
      <c r="AW4066" s="48"/>
      <c r="AX4066" s="48"/>
      <c r="AY4066" s="48"/>
      <c r="AZ4066" s="48"/>
      <c r="BA4066" s="48"/>
      <c r="BB4066" s="48"/>
      <c r="BC4066" s="48"/>
      <c r="BD4066" s="48"/>
    </row>
    <row r="4067" spans="1:56">
      <c r="A4067" s="48"/>
      <c r="B4067" s="48"/>
      <c r="C4067" s="49"/>
      <c r="D4067" s="48"/>
      <c r="E4067" s="48"/>
      <c r="F4067" s="48"/>
      <c r="G4067" s="48"/>
      <c r="H4067" s="48"/>
      <c r="I4067" s="48"/>
      <c r="J4067" s="86"/>
      <c r="K4067" s="86"/>
      <c r="L4067" s="86"/>
      <c r="M4067" s="86"/>
      <c r="N4067" s="86"/>
      <c r="O4067" s="86"/>
      <c r="P4067" s="86"/>
      <c r="Q4067" s="86"/>
      <c r="R4067" s="86"/>
      <c r="S4067" s="86"/>
      <c r="T4067" s="86"/>
      <c r="U4067" s="86"/>
      <c r="V4067" s="48"/>
      <c r="W4067" s="48"/>
      <c r="X4067" s="48"/>
      <c r="Y4067" s="48"/>
      <c r="Z4067" s="48"/>
      <c r="AA4067" s="48"/>
      <c r="AB4067" s="48"/>
      <c r="AC4067" s="48"/>
      <c r="AD4067" s="48"/>
      <c r="AE4067" s="48"/>
      <c r="AF4067" s="48"/>
      <c r="AG4067" s="48"/>
      <c r="AH4067" s="48"/>
      <c r="AI4067" s="48"/>
      <c r="AJ4067" s="48"/>
      <c r="AK4067" s="48"/>
      <c r="AL4067" s="48"/>
      <c r="AM4067" s="48"/>
      <c r="AN4067" s="48"/>
      <c r="AO4067" s="48"/>
      <c r="AP4067" s="48"/>
      <c r="AQ4067" s="48"/>
      <c r="AR4067" s="48"/>
      <c r="AS4067" s="48"/>
      <c r="AT4067" s="48"/>
      <c r="AU4067" s="48"/>
      <c r="AV4067" s="48"/>
      <c r="AW4067" s="48"/>
      <c r="AX4067" s="48"/>
      <c r="AY4067" s="48"/>
      <c r="AZ4067" s="48"/>
      <c r="BA4067" s="48"/>
      <c r="BB4067" s="48"/>
      <c r="BC4067" s="48"/>
      <c r="BD4067" s="48"/>
    </row>
    <row r="4068" spans="1:56">
      <c r="A4068" s="48"/>
      <c r="B4068" s="48"/>
      <c r="C4068" s="49"/>
      <c r="D4068" s="48"/>
      <c r="E4068" s="48"/>
      <c r="F4068" s="48"/>
      <c r="G4068" s="48"/>
      <c r="H4068" s="48"/>
      <c r="I4068" s="48"/>
      <c r="J4068" s="86"/>
      <c r="K4068" s="86"/>
      <c r="L4068" s="86"/>
      <c r="M4068" s="86"/>
      <c r="N4068" s="86"/>
      <c r="O4068" s="86"/>
      <c r="P4068" s="86"/>
      <c r="Q4068" s="86"/>
      <c r="R4068" s="86"/>
      <c r="S4068" s="86"/>
      <c r="T4068" s="86"/>
      <c r="U4068" s="86"/>
      <c r="V4068" s="48"/>
      <c r="W4068" s="48"/>
      <c r="X4068" s="48"/>
      <c r="Y4068" s="48"/>
      <c r="Z4068" s="48"/>
      <c r="AA4068" s="48"/>
      <c r="AB4068" s="48"/>
      <c r="AC4068" s="48"/>
      <c r="AD4068" s="48"/>
      <c r="AE4068" s="48"/>
      <c r="AF4068" s="48"/>
      <c r="AG4068" s="48"/>
      <c r="AH4068" s="48"/>
      <c r="AI4068" s="48"/>
      <c r="AJ4068" s="48"/>
      <c r="AK4068" s="48"/>
      <c r="AL4068" s="48"/>
      <c r="AM4068" s="48"/>
      <c r="AN4068" s="48"/>
      <c r="AO4068" s="48"/>
      <c r="AP4068" s="48"/>
      <c r="AQ4068" s="48"/>
      <c r="AR4068" s="48"/>
      <c r="AS4068" s="48"/>
      <c r="AT4068" s="48"/>
      <c r="AU4068" s="48"/>
      <c r="AV4068" s="48"/>
      <c r="AW4068" s="48"/>
      <c r="AX4068" s="48"/>
      <c r="AY4068" s="48"/>
      <c r="AZ4068" s="48"/>
      <c r="BA4068" s="48"/>
      <c r="BB4068" s="48"/>
      <c r="BC4068" s="48"/>
      <c r="BD4068" s="48"/>
    </row>
    <row r="4069" spans="1:56">
      <c r="A4069" s="48"/>
      <c r="B4069" s="48"/>
      <c r="C4069" s="49"/>
      <c r="D4069" s="48"/>
      <c r="E4069" s="48"/>
      <c r="F4069" s="48"/>
      <c r="G4069" s="48"/>
      <c r="H4069" s="48"/>
      <c r="I4069" s="48"/>
      <c r="J4069" s="86"/>
      <c r="K4069" s="86"/>
      <c r="L4069" s="86"/>
      <c r="M4069" s="86"/>
      <c r="N4069" s="86"/>
      <c r="O4069" s="86"/>
      <c r="P4069" s="86"/>
      <c r="Q4069" s="86"/>
      <c r="R4069" s="86"/>
      <c r="S4069" s="86"/>
      <c r="T4069" s="86"/>
      <c r="U4069" s="86"/>
      <c r="V4069" s="48"/>
      <c r="W4069" s="48"/>
      <c r="X4069" s="48"/>
      <c r="Y4069" s="48"/>
      <c r="Z4069" s="48"/>
      <c r="AA4069" s="48"/>
      <c r="AB4069" s="48"/>
      <c r="AC4069" s="48"/>
      <c r="AD4069" s="48"/>
      <c r="AE4069" s="48"/>
      <c r="AF4069" s="48"/>
      <c r="AG4069" s="48"/>
      <c r="AH4069" s="48"/>
      <c r="AI4069" s="48"/>
      <c r="AJ4069" s="48"/>
      <c r="AK4069" s="48"/>
      <c r="AL4069" s="48"/>
      <c r="AM4069" s="48"/>
      <c r="AN4069" s="48"/>
      <c r="AO4069" s="48"/>
      <c r="AP4069" s="48"/>
      <c r="AQ4069" s="48"/>
      <c r="AR4069" s="48"/>
      <c r="AS4069" s="48"/>
      <c r="AT4069" s="48"/>
      <c r="AU4069" s="48"/>
      <c r="AV4069" s="48"/>
      <c r="AW4069" s="48"/>
      <c r="AX4069" s="48"/>
      <c r="AY4069" s="48"/>
      <c r="AZ4069" s="48"/>
      <c r="BA4069" s="48"/>
      <c r="BB4069" s="48"/>
      <c r="BC4069" s="48"/>
      <c r="BD4069" s="48"/>
    </row>
    <row r="4070" spans="1:56">
      <c r="A4070" s="48"/>
      <c r="B4070" s="48"/>
      <c r="C4070" s="49"/>
      <c r="D4070" s="48"/>
      <c r="E4070" s="48"/>
      <c r="F4070" s="48"/>
      <c r="G4070" s="48"/>
      <c r="H4070" s="48"/>
      <c r="I4070" s="48"/>
      <c r="J4070" s="86"/>
      <c r="K4070" s="86"/>
      <c r="L4070" s="86"/>
      <c r="M4070" s="86"/>
      <c r="N4070" s="86"/>
      <c r="O4070" s="86"/>
      <c r="P4070" s="86"/>
      <c r="Q4070" s="86"/>
      <c r="R4070" s="86"/>
      <c r="S4070" s="86"/>
      <c r="T4070" s="86"/>
      <c r="U4070" s="86"/>
      <c r="V4070" s="48"/>
      <c r="W4070" s="48"/>
      <c r="X4070" s="48"/>
      <c r="Y4070" s="48"/>
      <c r="Z4070" s="48"/>
      <c r="AA4070" s="48"/>
      <c r="AB4070" s="48"/>
      <c r="AC4070" s="48"/>
      <c r="AD4070" s="48"/>
      <c r="AE4070" s="48"/>
      <c r="AF4070" s="48"/>
      <c r="AG4070" s="48"/>
      <c r="AH4070" s="48"/>
      <c r="AI4070" s="48"/>
      <c r="AJ4070" s="48"/>
      <c r="AK4070" s="48"/>
      <c r="AL4070" s="48"/>
      <c r="AM4070" s="48"/>
      <c r="AN4070" s="48"/>
      <c r="AO4070" s="48"/>
      <c r="AP4070" s="48"/>
      <c r="AQ4070" s="48"/>
      <c r="AR4070" s="48"/>
      <c r="AS4070" s="48"/>
      <c r="AT4070" s="48"/>
      <c r="AU4070" s="48"/>
      <c r="AV4070" s="48"/>
      <c r="AW4070" s="48"/>
      <c r="AX4070" s="48"/>
      <c r="AY4070" s="48"/>
      <c r="AZ4070" s="48"/>
      <c r="BA4070" s="48"/>
      <c r="BB4070" s="48"/>
      <c r="BC4070" s="48"/>
      <c r="BD4070" s="48"/>
    </row>
    <row r="4071" spans="1:56">
      <c r="A4071" s="48"/>
      <c r="B4071" s="48"/>
      <c r="C4071" s="49"/>
      <c r="D4071" s="48"/>
      <c r="E4071" s="48"/>
      <c r="F4071" s="48"/>
      <c r="G4071" s="48"/>
      <c r="H4071" s="48"/>
      <c r="I4071" s="48"/>
      <c r="J4071" s="86"/>
      <c r="K4071" s="86"/>
      <c r="L4071" s="86"/>
      <c r="M4071" s="86"/>
      <c r="N4071" s="86"/>
      <c r="O4071" s="86"/>
      <c r="P4071" s="86"/>
      <c r="Q4071" s="86"/>
      <c r="R4071" s="86"/>
      <c r="S4071" s="86"/>
      <c r="T4071" s="86"/>
      <c r="U4071" s="86"/>
      <c r="V4071" s="48"/>
      <c r="W4071" s="48"/>
      <c r="X4071" s="48"/>
      <c r="Y4071" s="48"/>
      <c r="Z4071" s="48"/>
      <c r="AA4071" s="48"/>
      <c r="AB4071" s="48"/>
      <c r="AC4071" s="48"/>
      <c r="AD4071" s="48"/>
      <c r="AE4071" s="48"/>
      <c r="AF4071" s="48"/>
      <c r="AG4071" s="48"/>
      <c r="AH4071" s="48"/>
      <c r="AI4071" s="48"/>
      <c r="AJ4071" s="48"/>
      <c r="AK4071" s="48"/>
      <c r="AL4071" s="48"/>
      <c r="AM4071" s="48"/>
      <c r="AN4071" s="48"/>
      <c r="AO4071" s="48"/>
      <c r="AP4071" s="48"/>
      <c r="AQ4071" s="48"/>
      <c r="AR4071" s="48"/>
      <c r="AS4071" s="48"/>
      <c r="AT4071" s="48"/>
      <c r="AU4071" s="48"/>
      <c r="AV4071" s="48"/>
      <c r="AW4071" s="48"/>
      <c r="AX4071" s="48"/>
      <c r="AY4071" s="48"/>
      <c r="AZ4071" s="48"/>
      <c r="BA4071" s="48"/>
      <c r="BB4071" s="48"/>
      <c r="BC4071" s="48"/>
      <c r="BD4071" s="48"/>
    </row>
    <row r="4072" spans="1:56">
      <c r="A4072" s="48"/>
      <c r="B4072" s="48"/>
      <c r="C4072" s="49"/>
      <c r="D4072" s="48"/>
      <c r="E4072" s="48"/>
      <c r="F4072" s="48"/>
      <c r="G4072" s="48"/>
      <c r="H4072" s="48"/>
      <c r="I4072" s="48"/>
      <c r="J4072" s="86"/>
      <c r="K4072" s="86"/>
      <c r="L4072" s="86"/>
      <c r="M4072" s="86"/>
      <c r="N4072" s="86"/>
      <c r="O4072" s="86"/>
      <c r="P4072" s="86"/>
      <c r="Q4072" s="86"/>
      <c r="R4072" s="86"/>
      <c r="S4072" s="86"/>
      <c r="T4072" s="86"/>
      <c r="U4072" s="86"/>
      <c r="V4072" s="48"/>
      <c r="W4072" s="48"/>
      <c r="X4072" s="48"/>
      <c r="Y4072" s="48"/>
      <c r="Z4072" s="48"/>
      <c r="AA4072" s="48"/>
      <c r="AB4072" s="48"/>
      <c r="AC4072" s="48"/>
      <c r="AD4072" s="48"/>
      <c r="AE4072" s="48"/>
      <c r="AF4072" s="48"/>
      <c r="AG4072" s="48"/>
      <c r="AH4072" s="48"/>
      <c r="AI4072" s="48"/>
      <c r="AJ4072" s="48"/>
      <c r="AK4072" s="48"/>
      <c r="AL4072" s="48"/>
      <c r="AM4072" s="48"/>
      <c r="AN4072" s="48"/>
      <c r="AO4072" s="48"/>
      <c r="AP4072" s="48"/>
      <c r="AQ4072" s="48"/>
      <c r="AR4072" s="48"/>
      <c r="AS4072" s="48"/>
      <c r="AT4072" s="48"/>
      <c r="AU4072" s="48"/>
      <c r="AV4072" s="48"/>
      <c r="AW4072" s="48"/>
      <c r="AX4072" s="48"/>
      <c r="AY4072" s="48"/>
      <c r="AZ4072" s="48"/>
      <c r="BA4072" s="48"/>
      <c r="BB4072" s="48"/>
      <c r="BC4072" s="48"/>
      <c r="BD4072" s="48"/>
    </row>
    <row r="4073" spans="1:56">
      <c r="A4073" s="48"/>
      <c r="B4073" s="48"/>
      <c r="C4073" s="49"/>
      <c r="D4073" s="48"/>
      <c r="E4073" s="48"/>
      <c r="F4073" s="48"/>
      <c r="G4073" s="48"/>
      <c r="H4073" s="48"/>
      <c r="I4073" s="48"/>
      <c r="J4073" s="86"/>
      <c r="K4073" s="86"/>
      <c r="L4073" s="86"/>
      <c r="M4073" s="86"/>
      <c r="N4073" s="86"/>
      <c r="O4073" s="86"/>
      <c r="P4073" s="86"/>
      <c r="Q4073" s="86"/>
      <c r="R4073" s="86"/>
      <c r="S4073" s="86"/>
      <c r="T4073" s="86"/>
      <c r="U4073" s="86"/>
      <c r="V4073" s="48"/>
      <c r="W4073" s="48"/>
      <c r="X4073" s="48"/>
      <c r="Y4073" s="48"/>
      <c r="Z4073" s="48"/>
      <c r="AA4073" s="48"/>
      <c r="AB4073" s="48"/>
      <c r="AC4073" s="48"/>
      <c r="AD4073" s="48"/>
      <c r="AE4073" s="48"/>
      <c r="AF4073" s="48"/>
      <c r="AG4073" s="48"/>
      <c r="AH4073" s="48"/>
      <c r="AI4073" s="48"/>
      <c r="AJ4073" s="48"/>
      <c r="AK4073" s="48"/>
      <c r="AL4073" s="48"/>
      <c r="AM4073" s="48"/>
      <c r="AN4073" s="48"/>
      <c r="AO4073" s="48"/>
      <c r="AP4073" s="48"/>
      <c r="AQ4073" s="48"/>
      <c r="AR4073" s="48"/>
      <c r="AS4073" s="48"/>
      <c r="AT4073" s="48"/>
      <c r="AU4073" s="48"/>
      <c r="AV4073" s="48"/>
      <c r="AW4073" s="48"/>
      <c r="AX4073" s="48"/>
      <c r="AY4073" s="48"/>
      <c r="AZ4073" s="48"/>
      <c r="BA4073" s="48"/>
      <c r="BB4073" s="48"/>
      <c r="BC4073" s="48"/>
      <c r="BD4073" s="48"/>
    </row>
    <row r="4074" spans="1:56">
      <c r="A4074" s="48"/>
      <c r="B4074" s="48"/>
      <c r="C4074" s="49"/>
      <c r="D4074" s="48"/>
      <c r="E4074" s="48"/>
      <c r="F4074" s="48"/>
      <c r="G4074" s="48"/>
      <c r="H4074" s="48"/>
      <c r="I4074" s="48"/>
      <c r="J4074" s="86"/>
      <c r="K4074" s="86"/>
      <c r="L4074" s="86"/>
      <c r="M4074" s="86"/>
      <c r="N4074" s="86"/>
      <c r="O4074" s="86"/>
      <c r="P4074" s="86"/>
      <c r="Q4074" s="86"/>
      <c r="R4074" s="86"/>
      <c r="S4074" s="86"/>
      <c r="T4074" s="86"/>
      <c r="U4074" s="86"/>
      <c r="V4074" s="48"/>
      <c r="W4074" s="48"/>
      <c r="X4074" s="48"/>
      <c r="Y4074" s="48"/>
      <c r="Z4074" s="48"/>
      <c r="AA4074" s="48"/>
      <c r="AB4074" s="48"/>
      <c r="AC4074" s="48"/>
      <c r="AD4074" s="48"/>
      <c r="AE4074" s="48"/>
      <c r="AF4074" s="48"/>
      <c r="AG4074" s="48"/>
      <c r="AH4074" s="48"/>
      <c r="AI4074" s="48"/>
      <c r="AJ4074" s="48"/>
      <c r="AK4074" s="48"/>
      <c r="AL4074" s="48"/>
      <c r="AM4074" s="48"/>
      <c r="AN4074" s="48"/>
      <c r="AO4074" s="48"/>
      <c r="AP4074" s="48"/>
      <c r="AQ4074" s="48"/>
      <c r="AR4074" s="48"/>
      <c r="AS4074" s="48"/>
      <c r="AT4074" s="48"/>
      <c r="AU4074" s="48"/>
      <c r="AV4074" s="48"/>
      <c r="AW4074" s="48"/>
      <c r="AX4074" s="48"/>
      <c r="AY4074" s="48"/>
      <c r="AZ4074" s="48"/>
      <c r="BA4074" s="48"/>
      <c r="BB4074" s="48"/>
      <c r="BC4074" s="48"/>
      <c r="BD4074" s="48"/>
    </row>
    <row r="4075" spans="1:56">
      <c r="A4075" s="48"/>
      <c r="B4075" s="48"/>
      <c r="C4075" s="49"/>
      <c r="D4075" s="48"/>
      <c r="E4075" s="48"/>
      <c r="F4075" s="48"/>
      <c r="G4075" s="48"/>
      <c r="H4075" s="48"/>
      <c r="I4075" s="48"/>
      <c r="J4075" s="86"/>
      <c r="K4075" s="86"/>
      <c r="L4075" s="86"/>
      <c r="M4075" s="86"/>
      <c r="N4075" s="86"/>
      <c r="O4075" s="86"/>
      <c r="P4075" s="86"/>
      <c r="Q4075" s="86"/>
      <c r="R4075" s="86"/>
      <c r="S4075" s="86"/>
      <c r="T4075" s="86"/>
      <c r="U4075" s="86"/>
      <c r="V4075" s="48"/>
      <c r="W4075" s="48"/>
      <c r="X4075" s="48"/>
      <c r="Y4075" s="48"/>
      <c r="Z4075" s="48"/>
      <c r="AA4075" s="48"/>
      <c r="AB4075" s="48"/>
      <c r="AC4075" s="48"/>
      <c r="AD4075" s="48"/>
      <c r="AE4075" s="48"/>
      <c r="AF4075" s="48"/>
      <c r="AG4075" s="48"/>
      <c r="AH4075" s="48"/>
      <c r="AI4075" s="48"/>
      <c r="AJ4075" s="48"/>
      <c r="AK4075" s="48"/>
      <c r="AL4075" s="48"/>
      <c r="AM4075" s="48"/>
      <c r="AN4075" s="48"/>
      <c r="AO4075" s="48"/>
      <c r="AP4075" s="48"/>
      <c r="AQ4075" s="48"/>
      <c r="AR4075" s="48"/>
      <c r="AS4075" s="48"/>
      <c r="AT4075" s="48"/>
      <c r="AU4075" s="48"/>
      <c r="AV4075" s="48"/>
      <c r="AW4075" s="48"/>
      <c r="AX4075" s="48"/>
      <c r="AY4075" s="48"/>
      <c r="AZ4075" s="48"/>
      <c r="BA4075" s="48"/>
      <c r="BB4075" s="48"/>
      <c r="BC4075" s="48"/>
      <c r="BD4075" s="48"/>
    </row>
    <row r="4076" spans="1:56">
      <c r="A4076" s="48"/>
      <c r="B4076" s="48"/>
      <c r="C4076" s="49"/>
      <c r="D4076" s="48"/>
      <c r="E4076" s="48"/>
      <c r="F4076" s="48"/>
      <c r="G4076" s="48"/>
      <c r="H4076" s="48"/>
      <c r="I4076" s="48"/>
      <c r="J4076" s="86"/>
      <c r="K4076" s="86"/>
      <c r="L4076" s="86"/>
      <c r="M4076" s="86"/>
      <c r="N4076" s="86"/>
      <c r="O4076" s="86"/>
      <c r="P4076" s="86"/>
      <c r="Q4076" s="86"/>
      <c r="R4076" s="86"/>
      <c r="S4076" s="86"/>
      <c r="T4076" s="86"/>
      <c r="U4076" s="86"/>
      <c r="V4076" s="48"/>
      <c r="W4076" s="48"/>
      <c r="X4076" s="48"/>
      <c r="Y4076" s="48"/>
      <c r="Z4076" s="48"/>
      <c r="AA4076" s="48"/>
      <c r="AB4076" s="48"/>
      <c r="AC4076" s="48"/>
      <c r="AD4076" s="48"/>
      <c r="AE4076" s="48"/>
      <c r="AF4076" s="48"/>
      <c r="AG4076" s="48"/>
      <c r="AH4076" s="48"/>
      <c r="AI4076" s="48"/>
      <c r="AJ4076" s="48"/>
      <c r="AK4076" s="48"/>
      <c r="AL4076" s="48"/>
      <c r="AM4076" s="48"/>
      <c r="AN4076" s="48"/>
      <c r="AO4076" s="48"/>
      <c r="AP4076" s="48"/>
      <c r="AQ4076" s="48"/>
      <c r="AR4076" s="48"/>
      <c r="AS4076" s="48"/>
      <c r="AT4076" s="48"/>
      <c r="AU4076" s="48"/>
      <c r="AV4076" s="48"/>
      <c r="AW4076" s="48"/>
      <c r="AX4076" s="48"/>
      <c r="AY4076" s="48"/>
      <c r="AZ4076" s="48"/>
      <c r="BA4076" s="48"/>
      <c r="BB4076" s="48"/>
      <c r="BC4076" s="48"/>
      <c r="BD4076" s="48"/>
    </row>
    <row r="4077" spans="1:56">
      <c r="A4077" s="48"/>
      <c r="B4077" s="48"/>
      <c r="C4077" s="49"/>
      <c r="D4077" s="48"/>
      <c r="E4077" s="48"/>
      <c r="F4077" s="48"/>
      <c r="G4077" s="48"/>
      <c r="H4077" s="48"/>
      <c r="I4077" s="48"/>
      <c r="J4077" s="86"/>
      <c r="K4077" s="86"/>
      <c r="L4077" s="86"/>
      <c r="M4077" s="86"/>
      <c r="N4077" s="86"/>
      <c r="O4077" s="86"/>
      <c r="P4077" s="86"/>
      <c r="Q4077" s="86"/>
      <c r="R4077" s="86"/>
      <c r="S4077" s="86"/>
      <c r="T4077" s="86"/>
      <c r="U4077" s="86"/>
      <c r="V4077" s="48"/>
      <c r="W4077" s="48"/>
      <c r="X4077" s="48"/>
      <c r="Y4077" s="48"/>
      <c r="Z4077" s="48"/>
      <c r="AA4077" s="48"/>
      <c r="AB4077" s="48"/>
      <c r="AC4077" s="48"/>
      <c r="AD4077" s="48"/>
      <c r="AE4077" s="48"/>
      <c r="AF4077" s="48"/>
      <c r="AG4077" s="48"/>
      <c r="AH4077" s="48"/>
      <c r="AI4077" s="48"/>
      <c r="AJ4077" s="48"/>
      <c r="AK4077" s="48"/>
      <c r="AL4077" s="48"/>
      <c r="AM4077" s="48"/>
      <c r="AN4077" s="48"/>
      <c r="AO4077" s="48"/>
      <c r="AP4077" s="48"/>
      <c r="AQ4077" s="48"/>
      <c r="AR4077" s="48"/>
      <c r="AS4077" s="48"/>
      <c r="AT4077" s="48"/>
      <c r="AU4077" s="48"/>
      <c r="AV4077" s="48"/>
      <c r="AW4077" s="48"/>
      <c r="AX4077" s="48"/>
      <c r="AY4077" s="48"/>
      <c r="AZ4077" s="48"/>
      <c r="BA4077" s="48"/>
      <c r="BB4077" s="48"/>
      <c r="BC4077" s="48"/>
      <c r="BD4077" s="48"/>
    </row>
    <row r="4078" spans="1:56">
      <c r="A4078" s="48"/>
      <c r="B4078" s="48"/>
      <c r="C4078" s="49"/>
      <c r="D4078" s="48"/>
      <c r="E4078" s="48"/>
      <c r="F4078" s="48"/>
      <c r="G4078" s="48"/>
      <c r="H4078" s="48"/>
      <c r="I4078" s="48"/>
      <c r="J4078" s="86"/>
      <c r="K4078" s="86"/>
      <c r="L4078" s="86"/>
      <c r="M4078" s="86"/>
      <c r="N4078" s="86"/>
      <c r="O4078" s="86"/>
      <c r="P4078" s="86"/>
      <c r="Q4078" s="86"/>
      <c r="R4078" s="86"/>
      <c r="S4078" s="86"/>
      <c r="T4078" s="86"/>
      <c r="U4078" s="86"/>
      <c r="V4078" s="48"/>
      <c r="W4078" s="48"/>
      <c r="X4078" s="48"/>
      <c r="Y4078" s="48"/>
      <c r="Z4078" s="48"/>
      <c r="AA4078" s="48"/>
      <c r="AB4078" s="48"/>
      <c r="AC4078" s="48"/>
      <c r="AD4078" s="48"/>
      <c r="AE4078" s="48"/>
      <c r="AF4078" s="48"/>
      <c r="AG4078" s="48"/>
      <c r="AH4078" s="48"/>
      <c r="AI4078" s="48"/>
      <c r="AJ4078" s="48"/>
      <c r="AK4078" s="48"/>
      <c r="AL4078" s="48"/>
      <c r="AM4078" s="48"/>
      <c r="AN4078" s="48"/>
      <c r="AO4078" s="48"/>
      <c r="AP4078" s="48"/>
      <c r="AQ4078" s="48"/>
      <c r="AR4078" s="48"/>
      <c r="AS4078" s="48"/>
      <c r="AT4078" s="48"/>
      <c r="AU4078" s="48"/>
      <c r="AV4078" s="48"/>
      <c r="AW4078" s="48"/>
      <c r="AX4078" s="48"/>
      <c r="AY4078" s="48"/>
      <c r="AZ4078" s="48"/>
      <c r="BA4078" s="48"/>
      <c r="BB4078" s="48"/>
      <c r="BC4078" s="48"/>
      <c r="BD4078" s="48"/>
    </row>
    <row r="4079" spans="1:56">
      <c r="A4079" s="48"/>
      <c r="B4079" s="48"/>
      <c r="C4079" s="49"/>
      <c r="D4079" s="48"/>
      <c r="E4079" s="48"/>
      <c r="F4079" s="48"/>
      <c r="G4079" s="48"/>
      <c r="H4079" s="48"/>
      <c r="I4079" s="48"/>
      <c r="J4079" s="86"/>
      <c r="K4079" s="86"/>
      <c r="L4079" s="86"/>
      <c r="M4079" s="86"/>
      <c r="N4079" s="86"/>
      <c r="O4079" s="86"/>
      <c r="P4079" s="86"/>
      <c r="Q4079" s="86"/>
      <c r="R4079" s="86"/>
      <c r="S4079" s="86"/>
      <c r="T4079" s="86"/>
      <c r="U4079" s="86"/>
      <c r="V4079" s="48"/>
      <c r="W4079" s="48"/>
      <c r="X4079" s="48"/>
      <c r="Y4079" s="48"/>
      <c r="Z4079" s="48"/>
      <c r="AA4079" s="48"/>
      <c r="AB4079" s="48"/>
      <c r="AC4079" s="48"/>
      <c r="AD4079" s="48"/>
      <c r="AE4079" s="48"/>
      <c r="AF4079" s="48"/>
      <c r="AG4079" s="48"/>
      <c r="AH4079" s="48"/>
      <c r="AI4079" s="48"/>
      <c r="AJ4079" s="48"/>
      <c r="AK4079" s="48"/>
      <c r="AL4079" s="48"/>
      <c r="AM4079" s="48"/>
      <c r="AN4079" s="48"/>
      <c r="AO4079" s="48"/>
      <c r="AP4079" s="48"/>
      <c r="AQ4079" s="48"/>
      <c r="AR4079" s="48"/>
      <c r="AS4079" s="48"/>
      <c r="AT4079" s="48"/>
      <c r="AU4079" s="48"/>
      <c r="AV4079" s="48"/>
      <c r="AW4079" s="48"/>
      <c r="AX4079" s="48"/>
      <c r="AY4079" s="48"/>
      <c r="AZ4079" s="48"/>
      <c r="BA4079" s="48"/>
      <c r="BB4079" s="48"/>
      <c r="BC4079" s="48"/>
      <c r="BD4079" s="48"/>
    </row>
    <row r="4080" spans="1:56">
      <c r="A4080" s="48"/>
      <c r="B4080" s="48"/>
      <c r="C4080" s="49"/>
      <c r="D4080" s="48"/>
      <c r="E4080" s="48"/>
      <c r="F4080" s="48"/>
      <c r="G4080" s="48"/>
      <c r="H4080" s="48"/>
      <c r="I4080" s="48"/>
      <c r="J4080" s="86"/>
      <c r="K4080" s="86"/>
      <c r="L4080" s="86"/>
      <c r="M4080" s="86"/>
      <c r="N4080" s="86"/>
      <c r="O4080" s="86"/>
      <c r="P4080" s="86"/>
      <c r="Q4080" s="86"/>
      <c r="R4080" s="86"/>
      <c r="S4080" s="86"/>
      <c r="T4080" s="86"/>
      <c r="U4080" s="86"/>
      <c r="V4080" s="48"/>
      <c r="W4080" s="48"/>
      <c r="X4080" s="48"/>
      <c r="Y4080" s="48"/>
      <c r="Z4080" s="48"/>
      <c r="AA4080" s="48"/>
      <c r="AB4080" s="48"/>
      <c r="AC4080" s="48"/>
      <c r="AD4080" s="48"/>
      <c r="AE4080" s="48"/>
      <c r="AF4080" s="48"/>
      <c r="AG4080" s="48"/>
      <c r="AH4080" s="48"/>
      <c r="AI4080" s="48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48"/>
      <c r="AT4080" s="48"/>
      <c r="AU4080" s="48"/>
      <c r="AV4080" s="48"/>
      <c r="AW4080" s="48"/>
      <c r="AX4080" s="48"/>
      <c r="AY4080" s="48"/>
      <c r="AZ4080" s="48"/>
      <c r="BA4080" s="48"/>
      <c r="BB4080" s="48"/>
      <c r="BC4080" s="48"/>
      <c r="BD4080" s="48"/>
    </row>
    <row r="4081" spans="1:56">
      <c r="A4081" s="48"/>
      <c r="B4081" s="48"/>
      <c r="C4081" s="49"/>
      <c r="D4081" s="48"/>
      <c r="E4081" s="48"/>
      <c r="F4081" s="48"/>
      <c r="G4081" s="48"/>
      <c r="H4081" s="48"/>
      <c r="I4081" s="48"/>
      <c r="J4081" s="86"/>
      <c r="K4081" s="86"/>
      <c r="L4081" s="86"/>
      <c r="M4081" s="86"/>
      <c r="N4081" s="86"/>
      <c r="O4081" s="86"/>
      <c r="P4081" s="86"/>
      <c r="Q4081" s="86"/>
      <c r="R4081" s="86"/>
      <c r="S4081" s="86"/>
      <c r="T4081" s="86"/>
      <c r="U4081" s="86"/>
      <c r="V4081" s="48"/>
      <c r="W4081" s="48"/>
      <c r="X4081" s="48"/>
      <c r="Y4081" s="48"/>
      <c r="Z4081" s="48"/>
      <c r="AA4081" s="48"/>
      <c r="AB4081" s="48"/>
      <c r="AC4081" s="48"/>
      <c r="AD4081" s="48"/>
      <c r="AE4081" s="48"/>
      <c r="AF4081" s="48"/>
      <c r="AG4081" s="48"/>
      <c r="AH4081" s="48"/>
      <c r="AI4081" s="48"/>
      <c r="AJ4081" s="48"/>
      <c r="AK4081" s="48"/>
      <c r="AL4081" s="48"/>
      <c r="AM4081" s="48"/>
      <c r="AN4081" s="48"/>
      <c r="AO4081" s="48"/>
      <c r="AP4081" s="48"/>
      <c r="AQ4081" s="48"/>
      <c r="AR4081" s="48"/>
      <c r="AS4081" s="48"/>
      <c r="AT4081" s="48"/>
      <c r="AU4081" s="48"/>
      <c r="AV4081" s="48"/>
      <c r="AW4081" s="48"/>
      <c r="AX4081" s="48"/>
      <c r="AY4081" s="48"/>
      <c r="AZ4081" s="48"/>
      <c r="BA4081" s="48"/>
      <c r="BB4081" s="48"/>
      <c r="BC4081" s="48"/>
      <c r="BD4081" s="48"/>
    </row>
    <row r="4082" spans="1:56">
      <c r="A4082" s="48"/>
      <c r="B4082" s="48"/>
      <c r="C4082" s="49"/>
      <c r="D4082" s="48"/>
      <c r="E4082" s="48"/>
      <c r="F4082" s="48"/>
      <c r="G4082" s="48"/>
      <c r="H4082" s="48"/>
      <c r="I4082" s="48"/>
      <c r="J4082" s="86"/>
      <c r="K4082" s="86"/>
      <c r="L4082" s="86"/>
      <c r="M4082" s="86"/>
      <c r="N4082" s="86"/>
      <c r="O4082" s="86"/>
      <c r="P4082" s="86"/>
      <c r="Q4082" s="86"/>
      <c r="R4082" s="86"/>
      <c r="S4082" s="86"/>
      <c r="T4082" s="86"/>
      <c r="U4082" s="86"/>
      <c r="V4082" s="48"/>
      <c r="W4082" s="48"/>
      <c r="X4082" s="48"/>
      <c r="Y4082" s="48"/>
      <c r="Z4082" s="48"/>
      <c r="AA4082" s="48"/>
      <c r="AB4082" s="48"/>
      <c r="AC4082" s="48"/>
      <c r="AD4082" s="48"/>
      <c r="AE4082" s="48"/>
      <c r="AF4082" s="48"/>
      <c r="AG4082" s="48"/>
      <c r="AH4082" s="48"/>
      <c r="AI4082" s="48"/>
      <c r="AJ4082" s="48"/>
      <c r="AK4082" s="48"/>
      <c r="AL4082" s="48"/>
      <c r="AM4082" s="48"/>
      <c r="AN4082" s="48"/>
      <c r="AO4082" s="48"/>
      <c r="AP4082" s="48"/>
      <c r="AQ4082" s="48"/>
      <c r="AR4082" s="48"/>
      <c r="AS4082" s="48"/>
      <c r="AT4082" s="48"/>
      <c r="AU4082" s="48"/>
      <c r="AV4082" s="48"/>
      <c r="AW4082" s="48"/>
      <c r="AX4082" s="48"/>
      <c r="AY4082" s="48"/>
      <c r="AZ4082" s="48"/>
      <c r="BA4082" s="48"/>
      <c r="BB4082" s="48"/>
      <c r="BC4082" s="48"/>
      <c r="BD4082" s="48"/>
    </row>
    <row r="4083" spans="1:56">
      <c r="A4083" s="48"/>
      <c r="B4083" s="48"/>
      <c r="C4083" s="49"/>
      <c r="D4083" s="48"/>
      <c r="E4083" s="48"/>
      <c r="F4083" s="48"/>
      <c r="G4083" s="48"/>
      <c r="H4083" s="48"/>
      <c r="I4083" s="48"/>
      <c r="J4083" s="86"/>
      <c r="K4083" s="86"/>
      <c r="L4083" s="86"/>
      <c r="M4083" s="86"/>
      <c r="N4083" s="86"/>
      <c r="O4083" s="86"/>
      <c r="P4083" s="86"/>
      <c r="Q4083" s="86"/>
      <c r="R4083" s="86"/>
      <c r="S4083" s="86"/>
      <c r="T4083" s="86"/>
      <c r="U4083" s="86"/>
      <c r="V4083" s="48"/>
      <c r="W4083" s="48"/>
      <c r="X4083" s="48"/>
      <c r="Y4083" s="48"/>
      <c r="Z4083" s="48"/>
      <c r="AA4083" s="48"/>
      <c r="AB4083" s="48"/>
      <c r="AC4083" s="48"/>
      <c r="AD4083" s="48"/>
      <c r="AE4083" s="48"/>
      <c r="AF4083" s="48"/>
      <c r="AG4083" s="48"/>
      <c r="AH4083" s="48"/>
      <c r="AI4083" s="48"/>
      <c r="AJ4083" s="48"/>
      <c r="AK4083" s="48"/>
      <c r="AL4083" s="48"/>
      <c r="AM4083" s="48"/>
      <c r="AN4083" s="48"/>
      <c r="AO4083" s="48"/>
      <c r="AP4083" s="48"/>
      <c r="AQ4083" s="48"/>
      <c r="AR4083" s="48"/>
      <c r="AS4083" s="48"/>
      <c r="AT4083" s="48"/>
      <c r="AU4083" s="48"/>
      <c r="AV4083" s="48"/>
      <c r="AW4083" s="48"/>
      <c r="AX4083" s="48"/>
      <c r="AY4083" s="48"/>
      <c r="AZ4083" s="48"/>
      <c r="BA4083" s="48"/>
      <c r="BB4083" s="48"/>
      <c r="BC4083" s="48"/>
      <c r="BD4083" s="48"/>
    </row>
    <row r="4084" spans="1:56">
      <c r="A4084" s="48"/>
      <c r="B4084" s="48"/>
      <c r="C4084" s="49"/>
      <c r="D4084" s="48"/>
      <c r="E4084" s="48"/>
      <c r="F4084" s="48"/>
      <c r="G4084" s="48"/>
      <c r="H4084" s="48"/>
      <c r="I4084" s="48"/>
      <c r="J4084" s="86"/>
      <c r="K4084" s="86"/>
      <c r="L4084" s="86"/>
      <c r="M4084" s="86"/>
      <c r="N4084" s="86"/>
      <c r="O4084" s="86"/>
      <c r="P4084" s="86"/>
      <c r="Q4084" s="86"/>
      <c r="R4084" s="86"/>
      <c r="S4084" s="86"/>
      <c r="T4084" s="86"/>
      <c r="U4084" s="86"/>
      <c r="V4084" s="48"/>
      <c r="W4084" s="48"/>
      <c r="X4084" s="48"/>
      <c r="Y4084" s="48"/>
      <c r="Z4084" s="48"/>
      <c r="AA4084" s="48"/>
      <c r="AB4084" s="48"/>
      <c r="AC4084" s="48"/>
      <c r="AD4084" s="48"/>
      <c r="AE4084" s="48"/>
      <c r="AF4084" s="48"/>
      <c r="AG4084" s="48"/>
      <c r="AH4084" s="48"/>
      <c r="AI4084" s="48"/>
      <c r="AJ4084" s="48"/>
      <c r="AK4084" s="48"/>
      <c r="AL4084" s="48"/>
      <c r="AM4084" s="48"/>
      <c r="AN4084" s="48"/>
      <c r="AO4084" s="48"/>
      <c r="AP4084" s="48"/>
      <c r="AQ4084" s="48"/>
      <c r="AR4084" s="48"/>
      <c r="AS4084" s="48"/>
      <c r="AT4084" s="48"/>
      <c r="AU4084" s="48"/>
      <c r="AV4084" s="48"/>
      <c r="AW4084" s="48"/>
      <c r="AX4084" s="48"/>
      <c r="AY4084" s="48"/>
      <c r="AZ4084" s="48"/>
      <c r="BA4084" s="48"/>
      <c r="BB4084" s="48"/>
      <c r="BC4084" s="48"/>
      <c r="BD4084" s="48"/>
    </row>
    <row r="4085" spans="1:56">
      <c r="A4085" s="48"/>
      <c r="B4085" s="48"/>
      <c r="C4085" s="49"/>
      <c r="D4085" s="48"/>
      <c r="E4085" s="48"/>
      <c r="F4085" s="48"/>
      <c r="G4085" s="48"/>
      <c r="H4085" s="48"/>
      <c r="I4085" s="48"/>
      <c r="J4085" s="86"/>
      <c r="K4085" s="86"/>
      <c r="L4085" s="86"/>
      <c r="M4085" s="86"/>
      <c r="N4085" s="86"/>
      <c r="O4085" s="86"/>
      <c r="P4085" s="86"/>
      <c r="Q4085" s="86"/>
      <c r="R4085" s="86"/>
      <c r="S4085" s="86"/>
      <c r="T4085" s="86"/>
      <c r="U4085" s="86"/>
      <c r="V4085" s="48"/>
      <c r="W4085" s="48"/>
      <c r="X4085" s="48"/>
      <c r="Y4085" s="48"/>
      <c r="Z4085" s="48"/>
      <c r="AA4085" s="48"/>
      <c r="AB4085" s="48"/>
      <c r="AC4085" s="48"/>
      <c r="AD4085" s="48"/>
      <c r="AE4085" s="48"/>
      <c r="AF4085" s="48"/>
      <c r="AG4085" s="48"/>
      <c r="AH4085" s="48"/>
      <c r="AI4085" s="48"/>
      <c r="AJ4085" s="48"/>
      <c r="AK4085" s="48"/>
      <c r="AL4085" s="48"/>
      <c r="AM4085" s="48"/>
      <c r="AN4085" s="48"/>
      <c r="AO4085" s="48"/>
      <c r="AP4085" s="48"/>
      <c r="AQ4085" s="48"/>
      <c r="AR4085" s="48"/>
      <c r="AS4085" s="48"/>
      <c r="AT4085" s="48"/>
      <c r="AU4085" s="48"/>
      <c r="AV4085" s="48"/>
      <c r="AW4085" s="48"/>
      <c r="AX4085" s="48"/>
      <c r="AY4085" s="48"/>
      <c r="AZ4085" s="48"/>
      <c r="BA4085" s="48"/>
      <c r="BB4085" s="48"/>
      <c r="BC4085" s="48"/>
      <c r="BD4085" s="48"/>
    </row>
    <row r="4086" spans="1:56">
      <c r="A4086" s="48"/>
      <c r="B4086" s="48"/>
      <c r="C4086" s="49"/>
      <c r="D4086" s="48"/>
      <c r="E4086" s="48"/>
      <c r="F4086" s="48"/>
      <c r="G4086" s="48"/>
      <c r="H4086" s="48"/>
      <c r="I4086" s="48"/>
      <c r="J4086" s="86"/>
      <c r="K4086" s="86"/>
      <c r="L4086" s="86"/>
      <c r="M4086" s="86"/>
      <c r="N4086" s="86"/>
      <c r="O4086" s="86"/>
      <c r="P4086" s="86"/>
      <c r="Q4086" s="86"/>
      <c r="R4086" s="86"/>
      <c r="S4086" s="86"/>
      <c r="T4086" s="86"/>
      <c r="U4086" s="86"/>
      <c r="V4086" s="48"/>
      <c r="W4086" s="48"/>
      <c r="X4086" s="48"/>
      <c r="Y4086" s="48"/>
      <c r="Z4086" s="48"/>
      <c r="AA4086" s="48"/>
      <c r="AB4086" s="48"/>
      <c r="AC4086" s="48"/>
      <c r="AD4086" s="48"/>
      <c r="AE4086" s="48"/>
      <c r="AF4086" s="48"/>
      <c r="AG4086" s="48"/>
      <c r="AH4086" s="48"/>
      <c r="AI4086" s="48"/>
      <c r="AJ4086" s="48"/>
      <c r="AK4086" s="48"/>
      <c r="AL4086" s="48"/>
      <c r="AM4086" s="48"/>
      <c r="AN4086" s="48"/>
      <c r="AO4086" s="48"/>
      <c r="AP4086" s="48"/>
      <c r="AQ4086" s="48"/>
      <c r="AR4086" s="48"/>
      <c r="AS4086" s="48"/>
      <c r="AT4086" s="48"/>
      <c r="AU4086" s="48"/>
      <c r="AV4086" s="48"/>
      <c r="AW4086" s="48"/>
      <c r="AX4086" s="48"/>
      <c r="AY4086" s="48"/>
      <c r="AZ4086" s="48"/>
      <c r="BA4086" s="48"/>
      <c r="BB4086" s="48"/>
      <c r="BC4086" s="48"/>
      <c r="BD4086" s="48"/>
    </row>
    <row r="4087" spans="1:56">
      <c r="A4087" s="48"/>
      <c r="B4087" s="48"/>
      <c r="C4087" s="49"/>
      <c r="D4087" s="48"/>
      <c r="E4087" s="48"/>
      <c r="F4087" s="48"/>
      <c r="G4087" s="48"/>
      <c r="H4087" s="48"/>
      <c r="I4087" s="48"/>
      <c r="J4087" s="86"/>
      <c r="K4087" s="86"/>
      <c r="L4087" s="86"/>
      <c r="M4087" s="86"/>
      <c r="N4087" s="86"/>
      <c r="O4087" s="86"/>
      <c r="P4087" s="86"/>
      <c r="Q4087" s="86"/>
      <c r="R4087" s="86"/>
      <c r="S4087" s="86"/>
      <c r="T4087" s="86"/>
      <c r="U4087" s="86"/>
      <c r="V4087" s="48"/>
      <c r="W4087" s="48"/>
      <c r="X4087" s="48"/>
      <c r="Y4087" s="48"/>
      <c r="Z4087" s="48"/>
      <c r="AA4087" s="48"/>
      <c r="AB4087" s="48"/>
      <c r="AC4087" s="48"/>
      <c r="AD4087" s="48"/>
      <c r="AE4087" s="48"/>
      <c r="AF4087" s="48"/>
      <c r="AG4087" s="48"/>
      <c r="AH4087" s="48"/>
      <c r="AI4087" s="48"/>
      <c r="AJ4087" s="48"/>
      <c r="AK4087" s="48"/>
      <c r="AL4087" s="48"/>
      <c r="AM4087" s="48"/>
      <c r="AN4087" s="48"/>
      <c r="AO4087" s="48"/>
      <c r="AP4087" s="48"/>
      <c r="AQ4087" s="48"/>
      <c r="AR4087" s="48"/>
      <c r="AS4087" s="48"/>
      <c r="AT4087" s="48"/>
      <c r="AU4087" s="48"/>
      <c r="AV4087" s="48"/>
      <c r="AW4087" s="48"/>
      <c r="AX4087" s="48"/>
      <c r="AY4087" s="48"/>
      <c r="AZ4087" s="48"/>
      <c r="BA4087" s="48"/>
      <c r="BB4087" s="48"/>
      <c r="BC4087" s="48"/>
      <c r="BD4087" s="48"/>
    </row>
    <row r="4088" spans="1:56">
      <c r="A4088" s="48"/>
      <c r="B4088" s="48"/>
      <c r="C4088" s="49"/>
      <c r="D4088" s="48"/>
      <c r="E4088" s="48"/>
      <c r="F4088" s="48"/>
      <c r="G4088" s="48"/>
      <c r="H4088" s="48"/>
      <c r="I4088" s="48"/>
      <c r="J4088" s="86"/>
      <c r="K4088" s="86"/>
      <c r="L4088" s="86"/>
      <c r="M4088" s="86"/>
      <c r="N4088" s="86"/>
      <c r="O4088" s="86"/>
      <c r="P4088" s="86"/>
      <c r="Q4088" s="86"/>
      <c r="R4088" s="86"/>
      <c r="S4088" s="86"/>
      <c r="T4088" s="86"/>
      <c r="U4088" s="86"/>
      <c r="V4088" s="48"/>
      <c r="W4088" s="48"/>
      <c r="X4088" s="48"/>
      <c r="Y4088" s="48"/>
      <c r="Z4088" s="48"/>
      <c r="AA4088" s="48"/>
      <c r="AB4088" s="48"/>
      <c r="AC4088" s="48"/>
      <c r="AD4088" s="48"/>
      <c r="AE4088" s="48"/>
      <c r="AF4088" s="48"/>
      <c r="AG4088" s="48"/>
      <c r="AH4088" s="48"/>
      <c r="AI4088" s="48"/>
      <c r="AJ4088" s="48"/>
      <c r="AK4088" s="48"/>
      <c r="AL4088" s="48"/>
      <c r="AM4088" s="48"/>
      <c r="AN4088" s="48"/>
      <c r="AO4088" s="48"/>
      <c r="AP4088" s="48"/>
      <c r="AQ4088" s="48"/>
      <c r="AR4088" s="48"/>
      <c r="AS4088" s="48"/>
      <c r="AT4088" s="48"/>
      <c r="AU4088" s="48"/>
      <c r="AV4088" s="48"/>
      <c r="AW4088" s="48"/>
      <c r="AX4088" s="48"/>
      <c r="AY4088" s="48"/>
      <c r="AZ4088" s="48"/>
      <c r="BA4088" s="48"/>
      <c r="BB4088" s="48"/>
      <c r="BC4088" s="48"/>
      <c r="BD4088" s="48"/>
    </row>
    <row r="4089" spans="1:56">
      <c r="A4089" s="48"/>
      <c r="B4089" s="48"/>
      <c r="C4089" s="49"/>
      <c r="D4089" s="48"/>
      <c r="E4089" s="48"/>
      <c r="F4089" s="48"/>
      <c r="G4089" s="48"/>
      <c r="H4089" s="48"/>
      <c r="I4089" s="48"/>
      <c r="J4089" s="86"/>
      <c r="K4089" s="86"/>
      <c r="L4089" s="86"/>
      <c r="M4089" s="86"/>
      <c r="N4089" s="86"/>
      <c r="O4089" s="86"/>
      <c r="P4089" s="86"/>
      <c r="Q4089" s="86"/>
      <c r="R4089" s="86"/>
      <c r="S4089" s="86"/>
      <c r="T4089" s="86"/>
      <c r="U4089" s="86"/>
      <c r="V4089" s="48"/>
      <c r="W4089" s="48"/>
      <c r="X4089" s="48"/>
      <c r="Y4089" s="48"/>
      <c r="Z4089" s="48"/>
      <c r="AA4089" s="48"/>
      <c r="AB4089" s="48"/>
      <c r="AC4089" s="48"/>
      <c r="AD4089" s="48"/>
      <c r="AE4089" s="48"/>
      <c r="AF4089" s="48"/>
      <c r="AG4089" s="48"/>
      <c r="AH4089" s="48"/>
      <c r="AI4089" s="48"/>
      <c r="AJ4089" s="48"/>
      <c r="AK4089" s="48"/>
      <c r="AL4089" s="48"/>
      <c r="AM4089" s="48"/>
      <c r="AN4089" s="48"/>
      <c r="AO4089" s="48"/>
      <c r="AP4089" s="48"/>
      <c r="AQ4089" s="48"/>
      <c r="AR4089" s="48"/>
      <c r="AS4089" s="48"/>
      <c r="AT4089" s="48"/>
      <c r="AU4089" s="48"/>
      <c r="AV4089" s="48"/>
      <c r="AW4089" s="48"/>
      <c r="AX4089" s="48"/>
      <c r="AY4089" s="48"/>
      <c r="AZ4089" s="48"/>
      <c r="BA4089" s="48"/>
      <c r="BB4089" s="48"/>
      <c r="BC4089" s="48"/>
      <c r="BD4089" s="48"/>
    </row>
    <row r="4090" spans="1:56">
      <c r="A4090" s="48"/>
      <c r="B4090" s="48"/>
      <c r="C4090" s="49"/>
      <c r="D4090" s="48"/>
      <c r="E4090" s="48"/>
      <c r="F4090" s="48"/>
      <c r="G4090" s="48"/>
      <c r="H4090" s="48"/>
      <c r="I4090" s="48"/>
      <c r="J4090" s="86"/>
      <c r="K4090" s="86"/>
      <c r="L4090" s="86"/>
      <c r="M4090" s="86"/>
      <c r="N4090" s="86"/>
      <c r="O4090" s="86"/>
      <c r="P4090" s="86"/>
      <c r="Q4090" s="86"/>
      <c r="R4090" s="86"/>
      <c r="S4090" s="86"/>
      <c r="T4090" s="86"/>
      <c r="U4090" s="86"/>
      <c r="V4090" s="48"/>
      <c r="W4090" s="48"/>
      <c r="X4090" s="48"/>
      <c r="Y4090" s="48"/>
      <c r="Z4090" s="48"/>
      <c r="AA4090" s="48"/>
      <c r="AB4090" s="48"/>
      <c r="AC4090" s="48"/>
      <c r="AD4090" s="48"/>
      <c r="AE4090" s="48"/>
      <c r="AF4090" s="48"/>
      <c r="AG4090" s="48"/>
      <c r="AH4090" s="48"/>
      <c r="AI4090" s="48"/>
      <c r="AJ4090" s="48"/>
      <c r="AK4090" s="48"/>
      <c r="AL4090" s="48"/>
      <c r="AM4090" s="48"/>
      <c r="AN4090" s="48"/>
      <c r="AO4090" s="48"/>
      <c r="AP4090" s="48"/>
      <c r="AQ4090" s="48"/>
      <c r="AR4090" s="48"/>
      <c r="AS4090" s="48"/>
      <c r="AT4090" s="48"/>
      <c r="AU4090" s="48"/>
      <c r="AV4090" s="48"/>
      <c r="AW4090" s="48"/>
      <c r="AX4090" s="48"/>
      <c r="AY4090" s="48"/>
      <c r="AZ4090" s="48"/>
      <c r="BA4090" s="48"/>
      <c r="BB4090" s="48"/>
      <c r="BC4090" s="48"/>
      <c r="BD4090" s="48"/>
    </row>
    <row r="4091" spans="1:56">
      <c r="A4091" s="48"/>
      <c r="B4091" s="48"/>
      <c r="C4091" s="49"/>
      <c r="D4091" s="48"/>
      <c r="E4091" s="48"/>
      <c r="F4091" s="48"/>
      <c r="G4091" s="48"/>
      <c r="H4091" s="48"/>
      <c r="I4091" s="48"/>
      <c r="J4091" s="86"/>
      <c r="K4091" s="86"/>
      <c r="L4091" s="86"/>
      <c r="M4091" s="86"/>
      <c r="N4091" s="86"/>
      <c r="O4091" s="86"/>
      <c r="P4091" s="86"/>
      <c r="Q4091" s="86"/>
      <c r="R4091" s="86"/>
      <c r="S4091" s="86"/>
      <c r="T4091" s="86"/>
      <c r="U4091" s="86"/>
      <c r="V4091" s="48"/>
      <c r="W4091" s="48"/>
      <c r="X4091" s="48"/>
      <c r="Y4091" s="48"/>
      <c r="Z4091" s="48"/>
      <c r="AA4091" s="48"/>
      <c r="AB4091" s="48"/>
      <c r="AC4091" s="48"/>
      <c r="AD4091" s="48"/>
      <c r="AE4091" s="48"/>
      <c r="AF4091" s="48"/>
      <c r="AG4091" s="48"/>
      <c r="AH4091" s="48"/>
      <c r="AI4091" s="48"/>
      <c r="AJ4091" s="48"/>
      <c r="AK4091" s="48"/>
      <c r="AL4091" s="48"/>
      <c r="AM4091" s="48"/>
      <c r="AN4091" s="48"/>
      <c r="AO4091" s="48"/>
      <c r="AP4091" s="48"/>
      <c r="AQ4091" s="48"/>
      <c r="AR4091" s="48"/>
      <c r="AS4091" s="48"/>
      <c r="AT4091" s="48"/>
      <c r="AU4091" s="48"/>
      <c r="AV4091" s="48"/>
      <c r="AW4091" s="48"/>
      <c r="AX4091" s="48"/>
      <c r="AY4091" s="48"/>
      <c r="AZ4091" s="48"/>
      <c r="BA4091" s="48"/>
      <c r="BB4091" s="48"/>
      <c r="BC4091" s="48"/>
      <c r="BD4091" s="48"/>
    </row>
    <row r="4092" spans="1:56">
      <c r="A4092" s="48"/>
      <c r="B4092" s="48"/>
      <c r="C4092" s="49"/>
      <c r="D4092" s="48"/>
      <c r="E4092" s="48"/>
      <c r="F4092" s="48"/>
      <c r="G4092" s="48"/>
      <c r="H4092" s="48"/>
      <c r="I4092" s="48"/>
      <c r="J4092" s="86"/>
      <c r="K4092" s="86"/>
      <c r="L4092" s="86"/>
      <c r="M4092" s="86"/>
      <c r="N4092" s="86"/>
      <c r="O4092" s="86"/>
      <c r="P4092" s="86"/>
      <c r="Q4092" s="86"/>
      <c r="R4092" s="86"/>
      <c r="S4092" s="86"/>
      <c r="T4092" s="86"/>
      <c r="U4092" s="86"/>
      <c r="V4092" s="48"/>
      <c r="W4092" s="48"/>
      <c r="X4092" s="48"/>
      <c r="Y4092" s="48"/>
      <c r="Z4092" s="48"/>
      <c r="AA4092" s="48"/>
      <c r="AB4092" s="48"/>
      <c r="AC4092" s="48"/>
      <c r="AD4092" s="48"/>
      <c r="AE4092" s="48"/>
      <c r="AF4092" s="48"/>
      <c r="AG4092" s="48"/>
      <c r="AH4092" s="48"/>
      <c r="AI4092" s="48"/>
      <c r="AJ4092" s="48"/>
      <c r="AK4092" s="48"/>
      <c r="AL4092" s="48"/>
      <c r="AM4092" s="48"/>
      <c r="AN4092" s="48"/>
      <c r="AO4092" s="48"/>
      <c r="AP4092" s="48"/>
      <c r="AQ4092" s="48"/>
      <c r="AR4092" s="48"/>
      <c r="AS4092" s="48"/>
      <c r="AT4092" s="48"/>
      <c r="AU4092" s="48"/>
      <c r="AV4092" s="48"/>
      <c r="AW4092" s="48"/>
      <c r="AX4092" s="48"/>
      <c r="AY4092" s="48"/>
      <c r="AZ4092" s="48"/>
      <c r="BA4092" s="48"/>
      <c r="BB4092" s="48"/>
      <c r="BC4092" s="48"/>
      <c r="BD4092" s="48"/>
    </row>
    <row r="4093" spans="1:56">
      <c r="A4093" s="48"/>
      <c r="B4093" s="48"/>
      <c r="C4093" s="49"/>
      <c r="D4093" s="48"/>
      <c r="E4093" s="48"/>
      <c r="F4093" s="48"/>
      <c r="G4093" s="48"/>
      <c r="H4093" s="48"/>
      <c r="I4093" s="48"/>
      <c r="J4093" s="86"/>
      <c r="K4093" s="86"/>
      <c r="L4093" s="86"/>
      <c r="M4093" s="86"/>
      <c r="N4093" s="86"/>
      <c r="O4093" s="86"/>
      <c r="P4093" s="86"/>
      <c r="Q4093" s="86"/>
      <c r="R4093" s="86"/>
      <c r="S4093" s="86"/>
      <c r="T4093" s="86"/>
      <c r="U4093" s="86"/>
      <c r="V4093" s="48"/>
      <c r="W4093" s="48"/>
      <c r="X4093" s="48"/>
      <c r="Y4093" s="48"/>
      <c r="Z4093" s="48"/>
      <c r="AA4093" s="48"/>
      <c r="AB4093" s="48"/>
      <c r="AC4093" s="48"/>
      <c r="AD4093" s="48"/>
      <c r="AE4093" s="48"/>
      <c r="AF4093" s="48"/>
      <c r="AG4093" s="48"/>
      <c r="AH4093" s="48"/>
      <c r="AI4093" s="48"/>
      <c r="AJ4093" s="48"/>
      <c r="AK4093" s="48"/>
      <c r="AL4093" s="48"/>
      <c r="AM4093" s="48"/>
      <c r="AN4093" s="48"/>
      <c r="AO4093" s="48"/>
      <c r="AP4093" s="48"/>
      <c r="AQ4093" s="48"/>
      <c r="AR4093" s="48"/>
      <c r="AS4093" s="48"/>
      <c r="AT4093" s="48"/>
      <c r="AU4093" s="48"/>
      <c r="AV4093" s="48"/>
      <c r="AW4093" s="48"/>
      <c r="AX4093" s="48"/>
      <c r="AY4093" s="48"/>
      <c r="AZ4093" s="48"/>
      <c r="BA4093" s="48"/>
      <c r="BB4093" s="48"/>
      <c r="BC4093" s="48"/>
      <c r="BD4093" s="48"/>
    </row>
    <row r="4094" spans="1:56">
      <c r="A4094" s="48"/>
      <c r="B4094" s="48"/>
      <c r="C4094" s="49"/>
      <c r="D4094" s="48"/>
      <c r="E4094" s="48"/>
      <c r="F4094" s="48"/>
      <c r="G4094" s="48"/>
      <c r="H4094" s="48"/>
      <c r="I4094" s="48"/>
      <c r="J4094" s="86"/>
      <c r="K4094" s="86"/>
      <c r="L4094" s="86"/>
      <c r="M4094" s="86"/>
      <c r="N4094" s="86"/>
      <c r="O4094" s="86"/>
      <c r="P4094" s="86"/>
      <c r="Q4094" s="86"/>
      <c r="R4094" s="86"/>
      <c r="S4094" s="86"/>
      <c r="T4094" s="86"/>
      <c r="U4094" s="86"/>
      <c r="V4094" s="48"/>
      <c r="W4094" s="48"/>
      <c r="X4094" s="48"/>
      <c r="Y4094" s="48"/>
      <c r="Z4094" s="48"/>
      <c r="AA4094" s="48"/>
      <c r="AB4094" s="48"/>
      <c r="AC4094" s="48"/>
      <c r="AD4094" s="48"/>
      <c r="AE4094" s="48"/>
      <c r="AF4094" s="48"/>
      <c r="AG4094" s="48"/>
      <c r="AH4094" s="48"/>
      <c r="AI4094" s="48"/>
      <c r="AJ4094" s="48"/>
      <c r="AK4094" s="48"/>
      <c r="AL4094" s="48"/>
      <c r="AM4094" s="48"/>
      <c r="AN4094" s="48"/>
      <c r="AO4094" s="48"/>
      <c r="AP4094" s="48"/>
      <c r="AQ4094" s="48"/>
      <c r="AR4094" s="48"/>
      <c r="AS4094" s="48"/>
      <c r="AT4094" s="48"/>
      <c r="AU4094" s="48"/>
      <c r="AV4094" s="48"/>
      <c r="AW4094" s="48"/>
      <c r="AX4094" s="48"/>
      <c r="AY4094" s="48"/>
      <c r="AZ4094" s="48"/>
      <c r="BA4094" s="48"/>
      <c r="BB4094" s="48"/>
      <c r="BC4094" s="48"/>
      <c r="BD4094" s="48"/>
    </row>
    <row r="4095" spans="1:56">
      <c r="A4095" s="48"/>
      <c r="B4095" s="48"/>
      <c r="C4095" s="49"/>
      <c r="D4095" s="48"/>
      <c r="E4095" s="48"/>
      <c r="F4095" s="48"/>
      <c r="G4095" s="48"/>
      <c r="H4095" s="48"/>
      <c r="I4095" s="48"/>
      <c r="J4095" s="86"/>
      <c r="K4095" s="86"/>
      <c r="L4095" s="86"/>
      <c r="M4095" s="86"/>
      <c r="N4095" s="86"/>
      <c r="O4095" s="86"/>
      <c r="P4095" s="86"/>
      <c r="Q4095" s="86"/>
      <c r="R4095" s="86"/>
      <c r="S4095" s="86"/>
      <c r="T4095" s="86"/>
      <c r="U4095" s="86"/>
      <c r="V4095" s="48"/>
      <c r="W4095" s="48"/>
      <c r="X4095" s="48"/>
      <c r="Y4095" s="48"/>
      <c r="Z4095" s="48"/>
      <c r="AA4095" s="48"/>
      <c r="AB4095" s="48"/>
      <c r="AC4095" s="48"/>
      <c r="AD4095" s="48"/>
      <c r="AE4095" s="48"/>
      <c r="AF4095" s="48"/>
      <c r="AG4095" s="48"/>
      <c r="AH4095" s="48"/>
      <c r="AI4095" s="48"/>
      <c r="AJ4095" s="48"/>
      <c r="AK4095" s="48"/>
      <c r="AL4095" s="48"/>
      <c r="AM4095" s="48"/>
      <c r="AN4095" s="48"/>
      <c r="AO4095" s="48"/>
      <c r="AP4095" s="48"/>
      <c r="AQ4095" s="48"/>
      <c r="AR4095" s="48"/>
      <c r="AS4095" s="48"/>
      <c r="AT4095" s="48"/>
      <c r="AU4095" s="48"/>
      <c r="AV4095" s="48"/>
      <c r="AW4095" s="48"/>
      <c r="AX4095" s="48"/>
      <c r="AY4095" s="48"/>
      <c r="AZ4095" s="48"/>
      <c r="BA4095" s="48"/>
      <c r="BB4095" s="48"/>
      <c r="BC4095" s="48"/>
      <c r="BD4095" s="48"/>
    </row>
    <row r="4096" spans="1:56">
      <c r="A4096" s="48"/>
      <c r="B4096" s="48"/>
      <c r="C4096" s="49"/>
      <c r="D4096" s="48"/>
      <c r="E4096" s="48"/>
      <c r="F4096" s="48"/>
      <c r="G4096" s="48"/>
      <c r="H4096" s="48"/>
      <c r="I4096" s="48"/>
      <c r="J4096" s="86"/>
      <c r="K4096" s="86"/>
      <c r="L4096" s="86"/>
      <c r="M4096" s="86"/>
      <c r="N4096" s="86"/>
      <c r="O4096" s="86"/>
      <c r="P4096" s="86"/>
      <c r="Q4096" s="86"/>
      <c r="R4096" s="86"/>
      <c r="S4096" s="86"/>
      <c r="T4096" s="86"/>
      <c r="U4096" s="86"/>
      <c r="V4096" s="48"/>
      <c r="W4096" s="48"/>
      <c r="X4096" s="48"/>
      <c r="Y4096" s="48"/>
      <c r="Z4096" s="48"/>
      <c r="AA4096" s="48"/>
      <c r="AB4096" s="48"/>
      <c r="AC4096" s="48"/>
      <c r="AD4096" s="48"/>
      <c r="AE4096" s="48"/>
      <c r="AF4096" s="48"/>
      <c r="AG4096" s="48"/>
      <c r="AH4096" s="48"/>
      <c r="AI4096" s="48"/>
      <c r="AJ4096" s="48"/>
      <c r="AK4096" s="48"/>
      <c r="AL4096" s="48"/>
      <c r="AM4096" s="48"/>
      <c r="AN4096" s="48"/>
      <c r="AO4096" s="48"/>
      <c r="AP4096" s="48"/>
      <c r="AQ4096" s="48"/>
      <c r="AR4096" s="48"/>
      <c r="AS4096" s="48"/>
      <c r="AT4096" s="48"/>
      <c r="AU4096" s="48"/>
      <c r="AV4096" s="48"/>
      <c r="AW4096" s="48"/>
      <c r="AX4096" s="48"/>
      <c r="AY4096" s="48"/>
      <c r="AZ4096" s="48"/>
      <c r="BA4096" s="48"/>
      <c r="BB4096" s="48"/>
      <c r="BC4096" s="48"/>
      <c r="BD4096" s="48"/>
    </row>
    <row r="4097" spans="1:56">
      <c r="A4097" s="48"/>
      <c r="B4097" s="48"/>
      <c r="C4097" s="49"/>
      <c r="D4097" s="48"/>
      <c r="E4097" s="48"/>
      <c r="F4097" s="48"/>
      <c r="G4097" s="48"/>
      <c r="H4097" s="48"/>
      <c r="I4097" s="48"/>
      <c r="J4097" s="86"/>
      <c r="K4097" s="86"/>
      <c r="L4097" s="86"/>
      <c r="M4097" s="86"/>
      <c r="N4097" s="86"/>
      <c r="O4097" s="86"/>
      <c r="P4097" s="86"/>
      <c r="Q4097" s="86"/>
      <c r="R4097" s="86"/>
      <c r="S4097" s="86"/>
      <c r="T4097" s="86"/>
      <c r="U4097" s="86"/>
      <c r="V4097" s="48"/>
      <c r="W4097" s="48"/>
      <c r="X4097" s="48"/>
      <c r="Y4097" s="48"/>
      <c r="Z4097" s="48"/>
      <c r="AA4097" s="48"/>
      <c r="AB4097" s="48"/>
      <c r="AC4097" s="48"/>
      <c r="AD4097" s="48"/>
      <c r="AE4097" s="48"/>
      <c r="AF4097" s="48"/>
      <c r="AG4097" s="48"/>
      <c r="AH4097" s="48"/>
      <c r="AI4097" s="48"/>
      <c r="AJ4097" s="48"/>
      <c r="AK4097" s="48"/>
      <c r="AL4097" s="48"/>
      <c r="AM4097" s="48"/>
      <c r="AN4097" s="48"/>
      <c r="AO4097" s="48"/>
      <c r="AP4097" s="48"/>
      <c r="AQ4097" s="48"/>
      <c r="AR4097" s="48"/>
      <c r="AS4097" s="48"/>
      <c r="AT4097" s="48"/>
      <c r="AU4097" s="48"/>
      <c r="AV4097" s="48"/>
      <c r="AW4097" s="48"/>
      <c r="AX4097" s="48"/>
      <c r="AY4097" s="48"/>
      <c r="AZ4097" s="48"/>
      <c r="BA4097" s="48"/>
      <c r="BB4097" s="48"/>
      <c r="BC4097" s="48"/>
      <c r="BD4097" s="48"/>
    </row>
    <row r="4098" spans="1:56">
      <c r="A4098" s="48"/>
      <c r="B4098" s="48"/>
      <c r="C4098" s="49"/>
      <c r="D4098" s="48"/>
      <c r="E4098" s="48"/>
      <c r="F4098" s="48"/>
      <c r="G4098" s="48"/>
      <c r="H4098" s="48"/>
      <c r="I4098" s="48"/>
      <c r="J4098" s="86"/>
      <c r="K4098" s="86"/>
      <c r="L4098" s="86"/>
      <c r="M4098" s="86"/>
      <c r="N4098" s="86"/>
      <c r="O4098" s="86"/>
      <c r="P4098" s="86"/>
      <c r="Q4098" s="86"/>
      <c r="R4098" s="86"/>
      <c r="S4098" s="86"/>
      <c r="T4098" s="86"/>
      <c r="U4098" s="86"/>
      <c r="V4098" s="48"/>
      <c r="W4098" s="48"/>
      <c r="X4098" s="48"/>
      <c r="Y4098" s="48"/>
      <c r="Z4098" s="48"/>
      <c r="AA4098" s="48"/>
      <c r="AB4098" s="48"/>
      <c r="AC4098" s="48"/>
      <c r="AD4098" s="48"/>
      <c r="AE4098" s="48"/>
      <c r="AF4098" s="48"/>
      <c r="AG4098" s="48"/>
      <c r="AH4098" s="48"/>
      <c r="AI4098" s="48"/>
      <c r="AJ4098" s="48"/>
      <c r="AK4098" s="48"/>
      <c r="AL4098" s="48"/>
      <c r="AM4098" s="48"/>
      <c r="AN4098" s="48"/>
      <c r="AO4098" s="48"/>
      <c r="AP4098" s="48"/>
      <c r="AQ4098" s="48"/>
      <c r="AR4098" s="48"/>
      <c r="AS4098" s="48"/>
      <c r="AT4098" s="48"/>
      <c r="AU4098" s="48"/>
      <c r="AV4098" s="48"/>
      <c r="AW4098" s="48"/>
      <c r="AX4098" s="48"/>
      <c r="AY4098" s="48"/>
      <c r="AZ4098" s="48"/>
      <c r="BA4098" s="48"/>
      <c r="BB4098" s="48"/>
      <c r="BC4098" s="48"/>
      <c r="BD4098" s="48"/>
    </row>
    <row r="4099" spans="1:56">
      <c r="A4099" s="48"/>
      <c r="B4099" s="48"/>
      <c r="C4099" s="49"/>
      <c r="D4099" s="48"/>
      <c r="E4099" s="48"/>
      <c r="F4099" s="48"/>
      <c r="G4099" s="48"/>
      <c r="H4099" s="48"/>
      <c r="I4099" s="48"/>
      <c r="J4099" s="86"/>
      <c r="K4099" s="86"/>
      <c r="L4099" s="86"/>
      <c r="M4099" s="86"/>
      <c r="N4099" s="86"/>
      <c r="O4099" s="86"/>
      <c r="P4099" s="86"/>
      <c r="Q4099" s="86"/>
      <c r="R4099" s="86"/>
      <c r="S4099" s="86"/>
      <c r="T4099" s="86"/>
      <c r="U4099" s="86"/>
      <c r="V4099" s="48"/>
      <c r="W4099" s="48"/>
      <c r="X4099" s="48"/>
      <c r="Y4099" s="48"/>
      <c r="Z4099" s="48"/>
      <c r="AA4099" s="48"/>
      <c r="AB4099" s="48"/>
      <c r="AC4099" s="48"/>
      <c r="AD4099" s="48"/>
      <c r="AE4099" s="48"/>
      <c r="AF4099" s="48"/>
      <c r="AG4099" s="48"/>
      <c r="AH4099" s="48"/>
      <c r="AI4099" s="48"/>
      <c r="AJ4099" s="48"/>
      <c r="AK4099" s="48"/>
      <c r="AL4099" s="48"/>
      <c r="AM4099" s="48"/>
      <c r="AN4099" s="48"/>
      <c r="AO4099" s="48"/>
      <c r="AP4099" s="48"/>
      <c r="AQ4099" s="48"/>
      <c r="AR4099" s="48"/>
      <c r="AS4099" s="48"/>
      <c r="AT4099" s="48"/>
      <c r="AU4099" s="48"/>
      <c r="AV4099" s="48"/>
      <c r="AW4099" s="48"/>
      <c r="AX4099" s="48"/>
      <c r="AY4099" s="48"/>
      <c r="AZ4099" s="48"/>
      <c r="BA4099" s="48"/>
      <c r="BB4099" s="48"/>
      <c r="BC4099" s="48"/>
      <c r="BD4099" s="48"/>
    </row>
    <row r="4100" spans="1:56">
      <c r="A4100" s="48"/>
      <c r="B4100" s="48"/>
      <c r="C4100" s="49"/>
      <c r="D4100" s="48"/>
      <c r="E4100" s="48"/>
      <c r="F4100" s="48"/>
      <c r="G4100" s="48"/>
      <c r="H4100" s="48"/>
      <c r="I4100" s="48"/>
      <c r="J4100" s="86"/>
      <c r="K4100" s="86"/>
      <c r="L4100" s="86"/>
      <c r="M4100" s="86"/>
      <c r="N4100" s="86"/>
      <c r="O4100" s="86"/>
      <c r="P4100" s="86"/>
      <c r="Q4100" s="86"/>
      <c r="R4100" s="86"/>
      <c r="S4100" s="86"/>
      <c r="T4100" s="86"/>
      <c r="U4100" s="86"/>
      <c r="V4100" s="48"/>
      <c r="W4100" s="48"/>
      <c r="X4100" s="48"/>
      <c r="Y4100" s="48"/>
      <c r="Z4100" s="48"/>
      <c r="AA4100" s="48"/>
      <c r="AB4100" s="48"/>
      <c r="AC4100" s="48"/>
      <c r="AD4100" s="48"/>
      <c r="AE4100" s="48"/>
      <c r="AF4100" s="48"/>
      <c r="AG4100" s="48"/>
      <c r="AH4100" s="48"/>
      <c r="AI4100" s="48"/>
      <c r="AJ4100" s="48"/>
      <c r="AK4100" s="48"/>
      <c r="AL4100" s="48"/>
      <c r="AM4100" s="48"/>
      <c r="AN4100" s="48"/>
      <c r="AO4100" s="48"/>
      <c r="AP4100" s="48"/>
      <c r="AQ4100" s="48"/>
      <c r="AR4100" s="48"/>
      <c r="AS4100" s="48"/>
      <c r="AT4100" s="48"/>
      <c r="AU4100" s="48"/>
      <c r="AV4100" s="48"/>
      <c r="AW4100" s="48"/>
      <c r="AX4100" s="48"/>
      <c r="AY4100" s="48"/>
      <c r="AZ4100" s="48"/>
      <c r="BA4100" s="48"/>
      <c r="BB4100" s="48"/>
      <c r="BC4100" s="48"/>
      <c r="BD4100" s="48"/>
    </row>
    <row r="4101" spans="1:56">
      <c r="A4101" s="48"/>
      <c r="B4101" s="48"/>
      <c r="C4101" s="49"/>
      <c r="D4101" s="48"/>
      <c r="E4101" s="48"/>
      <c r="F4101" s="48"/>
      <c r="G4101" s="48"/>
      <c r="H4101" s="48"/>
      <c r="I4101" s="48"/>
      <c r="J4101" s="86"/>
      <c r="K4101" s="86"/>
      <c r="L4101" s="86"/>
      <c r="M4101" s="86"/>
      <c r="N4101" s="86"/>
      <c r="O4101" s="86"/>
      <c r="P4101" s="86"/>
      <c r="Q4101" s="86"/>
      <c r="R4101" s="86"/>
      <c r="S4101" s="86"/>
      <c r="T4101" s="86"/>
      <c r="U4101" s="86"/>
      <c r="V4101" s="48"/>
      <c r="W4101" s="48"/>
      <c r="X4101" s="48"/>
      <c r="Y4101" s="48"/>
      <c r="Z4101" s="48"/>
      <c r="AA4101" s="48"/>
      <c r="AB4101" s="48"/>
      <c r="AC4101" s="48"/>
      <c r="AD4101" s="48"/>
      <c r="AE4101" s="48"/>
      <c r="AF4101" s="48"/>
      <c r="AG4101" s="48"/>
      <c r="AH4101" s="48"/>
      <c r="AI4101" s="48"/>
      <c r="AJ4101" s="48"/>
      <c r="AK4101" s="48"/>
      <c r="AL4101" s="48"/>
      <c r="AM4101" s="48"/>
      <c r="AN4101" s="48"/>
      <c r="AO4101" s="48"/>
      <c r="AP4101" s="48"/>
      <c r="AQ4101" s="48"/>
      <c r="AR4101" s="48"/>
      <c r="AS4101" s="48"/>
      <c r="AT4101" s="48"/>
      <c r="AU4101" s="48"/>
      <c r="AV4101" s="48"/>
      <c r="AW4101" s="48"/>
      <c r="AX4101" s="48"/>
      <c r="AY4101" s="48"/>
      <c r="AZ4101" s="48"/>
      <c r="BA4101" s="48"/>
      <c r="BB4101" s="48"/>
      <c r="BC4101" s="48"/>
      <c r="BD4101" s="48"/>
    </row>
    <row r="4102" spans="1:56">
      <c r="A4102" s="48"/>
      <c r="B4102" s="48"/>
      <c r="C4102" s="49"/>
      <c r="D4102" s="48"/>
      <c r="E4102" s="48"/>
      <c r="F4102" s="48"/>
      <c r="G4102" s="48"/>
      <c r="H4102" s="48"/>
      <c r="I4102" s="48"/>
      <c r="J4102" s="86"/>
      <c r="K4102" s="86"/>
      <c r="L4102" s="86"/>
      <c r="M4102" s="86"/>
      <c r="N4102" s="86"/>
      <c r="O4102" s="86"/>
      <c r="P4102" s="86"/>
      <c r="Q4102" s="86"/>
      <c r="R4102" s="86"/>
      <c r="S4102" s="86"/>
      <c r="T4102" s="86"/>
      <c r="U4102" s="86"/>
      <c r="V4102" s="48"/>
      <c r="W4102" s="48"/>
      <c r="X4102" s="48"/>
      <c r="Y4102" s="48"/>
      <c r="Z4102" s="48"/>
      <c r="AA4102" s="48"/>
      <c r="AB4102" s="48"/>
      <c r="AC4102" s="48"/>
      <c r="AD4102" s="48"/>
      <c r="AE4102" s="48"/>
      <c r="AF4102" s="48"/>
      <c r="AG4102" s="48"/>
      <c r="AH4102" s="48"/>
      <c r="AI4102" s="48"/>
      <c r="AJ4102" s="48"/>
      <c r="AK4102" s="48"/>
      <c r="AL4102" s="48"/>
      <c r="AM4102" s="48"/>
      <c r="AN4102" s="48"/>
      <c r="AO4102" s="48"/>
      <c r="AP4102" s="48"/>
      <c r="AQ4102" s="48"/>
      <c r="AR4102" s="48"/>
      <c r="AS4102" s="48"/>
      <c r="AT4102" s="48"/>
      <c r="AU4102" s="48"/>
      <c r="AV4102" s="48"/>
      <c r="AW4102" s="48"/>
      <c r="AX4102" s="48"/>
      <c r="AY4102" s="48"/>
      <c r="AZ4102" s="48"/>
      <c r="BA4102" s="48"/>
      <c r="BB4102" s="48"/>
      <c r="BC4102" s="48"/>
      <c r="BD4102" s="48"/>
    </row>
    <row r="4103" spans="1:56">
      <c r="A4103" s="48"/>
      <c r="B4103" s="48"/>
      <c r="C4103" s="49"/>
      <c r="D4103" s="48"/>
      <c r="E4103" s="48"/>
      <c r="F4103" s="48"/>
      <c r="G4103" s="48"/>
      <c r="H4103" s="48"/>
      <c r="I4103" s="48"/>
      <c r="J4103" s="86"/>
      <c r="K4103" s="86"/>
      <c r="L4103" s="86"/>
      <c r="M4103" s="86"/>
      <c r="N4103" s="86"/>
      <c r="O4103" s="86"/>
      <c r="P4103" s="86"/>
      <c r="Q4103" s="86"/>
      <c r="R4103" s="86"/>
      <c r="S4103" s="86"/>
      <c r="T4103" s="86"/>
      <c r="U4103" s="86"/>
      <c r="V4103" s="48"/>
      <c r="W4103" s="48"/>
      <c r="X4103" s="48"/>
      <c r="Y4103" s="48"/>
      <c r="Z4103" s="48"/>
      <c r="AA4103" s="48"/>
      <c r="AB4103" s="48"/>
      <c r="AC4103" s="48"/>
      <c r="AD4103" s="48"/>
      <c r="AE4103" s="48"/>
      <c r="AF4103" s="48"/>
      <c r="AG4103" s="48"/>
      <c r="AH4103" s="48"/>
      <c r="AI4103" s="48"/>
      <c r="AJ4103" s="48"/>
      <c r="AK4103" s="48"/>
      <c r="AL4103" s="48"/>
      <c r="AM4103" s="48"/>
      <c r="AN4103" s="48"/>
      <c r="AO4103" s="48"/>
      <c r="AP4103" s="48"/>
      <c r="AQ4103" s="48"/>
      <c r="AR4103" s="48"/>
      <c r="AS4103" s="48"/>
      <c r="AT4103" s="48"/>
      <c r="AU4103" s="48"/>
      <c r="AV4103" s="48"/>
      <c r="AW4103" s="48"/>
      <c r="AX4103" s="48"/>
      <c r="AY4103" s="48"/>
      <c r="AZ4103" s="48"/>
      <c r="BA4103" s="48"/>
      <c r="BB4103" s="48"/>
      <c r="BC4103" s="48"/>
      <c r="BD4103" s="48"/>
    </row>
    <row r="4104" spans="1:56">
      <c r="A4104" s="48"/>
      <c r="B4104" s="48"/>
      <c r="C4104" s="49"/>
      <c r="D4104" s="48"/>
      <c r="E4104" s="48"/>
      <c r="F4104" s="48"/>
      <c r="G4104" s="48"/>
      <c r="H4104" s="48"/>
      <c r="I4104" s="48"/>
      <c r="J4104" s="86"/>
      <c r="K4104" s="86"/>
      <c r="L4104" s="86"/>
      <c r="M4104" s="86"/>
      <c r="N4104" s="86"/>
      <c r="O4104" s="86"/>
      <c r="P4104" s="86"/>
      <c r="Q4104" s="86"/>
      <c r="R4104" s="86"/>
      <c r="S4104" s="86"/>
      <c r="T4104" s="86"/>
      <c r="U4104" s="86"/>
      <c r="V4104" s="48"/>
      <c r="W4104" s="48"/>
      <c r="X4104" s="48"/>
      <c r="Y4104" s="48"/>
      <c r="Z4104" s="48"/>
      <c r="AA4104" s="48"/>
      <c r="AB4104" s="48"/>
      <c r="AC4104" s="48"/>
      <c r="AD4104" s="48"/>
      <c r="AE4104" s="48"/>
      <c r="AF4104" s="48"/>
      <c r="AG4104" s="48"/>
      <c r="AH4104" s="48"/>
      <c r="AI4104" s="48"/>
      <c r="AJ4104" s="48"/>
      <c r="AK4104" s="48"/>
      <c r="AL4104" s="48"/>
      <c r="AM4104" s="48"/>
      <c r="AN4104" s="48"/>
      <c r="AO4104" s="48"/>
      <c r="AP4104" s="48"/>
      <c r="AQ4104" s="48"/>
      <c r="AR4104" s="48"/>
      <c r="AS4104" s="48"/>
      <c r="AT4104" s="48"/>
      <c r="AU4104" s="48"/>
      <c r="AV4104" s="48"/>
      <c r="AW4104" s="48"/>
      <c r="AX4104" s="48"/>
      <c r="AY4104" s="48"/>
      <c r="AZ4104" s="48"/>
      <c r="BA4104" s="48"/>
      <c r="BB4104" s="48"/>
      <c r="BC4104" s="48"/>
      <c r="BD4104" s="48"/>
    </row>
    <row r="4105" spans="1:56">
      <c r="A4105" s="48"/>
      <c r="B4105" s="48"/>
      <c r="C4105" s="49"/>
      <c r="D4105" s="48"/>
      <c r="E4105" s="48"/>
      <c r="F4105" s="48"/>
      <c r="G4105" s="48"/>
      <c r="H4105" s="48"/>
      <c r="I4105" s="48"/>
      <c r="J4105" s="86"/>
      <c r="K4105" s="86"/>
      <c r="L4105" s="86"/>
      <c r="M4105" s="86"/>
      <c r="N4105" s="86"/>
      <c r="O4105" s="86"/>
      <c r="P4105" s="86"/>
      <c r="Q4105" s="86"/>
      <c r="R4105" s="86"/>
      <c r="S4105" s="86"/>
      <c r="T4105" s="86"/>
      <c r="U4105" s="86"/>
      <c r="V4105" s="48"/>
      <c r="W4105" s="48"/>
      <c r="X4105" s="48"/>
      <c r="Y4105" s="48"/>
      <c r="Z4105" s="48"/>
      <c r="AA4105" s="48"/>
      <c r="AB4105" s="48"/>
      <c r="AC4105" s="48"/>
      <c r="AD4105" s="48"/>
      <c r="AE4105" s="48"/>
      <c r="AF4105" s="48"/>
      <c r="AG4105" s="48"/>
      <c r="AH4105" s="48"/>
      <c r="AI4105" s="48"/>
      <c r="AJ4105" s="48"/>
      <c r="AK4105" s="48"/>
      <c r="AL4105" s="48"/>
      <c r="AM4105" s="48"/>
      <c r="AN4105" s="48"/>
      <c r="AO4105" s="48"/>
      <c r="AP4105" s="48"/>
      <c r="AQ4105" s="48"/>
      <c r="AR4105" s="48"/>
      <c r="AS4105" s="48"/>
      <c r="AT4105" s="48"/>
      <c r="AU4105" s="48"/>
      <c r="AV4105" s="48"/>
      <c r="AW4105" s="48"/>
      <c r="AX4105" s="48"/>
      <c r="AY4105" s="48"/>
      <c r="AZ4105" s="48"/>
      <c r="BA4105" s="48"/>
      <c r="BB4105" s="48"/>
      <c r="BC4105" s="48"/>
      <c r="BD4105" s="48"/>
    </row>
    <row r="4106" spans="1:56">
      <c r="A4106" s="48"/>
      <c r="B4106" s="48"/>
      <c r="C4106" s="49"/>
      <c r="D4106" s="48"/>
      <c r="E4106" s="48"/>
      <c r="F4106" s="48"/>
      <c r="G4106" s="48"/>
      <c r="H4106" s="48"/>
      <c r="I4106" s="48"/>
      <c r="J4106" s="86"/>
      <c r="K4106" s="86"/>
      <c r="L4106" s="86"/>
      <c r="M4106" s="86"/>
      <c r="N4106" s="86"/>
      <c r="O4106" s="86"/>
      <c r="P4106" s="86"/>
      <c r="Q4106" s="86"/>
      <c r="R4106" s="86"/>
      <c r="S4106" s="86"/>
      <c r="T4106" s="86"/>
      <c r="U4106" s="86"/>
      <c r="V4106" s="48"/>
      <c r="W4106" s="48"/>
      <c r="X4106" s="48"/>
      <c r="Y4106" s="48"/>
      <c r="Z4106" s="48"/>
      <c r="AA4106" s="48"/>
      <c r="AB4106" s="48"/>
      <c r="AC4106" s="48"/>
      <c r="AD4106" s="48"/>
      <c r="AE4106" s="48"/>
      <c r="AF4106" s="48"/>
      <c r="AG4106" s="48"/>
      <c r="AH4106" s="48"/>
      <c r="AI4106" s="48"/>
      <c r="AJ4106" s="48"/>
      <c r="AK4106" s="48"/>
      <c r="AL4106" s="48"/>
      <c r="AM4106" s="48"/>
      <c r="AN4106" s="48"/>
      <c r="AO4106" s="48"/>
      <c r="AP4106" s="48"/>
      <c r="AQ4106" s="48"/>
      <c r="AR4106" s="48"/>
      <c r="AS4106" s="48"/>
      <c r="AT4106" s="48"/>
      <c r="AU4106" s="48"/>
      <c r="AV4106" s="48"/>
      <c r="AW4106" s="48"/>
      <c r="AX4106" s="48"/>
      <c r="AY4106" s="48"/>
      <c r="AZ4106" s="48"/>
      <c r="BA4106" s="48"/>
      <c r="BB4106" s="48"/>
      <c r="BC4106" s="48"/>
      <c r="BD4106" s="48"/>
    </row>
    <row r="4107" spans="1:56">
      <c r="A4107" s="48"/>
      <c r="B4107" s="48"/>
      <c r="C4107" s="49"/>
      <c r="D4107" s="48"/>
      <c r="E4107" s="48"/>
      <c r="F4107" s="48"/>
      <c r="G4107" s="48"/>
      <c r="H4107" s="48"/>
      <c r="I4107" s="48"/>
      <c r="J4107" s="86"/>
      <c r="K4107" s="86"/>
      <c r="L4107" s="86"/>
      <c r="M4107" s="86"/>
      <c r="N4107" s="86"/>
      <c r="O4107" s="86"/>
      <c r="P4107" s="86"/>
      <c r="Q4107" s="86"/>
      <c r="R4107" s="86"/>
      <c r="S4107" s="86"/>
      <c r="T4107" s="86"/>
      <c r="U4107" s="86"/>
      <c r="V4107" s="48"/>
      <c r="W4107" s="48"/>
      <c r="X4107" s="48"/>
      <c r="Y4107" s="48"/>
      <c r="Z4107" s="48"/>
      <c r="AA4107" s="48"/>
      <c r="AB4107" s="48"/>
      <c r="AC4107" s="48"/>
      <c r="AD4107" s="48"/>
      <c r="AE4107" s="48"/>
      <c r="AF4107" s="48"/>
      <c r="AG4107" s="48"/>
      <c r="AH4107" s="48"/>
      <c r="AI4107" s="48"/>
      <c r="AJ4107" s="48"/>
      <c r="AK4107" s="48"/>
      <c r="AL4107" s="48"/>
      <c r="AM4107" s="48"/>
      <c r="AN4107" s="48"/>
      <c r="AO4107" s="48"/>
      <c r="AP4107" s="48"/>
      <c r="AQ4107" s="48"/>
      <c r="AR4107" s="48"/>
      <c r="AS4107" s="48"/>
      <c r="AT4107" s="48"/>
      <c r="AU4107" s="48"/>
      <c r="AV4107" s="48"/>
      <c r="AW4107" s="48"/>
      <c r="AX4107" s="48"/>
      <c r="AY4107" s="48"/>
      <c r="AZ4107" s="48"/>
      <c r="BA4107" s="48"/>
      <c r="BB4107" s="48"/>
      <c r="BC4107" s="48"/>
      <c r="BD4107" s="48"/>
    </row>
    <row r="4108" spans="1:56">
      <c r="A4108" s="48"/>
      <c r="B4108" s="48"/>
      <c r="C4108" s="49"/>
      <c r="D4108" s="48"/>
      <c r="E4108" s="48"/>
      <c r="F4108" s="48"/>
      <c r="G4108" s="48"/>
      <c r="H4108" s="48"/>
      <c r="I4108" s="48"/>
      <c r="J4108" s="86"/>
      <c r="K4108" s="86"/>
      <c r="L4108" s="86"/>
      <c r="M4108" s="86"/>
      <c r="N4108" s="86"/>
      <c r="O4108" s="86"/>
      <c r="P4108" s="86"/>
      <c r="Q4108" s="86"/>
      <c r="R4108" s="86"/>
      <c r="S4108" s="86"/>
      <c r="T4108" s="86"/>
      <c r="U4108" s="86"/>
      <c r="V4108" s="48"/>
      <c r="W4108" s="48"/>
      <c r="X4108" s="48"/>
      <c r="Y4108" s="48"/>
      <c r="Z4108" s="48"/>
      <c r="AA4108" s="48"/>
      <c r="AB4108" s="48"/>
      <c r="AC4108" s="48"/>
      <c r="AD4108" s="48"/>
      <c r="AE4108" s="48"/>
      <c r="AF4108" s="48"/>
      <c r="AG4108" s="48"/>
      <c r="AH4108" s="48"/>
      <c r="AI4108" s="48"/>
      <c r="AJ4108" s="48"/>
      <c r="AK4108" s="48"/>
      <c r="AL4108" s="48"/>
      <c r="AM4108" s="48"/>
      <c r="AN4108" s="48"/>
      <c r="AO4108" s="48"/>
      <c r="AP4108" s="48"/>
      <c r="AQ4108" s="48"/>
      <c r="AR4108" s="48"/>
      <c r="AS4108" s="48"/>
      <c r="AT4108" s="48"/>
      <c r="AU4108" s="48"/>
      <c r="AV4108" s="48"/>
      <c r="AW4108" s="48"/>
      <c r="AX4108" s="48"/>
      <c r="AY4108" s="48"/>
      <c r="AZ4108" s="48"/>
      <c r="BA4108" s="48"/>
      <c r="BB4108" s="48"/>
      <c r="BC4108" s="48"/>
      <c r="BD4108" s="48"/>
    </row>
    <row r="4109" spans="1:56">
      <c r="A4109" s="48"/>
      <c r="B4109" s="48"/>
      <c r="C4109" s="49"/>
      <c r="D4109" s="48"/>
      <c r="E4109" s="48"/>
      <c r="F4109" s="48"/>
      <c r="G4109" s="48"/>
      <c r="H4109" s="48"/>
      <c r="I4109" s="48"/>
      <c r="J4109" s="86"/>
      <c r="K4109" s="86"/>
      <c r="L4109" s="86"/>
      <c r="M4109" s="86"/>
      <c r="N4109" s="86"/>
      <c r="O4109" s="86"/>
      <c r="P4109" s="86"/>
      <c r="Q4109" s="86"/>
      <c r="R4109" s="86"/>
      <c r="S4109" s="86"/>
      <c r="T4109" s="86"/>
      <c r="U4109" s="86"/>
      <c r="V4109" s="48"/>
      <c r="W4109" s="48"/>
      <c r="X4109" s="48"/>
      <c r="Y4109" s="48"/>
      <c r="Z4109" s="48"/>
      <c r="AA4109" s="48"/>
      <c r="AB4109" s="48"/>
      <c r="AC4109" s="48"/>
      <c r="AD4109" s="48"/>
      <c r="AE4109" s="48"/>
      <c r="AF4109" s="48"/>
      <c r="AG4109" s="48"/>
      <c r="AH4109" s="48"/>
      <c r="AI4109" s="48"/>
      <c r="AJ4109" s="48"/>
      <c r="AK4109" s="48"/>
      <c r="AL4109" s="48"/>
      <c r="AM4109" s="48"/>
      <c r="AN4109" s="48"/>
      <c r="AO4109" s="48"/>
      <c r="AP4109" s="48"/>
      <c r="AQ4109" s="48"/>
      <c r="AR4109" s="48"/>
      <c r="AS4109" s="48"/>
      <c r="AT4109" s="48"/>
      <c r="AU4109" s="48"/>
      <c r="AV4109" s="48"/>
      <c r="AW4109" s="48"/>
      <c r="AX4109" s="48"/>
      <c r="AY4109" s="48"/>
      <c r="AZ4109" s="48"/>
      <c r="BA4109" s="48"/>
      <c r="BB4109" s="48"/>
      <c r="BC4109" s="48"/>
      <c r="BD4109" s="48"/>
    </row>
    <row r="4110" spans="1:56">
      <c r="A4110" s="48"/>
      <c r="B4110" s="48"/>
      <c r="C4110" s="49"/>
      <c r="D4110" s="48"/>
      <c r="E4110" s="48"/>
      <c r="F4110" s="48"/>
      <c r="G4110" s="48"/>
      <c r="H4110" s="48"/>
      <c r="I4110" s="48"/>
      <c r="J4110" s="86"/>
      <c r="K4110" s="86"/>
      <c r="L4110" s="86"/>
      <c r="M4110" s="86"/>
      <c r="N4110" s="86"/>
      <c r="O4110" s="86"/>
      <c r="P4110" s="86"/>
      <c r="Q4110" s="86"/>
      <c r="R4110" s="86"/>
      <c r="S4110" s="86"/>
      <c r="T4110" s="86"/>
      <c r="U4110" s="86"/>
      <c r="V4110" s="48"/>
      <c r="W4110" s="48"/>
      <c r="X4110" s="48"/>
      <c r="Y4110" s="48"/>
      <c r="Z4110" s="48"/>
      <c r="AA4110" s="48"/>
      <c r="AB4110" s="48"/>
      <c r="AC4110" s="48"/>
      <c r="AD4110" s="48"/>
      <c r="AE4110" s="48"/>
      <c r="AF4110" s="48"/>
      <c r="AG4110" s="48"/>
      <c r="AH4110" s="48"/>
      <c r="AI4110" s="48"/>
      <c r="AJ4110" s="48"/>
      <c r="AK4110" s="48"/>
      <c r="AL4110" s="48"/>
      <c r="AM4110" s="48"/>
      <c r="AN4110" s="48"/>
      <c r="AO4110" s="48"/>
      <c r="AP4110" s="48"/>
      <c r="AQ4110" s="48"/>
      <c r="AR4110" s="48"/>
      <c r="AS4110" s="48"/>
      <c r="AT4110" s="48"/>
      <c r="AU4110" s="48"/>
      <c r="AV4110" s="48"/>
      <c r="AW4110" s="48"/>
      <c r="AX4110" s="48"/>
      <c r="AY4110" s="48"/>
      <c r="AZ4110" s="48"/>
      <c r="BA4110" s="48"/>
      <c r="BB4110" s="48"/>
      <c r="BC4110" s="48"/>
      <c r="BD4110" s="48"/>
    </row>
    <row r="4111" spans="1:56">
      <c r="A4111" s="48"/>
      <c r="B4111" s="48"/>
      <c r="C4111" s="49"/>
      <c r="D4111" s="48"/>
      <c r="E4111" s="48"/>
      <c r="F4111" s="48"/>
      <c r="G4111" s="48"/>
      <c r="H4111" s="48"/>
      <c r="I4111" s="48"/>
      <c r="J4111" s="86"/>
      <c r="K4111" s="86"/>
      <c r="L4111" s="86"/>
      <c r="M4111" s="86"/>
      <c r="N4111" s="86"/>
      <c r="O4111" s="86"/>
      <c r="P4111" s="86"/>
      <c r="Q4111" s="86"/>
      <c r="R4111" s="86"/>
      <c r="S4111" s="86"/>
      <c r="T4111" s="86"/>
      <c r="U4111" s="86"/>
      <c r="V4111" s="48"/>
      <c r="W4111" s="48"/>
      <c r="X4111" s="48"/>
      <c r="Y4111" s="48"/>
      <c r="Z4111" s="48"/>
      <c r="AA4111" s="48"/>
      <c r="AB4111" s="48"/>
      <c r="AC4111" s="48"/>
      <c r="AD4111" s="48"/>
      <c r="AE4111" s="48"/>
      <c r="AF4111" s="48"/>
      <c r="AG4111" s="48"/>
      <c r="AH4111" s="48"/>
      <c r="AI4111" s="48"/>
      <c r="AJ4111" s="48"/>
      <c r="AK4111" s="48"/>
      <c r="AL4111" s="48"/>
      <c r="AM4111" s="48"/>
      <c r="AN4111" s="48"/>
      <c r="AO4111" s="48"/>
      <c r="AP4111" s="48"/>
      <c r="AQ4111" s="48"/>
      <c r="AR4111" s="48"/>
      <c r="AS4111" s="48"/>
      <c r="AT4111" s="48"/>
      <c r="AU4111" s="48"/>
      <c r="AV4111" s="48"/>
      <c r="AW4111" s="48"/>
      <c r="AX4111" s="48"/>
      <c r="AY4111" s="48"/>
      <c r="AZ4111" s="48"/>
      <c r="BA4111" s="48"/>
      <c r="BB4111" s="48"/>
      <c r="BC4111" s="48"/>
      <c r="BD4111" s="48"/>
    </row>
    <row r="4112" spans="1:56">
      <c r="A4112" s="48"/>
      <c r="B4112" s="48"/>
      <c r="C4112" s="49"/>
      <c r="D4112" s="48"/>
      <c r="E4112" s="48"/>
      <c r="F4112" s="48"/>
      <c r="G4112" s="48"/>
      <c r="H4112" s="48"/>
      <c r="I4112" s="48"/>
      <c r="J4112" s="86"/>
      <c r="K4112" s="86"/>
      <c r="L4112" s="86"/>
      <c r="M4112" s="86"/>
      <c r="N4112" s="86"/>
      <c r="O4112" s="86"/>
      <c r="P4112" s="86"/>
      <c r="Q4112" s="86"/>
      <c r="R4112" s="86"/>
      <c r="S4112" s="86"/>
      <c r="T4112" s="86"/>
      <c r="U4112" s="86"/>
      <c r="V4112" s="48"/>
      <c r="W4112" s="48"/>
      <c r="X4112" s="48"/>
      <c r="Y4112" s="48"/>
      <c r="Z4112" s="48"/>
      <c r="AA4112" s="48"/>
      <c r="AB4112" s="48"/>
      <c r="AC4112" s="48"/>
      <c r="AD4112" s="48"/>
      <c r="AE4112" s="48"/>
      <c r="AF4112" s="48"/>
      <c r="AG4112" s="48"/>
      <c r="AH4112" s="48"/>
      <c r="AI4112" s="48"/>
      <c r="AJ4112" s="48"/>
      <c r="AK4112" s="48"/>
      <c r="AL4112" s="48"/>
      <c r="AM4112" s="48"/>
      <c r="AN4112" s="48"/>
      <c r="AO4112" s="48"/>
      <c r="AP4112" s="48"/>
      <c r="AQ4112" s="48"/>
      <c r="AR4112" s="48"/>
      <c r="AS4112" s="48"/>
      <c r="AT4112" s="48"/>
      <c r="AU4112" s="48"/>
      <c r="AV4112" s="48"/>
      <c r="AW4112" s="48"/>
      <c r="AX4112" s="48"/>
      <c r="AY4112" s="48"/>
      <c r="AZ4112" s="48"/>
      <c r="BA4112" s="48"/>
      <c r="BB4112" s="48"/>
      <c r="BC4112" s="48"/>
      <c r="BD4112" s="48"/>
    </row>
    <row r="4113" spans="1:56">
      <c r="A4113" s="48"/>
      <c r="B4113" s="48"/>
      <c r="C4113" s="49"/>
      <c r="D4113" s="48"/>
      <c r="E4113" s="48"/>
      <c r="F4113" s="48"/>
      <c r="G4113" s="48"/>
      <c r="H4113" s="48"/>
      <c r="I4113" s="48"/>
      <c r="J4113" s="86"/>
      <c r="K4113" s="86"/>
      <c r="L4113" s="86"/>
      <c r="M4113" s="86"/>
      <c r="N4113" s="86"/>
      <c r="O4113" s="86"/>
      <c r="P4113" s="86"/>
      <c r="Q4113" s="86"/>
      <c r="R4113" s="86"/>
      <c r="S4113" s="86"/>
      <c r="T4113" s="86"/>
      <c r="U4113" s="86"/>
      <c r="V4113" s="48"/>
      <c r="W4113" s="48"/>
      <c r="X4113" s="48"/>
      <c r="Y4113" s="48"/>
      <c r="Z4113" s="48"/>
      <c r="AA4113" s="48"/>
      <c r="AB4113" s="48"/>
      <c r="AC4113" s="48"/>
      <c r="AD4113" s="48"/>
      <c r="AE4113" s="48"/>
      <c r="AF4113" s="48"/>
      <c r="AG4113" s="48"/>
      <c r="AH4113" s="48"/>
      <c r="AI4113" s="48"/>
      <c r="AJ4113" s="48"/>
      <c r="AK4113" s="48"/>
      <c r="AL4113" s="48"/>
      <c r="AM4113" s="48"/>
      <c r="AN4113" s="48"/>
      <c r="AO4113" s="48"/>
      <c r="AP4113" s="48"/>
      <c r="AQ4113" s="48"/>
      <c r="AR4113" s="48"/>
      <c r="AS4113" s="48"/>
      <c r="AT4113" s="48"/>
      <c r="AU4113" s="48"/>
      <c r="AV4113" s="48"/>
      <c r="AW4113" s="48"/>
      <c r="AX4113" s="48"/>
      <c r="AY4113" s="48"/>
      <c r="AZ4113" s="48"/>
      <c r="BA4113" s="48"/>
      <c r="BB4113" s="48"/>
      <c r="BC4113" s="48"/>
      <c r="BD4113" s="48"/>
    </row>
    <row r="4114" spans="1:56">
      <c r="A4114" s="48"/>
      <c r="B4114" s="48"/>
      <c r="C4114" s="49"/>
      <c r="D4114" s="48"/>
      <c r="E4114" s="48"/>
      <c r="F4114" s="48"/>
      <c r="G4114" s="48"/>
      <c r="H4114" s="48"/>
      <c r="I4114" s="48"/>
      <c r="J4114" s="86"/>
      <c r="K4114" s="86"/>
      <c r="L4114" s="86"/>
      <c r="M4114" s="86"/>
      <c r="N4114" s="86"/>
      <c r="O4114" s="86"/>
      <c r="P4114" s="86"/>
      <c r="Q4114" s="86"/>
      <c r="R4114" s="86"/>
      <c r="S4114" s="86"/>
      <c r="T4114" s="86"/>
      <c r="U4114" s="86"/>
      <c r="V4114" s="48"/>
      <c r="W4114" s="48"/>
      <c r="X4114" s="48"/>
      <c r="Y4114" s="48"/>
      <c r="Z4114" s="48"/>
      <c r="AA4114" s="48"/>
      <c r="AB4114" s="48"/>
      <c r="AC4114" s="48"/>
      <c r="AD4114" s="48"/>
      <c r="AE4114" s="48"/>
      <c r="AF4114" s="48"/>
      <c r="AG4114" s="48"/>
      <c r="AH4114" s="48"/>
      <c r="AI4114" s="48"/>
      <c r="AJ4114" s="48"/>
      <c r="AK4114" s="48"/>
      <c r="AL4114" s="48"/>
      <c r="AM4114" s="48"/>
      <c r="AN4114" s="48"/>
      <c r="AO4114" s="48"/>
      <c r="AP4114" s="48"/>
      <c r="AQ4114" s="48"/>
      <c r="AR4114" s="48"/>
      <c r="AS4114" s="48"/>
      <c r="AT4114" s="48"/>
      <c r="AU4114" s="48"/>
      <c r="AV4114" s="48"/>
      <c r="AW4114" s="48"/>
      <c r="AX4114" s="48"/>
      <c r="AY4114" s="48"/>
      <c r="AZ4114" s="48"/>
      <c r="BA4114" s="48"/>
      <c r="BB4114" s="48"/>
      <c r="BC4114" s="48"/>
      <c r="BD4114" s="48"/>
    </row>
    <row r="4115" spans="1:56">
      <c r="A4115" s="48"/>
      <c r="B4115" s="48"/>
      <c r="C4115" s="49"/>
      <c r="D4115" s="48"/>
      <c r="E4115" s="48"/>
      <c r="F4115" s="48"/>
      <c r="G4115" s="48"/>
      <c r="H4115" s="48"/>
      <c r="I4115" s="48"/>
      <c r="J4115" s="86"/>
      <c r="K4115" s="86"/>
      <c r="L4115" s="86"/>
      <c r="M4115" s="86"/>
      <c r="N4115" s="86"/>
      <c r="O4115" s="86"/>
      <c r="P4115" s="86"/>
      <c r="Q4115" s="86"/>
      <c r="R4115" s="86"/>
      <c r="S4115" s="86"/>
      <c r="T4115" s="86"/>
      <c r="U4115" s="86"/>
      <c r="V4115" s="48"/>
      <c r="W4115" s="48"/>
      <c r="X4115" s="48"/>
      <c r="Y4115" s="48"/>
      <c r="Z4115" s="48"/>
      <c r="AA4115" s="48"/>
      <c r="AB4115" s="48"/>
      <c r="AC4115" s="48"/>
      <c r="AD4115" s="48"/>
      <c r="AE4115" s="48"/>
      <c r="AF4115" s="48"/>
      <c r="AG4115" s="48"/>
      <c r="AH4115" s="48"/>
      <c r="AI4115" s="48"/>
      <c r="AJ4115" s="48"/>
      <c r="AK4115" s="48"/>
      <c r="AL4115" s="48"/>
      <c r="AM4115" s="48"/>
      <c r="AN4115" s="48"/>
      <c r="AO4115" s="48"/>
      <c r="AP4115" s="48"/>
      <c r="AQ4115" s="48"/>
      <c r="AR4115" s="48"/>
      <c r="AS4115" s="48"/>
      <c r="AT4115" s="48"/>
      <c r="AU4115" s="48"/>
      <c r="AV4115" s="48"/>
      <c r="AW4115" s="48"/>
      <c r="AX4115" s="48"/>
      <c r="AY4115" s="48"/>
      <c r="AZ4115" s="48"/>
      <c r="BA4115" s="48"/>
      <c r="BB4115" s="48"/>
      <c r="BC4115" s="48"/>
      <c r="BD4115" s="48"/>
    </row>
    <row r="4116" spans="1:56">
      <c r="A4116" s="48"/>
      <c r="B4116" s="48"/>
      <c r="C4116" s="49"/>
      <c r="D4116" s="48"/>
      <c r="E4116" s="48"/>
      <c r="F4116" s="48"/>
      <c r="G4116" s="48"/>
      <c r="H4116" s="48"/>
      <c r="I4116" s="48"/>
      <c r="J4116" s="86"/>
      <c r="K4116" s="86"/>
      <c r="L4116" s="86"/>
      <c r="M4116" s="86"/>
      <c r="N4116" s="86"/>
      <c r="O4116" s="86"/>
      <c r="P4116" s="86"/>
      <c r="Q4116" s="86"/>
      <c r="R4116" s="86"/>
      <c r="S4116" s="86"/>
      <c r="T4116" s="86"/>
      <c r="U4116" s="86"/>
      <c r="V4116" s="48"/>
      <c r="W4116" s="48"/>
      <c r="X4116" s="48"/>
      <c r="Y4116" s="48"/>
      <c r="Z4116" s="48"/>
      <c r="AA4116" s="48"/>
      <c r="AB4116" s="48"/>
      <c r="AC4116" s="48"/>
      <c r="AD4116" s="48"/>
      <c r="AE4116" s="48"/>
      <c r="AF4116" s="48"/>
      <c r="AG4116" s="48"/>
      <c r="AH4116" s="48"/>
      <c r="AI4116" s="48"/>
      <c r="AJ4116" s="48"/>
      <c r="AK4116" s="48"/>
      <c r="AL4116" s="48"/>
      <c r="AM4116" s="48"/>
      <c r="AN4116" s="48"/>
      <c r="AO4116" s="48"/>
      <c r="AP4116" s="48"/>
      <c r="AQ4116" s="48"/>
      <c r="AR4116" s="48"/>
      <c r="AS4116" s="48"/>
      <c r="AT4116" s="48"/>
      <c r="AU4116" s="48"/>
      <c r="AV4116" s="48"/>
      <c r="AW4116" s="48"/>
      <c r="AX4116" s="48"/>
      <c r="AY4116" s="48"/>
      <c r="AZ4116" s="48"/>
      <c r="BA4116" s="48"/>
      <c r="BB4116" s="48"/>
      <c r="BC4116" s="48"/>
      <c r="BD4116" s="48"/>
    </row>
    <row r="4117" spans="1:56">
      <c r="A4117" s="48"/>
      <c r="B4117" s="48"/>
      <c r="C4117" s="49"/>
      <c r="D4117" s="48"/>
      <c r="E4117" s="48"/>
      <c r="F4117" s="48"/>
      <c r="G4117" s="48"/>
      <c r="H4117" s="48"/>
      <c r="I4117" s="48"/>
      <c r="J4117" s="86"/>
      <c r="K4117" s="86"/>
      <c r="L4117" s="86"/>
      <c r="M4117" s="86"/>
      <c r="N4117" s="86"/>
      <c r="O4117" s="86"/>
      <c r="P4117" s="86"/>
      <c r="Q4117" s="86"/>
      <c r="R4117" s="86"/>
      <c r="S4117" s="86"/>
      <c r="T4117" s="86"/>
      <c r="U4117" s="86"/>
      <c r="V4117" s="48"/>
      <c r="W4117" s="48"/>
      <c r="X4117" s="48"/>
      <c r="Y4117" s="48"/>
      <c r="Z4117" s="48"/>
      <c r="AA4117" s="48"/>
      <c r="AB4117" s="48"/>
      <c r="AC4117" s="48"/>
      <c r="AD4117" s="48"/>
      <c r="AE4117" s="48"/>
      <c r="AF4117" s="48"/>
      <c r="AG4117" s="48"/>
      <c r="AH4117" s="48"/>
      <c r="AI4117" s="48"/>
      <c r="AJ4117" s="48"/>
      <c r="AK4117" s="48"/>
      <c r="AL4117" s="48"/>
      <c r="AM4117" s="48"/>
      <c r="AN4117" s="48"/>
      <c r="AO4117" s="48"/>
      <c r="AP4117" s="48"/>
      <c r="AQ4117" s="48"/>
      <c r="AR4117" s="48"/>
      <c r="AS4117" s="48"/>
      <c r="AT4117" s="48"/>
      <c r="AU4117" s="48"/>
      <c r="AV4117" s="48"/>
      <c r="AW4117" s="48"/>
      <c r="AX4117" s="48"/>
      <c r="AY4117" s="48"/>
      <c r="AZ4117" s="48"/>
      <c r="BA4117" s="48"/>
      <c r="BB4117" s="48"/>
      <c r="BC4117" s="48"/>
      <c r="BD4117" s="48"/>
    </row>
    <row r="4118" spans="1:56">
      <c r="A4118" s="48"/>
      <c r="B4118" s="48"/>
      <c r="C4118" s="49"/>
      <c r="D4118" s="48"/>
      <c r="E4118" s="48"/>
      <c r="F4118" s="48"/>
      <c r="G4118" s="48"/>
      <c r="H4118" s="48"/>
      <c r="I4118" s="48"/>
      <c r="J4118" s="86"/>
      <c r="K4118" s="86"/>
      <c r="L4118" s="86"/>
      <c r="M4118" s="86"/>
      <c r="N4118" s="86"/>
      <c r="O4118" s="86"/>
      <c r="P4118" s="86"/>
      <c r="Q4118" s="86"/>
      <c r="R4118" s="86"/>
      <c r="S4118" s="86"/>
      <c r="T4118" s="86"/>
      <c r="U4118" s="86"/>
      <c r="V4118" s="48"/>
      <c r="W4118" s="48"/>
      <c r="X4118" s="48"/>
      <c r="Y4118" s="48"/>
      <c r="Z4118" s="48"/>
      <c r="AA4118" s="48"/>
      <c r="AB4118" s="48"/>
      <c r="AC4118" s="48"/>
      <c r="AD4118" s="48"/>
      <c r="AE4118" s="48"/>
      <c r="AF4118" s="48"/>
      <c r="AG4118" s="48"/>
      <c r="AH4118" s="48"/>
      <c r="AI4118" s="48"/>
      <c r="AJ4118" s="48"/>
      <c r="AK4118" s="48"/>
      <c r="AL4118" s="48"/>
      <c r="AM4118" s="48"/>
      <c r="AN4118" s="48"/>
      <c r="AO4118" s="48"/>
      <c r="AP4118" s="48"/>
      <c r="AQ4118" s="48"/>
      <c r="AR4118" s="48"/>
      <c r="AS4118" s="48"/>
      <c r="AT4118" s="48"/>
      <c r="AU4118" s="48"/>
      <c r="AV4118" s="48"/>
      <c r="AW4118" s="48"/>
      <c r="AX4118" s="48"/>
      <c r="AY4118" s="48"/>
      <c r="AZ4118" s="48"/>
      <c r="BA4118" s="48"/>
      <c r="BB4118" s="48"/>
      <c r="BC4118" s="48"/>
      <c r="BD4118" s="48"/>
    </row>
    <row r="4119" spans="1:56">
      <c r="A4119" s="48"/>
      <c r="B4119" s="48"/>
      <c r="C4119" s="49"/>
      <c r="D4119" s="48"/>
      <c r="E4119" s="48"/>
      <c r="F4119" s="48"/>
      <c r="G4119" s="48"/>
      <c r="H4119" s="48"/>
      <c r="I4119" s="48"/>
      <c r="J4119" s="86"/>
      <c r="K4119" s="86"/>
      <c r="L4119" s="86"/>
      <c r="M4119" s="86"/>
      <c r="N4119" s="86"/>
      <c r="O4119" s="86"/>
      <c r="P4119" s="86"/>
      <c r="Q4119" s="86"/>
      <c r="R4119" s="86"/>
      <c r="S4119" s="86"/>
      <c r="T4119" s="86"/>
      <c r="U4119" s="86"/>
      <c r="V4119" s="48"/>
      <c r="W4119" s="48"/>
      <c r="X4119" s="48"/>
      <c r="Y4119" s="48"/>
      <c r="Z4119" s="48"/>
      <c r="AA4119" s="48"/>
      <c r="AB4119" s="48"/>
      <c r="AC4119" s="48"/>
      <c r="AD4119" s="48"/>
      <c r="AE4119" s="48"/>
      <c r="AF4119" s="48"/>
      <c r="AG4119" s="48"/>
      <c r="AH4119" s="48"/>
      <c r="AI4119" s="48"/>
      <c r="AJ4119" s="48"/>
      <c r="AK4119" s="48"/>
      <c r="AL4119" s="48"/>
      <c r="AM4119" s="48"/>
      <c r="AN4119" s="48"/>
      <c r="AO4119" s="48"/>
      <c r="AP4119" s="48"/>
      <c r="AQ4119" s="48"/>
      <c r="AR4119" s="48"/>
      <c r="AS4119" s="48"/>
      <c r="AT4119" s="48"/>
      <c r="AU4119" s="48"/>
      <c r="AV4119" s="48"/>
      <c r="AW4119" s="48"/>
      <c r="AX4119" s="48"/>
      <c r="AY4119" s="48"/>
      <c r="AZ4119" s="48"/>
      <c r="BA4119" s="48"/>
      <c r="BB4119" s="48"/>
      <c r="BC4119" s="48"/>
      <c r="BD4119" s="48"/>
    </row>
    <row r="4120" spans="1:56">
      <c r="A4120" s="48"/>
      <c r="B4120" s="48"/>
      <c r="C4120" s="49"/>
      <c r="D4120" s="48"/>
      <c r="E4120" s="48"/>
      <c r="F4120" s="48"/>
      <c r="G4120" s="48"/>
      <c r="H4120" s="48"/>
      <c r="I4120" s="48"/>
      <c r="J4120" s="86"/>
      <c r="K4120" s="86"/>
      <c r="L4120" s="86"/>
      <c r="M4120" s="86"/>
      <c r="N4120" s="86"/>
      <c r="O4120" s="86"/>
      <c r="P4120" s="86"/>
      <c r="Q4120" s="86"/>
      <c r="R4120" s="86"/>
      <c r="S4120" s="86"/>
      <c r="T4120" s="86"/>
      <c r="U4120" s="86"/>
      <c r="V4120" s="48"/>
      <c r="W4120" s="48"/>
      <c r="X4120" s="48"/>
      <c r="Y4120" s="48"/>
      <c r="Z4120" s="48"/>
      <c r="AA4120" s="48"/>
      <c r="AB4120" s="48"/>
      <c r="AC4120" s="48"/>
      <c r="AD4120" s="48"/>
      <c r="AE4120" s="48"/>
      <c r="AF4120" s="48"/>
      <c r="AG4120" s="48"/>
      <c r="AH4120" s="48"/>
      <c r="AI4120" s="48"/>
      <c r="AJ4120" s="48"/>
      <c r="AK4120" s="48"/>
      <c r="AL4120" s="48"/>
      <c r="AM4120" s="48"/>
      <c r="AN4120" s="48"/>
      <c r="AO4120" s="48"/>
      <c r="AP4120" s="48"/>
      <c r="AQ4120" s="48"/>
      <c r="AR4120" s="48"/>
      <c r="AS4120" s="48"/>
      <c r="AT4120" s="48"/>
      <c r="AU4120" s="48"/>
      <c r="AV4120" s="48"/>
      <c r="AW4120" s="48"/>
      <c r="AX4120" s="48"/>
      <c r="AY4120" s="48"/>
      <c r="AZ4120" s="48"/>
      <c r="BA4120" s="48"/>
      <c r="BB4120" s="48"/>
      <c r="BC4120" s="48"/>
      <c r="BD4120" s="48"/>
    </row>
    <row r="4121" spans="1:56">
      <c r="A4121" s="48"/>
      <c r="B4121" s="48"/>
      <c r="C4121" s="49"/>
      <c r="D4121" s="48"/>
      <c r="E4121" s="48"/>
      <c r="F4121" s="48"/>
      <c r="G4121" s="48"/>
      <c r="H4121" s="48"/>
      <c r="I4121" s="48"/>
      <c r="J4121" s="86"/>
      <c r="K4121" s="86"/>
      <c r="L4121" s="86"/>
      <c r="M4121" s="86"/>
      <c r="N4121" s="86"/>
      <c r="O4121" s="86"/>
      <c r="P4121" s="86"/>
      <c r="Q4121" s="86"/>
      <c r="R4121" s="86"/>
      <c r="S4121" s="86"/>
      <c r="T4121" s="86"/>
      <c r="U4121" s="86"/>
      <c r="V4121" s="48"/>
      <c r="W4121" s="48"/>
      <c r="X4121" s="48"/>
      <c r="Y4121" s="48"/>
      <c r="Z4121" s="48"/>
      <c r="AA4121" s="48"/>
      <c r="AB4121" s="48"/>
      <c r="AC4121" s="48"/>
      <c r="AD4121" s="48"/>
      <c r="AE4121" s="48"/>
      <c r="AF4121" s="48"/>
      <c r="AG4121" s="48"/>
      <c r="AH4121" s="48"/>
      <c r="AI4121" s="48"/>
      <c r="AJ4121" s="48"/>
      <c r="AK4121" s="48"/>
      <c r="AL4121" s="48"/>
      <c r="AM4121" s="48"/>
      <c r="AN4121" s="48"/>
      <c r="AO4121" s="48"/>
      <c r="AP4121" s="48"/>
      <c r="AQ4121" s="48"/>
      <c r="AR4121" s="48"/>
      <c r="AS4121" s="48"/>
      <c r="AT4121" s="48"/>
      <c r="AU4121" s="48"/>
      <c r="AV4121" s="48"/>
      <c r="AW4121" s="48"/>
      <c r="AX4121" s="48"/>
      <c r="AY4121" s="48"/>
      <c r="AZ4121" s="48"/>
      <c r="BA4121" s="48"/>
      <c r="BB4121" s="48"/>
      <c r="BC4121" s="48"/>
      <c r="BD4121" s="48"/>
    </row>
    <row r="4122" spans="1:56">
      <c r="A4122" s="48"/>
      <c r="B4122" s="48"/>
      <c r="C4122" s="49"/>
      <c r="D4122" s="48"/>
      <c r="E4122" s="48"/>
      <c r="F4122" s="48"/>
      <c r="G4122" s="48"/>
      <c r="H4122" s="48"/>
      <c r="I4122" s="48"/>
      <c r="J4122" s="86"/>
      <c r="K4122" s="86"/>
      <c r="L4122" s="86"/>
      <c r="M4122" s="86"/>
      <c r="N4122" s="86"/>
      <c r="O4122" s="86"/>
      <c r="P4122" s="86"/>
      <c r="Q4122" s="86"/>
      <c r="R4122" s="86"/>
      <c r="S4122" s="86"/>
      <c r="T4122" s="86"/>
      <c r="U4122" s="86"/>
      <c r="V4122" s="48"/>
      <c r="W4122" s="48"/>
      <c r="X4122" s="48"/>
      <c r="Y4122" s="48"/>
      <c r="Z4122" s="48"/>
      <c r="AA4122" s="48"/>
      <c r="AB4122" s="48"/>
      <c r="AC4122" s="48"/>
      <c r="AD4122" s="48"/>
      <c r="AE4122" s="48"/>
      <c r="AF4122" s="48"/>
      <c r="AG4122" s="48"/>
      <c r="AH4122" s="48"/>
      <c r="AI4122" s="48"/>
      <c r="AJ4122" s="48"/>
      <c r="AK4122" s="48"/>
      <c r="AL4122" s="48"/>
      <c r="AM4122" s="48"/>
      <c r="AN4122" s="48"/>
      <c r="AO4122" s="48"/>
      <c r="AP4122" s="48"/>
      <c r="AQ4122" s="48"/>
      <c r="AR4122" s="48"/>
      <c r="AS4122" s="48"/>
      <c r="AT4122" s="48"/>
      <c r="AU4122" s="48"/>
      <c r="AV4122" s="48"/>
      <c r="AW4122" s="48"/>
      <c r="AX4122" s="48"/>
      <c r="AY4122" s="48"/>
      <c r="AZ4122" s="48"/>
      <c r="BA4122" s="48"/>
      <c r="BB4122" s="48"/>
      <c r="BC4122" s="48"/>
      <c r="BD4122" s="48"/>
    </row>
    <row r="4123" spans="1:56">
      <c r="A4123" s="48"/>
      <c r="B4123" s="48"/>
      <c r="C4123" s="49"/>
      <c r="D4123" s="48"/>
      <c r="E4123" s="48"/>
      <c r="F4123" s="48"/>
      <c r="G4123" s="48"/>
      <c r="H4123" s="48"/>
      <c r="I4123" s="48"/>
      <c r="J4123" s="86"/>
      <c r="K4123" s="86"/>
      <c r="L4123" s="86"/>
      <c r="M4123" s="86"/>
      <c r="N4123" s="86"/>
      <c r="O4123" s="86"/>
      <c r="P4123" s="86"/>
      <c r="Q4123" s="86"/>
      <c r="R4123" s="86"/>
      <c r="S4123" s="86"/>
      <c r="T4123" s="86"/>
      <c r="U4123" s="86"/>
      <c r="V4123" s="48"/>
      <c r="W4123" s="48"/>
      <c r="X4123" s="48"/>
      <c r="Y4123" s="48"/>
      <c r="Z4123" s="48"/>
      <c r="AA4123" s="48"/>
      <c r="AB4123" s="48"/>
      <c r="AC4123" s="48"/>
      <c r="AD4123" s="48"/>
      <c r="AE4123" s="48"/>
      <c r="AF4123" s="48"/>
      <c r="AG4123" s="48"/>
      <c r="AH4123" s="48"/>
      <c r="AI4123" s="48"/>
      <c r="AJ4123" s="48"/>
      <c r="AK4123" s="48"/>
      <c r="AL4123" s="48"/>
      <c r="AM4123" s="48"/>
      <c r="AN4123" s="48"/>
      <c r="AO4123" s="48"/>
      <c r="AP4123" s="48"/>
      <c r="AQ4123" s="48"/>
      <c r="AR4123" s="48"/>
      <c r="AS4123" s="48"/>
      <c r="AT4123" s="48"/>
      <c r="AU4123" s="48"/>
      <c r="AV4123" s="48"/>
      <c r="AW4123" s="48"/>
      <c r="AX4123" s="48"/>
      <c r="AY4123" s="48"/>
      <c r="AZ4123" s="48"/>
      <c r="BA4123" s="48"/>
      <c r="BB4123" s="48"/>
      <c r="BC4123" s="48"/>
      <c r="BD4123" s="48"/>
    </row>
    <row r="4124" spans="1:56">
      <c r="A4124" s="48"/>
      <c r="B4124" s="48"/>
      <c r="C4124" s="49"/>
      <c r="D4124" s="48"/>
      <c r="E4124" s="48"/>
      <c r="F4124" s="48"/>
      <c r="G4124" s="48"/>
      <c r="H4124" s="48"/>
      <c r="I4124" s="48"/>
      <c r="J4124" s="86"/>
      <c r="K4124" s="86"/>
      <c r="L4124" s="86"/>
      <c r="M4124" s="86"/>
      <c r="N4124" s="86"/>
      <c r="O4124" s="86"/>
      <c r="P4124" s="86"/>
      <c r="Q4124" s="86"/>
      <c r="R4124" s="86"/>
      <c r="S4124" s="86"/>
      <c r="T4124" s="86"/>
      <c r="U4124" s="86"/>
      <c r="V4124" s="48"/>
      <c r="W4124" s="48"/>
      <c r="X4124" s="48"/>
      <c r="Y4124" s="48"/>
      <c r="Z4124" s="48"/>
      <c r="AA4124" s="48"/>
      <c r="AB4124" s="48"/>
      <c r="AC4124" s="48"/>
      <c r="AD4124" s="48"/>
      <c r="AE4124" s="48"/>
      <c r="AF4124" s="48"/>
      <c r="AG4124" s="48"/>
      <c r="AH4124" s="48"/>
      <c r="AI4124" s="48"/>
      <c r="AJ4124" s="48"/>
      <c r="AK4124" s="48"/>
      <c r="AL4124" s="48"/>
      <c r="AM4124" s="48"/>
      <c r="AN4124" s="48"/>
      <c r="AO4124" s="48"/>
      <c r="AP4124" s="48"/>
      <c r="AQ4124" s="48"/>
      <c r="AR4124" s="48"/>
      <c r="AS4124" s="48"/>
      <c r="AT4124" s="48"/>
      <c r="AU4124" s="48"/>
      <c r="AV4124" s="48"/>
      <c r="AW4124" s="48"/>
      <c r="AX4124" s="48"/>
      <c r="AY4124" s="48"/>
      <c r="AZ4124" s="48"/>
      <c r="BA4124" s="48"/>
      <c r="BB4124" s="48"/>
      <c r="BC4124" s="48"/>
      <c r="BD4124" s="48"/>
    </row>
    <row r="4125" spans="1:56">
      <c r="A4125" s="48"/>
      <c r="B4125" s="48"/>
      <c r="C4125" s="49"/>
      <c r="D4125" s="48"/>
      <c r="E4125" s="48"/>
      <c r="F4125" s="48"/>
      <c r="G4125" s="48"/>
      <c r="H4125" s="48"/>
      <c r="I4125" s="48"/>
      <c r="J4125" s="86"/>
      <c r="K4125" s="86"/>
      <c r="L4125" s="86"/>
      <c r="M4125" s="86"/>
      <c r="N4125" s="86"/>
      <c r="O4125" s="86"/>
      <c r="P4125" s="86"/>
      <c r="Q4125" s="86"/>
      <c r="R4125" s="86"/>
      <c r="S4125" s="86"/>
      <c r="T4125" s="86"/>
      <c r="U4125" s="86"/>
      <c r="V4125" s="48"/>
      <c r="W4125" s="48"/>
      <c r="X4125" s="48"/>
      <c r="Y4125" s="48"/>
      <c r="Z4125" s="48"/>
      <c r="AA4125" s="48"/>
      <c r="AB4125" s="48"/>
      <c r="AC4125" s="48"/>
      <c r="AD4125" s="48"/>
      <c r="AE4125" s="48"/>
      <c r="AF4125" s="48"/>
      <c r="AG4125" s="48"/>
      <c r="AH4125" s="48"/>
      <c r="AI4125" s="48"/>
      <c r="AJ4125" s="48"/>
      <c r="AK4125" s="48"/>
      <c r="AL4125" s="48"/>
      <c r="AM4125" s="48"/>
      <c r="AN4125" s="48"/>
      <c r="AO4125" s="48"/>
      <c r="AP4125" s="48"/>
      <c r="AQ4125" s="48"/>
      <c r="AR4125" s="48"/>
      <c r="AS4125" s="48"/>
      <c r="AT4125" s="48"/>
      <c r="AU4125" s="48"/>
      <c r="AV4125" s="48"/>
      <c r="AW4125" s="48"/>
      <c r="AX4125" s="48"/>
      <c r="AY4125" s="48"/>
      <c r="AZ4125" s="48"/>
      <c r="BA4125" s="48"/>
      <c r="BB4125" s="48"/>
      <c r="BC4125" s="48"/>
      <c r="BD4125" s="48"/>
    </row>
    <row r="4126" spans="1:56">
      <c r="A4126" s="48"/>
      <c r="B4126" s="48"/>
      <c r="C4126" s="49"/>
      <c r="D4126" s="48"/>
      <c r="E4126" s="48"/>
      <c r="F4126" s="48"/>
      <c r="G4126" s="48"/>
      <c r="H4126" s="48"/>
      <c r="I4126" s="48"/>
      <c r="J4126" s="86"/>
      <c r="K4126" s="86"/>
      <c r="L4126" s="86"/>
      <c r="M4126" s="86"/>
      <c r="N4126" s="86"/>
      <c r="O4126" s="86"/>
      <c r="P4126" s="86"/>
      <c r="Q4126" s="86"/>
      <c r="R4126" s="86"/>
      <c r="S4126" s="86"/>
      <c r="T4126" s="86"/>
      <c r="U4126" s="86"/>
      <c r="V4126" s="48"/>
      <c r="W4126" s="48"/>
      <c r="X4126" s="48"/>
      <c r="Y4126" s="48"/>
      <c r="Z4126" s="48"/>
      <c r="AA4126" s="48"/>
      <c r="AB4126" s="48"/>
      <c r="AC4126" s="48"/>
      <c r="AD4126" s="48"/>
      <c r="AE4126" s="48"/>
      <c r="AF4126" s="48"/>
      <c r="AG4126" s="48"/>
      <c r="AH4126" s="48"/>
      <c r="AI4126" s="48"/>
      <c r="AJ4126" s="48"/>
      <c r="AK4126" s="48"/>
      <c r="AL4126" s="48"/>
      <c r="AM4126" s="48"/>
      <c r="AN4126" s="48"/>
      <c r="AO4126" s="48"/>
      <c r="AP4126" s="48"/>
      <c r="AQ4126" s="48"/>
      <c r="AR4126" s="48"/>
      <c r="AS4126" s="48"/>
      <c r="AT4126" s="48"/>
      <c r="AU4126" s="48"/>
      <c r="AV4126" s="48"/>
      <c r="AW4126" s="48"/>
      <c r="AX4126" s="48"/>
      <c r="AY4126" s="48"/>
      <c r="AZ4126" s="48"/>
      <c r="BA4126" s="48"/>
      <c r="BB4126" s="48"/>
      <c r="BC4126" s="48"/>
      <c r="BD4126" s="48"/>
    </row>
    <row r="4127" spans="1:56">
      <c r="A4127" s="48"/>
      <c r="B4127" s="48"/>
      <c r="C4127" s="49"/>
      <c r="D4127" s="48"/>
      <c r="E4127" s="48"/>
      <c r="F4127" s="48"/>
      <c r="G4127" s="48"/>
      <c r="H4127" s="48"/>
      <c r="I4127" s="48"/>
      <c r="J4127" s="86"/>
      <c r="K4127" s="86"/>
      <c r="L4127" s="86"/>
      <c r="M4127" s="86"/>
      <c r="N4127" s="86"/>
      <c r="O4127" s="86"/>
      <c r="P4127" s="86"/>
      <c r="Q4127" s="86"/>
      <c r="R4127" s="86"/>
      <c r="S4127" s="86"/>
      <c r="T4127" s="86"/>
      <c r="U4127" s="86"/>
      <c r="V4127" s="48"/>
      <c r="W4127" s="48"/>
      <c r="X4127" s="48"/>
      <c r="Y4127" s="48"/>
      <c r="Z4127" s="48"/>
      <c r="AA4127" s="48"/>
      <c r="AB4127" s="48"/>
      <c r="AC4127" s="48"/>
      <c r="AD4127" s="48"/>
      <c r="AE4127" s="48"/>
      <c r="AF4127" s="48"/>
      <c r="AG4127" s="48"/>
      <c r="AH4127" s="48"/>
      <c r="AI4127" s="48"/>
      <c r="AJ4127" s="48"/>
      <c r="AK4127" s="48"/>
      <c r="AL4127" s="48"/>
      <c r="AM4127" s="48"/>
      <c r="AN4127" s="48"/>
      <c r="AO4127" s="48"/>
      <c r="AP4127" s="48"/>
      <c r="AQ4127" s="48"/>
      <c r="AR4127" s="48"/>
      <c r="AS4127" s="48"/>
      <c r="AT4127" s="48"/>
      <c r="AU4127" s="48"/>
      <c r="AV4127" s="48"/>
      <c r="AW4127" s="48"/>
      <c r="AX4127" s="48"/>
      <c r="AY4127" s="48"/>
      <c r="AZ4127" s="48"/>
      <c r="BA4127" s="48"/>
      <c r="BB4127" s="48"/>
      <c r="BC4127" s="48"/>
      <c r="BD4127" s="48"/>
    </row>
    <row r="4128" spans="1:56">
      <c r="A4128" s="48"/>
      <c r="B4128" s="48"/>
      <c r="C4128" s="49"/>
      <c r="D4128" s="48"/>
      <c r="E4128" s="48"/>
      <c r="F4128" s="48"/>
      <c r="G4128" s="48"/>
      <c r="H4128" s="48"/>
      <c r="I4128" s="48"/>
      <c r="J4128" s="86"/>
      <c r="K4128" s="86"/>
      <c r="L4128" s="86"/>
      <c r="M4128" s="86"/>
      <c r="N4128" s="86"/>
      <c r="O4128" s="86"/>
      <c r="P4128" s="86"/>
      <c r="Q4128" s="86"/>
      <c r="R4128" s="86"/>
      <c r="S4128" s="86"/>
      <c r="T4128" s="86"/>
      <c r="U4128" s="86"/>
      <c r="V4128" s="48"/>
      <c r="W4128" s="48"/>
      <c r="X4128" s="48"/>
      <c r="Y4128" s="48"/>
      <c r="Z4128" s="48"/>
      <c r="AA4128" s="48"/>
      <c r="AB4128" s="48"/>
      <c r="AC4128" s="48"/>
      <c r="AD4128" s="48"/>
      <c r="AE4128" s="48"/>
      <c r="AF4128" s="48"/>
      <c r="AG4128" s="48"/>
      <c r="AH4128" s="48"/>
      <c r="AI4128" s="48"/>
      <c r="AJ4128" s="48"/>
      <c r="AK4128" s="48"/>
      <c r="AL4128" s="48"/>
      <c r="AM4128" s="48"/>
      <c r="AN4128" s="48"/>
      <c r="AO4128" s="48"/>
      <c r="AP4128" s="48"/>
      <c r="AQ4128" s="48"/>
      <c r="AR4128" s="48"/>
      <c r="AS4128" s="48"/>
      <c r="AT4128" s="48"/>
      <c r="AU4128" s="48"/>
      <c r="AV4128" s="48"/>
      <c r="AW4128" s="48"/>
      <c r="AX4128" s="48"/>
      <c r="AY4128" s="48"/>
      <c r="AZ4128" s="48"/>
      <c r="BA4128" s="48"/>
      <c r="BB4128" s="48"/>
      <c r="BC4128" s="48"/>
      <c r="BD4128" s="48"/>
    </row>
    <row r="4129" spans="1:56">
      <c r="A4129" s="48"/>
      <c r="B4129" s="48"/>
      <c r="C4129" s="49"/>
      <c r="D4129" s="48"/>
      <c r="E4129" s="48"/>
      <c r="F4129" s="48"/>
      <c r="G4129" s="48"/>
      <c r="H4129" s="48"/>
      <c r="I4129" s="48"/>
      <c r="J4129" s="86"/>
      <c r="K4129" s="86"/>
      <c r="L4129" s="86"/>
      <c r="M4129" s="86"/>
      <c r="N4129" s="86"/>
      <c r="O4129" s="86"/>
      <c r="P4129" s="86"/>
      <c r="Q4129" s="86"/>
      <c r="R4129" s="86"/>
      <c r="S4129" s="86"/>
      <c r="T4129" s="86"/>
      <c r="U4129" s="86"/>
      <c r="V4129" s="48"/>
      <c r="W4129" s="48"/>
      <c r="X4129" s="48"/>
      <c r="Y4129" s="48"/>
      <c r="Z4129" s="48"/>
      <c r="AA4129" s="48"/>
      <c r="AB4129" s="48"/>
      <c r="AC4129" s="48"/>
      <c r="AD4129" s="48"/>
      <c r="AE4129" s="48"/>
      <c r="AF4129" s="48"/>
      <c r="AG4129" s="48"/>
      <c r="AH4129" s="48"/>
      <c r="AI4129" s="48"/>
      <c r="AJ4129" s="48"/>
      <c r="AK4129" s="48"/>
      <c r="AL4129" s="48"/>
      <c r="AM4129" s="48"/>
      <c r="AN4129" s="48"/>
      <c r="AO4129" s="48"/>
      <c r="AP4129" s="48"/>
      <c r="AQ4129" s="48"/>
      <c r="AR4129" s="48"/>
      <c r="AS4129" s="48"/>
      <c r="AT4129" s="48"/>
      <c r="AU4129" s="48"/>
      <c r="AV4129" s="48"/>
      <c r="AW4129" s="48"/>
      <c r="AX4129" s="48"/>
      <c r="AY4129" s="48"/>
      <c r="AZ4129" s="48"/>
      <c r="BA4129" s="48"/>
      <c r="BB4129" s="48"/>
      <c r="BC4129" s="48"/>
      <c r="BD4129" s="48"/>
    </row>
    <row r="4130" spans="1:56">
      <c r="A4130" s="48"/>
      <c r="B4130" s="48"/>
      <c r="C4130" s="49"/>
      <c r="D4130" s="48"/>
      <c r="E4130" s="48"/>
      <c r="F4130" s="48"/>
      <c r="G4130" s="48"/>
      <c r="H4130" s="48"/>
      <c r="I4130" s="48"/>
      <c r="J4130" s="86"/>
      <c r="K4130" s="86"/>
      <c r="L4130" s="86"/>
      <c r="M4130" s="86"/>
      <c r="N4130" s="86"/>
      <c r="O4130" s="86"/>
      <c r="P4130" s="86"/>
      <c r="Q4130" s="86"/>
      <c r="R4130" s="86"/>
      <c r="S4130" s="86"/>
      <c r="T4130" s="86"/>
      <c r="U4130" s="86"/>
      <c r="V4130" s="48"/>
      <c r="W4130" s="48"/>
      <c r="X4130" s="48"/>
      <c r="Y4130" s="48"/>
      <c r="Z4130" s="48"/>
      <c r="AA4130" s="48"/>
      <c r="AB4130" s="48"/>
      <c r="AC4130" s="48"/>
      <c r="AD4130" s="48"/>
      <c r="AE4130" s="48"/>
      <c r="AF4130" s="48"/>
      <c r="AG4130" s="48"/>
      <c r="AH4130" s="48"/>
      <c r="AI4130" s="48"/>
      <c r="AJ4130" s="48"/>
      <c r="AK4130" s="48"/>
      <c r="AL4130" s="48"/>
      <c r="AM4130" s="48"/>
      <c r="AN4130" s="48"/>
      <c r="AO4130" s="48"/>
      <c r="AP4130" s="48"/>
      <c r="AQ4130" s="48"/>
      <c r="AR4130" s="48"/>
      <c r="AS4130" s="48"/>
      <c r="AT4130" s="48"/>
      <c r="AU4130" s="48"/>
      <c r="AV4130" s="48"/>
      <c r="AW4130" s="48"/>
      <c r="AX4130" s="48"/>
      <c r="AY4130" s="48"/>
      <c r="AZ4130" s="48"/>
      <c r="BA4130" s="48"/>
      <c r="BB4130" s="48"/>
      <c r="BC4130" s="48"/>
      <c r="BD4130" s="48"/>
    </row>
    <row r="4131" spans="1:56">
      <c r="A4131" s="48"/>
      <c r="B4131" s="48"/>
      <c r="C4131" s="49"/>
      <c r="D4131" s="48"/>
      <c r="E4131" s="48"/>
      <c r="F4131" s="48"/>
      <c r="G4131" s="48"/>
      <c r="H4131" s="48"/>
      <c r="I4131" s="48"/>
      <c r="J4131" s="86"/>
      <c r="K4131" s="86"/>
      <c r="L4131" s="86"/>
      <c r="M4131" s="86"/>
      <c r="N4131" s="86"/>
      <c r="O4131" s="86"/>
      <c r="P4131" s="86"/>
      <c r="Q4131" s="86"/>
      <c r="R4131" s="86"/>
      <c r="S4131" s="86"/>
      <c r="T4131" s="86"/>
      <c r="U4131" s="86"/>
      <c r="V4131" s="48"/>
      <c r="W4131" s="48"/>
      <c r="X4131" s="48"/>
      <c r="Y4131" s="48"/>
      <c r="Z4131" s="48"/>
      <c r="AA4131" s="48"/>
      <c r="AB4131" s="48"/>
      <c r="AC4131" s="48"/>
      <c r="AD4131" s="48"/>
      <c r="AE4131" s="48"/>
      <c r="AF4131" s="48"/>
      <c r="AG4131" s="48"/>
      <c r="AH4131" s="48"/>
      <c r="AI4131" s="48"/>
      <c r="AJ4131" s="48"/>
      <c r="AK4131" s="48"/>
      <c r="AL4131" s="48"/>
      <c r="AM4131" s="48"/>
      <c r="AN4131" s="48"/>
      <c r="AO4131" s="48"/>
      <c r="AP4131" s="48"/>
      <c r="AQ4131" s="48"/>
      <c r="AR4131" s="48"/>
      <c r="AS4131" s="48"/>
      <c r="AT4131" s="48"/>
      <c r="AU4131" s="48"/>
      <c r="AV4131" s="48"/>
      <c r="AW4131" s="48"/>
      <c r="AX4131" s="48"/>
      <c r="AY4131" s="48"/>
      <c r="AZ4131" s="48"/>
      <c r="BA4131" s="48"/>
      <c r="BB4131" s="48"/>
      <c r="BC4131" s="48"/>
      <c r="BD4131" s="48"/>
    </row>
    <row r="4132" spans="1:56">
      <c r="A4132" s="48"/>
      <c r="B4132" s="48"/>
      <c r="C4132" s="49"/>
      <c r="D4132" s="48"/>
      <c r="E4132" s="48"/>
      <c r="F4132" s="48"/>
      <c r="G4132" s="48"/>
      <c r="H4132" s="48"/>
      <c r="I4132" s="48"/>
      <c r="J4132" s="86"/>
      <c r="K4132" s="86"/>
      <c r="L4132" s="86"/>
      <c r="M4132" s="86"/>
      <c r="N4132" s="86"/>
      <c r="O4132" s="86"/>
      <c r="P4132" s="86"/>
      <c r="Q4132" s="86"/>
      <c r="R4132" s="86"/>
      <c r="S4132" s="86"/>
      <c r="T4132" s="86"/>
      <c r="U4132" s="86"/>
      <c r="V4132" s="48"/>
      <c r="W4132" s="48"/>
      <c r="X4132" s="48"/>
      <c r="Y4132" s="48"/>
      <c r="Z4132" s="48"/>
      <c r="AA4132" s="48"/>
      <c r="AB4132" s="48"/>
      <c r="AC4132" s="48"/>
      <c r="AD4132" s="48"/>
      <c r="AE4132" s="48"/>
      <c r="AF4132" s="48"/>
      <c r="AG4132" s="48"/>
      <c r="AH4132" s="48"/>
      <c r="AI4132" s="48"/>
      <c r="AJ4132" s="48"/>
      <c r="AK4132" s="48"/>
      <c r="AL4132" s="48"/>
      <c r="AM4132" s="48"/>
      <c r="AN4132" s="48"/>
      <c r="AO4132" s="48"/>
      <c r="AP4132" s="48"/>
      <c r="AQ4132" s="48"/>
      <c r="AR4132" s="48"/>
      <c r="AS4132" s="48"/>
      <c r="AT4132" s="48"/>
      <c r="AU4132" s="48"/>
      <c r="AV4132" s="48"/>
      <c r="AW4132" s="48"/>
      <c r="AX4132" s="48"/>
      <c r="AY4132" s="48"/>
      <c r="AZ4132" s="48"/>
      <c r="BA4132" s="48"/>
      <c r="BB4132" s="48"/>
      <c r="BC4132" s="48"/>
      <c r="BD4132" s="48"/>
    </row>
    <row r="4133" spans="1:56">
      <c r="A4133" s="48"/>
      <c r="B4133" s="48"/>
      <c r="C4133" s="49"/>
      <c r="D4133" s="48"/>
      <c r="E4133" s="48"/>
      <c r="F4133" s="48"/>
      <c r="G4133" s="48"/>
      <c r="H4133" s="48"/>
      <c r="I4133" s="48"/>
      <c r="J4133" s="86"/>
      <c r="K4133" s="86"/>
      <c r="L4133" s="86"/>
      <c r="M4133" s="86"/>
      <c r="N4133" s="86"/>
      <c r="O4133" s="86"/>
      <c r="P4133" s="86"/>
      <c r="Q4133" s="86"/>
      <c r="R4133" s="86"/>
      <c r="S4133" s="86"/>
      <c r="T4133" s="86"/>
      <c r="U4133" s="86"/>
      <c r="V4133" s="48"/>
      <c r="W4133" s="48"/>
      <c r="X4133" s="48"/>
      <c r="Y4133" s="48"/>
      <c r="Z4133" s="48"/>
      <c r="AA4133" s="48"/>
      <c r="AB4133" s="48"/>
      <c r="AC4133" s="48"/>
      <c r="AD4133" s="48"/>
      <c r="AE4133" s="48"/>
      <c r="AF4133" s="48"/>
      <c r="AG4133" s="48"/>
      <c r="AH4133" s="48"/>
      <c r="AI4133" s="48"/>
      <c r="AJ4133" s="48"/>
      <c r="AK4133" s="48"/>
      <c r="AL4133" s="48"/>
      <c r="AM4133" s="48"/>
      <c r="AN4133" s="48"/>
      <c r="AO4133" s="48"/>
      <c r="AP4133" s="48"/>
      <c r="AQ4133" s="48"/>
      <c r="AR4133" s="48"/>
      <c r="AS4133" s="48"/>
      <c r="AT4133" s="48"/>
      <c r="AU4133" s="48"/>
      <c r="AV4133" s="48"/>
      <c r="AW4133" s="48"/>
      <c r="AX4133" s="48"/>
      <c r="AY4133" s="48"/>
      <c r="AZ4133" s="48"/>
      <c r="BA4133" s="48"/>
      <c r="BB4133" s="48"/>
      <c r="BC4133" s="48"/>
      <c r="BD4133" s="48"/>
    </row>
    <row r="4134" spans="1:56">
      <c r="A4134" s="48"/>
      <c r="B4134" s="48"/>
      <c r="C4134" s="49"/>
      <c r="D4134" s="48"/>
      <c r="E4134" s="48"/>
      <c r="F4134" s="48"/>
      <c r="G4134" s="48"/>
      <c r="H4134" s="48"/>
      <c r="I4134" s="48"/>
      <c r="J4134" s="86"/>
      <c r="K4134" s="86"/>
      <c r="L4134" s="86"/>
      <c r="M4134" s="86"/>
      <c r="N4134" s="86"/>
      <c r="O4134" s="86"/>
      <c r="P4134" s="86"/>
      <c r="Q4134" s="86"/>
      <c r="R4134" s="86"/>
      <c r="S4134" s="86"/>
      <c r="T4134" s="86"/>
      <c r="U4134" s="86"/>
      <c r="V4134" s="48"/>
      <c r="W4134" s="48"/>
      <c r="X4134" s="48"/>
      <c r="Y4134" s="48"/>
      <c r="Z4134" s="48"/>
      <c r="AA4134" s="48"/>
      <c r="AB4134" s="48"/>
      <c r="AC4134" s="48"/>
      <c r="AD4134" s="48"/>
      <c r="AE4134" s="48"/>
      <c r="AF4134" s="48"/>
      <c r="AG4134" s="48"/>
      <c r="AH4134" s="48"/>
      <c r="AI4134" s="48"/>
      <c r="AJ4134" s="48"/>
      <c r="AK4134" s="48"/>
      <c r="AL4134" s="48"/>
      <c r="AM4134" s="48"/>
      <c r="AN4134" s="48"/>
      <c r="AO4134" s="48"/>
      <c r="AP4134" s="48"/>
      <c r="AQ4134" s="48"/>
      <c r="AR4134" s="48"/>
      <c r="AS4134" s="48"/>
      <c r="AT4134" s="48"/>
      <c r="AU4134" s="48"/>
      <c r="AV4134" s="48"/>
      <c r="AW4134" s="48"/>
      <c r="AX4134" s="48"/>
      <c r="AY4134" s="48"/>
      <c r="AZ4134" s="48"/>
      <c r="BA4134" s="48"/>
      <c r="BB4134" s="48"/>
      <c r="BC4134" s="48"/>
      <c r="BD4134" s="48"/>
    </row>
    <row r="4135" spans="1:56">
      <c r="A4135" s="48"/>
      <c r="B4135" s="48"/>
      <c r="C4135" s="49"/>
      <c r="D4135" s="48"/>
      <c r="E4135" s="48"/>
      <c r="F4135" s="48"/>
      <c r="G4135" s="48"/>
      <c r="H4135" s="48"/>
      <c r="I4135" s="48"/>
      <c r="J4135" s="86"/>
      <c r="K4135" s="86"/>
      <c r="L4135" s="86"/>
      <c r="M4135" s="86"/>
      <c r="N4135" s="86"/>
      <c r="O4135" s="86"/>
      <c r="P4135" s="86"/>
      <c r="Q4135" s="86"/>
      <c r="R4135" s="86"/>
      <c r="S4135" s="86"/>
      <c r="T4135" s="86"/>
      <c r="U4135" s="86"/>
      <c r="V4135" s="48"/>
      <c r="W4135" s="48"/>
      <c r="X4135" s="48"/>
      <c r="Y4135" s="48"/>
      <c r="Z4135" s="48"/>
      <c r="AA4135" s="48"/>
      <c r="AB4135" s="48"/>
      <c r="AC4135" s="48"/>
      <c r="AD4135" s="48"/>
      <c r="AE4135" s="48"/>
      <c r="AF4135" s="48"/>
      <c r="AG4135" s="48"/>
      <c r="AH4135" s="48"/>
      <c r="AI4135" s="48"/>
      <c r="AJ4135" s="48"/>
      <c r="AK4135" s="48"/>
      <c r="AL4135" s="48"/>
      <c r="AM4135" s="48"/>
      <c r="AN4135" s="48"/>
      <c r="AO4135" s="48"/>
      <c r="AP4135" s="48"/>
      <c r="AQ4135" s="48"/>
      <c r="AR4135" s="48"/>
      <c r="AS4135" s="48"/>
      <c r="AT4135" s="48"/>
      <c r="AU4135" s="48"/>
      <c r="AV4135" s="48"/>
      <c r="AW4135" s="48"/>
      <c r="AX4135" s="48"/>
      <c r="AY4135" s="48"/>
      <c r="AZ4135" s="48"/>
      <c r="BA4135" s="48"/>
      <c r="BB4135" s="48"/>
      <c r="BC4135" s="48"/>
      <c r="BD4135" s="48"/>
    </row>
    <row r="4136" spans="1:56">
      <c r="A4136" s="48"/>
      <c r="B4136" s="48"/>
      <c r="C4136" s="49"/>
      <c r="D4136" s="48"/>
      <c r="E4136" s="48"/>
      <c r="F4136" s="48"/>
      <c r="G4136" s="48"/>
      <c r="H4136" s="48"/>
      <c r="I4136" s="48"/>
      <c r="J4136" s="86"/>
      <c r="K4136" s="86"/>
      <c r="L4136" s="86"/>
      <c r="M4136" s="86"/>
      <c r="N4136" s="86"/>
      <c r="O4136" s="86"/>
      <c r="P4136" s="86"/>
      <c r="Q4136" s="86"/>
      <c r="R4136" s="86"/>
      <c r="S4136" s="86"/>
      <c r="T4136" s="86"/>
      <c r="U4136" s="86"/>
      <c r="V4136" s="48"/>
      <c r="W4136" s="48"/>
      <c r="X4136" s="48"/>
      <c r="Y4136" s="48"/>
      <c r="Z4136" s="48"/>
      <c r="AA4136" s="48"/>
      <c r="AB4136" s="48"/>
      <c r="AC4136" s="48"/>
      <c r="AD4136" s="48"/>
      <c r="AE4136" s="48"/>
      <c r="AF4136" s="48"/>
      <c r="AG4136" s="48"/>
      <c r="AH4136" s="48"/>
      <c r="AI4136" s="48"/>
      <c r="AJ4136" s="48"/>
      <c r="AK4136" s="48"/>
      <c r="AL4136" s="48"/>
      <c r="AM4136" s="48"/>
      <c r="AN4136" s="48"/>
      <c r="AO4136" s="48"/>
      <c r="AP4136" s="48"/>
      <c r="AQ4136" s="48"/>
      <c r="AR4136" s="48"/>
      <c r="AS4136" s="48"/>
      <c r="AT4136" s="48"/>
      <c r="AU4136" s="48"/>
      <c r="AV4136" s="48"/>
      <c r="AW4136" s="48"/>
      <c r="AX4136" s="48"/>
      <c r="AY4136" s="48"/>
      <c r="AZ4136" s="48"/>
      <c r="BA4136" s="48"/>
      <c r="BB4136" s="48"/>
      <c r="BC4136" s="48"/>
      <c r="BD4136" s="48"/>
    </row>
    <row r="4137" spans="1:56">
      <c r="A4137" s="48"/>
      <c r="B4137" s="48"/>
      <c r="C4137" s="49"/>
      <c r="D4137" s="48"/>
      <c r="E4137" s="48"/>
      <c r="F4137" s="48"/>
      <c r="G4137" s="48"/>
      <c r="H4137" s="48"/>
      <c r="I4137" s="48"/>
      <c r="J4137" s="86"/>
      <c r="K4137" s="86"/>
      <c r="L4137" s="86"/>
      <c r="M4137" s="86"/>
      <c r="N4137" s="86"/>
      <c r="O4137" s="86"/>
      <c r="P4137" s="86"/>
      <c r="Q4137" s="86"/>
      <c r="R4137" s="86"/>
      <c r="S4137" s="86"/>
      <c r="T4137" s="86"/>
      <c r="U4137" s="86"/>
      <c r="V4137" s="48"/>
      <c r="W4137" s="48"/>
      <c r="X4137" s="48"/>
      <c r="Y4137" s="48"/>
      <c r="Z4137" s="48"/>
      <c r="AA4137" s="48"/>
      <c r="AB4137" s="48"/>
      <c r="AC4137" s="48"/>
      <c r="AD4137" s="48"/>
      <c r="AE4137" s="48"/>
      <c r="AF4137" s="48"/>
      <c r="AG4137" s="48"/>
      <c r="AH4137" s="48"/>
      <c r="AI4137" s="48"/>
      <c r="AJ4137" s="48"/>
      <c r="AK4137" s="48"/>
      <c r="AL4137" s="48"/>
      <c r="AM4137" s="48"/>
      <c r="AN4137" s="48"/>
      <c r="AO4137" s="48"/>
      <c r="AP4137" s="48"/>
      <c r="AQ4137" s="48"/>
      <c r="AR4137" s="48"/>
      <c r="AS4137" s="48"/>
      <c r="AT4137" s="48"/>
      <c r="AU4137" s="48"/>
      <c r="AV4137" s="48"/>
      <c r="AW4137" s="48"/>
      <c r="AX4137" s="48"/>
      <c r="AY4137" s="48"/>
      <c r="AZ4137" s="48"/>
      <c r="BA4137" s="48"/>
      <c r="BB4137" s="48"/>
      <c r="BC4137" s="48"/>
      <c r="BD4137" s="48"/>
    </row>
    <row r="4138" spans="1:56">
      <c r="A4138" s="48"/>
      <c r="B4138" s="48"/>
      <c r="C4138" s="49"/>
      <c r="D4138" s="48"/>
      <c r="E4138" s="48"/>
      <c r="F4138" s="48"/>
      <c r="G4138" s="48"/>
      <c r="H4138" s="48"/>
      <c r="I4138" s="48"/>
      <c r="J4138" s="86"/>
      <c r="K4138" s="86"/>
      <c r="L4138" s="86"/>
      <c r="M4138" s="86"/>
      <c r="N4138" s="86"/>
      <c r="O4138" s="86"/>
      <c r="P4138" s="86"/>
      <c r="Q4138" s="86"/>
      <c r="R4138" s="86"/>
      <c r="S4138" s="86"/>
      <c r="T4138" s="86"/>
      <c r="U4138" s="86"/>
      <c r="V4138" s="48"/>
      <c r="W4138" s="48"/>
      <c r="X4138" s="48"/>
      <c r="Y4138" s="48"/>
      <c r="Z4138" s="48"/>
      <c r="AA4138" s="48"/>
      <c r="AB4138" s="48"/>
      <c r="AC4138" s="48"/>
      <c r="AD4138" s="48"/>
      <c r="AE4138" s="48"/>
      <c r="AF4138" s="48"/>
      <c r="AG4138" s="48"/>
      <c r="AH4138" s="48"/>
      <c r="AI4138" s="48"/>
      <c r="AJ4138" s="48"/>
      <c r="AK4138" s="48"/>
      <c r="AL4138" s="48"/>
      <c r="AM4138" s="48"/>
      <c r="AN4138" s="48"/>
      <c r="AO4138" s="48"/>
      <c r="AP4138" s="48"/>
      <c r="AQ4138" s="48"/>
      <c r="AR4138" s="48"/>
      <c r="AS4138" s="48"/>
      <c r="AT4138" s="48"/>
      <c r="AU4138" s="48"/>
      <c r="AV4138" s="48"/>
      <c r="AW4138" s="48"/>
      <c r="AX4138" s="48"/>
      <c r="AY4138" s="48"/>
      <c r="AZ4138" s="48"/>
      <c r="BA4138" s="48"/>
      <c r="BB4138" s="48"/>
      <c r="BC4138" s="48"/>
      <c r="BD4138" s="48"/>
    </row>
    <row r="4139" spans="1:56">
      <c r="A4139" s="48"/>
      <c r="B4139" s="48"/>
      <c r="C4139" s="49"/>
      <c r="D4139" s="48"/>
      <c r="E4139" s="48"/>
      <c r="F4139" s="48"/>
      <c r="G4139" s="48"/>
      <c r="H4139" s="48"/>
      <c r="I4139" s="48"/>
      <c r="J4139" s="86"/>
      <c r="K4139" s="86"/>
      <c r="L4139" s="86"/>
      <c r="M4139" s="86"/>
      <c r="N4139" s="86"/>
      <c r="O4139" s="86"/>
      <c r="P4139" s="86"/>
      <c r="Q4139" s="86"/>
      <c r="R4139" s="86"/>
      <c r="S4139" s="86"/>
      <c r="T4139" s="86"/>
      <c r="U4139" s="86"/>
      <c r="V4139" s="48"/>
      <c r="W4139" s="48"/>
      <c r="X4139" s="48"/>
      <c r="Y4139" s="48"/>
      <c r="Z4139" s="48"/>
      <c r="AA4139" s="48"/>
      <c r="AB4139" s="48"/>
      <c r="AC4139" s="48"/>
      <c r="AD4139" s="48"/>
      <c r="AE4139" s="48"/>
      <c r="AF4139" s="48"/>
      <c r="AG4139" s="48"/>
      <c r="AH4139" s="48"/>
      <c r="AI4139" s="48"/>
      <c r="AJ4139" s="48"/>
      <c r="AK4139" s="48"/>
      <c r="AL4139" s="48"/>
      <c r="AM4139" s="48"/>
      <c r="AN4139" s="48"/>
      <c r="AO4139" s="48"/>
      <c r="AP4139" s="48"/>
      <c r="AQ4139" s="48"/>
      <c r="AR4139" s="48"/>
      <c r="AS4139" s="48"/>
      <c r="AT4139" s="48"/>
      <c r="AU4139" s="48"/>
      <c r="AV4139" s="48"/>
      <c r="AW4139" s="48"/>
      <c r="AX4139" s="48"/>
      <c r="AY4139" s="48"/>
      <c r="AZ4139" s="48"/>
      <c r="BA4139" s="48"/>
      <c r="BB4139" s="48"/>
      <c r="BC4139" s="48"/>
      <c r="BD4139" s="48"/>
    </row>
    <row r="4140" spans="1:56">
      <c r="A4140" s="48"/>
      <c r="B4140" s="48"/>
      <c r="C4140" s="49"/>
      <c r="D4140" s="48"/>
      <c r="E4140" s="48"/>
      <c r="F4140" s="48"/>
      <c r="G4140" s="48"/>
      <c r="H4140" s="48"/>
      <c r="I4140" s="48"/>
      <c r="J4140" s="86"/>
      <c r="K4140" s="86"/>
      <c r="L4140" s="86"/>
      <c r="M4140" s="86"/>
      <c r="N4140" s="86"/>
      <c r="O4140" s="86"/>
      <c r="P4140" s="86"/>
      <c r="Q4140" s="86"/>
      <c r="R4140" s="86"/>
      <c r="S4140" s="86"/>
      <c r="T4140" s="86"/>
      <c r="U4140" s="86"/>
      <c r="V4140" s="48"/>
      <c r="W4140" s="48"/>
      <c r="X4140" s="48"/>
      <c r="Y4140" s="48"/>
      <c r="Z4140" s="48"/>
      <c r="AA4140" s="48"/>
      <c r="AB4140" s="48"/>
      <c r="AC4140" s="48"/>
      <c r="AD4140" s="48"/>
      <c r="AE4140" s="48"/>
      <c r="AF4140" s="48"/>
      <c r="AG4140" s="48"/>
      <c r="AH4140" s="48"/>
      <c r="AI4140" s="48"/>
      <c r="AJ4140" s="48"/>
      <c r="AK4140" s="48"/>
      <c r="AL4140" s="48"/>
      <c r="AM4140" s="48"/>
      <c r="AN4140" s="48"/>
      <c r="AO4140" s="48"/>
      <c r="AP4140" s="48"/>
      <c r="AQ4140" s="48"/>
      <c r="AR4140" s="48"/>
      <c r="AS4140" s="48"/>
      <c r="AT4140" s="48"/>
      <c r="AU4140" s="48"/>
      <c r="AV4140" s="48"/>
      <c r="AW4140" s="48"/>
      <c r="AX4140" s="48"/>
      <c r="AY4140" s="48"/>
      <c r="AZ4140" s="48"/>
      <c r="BA4140" s="48"/>
      <c r="BB4140" s="48"/>
      <c r="BC4140" s="48"/>
      <c r="BD4140" s="48"/>
    </row>
    <row r="4141" spans="1:56">
      <c r="A4141" s="48"/>
      <c r="B4141" s="48"/>
      <c r="C4141" s="49"/>
      <c r="D4141" s="48"/>
      <c r="E4141" s="48"/>
      <c r="F4141" s="48"/>
      <c r="G4141" s="48"/>
      <c r="H4141" s="48"/>
      <c r="I4141" s="48"/>
      <c r="J4141" s="86"/>
      <c r="K4141" s="86"/>
      <c r="L4141" s="86"/>
      <c r="M4141" s="86"/>
      <c r="N4141" s="86"/>
      <c r="O4141" s="86"/>
      <c r="P4141" s="86"/>
      <c r="Q4141" s="86"/>
      <c r="R4141" s="86"/>
      <c r="S4141" s="86"/>
      <c r="T4141" s="86"/>
      <c r="U4141" s="86"/>
      <c r="V4141" s="48"/>
      <c r="W4141" s="48"/>
      <c r="X4141" s="48"/>
      <c r="Y4141" s="48"/>
      <c r="Z4141" s="48"/>
      <c r="AA4141" s="48"/>
      <c r="AB4141" s="48"/>
      <c r="AC4141" s="48"/>
      <c r="AD4141" s="48"/>
      <c r="AE4141" s="48"/>
      <c r="AF4141" s="48"/>
      <c r="AG4141" s="48"/>
      <c r="AH4141" s="48"/>
      <c r="AI4141" s="48"/>
      <c r="AJ4141" s="48"/>
      <c r="AK4141" s="48"/>
      <c r="AL4141" s="48"/>
      <c r="AM4141" s="48"/>
      <c r="AN4141" s="48"/>
      <c r="AO4141" s="48"/>
      <c r="AP4141" s="48"/>
      <c r="AQ4141" s="48"/>
      <c r="AR4141" s="48"/>
      <c r="AS4141" s="48"/>
      <c r="AT4141" s="48"/>
      <c r="AU4141" s="48"/>
      <c r="AV4141" s="48"/>
      <c r="AW4141" s="48"/>
      <c r="AX4141" s="48"/>
      <c r="AY4141" s="48"/>
      <c r="AZ4141" s="48"/>
      <c r="BA4141" s="48"/>
      <c r="BB4141" s="48"/>
      <c r="BC4141" s="48"/>
      <c r="BD4141" s="48"/>
    </row>
    <row r="4142" spans="1:56">
      <c r="A4142" s="48"/>
      <c r="B4142" s="48"/>
      <c r="C4142" s="49"/>
      <c r="D4142" s="48"/>
      <c r="E4142" s="48"/>
      <c r="F4142" s="48"/>
      <c r="G4142" s="48"/>
      <c r="H4142" s="48"/>
      <c r="I4142" s="48"/>
      <c r="J4142" s="86"/>
      <c r="K4142" s="86"/>
      <c r="L4142" s="86"/>
      <c r="M4142" s="86"/>
      <c r="N4142" s="86"/>
      <c r="O4142" s="86"/>
      <c r="P4142" s="86"/>
      <c r="Q4142" s="86"/>
      <c r="R4142" s="86"/>
      <c r="S4142" s="86"/>
      <c r="T4142" s="86"/>
      <c r="U4142" s="86"/>
      <c r="V4142" s="48"/>
      <c r="W4142" s="48"/>
      <c r="X4142" s="48"/>
      <c r="Y4142" s="48"/>
      <c r="Z4142" s="48"/>
      <c r="AA4142" s="48"/>
      <c r="AB4142" s="48"/>
      <c r="AC4142" s="48"/>
      <c r="AD4142" s="48"/>
      <c r="AE4142" s="48"/>
      <c r="AF4142" s="48"/>
      <c r="AG4142" s="48"/>
      <c r="AH4142" s="48"/>
      <c r="AI4142" s="48"/>
      <c r="AJ4142" s="48"/>
      <c r="AK4142" s="48"/>
      <c r="AL4142" s="48"/>
      <c r="AM4142" s="48"/>
      <c r="AN4142" s="48"/>
      <c r="AO4142" s="48"/>
      <c r="AP4142" s="48"/>
      <c r="AQ4142" s="48"/>
      <c r="AR4142" s="48"/>
      <c r="AS4142" s="48"/>
      <c r="AT4142" s="48"/>
      <c r="AU4142" s="48"/>
      <c r="AV4142" s="48"/>
      <c r="AW4142" s="48"/>
      <c r="AX4142" s="48"/>
      <c r="AY4142" s="48"/>
      <c r="AZ4142" s="48"/>
      <c r="BA4142" s="48"/>
      <c r="BB4142" s="48"/>
      <c r="BC4142" s="48"/>
      <c r="BD4142" s="48"/>
    </row>
    <row r="4143" spans="1:56">
      <c r="A4143" s="48"/>
      <c r="B4143" s="48"/>
      <c r="C4143" s="49"/>
      <c r="D4143" s="48"/>
      <c r="E4143" s="48"/>
      <c r="F4143" s="48"/>
      <c r="G4143" s="48"/>
      <c r="H4143" s="48"/>
      <c r="I4143" s="48"/>
      <c r="J4143" s="86"/>
      <c r="K4143" s="86"/>
      <c r="L4143" s="86"/>
      <c r="M4143" s="86"/>
      <c r="N4143" s="86"/>
      <c r="O4143" s="86"/>
      <c r="P4143" s="86"/>
      <c r="Q4143" s="86"/>
      <c r="R4143" s="86"/>
      <c r="S4143" s="86"/>
      <c r="T4143" s="86"/>
      <c r="U4143" s="86"/>
      <c r="V4143" s="48"/>
      <c r="W4143" s="48"/>
      <c r="X4143" s="48"/>
      <c r="Y4143" s="48"/>
      <c r="Z4143" s="48"/>
      <c r="AA4143" s="48"/>
      <c r="AB4143" s="48"/>
      <c r="AC4143" s="48"/>
      <c r="AD4143" s="48"/>
      <c r="AE4143" s="48"/>
      <c r="AF4143" s="48"/>
      <c r="AG4143" s="48"/>
      <c r="AH4143" s="48"/>
      <c r="AI4143" s="48"/>
      <c r="AJ4143" s="48"/>
      <c r="AK4143" s="48"/>
      <c r="AL4143" s="48"/>
      <c r="AM4143" s="48"/>
      <c r="AN4143" s="48"/>
      <c r="AO4143" s="48"/>
      <c r="AP4143" s="48"/>
      <c r="AQ4143" s="48"/>
      <c r="AR4143" s="48"/>
      <c r="AS4143" s="48"/>
      <c r="AT4143" s="48"/>
      <c r="AU4143" s="48"/>
      <c r="AV4143" s="48"/>
      <c r="AW4143" s="48"/>
      <c r="AX4143" s="48"/>
      <c r="AY4143" s="48"/>
      <c r="AZ4143" s="48"/>
      <c r="BA4143" s="48"/>
      <c r="BB4143" s="48"/>
      <c r="BC4143" s="48"/>
      <c r="BD4143" s="48"/>
    </row>
    <row r="4144" spans="1:56">
      <c r="A4144" s="48"/>
      <c r="B4144" s="48"/>
      <c r="C4144" s="49"/>
      <c r="D4144" s="48"/>
      <c r="E4144" s="48"/>
      <c r="F4144" s="48"/>
      <c r="G4144" s="48"/>
      <c r="H4144" s="48"/>
      <c r="I4144" s="48"/>
      <c r="J4144" s="86"/>
      <c r="K4144" s="86"/>
      <c r="L4144" s="86"/>
      <c r="M4144" s="86"/>
      <c r="N4144" s="86"/>
      <c r="O4144" s="86"/>
      <c r="P4144" s="86"/>
      <c r="Q4144" s="86"/>
      <c r="R4144" s="86"/>
      <c r="S4144" s="86"/>
      <c r="T4144" s="86"/>
      <c r="U4144" s="86"/>
      <c r="V4144" s="48"/>
      <c r="W4144" s="48"/>
      <c r="X4144" s="48"/>
      <c r="Y4144" s="48"/>
      <c r="Z4144" s="48"/>
      <c r="AA4144" s="48"/>
      <c r="AB4144" s="48"/>
      <c r="AC4144" s="48"/>
      <c r="AD4144" s="48"/>
      <c r="AE4144" s="48"/>
      <c r="AF4144" s="48"/>
      <c r="AG4144" s="48"/>
      <c r="AH4144" s="48"/>
      <c r="AI4144" s="48"/>
      <c r="AJ4144" s="48"/>
      <c r="AK4144" s="48"/>
      <c r="AL4144" s="48"/>
      <c r="AM4144" s="48"/>
      <c r="AN4144" s="48"/>
      <c r="AO4144" s="48"/>
      <c r="AP4144" s="48"/>
      <c r="AQ4144" s="48"/>
      <c r="AR4144" s="48"/>
      <c r="AS4144" s="48"/>
      <c r="AT4144" s="48"/>
      <c r="AU4144" s="48"/>
      <c r="AV4144" s="48"/>
      <c r="AW4144" s="48"/>
      <c r="AX4144" s="48"/>
      <c r="AY4144" s="48"/>
      <c r="AZ4144" s="48"/>
      <c r="BA4144" s="48"/>
      <c r="BB4144" s="48"/>
      <c r="BC4144" s="48"/>
      <c r="BD4144" s="48"/>
    </row>
    <row r="4145" spans="1:56">
      <c r="A4145" s="48"/>
      <c r="B4145" s="48"/>
      <c r="C4145" s="49"/>
      <c r="D4145" s="48"/>
      <c r="E4145" s="48"/>
      <c r="F4145" s="48"/>
      <c r="G4145" s="48"/>
      <c r="H4145" s="48"/>
      <c r="I4145" s="48"/>
      <c r="J4145" s="86"/>
      <c r="K4145" s="86"/>
      <c r="L4145" s="86"/>
      <c r="M4145" s="86"/>
      <c r="N4145" s="86"/>
      <c r="O4145" s="86"/>
      <c r="P4145" s="86"/>
      <c r="Q4145" s="86"/>
      <c r="R4145" s="86"/>
      <c r="S4145" s="86"/>
      <c r="T4145" s="86"/>
      <c r="U4145" s="86"/>
      <c r="V4145" s="48"/>
      <c r="W4145" s="48"/>
      <c r="X4145" s="48"/>
      <c r="Y4145" s="48"/>
      <c r="Z4145" s="48"/>
      <c r="AA4145" s="48"/>
      <c r="AB4145" s="48"/>
      <c r="AC4145" s="48"/>
      <c r="AD4145" s="48"/>
      <c r="AE4145" s="48"/>
      <c r="AF4145" s="48"/>
      <c r="AG4145" s="48"/>
      <c r="AH4145" s="48"/>
      <c r="AI4145" s="48"/>
      <c r="AJ4145" s="48"/>
      <c r="AK4145" s="48"/>
      <c r="AL4145" s="48"/>
      <c r="AM4145" s="48"/>
      <c r="AN4145" s="48"/>
      <c r="AO4145" s="48"/>
      <c r="AP4145" s="48"/>
      <c r="AQ4145" s="48"/>
      <c r="AR4145" s="48"/>
      <c r="AS4145" s="48"/>
      <c r="AT4145" s="48"/>
      <c r="AU4145" s="48"/>
      <c r="AV4145" s="48"/>
      <c r="AW4145" s="48"/>
      <c r="AX4145" s="48"/>
      <c r="AY4145" s="48"/>
      <c r="AZ4145" s="48"/>
      <c r="BA4145" s="48"/>
      <c r="BB4145" s="48"/>
      <c r="BC4145" s="48"/>
      <c r="BD4145" s="48"/>
    </row>
    <row r="4146" spans="1:56">
      <c r="A4146" s="48"/>
      <c r="B4146" s="48"/>
      <c r="C4146" s="49"/>
      <c r="D4146" s="48"/>
      <c r="E4146" s="48"/>
      <c r="F4146" s="48"/>
      <c r="G4146" s="48"/>
      <c r="H4146" s="48"/>
      <c r="I4146" s="48"/>
      <c r="J4146" s="86"/>
      <c r="K4146" s="86"/>
      <c r="L4146" s="86"/>
      <c r="M4146" s="86"/>
      <c r="N4146" s="86"/>
      <c r="O4146" s="86"/>
      <c r="P4146" s="86"/>
      <c r="Q4146" s="86"/>
      <c r="R4146" s="86"/>
      <c r="S4146" s="86"/>
      <c r="T4146" s="86"/>
      <c r="U4146" s="86"/>
      <c r="V4146" s="48"/>
      <c r="W4146" s="48"/>
      <c r="X4146" s="48"/>
      <c r="Y4146" s="48"/>
      <c r="Z4146" s="48"/>
      <c r="AA4146" s="48"/>
      <c r="AB4146" s="48"/>
      <c r="AC4146" s="48"/>
      <c r="AD4146" s="48"/>
      <c r="AE4146" s="48"/>
      <c r="AF4146" s="48"/>
      <c r="AG4146" s="48"/>
      <c r="AH4146" s="48"/>
      <c r="AI4146" s="48"/>
      <c r="AJ4146" s="48"/>
      <c r="AK4146" s="48"/>
      <c r="AL4146" s="48"/>
      <c r="AM4146" s="48"/>
      <c r="AN4146" s="48"/>
      <c r="AO4146" s="48"/>
      <c r="AP4146" s="48"/>
      <c r="AQ4146" s="48"/>
      <c r="AR4146" s="48"/>
      <c r="AS4146" s="48"/>
      <c r="AT4146" s="48"/>
      <c r="AU4146" s="48"/>
      <c r="AV4146" s="48"/>
      <c r="AW4146" s="48"/>
      <c r="AX4146" s="48"/>
      <c r="AY4146" s="48"/>
      <c r="AZ4146" s="48"/>
      <c r="BA4146" s="48"/>
      <c r="BB4146" s="48"/>
      <c r="BC4146" s="48"/>
      <c r="BD4146" s="48"/>
    </row>
    <row r="4147" spans="1:56">
      <c r="A4147" s="48"/>
      <c r="B4147" s="48"/>
      <c r="C4147" s="49"/>
      <c r="D4147" s="48"/>
      <c r="E4147" s="48"/>
      <c r="F4147" s="48"/>
      <c r="G4147" s="48"/>
      <c r="H4147" s="48"/>
      <c r="I4147" s="48"/>
      <c r="J4147" s="86"/>
      <c r="K4147" s="86"/>
      <c r="L4147" s="86"/>
      <c r="M4147" s="86"/>
      <c r="N4147" s="86"/>
      <c r="O4147" s="86"/>
      <c r="P4147" s="86"/>
      <c r="Q4147" s="86"/>
      <c r="R4147" s="86"/>
      <c r="S4147" s="86"/>
      <c r="T4147" s="86"/>
      <c r="U4147" s="86"/>
      <c r="V4147" s="48"/>
      <c r="W4147" s="48"/>
      <c r="X4147" s="48"/>
      <c r="Y4147" s="48"/>
      <c r="Z4147" s="48"/>
      <c r="AA4147" s="48"/>
      <c r="AB4147" s="48"/>
      <c r="AC4147" s="48"/>
      <c r="AD4147" s="48"/>
      <c r="AE4147" s="48"/>
      <c r="AF4147" s="48"/>
      <c r="AG4147" s="48"/>
      <c r="AH4147" s="48"/>
      <c r="AI4147" s="48"/>
      <c r="AJ4147" s="48"/>
      <c r="AK4147" s="48"/>
      <c r="AL4147" s="48"/>
      <c r="AM4147" s="48"/>
      <c r="AN4147" s="48"/>
      <c r="AO4147" s="48"/>
      <c r="AP4147" s="48"/>
      <c r="AQ4147" s="48"/>
      <c r="AR4147" s="48"/>
      <c r="AS4147" s="48"/>
      <c r="AT4147" s="48"/>
      <c r="AU4147" s="48"/>
      <c r="AV4147" s="48"/>
      <c r="AW4147" s="48"/>
      <c r="AX4147" s="48"/>
      <c r="AY4147" s="48"/>
      <c r="AZ4147" s="48"/>
      <c r="BA4147" s="48"/>
      <c r="BB4147" s="48"/>
      <c r="BC4147" s="48"/>
      <c r="BD4147" s="48"/>
    </row>
    <row r="4148" spans="1:56">
      <c r="A4148" s="48"/>
      <c r="B4148" s="48"/>
      <c r="C4148" s="49"/>
      <c r="D4148" s="48"/>
      <c r="E4148" s="48"/>
      <c r="F4148" s="48"/>
      <c r="G4148" s="48"/>
      <c r="H4148" s="48"/>
      <c r="I4148" s="48"/>
      <c r="J4148" s="86"/>
      <c r="K4148" s="86"/>
      <c r="L4148" s="86"/>
      <c r="M4148" s="86"/>
      <c r="N4148" s="86"/>
      <c r="O4148" s="86"/>
      <c r="P4148" s="86"/>
      <c r="Q4148" s="86"/>
      <c r="R4148" s="86"/>
      <c r="S4148" s="86"/>
      <c r="T4148" s="86"/>
      <c r="U4148" s="86"/>
      <c r="V4148" s="48"/>
      <c r="W4148" s="48"/>
      <c r="X4148" s="48"/>
      <c r="Y4148" s="48"/>
      <c r="Z4148" s="48"/>
      <c r="AA4148" s="48"/>
      <c r="AB4148" s="48"/>
      <c r="AC4148" s="48"/>
      <c r="AD4148" s="48"/>
      <c r="AE4148" s="48"/>
      <c r="AF4148" s="48"/>
      <c r="AG4148" s="48"/>
      <c r="AH4148" s="48"/>
      <c r="AI4148" s="48"/>
      <c r="AJ4148" s="48"/>
      <c r="AK4148" s="48"/>
      <c r="AL4148" s="48"/>
      <c r="AM4148" s="48"/>
      <c r="AN4148" s="48"/>
      <c r="AO4148" s="48"/>
      <c r="AP4148" s="48"/>
      <c r="AQ4148" s="48"/>
      <c r="AR4148" s="48"/>
      <c r="AS4148" s="48"/>
      <c r="AT4148" s="48"/>
      <c r="AU4148" s="48"/>
      <c r="AV4148" s="48"/>
      <c r="AW4148" s="48"/>
      <c r="AX4148" s="48"/>
      <c r="AY4148" s="48"/>
      <c r="AZ4148" s="48"/>
      <c r="BA4148" s="48"/>
      <c r="BB4148" s="48"/>
      <c r="BC4148" s="48"/>
      <c r="BD4148" s="48"/>
    </row>
    <row r="4149" spans="1:56">
      <c r="A4149" s="48"/>
      <c r="B4149" s="48"/>
      <c r="C4149" s="49"/>
      <c r="D4149" s="48"/>
      <c r="E4149" s="48"/>
      <c r="F4149" s="48"/>
      <c r="G4149" s="48"/>
      <c r="H4149" s="48"/>
      <c r="I4149" s="48"/>
      <c r="J4149" s="86"/>
      <c r="K4149" s="86"/>
      <c r="L4149" s="86"/>
      <c r="M4149" s="86"/>
      <c r="N4149" s="86"/>
      <c r="O4149" s="86"/>
      <c r="P4149" s="86"/>
      <c r="Q4149" s="86"/>
      <c r="R4149" s="86"/>
      <c r="S4149" s="86"/>
      <c r="T4149" s="86"/>
      <c r="U4149" s="86"/>
      <c r="V4149" s="48"/>
      <c r="W4149" s="48"/>
      <c r="X4149" s="48"/>
      <c r="Y4149" s="48"/>
      <c r="Z4149" s="48"/>
      <c r="AA4149" s="48"/>
      <c r="AB4149" s="48"/>
      <c r="AC4149" s="48"/>
      <c r="AD4149" s="48"/>
      <c r="AE4149" s="48"/>
      <c r="AF4149" s="48"/>
      <c r="AG4149" s="48"/>
      <c r="AH4149" s="48"/>
      <c r="AI4149" s="48"/>
      <c r="AJ4149" s="48"/>
      <c r="AK4149" s="48"/>
      <c r="AL4149" s="48"/>
      <c r="AM4149" s="48"/>
      <c r="AN4149" s="48"/>
      <c r="AO4149" s="48"/>
      <c r="AP4149" s="48"/>
      <c r="AQ4149" s="48"/>
      <c r="AR4149" s="48"/>
      <c r="AS4149" s="48"/>
      <c r="AT4149" s="48"/>
      <c r="AU4149" s="48"/>
      <c r="AV4149" s="48"/>
      <c r="AW4149" s="48"/>
      <c r="AX4149" s="48"/>
      <c r="AY4149" s="48"/>
      <c r="AZ4149" s="48"/>
      <c r="BA4149" s="48"/>
      <c r="BB4149" s="48"/>
      <c r="BC4149" s="48"/>
      <c r="BD4149" s="48"/>
    </row>
    <row r="4150" spans="1:56">
      <c r="A4150" s="48"/>
      <c r="B4150" s="48"/>
      <c r="C4150" s="49"/>
      <c r="D4150" s="48"/>
      <c r="E4150" s="48"/>
      <c r="F4150" s="48"/>
      <c r="G4150" s="48"/>
      <c r="H4150" s="48"/>
      <c r="I4150" s="48"/>
      <c r="J4150" s="86"/>
      <c r="K4150" s="86"/>
      <c r="L4150" s="86"/>
      <c r="M4150" s="86"/>
      <c r="N4150" s="86"/>
      <c r="O4150" s="86"/>
      <c r="P4150" s="86"/>
      <c r="Q4150" s="86"/>
      <c r="R4150" s="86"/>
      <c r="S4150" s="86"/>
      <c r="T4150" s="86"/>
      <c r="U4150" s="86"/>
      <c r="V4150" s="48"/>
      <c r="W4150" s="48"/>
      <c r="X4150" s="48"/>
      <c r="Y4150" s="48"/>
      <c r="Z4150" s="48"/>
      <c r="AA4150" s="48"/>
      <c r="AB4150" s="48"/>
      <c r="AC4150" s="48"/>
      <c r="AD4150" s="48"/>
      <c r="AE4150" s="48"/>
      <c r="AF4150" s="48"/>
      <c r="AG4150" s="48"/>
      <c r="AH4150" s="48"/>
      <c r="AI4150" s="48"/>
      <c r="AJ4150" s="48"/>
      <c r="AK4150" s="48"/>
      <c r="AL4150" s="48"/>
      <c r="AM4150" s="48"/>
      <c r="AN4150" s="48"/>
      <c r="AO4150" s="48"/>
      <c r="AP4150" s="48"/>
      <c r="AQ4150" s="48"/>
      <c r="AR4150" s="48"/>
      <c r="AS4150" s="48"/>
      <c r="AT4150" s="48"/>
      <c r="AU4150" s="48"/>
      <c r="AV4150" s="48"/>
      <c r="AW4150" s="48"/>
      <c r="AX4150" s="48"/>
      <c r="AY4150" s="48"/>
      <c r="AZ4150" s="48"/>
      <c r="BA4150" s="48"/>
      <c r="BB4150" s="48"/>
      <c r="BC4150" s="48"/>
      <c r="BD4150" s="48"/>
    </row>
    <row r="4151" spans="1:56">
      <c r="A4151" s="48"/>
      <c r="B4151" s="48"/>
      <c r="C4151" s="49"/>
      <c r="D4151" s="48"/>
      <c r="E4151" s="48"/>
      <c r="F4151" s="48"/>
      <c r="G4151" s="48"/>
      <c r="H4151" s="48"/>
      <c r="I4151" s="48"/>
      <c r="J4151" s="86"/>
      <c r="K4151" s="86"/>
      <c r="L4151" s="86"/>
      <c r="M4151" s="86"/>
      <c r="N4151" s="86"/>
      <c r="O4151" s="86"/>
      <c r="P4151" s="86"/>
      <c r="Q4151" s="86"/>
      <c r="R4151" s="86"/>
      <c r="S4151" s="86"/>
      <c r="T4151" s="86"/>
      <c r="U4151" s="86"/>
      <c r="V4151" s="48"/>
      <c r="W4151" s="48"/>
      <c r="X4151" s="48"/>
      <c r="Y4151" s="48"/>
      <c r="Z4151" s="48"/>
      <c r="AA4151" s="48"/>
      <c r="AB4151" s="48"/>
      <c r="AC4151" s="48"/>
      <c r="AD4151" s="48"/>
      <c r="AE4151" s="48"/>
      <c r="AF4151" s="48"/>
      <c r="AG4151" s="48"/>
      <c r="AH4151" s="48"/>
      <c r="AI4151" s="48"/>
      <c r="AJ4151" s="48"/>
      <c r="AK4151" s="48"/>
      <c r="AL4151" s="48"/>
      <c r="AM4151" s="48"/>
      <c r="AN4151" s="48"/>
      <c r="AO4151" s="48"/>
      <c r="AP4151" s="48"/>
      <c r="AQ4151" s="48"/>
      <c r="AR4151" s="48"/>
      <c r="AS4151" s="48"/>
      <c r="AT4151" s="48"/>
      <c r="AU4151" s="48"/>
      <c r="AV4151" s="48"/>
      <c r="AW4151" s="48"/>
      <c r="AX4151" s="48"/>
      <c r="AY4151" s="48"/>
      <c r="AZ4151" s="48"/>
      <c r="BA4151" s="48"/>
      <c r="BB4151" s="48"/>
      <c r="BC4151" s="48"/>
      <c r="BD4151" s="48"/>
    </row>
    <row r="4152" spans="1:56">
      <c r="A4152" s="48"/>
      <c r="B4152" s="48"/>
      <c r="C4152" s="49"/>
      <c r="D4152" s="48"/>
      <c r="E4152" s="48"/>
      <c r="F4152" s="48"/>
      <c r="G4152" s="48"/>
      <c r="H4152" s="48"/>
      <c r="I4152" s="48"/>
      <c r="J4152" s="86"/>
      <c r="K4152" s="86"/>
      <c r="L4152" s="86"/>
      <c r="M4152" s="86"/>
      <c r="N4152" s="86"/>
      <c r="O4152" s="86"/>
      <c r="P4152" s="86"/>
      <c r="Q4152" s="86"/>
      <c r="R4152" s="86"/>
      <c r="S4152" s="86"/>
      <c r="T4152" s="86"/>
      <c r="U4152" s="86"/>
      <c r="V4152" s="48"/>
      <c r="W4152" s="48"/>
      <c r="X4152" s="48"/>
      <c r="Y4152" s="48"/>
      <c r="Z4152" s="48"/>
      <c r="AA4152" s="48"/>
      <c r="AB4152" s="48"/>
      <c r="AC4152" s="48"/>
      <c r="AD4152" s="48"/>
      <c r="AE4152" s="48"/>
      <c r="AF4152" s="48"/>
      <c r="AG4152" s="48"/>
      <c r="AH4152" s="48"/>
      <c r="AI4152" s="48"/>
      <c r="AJ4152" s="48"/>
      <c r="AK4152" s="48"/>
      <c r="AL4152" s="48"/>
      <c r="AM4152" s="48"/>
      <c r="AN4152" s="48"/>
      <c r="AO4152" s="48"/>
      <c r="AP4152" s="48"/>
      <c r="AQ4152" s="48"/>
      <c r="AR4152" s="48"/>
      <c r="AS4152" s="48"/>
      <c r="AT4152" s="48"/>
      <c r="AU4152" s="48"/>
      <c r="AV4152" s="48"/>
      <c r="AW4152" s="48"/>
      <c r="AX4152" s="48"/>
      <c r="AY4152" s="48"/>
      <c r="AZ4152" s="48"/>
      <c r="BA4152" s="48"/>
      <c r="BB4152" s="48"/>
      <c r="BC4152" s="48"/>
      <c r="BD4152" s="48"/>
    </row>
    <row r="4153" spans="1:56">
      <c r="A4153" s="48"/>
      <c r="B4153" s="48"/>
      <c r="C4153" s="49"/>
      <c r="D4153" s="48"/>
      <c r="E4153" s="48"/>
      <c r="F4153" s="48"/>
      <c r="G4153" s="48"/>
      <c r="H4153" s="48"/>
      <c r="I4153" s="48"/>
      <c r="J4153" s="86"/>
      <c r="K4153" s="86"/>
      <c r="L4153" s="86"/>
      <c r="M4153" s="86"/>
      <c r="N4153" s="86"/>
      <c r="O4153" s="86"/>
      <c r="P4153" s="86"/>
      <c r="Q4153" s="86"/>
      <c r="R4153" s="86"/>
      <c r="S4153" s="86"/>
      <c r="T4153" s="86"/>
      <c r="U4153" s="86"/>
      <c r="V4153" s="48"/>
      <c r="W4153" s="48"/>
      <c r="X4153" s="48"/>
      <c r="Y4153" s="48"/>
      <c r="Z4153" s="48"/>
      <c r="AA4153" s="48"/>
      <c r="AB4153" s="48"/>
      <c r="AC4153" s="48"/>
      <c r="AD4153" s="48"/>
      <c r="AE4153" s="48"/>
      <c r="AF4153" s="48"/>
      <c r="AG4153" s="48"/>
      <c r="AH4153" s="48"/>
      <c r="AI4153" s="48"/>
      <c r="AJ4153" s="48"/>
      <c r="AK4153" s="48"/>
      <c r="AL4153" s="48"/>
      <c r="AM4153" s="48"/>
      <c r="AN4153" s="48"/>
      <c r="AO4153" s="48"/>
      <c r="AP4153" s="48"/>
      <c r="AQ4153" s="48"/>
      <c r="AR4153" s="48"/>
      <c r="AS4153" s="48"/>
      <c r="AT4153" s="48"/>
      <c r="AU4153" s="48"/>
      <c r="AV4153" s="48"/>
      <c r="AW4153" s="48"/>
      <c r="AX4153" s="48"/>
      <c r="AY4153" s="48"/>
      <c r="AZ4153" s="48"/>
      <c r="BA4153" s="48"/>
      <c r="BB4153" s="48"/>
      <c r="BC4153" s="48"/>
      <c r="BD4153" s="48"/>
    </row>
    <row r="4154" spans="1:56">
      <c r="A4154" s="48"/>
      <c r="B4154" s="48"/>
      <c r="C4154" s="49"/>
      <c r="D4154" s="48"/>
      <c r="E4154" s="48"/>
      <c r="F4154" s="48"/>
      <c r="G4154" s="48"/>
      <c r="H4154" s="48"/>
      <c r="I4154" s="48"/>
      <c r="J4154" s="86"/>
      <c r="K4154" s="86"/>
      <c r="L4154" s="86"/>
      <c r="M4154" s="86"/>
      <c r="N4154" s="86"/>
      <c r="O4154" s="86"/>
      <c r="P4154" s="86"/>
      <c r="Q4154" s="86"/>
      <c r="R4154" s="86"/>
      <c r="S4154" s="86"/>
      <c r="T4154" s="86"/>
      <c r="U4154" s="86"/>
      <c r="V4154" s="48"/>
      <c r="W4154" s="48"/>
      <c r="X4154" s="48"/>
      <c r="Y4154" s="48"/>
      <c r="Z4154" s="48"/>
      <c r="AA4154" s="48"/>
      <c r="AB4154" s="48"/>
      <c r="AC4154" s="48"/>
      <c r="AD4154" s="48"/>
      <c r="AE4154" s="48"/>
      <c r="AF4154" s="48"/>
      <c r="AG4154" s="48"/>
      <c r="AH4154" s="48"/>
      <c r="AI4154" s="48"/>
      <c r="AJ4154" s="48"/>
      <c r="AK4154" s="48"/>
      <c r="AL4154" s="48"/>
      <c r="AM4154" s="48"/>
      <c r="AN4154" s="48"/>
      <c r="AO4154" s="48"/>
      <c r="AP4154" s="48"/>
      <c r="AQ4154" s="48"/>
      <c r="AR4154" s="48"/>
      <c r="AS4154" s="48"/>
      <c r="AT4154" s="48"/>
      <c r="AU4154" s="48"/>
      <c r="AV4154" s="48"/>
      <c r="AW4154" s="48"/>
      <c r="AX4154" s="48"/>
      <c r="AY4154" s="48"/>
      <c r="AZ4154" s="48"/>
      <c r="BA4154" s="48"/>
      <c r="BB4154" s="48"/>
      <c r="BC4154" s="48"/>
      <c r="BD4154" s="48"/>
    </row>
    <row r="4155" spans="1:56">
      <c r="A4155" s="48"/>
      <c r="B4155" s="48"/>
      <c r="C4155" s="49"/>
      <c r="D4155" s="48"/>
      <c r="E4155" s="48"/>
      <c r="F4155" s="48"/>
      <c r="G4155" s="48"/>
      <c r="H4155" s="48"/>
      <c r="I4155" s="48"/>
      <c r="J4155" s="86"/>
      <c r="K4155" s="86"/>
      <c r="L4155" s="86"/>
      <c r="M4155" s="86"/>
      <c r="N4155" s="86"/>
      <c r="O4155" s="86"/>
      <c r="P4155" s="86"/>
      <c r="Q4155" s="86"/>
      <c r="R4155" s="86"/>
      <c r="S4155" s="86"/>
      <c r="T4155" s="86"/>
      <c r="U4155" s="86"/>
      <c r="V4155" s="48"/>
      <c r="W4155" s="48"/>
      <c r="X4155" s="48"/>
      <c r="Y4155" s="48"/>
      <c r="Z4155" s="48"/>
      <c r="AA4155" s="48"/>
      <c r="AB4155" s="48"/>
      <c r="AC4155" s="48"/>
      <c r="AD4155" s="48"/>
      <c r="AE4155" s="48"/>
      <c r="AF4155" s="48"/>
      <c r="AG4155" s="48"/>
      <c r="AH4155" s="48"/>
      <c r="AI4155" s="48"/>
      <c r="AJ4155" s="48"/>
      <c r="AK4155" s="48"/>
      <c r="AL4155" s="48"/>
      <c r="AM4155" s="48"/>
      <c r="AN4155" s="48"/>
      <c r="AO4155" s="48"/>
      <c r="AP4155" s="48"/>
      <c r="AQ4155" s="48"/>
      <c r="AR4155" s="48"/>
      <c r="AS4155" s="48"/>
      <c r="AT4155" s="48"/>
      <c r="AU4155" s="48"/>
      <c r="AV4155" s="48"/>
      <c r="AW4155" s="48"/>
      <c r="AX4155" s="48"/>
      <c r="AY4155" s="48"/>
      <c r="AZ4155" s="48"/>
      <c r="BA4155" s="48"/>
      <c r="BB4155" s="48"/>
      <c r="BC4155" s="48"/>
      <c r="BD4155" s="48"/>
    </row>
    <row r="4156" spans="1:56">
      <c r="A4156" s="48"/>
      <c r="B4156" s="48"/>
      <c r="C4156" s="49"/>
      <c r="D4156" s="48"/>
      <c r="E4156" s="48"/>
      <c r="F4156" s="48"/>
      <c r="G4156" s="48"/>
      <c r="H4156" s="48"/>
      <c r="I4156" s="48"/>
      <c r="J4156" s="86"/>
      <c r="K4156" s="86"/>
      <c r="L4156" s="86"/>
      <c r="M4156" s="86"/>
      <c r="N4156" s="86"/>
      <c r="O4156" s="86"/>
      <c r="P4156" s="86"/>
      <c r="Q4156" s="86"/>
      <c r="R4156" s="86"/>
      <c r="S4156" s="86"/>
      <c r="T4156" s="86"/>
      <c r="U4156" s="86"/>
      <c r="V4156" s="48"/>
      <c r="W4156" s="48"/>
      <c r="X4156" s="48"/>
      <c r="Y4156" s="48"/>
      <c r="Z4156" s="48"/>
      <c r="AA4156" s="48"/>
      <c r="AB4156" s="48"/>
      <c r="AC4156" s="48"/>
      <c r="AD4156" s="48"/>
      <c r="AE4156" s="48"/>
      <c r="AF4156" s="48"/>
      <c r="AG4156" s="48"/>
      <c r="AH4156" s="48"/>
      <c r="AI4156" s="48"/>
      <c r="AJ4156" s="48"/>
      <c r="AK4156" s="48"/>
      <c r="AL4156" s="48"/>
      <c r="AM4156" s="48"/>
      <c r="AN4156" s="48"/>
      <c r="AO4156" s="48"/>
      <c r="AP4156" s="48"/>
      <c r="AQ4156" s="48"/>
      <c r="AR4156" s="48"/>
      <c r="AS4156" s="48"/>
      <c r="AT4156" s="48"/>
      <c r="AU4156" s="48"/>
      <c r="AV4156" s="48"/>
      <c r="AW4156" s="48"/>
      <c r="AX4156" s="48"/>
      <c r="AY4156" s="48"/>
      <c r="AZ4156" s="48"/>
      <c r="BA4156" s="48"/>
      <c r="BB4156" s="48"/>
      <c r="BC4156" s="48"/>
      <c r="BD4156" s="48"/>
    </row>
    <row r="4157" spans="1:56">
      <c r="A4157" s="48"/>
      <c r="B4157" s="48"/>
      <c r="C4157" s="49"/>
      <c r="D4157" s="48"/>
      <c r="E4157" s="48"/>
      <c r="F4157" s="48"/>
      <c r="G4157" s="48"/>
      <c r="H4157" s="48"/>
      <c r="I4157" s="48"/>
      <c r="J4157" s="86"/>
      <c r="K4157" s="86"/>
      <c r="L4157" s="86"/>
      <c r="M4157" s="86"/>
      <c r="N4157" s="86"/>
      <c r="O4157" s="86"/>
      <c r="P4157" s="86"/>
      <c r="Q4157" s="86"/>
      <c r="R4157" s="86"/>
      <c r="S4157" s="86"/>
      <c r="T4157" s="86"/>
      <c r="U4157" s="86"/>
      <c r="V4157" s="48"/>
      <c r="W4157" s="48"/>
      <c r="X4157" s="48"/>
      <c r="Y4157" s="48"/>
      <c r="Z4157" s="48"/>
      <c r="AA4157" s="48"/>
      <c r="AB4157" s="48"/>
      <c r="AC4157" s="48"/>
      <c r="AD4157" s="48"/>
      <c r="AE4157" s="48"/>
      <c r="AF4157" s="48"/>
      <c r="AG4157" s="48"/>
      <c r="AH4157" s="48"/>
      <c r="AI4157" s="48"/>
      <c r="AJ4157" s="48"/>
      <c r="AK4157" s="48"/>
      <c r="AL4157" s="48"/>
      <c r="AM4157" s="48"/>
      <c r="AN4157" s="48"/>
      <c r="AO4157" s="48"/>
      <c r="AP4157" s="48"/>
      <c r="AQ4157" s="48"/>
      <c r="AR4157" s="48"/>
      <c r="AS4157" s="48"/>
      <c r="AT4157" s="48"/>
      <c r="AU4157" s="48"/>
      <c r="AV4157" s="48"/>
      <c r="AW4157" s="48"/>
      <c r="AX4157" s="48"/>
      <c r="AY4157" s="48"/>
      <c r="AZ4157" s="48"/>
      <c r="BA4157" s="48"/>
      <c r="BB4157" s="48"/>
      <c r="BC4157" s="48"/>
      <c r="BD4157" s="48"/>
    </row>
    <row r="4158" spans="1:56">
      <c r="A4158" s="48"/>
      <c r="B4158" s="48"/>
      <c r="C4158" s="49"/>
      <c r="D4158" s="48"/>
      <c r="E4158" s="48"/>
      <c r="F4158" s="48"/>
      <c r="G4158" s="48"/>
      <c r="H4158" s="48"/>
      <c r="I4158" s="48"/>
      <c r="J4158" s="86"/>
      <c r="K4158" s="86"/>
      <c r="L4158" s="86"/>
      <c r="M4158" s="86"/>
      <c r="N4158" s="86"/>
      <c r="O4158" s="86"/>
      <c r="P4158" s="86"/>
      <c r="Q4158" s="86"/>
      <c r="R4158" s="86"/>
      <c r="S4158" s="86"/>
      <c r="T4158" s="86"/>
      <c r="U4158" s="86"/>
      <c r="V4158" s="48"/>
      <c r="W4158" s="48"/>
      <c r="X4158" s="48"/>
      <c r="Y4158" s="48"/>
      <c r="Z4158" s="48"/>
      <c r="AA4158" s="48"/>
      <c r="AB4158" s="48"/>
      <c r="AC4158" s="48"/>
      <c r="AD4158" s="48"/>
      <c r="AE4158" s="48"/>
      <c r="AF4158" s="48"/>
      <c r="AG4158" s="48"/>
      <c r="AH4158" s="48"/>
      <c r="AI4158" s="48"/>
      <c r="AJ4158" s="48"/>
      <c r="AK4158" s="48"/>
      <c r="AL4158" s="48"/>
      <c r="AM4158" s="48"/>
      <c r="AN4158" s="48"/>
      <c r="AO4158" s="48"/>
      <c r="AP4158" s="48"/>
      <c r="AQ4158" s="48"/>
      <c r="AR4158" s="48"/>
      <c r="AS4158" s="48"/>
      <c r="AT4158" s="48"/>
      <c r="AU4158" s="48"/>
      <c r="AV4158" s="48"/>
      <c r="AW4158" s="48"/>
      <c r="AX4158" s="48"/>
      <c r="AY4158" s="48"/>
      <c r="AZ4158" s="48"/>
      <c r="BA4158" s="48"/>
      <c r="BB4158" s="48"/>
      <c r="BC4158" s="48"/>
      <c r="BD4158" s="48"/>
    </row>
    <row r="4159" spans="1:56">
      <c r="A4159" s="48"/>
      <c r="B4159" s="48"/>
      <c r="C4159" s="49"/>
      <c r="D4159" s="48"/>
      <c r="E4159" s="48"/>
      <c r="F4159" s="48"/>
      <c r="G4159" s="48"/>
      <c r="H4159" s="48"/>
      <c r="I4159" s="48"/>
      <c r="J4159" s="86"/>
      <c r="K4159" s="86"/>
      <c r="L4159" s="86"/>
      <c r="M4159" s="86"/>
      <c r="N4159" s="86"/>
      <c r="O4159" s="86"/>
      <c r="P4159" s="86"/>
      <c r="Q4159" s="86"/>
      <c r="R4159" s="86"/>
      <c r="S4159" s="86"/>
      <c r="T4159" s="86"/>
      <c r="U4159" s="86"/>
      <c r="V4159" s="48"/>
      <c r="W4159" s="48"/>
      <c r="X4159" s="48"/>
      <c r="Y4159" s="48"/>
      <c r="Z4159" s="48"/>
      <c r="AA4159" s="48"/>
      <c r="AB4159" s="48"/>
      <c r="AC4159" s="48"/>
      <c r="AD4159" s="48"/>
      <c r="AE4159" s="48"/>
      <c r="AF4159" s="48"/>
      <c r="AG4159" s="48"/>
      <c r="AH4159" s="48"/>
      <c r="AI4159" s="48"/>
      <c r="AJ4159" s="48"/>
      <c r="AK4159" s="48"/>
      <c r="AL4159" s="48"/>
      <c r="AM4159" s="48"/>
      <c r="AN4159" s="48"/>
      <c r="AO4159" s="48"/>
      <c r="AP4159" s="48"/>
      <c r="AQ4159" s="48"/>
      <c r="AR4159" s="48"/>
      <c r="AS4159" s="48"/>
      <c r="AT4159" s="48"/>
      <c r="AU4159" s="48"/>
      <c r="AV4159" s="48"/>
      <c r="AW4159" s="48"/>
      <c r="AX4159" s="48"/>
      <c r="AY4159" s="48"/>
      <c r="AZ4159" s="48"/>
      <c r="BA4159" s="48"/>
      <c r="BB4159" s="48"/>
      <c r="BC4159" s="48"/>
      <c r="BD4159" s="48"/>
    </row>
    <row r="4160" spans="1:56">
      <c r="A4160" s="48"/>
      <c r="B4160" s="48"/>
      <c r="C4160" s="49"/>
      <c r="D4160" s="48"/>
      <c r="E4160" s="48"/>
      <c r="F4160" s="48"/>
      <c r="G4160" s="48"/>
      <c r="H4160" s="48"/>
      <c r="I4160" s="48"/>
      <c r="J4160" s="86"/>
      <c r="K4160" s="86"/>
      <c r="L4160" s="86"/>
      <c r="M4160" s="86"/>
      <c r="N4160" s="86"/>
      <c r="O4160" s="86"/>
      <c r="P4160" s="86"/>
      <c r="Q4160" s="86"/>
      <c r="R4160" s="86"/>
      <c r="S4160" s="86"/>
      <c r="T4160" s="86"/>
      <c r="U4160" s="86"/>
      <c r="V4160" s="48"/>
      <c r="W4160" s="48"/>
      <c r="X4160" s="48"/>
      <c r="Y4160" s="48"/>
      <c r="Z4160" s="48"/>
      <c r="AA4160" s="48"/>
      <c r="AB4160" s="48"/>
      <c r="AC4160" s="48"/>
      <c r="AD4160" s="48"/>
      <c r="AE4160" s="48"/>
      <c r="AF4160" s="48"/>
      <c r="AG4160" s="48"/>
      <c r="AH4160" s="48"/>
      <c r="AI4160" s="48"/>
      <c r="AJ4160" s="48"/>
      <c r="AK4160" s="48"/>
      <c r="AL4160" s="48"/>
      <c r="AM4160" s="48"/>
      <c r="AN4160" s="48"/>
      <c r="AO4160" s="48"/>
      <c r="AP4160" s="48"/>
      <c r="AQ4160" s="48"/>
      <c r="AR4160" s="48"/>
      <c r="AS4160" s="48"/>
      <c r="AT4160" s="48"/>
      <c r="AU4160" s="48"/>
      <c r="AV4160" s="48"/>
      <c r="AW4160" s="48"/>
      <c r="AX4160" s="48"/>
      <c r="AY4160" s="48"/>
      <c r="AZ4160" s="48"/>
      <c r="BA4160" s="48"/>
      <c r="BB4160" s="48"/>
      <c r="BC4160" s="48"/>
      <c r="BD4160" s="48"/>
    </row>
    <row r="4161" spans="1:56">
      <c r="A4161" s="48"/>
      <c r="B4161" s="48"/>
      <c r="C4161" s="49"/>
      <c r="D4161" s="48"/>
      <c r="E4161" s="48"/>
      <c r="F4161" s="48"/>
      <c r="G4161" s="48"/>
      <c r="H4161" s="48"/>
      <c r="I4161" s="48"/>
      <c r="J4161" s="86"/>
      <c r="K4161" s="86"/>
      <c r="L4161" s="86"/>
      <c r="M4161" s="86"/>
      <c r="N4161" s="86"/>
      <c r="O4161" s="86"/>
      <c r="P4161" s="86"/>
      <c r="Q4161" s="86"/>
      <c r="R4161" s="86"/>
      <c r="S4161" s="86"/>
      <c r="T4161" s="86"/>
      <c r="U4161" s="86"/>
      <c r="V4161" s="48"/>
      <c r="W4161" s="48"/>
      <c r="X4161" s="48"/>
      <c r="Y4161" s="48"/>
      <c r="Z4161" s="48"/>
      <c r="AA4161" s="48"/>
      <c r="AB4161" s="48"/>
      <c r="AC4161" s="48"/>
      <c r="AD4161" s="48"/>
      <c r="AE4161" s="48"/>
      <c r="AF4161" s="48"/>
      <c r="AG4161" s="48"/>
      <c r="AH4161" s="48"/>
      <c r="AI4161" s="48"/>
      <c r="AJ4161" s="48"/>
      <c r="AK4161" s="48"/>
      <c r="AL4161" s="48"/>
      <c r="AM4161" s="48"/>
      <c r="AN4161" s="48"/>
      <c r="AO4161" s="48"/>
      <c r="AP4161" s="48"/>
      <c r="AQ4161" s="48"/>
      <c r="AR4161" s="48"/>
      <c r="AS4161" s="48"/>
      <c r="AT4161" s="48"/>
      <c r="AU4161" s="48"/>
      <c r="AV4161" s="48"/>
      <c r="AW4161" s="48"/>
      <c r="AX4161" s="48"/>
      <c r="AY4161" s="48"/>
      <c r="AZ4161" s="48"/>
      <c r="BA4161" s="48"/>
      <c r="BB4161" s="48"/>
      <c r="BC4161" s="48"/>
      <c r="BD4161" s="48"/>
    </row>
    <row r="4162" spans="1:56">
      <c r="A4162" s="48"/>
      <c r="B4162" s="48"/>
      <c r="C4162" s="49"/>
      <c r="D4162" s="48"/>
      <c r="E4162" s="48"/>
      <c r="F4162" s="48"/>
      <c r="G4162" s="48"/>
      <c r="H4162" s="48"/>
      <c r="I4162" s="48"/>
      <c r="J4162" s="86"/>
      <c r="K4162" s="86"/>
      <c r="L4162" s="86"/>
      <c r="M4162" s="86"/>
      <c r="N4162" s="86"/>
      <c r="O4162" s="86"/>
      <c r="P4162" s="86"/>
      <c r="Q4162" s="86"/>
      <c r="R4162" s="86"/>
      <c r="S4162" s="86"/>
      <c r="T4162" s="86"/>
      <c r="U4162" s="86"/>
      <c r="V4162" s="48"/>
      <c r="W4162" s="48"/>
      <c r="X4162" s="48"/>
      <c r="Y4162" s="48"/>
      <c r="Z4162" s="48"/>
      <c r="AA4162" s="48"/>
      <c r="AB4162" s="48"/>
      <c r="AC4162" s="48"/>
      <c r="AD4162" s="48"/>
      <c r="AE4162" s="48"/>
      <c r="AF4162" s="48"/>
      <c r="AG4162" s="48"/>
      <c r="AH4162" s="48"/>
      <c r="AI4162" s="48"/>
      <c r="AJ4162" s="48"/>
      <c r="AK4162" s="48"/>
      <c r="AL4162" s="48"/>
      <c r="AM4162" s="48"/>
      <c r="AN4162" s="48"/>
      <c r="AO4162" s="48"/>
      <c r="AP4162" s="48"/>
      <c r="AQ4162" s="48"/>
      <c r="AR4162" s="48"/>
      <c r="AS4162" s="48"/>
      <c r="AT4162" s="48"/>
      <c r="AU4162" s="48"/>
      <c r="AV4162" s="48"/>
      <c r="AW4162" s="48"/>
      <c r="AX4162" s="48"/>
      <c r="AY4162" s="48"/>
      <c r="AZ4162" s="48"/>
      <c r="BA4162" s="48"/>
      <c r="BB4162" s="48"/>
      <c r="BC4162" s="48"/>
      <c r="BD4162" s="48"/>
    </row>
    <row r="4163" spans="1:56">
      <c r="A4163" s="48"/>
      <c r="B4163" s="48"/>
      <c r="C4163" s="49"/>
      <c r="D4163" s="48"/>
      <c r="E4163" s="48"/>
      <c r="F4163" s="48"/>
      <c r="G4163" s="48"/>
      <c r="H4163" s="48"/>
      <c r="I4163" s="48"/>
      <c r="J4163" s="86"/>
      <c r="K4163" s="86"/>
      <c r="L4163" s="86"/>
      <c r="M4163" s="86"/>
      <c r="N4163" s="86"/>
      <c r="O4163" s="86"/>
      <c r="P4163" s="86"/>
      <c r="Q4163" s="86"/>
      <c r="R4163" s="86"/>
      <c r="S4163" s="86"/>
      <c r="T4163" s="86"/>
      <c r="U4163" s="86"/>
      <c r="V4163" s="48"/>
      <c r="W4163" s="48"/>
      <c r="X4163" s="48"/>
      <c r="Y4163" s="48"/>
      <c r="Z4163" s="48"/>
      <c r="AA4163" s="48"/>
      <c r="AB4163" s="48"/>
      <c r="AC4163" s="48"/>
      <c r="AD4163" s="48"/>
      <c r="AE4163" s="48"/>
      <c r="AF4163" s="48"/>
      <c r="AG4163" s="48"/>
      <c r="AH4163" s="48"/>
      <c r="AI4163" s="48"/>
      <c r="AJ4163" s="48"/>
      <c r="AK4163" s="48"/>
      <c r="AL4163" s="48"/>
      <c r="AM4163" s="48"/>
      <c r="AN4163" s="48"/>
      <c r="AO4163" s="48"/>
      <c r="AP4163" s="48"/>
      <c r="AQ4163" s="48"/>
      <c r="AR4163" s="48"/>
      <c r="AS4163" s="48"/>
      <c r="AT4163" s="48"/>
      <c r="AU4163" s="48"/>
      <c r="AV4163" s="48"/>
      <c r="AW4163" s="48"/>
      <c r="AX4163" s="48"/>
      <c r="AY4163" s="48"/>
      <c r="AZ4163" s="48"/>
      <c r="BA4163" s="48"/>
      <c r="BB4163" s="48"/>
      <c r="BC4163" s="48"/>
      <c r="BD4163" s="48"/>
    </row>
    <row r="4164" spans="1:56">
      <c r="A4164" s="48"/>
      <c r="B4164" s="48"/>
      <c r="C4164" s="49"/>
      <c r="D4164" s="48"/>
      <c r="E4164" s="48"/>
      <c r="F4164" s="48"/>
      <c r="G4164" s="48"/>
      <c r="H4164" s="48"/>
      <c r="I4164" s="48"/>
      <c r="J4164" s="86"/>
      <c r="K4164" s="86"/>
      <c r="L4164" s="86"/>
      <c r="M4164" s="86"/>
      <c r="N4164" s="86"/>
      <c r="O4164" s="86"/>
      <c r="P4164" s="86"/>
      <c r="Q4164" s="86"/>
      <c r="R4164" s="86"/>
      <c r="S4164" s="86"/>
      <c r="T4164" s="86"/>
      <c r="U4164" s="86"/>
      <c r="V4164" s="48"/>
      <c r="W4164" s="48"/>
      <c r="X4164" s="48"/>
      <c r="Y4164" s="48"/>
      <c r="Z4164" s="48"/>
      <c r="AA4164" s="48"/>
      <c r="AB4164" s="48"/>
      <c r="AC4164" s="48"/>
      <c r="AD4164" s="48"/>
      <c r="AE4164" s="48"/>
      <c r="AF4164" s="48"/>
      <c r="AG4164" s="48"/>
      <c r="AH4164" s="48"/>
      <c r="AI4164" s="48"/>
      <c r="AJ4164" s="48"/>
      <c r="AK4164" s="48"/>
      <c r="AL4164" s="48"/>
      <c r="AM4164" s="48"/>
      <c r="AN4164" s="48"/>
      <c r="AO4164" s="48"/>
      <c r="AP4164" s="48"/>
      <c r="AQ4164" s="48"/>
      <c r="AR4164" s="48"/>
      <c r="AS4164" s="48"/>
      <c r="AT4164" s="48"/>
      <c r="AU4164" s="48"/>
      <c r="AV4164" s="48"/>
      <c r="AW4164" s="48"/>
      <c r="AX4164" s="48"/>
      <c r="AY4164" s="48"/>
      <c r="AZ4164" s="48"/>
      <c r="BA4164" s="48"/>
      <c r="BB4164" s="48"/>
      <c r="BC4164" s="48"/>
      <c r="BD4164" s="48"/>
    </row>
    <row r="4165" spans="1:56">
      <c r="A4165" s="48"/>
      <c r="B4165" s="48"/>
      <c r="C4165" s="49"/>
      <c r="D4165" s="48"/>
      <c r="E4165" s="48"/>
      <c r="F4165" s="48"/>
      <c r="G4165" s="48"/>
      <c r="H4165" s="48"/>
      <c r="I4165" s="48"/>
      <c r="J4165" s="86"/>
      <c r="K4165" s="86"/>
      <c r="L4165" s="86"/>
      <c r="M4165" s="86"/>
      <c r="N4165" s="86"/>
      <c r="O4165" s="86"/>
      <c r="P4165" s="86"/>
      <c r="Q4165" s="86"/>
      <c r="R4165" s="86"/>
      <c r="S4165" s="86"/>
      <c r="T4165" s="86"/>
      <c r="U4165" s="86"/>
      <c r="V4165" s="48"/>
      <c r="W4165" s="48"/>
      <c r="X4165" s="48"/>
      <c r="Y4165" s="48"/>
      <c r="Z4165" s="48"/>
      <c r="AA4165" s="48"/>
      <c r="AB4165" s="48"/>
      <c r="AC4165" s="48"/>
      <c r="AD4165" s="48"/>
      <c r="AE4165" s="48"/>
      <c r="AF4165" s="48"/>
      <c r="AG4165" s="48"/>
      <c r="AH4165" s="48"/>
      <c r="AI4165" s="48"/>
      <c r="AJ4165" s="48"/>
      <c r="AK4165" s="48"/>
      <c r="AL4165" s="48"/>
      <c r="AM4165" s="48"/>
      <c r="AN4165" s="48"/>
      <c r="AO4165" s="48"/>
      <c r="AP4165" s="48"/>
      <c r="AQ4165" s="48"/>
      <c r="AR4165" s="48"/>
      <c r="AS4165" s="48"/>
      <c r="AT4165" s="48"/>
      <c r="AU4165" s="48"/>
      <c r="AV4165" s="48"/>
      <c r="AW4165" s="48"/>
      <c r="AX4165" s="48"/>
      <c r="AY4165" s="48"/>
      <c r="AZ4165" s="48"/>
      <c r="BA4165" s="48"/>
      <c r="BB4165" s="48"/>
      <c r="BC4165" s="48"/>
      <c r="BD4165" s="48"/>
    </row>
    <row r="4166" spans="1:56">
      <c r="A4166" s="48"/>
      <c r="B4166" s="48"/>
      <c r="C4166" s="49"/>
      <c r="D4166" s="48"/>
      <c r="E4166" s="48"/>
      <c r="F4166" s="48"/>
      <c r="G4166" s="48"/>
      <c r="H4166" s="48"/>
      <c r="I4166" s="48"/>
      <c r="J4166" s="86"/>
      <c r="K4166" s="86"/>
      <c r="L4166" s="86"/>
      <c r="M4166" s="86"/>
      <c r="N4166" s="86"/>
      <c r="O4166" s="86"/>
      <c r="P4166" s="86"/>
      <c r="Q4166" s="86"/>
      <c r="R4166" s="86"/>
      <c r="S4166" s="86"/>
      <c r="T4166" s="86"/>
      <c r="U4166" s="86"/>
      <c r="V4166" s="48"/>
      <c r="W4166" s="48"/>
      <c r="X4166" s="48"/>
      <c r="Y4166" s="48"/>
      <c r="Z4166" s="48"/>
      <c r="AA4166" s="48"/>
      <c r="AB4166" s="48"/>
      <c r="AC4166" s="48"/>
      <c r="AD4166" s="48"/>
      <c r="AE4166" s="48"/>
      <c r="AF4166" s="48"/>
      <c r="AG4166" s="48"/>
      <c r="AH4166" s="48"/>
      <c r="AI4166" s="48"/>
      <c r="AJ4166" s="48"/>
      <c r="AK4166" s="48"/>
      <c r="AL4166" s="48"/>
      <c r="AM4166" s="48"/>
      <c r="AN4166" s="48"/>
      <c r="AO4166" s="48"/>
      <c r="AP4166" s="48"/>
      <c r="AQ4166" s="48"/>
      <c r="AR4166" s="48"/>
      <c r="AS4166" s="48"/>
      <c r="AT4166" s="48"/>
      <c r="AU4166" s="48"/>
      <c r="AV4166" s="48"/>
      <c r="AW4166" s="48"/>
      <c r="AX4166" s="48"/>
      <c r="AY4166" s="48"/>
      <c r="AZ4166" s="48"/>
      <c r="BA4166" s="48"/>
      <c r="BB4166" s="48"/>
      <c r="BC4166" s="48"/>
      <c r="BD4166" s="48"/>
    </row>
    <row r="4167" spans="1:56">
      <c r="A4167" s="48"/>
      <c r="B4167" s="48"/>
      <c r="C4167" s="49"/>
      <c r="D4167" s="48"/>
      <c r="E4167" s="48"/>
      <c r="F4167" s="48"/>
      <c r="G4167" s="48"/>
      <c r="H4167" s="48"/>
      <c r="I4167" s="48"/>
      <c r="J4167" s="86"/>
      <c r="K4167" s="86"/>
      <c r="L4167" s="86"/>
      <c r="M4167" s="86"/>
      <c r="N4167" s="86"/>
      <c r="O4167" s="86"/>
      <c r="P4167" s="86"/>
      <c r="Q4167" s="86"/>
      <c r="R4167" s="86"/>
      <c r="S4167" s="86"/>
      <c r="T4167" s="86"/>
      <c r="U4167" s="86"/>
      <c r="V4167" s="48"/>
      <c r="W4167" s="48"/>
      <c r="X4167" s="48"/>
      <c r="Y4167" s="48"/>
      <c r="Z4167" s="48"/>
      <c r="AA4167" s="48"/>
      <c r="AB4167" s="48"/>
      <c r="AC4167" s="48"/>
      <c r="AD4167" s="48"/>
      <c r="AE4167" s="48"/>
      <c r="AF4167" s="48"/>
      <c r="AG4167" s="48"/>
      <c r="AH4167" s="48"/>
      <c r="AI4167" s="48"/>
      <c r="AJ4167" s="48"/>
      <c r="AK4167" s="48"/>
      <c r="AL4167" s="48"/>
      <c r="AM4167" s="48"/>
      <c r="AN4167" s="48"/>
      <c r="AO4167" s="48"/>
      <c r="AP4167" s="48"/>
      <c r="AQ4167" s="48"/>
      <c r="AR4167" s="48"/>
      <c r="AS4167" s="48"/>
      <c r="AT4167" s="48"/>
      <c r="AU4167" s="48"/>
      <c r="AV4167" s="48"/>
      <c r="AW4167" s="48"/>
      <c r="AX4167" s="48"/>
      <c r="AY4167" s="48"/>
      <c r="AZ4167" s="48"/>
      <c r="BA4167" s="48"/>
      <c r="BB4167" s="48"/>
      <c r="BC4167" s="48"/>
      <c r="BD4167" s="48"/>
    </row>
    <row r="4168" spans="1:56">
      <c r="A4168" s="48"/>
      <c r="B4168" s="48"/>
      <c r="C4168" s="49"/>
      <c r="D4168" s="48"/>
      <c r="E4168" s="48"/>
      <c r="F4168" s="48"/>
      <c r="G4168" s="48"/>
      <c r="H4168" s="48"/>
      <c r="I4168" s="48"/>
      <c r="J4168" s="86"/>
      <c r="K4168" s="86"/>
      <c r="L4168" s="86"/>
      <c r="M4168" s="86"/>
      <c r="N4168" s="86"/>
      <c r="O4168" s="86"/>
      <c r="P4168" s="86"/>
      <c r="Q4168" s="86"/>
      <c r="R4168" s="86"/>
      <c r="S4168" s="86"/>
      <c r="T4168" s="86"/>
      <c r="U4168" s="86"/>
      <c r="V4168" s="48"/>
      <c r="W4168" s="48"/>
      <c r="X4168" s="48"/>
      <c r="Y4168" s="48"/>
      <c r="Z4168" s="48"/>
      <c r="AA4168" s="48"/>
      <c r="AB4168" s="48"/>
      <c r="AC4168" s="48"/>
      <c r="AD4168" s="48"/>
      <c r="AE4168" s="48"/>
      <c r="AF4168" s="48"/>
      <c r="AG4168" s="48"/>
      <c r="AH4168" s="48"/>
      <c r="AI4168" s="48"/>
      <c r="AJ4168" s="48"/>
      <c r="AK4168" s="48"/>
      <c r="AL4168" s="48"/>
      <c r="AM4168" s="48"/>
      <c r="AN4168" s="48"/>
      <c r="AO4168" s="48"/>
      <c r="AP4168" s="48"/>
      <c r="AQ4168" s="48"/>
      <c r="AR4168" s="48"/>
      <c r="AS4168" s="48"/>
      <c r="AT4168" s="48"/>
      <c r="AU4168" s="48"/>
      <c r="AV4168" s="48"/>
      <c r="AW4168" s="48"/>
      <c r="AX4168" s="48"/>
      <c r="AY4168" s="48"/>
      <c r="AZ4168" s="48"/>
      <c r="BA4168" s="48"/>
      <c r="BB4168" s="48"/>
      <c r="BC4168" s="48"/>
      <c r="BD4168" s="48"/>
    </row>
    <row r="4169" spans="1:56">
      <c r="A4169" s="48"/>
      <c r="B4169" s="48"/>
      <c r="C4169" s="49"/>
      <c r="D4169" s="48"/>
      <c r="E4169" s="48"/>
      <c r="F4169" s="48"/>
      <c r="G4169" s="48"/>
      <c r="H4169" s="48"/>
      <c r="I4169" s="48"/>
      <c r="J4169" s="86"/>
      <c r="K4169" s="86"/>
      <c r="L4169" s="86"/>
      <c r="M4169" s="86"/>
      <c r="N4169" s="86"/>
      <c r="O4169" s="86"/>
      <c r="P4169" s="86"/>
      <c r="Q4169" s="86"/>
      <c r="R4169" s="86"/>
      <c r="S4169" s="86"/>
      <c r="T4169" s="86"/>
      <c r="U4169" s="86"/>
      <c r="V4169" s="48"/>
      <c r="W4169" s="48"/>
      <c r="X4169" s="48"/>
      <c r="Y4169" s="48"/>
      <c r="Z4169" s="48"/>
      <c r="AA4169" s="48"/>
      <c r="AB4169" s="48"/>
      <c r="AC4169" s="48"/>
      <c r="AD4169" s="48"/>
      <c r="AE4169" s="48"/>
      <c r="AF4169" s="48"/>
      <c r="AG4169" s="48"/>
      <c r="AH4169" s="48"/>
      <c r="AI4169" s="48"/>
      <c r="AJ4169" s="48"/>
      <c r="AK4169" s="48"/>
      <c r="AL4169" s="48"/>
      <c r="AM4169" s="48"/>
      <c r="AN4169" s="48"/>
      <c r="AO4169" s="48"/>
      <c r="AP4169" s="48"/>
      <c r="AQ4169" s="48"/>
      <c r="AR4169" s="48"/>
      <c r="AS4169" s="48"/>
      <c r="AT4169" s="48"/>
      <c r="AU4169" s="48"/>
      <c r="AV4169" s="48"/>
      <c r="AW4169" s="48"/>
      <c r="AX4169" s="48"/>
      <c r="AY4169" s="48"/>
      <c r="AZ4169" s="48"/>
      <c r="BA4169" s="48"/>
      <c r="BB4169" s="48"/>
      <c r="BC4169" s="48"/>
      <c r="BD4169" s="48"/>
    </row>
    <row r="4170" spans="1:56">
      <c r="A4170" s="48"/>
      <c r="B4170" s="48"/>
      <c r="C4170" s="49"/>
      <c r="D4170" s="48"/>
      <c r="E4170" s="48"/>
      <c r="F4170" s="48"/>
      <c r="G4170" s="48"/>
      <c r="H4170" s="48"/>
      <c r="I4170" s="48"/>
      <c r="J4170" s="86"/>
      <c r="K4170" s="86"/>
      <c r="L4170" s="86"/>
      <c r="M4170" s="86"/>
      <c r="N4170" s="86"/>
      <c r="O4170" s="86"/>
      <c r="P4170" s="86"/>
      <c r="Q4170" s="86"/>
      <c r="R4170" s="86"/>
      <c r="S4170" s="86"/>
      <c r="T4170" s="86"/>
      <c r="U4170" s="86"/>
      <c r="V4170" s="48"/>
      <c r="W4170" s="48"/>
      <c r="X4170" s="48"/>
      <c r="Y4170" s="48"/>
      <c r="Z4170" s="48"/>
      <c r="AA4170" s="48"/>
      <c r="AB4170" s="48"/>
      <c r="AC4170" s="48"/>
      <c r="AD4170" s="48"/>
      <c r="AE4170" s="48"/>
      <c r="AF4170" s="48"/>
      <c r="AG4170" s="48"/>
      <c r="AH4170" s="48"/>
      <c r="AI4170" s="48"/>
      <c r="AJ4170" s="48"/>
      <c r="AK4170" s="48"/>
      <c r="AL4170" s="48"/>
      <c r="AM4170" s="48"/>
      <c r="AN4170" s="48"/>
      <c r="AO4170" s="48"/>
      <c r="AP4170" s="48"/>
      <c r="AQ4170" s="48"/>
      <c r="AR4170" s="48"/>
      <c r="AS4170" s="48"/>
      <c r="AT4170" s="48"/>
      <c r="AU4170" s="48"/>
      <c r="AV4170" s="48"/>
      <c r="AW4170" s="48"/>
      <c r="AX4170" s="48"/>
      <c r="AY4170" s="48"/>
      <c r="AZ4170" s="48"/>
      <c r="BA4170" s="48"/>
      <c r="BB4170" s="48"/>
      <c r="BC4170" s="48"/>
      <c r="BD4170" s="48"/>
    </row>
    <row r="4171" spans="1:56">
      <c r="A4171" s="48"/>
      <c r="B4171" s="48"/>
      <c r="C4171" s="49"/>
      <c r="D4171" s="48"/>
      <c r="E4171" s="48"/>
      <c r="F4171" s="48"/>
      <c r="G4171" s="48"/>
      <c r="H4171" s="48"/>
      <c r="I4171" s="48"/>
      <c r="J4171" s="86"/>
      <c r="K4171" s="86"/>
      <c r="L4171" s="86"/>
      <c r="M4171" s="86"/>
      <c r="N4171" s="86"/>
      <c r="O4171" s="86"/>
      <c r="P4171" s="86"/>
      <c r="Q4171" s="86"/>
      <c r="R4171" s="86"/>
      <c r="S4171" s="86"/>
      <c r="T4171" s="86"/>
      <c r="U4171" s="86"/>
      <c r="V4171" s="48"/>
      <c r="W4171" s="48"/>
      <c r="X4171" s="48"/>
      <c r="Y4171" s="48"/>
      <c r="Z4171" s="48"/>
      <c r="AA4171" s="48"/>
      <c r="AB4171" s="48"/>
      <c r="AC4171" s="48"/>
      <c r="AD4171" s="48"/>
      <c r="AE4171" s="48"/>
      <c r="AF4171" s="48"/>
      <c r="AG4171" s="48"/>
      <c r="AH4171" s="48"/>
      <c r="AI4171" s="48"/>
      <c r="AJ4171" s="48"/>
      <c r="AK4171" s="48"/>
      <c r="AL4171" s="48"/>
      <c r="AM4171" s="48"/>
      <c r="AN4171" s="48"/>
      <c r="AO4171" s="48"/>
      <c r="AP4171" s="48"/>
      <c r="AQ4171" s="48"/>
      <c r="AR4171" s="48"/>
      <c r="AS4171" s="48"/>
      <c r="AT4171" s="48"/>
      <c r="AU4171" s="48"/>
      <c r="AV4171" s="48"/>
      <c r="AW4171" s="48"/>
      <c r="AX4171" s="48"/>
      <c r="AY4171" s="48"/>
      <c r="AZ4171" s="48"/>
      <c r="BA4171" s="48"/>
      <c r="BB4171" s="48"/>
      <c r="BC4171" s="48"/>
      <c r="BD4171" s="48"/>
    </row>
    <row r="4172" spans="1:56">
      <c r="A4172" s="48"/>
      <c r="B4172" s="48"/>
      <c r="C4172" s="49"/>
      <c r="D4172" s="48"/>
      <c r="E4172" s="48"/>
      <c r="F4172" s="48"/>
      <c r="G4172" s="48"/>
      <c r="H4172" s="48"/>
      <c r="I4172" s="48"/>
      <c r="J4172" s="86"/>
      <c r="K4172" s="86"/>
      <c r="L4172" s="86"/>
      <c r="M4172" s="86"/>
      <c r="N4172" s="86"/>
      <c r="O4172" s="86"/>
      <c r="P4172" s="86"/>
      <c r="Q4172" s="86"/>
      <c r="R4172" s="86"/>
      <c r="S4172" s="86"/>
      <c r="T4172" s="86"/>
      <c r="U4172" s="86"/>
      <c r="V4172" s="48"/>
      <c r="W4172" s="48"/>
      <c r="X4172" s="48"/>
      <c r="Y4172" s="48"/>
      <c r="Z4172" s="48"/>
      <c r="AA4172" s="48"/>
      <c r="AB4172" s="48"/>
      <c r="AC4172" s="48"/>
      <c r="AD4172" s="48"/>
      <c r="AE4172" s="48"/>
      <c r="AF4172" s="48"/>
      <c r="AG4172" s="48"/>
      <c r="AH4172" s="48"/>
      <c r="AI4172" s="48"/>
      <c r="AJ4172" s="48"/>
      <c r="AK4172" s="48"/>
      <c r="AL4172" s="48"/>
      <c r="AM4172" s="48"/>
      <c r="AN4172" s="48"/>
      <c r="AO4172" s="48"/>
      <c r="AP4172" s="48"/>
      <c r="AQ4172" s="48"/>
      <c r="AR4172" s="48"/>
      <c r="AS4172" s="48"/>
      <c r="AT4172" s="48"/>
      <c r="AU4172" s="48"/>
      <c r="AV4172" s="48"/>
      <c r="AW4172" s="48"/>
      <c r="AX4172" s="48"/>
      <c r="AY4172" s="48"/>
      <c r="AZ4172" s="48"/>
      <c r="BA4172" s="48"/>
      <c r="BB4172" s="48"/>
      <c r="BC4172" s="48"/>
      <c r="BD4172" s="48"/>
    </row>
    <row r="4173" spans="1:56">
      <c r="A4173" s="48"/>
      <c r="B4173" s="48"/>
      <c r="C4173" s="49"/>
      <c r="D4173" s="48"/>
      <c r="E4173" s="48"/>
      <c r="F4173" s="48"/>
      <c r="G4173" s="48"/>
      <c r="H4173" s="48"/>
      <c r="I4173" s="48"/>
      <c r="J4173" s="86"/>
      <c r="K4173" s="86"/>
      <c r="L4173" s="86"/>
      <c r="M4173" s="86"/>
      <c r="N4173" s="86"/>
      <c r="O4173" s="86"/>
      <c r="P4173" s="86"/>
      <c r="Q4173" s="86"/>
      <c r="R4173" s="86"/>
      <c r="S4173" s="86"/>
      <c r="T4173" s="86"/>
      <c r="U4173" s="86"/>
      <c r="V4173" s="48"/>
      <c r="W4173" s="48"/>
      <c r="X4173" s="48"/>
      <c r="Y4173" s="48"/>
      <c r="Z4173" s="48"/>
      <c r="AA4173" s="48"/>
      <c r="AB4173" s="48"/>
      <c r="AC4173" s="48"/>
      <c r="AD4173" s="48"/>
      <c r="AE4173" s="48"/>
      <c r="AF4173" s="48"/>
      <c r="AG4173" s="48"/>
      <c r="AH4173" s="48"/>
      <c r="AI4173" s="48"/>
      <c r="AJ4173" s="48"/>
      <c r="AK4173" s="48"/>
      <c r="AL4173" s="48"/>
      <c r="AM4173" s="48"/>
      <c r="AN4173" s="48"/>
      <c r="AO4173" s="48"/>
      <c r="AP4173" s="48"/>
      <c r="AQ4173" s="48"/>
      <c r="AR4173" s="48"/>
      <c r="AS4173" s="48"/>
      <c r="AT4173" s="48"/>
      <c r="AU4173" s="48"/>
      <c r="AV4173" s="48"/>
      <c r="AW4173" s="48"/>
      <c r="AX4173" s="48"/>
      <c r="AY4173" s="48"/>
      <c r="AZ4173" s="48"/>
      <c r="BA4173" s="48"/>
      <c r="BB4173" s="48"/>
      <c r="BC4173" s="48"/>
      <c r="BD4173" s="48"/>
    </row>
    <row r="4174" spans="1:56">
      <c r="A4174" s="48"/>
      <c r="B4174" s="48"/>
      <c r="C4174" s="49"/>
      <c r="D4174" s="48"/>
      <c r="E4174" s="48"/>
      <c r="F4174" s="48"/>
      <c r="G4174" s="48"/>
      <c r="H4174" s="48"/>
      <c r="I4174" s="48"/>
      <c r="J4174" s="86"/>
      <c r="K4174" s="86"/>
      <c r="L4174" s="86"/>
      <c r="M4174" s="86"/>
      <c r="N4174" s="86"/>
      <c r="O4174" s="86"/>
      <c r="P4174" s="86"/>
      <c r="Q4174" s="86"/>
      <c r="R4174" s="86"/>
      <c r="S4174" s="86"/>
      <c r="T4174" s="86"/>
      <c r="U4174" s="86"/>
      <c r="V4174" s="48"/>
      <c r="W4174" s="48"/>
      <c r="X4174" s="48"/>
      <c r="Y4174" s="48"/>
      <c r="Z4174" s="48"/>
      <c r="AA4174" s="48"/>
      <c r="AB4174" s="48"/>
      <c r="AC4174" s="48"/>
      <c r="AD4174" s="48"/>
      <c r="AE4174" s="48"/>
      <c r="AF4174" s="48"/>
      <c r="AG4174" s="48"/>
      <c r="AH4174" s="48"/>
      <c r="AI4174" s="48"/>
      <c r="AJ4174" s="48"/>
      <c r="AK4174" s="48"/>
      <c r="AL4174" s="48"/>
      <c r="AM4174" s="48"/>
      <c r="AN4174" s="48"/>
      <c r="AO4174" s="48"/>
      <c r="AP4174" s="48"/>
      <c r="AQ4174" s="48"/>
      <c r="AR4174" s="48"/>
      <c r="AS4174" s="48"/>
      <c r="AT4174" s="48"/>
      <c r="AU4174" s="48"/>
      <c r="AV4174" s="48"/>
      <c r="AW4174" s="48"/>
      <c r="AX4174" s="48"/>
      <c r="AY4174" s="48"/>
      <c r="AZ4174" s="48"/>
      <c r="BA4174" s="48"/>
      <c r="BB4174" s="48"/>
      <c r="BC4174" s="48"/>
      <c r="BD4174" s="48"/>
    </row>
    <row r="4175" spans="1:56">
      <c r="A4175" s="48"/>
      <c r="B4175" s="48"/>
      <c r="C4175" s="49"/>
      <c r="D4175" s="48"/>
      <c r="E4175" s="48"/>
      <c r="F4175" s="48"/>
      <c r="G4175" s="48"/>
      <c r="H4175" s="48"/>
      <c r="I4175" s="48"/>
      <c r="J4175" s="86"/>
      <c r="K4175" s="86"/>
      <c r="L4175" s="86"/>
      <c r="M4175" s="86"/>
      <c r="N4175" s="86"/>
      <c r="O4175" s="86"/>
      <c r="P4175" s="86"/>
      <c r="Q4175" s="86"/>
      <c r="R4175" s="86"/>
      <c r="S4175" s="86"/>
      <c r="T4175" s="86"/>
      <c r="U4175" s="86"/>
      <c r="V4175" s="48"/>
      <c r="W4175" s="48"/>
      <c r="X4175" s="48"/>
      <c r="Y4175" s="48"/>
      <c r="Z4175" s="48"/>
      <c r="AA4175" s="48"/>
      <c r="AB4175" s="48"/>
      <c r="AC4175" s="48"/>
      <c r="AD4175" s="48"/>
      <c r="AE4175" s="48"/>
      <c r="AF4175" s="48"/>
      <c r="AG4175" s="48"/>
      <c r="AH4175" s="48"/>
      <c r="AI4175" s="48"/>
      <c r="AJ4175" s="48"/>
      <c r="AK4175" s="48"/>
      <c r="AL4175" s="48"/>
      <c r="AM4175" s="48"/>
      <c r="AN4175" s="48"/>
      <c r="AO4175" s="48"/>
      <c r="AP4175" s="48"/>
      <c r="AQ4175" s="48"/>
      <c r="AR4175" s="48"/>
      <c r="AS4175" s="48"/>
      <c r="AT4175" s="48"/>
      <c r="AU4175" s="48"/>
      <c r="AV4175" s="48"/>
      <c r="AW4175" s="48"/>
      <c r="AX4175" s="48"/>
      <c r="AY4175" s="48"/>
      <c r="AZ4175" s="48"/>
      <c r="BA4175" s="48"/>
      <c r="BB4175" s="48"/>
      <c r="BC4175" s="48"/>
      <c r="BD4175" s="48"/>
    </row>
    <row r="4176" spans="1:56">
      <c r="A4176" s="48"/>
      <c r="B4176" s="48"/>
      <c r="C4176" s="49"/>
      <c r="D4176" s="48"/>
      <c r="E4176" s="48"/>
      <c r="F4176" s="48"/>
      <c r="G4176" s="48"/>
      <c r="H4176" s="48"/>
      <c r="I4176" s="48"/>
      <c r="J4176" s="86"/>
      <c r="K4176" s="86"/>
      <c r="L4176" s="86"/>
      <c r="M4176" s="86"/>
      <c r="N4176" s="86"/>
      <c r="O4176" s="86"/>
      <c r="P4176" s="86"/>
      <c r="Q4176" s="86"/>
      <c r="R4176" s="86"/>
      <c r="S4176" s="86"/>
      <c r="T4176" s="86"/>
      <c r="U4176" s="86"/>
      <c r="V4176" s="48"/>
      <c r="W4176" s="48"/>
      <c r="X4176" s="48"/>
      <c r="Y4176" s="48"/>
      <c r="Z4176" s="48"/>
      <c r="AA4176" s="48"/>
      <c r="AB4176" s="48"/>
      <c r="AC4176" s="48"/>
      <c r="AD4176" s="48"/>
      <c r="AE4176" s="48"/>
      <c r="AF4176" s="48"/>
      <c r="AG4176" s="48"/>
      <c r="AH4176" s="48"/>
      <c r="AI4176" s="48"/>
      <c r="AJ4176" s="48"/>
      <c r="AK4176" s="48"/>
      <c r="AL4176" s="48"/>
      <c r="AM4176" s="48"/>
      <c r="AN4176" s="48"/>
      <c r="AO4176" s="48"/>
      <c r="AP4176" s="48"/>
      <c r="AQ4176" s="48"/>
      <c r="AR4176" s="48"/>
      <c r="AS4176" s="48"/>
      <c r="AT4176" s="48"/>
      <c r="AU4176" s="48"/>
      <c r="AV4176" s="48"/>
      <c r="AW4176" s="48"/>
      <c r="AX4176" s="48"/>
      <c r="AY4176" s="48"/>
      <c r="AZ4176" s="48"/>
      <c r="BA4176" s="48"/>
      <c r="BB4176" s="48"/>
      <c r="BC4176" s="48"/>
      <c r="BD4176" s="48"/>
    </row>
    <row r="4177" spans="1:56">
      <c r="A4177" s="48"/>
      <c r="B4177" s="48"/>
      <c r="C4177" s="49"/>
      <c r="D4177" s="48"/>
      <c r="E4177" s="48"/>
      <c r="F4177" s="48"/>
      <c r="G4177" s="48"/>
      <c r="H4177" s="48"/>
      <c r="I4177" s="48"/>
      <c r="J4177" s="86"/>
      <c r="K4177" s="86"/>
      <c r="L4177" s="86"/>
      <c r="M4177" s="86"/>
      <c r="N4177" s="86"/>
      <c r="O4177" s="86"/>
      <c r="P4177" s="86"/>
      <c r="Q4177" s="86"/>
      <c r="R4177" s="86"/>
      <c r="S4177" s="86"/>
      <c r="T4177" s="86"/>
      <c r="U4177" s="86"/>
      <c r="V4177" s="48"/>
      <c r="W4177" s="48"/>
      <c r="X4177" s="48"/>
      <c r="Y4177" s="48"/>
      <c r="Z4177" s="48"/>
      <c r="AA4177" s="48"/>
      <c r="AB4177" s="48"/>
      <c r="AC4177" s="48"/>
      <c r="AD4177" s="48"/>
      <c r="AE4177" s="48"/>
      <c r="AF4177" s="48"/>
      <c r="AG4177" s="48"/>
      <c r="AH4177" s="48"/>
      <c r="AI4177" s="48"/>
      <c r="AJ4177" s="48"/>
      <c r="AK4177" s="48"/>
      <c r="AL4177" s="48"/>
      <c r="AM4177" s="48"/>
      <c r="AN4177" s="48"/>
      <c r="AO4177" s="48"/>
      <c r="AP4177" s="48"/>
      <c r="AQ4177" s="48"/>
      <c r="AR4177" s="48"/>
      <c r="AS4177" s="48"/>
      <c r="AT4177" s="48"/>
      <c r="AU4177" s="48"/>
      <c r="AV4177" s="48"/>
      <c r="AW4177" s="48"/>
      <c r="AX4177" s="48"/>
      <c r="AY4177" s="48"/>
      <c r="AZ4177" s="48"/>
      <c r="BA4177" s="48"/>
      <c r="BB4177" s="48"/>
      <c r="BC4177" s="48"/>
      <c r="BD4177" s="48"/>
    </row>
    <row r="4178" spans="1:56">
      <c r="A4178" s="48"/>
      <c r="B4178" s="48"/>
      <c r="C4178" s="49"/>
      <c r="D4178" s="48"/>
      <c r="E4178" s="48"/>
      <c r="F4178" s="48"/>
      <c r="G4178" s="48"/>
      <c r="H4178" s="48"/>
      <c r="I4178" s="48"/>
      <c r="J4178" s="86"/>
      <c r="K4178" s="86"/>
      <c r="L4178" s="86"/>
      <c r="M4178" s="86"/>
      <c r="N4178" s="86"/>
      <c r="O4178" s="86"/>
      <c r="P4178" s="86"/>
      <c r="Q4178" s="86"/>
      <c r="R4178" s="86"/>
      <c r="S4178" s="86"/>
      <c r="T4178" s="86"/>
      <c r="U4178" s="86"/>
      <c r="V4178" s="48"/>
      <c r="W4178" s="48"/>
      <c r="X4178" s="48"/>
      <c r="Y4178" s="48"/>
      <c r="Z4178" s="48"/>
      <c r="AA4178" s="48"/>
      <c r="AB4178" s="48"/>
      <c r="AC4178" s="48"/>
      <c r="AD4178" s="48"/>
      <c r="AE4178" s="48"/>
      <c r="AF4178" s="48"/>
      <c r="AG4178" s="48"/>
      <c r="AH4178" s="48"/>
      <c r="AI4178" s="48"/>
      <c r="AJ4178" s="48"/>
      <c r="AK4178" s="48"/>
      <c r="AL4178" s="48"/>
      <c r="AM4178" s="48"/>
      <c r="AN4178" s="48"/>
      <c r="AO4178" s="48"/>
      <c r="AP4178" s="48"/>
      <c r="AQ4178" s="48"/>
      <c r="AR4178" s="48"/>
      <c r="AS4178" s="48"/>
      <c r="AT4178" s="48"/>
      <c r="AU4178" s="48"/>
      <c r="AV4178" s="48"/>
      <c r="AW4178" s="48"/>
      <c r="AX4178" s="48"/>
      <c r="AY4178" s="48"/>
      <c r="AZ4178" s="48"/>
      <c r="BA4178" s="48"/>
      <c r="BB4178" s="48"/>
      <c r="BC4178" s="48"/>
      <c r="BD4178" s="48"/>
    </row>
    <row r="4179" spans="1:56">
      <c r="A4179" s="48"/>
      <c r="B4179" s="48"/>
      <c r="C4179" s="49"/>
      <c r="D4179" s="48"/>
      <c r="E4179" s="48"/>
      <c r="F4179" s="48"/>
      <c r="G4179" s="48"/>
      <c r="H4179" s="48"/>
      <c r="I4179" s="48"/>
      <c r="J4179" s="86"/>
      <c r="K4179" s="86"/>
      <c r="L4179" s="86"/>
      <c r="M4179" s="86"/>
      <c r="N4179" s="86"/>
      <c r="O4179" s="86"/>
      <c r="P4179" s="86"/>
      <c r="Q4179" s="86"/>
      <c r="R4179" s="86"/>
      <c r="S4179" s="86"/>
      <c r="T4179" s="86"/>
      <c r="U4179" s="86"/>
      <c r="V4179" s="48"/>
      <c r="W4179" s="48"/>
      <c r="X4179" s="48"/>
      <c r="Y4179" s="48"/>
      <c r="Z4179" s="48"/>
      <c r="AA4179" s="48"/>
      <c r="AB4179" s="48"/>
      <c r="AC4179" s="48"/>
      <c r="AD4179" s="48"/>
      <c r="AE4179" s="48"/>
      <c r="AF4179" s="48"/>
      <c r="AG4179" s="48"/>
      <c r="AH4179" s="48"/>
      <c r="AI4179" s="48"/>
      <c r="AJ4179" s="48"/>
      <c r="AK4179" s="48"/>
      <c r="AL4179" s="48"/>
      <c r="AM4179" s="48"/>
      <c r="AN4179" s="48"/>
      <c r="AO4179" s="48"/>
      <c r="AP4179" s="48"/>
      <c r="AQ4179" s="48"/>
      <c r="AR4179" s="48"/>
      <c r="AS4179" s="48"/>
      <c r="AT4179" s="48"/>
      <c r="AU4179" s="48"/>
      <c r="AV4179" s="48"/>
      <c r="AW4179" s="48"/>
      <c r="AX4179" s="48"/>
      <c r="AY4179" s="48"/>
      <c r="AZ4179" s="48"/>
      <c r="BA4179" s="48"/>
      <c r="BB4179" s="48"/>
      <c r="BC4179" s="48"/>
      <c r="BD4179" s="48"/>
    </row>
    <row r="4180" spans="1:56">
      <c r="A4180" s="48"/>
      <c r="B4180" s="48"/>
      <c r="C4180" s="49"/>
      <c r="D4180" s="48"/>
      <c r="E4180" s="48"/>
      <c r="F4180" s="48"/>
      <c r="G4180" s="48"/>
      <c r="H4180" s="48"/>
      <c r="I4180" s="48"/>
      <c r="J4180" s="86"/>
      <c r="K4180" s="86"/>
      <c r="L4180" s="86"/>
      <c r="M4180" s="86"/>
      <c r="N4180" s="86"/>
      <c r="O4180" s="86"/>
      <c r="P4180" s="86"/>
      <c r="Q4180" s="86"/>
      <c r="R4180" s="86"/>
      <c r="S4180" s="86"/>
      <c r="T4180" s="86"/>
      <c r="U4180" s="86"/>
      <c r="V4180" s="48"/>
      <c r="W4180" s="48"/>
      <c r="X4180" s="48"/>
      <c r="Y4180" s="48"/>
      <c r="Z4180" s="48"/>
      <c r="AA4180" s="48"/>
      <c r="AB4180" s="48"/>
      <c r="AC4180" s="48"/>
      <c r="AD4180" s="48"/>
      <c r="AE4180" s="48"/>
      <c r="AF4180" s="48"/>
      <c r="AG4180" s="48"/>
      <c r="AH4180" s="48"/>
      <c r="AI4180" s="48"/>
      <c r="AJ4180" s="48"/>
      <c r="AK4180" s="48"/>
      <c r="AL4180" s="48"/>
      <c r="AM4180" s="48"/>
      <c r="AN4180" s="48"/>
      <c r="AO4180" s="48"/>
      <c r="AP4180" s="48"/>
      <c r="AQ4180" s="48"/>
      <c r="AR4180" s="48"/>
      <c r="AS4180" s="48"/>
      <c r="AT4180" s="48"/>
      <c r="AU4180" s="48"/>
      <c r="AV4180" s="48"/>
      <c r="AW4180" s="48"/>
      <c r="AX4180" s="48"/>
      <c r="AY4180" s="48"/>
      <c r="AZ4180" s="48"/>
      <c r="BA4180" s="48"/>
      <c r="BB4180" s="48"/>
      <c r="BC4180" s="48"/>
      <c r="BD4180" s="48"/>
    </row>
    <row r="4181" spans="1:56">
      <c r="A4181" s="48"/>
      <c r="B4181" s="48"/>
      <c r="C4181" s="49"/>
      <c r="D4181" s="48"/>
      <c r="E4181" s="48"/>
      <c r="F4181" s="48"/>
      <c r="G4181" s="48"/>
      <c r="H4181" s="48"/>
      <c r="I4181" s="48"/>
      <c r="J4181" s="86"/>
      <c r="K4181" s="86"/>
      <c r="L4181" s="86"/>
      <c r="M4181" s="86"/>
      <c r="N4181" s="86"/>
      <c r="O4181" s="86"/>
      <c r="P4181" s="86"/>
      <c r="Q4181" s="86"/>
      <c r="R4181" s="86"/>
      <c r="S4181" s="86"/>
      <c r="T4181" s="86"/>
      <c r="U4181" s="86"/>
      <c r="V4181" s="48"/>
      <c r="W4181" s="48"/>
      <c r="X4181" s="48"/>
      <c r="Y4181" s="48"/>
      <c r="Z4181" s="48"/>
      <c r="AA4181" s="48"/>
      <c r="AB4181" s="48"/>
      <c r="AC4181" s="48"/>
      <c r="AD4181" s="48"/>
      <c r="AE4181" s="48"/>
      <c r="AF4181" s="48"/>
      <c r="AG4181" s="48"/>
      <c r="AH4181" s="48"/>
      <c r="AI4181" s="48"/>
      <c r="AJ4181" s="48"/>
      <c r="AK4181" s="48"/>
      <c r="AL4181" s="48"/>
      <c r="AM4181" s="48"/>
      <c r="AN4181" s="48"/>
      <c r="AO4181" s="48"/>
      <c r="AP4181" s="48"/>
      <c r="AQ4181" s="48"/>
      <c r="AR4181" s="48"/>
      <c r="AS4181" s="48"/>
      <c r="AT4181" s="48"/>
      <c r="AU4181" s="48"/>
      <c r="AV4181" s="48"/>
      <c r="AW4181" s="48"/>
      <c r="AX4181" s="48"/>
      <c r="AY4181" s="48"/>
      <c r="AZ4181" s="48"/>
      <c r="BA4181" s="48"/>
      <c r="BB4181" s="48"/>
      <c r="BC4181" s="48"/>
      <c r="BD4181" s="48"/>
    </row>
    <row r="4182" spans="1:56">
      <c r="A4182" s="48"/>
      <c r="B4182" s="48"/>
      <c r="C4182" s="49"/>
      <c r="D4182" s="48"/>
      <c r="E4182" s="48"/>
      <c r="F4182" s="48"/>
      <c r="G4182" s="48"/>
      <c r="H4182" s="48"/>
      <c r="I4182" s="48"/>
      <c r="J4182" s="86"/>
      <c r="K4182" s="86"/>
      <c r="L4182" s="86"/>
      <c r="M4182" s="86"/>
      <c r="N4182" s="86"/>
      <c r="O4182" s="86"/>
      <c r="P4182" s="86"/>
      <c r="Q4182" s="86"/>
      <c r="R4182" s="86"/>
      <c r="S4182" s="86"/>
      <c r="T4182" s="86"/>
      <c r="U4182" s="86"/>
      <c r="V4182" s="48"/>
      <c r="W4182" s="48"/>
      <c r="X4182" s="48"/>
      <c r="Y4182" s="48"/>
      <c r="Z4182" s="48"/>
      <c r="AA4182" s="48"/>
      <c r="AB4182" s="48"/>
      <c r="AC4182" s="48"/>
      <c r="AD4182" s="48"/>
      <c r="AE4182" s="48"/>
      <c r="AF4182" s="48"/>
      <c r="AG4182" s="48"/>
      <c r="AH4182" s="48"/>
      <c r="AI4182" s="48"/>
      <c r="AJ4182" s="48"/>
      <c r="AK4182" s="48"/>
      <c r="AL4182" s="48"/>
      <c r="AM4182" s="48"/>
      <c r="AN4182" s="48"/>
      <c r="AO4182" s="48"/>
      <c r="AP4182" s="48"/>
      <c r="AQ4182" s="48"/>
      <c r="AR4182" s="48"/>
      <c r="AS4182" s="48"/>
      <c r="AT4182" s="48"/>
      <c r="AU4182" s="48"/>
      <c r="AV4182" s="48"/>
      <c r="AW4182" s="48"/>
      <c r="AX4182" s="48"/>
      <c r="AY4182" s="48"/>
      <c r="AZ4182" s="48"/>
      <c r="BA4182" s="48"/>
      <c r="BB4182" s="48"/>
      <c r="BC4182" s="48"/>
      <c r="BD4182" s="48"/>
    </row>
    <row r="4183" spans="1:56">
      <c r="A4183" s="48"/>
      <c r="B4183" s="48"/>
      <c r="C4183" s="49"/>
      <c r="D4183" s="48"/>
      <c r="E4183" s="48"/>
      <c r="F4183" s="48"/>
      <c r="G4183" s="48"/>
      <c r="H4183" s="48"/>
      <c r="I4183" s="48"/>
      <c r="J4183" s="86"/>
      <c r="K4183" s="86"/>
      <c r="L4183" s="86"/>
      <c r="M4183" s="86"/>
      <c r="N4183" s="86"/>
      <c r="O4183" s="86"/>
      <c r="P4183" s="86"/>
      <c r="Q4183" s="86"/>
      <c r="R4183" s="86"/>
      <c r="S4183" s="86"/>
      <c r="T4183" s="86"/>
      <c r="U4183" s="86"/>
      <c r="V4183" s="48"/>
      <c r="W4183" s="48"/>
      <c r="X4183" s="48"/>
      <c r="Y4183" s="48"/>
      <c r="Z4183" s="48"/>
      <c r="AA4183" s="48"/>
      <c r="AB4183" s="48"/>
      <c r="AC4183" s="48"/>
      <c r="AD4183" s="48"/>
      <c r="AE4183" s="48"/>
      <c r="AF4183" s="48"/>
      <c r="AG4183" s="48"/>
      <c r="AH4183" s="48"/>
      <c r="AI4183" s="48"/>
      <c r="AJ4183" s="48"/>
      <c r="AK4183" s="48"/>
      <c r="AL4183" s="48"/>
      <c r="AM4183" s="48"/>
      <c r="AN4183" s="48"/>
      <c r="AO4183" s="48"/>
      <c r="AP4183" s="48"/>
      <c r="AQ4183" s="48"/>
      <c r="AR4183" s="48"/>
      <c r="AS4183" s="48"/>
      <c r="AT4183" s="48"/>
      <c r="AU4183" s="48"/>
      <c r="AV4183" s="48"/>
      <c r="AW4183" s="48"/>
      <c r="AX4183" s="48"/>
      <c r="AY4183" s="48"/>
      <c r="AZ4183" s="48"/>
      <c r="BA4183" s="48"/>
      <c r="BB4183" s="48"/>
      <c r="BC4183" s="48"/>
      <c r="BD4183" s="48"/>
    </row>
    <row r="4184" spans="1:56">
      <c r="A4184" s="48"/>
      <c r="B4184" s="48"/>
      <c r="C4184" s="49"/>
      <c r="D4184" s="48"/>
      <c r="E4184" s="48"/>
      <c r="F4184" s="48"/>
      <c r="G4184" s="48"/>
      <c r="H4184" s="48"/>
      <c r="I4184" s="48"/>
      <c r="J4184" s="86"/>
      <c r="K4184" s="86"/>
      <c r="L4184" s="86"/>
      <c r="M4184" s="86"/>
      <c r="N4184" s="86"/>
      <c r="O4184" s="86"/>
      <c r="P4184" s="86"/>
      <c r="Q4184" s="86"/>
      <c r="R4184" s="86"/>
      <c r="S4184" s="86"/>
      <c r="T4184" s="86"/>
      <c r="U4184" s="86"/>
      <c r="V4184" s="48"/>
      <c r="W4184" s="48"/>
      <c r="X4184" s="48"/>
      <c r="Y4184" s="48"/>
      <c r="Z4184" s="48"/>
      <c r="AA4184" s="48"/>
      <c r="AB4184" s="48"/>
      <c r="AC4184" s="48"/>
      <c r="AD4184" s="48"/>
      <c r="AE4184" s="48"/>
      <c r="AF4184" s="48"/>
      <c r="AG4184" s="48"/>
      <c r="AH4184" s="48"/>
      <c r="AI4184" s="48"/>
      <c r="AJ4184" s="48"/>
      <c r="AK4184" s="48"/>
      <c r="AL4184" s="48"/>
      <c r="AM4184" s="48"/>
      <c r="AN4184" s="48"/>
      <c r="AO4184" s="48"/>
      <c r="AP4184" s="48"/>
      <c r="AQ4184" s="48"/>
      <c r="AR4184" s="48"/>
      <c r="AS4184" s="48"/>
      <c r="AT4184" s="48"/>
      <c r="AU4184" s="48"/>
      <c r="AV4184" s="48"/>
      <c r="AW4184" s="48"/>
      <c r="AX4184" s="48"/>
      <c r="AY4184" s="48"/>
      <c r="AZ4184" s="48"/>
      <c r="BA4184" s="48"/>
      <c r="BB4184" s="48"/>
      <c r="BC4184" s="48"/>
      <c r="BD4184" s="48"/>
    </row>
    <row r="4185" spans="1:56">
      <c r="A4185" s="48"/>
      <c r="B4185" s="48"/>
      <c r="C4185" s="49"/>
      <c r="D4185" s="48"/>
      <c r="E4185" s="48"/>
      <c r="F4185" s="48"/>
      <c r="G4185" s="48"/>
      <c r="H4185" s="48"/>
      <c r="I4185" s="48"/>
      <c r="J4185" s="86"/>
      <c r="K4185" s="86"/>
      <c r="L4185" s="86"/>
      <c r="M4185" s="86"/>
      <c r="N4185" s="86"/>
      <c r="O4185" s="86"/>
      <c r="P4185" s="86"/>
      <c r="Q4185" s="86"/>
      <c r="R4185" s="86"/>
      <c r="S4185" s="86"/>
      <c r="T4185" s="86"/>
      <c r="U4185" s="86"/>
      <c r="V4185" s="48"/>
      <c r="W4185" s="48"/>
      <c r="X4185" s="48"/>
      <c r="Y4185" s="48"/>
      <c r="Z4185" s="48"/>
      <c r="AA4185" s="48"/>
      <c r="AB4185" s="48"/>
      <c r="AC4185" s="48"/>
      <c r="AD4185" s="48"/>
      <c r="AE4185" s="48"/>
      <c r="AF4185" s="48"/>
      <c r="AG4185" s="48"/>
      <c r="AH4185" s="48"/>
      <c r="AI4185" s="48"/>
      <c r="AJ4185" s="48"/>
      <c r="AK4185" s="48"/>
      <c r="AL4185" s="48"/>
      <c r="AM4185" s="48"/>
      <c r="AN4185" s="48"/>
      <c r="AO4185" s="48"/>
      <c r="AP4185" s="48"/>
      <c r="AQ4185" s="48"/>
      <c r="AR4185" s="48"/>
      <c r="AS4185" s="48"/>
      <c r="AT4185" s="48"/>
      <c r="AU4185" s="48"/>
      <c r="AV4185" s="48"/>
      <c r="AW4185" s="48"/>
      <c r="AX4185" s="48"/>
      <c r="AY4185" s="48"/>
      <c r="AZ4185" s="48"/>
      <c r="BA4185" s="48"/>
      <c r="BB4185" s="48"/>
      <c r="BC4185" s="48"/>
      <c r="BD4185" s="48"/>
    </row>
    <row r="4186" spans="1:56">
      <c r="A4186" s="48"/>
      <c r="B4186" s="48"/>
      <c r="C4186" s="49"/>
      <c r="D4186" s="48"/>
      <c r="E4186" s="48"/>
      <c r="F4186" s="48"/>
      <c r="G4186" s="48"/>
      <c r="H4186" s="48"/>
      <c r="I4186" s="48"/>
      <c r="J4186" s="86"/>
      <c r="K4186" s="86"/>
      <c r="L4186" s="86"/>
      <c r="M4186" s="86"/>
      <c r="N4186" s="86"/>
      <c r="O4186" s="86"/>
      <c r="P4186" s="86"/>
      <c r="Q4186" s="86"/>
      <c r="R4186" s="86"/>
      <c r="S4186" s="86"/>
      <c r="T4186" s="86"/>
      <c r="U4186" s="86"/>
      <c r="V4186" s="48"/>
      <c r="W4186" s="48"/>
      <c r="X4186" s="48"/>
      <c r="Y4186" s="48"/>
      <c r="Z4186" s="48"/>
      <c r="AA4186" s="48"/>
      <c r="AB4186" s="48"/>
      <c r="AC4186" s="48"/>
      <c r="AD4186" s="48"/>
      <c r="AE4186" s="48"/>
      <c r="AF4186" s="48"/>
      <c r="AG4186" s="48"/>
      <c r="AH4186" s="48"/>
      <c r="AI4186" s="48"/>
      <c r="AJ4186" s="48"/>
      <c r="AK4186" s="48"/>
      <c r="AL4186" s="48"/>
      <c r="AM4186" s="48"/>
      <c r="AN4186" s="48"/>
      <c r="AO4186" s="48"/>
      <c r="AP4186" s="48"/>
      <c r="AQ4186" s="48"/>
      <c r="AR4186" s="48"/>
      <c r="AS4186" s="48"/>
      <c r="AT4186" s="48"/>
      <c r="AU4186" s="48"/>
      <c r="AV4186" s="48"/>
      <c r="AW4186" s="48"/>
      <c r="AX4186" s="48"/>
      <c r="AY4186" s="48"/>
      <c r="AZ4186" s="48"/>
      <c r="BA4186" s="48"/>
      <c r="BB4186" s="48"/>
      <c r="BC4186" s="48"/>
      <c r="BD4186" s="48"/>
    </row>
    <row r="4187" spans="1:56">
      <c r="A4187" s="48"/>
      <c r="B4187" s="48"/>
      <c r="C4187" s="49"/>
      <c r="D4187" s="48"/>
      <c r="E4187" s="48"/>
      <c r="F4187" s="48"/>
      <c r="G4187" s="48"/>
      <c r="H4187" s="48"/>
      <c r="I4187" s="48"/>
      <c r="J4187" s="86"/>
      <c r="K4187" s="86"/>
      <c r="L4187" s="86"/>
      <c r="M4187" s="86"/>
      <c r="N4187" s="86"/>
      <c r="O4187" s="86"/>
      <c r="P4187" s="86"/>
      <c r="Q4187" s="86"/>
      <c r="R4187" s="86"/>
      <c r="S4187" s="86"/>
      <c r="T4187" s="86"/>
      <c r="U4187" s="86"/>
      <c r="V4187" s="48"/>
      <c r="W4187" s="48"/>
      <c r="X4187" s="48"/>
      <c r="Y4187" s="48"/>
      <c r="Z4187" s="48"/>
      <c r="AA4187" s="48"/>
      <c r="AB4187" s="48"/>
      <c r="AC4187" s="48"/>
      <c r="AD4187" s="48"/>
      <c r="AE4187" s="48"/>
      <c r="AF4187" s="48"/>
      <c r="AG4187" s="48"/>
      <c r="AH4187" s="48"/>
      <c r="AI4187" s="48"/>
      <c r="AJ4187" s="48"/>
      <c r="AK4187" s="48"/>
      <c r="AL4187" s="48"/>
      <c r="AM4187" s="48"/>
      <c r="AN4187" s="48"/>
      <c r="AO4187" s="48"/>
      <c r="AP4187" s="48"/>
      <c r="AQ4187" s="48"/>
      <c r="AR4187" s="48"/>
      <c r="AS4187" s="48"/>
      <c r="AT4187" s="48"/>
      <c r="AU4187" s="48"/>
      <c r="AV4187" s="48"/>
      <c r="AW4187" s="48"/>
      <c r="AX4187" s="48"/>
      <c r="AY4187" s="48"/>
      <c r="AZ4187" s="48"/>
      <c r="BA4187" s="48"/>
      <c r="BB4187" s="48"/>
      <c r="BC4187" s="48"/>
      <c r="BD4187" s="48"/>
    </row>
    <row r="4188" spans="1:56">
      <c r="A4188" s="48"/>
      <c r="B4188" s="48"/>
      <c r="C4188" s="49"/>
      <c r="D4188" s="48"/>
      <c r="E4188" s="48"/>
      <c r="F4188" s="48"/>
      <c r="G4188" s="48"/>
      <c r="H4188" s="48"/>
      <c r="I4188" s="48"/>
      <c r="J4188" s="86"/>
      <c r="K4188" s="86"/>
      <c r="L4188" s="86"/>
      <c r="M4188" s="86"/>
      <c r="N4188" s="86"/>
      <c r="O4188" s="86"/>
      <c r="P4188" s="86"/>
      <c r="Q4188" s="86"/>
      <c r="R4188" s="86"/>
      <c r="S4188" s="86"/>
      <c r="T4188" s="86"/>
      <c r="U4188" s="86"/>
      <c r="V4188" s="48"/>
      <c r="W4188" s="48"/>
      <c r="X4188" s="48"/>
      <c r="Y4188" s="48"/>
      <c r="Z4188" s="48"/>
      <c r="AA4188" s="48"/>
      <c r="AB4188" s="48"/>
      <c r="AC4188" s="48"/>
      <c r="AD4188" s="48"/>
      <c r="AE4188" s="48"/>
      <c r="AF4188" s="48"/>
      <c r="AG4188" s="48"/>
      <c r="AH4188" s="48"/>
      <c r="AI4188" s="48"/>
      <c r="AJ4188" s="48"/>
      <c r="AK4188" s="48"/>
      <c r="AL4188" s="48"/>
      <c r="AM4188" s="48"/>
      <c r="AN4188" s="48"/>
      <c r="AO4188" s="48"/>
      <c r="AP4188" s="48"/>
      <c r="AQ4188" s="48"/>
      <c r="AR4188" s="48"/>
      <c r="AS4188" s="48"/>
      <c r="AT4188" s="48"/>
      <c r="AU4188" s="48"/>
      <c r="AV4188" s="48"/>
      <c r="AW4188" s="48"/>
      <c r="AX4188" s="48"/>
      <c r="AY4188" s="48"/>
      <c r="AZ4188" s="48"/>
      <c r="BA4188" s="48"/>
      <c r="BB4188" s="48"/>
      <c r="BC4188" s="48"/>
      <c r="BD4188" s="48"/>
    </row>
    <row r="4189" spans="1:56">
      <c r="A4189" s="48"/>
      <c r="B4189" s="48"/>
      <c r="C4189" s="49"/>
      <c r="D4189" s="48"/>
      <c r="E4189" s="48"/>
      <c r="F4189" s="48"/>
      <c r="G4189" s="48"/>
      <c r="H4189" s="48"/>
      <c r="I4189" s="48"/>
      <c r="J4189" s="86"/>
      <c r="K4189" s="86"/>
      <c r="L4189" s="86"/>
      <c r="M4189" s="86"/>
      <c r="N4189" s="86"/>
      <c r="O4189" s="86"/>
      <c r="P4189" s="86"/>
      <c r="Q4189" s="86"/>
      <c r="R4189" s="86"/>
      <c r="S4189" s="86"/>
      <c r="T4189" s="86"/>
      <c r="U4189" s="86"/>
      <c r="V4189" s="48"/>
      <c r="W4189" s="48"/>
      <c r="X4189" s="48"/>
      <c r="Y4189" s="48"/>
      <c r="Z4189" s="48"/>
      <c r="AA4189" s="48"/>
      <c r="AB4189" s="48"/>
      <c r="AC4189" s="48"/>
      <c r="AD4189" s="48"/>
      <c r="AE4189" s="48"/>
      <c r="AF4189" s="48"/>
      <c r="AG4189" s="48"/>
      <c r="AH4189" s="48"/>
      <c r="AI4189" s="48"/>
      <c r="AJ4189" s="48"/>
      <c r="AK4189" s="48"/>
      <c r="AL4189" s="48"/>
      <c r="AM4189" s="48"/>
      <c r="AN4189" s="48"/>
      <c r="AO4189" s="48"/>
      <c r="AP4189" s="48"/>
      <c r="AQ4189" s="48"/>
      <c r="AR4189" s="48"/>
      <c r="AS4189" s="48"/>
      <c r="AT4189" s="48"/>
      <c r="AU4189" s="48"/>
      <c r="AV4189" s="48"/>
      <c r="AW4189" s="48"/>
      <c r="AX4189" s="48"/>
      <c r="AY4189" s="48"/>
      <c r="AZ4189" s="48"/>
      <c r="BA4189" s="48"/>
      <c r="BB4189" s="48"/>
      <c r="BC4189" s="48"/>
      <c r="BD4189" s="48"/>
    </row>
    <row r="4190" spans="1:56">
      <c r="A4190" s="48"/>
      <c r="B4190" s="48"/>
      <c r="C4190" s="49"/>
      <c r="D4190" s="48"/>
      <c r="E4190" s="48"/>
      <c r="F4190" s="48"/>
      <c r="G4190" s="48"/>
      <c r="H4190" s="48"/>
      <c r="I4190" s="48"/>
      <c r="J4190" s="86"/>
      <c r="K4190" s="86"/>
      <c r="L4190" s="86"/>
      <c r="M4190" s="86"/>
      <c r="N4190" s="86"/>
      <c r="O4190" s="86"/>
      <c r="P4190" s="86"/>
      <c r="Q4190" s="86"/>
      <c r="R4190" s="86"/>
      <c r="S4190" s="86"/>
      <c r="T4190" s="86"/>
      <c r="U4190" s="86"/>
      <c r="V4190" s="48"/>
      <c r="W4190" s="48"/>
      <c r="X4190" s="48"/>
      <c r="Y4190" s="48"/>
      <c r="Z4190" s="48"/>
      <c r="AA4190" s="48"/>
      <c r="AB4190" s="48"/>
      <c r="AC4190" s="48"/>
      <c r="AD4190" s="48"/>
      <c r="AE4190" s="48"/>
      <c r="AF4190" s="48"/>
      <c r="AG4190" s="48"/>
      <c r="AH4190" s="48"/>
      <c r="AI4190" s="48"/>
      <c r="AJ4190" s="48"/>
      <c r="AK4190" s="48"/>
      <c r="AL4190" s="48"/>
      <c r="AM4190" s="48"/>
      <c r="AN4190" s="48"/>
      <c r="AO4190" s="48"/>
      <c r="AP4190" s="48"/>
      <c r="AQ4190" s="48"/>
      <c r="AR4190" s="48"/>
      <c r="AS4190" s="48"/>
      <c r="AT4190" s="48"/>
      <c r="AU4190" s="48"/>
      <c r="AV4190" s="48"/>
      <c r="AW4190" s="48"/>
      <c r="AX4190" s="48"/>
      <c r="AY4190" s="48"/>
      <c r="AZ4190" s="48"/>
      <c r="BA4190" s="48"/>
      <c r="BB4190" s="48"/>
      <c r="BC4190" s="48"/>
      <c r="BD4190" s="48"/>
    </row>
    <row r="4191" spans="1:56">
      <c r="A4191" s="48"/>
      <c r="B4191" s="48"/>
      <c r="C4191" s="49"/>
      <c r="D4191" s="48"/>
      <c r="E4191" s="48"/>
      <c r="F4191" s="48"/>
      <c r="G4191" s="48"/>
      <c r="H4191" s="48"/>
      <c r="I4191" s="48"/>
      <c r="J4191" s="86"/>
      <c r="K4191" s="86"/>
      <c r="L4191" s="86"/>
      <c r="M4191" s="86"/>
      <c r="N4191" s="86"/>
      <c r="O4191" s="86"/>
      <c r="P4191" s="86"/>
      <c r="Q4191" s="86"/>
      <c r="R4191" s="86"/>
      <c r="S4191" s="86"/>
      <c r="T4191" s="86"/>
      <c r="U4191" s="86"/>
      <c r="V4191" s="48"/>
      <c r="W4191" s="48"/>
      <c r="X4191" s="48"/>
      <c r="Y4191" s="48"/>
      <c r="Z4191" s="48"/>
      <c r="AA4191" s="48"/>
      <c r="AB4191" s="48"/>
      <c r="AC4191" s="48"/>
      <c r="AD4191" s="48"/>
      <c r="AE4191" s="48"/>
      <c r="AF4191" s="48"/>
      <c r="AG4191" s="48"/>
      <c r="AH4191" s="48"/>
      <c r="AI4191" s="48"/>
      <c r="AJ4191" s="48"/>
      <c r="AK4191" s="48"/>
      <c r="AL4191" s="48"/>
      <c r="AM4191" s="48"/>
      <c r="AN4191" s="48"/>
      <c r="AO4191" s="48"/>
      <c r="AP4191" s="48"/>
      <c r="AQ4191" s="48"/>
      <c r="AR4191" s="48"/>
      <c r="AS4191" s="48"/>
      <c r="AT4191" s="48"/>
      <c r="AU4191" s="48"/>
      <c r="AV4191" s="48"/>
      <c r="AW4191" s="48"/>
      <c r="AX4191" s="48"/>
      <c r="AY4191" s="48"/>
      <c r="AZ4191" s="48"/>
      <c r="BA4191" s="48"/>
      <c r="BB4191" s="48"/>
      <c r="BC4191" s="48"/>
      <c r="BD4191" s="48"/>
    </row>
    <row r="4192" spans="1:56">
      <c r="A4192" s="48"/>
      <c r="B4192" s="48"/>
      <c r="C4192" s="49"/>
      <c r="D4192" s="48"/>
      <c r="E4192" s="48"/>
      <c r="F4192" s="48"/>
      <c r="G4192" s="48"/>
      <c r="H4192" s="48"/>
      <c r="I4192" s="48"/>
      <c r="J4192" s="86"/>
      <c r="K4192" s="86"/>
      <c r="L4192" s="86"/>
      <c r="M4192" s="86"/>
      <c r="N4192" s="86"/>
      <c r="O4192" s="86"/>
      <c r="P4192" s="86"/>
      <c r="Q4192" s="86"/>
      <c r="R4192" s="86"/>
      <c r="S4192" s="86"/>
      <c r="T4192" s="86"/>
      <c r="U4192" s="86"/>
      <c r="V4192" s="48"/>
      <c r="W4192" s="48"/>
      <c r="X4192" s="48"/>
      <c r="Y4192" s="48"/>
      <c r="Z4192" s="48"/>
      <c r="AA4192" s="48"/>
      <c r="AB4192" s="48"/>
      <c r="AC4192" s="48"/>
      <c r="AD4192" s="48"/>
      <c r="AE4192" s="48"/>
      <c r="AF4192" s="48"/>
      <c r="AG4192" s="48"/>
      <c r="AH4192" s="48"/>
      <c r="AI4192" s="48"/>
      <c r="AJ4192" s="48"/>
      <c r="AK4192" s="48"/>
      <c r="AL4192" s="48"/>
      <c r="AM4192" s="48"/>
      <c r="AN4192" s="48"/>
      <c r="AO4192" s="48"/>
      <c r="AP4192" s="48"/>
      <c r="AQ4192" s="48"/>
      <c r="AR4192" s="48"/>
      <c r="AS4192" s="48"/>
      <c r="AT4192" s="48"/>
      <c r="AU4192" s="48"/>
      <c r="AV4192" s="48"/>
      <c r="AW4192" s="48"/>
      <c r="AX4192" s="48"/>
      <c r="AY4192" s="48"/>
      <c r="AZ4192" s="48"/>
      <c r="BA4192" s="48"/>
      <c r="BB4192" s="48"/>
      <c r="BC4192" s="48"/>
      <c r="BD4192" s="48"/>
    </row>
    <row r="4193" spans="1:56">
      <c r="A4193" s="48"/>
      <c r="B4193" s="48"/>
      <c r="C4193" s="49"/>
      <c r="D4193" s="48"/>
      <c r="E4193" s="48"/>
      <c r="F4193" s="48"/>
      <c r="G4193" s="48"/>
      <c r="H4193" s="48"/>
      <c r="I4193" s="48"/>
      <c r="J4193" s="86"/>
      <c r="K4193" s="86"/>
      <c r="L4193" s="86"/>
      <c r="M4193" s="86"/>
      <c r="N4193" s="86"/>
      <c r="O4193" s="86"/>
      <c r="P4193" s="86"/>
      <c r="Q4193" s="86"/>
      <c r="R4193" s="86"/>
      <c r="S4193" s="86"/>
      <c r="T4193" s="86"/>
      <c r="U4193" s="86"/>
      <c r="V4193" s="48"/>
      <c r="W4193" s="48"/>
      <c r="X4193" s="48"/>
      <c r="Y4193" s="48"/>
      <c r="Z4193" s="48"/>
      <c r="AA4193" s="48"/>
      <c r="AB4193" s="48"/>
      <c r="AC4193" s="48"/>
      <c r="AD4193" s="48"/>
      <c r="AE4193" s="48"/>
      <c r="AF4193" s="48"/>
      <c r="AG4193" s="48"/>
      <c r="AH4193" s="48"/>
      <c r="AI4193" s="48"/>
      <c r="AJ4193" s="48"/>
      <c r="AK4193" s="48"/>
      <c r="AL4193" s="48"/>
      <c r="AM4193" s="48"/>
      <c r="AN4193" s="48"/>
      <c r="AO4193" s="48"/>
      <c r="AP4193" s="48"/>
      <c r="AQ4193" s="48"/>
      <c r="AR4193" s="48"/>
      <c r="AS4193" s="48"/>
      <c r="AT4193" s="48"/>
      <c r="AU4193" s="48"/>
      <c r="AV4193" s="48"/>
      <c r="AW4193" s="48"/>
      <c r="AX4193" s="48"/>
      <c r="AY4193" s="48"/>
      <c r="AZ4193" s="48"/>
      <c r="BA4193" s="48"/>
      <c r="BB4193" s="48"/>
      <c r="BC4193" s="48"/>
      <c r="BD4193" s="48"/>
    </row>
    <row r="4194" spans="1:56">
      <c r="A4194" s="48"/>
      <c r="B4194" s="48"/>
      <c r="C4194" s="49"/>
      <c r="D4194" s="48"/>
      <c r="E4194" s="48"/>
      <c r="F4194" s="48"/>
      <c r="G4194" s="48"/>
      <c r="H4194" s="48"/>
      <c r="I4194" s="48"/>
      <c r="J4194" s="86"/>
      <c r="K4194" s="86"/>
      <c r="L4194" s="86"/>
      <c r="M4194" s="86"/>
      <c r="N4194" s="86"/>
      <c r="O4194" s="86"/>
      <c r="P4194" s="86"/>
      <c r="Q4194" s="86"/>
      <c r="R4194" s="86"/>
      <c r="S4194" s="86"/>
      <c r="T4194" s="86"/>
      <c r="U4194" s="86"/>
      <c r="V4194" s="48"/>
      <c r="W4194" s="48"/>
      <c r="X4194" s="48"/>
      <c r="Y4194" s="48"/>
      <c r="Z4194" s="48"/>
      <c r="AA4194" s="48"/>
      <c r="AB4194" s="48"/>
      <c r="AC4194" s="48"/>
      <c r="AD4194" s="48"/>
      <c r="AE4194" s="48"/>
      <c r="AF4194" s="48"/>
      <c r="AG4194" s="48"/>
      <c r="AH4194" s="48"/>
      <c r="AI4194" s="48"/>
      <c r="AJ4194" s="48"/>
      <c r="AK4194" s="48"/>
      <c r="AL4194" s="48"/>
      <c r="AM4194" s="48"/>
      <c r="AN4194" s="48"/>
      <c r="AO4194" s="48"/>
      <c r="AP4194" s="48"/>
      <c r="AQ4194" s="48"/>
      <c r="AR4194" s="48"/>
      <c r="AS4194" s="48"/>
      <c r="AT4194" s="48"/>
      <c r="AU4194" s="48"/>
      <c r="AV4194" s="48"/>
      <c r="AW4194" s="48"/>
      <c r="AX4194" s="48"/>
      <c r="AY4194" s="48"/>
      <c r="AZ4194" s="48"/>
      <c r="BA4194" s="48"/>
      <c r="BB4194" s="48"/>
      <c r="BC4194" s="48"/>
      <c r="BD4194" s="48"/>
    </row>
    <row r="4195" spans="1:56">
      <c r="A4195" s="48"/>
      <c r="B4195" s="48"/>
      <c r="C4195" s="49"/>
      <c r="D4195" s="48"/>
      <c r="E4195" s="48"/>
      <c r="F4195" s="48"/>
      <c r="G4195" s="48"/>
      <c r="H4195" s="48"/>
      <c r="I4195" s="48"/>
      <c r="J4195" s="86"/>
      <c r="K4195" s="86"/>
      <c r="L4195" s="86"/>
      <c r="M4195" s="86"/>
      <c r="N4195" s="86"/>
      <c r="O4195" s="86"/>
      <c r="P4195" s="86"/>
      <c r="Q4195" s="86"/>
      <c r="R4195" s="86"/>
      <c r="S4195" s="86"/>
      <c r="T4195" s="86"/>
      <c r="U4195" s="86"/>
      <c r="V4195" s="48"/>
      <c r="W4195" s="48"/>
      <c r="X4195" s="48"/>
      <c r="Y4195" s="48"/>
      <c r="Z4195" s="48"/>
      <c r="AA4195" s="48"/>
      <c r="AB4195" s="48"/>
      <c r="AC4195" s="48"/>
      <c r="AD4195" s="48"/>
      <c r="AE4195" s="48"/>
      <c r="AF4195" s="48"/>
      <c r="AG4195" s="48"/>
      <c r="AH4195" s="48"/>
      <c r="AI4195" s="48"/>
      <c r="AJ4195" s="48"/>
      <c r="AK4195" s="48"/>
      <c r="AL4195" s="48"/>
      <c r="AM4195" s="48"/>
      <c r="AN4195" s="48"/>
      <c r="AO4195" s="48"/>
      <c r="AP4195" s="48"/>
      <c r="AQ4195" s="48"/>
      <c r="AR4195" s="48"/>
      <c r="AS4195" s="48"/>
      <c r="AT4195" s="48"/>
      <c r="AU4195" s="48"/>
      <c r="AV4195" s="48"/>
      <c r="AW4195" s="48"/>
      <c r="AX4195" s="48"/>
      <c r="AY4195" s="48"/>
      <c r="AZ4195" s="48"/>
      <c r="BA4195" s="48"/>
      <c r="BB4195" s="48"/>
      <c r="BC4195" s="48"/>
      <c r="BD4195" s="48"/>
    </row>
    <row r="4196" spans="1:56">
      <c r="A4196" s="48"/>
      <c r="B4196" s="48"/>
      <c r="C4196" s="49"/>
      <c r="D4196" s="48"/>
      <c r="E4196" s="48"/>
      <c r="F4196" s="48"/>
      <c r="G4196" s="48"/>
      <c r="H4196" s="48"/>
      <c r="I4196" s="48"/>
      <c r="J4196" s="86"/>
      <c r="K4196" s="86"/>
      <c r="L4196" s="86"/>
      <c r="M4196" s="86"/>
      <c r="N4196" s="86"/>
      <c r="O4196" s="86"/>
      <c r="P4196" s="86"/>
      <c r="Q4196" s="86"/>
      <c r="R4196" s="86"/>
      <c r="S4196" s="86"/>
      <c r="T4196" s="86"/>
      <c r="U4196" s="86"/>
      <c r="V4196" s="48"/>
      <c r="W4196" s="48"/>
      <c r="X4196" s="48"/>
      <c r="Y4196" s="48"/>
      <c r="Z4196" s="48"/>
      <c r="AA4196" s="48"/>
      <c r="AB4196" s="48"/>
      <c r="AC4196" s="48"/>
      <c r="AD4196" s="48"/>
      <c r="AE4196" s="48"/>
      <c r="AF4196" s="48"/>
      <c r="AG4196" s="48"/>
      <c r="AH4196" s="48"/>
      <c r="AI4196" s="48"/>
      <c r="AJ4196" s="48"/>
      <c r="AK4196" s="48"/>
      <c r="AL4196" s="48"/>
      <c r="AM4196" s="48"/>
      <c r="AN4196" s="48"/>
      <c r="AO4196" s="48"/>
      <c r="AP4196" s="48"/>
      <c r="AQ4196" s="48"/>
      <c r="AR4196" s="48"/>
      <c r="AS4196" s="48"/>
      <c r="AT4196" s="48"/>
      <c r="AU4196" s="48"/>
      <c r="AV4196" s="48"/>
      <c r="AW4196" s="48"/>
      <c r="AX4196" s="48"/>
      <c r="AY4196" s="48"/>
      <c r="AZ4196" s="48"/>
      <c r="BA4196" s="48"/>
      <c r="BB4196" s="48"/>
      <c r="BC4196" s="48"/>
      <c r="BD4196" s="48"/>
    </row>
    <row r="4197" spans="1:56">
      <c r="A4197" s="48"/>
      <c r="B4197" s="48"/>
      <c r="C4197" s="49"/>
      <c r="D4197" s="48"/>
      <c r="E4197" s="48"/>
      <c r="F4197" s="48"/>
      <c r="G4197" s="48"/>
      <c r="H4197" s="48"/>
      <c r="I4197" s="48"/>
      <c r="J4197" s="86"/>
      <c r="K4197" s="86"/>
      <c r="L4197" s="86"/>
      <c r="M4197" s="86"/>
      <c r="N4197" s="86"/>
      <c r="O4197" s="86"/>
      <c r="P4197" s="86"/>
      <c r="Q4197" s="86"/>
      <c r="R4197" s="86"/>
      <c r="S4197" s="86"/>
      <c r="T4197" s="86"/>
      <c r="U4197" s="86"/>
      <c r="V4197" s="48"/>
      <c r="W4197" s="48"/>
      <c r="X4197" s="48"/>
      <c r="Y4197" s="48"/>
      <c r="Z4197" s="48"/>
      <c r="AA4197" s="48"/>
      <c r="AB4197" s="48"/>
      <c r="AC4197" s="48"/>
      <c r="AD4197" s="48"/>
      <c r="AE4197" s="48"/>
      <c r="AF4197" s="48"/>
      <c r="AG4197" s="48"/>
      <c r="AH4197" s="48"/>
      <c r="AI4197" s="48"/>
      <c r="AJ4197" s="48"/>
      <c r="AK4197" s="48"/>
      <c r="AL4197" s="48"/>
      <c r="AM4197" s="48"/>
      <c r="AN4197" s="48"/>
      <c r="AO4197" s="48"/>
      <c r="AP4197" s="48"/>
      <c r="AQ4197" s="48"/>
      <c r="AR4197" s="48"/>
      <c r="AS4197" s="48"/>
      <c r="AT4197" s="48"/>
      <c r="AU4197" s="48"/>
      <c r="AV4197" s="48"/>
      <c r="AW4197" s="48"/>
      <c r="AX4197" s="48"/>
      <c r="AY4197" s="48"/>
      <c r="AZ4197" s="48"/>
      <c r="BA4197" s="48"/>
      <c r="BB4197" s="48"/>
      <c r="BC4197" s="48"/>
      <c r="BD4197" s="48"/>
    </row>
    <row r="4198" spans="1:56">
      <c r="A4198" s="48"/>
      <c r="B4198" s="48"/>
      <c r="C4198" s="49"/>
      <c r="D4198" s="48"/>
      <c r="E4198" s="48"/>
      <c r="F4198" s="48"/>
      <c r="G4198" s="48"/>
      <c r="H4198" s="48"/>
      <c r="I4198" s="48"/>
      <c r="J4198" s="86"/>
      <c r="K4198" s="86"/>
      <c r="L4198" s="86"/>
      <c r="M4198" s="86"/>
      <c r="N4198" s="86"/>
      <c r="O4198" s="86"/>
      <c r="P4198" s="86"/>
      <c r="Q4198" s="86"/>
      <c r="R4198" s="86"/>
      <c r="S4198" s="86"/>
      <c r="T4198" s="86"/>
      <c r="U4198" s="86"/>
      <c r="V4198" s="48"/>
      <c r="W4198" s="48"/>
      <c r="X4198" s="48"/>
      <c r="Y4198" s="48"/>
      <c r="Z4198" s="48"/>
      <c r="AA4198" s="48"/>
      <c r="AB4198" s="48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48"/>
      <c r="AP4198" s="48"/>
      <c r="AQ4198" s="48"/>
      <c r="AR4198" s="48"/>
      <c r="AS4198" s="48"/>
      <c r="AT4198" s="48"/>
      <c r="AU4198" s="48"/>
      <c r="AV4198" s="48"/>
      <c r="AW4198" s="48"/>
      <c r="AX4198" s="48"/>
      <c r="AY4198" s="48"/>
      <c r="AZ4198" s="48"/>
      <c r="BA4198" s="48"/>
      <c r="BB4198" s="48"/>
      <c r="BC4198" s="48"/>
      <c r="BD4198" s="48"/>
    </row>
    <row r="4199" spans="1:56">
      <c r="A4199" s="48"/>
      <c r="B4199" s="48"/>
      <c r="C4199" s="49"/>
      <c r="D4199" s="48"/>
      <c r="E4199" s="48"/>
      <c r="F4199" s="48"/>
      <c r="G4199" s="48"/>
      <c r="H4199" s="48"/>
      <c r="I4199" s="48"/>
      <c r="J4199" s="86"/>
      <c r="K4199" s="86"/>
      <c r="L4199" s="86"/>
      <c r="M4199" s="86"/>
      <c r="N4199" s="86"/>
      <c r="O4199" s="86"/>
      <c r="P4199" s="86"/>
      <c r="Q4199" s="86"/>
      <c r="R4199" s="86"/>
      <c r="S4199" s="86"/>
      <c r="T4199" s="86"/>
      <c r="U4199" s="86"/>
      <c r="V4199" s="48"/>
      <c r="W4199" s="48"/>
      <c r="X4199" s="48"/>
      <c r="Y4199" s="48"/>
      <c r="Z4199" s="48"/>
      <c r="AA4199" s="48"/>
      <c r="AB4199" s="48"/>
      <c r="AC4199" s="48"/>
      <c r="AD4199" s="48"/>
      <c r="AE4199" s="48"/>
      <c r="AF4199" s="48"/>
      <c r="AG4199" s="48"/>
      <c r="AH4199" s="48"/>
      <c r="AI4199" s="48"/>
      <c r="AJ4199" s="48"/>
      <c r="AK4199" s="48"/>
      <c r="AL4199" s="48"/>
      <c r="AM4199" s="48"/>
      <c r="AN4199" s="48"/>
      <c r="AO4199" s="48"/>
      <c r="AP4199" s="48"/>
      <c r="AQ4199" s="48"/>
      <c r="AR4199" s="48"/>
      <c r="AS4199" s="48"/>
      <c r="AT4199" s="48"/>
      <c r="AU4199" s="48"/>
      <c r="AV4199" s="48"/>
      <c r="AW4199" s="48"/>
      <c r="AX4199" s="48"/>
      <c r="AY4199" s="48"/>
      <c r="AZ4199" s="48"/>
      <c r="BA4199" s="48"/>
      <c r="BB4199" s="48"/>
      <c r="BC4199" s="48"/>
      <c r="BD4199" s="48"/>
    </row>
    <row r="4200" spans="1:56">
      <c r="A4200" s="48"/>
      <c r="B4200" s="48"/>
      <c r="C4200" s="49"/>
      <c r="D4200" s="48"/>
      <c r="E4200" s="48"/>
      <c r="F4200" s="48"/>
      <c r="G4200" s="48"/>
      <c r="H4200" s="48"/>
      <c r="I4200" s="48"/>
      <c r="J4200" s="86"/>
      <c r="K4200" s="86"/>
      <c r="L4200" s="86"/>
      <c r="M4200" s="86"/>
      <c r="N4200" s="86"/>
      <c r="O4200" s="86"/>
      <c r="P4200" s="86"/>
      <c r="Q4200" s="86"/>
      <c r="R4200" s="86"/>
      <c r="S4200" s="86"/>
      <c r="T4200" s="86"/>
      <c r="U4200" s="86"/>
      <c r="V4200" s="48"/>
      <c r="W4200" s="48"/>
      <c r="X4200" s="48"/>
      <c r="Y4200" s="48"/>
      <c r="Z4200" s="48"/>
      <c r="AA4200" s="48"/>
      <c r="AB4200" s="48"/>
      <c r="AC4200" s="48"/>
      <c r="AD4200" s="48"/>
      <c r="AE4200" s="48"/>
      <c r="AF4200" s="48"/>
      <c r="AG4200" s="48"/>
      <c r="AH4200" s="48"/>
      <c r="AI4200" s="48"/>
      <c r="AJ4200" s="48"/>
      <c r="AK4200" s="48"/>
      <c r="AL4200" s="48"/>
      <c r="AM4200" s="48"/>
      <c r="AN4200" s="48"/>
      <c r="AO4200" s="48"/>
      <c r="AP4200" s="48"/>
      <c r="AQ4200" s="48"/>
      <c r="AR4200" s="48"/>
      <c r="AS4200" s="48"/>
      <c r="AT4200" s="48"/>
      <c r="AU4200" s="48"/>
      <c r="AV4200" s="48"/>
      <c r="AW4200" s="48"/>
      <c r="AX4200" s="48"/>
      <c r="AY4200" s="48"/>
      <c r="AZ4200" s="48"/>
      <c r="BA4200" s="48"/>
      <c r="BB4200" s="48"/>
      <c r="BC4200" s="48"/>
      <c r="BD4200" s="48"/>
    </row>
    <row r="4201" spans="1:56">
      <c r="A4201" s="48"/>
      <c r="B4201" s="48"/>
      <c r="C4201" s="49"/>
      <c r="D4201" s="48"/>
      <c r="E4201" s="48"/>
      <c r="F4201" s="48"/>
      <c r="G4201" s="48"/>
      <c r="H4201" s="48"/>
      <c r="I4201" s="48"/>
      <c r="J4201" s="86"/>
      <c r="K4201" s="86"/>
      <c r="L4201" s="86"/>
      <c r="M4201" s="86"/>
      <c r="N4201" s="86"/>
      <c r="O4201" s="86"/>
      <c r="P4201" s="86"/>
      <c r="Q4201" s="86"/>
      <c r="R4201" s="86"/>
      <c r="S4201" s="86"/>
      <c r="T4201" s="86"/>
      <c r="U4201" s="86"/>
      <c r="V4201" s="48"/>
      <c r="W4201" s="48"/>
      <c r="X4201" s="48"/>
      <c r="Y4201" s="48"/>
      <c r="Z4201" s="48"/>
      <c r="AA4201" s="48"/>
      <c r="AB4201" s="48"/>
      <c r="AC4201" s="48"/>
      <c r="AD4201" s="48"/>
      <c r="AE4201" s="48"/>
      <c r="AF4201" s="48"/>
      <c r="AG4201" s="48"/>
      <c r="AH4201" s="48"/>
      <c r="AI4201" s="48"/>
      <c r="AJ4201" s="48"/>
      <c r="AK4201" s="48"/>
      <c r="AL4201" s="48"/>
      <c r="AM4201" s="48"/>
      <c r="AN4201" s="48"/>
      <c r="AO4201" s="48"/>
      <c r="AP4201" s="48"/>
      <c r="AQ4201" s="48"/>
      <c r="AR4201" s="48"/>
      <c r="AS4201" s="48"/>
      <c r="AT4201" s="48"/>
      <c r="AU4201" s="48"/>
      <c r="AV4201" s="48"/>
      <c r="AW4201" s="48"/>
      <c r="AX4201" s="48"/>
      <c r="AY4201" s="48"/>
      <c r="AZ4201" s="48"/>
      <c r="BA4201" s="48"/>
      <c r="BB4201" s="48"/>
      <c r="BC4201" s="48"/>
      <c r="BD4201" s="48"/>
    </row>
    <row r="4202" spans="1:56">
      <c r="A4202" s="48"/>
      <c r="B4202" s="48"/>
      <c r="C4202" s="49"/>
      <c r="D4202" s="48"/>
      <c r="E4202" s="48"/>
      <c r="F4202" s="48"/>
      <c r="G4202" s="48"/>
      <c r="H4202" s="48"/>
      <c r="I4202" s="48"/>
      <c r="J4202" s="86"/>
      <c r="K4202" s="86"/>
      <c r="L4202" s="86"/>
      <c r="M4202" s="86"/>
      <c r="N4202" s="86"/>
      <c r="O4202" s="86"/>
      <c r="P4202" s="86"/>
      <c r="Q4202" s="86"/>
      <c r="R4202" s="86"/>
      <c r="S4202" s="86"/>
      <c r="T4202" s="86"/>
      <c r="U4202" s="86"/>
      <c r="V4202" s="48"/>
      <c r="W4202" s="48"/>
      <c r="X4202" s="48"/>
      <c r="Y4202" s="48"/>
      <c r="Z4202" s="48"/>
      <c r="AA4202" s="48"/>
      <c r="AB4202" s="48"/>
      <c r="AC4202" s="48"/>
      <c r="AD4202" s="48"/>
      <c r="AE4202" s="48"/>
      <c r="AF4202" s="48"/>
      <c r="AG4202" s="48"/>
      <c r="AH4202" s="48"/>
      <c r="AI4202" s="48"/>
      <c r="AJ4202" s="48"/>
      <c r="AK4202" s="48"/>
      <c r="AL4202" s="48"/>
      <c r="AM4202" s="48"/>
      <c r="AN4202" s="48"/>
      <c r="AO4202" s="48"/>
      <c r="AP4202" s="48"/>
      <c r="AQ4202" s="48"/>
      <c r="AR4202" s="48"/>
      <c r="AS4202" s="48"/>
      <c r="AT4202" s="48"/>
      <c r="AU4202" s="48"/>
      <c r="AV4202" s="48"/>
      <c r="AW4202" s="48"/>
      <c r="AX4202" s="48"/>
      <c r="AY4202" s="48"/>
      <c r="AZ4202" s="48"/>
      <c r="BA4202" s="48"/>
      <c r="BB4202" s="48"/>
      <c r="BC4202" s="48"/>
      <c r="BD4202" s="48"/>
    </row>
    <row r="4203" spans="1:56">
      <c r="A4203" s="48"/>
      <c r="B4203" s="48"/>
      <c r="C4203" s="49"/>
      <c r="D4203" s="48"/>
      <c r="E4203" s="48"/>
      <c r="F4203" s="48"/>
      <c r="G4203" s="48"/>
      <c r="H4203" s="48"/>
      <c r="I4203" s="48"/>
      <c r="J4203" s="86"/>
      <c r="K4203" s="86"/>
      <c r="L4203" s="86"/>
      <c r="M4203" s="86"/>
      <c r="N4203" s="86"/>
      <c r="O4203" s="86"/>
      <c r="P4203" s="86"/>
      <c r="Q4203" s="86"/>
      <c r="R4203" s="86"/>
      <c r="S4203" s="86"/>
      <c r="T4203" s="86"/>
      <c r="U4203" s="86"/>
      <c r="V4203" s="48"/>
      <c r="W4203" s="48"/>
      <c r="X4203" s="48"/>
      <c r="Y4203" s="48"/>
      <c r="Z4203" s="48"/>
      <c r="AA4203" s="48"/>
      <c r="AB4203" s="48"/>
      <c r="AC4203" s="48"/>
      <c r="AD4203" s="48"/>
      <c r="AE4203" s="48"/>
      <c r="AF4203" s="48"/>
      <c r="AG4203" s="48"/>
      <c r="AH4203" s="48"/>
      <c r="AI4203" s="48"/>
      <c r="AJ4203" s="48"/>
      <c r="AK4203" s="48"/>
      <c r="AL4203" s="48"/>
      <c r="AM4203" s="48"/>
      <c r="AN4203" s="48"/>
      <c r="AO4203" s="48"/>
      <c r="AP4203" s="48"/>
      <c r="AQ4203" s="48"/>
      <c r="AR4203" s="48"/>
      <c r="AS4203" s="48"/>
      <c r="AT4203" s="48"/>
      <c r="AU4203" s="48"/>
      <c r="AV4203" s="48"/>
      <c r="AW4203" s="48"/>
      <c r="AX4203" s="48"/>
      <c r="AY4203" s="48"/>
      <c r="AZ4203" s="48"/>
      <c r="BA4203" s="48"/>
      <c r="BB4203" s="48"/>
      <c r="BC4203" s="48"/>
      <c r="BD4203" s="48"/>
    </row>
    <row r="4204" spans="1:56">
      <c r="A4204" s="48"/>
      <c r="B4204" s="48"/>
      <c r="C4204" s="49"/>
      <c r="D4204" s="48"/>
      <c r="E4204" s="48"/>
      <c r="F4204" s="48"/>
      <c r="G4204" s="48"/>
      <c r="H4204" s="48"/>
      <c r="I4204" s="48"/>
      <c r="J4204" s="86"/>
      <c r="K4204" s="86"/>
      <c r="L4204" s="86"/>
      <c r="M4204" s="86"/>
      <c r="N4204" s="86"/>
      <c r="O4204" s="86"/>
      <c r="P4204" s="86"/>
      <c r="Q4204" s="86"/>
      <c r="R4204" s="86"/>
      <c r="S4204" s="86"/>
      <c r="T4204" s="86"/>
      <c r="U4204" s="86"/>
      <c r="V4204" s="48"/>
      <c r="W4204" s="48"/>
      <c r="X4204" s="48"/>
      <c r="Y4204" s="48"/>
      <c r="Z4204" s="48"/>
      <c r="AA4204" s="48"/>
      <c r="AB4204" s="48"/>
      <c r="AC4204" s="48"/>
      <c r="AD4204" s="48"/>
      <c r="AE4204" s="48"/>
      <c r="AF4204" s="48"/>
      <c r="AG4204" s="48"/>
      <c r="AH4204" s="48"/>
      <c r="AI4204" s="48"/>
      <c r="AJ4204" s="48"/>
      <c r="AK4204" s="48"/>
      <c r="AL4204" s="48"/>
      <c r="AM4204" s="48"/>
      <c r="AN4204" s="48"/>
      <c r="AO4204" s="48"/>
      <c r="AP4204" s="48"/>
      <c r="AQ4204" s="48"/>
      <c r="AR4204" s="48"/>
      <c r="AS4204" s="48"/>
      <c r="AT4204" s="48"/>
      <c r="AU4204" s="48"/>
      <c r="AV4204" s="48"/>
      <c r="AW4204" s="48"/>
      <c r="AX4204" s="48"/>
      <c r="AY4204" s="48"/>
      <c r="AZ4204" s="48"/>
      <c r="BA4204" s="48"/>
      <c r="BB4204" s="48"/>
      <c r="BC4204" s="48"/>
      <c r="BD4204" s="48"/>
    </row>
    <row r="4205" spans="1:56">
      <c r="A4205" s="48"/>
      <c r="B4205" s="48"/>
      <c r="C4205" s="49"/>
      <c r="D4205" s="48"/>
      <c r="E4205" s="48"/>
      <c r="F4205" s="48"/>
      <c r="G4205" s="48"/>
      <c r="H4205" s="48"/>
      <c r="I4205" s="48"/>
      <c r="J4205" s="86"/>
      <c r="K4205" s="86"/>
      <c r="L4205" s="86"/>
      <c r="M4205" s="86"/>
      <c r="N4205" s="86"/>
      <c r="O4205" s="86"/>
      <c r="P4205" s="86"/>
      <c r="Q4205" s="86"/>
      <c r="R4205" s="86"/>
      <c r="S4205" s="86"/>
      <c r="T4205" s="86"/>
      <c r="U4205" s="86"/>
      <c r="V4205" s="48"/>
      <c r="W4205" s="48"/>
      <c r="X4205" s="48"/>
      <c r="Y4205" s="48"/>
      <c r="Z4205" s="48"/>
      <c r="AA4205" s="48"/>
      <c r="AB4205" s="48"/>
      <c r="AC4205" s="48"/>
      <c r="AD4205" s="48"/>
      <c r="AE4205" s="48"/>
      <c r="AF4205" s="48"/>
      <c r="AG4205" s="48"/>
      <c r="AH4205" s="48"/>
      <c r="AI4205" s="48"/>
      <c r="AJ4205" s="48"/>
      <c r="AK4205" s="48"/>
      <c r="AL4205" s="48"/>
      <c r="AM4205" s="48"/>
      <c r="AN4205" s="48"/>
      <c r="AO4205" s="48"/>
      <c r="AP4205" s="48"/>
      <c r="AQ4205" s="48"/>
      <c r="AR4205" s="48"/>
      <c r="AS4205" s="48"/>
      <c r="AT4205" s="48"/>
      <c r="AU4205" s="48"/>
      <c r="AV4205" s="48"/>
      <c r="AW4205" s="48"/>
      <c r="AX4205" s="48"/>
      <c r="AY4205" s="48"/>
      <c r="AZ4205" s="48"/>
      <c r="BA4205" s="48"/>
      <c r="BB4205" s="48"/>
      <c r="BC4205" s="48"/>
      <c r="BD4205" s="48"/>
    </row>
    <row r="4206" spans="1:56">
      <c r="A4206" s="48"/>
      <c r="B4206" s="48"/>
      <c r="C4206" s="49"/>
      <c r="D4206" s="48"/>
      <c r="E4206" s="48"/>
      <c r="F4206" s="48"/>
      <c r="G4206" s="48"/>
      <c r="H4206" s="48"/>
      <c r="I4206" s="48"/>
      <c r="J4206" s="86"/>
      <c r="K4206" s="86"/>
      <c r="L4206" s="86"/>
      <c r="M4206" s="86"/>
      <c r="N4206" s="86"/>
      <c r="O4206" s="86"/>
      <c r="P4206" s="86"/>
      <c r="Q4206" s="86"/>
      <c r="R4206" s="86"/>
      <c r="S4206" s="86"/>
      <c r="T4206" s="86"/>
      <c r="U4206" s="86"/>
      <c r="V4206" s="48"/>
      <c r="W4206" s="48"/>
      <c r="X4206" s="48"/>
      <c r="Y4206" s="48"/>
      <c r="Z4206" s="48"/>
      <c r="AA4206" s="48"/>
      <c r="AB4206" s="48"/>
      <c r="AC4206" s="48"/>
      <c r="AD4206" s="48"/>
      <c r="AE4206" s="48"/>
      <c r="AF4206" s="48"/>
      <c r="AG4206" s="48"/>
      <c r="AH4206" s="48"/>
      <c r="AI4206" s="48"/>
      <c r="AJ4206" s="48"/>
      <c r="AK4206" s="48"/>
      <c r="AL4206" s="48"/>
      <c r="AM4206" s="48"/>
      <c r="AN4206" s="48"/>
      <c r="AO4206" s="48"/>
      <c r="AP4206" s="48"/>
      <c r="AQ4206" s="48"/>
      <c r="AR4206" s="48"/>
      <c r="AS4206" s="48"/>
      <c r="AT4206" s="48"/>
      <c r="AU4206" s="48"/>
      <c r="AV4206" s="48"/>
      <c r="AW4206" s="48"/>
      <c r="AX4206" s="48"/>
      <c r="AY4206" s="48"/>
      <c r="AZ4206" s="48"/>
      <c r="BA4206" s="48"/>
      <c r="BB4206" s="48"/>
      <c r="BC4206" s="48"/>
      <c r="BD4206" s="48"/>
    </row>
    <row r="4207" spans="1:56">
      <c r="A4207" s="48"/>
      <c r="B4207" s="48"/>
      <c r="C4207" s="49"/>
      <c r="D4207" s="48"/>
      <c r="E4207" s="48"/>
      <c r="F4207" s="48"/>
      <c r="G4207" s="48"/>
      <c r="H4207" s="48"/>
      <c r="I4207" s="48"/>
      <c r="J4207" s="86"/>
      <c r="K4207" s="86"/>
      <c r="L4207" s="86"/>
      <c r="M4207" s="86"/>
      <c r="N4207" s="86"/>
      <c r="O4207" s="86"/>
      <c r="P4207" s="86"/>
      <c r="Q4207" s="86"/>
      <c r="R4207" s="86"/>
      <c r="S4207" s="86"/>
      <c r="T4207" s="86"/>
      <c r="U4207" s="86"/>
      <c r="V4207" s="48"/>
      <c r="W4207" s="48"/>
      <c r="X4207" s="48"/>
      <c r="Y4207" s="48"/>
      <c r="Z4207" s="48"/>
      <c r="AA4207" s="48"/>
      <c r="AB4207" s="48"/>
      <c r="AC4207" s="48"/>
      <c r="AD4207" s="48"/>
      <c r="AE4207" s="48"/>
      <c r="AF4207" s="48"/>
      <c r="AG4207" s="48"/>
      <c r="AH4207" s="48"/>
      <c r="AI4207" s="48"/>
      <c r="AJ4207" s="48"/>
      <c r="AK4207" s="48"/>
      <c r="AL4207" s="48"/>
      <c r="AM4207" s="48"/>
      <c r="AN4207" s="48"/>
      <c r="AO4207" s="48"/>
      <c r="AP4207" s="48"/>
      <c r="AQ4207" s="48"/>
      <c r="AR4207" s="48"/>
      <c r="AS4207" s="48"/>
      <c r="AT4207" s="48"/>
      <c r="AU4207" s="48"/>
      <c r="AV4207" s="48"/>
      <c r="AW4207" s="48"/>
      <c r="AX4207" s="48"/>
      <c r="AY4207" s="48"/>
      <c r="AZ4207" s="48"/>
      <c r="BA4207" s="48"/>
      <c r="BB4207" s="48"/>
      <c r="BC4207" s="48"/>
      <c r="BD4207" s="48"/>
    </row>
    <row r="4208" spans="1:56">
      <c r="A4208" s="48"/>
      <c r="B4208" s="48"/>
      <c r="C4208" s="49"/>
      <c r="D4208" s="48"/>
      <c r="E4208" s="48"/>
      <c r="F4208" s="48"/>
      <c r="G4208" s="48"/>
      <c r="H4208" s="48"/>
      <c r="I4208" s="48"/>
      <c r="J4208" s="86"/>
      <c r="K4208" s="86"/>
      <c r="L4208" s="86"/>
      <c r="M4208" s="86"/>
      <c r="N4208" s="86"/>
      <c r="O4208" s="86"/>
      <c r="P4208" s="86"/>
      <c r="Q4208" s="86"/>
      <c r="R4208" s="86"/>
      <c r="S4208" s="86"/>
      <c r="T4208" s="86"/>
      <c r="U4208" s="86"/>
      <c r="V4208" s="48"/>
      <c r="W4208" s="48"/>
      <c r="X4208" s="48"/>
      <c r="Y4208" s="48"/>
      <c r="Z4208" s="48"/>
      <c r="AA4208" s="48"/>
      <c r="AB4208" s="48"/>
      <c r="AC4208" s="48"/>
      <c r="AD4208" s="48"/>
      <c r="AE4208" s="48"/>
      <c r="AF4208" s="48"/>
      <c r="AG4208" s="48"/>
      <c r="AH4208" s="48"/>
      <c r="AI4208" s="48"/>
      <c r="AJ4208" s="48"/>
      <c r="AK4208" s="48"/>
      <c r="AL4208" s="48"/>
      <c r="AM4208" s="48"/>
      <c r="AN4208" s="48"/>
      <c r="AO4208" s="48"/>
      <c r="AP4208" s="48"/>
      <c r="AQ4208" s="48"/>
      <c r="AR4208" s="48"/>
      <c r="AS4208" s="48"/>
      <c r="AT4208" s="48"/>
      <c r="AU4208" s="48"/>
      <c r="AV4208" s="48"/>
      <c r="AW4208" s="48"/>
      <c r="AX4208" s="48"/>
      <c r="AY4208" s="48"/>
      <c r="AZ4208" s="48"/>
      <c r="BA4208" s="48"/>
      <c r="BB4208" s="48"/>
      <c r="BC4208" s="48"/>
      <c r="BD4208" s="48"/>
    </row>
    <row r="4209" spans="1:56">
      <c r="A4209" s="48"/>
      <c r="B4209" s="48"/>
      <c r="C4209" s="49"/>
      <c r="D4209" s="48"/>
      <c r="E4209" s="48"/>
      <c r="F4209" s="48"/>
      <c r="G4209" s="48"/>
      <c r="H4209" s="48"/>
      <c r="I4209" s="48"/>
      <c r="J4209" s="86"/>
      <c r="K4209" s="86"/>
      <c r="L4209" s="86"/>
      <c r="M4209" s="86"/>
      <c r="N4209" s="86"/>
      <c r="O4209" s="86"/>
      <c r="P4209" s="86"/>
      <c r="Q4209" s="86"/>
      <c r="R4209" s="86"/>
      <c r="S4209" s="86"/>
      <c r="T4209" s="86"/>
      <c r="U4209" s="86"/>
      <c r="V4209" s="48"/>
      <c r="W4209" s="48"/>
      <c r="X4209" s="48"/>
      <c r="Y4209" s="48"/>
      <c r="Z4209" s="48"/>
      <c r="AA4209" s="48"/>
      <c r="AB4209" s="48"/>
      <c r="AC4209" s="48"/>
      <c r="AD4209" s="48"/>
      <c r="AE4209" s="48"/>
      <c r="AF4209" s="48"/>
      <c r="AG4209" s="48"/>
      <c r="AH4209" s="48"/>
      <c r="AI4209" s="48"/>
      <c r="AJ4209" s="48"/>
      <c r="AK4209" s="48"/>
      <c r="AL4209" s="48"/>
      <c r="AM4209" s="48"/>
      <c r="AN4209" s="48"/>
      <c r="AO4209" s="48"/>
      <c r="AP4209" s="48"/>
      <c r="AQ4209" s="48"/>
      <c r="AR4209" s="48"/>
      <c r="AS4209" s="48"/>
      <c r="AT4209" s="48"/>
      <c r="AU4209" s="48"/>
      <c r="AV4209" s="48"/>
      <c r="AW4209" s="48"/>
      <c r="AX4209" s="48"/>
      <c r="AY4209" s="48"/>
      <c r="AZ4209" s="48"/>
      <c r="BA4209" s="48"/>
      <c r="BB4209" s="48"/>
      <c r="BC4209" s="48"/>
      <c r="BD4209" s="48"/>
    </row>
    <row r="4210" spans="1:56">
      <c r="A4210" s="48"/>
      <c r="B4210" s="48"/>
      <c r="C4210" s="49"/>
      <c r="D4210" s="48"/>
      <c r="E4210" s="48"/>
      <c r="F4210" s="48"/>
      <c r="G4210" s="48"/>
      <c r="H4210" s="48"/>
      <c r="I4210" s="48"/>
      <c r="J4210" s="86"/>
      <c r="K4210" s="86"/>
      <c r="L4210" s="86"/>
      <c r="M4210" s="86"/>
      <c r="N4210" s="86"/>
      <c r="O4210" s="86"/>
      <c r="P4210" s="86"/>
      <c r="Q4210" s="86"/>
      <c r="R4210" s="86"/>
      <c r="S4210" s="86"/>
      <c r="T4210" s="86"/>
      <c r="U4210" s="86"/>
      <c r="V4210" s="48"/>
      <c r="W4210" s="48"/>
      <c r="X4210" s="48"/>
      <c r="Y4210" s="48"/>
      <c r="Z4210" s="48"/>
      <c r="AA4210" s="48"/>
      <c r="AB4210" s="48"/>
      <c r="AC4210" s="48"/>
      <c r="AD4210" s="48"/>
      <c r="AE4210" s="48"/>
      <c r="AF4210" s="48"/>
      <c r="AG4210" s="48"/>
      <c r="AH4210" s="48"/>
      <c r="AI4210" s="48"/>
      <c r="AJ4210" s="48"/>
      <c r="AK4210" s="48"/>
      <c r="AL4210" s="48"/>
      <c r="AM4210" s="48"/>
      <c r="AN4210" s="48"/>
      <c r="AO4210" s="48"/>
      <c r="AP4210" s="48"/>
      <c r="AQ4210" s="48"/>
      <c r="AR4210" s="48"/>
      <c r="AS4210" s="48"/>
      <c r="AT4210" s="48"/>
      <c r="AU4210" s="48"/>
      <c r="AV4210" s="48"/>
      <c r="AW4210" s="48"/>
      <c r="AX4210" s="48"/>
      <c r="AY4210" s="48"/>
      <c r="AZ4210" s="48"/>
      <c r="BA4210" s="48"/>
      <c r="BB4210" s="48"/>
      <c r="BC4210" s="48"/>
      <c r="BD4210" s="48"/>
    </row>
    <row r="4211" spans="1:56">
      <c r="A4211" s="48"/>
      <c r="B4211" s="48"/>
      <c r="C4211" s="49"/>
      <c r="D4211" s="48"/>
      <c r="E4211" s="48"/>
      <c r="F4211" s="48"/>
      <c r="G4211" s="48"/>
      <c r="H4211" s="48"/>
      <c r="I4211" s="48"/>
      <c r="J4211" s="86"/>
      <c r="K4211" s="86"/>
      <c r="L4211" s="86"/>
      <c r="M4211" s="86"/>
      <c r="N4211" s="86"/>
      <c r="O4211" s="86"/>
      <c r="P4211" s="86"/>
      <c r="Q4211" s="86"/>
      <c r="R4211" s="86"/>
      <c r="S4211" s="86"/>
      <c r="T4211" s="86"/>
      <c r="U4211" s="86"/>
      <c r="V4211" s="48"/>
      <c r="W4211" s="48"/>
      <c r="X4211" s="48"/>
      <c r="Y4211" s="48"/>
      <c r="Z4211" s="48"/>
      <c r="AA4211" s="48"/>
      <c r="AB4211" s="48"/>
      <c r="AC4211" s="48"/>
      <c r="AD4211" s="48"/>
      <c r="AE4211" s="48"/>
      <c r="AF4211" s="48"/>
      <c r="AG4211" s="48"/>
      <c r="AH4211" s="48"/>
      <c r="AI4211" s="48"/>
      <c r="AJ4211" s="48"/>
      <c r="AK4211" s="48"/>
      <c r="AL4211" s="48"/>
      <c r="AM4211" s="48"/>
      <c r="AN4211" s="48"/>
      <c r="AO4211" s="48"/>
      <c r="AP4211" s="48"/>
      <c r="AQ4211" s="48"/>
      <c r="AR4211" s="48"/>
      <c r="AS4211" s="48"/>
      <c r="AT4211" s="48"/>
      <c r="AU4211" s="48"/>
      <c r="AV4211" s="48"/>
      <c r="AW4211" s="48"/>
      <c r="AX4211" s="48"/>
      <c r="AY4211" s="48"/>
      <c r="AZ4211" s="48"/>
      <c r="BA4211" s="48"/>
      <c r="BB4211" s="48"/>
      <c r="BC4211" s="48"/>
      <c r="BD4211" s="48"/>
    </row>
    <row r="4212" spans="1:56">
      <c r="A4212" s="48"/>
      <c r="B4212" s="48"/>
      <c r="C4212" s="49"/>
      <c r="D4212" s="48"/>
      <c r="E4212" s="48"/>
      <c r="F4212" s="48"/>
      <c r="G4212" s="48"/>
      <c r="H4212" s="48"/>
      <c r="I4212" s="48"/>
      <c r="J4212" s="86"/>
      <c r="K4212" s="86"/>
      <c r="L4212" s="86"/>
      <c r="M4212" s="86"/>
      <c r="N4212" s="86"/>
      <c r="O4212" s="86"/>
      <c r="P4212" s="86"/>
      <c r="Q4212" s="86"/>
      <c r="R4212" s="86"/>
      <c r="S4212" s="86"/>
      <c r="T4212" s="86"/>
      <c r="U4212" s="86"/>
      <c r="V4212" s="48"/>
      <c r="W4212" s="48"/>
      <c r="X4212" s="48"/>
      <c r="Y4212" s="48"/>
      <c r="Z4212" s="48"/>
      <c r="AA4212" s="48"/>
      <c r="AB4212" s="48"/>
      <c r="AC4212" s="48"/>
      <c r="AD4212" s="48"/>
      <c r="AE4212" s="48"/>
      <c r="AF4212" s="48"/>
      <c r="AG4212" s="48"/>
      <c r="AH4212" s="48"/>
      <c r="AI4212" s="48"/>
      <c r="AJ4212" s="48"/>
      <c r="AK4212" s="48"/>
      <c r="AL4212" s="48"/>
      <c r="AM4212" s="48"/>
      <c r="AN4212" s="48"/>
      <c r="AO4212" s="48"/>
      <c r="AP4212" s="48"/>
      <c r="AQ4212" s="48"/>
      <c r="AR4212" s="48"/>
      <c r="AS4212" s="48"/>
      <c r="AT4212" s="48"/>
      <c r="AU4212" s="48"/>
      <c r="AV4212" s="48"/>
      <c r="AW4212" s="48"/>
      <c r="AX4212" s="48"/>
      <c r="AY4212" s="48"/>
      <c r="AZ4212" s="48"/>
      <c r="BA4212" s="48"/>
      <c r="BB4212" s="48"/>
      <c r="BC4212" s="48"/>
      <c r="BD4212" s="48"/>
    </row>
    <row r="4213" spans="1:56">
      <c r="A4213" s="48"/>
      <c r="B4213" s="48"/>
      <c r="C4213" s="49"/>
      <c r="D4213" s="48"/>
      <c r="E4213" s="48"/>
      <c r="F4213" s="48"/>
      <c r="G4213" s="48"/>
      <c r="H4213" s="48"/>
      <c r="I4213" s="48"/>
      <c r="J4213" s="86"/>
      <c r="K4213" s="86"/>
      <c r="L4213" s="86"/>
      <c r="M4213" s="86"/>
      <c r="N4213" s="86"/>
      <c r="O4213" s="86"/>
      <c r="P4213" s="86"/>
      <c r="Q4213" s="86"/>
      <c r="R4213" s="86"/>
      <c r="S4213" s="86"/>
      <c r="T4213" s="86"/>
      <c r="U4213" s="86"/>
      <c r="V4213" s="48"/>
      <c r="W4213" s="48"/>
      <c r="X4213" s="48"/>
      <c r="Y4213" s="48"/>
      <c r="Z4213" s="48"/>
      <c r="AA4213" s="48"/>
      <c r="AB4213" s="48"/>
      <c r="AC4213" s="48"/>
      <c r="AD4213" s="48"/>
      <c r="AE4213" s="48"/>
      <c r="AF4213" s="48"/>
      <c r="AG4213" s="48"/>
      <c r="AH4213" s="48"/>
      <c r="AI4213" s="48"/>
      <c r="AJ4213" s="48"/>
      <c r="AK4213" s="48"/>
      <c r="AL4213" s="48"/>
      <c r="AM4213" s="48"/>
      <c r="AN4213" s="48"/>
      <c r="AO4213" s="48"/>
      <c r="AP4213" s="48"/>
      <c r="AQ4213" s="48"/>
      <c r="AR4213" s="48"/>
      <c r="AS4213" s="48"/>
      <c r="AT4213" s="48"/>
      <c r="AU4213" s="48"/>
      <c r="AV4213" s="48"/>
      <c r="AW4213" s="48"/>
      <c r="AX4213" s="48"/>
      <c r="AY4213" s="48"/>
      <c r="AZ4213" s="48"/>
      <c r="BA4213" s="48"/>
      <c r="BB4213" s="48"/>
      <c r="BC4213" s="48"/>
      <c r="BD4213" s="48"/>
    </row>
    <row r="4214" spans="1:56">
      <c r="A4214" s="48"/>
      <c r="B4214" s="48"/>
      <c r="C4214" s="49"/>
      <c r="D4214" s="48"/>
      <c r="E4214" s="48"/>
      <c r="F4214" s="48"/>
      <c r="G4214" s="48"/>
      <c r="H4214" s="48"/>
      <c r="I4214" s="48"/>
      <c r="J4214" s="86"/>
      <c r="K4214" s="86"/>
      <c r="L4214" s="86"/>
      <c r="M4214" s="86"/>
      <c r="N4214" s="86"/>
      <c r="O4214" s="86"/>
      <c r="P4214" s="86"/>
      <c r="Q4214" s="86"/>
      <c r="R4214" s="86"/>
      <c r="S4214" s="86"/>
      <c r="T4214" s="86"/>
      <c r="U4214" s="86"/>
      <c r="V4214" s="48"/>
      <c r="W4214" s="48"/>
      <c r="X4214" s="48"/>
      <c r="Y4214" s="48"/>
      <c r="Z4214" s="48"/>
      <c r="AA4214" s="48"/>
      <c r="AB4214" s="48"/>
      <c r="AC4214" s="48"/>
      <c r="AD4214" s="48"/>
      <c r="AE4214" s="48"/>
      <c r="AF4214" s="48"/>
      <c r="AG4214" s="48"/>
      <c r="AH4214" s="48"/>
      <c r="AI4214" s="48"/>
      <c r="AJ4214" s="48"/>
      <c r="AK4214" s="48"/>
      <c r="AL4214" s="48"/>
      <c r="AM4214" s="48"/>
      <c r="AN4214" s="48"/>
      <c r="AO4214" s="48"/>
      <c r="AP4214" s="48"/>
      <c r="AQ4214" s="48"/>
      <c r="AR4214" s="48"/>
      <c r="AS4214" s="48"/>
      <c r="AT4214" s="48"/>
      <c r="AU4214" s="48"/>
      <c r="AV4214" s="48"/>
      <c r="AW4214" s="48"/>
      <c r="AX4214" s="48"/>
      <c r="AY4214" s="48"/>
      <c r="AZ4214" s="48"/>
      <c r="BA4214" s="48"/>
      <c r="BB4214" s="48"/>
      <c r="BC4214" s="48"/>
      <c r="BD4214" s="48"/>
    </row>
    <row r="4215" spans="1:56">
      <c r="A4215" s="48"/>
      <c r="B4215" s="48"/>
      <c r="C4215" s="49"/>
      <c r="D4215" s="48"/>
      <c r="E4215" s="48"/>
      <c r="F4215" s="48"/>
      <c r="G4215" s="48"/>
      <c r="H4215" s="48"/>
      <c r="I4215" s="48"/>
      <c r="J4215" s="86"/>
      <c r="K4215" s="86"/>
      <c r="L4215" s="86"/>
      <c r="M4215" s="86"/>
      <c r="N4215" s="86"/>
      <c r="O4215" s="86"/>
      <c r="P4215" s="86"/>
      <c r="Q4215" s="86"/>
      <c r="R4215" s="86"/>
      <c r="S4215" s="86"/>
      <c r="T4215" s="86"/>
      <c r="U4215" s="86"/>
      <c r="V4215" s="48"/>
      <c r="W4215" s="48"/>
      <c r="X4215" s="48"/>
      <c r="Y4215" s="48"/>
      <c r="Z4215" s="48"/>
      <c r="AA4215" s="48"/>
      <c r="AB4215" s="48"/>
      <c r="AC4215" s="48"/>
      <c r="AD4215" s="48"/>
      <c r="AE4215" s="48"/>
      <c r="AF4215" s="48"/>
      <c r="AG4215" s="48"/>
      <c r="AH4215" s="48"/>
      <c r="AI4215" s="48"/>
      <c r="AJ4215" s="48"/>
      <c r="AK4215" s="48"/>
      <c r="AL4215" s="48"/>
      <c r="AM4215" s="48"/>
      <c r="AN4215" s="48"/>
      <c r="AO4215" s="48"/>
      <c r="AP4215" s="48"/>
      <c r="AQ4215" s="48"/>
      <c r="AR4215" s="48"/>
      <c r="AS4215" s="48"/>
      <c r="AT4215" s="48"/>
      <c r="AU4215" s="48"/>
      <c r="AV4215" s="48"/>
      <c r="AW4215" s="48"/>
      <c r="AX4215" s="48"/>
      <c r="AY4215" s="48"/>
      <c r="AZ4215" s="48"/>
      <c r="BA4215" s="48"/>
      <c r="BB4215" s="48"/>
      <c r="BC4215" s="48"/>
      <c r="BD4215" s="48"/>
    </row>
    <row r="4216" spans="1:56">
      <c r="A4216" s="48"/>
      <c r="B4216" s="48"/>
      <c r="C4216" s="49"/>
      <c r="D4216" s="48"/>
      <c r="E4216" s="48"/>
      <c r="F4216" s="48"/>
      <c r="G4216" s="48"/>
      <c r="H4216" s="48"/>
      <c r="I4216" s="48"/>
      <c r="J4216" s="86"/>
      <c r="K4216" s="86"/>
      <c r="L4216" s="86"/>
      <c r="M4216" s="86"/>
      <c r="N4216" s="86"/>
      <c r="O4216" s="86"/>
      <c r="P4216" s="86"/>
      <c r="Q4216" s="86"/>
      <c r="R4216" s="86"/>
      <c r="S4216" s="86"/>
      <c r="T4216" s="86"/>
      <c r="U4216" s="86"/>
      <c r="V4216" s="48"/>
      <c r="W4216" s="48"/>
      <c r="X4216" s="48"/>
      <c r="Y4216" s="48"/>
      <c r="Z4216" s="48"/>
      <c r="AA4216" s="48"/>
      <c r="AB4216" s="48"/>
      <c r="AC4216" s="48"/>
      <c r="AD4216" s="48"/>
      <c r="AE4216" s="48"/>
      <c r="AF4216" s="48"/>
      <c r="AG4216" s="48"/>
      <c r="AH4216" s="48"/>
      <c r="AI4216" s="48"/>
      <c r="AJ4216" s="48"/>
      <c r="AK4216" s="48"/>
      <c r="AL4216" s="48"/>
      <c r="AM4216" s="48"/>
      <c r="AN4216" s="48"/>
      <c r="AO4216" s="48"/>
      <c r="AP4216" s="48"/>
      <c r="AQ4216" s="48"/>
      <c r="AR4216" s="48"/>
      <c r="AS4216" s="48"/>
      <c r="AT4216" s="48"/>
      <c r="AU4216" s="48"/>
      <c r="AV4216" s="48"/>
      <c r="AW4216" s="48"/>
      <c r="AX4216" s="48"/>
      <c r="AY4216" s="48"/>
      <c r="AZ4216" s="48"/>
      <c r="BA4216" s="48"/>
      <c r="BB4216" s="48"/>
      <c r="BC4216" s="48"/>
      <c r="BD4216" s="48"/>
    </row>
    <row r="4217" spans="1:56">
      <c r="A4217" s="48"/>
      <c r="B4217" s="48"/>
      <c r="C4217" s="49"/>
      <c r="D4217" s="48"/>
      <c r="E4217" s="48"/>
      <c r="F4217" s="48"/>
      <c r="G4217" s="48"/>
      <c r="H4217" s="48"/>
      <c r="I4217" s="48"/>
      <c r="J4217" s="86"/>
      <c r="K4217" s="86"/>
      <c r="L4217" s="86"/>
      <c r="M4217" s="86"/>
      <c r="N4217" s="86"/>
      <c r="O4217" s="86"/>
      <c r="P4217" s="86"/>
      <c r="Q4217" s="86"/>
      <c r="R4217" s="86"/>
      <c r="S4217" s="86"/>
      <c r="T4217" s="86"/>
      <c r="U4217" s="86"/>
      <c r="V4217" s="48"/>
      <c r="W4217" s="48"/>
      <c r="X4217" s="48"/>
      <c r="Y4217" s="48"/>
      <c r="Z4217" s="48"/>
      <c r="AA4217" s="48"/>
      <c r="AB4217" s="48"/>
      <c r="AC4217" s="48"/>
      <c r="AD4217" s="48"/>
      <c r="AE4217" s="48"/>
      <c r="AF4217" s="48"/>
      <c r="AG4217" s="48"/>
      <c r="AH4217" s="48"/>
      <c r="AI4217" s="48"/>
      <c r="AJ4217" s="48"/>
      <c r="AK4217" s="48"/>
      <c r="AL4217" s="48"/>
      <c r="AM4217" s="48"/>
      <c r="AN4217" s="48"/>
      <c r="AO4217" s="48"/>
      <c r="AP4217" s="48"/>
      <c r="AQ4217" s="48"/>
      <c r="AR4217" s="48"/>
      <c r="AS4217" s="48"/>
      <c r="AT4217" s="48"/>
      <c r="AU4217" s="48"/>
      <c r="AV4217" s="48"/>
      <c r="AW4217" s="48"/>
      <c r="AX4217" s="48"/>
      <c r="AY4217" s="48"/>
      <c r="AZ4217" s="48"/>
      <c r="BA4217" s="48"/>
      <c r="BB4217" s="48"/>
      <c r="BC4217" s="48"/>
      <c r="BD4217" s="48"/>
    </row>
    <row r="4218" spans="1:56">
      <c r="A4218" s="48"/>
      <c r="B4218" s="48"/>
      <c r="C4218" s="49"/>
      <c r="D4218" s="48"/>
      <c r="E4218" s="48"/>
      <c r="F4218" s="48"/>
      <c r="G4218" s="48"/>
      <c r="H4218" s="48"/>
      <c r="I4218" s="48"/>
      <c r="J4218" s="86"/>
      <c r="K4218" s="86"/>
      <c r="L4218" s="86"/>
      <c r="M4218" s="86"/>
      <c r="N4218" s="86"/>
      <c r="O4218" s="86"/>
      <c r="P4218" s="86"/>
      <c r="Q4218" s="86"/>
      <c r="R4218" s="86"/>
      <c r="S4218" s="86"/>
      <c r="T4218" s="86"/>
      <c r="U4218" s="86"/>
      <c r="V4218" s="48"/>
      <c r="W4218" s="48"/>
      <c r="X4218" s="48"/>
      <c r="Y4218" s="48"/>
      <c r="Z4218" s="48"/>
      <c r="AA4218" s="48"/>
      <c r="AB4218" s="48"/>
      <c r="AC4218" s="48"/>
      <c r="AD4218" s="48"/>
      <c r="AE4218" s="48"/>
      <c r="AF4218" s="48"/>
      <c r="AG4218" s="48"/>
      <c r="AH4218" s="48"/>
      <c r="AI4218" s="48"/>
      <c r="AJ4218" s="48"/>
      <c r="AK4218" s="48"/>
      <c r="AL4218" s="48"/>
      <c r="AM4218" s="48"/>
      <c r="AN4218" s="48"/>
      <c r="AO4218" s="48"/>
      <c r="AP4218" s="48"/>
      <c r="AQ4218" s="48"/>
      <c r="AR4218" s="48"/>
      <c r="AS4218" s="48"/>
      <c r="AT4218" s="48"/>
      <c r="AU4218" s="48"/>
      <c r="AV4218" s="48"/>
      <c r="AW4218" s="48"/>
      <c r="AX4218" s="48"/>
      <c r="AY4218" s="48"/>
      <c r="AZ4218" s="48"/>
      <c r="BA4218" s="48"/>
      <c r="BB4218" s="48"/>
      <c r="BC4218" s="48"/>
      <c r="BD4218" s="48"/>
    </row>
    <row r="4219" spans="1:56">
      <c r="A4219" s="48"/>
      <c r="B4219" s="48"/>
      <c r="C4219" s="49"/>
      <c r="D4219" s="48"/>
      <c r="E4219" s="48"/>
      <c r="F4219" s="48"/>
      <c r="G4219" s="48"/>
      <c r="H4219" s="48"/>
      <c r="I4219" s="48"/>
      <c r="J4219" s="86"/>
      <c r="K4219" s="86"/>
      <c r="L4219" s="86"/>
      <c r="M4219" s="86"/>
      <c r="N4219" s="86"/>
      <c r="O4219" s="86"/>
      <c r="P4219" s="86"/>
      <c r="Q4219" s="86"/>
      <c r="R4219" s="86"/>
      <c r="S4219" s="86"/>
      <c r="T4219" s="86"/>
      <c r="U4219" s="86"/>
      <c r="V4219" s="48"/>
      <c r="W4219" s="48"/>
      <c r="X4219" s="48"/>
      <c r="Y4219" s="48"/>
      <c r="Z4219" s="48"/>
      <c r="AA4219" s="48"/>
      <c r="AB4219" s="48"/>
      <c r="AC4219" s="48"/>
      <c r="AD4219" s="48"/>
      <c r="AE4219" s="48"/>
      <c r="AF4219" s="48"/>
      <c r="AG4219" s="48"/>
      <c r="AH4219" s="48"/>
      <c r="AI4219" s="48"/>
      <c r="AJ4219" s="48"/>
      <c r="AK4219" s="48"/>
      <c r="AL4219" s="48"/>
      <c r="AM4219" s="48"/>
      <c r="AN4219" s="48"/>
      <c r="AO4219" s="48"/>
      <c r="AP4219" s="48"/>
      <c r="AQ4219" s="48"/>
      <c r="AR4219" s="48"/>
      <c r="AS4219" s="48"/>
      <c r="AT4219" s="48"/>
      <c r="AU4219" s="48"/>
      <c r="AV4219" s="48"/>
      <c r="AW4219" s="48"/>
      <c r="AX4219" s="48"/>
      <c r="AY4219" s="48"/>
      <c r="AZ4219" s="48"/>
      <c r="BA4219" s="48"/>
      <c r="BB4219" s="48"/>
      <c r="BC4219" s="48"/>
      <c r="BD4219" s="48"/>
    </row>
    <row r="4220" spans="1:56">
      <c r="A4220" s="48"/>
      <c r="B4220" s="48"/>
      <c r="C4220" s="49"/>
      <c r="D4220" s="48"/>
      <c r="E4220" s="48"/>
      <c r="F4220" s="48"/>
      <c r="G4220" s="48"/>
      <c r="H4220" s="48"/>
      <c r="I4220" s="48"/>
      <c r="J4220" s="86"/>
      <c r="K4220" s="86"/>
      <c r="L4220" s="86"/>
      <c r="M4220" s="86"/>
      <c r="N4220" s="86"/>
      <c r="O4220" s="86"/>
      <c r="P4220" s="86"/>
      <c r="Q4220" s="86"/>
      <c r="R4220" s="86"/>
      <c r="S4220" s="86"/>
      <c r="T4220" s="86"/>
      <c r="U4220" s="86"/>
      <c r="V4220" s="48"/>
      <c r="W4220" s="48"/>
      <c r="X4220" s="48"/>
      <c r="Y4220" s="48"/>
      <c r="Z4220" s="48"/>
      <c r="AA4220" s="48"/>
      <c r="AB4220" s="48"/>
      <c r="AC4220" s="48"/>
      <c r="AD4220" s="48"/>
      <c r="AE4220" s="48"/>
      <c r="AF4220" s="48"/>
      <c r="AG4220" s="48"/>
      <c r="AH4220" s="48"/>
      <c r="AI4220" s="48"/>
      <c r="AJ4220" s="48"/>
      <c r="AK4220" s="48"/>
      <c r="AL4220" s="48"/>
      <c r="AM4220" s="48"/>
      <c r="AN4220" s="48"/>
      <c r="AO4220" s="48"/>
      <c r="AP4220" s="48"/>
      <c r="AQ4220" s="48"/>
      <c r="AR4220" s="48"/>
      <c r="AS4220" s="48"/>
      <c r="AT4220" s="48"/>
      <c r="AU4220" s="48"/>
      <c r="AV4220" s="48"/>
      <c r="AW4220" s="48"/>
      <c r="AX4220" s="48"/>
      <c r="AY4220" s="48"/>
      <c r="AZ4220" s="48"/>
      <c r="BA4220" s="48"/>
      <c r="BB4220" s="48"/>
      <c r="BC4220" s="48"/>
      <c r="BD4220" s="48"/>
    </row>
    <row r="4221" spans="1:56">
      <c r="A4221" s="48"/>
      <c r="B4221" s="48"/>
      <c r="C4221" s="49"/>
      <c r="D4221" s="48"/>
      <c r="E4221" s="48"/>
      <c r="F4221" s="48"/>
      <c r="G4221" s="48"/>
      <c r="H4221" s="48"/>
      <c r="I4221" s="48"/>
      <c r="J4221" s="86"/>
      <c r="K4221" s="86"/>
      <c r="L4221" s="86"/>
      <c r="M4221" s="86"/>
      <c r="N4221" s="86"/>
      <c r="O4221" s="86"/>
      <c r="P4221" s="86"/>
      <c r="Q4221" s="86"/>
      <c r="R4221" s="86"/>
      <c r="S4221" s="86"/>
      <c r="T4221" s="86"/>
      <c r="U4221" s="86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48"/>
      <c r="BB4221" s="48"/>
      <c r="BC4221" s="48"/>
      <c r="BD4221" s="48"/>
    </row>
    <row r="4222" spans="1:56">
      <c r="A4222" s="48"/>
      <c r="B4222" s="48"/>
      <c r="C4222" s="49"/>
      <c r="D4222" s="48"/>
      <c r="E4222" s="48"/>
      <c r="F4222" s="48"/>
      <c r="G4222" s="48"/>
      <c r="H4222" s="48"/>
      <c r="I4222" s="48"/>
      <c r="J4222" s="86"/>
      <c r="K4222" s="86"/>
      <c r="L4222" s="86"/>
      <c r="M4222" s="86"/>
      <c r="N4222" s="86"/>
      <c r="O4222" s="86"/>
      <c r="P4222" s="86"/>
      <c r="Q4222" s="86"/>
      <c r="R4222" s="86"/>
      <c r="S4222" s="86"/>
      <c r="T4222" s="86"/>
      <c r="U4222" s="86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48"/>
      <c r="BB4222" s="48"/>
      <c r="BC4222" s="48"/>
      <c r="BD4222" s="48"/>
    </row>
    <row r="4223" spans="1:56">
      <c r="A4223" s="48"/>
      <c r="B4223" s="48"/>
      <c r="C4223" s="49"/>
      <c r="D4223" s="48"/>
      <c r="E4223" s="48"/>
      <c r="F4223" s="48"/>
      <c r="G4223" s="48"/>
      <c r="H4223" s="48"/>
      <c r="I4223" s="48"/>
      <c r="J4223" s="86"/>
      <c r="K4223" s="86"/>
      <c r="L4223" s="86"/>
      <c r="M4223" s="86"/>
      <c r="N4223" s="86"/>
      <c r="O4223" s="86"/>
      <c r="P4223" s="86"/>
      <c r="Q4223" s="86"/>
      <c r="R4223" s="86"/>
      <c r="S4223" s="86"/>
      <c r="T4223" s="86"/>
      <c r="U4223" s="86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48"/>
      <c r="BB4223" s="48"/>
      <c r="BC4223" s="48"/>
      <c r="BD4223" s="48"/>
    </row>
    <row r="4224" spans="1:56">
      <c r="A4224" s="48"/>
      <c r="B4224" s="48"/>
      <c r="C4224" s="49"/>
      <c r="D4224" s="48"/>
      <c r="E4224" s="48"/>
      <c r="F4224" s="48"/>
      <c r="G4224" s="48"/>
      <c r="H4224" s="48"/>
      <c r="I4224" s="48"/>
      <c r="J4224" s="86"/>
      <c r="K4224" s="86"/>
      <c r="L4224" s="86"/>
      <c r="M4224" s="86"/>
      <c r="N4224" s="86"/>
      <c r="O4224" s="86"/>
      <c r="P4224" s="86"/>
      <c r="Q4224" s="86"/>
      <c r="R4224" s="86"/>
      <c r="S4224" s="86"/>
      <c r="T4224" s="86"/>
      <c r="U4224" s="86"/>
      <c r="V4224" s="48"/>
      <c r="W4224" s="48"/>
      <c r="X4224" s="48"/>
      <c r="Y4224" s="48"/>
      <c r="Z4224" s="48"/>
      <c r="AA4224" s="48"/>
      <c r="AB4224" s="48"/>
      <c r="AC4224" s="48"/>
      <c r="AD4224" s="48"/>
      <c r="AE4224" s="48"/>
      <c r="AF4224" s="48"/>
      <c r="AG4224" s="48"/>
      <c r="AH4224" s="48"/>
      <c r="AI4224" s="48"/>
      <c r="AJ4224" s="48"/>
      <c r="AK4224" s="48"/>
      <c r="AL4224" s="48"/>
      <c r="AM4224" s="48"/>
      <c r="AN4224" s="48"/>
      <c r="AO4224" s="48"/>
      <c r="AP4224" s="48"/>
      <c r="AQ4224" s="48"/>
      <c r="AR4224" s="48"/>
      <c r="AS4224" s="48"/>
      <c r="AT4224" s="48"/>
      <c r="AU4224" s="48"/>
      <c r="AV4224" s="48"/>
      <c r="AW4224" s="48"/>
      <c r="AX4224" s="48"/>
      <c r="AY4224" s="48"/>
      <c r="AZ4224" s="48"/>
      <c r="BA4224" s="48"/>
      <c r="BB4224" s="48"/>
      <c r="BC4224" s="48"/>
      <c r="BD4224" s="48"/>
    </row>
    <row r="4225" spans="1:56">
      <c r="A4225" s="48"/>
      <c r="B4225" s="48"/>
      <c r="C4225" s="49"/>
      <c r="D4225" s="48"/>
      <c r="E4225" s="48"/>
      <c r="F4225" s="48"/>
      <c r="G4225" s="48"/>
      <c r="H4225" s="48"/>
      <c r="I4225" s="48"/>
      <c r="J4225" s="86"/>
      <c r="K4225" s="86"/>
      <c r="L4225" s="86"/>
      <c r="M4225" s="86"/>
      <c r="N4225" s="86"/>
      <c r="O4225" s="86"/>
      <c r="P4225" s="86"/>
      <c r="Q4225" s="86"/>
      <c r="R4225" s="86"/>
      <c r="S4225" s="86"/>
      <c r="T4225" s="86"/>
      <c r="U4225" s="86"/>
      <c r="V4225" s="48"/>
      <c r="W4225" s="48"/>
      <c r="X4225" s="48"/>
      <c r="Y4225" s="48"/>
      <c r="Z4225" s="48"/>
      <c r="AA4225" s="48"/>
      <c r="AB4225" s="48"/>
      <c r="AC4225" s="48"/>
      <c r="AD4225" s="48"/>
      <c r="AE4225" s="48"/>
      <c r="AF4225" s="48"/>
      <c r="AG4225" s="48"/>
      <c r="AH4225" s="48"/>
      <c r="AI4225" s="48"/>
      <c r="AJ4225" s="48"/>
      <c r="AK4225" s="48"/>
      <c r="AL4225" s="48"/>
      <c r="AM4225" s="48"/>
      <c r="AN4225" s="48"/>
      <c r="AO4225" s="48"/>
      <c r="AP4225" s="48"/>
      <c r="AQ4225" s="48"/>
      <c r="AR4225" s="48"/>
      <c r="AS4225" s="48"/>
      <c r="AT4225" s="48"/>
      <c r="AU4225" s="48"/>
      <c r="AV4225" s="48"/>
      <c r="AW4225" s="48"/>
      <c r="AX4225" s="48"/>
      <c r="AY4225" s="48"/>
      <c r="AZ4225" s="48"/>
      <c r="BA4225" s="48"/>
      <c r="BB4225" s="48"/>
      <c r="BC4225" s="48"/>
      <c r="BD4225" s="48"/>
    </row>
    <row r="4226" spans="1:56">
      <c r="A4226" s="48"/>
      <c r="B4226" s="48"/>
      <c r="C4226" s="49"/>
      <c r="D4226" s="48"/>
      <c r="E4226" s="48"/>
      <c r="F4226" s="48"/>
      <c r="G4226" s="48"/>
      <c r="H4226" s="48"/>
      <c r="I4226" s="48"/>
      <c r="J4226" s="86"/>
      <c r="K4226" s="86"/>
      <c r="L4226" s="86"/>
      <c r="M4226" s="86"/>
      <c r="N4226" s="86"/>
      <c r="O4226" s="86"/>
      <c r="P4226" s="86"/>
      <c r="Q4226" s="86"/>
      <c r="R4226" s="86"/>
      <c r="S4226" s="86"/>
      <c r="T4226" s="86"/>
      <c r="U4226" s="86"/>
      <c r="V4226" s="48"/>
      <c r="W4226" s="48"/>
      <c r="X4226" s="48"/>
      <c r="Y4226" s="48"/>
      <c r="Z4226" s="48"/>
      <c r="AA4226" s="48"/>
      <c r="AB4226" s="48"/>
      <c r="AC4226" s="48"/>
      <c r="AD4226" s="48"/>
      <c r="AE4226" s="48"/>
      <c r="AF4226" s="48"/>
      <c r="AG4226" s="48"/>
      <c r="AH4226" s="48"/>
      <c r="AI4226" s="48"/>
      <c r="AJ4226" s="48"/>
      <c r="AK4226" s="48"/>
      <c r="AL4226" s="48"/>
      <c r="AM4226" s="48"/>
      <c r="AN4226" s="48"/>
      <c r="AO4226" s="48"/>
      <c r="AP4226" s="48"/>
      <c r="AQ4226" s="48"/>
      <c r="AR4226" s="48"/>
      <c r="AS4226" s="48"/>
      <c r="AT4226" s="48"/>
      <c r="AU4226" s="48"/>
      <c r="AV4226" s="48"/>
      <c r="AW4226" s="48"/>
      <c r="AX4226" s="48"/>
      <c r="AY4226" s="48"/>
      <c r="AZ4226" s="48"/>
      <c r="BA4226" s="48"/>
      <c r="BB4226" s="48"/>
      <c r="BC4226" s="48"/>
      <c r="BD4226" s="48"/>
    </row>
    <row r="4227" spans="1:56">
      <c r="A4227" s="48"/>
      <c r="B4227" s="48"/>
      <c r="C4227" s="49"/>
      <c r="D4227" s="48"/>
      <c r="E4227" s="48"/>
      <c r="F4227" s="48"/>
      <c r="G4227" s="48"/>
      <c r="H4227" s="48"/>
      <c r="I4227" s="48"/>
      <c r="J4227" s="86"/>
      <c r="K4227" s="86"/>
      <c r="L4227" s="86"/>
      <c r="M4227" s="86"/>
      <c r="N4227" s="86"/>
      <c r="O4227" s="86"/>
      <c r="P4227" s="86"/>
      <c r="Q4227" s="86"/>
      <c r="R4227" s="86"/>
      <c r="S4227" s="86"/>
      <c r="T4227" s="86"/>
      <c r="U4227" s="86"/>
      <c r="V4227" s="48"/>
      <c r="W4227" s="48"/>
      <c r="X4227" s="48"/>
      <c r="Y4227" s="48"/>
      <c r="Z4227" s="48"/>
      <c r="AA4227" s="48"/>
      <c r="AB4227" s="48"/>
      <c r="AC4227" s="48"/>
      <c r="AD4227" s="48"/>
      <c r="AE4227" s="48"/>
      <c r="AF4227" s="48"/>
      <c r="AG4227" s="48"/>
      <c r="AH4227" s="48"/>
      <c r="AI4227" s="48"/>
      <c r="AJ4227" s="48"/>
      <c r="AK4227" s="48"/>
      <c r="AL4227" s="48"/>
      <c r="AM4227" s="48"/>
      <c r="AN4227" s="48"/>
      <c r="AO4227" s="48"/>
      <c r="AP4227" s="48"/>
      <c r="AQ4227" s="48"/>
      <c r="AR4227" s="48"/>
      <c r="AS4227" s="48"/>
      <c r="AT4227" s="48"/>
      <c r="AU4227" s="48"/>
      <c r="AV4227" s="48"/>
      <c r="AW4227" s="48"/>
      <c r="AX4227" s="48"/>
      <c r="AY4227" s="48"/>
      <c r="AZ4227" s="48"/>
      <c r="BA4227" s="48"/>
      <c r="BB4227" s="48"/>
      <c r="BC4227" s="48"/>
      <c r="BD4227" s="48"/>
    </row>
    <row r="4228" spans="1:56">
      <c r="A4228" s="48"/>
      <c r="B4228" s="48"/>
      <c r="C4228" s="49"/>
      <c r="D4228" s="48"/>
      <c r="E4228" s="48"/>
      <c r="F4228" s="48"/>
      <c r="G4228" s="48"/>
      <c r="H4228" s="48"/>
      <c r="I4228" s="48"/>
      <c r="J4228" s="86"/>
      <c r="K4228" s="86"/>
      <c r="L4228" s="86"/>
      <c r="M4228" s="86"/>
      <c r="N4228" s="86"/>
      <c r="O4228" s="86"/>
      <c r="P4228" s="86"/>
      <c r="Q4228" s="86"/>
      <c r="R4228" s="86"/>
      <c r="S4228" s="86"/>
      <c r="T4228" s="86"/>
      <c r="U4228" s="86"/>
      <c r="V4228" s="48"/>
      <c r="W4228" s="48"/>
      <c r="X4228" s="48"/>
      <c r="Y4228" s="48"/>
      <c r="Z4228" s="48"/>
      <c r="AA4228" s="48"/>
      <c r="AB4228" s="48"/>
      <c r="AC4228" s="48"/>
      <c r="AD4228" s="48"/>
      <c r="AE4228" s="48"/>
      <c r="AF4228" s="48"/>
      <c r="AG4228" s="48"/>
      <c r="AH4228" s="48"/>
      <c r="AI4228" s="48"/>
      <c r="AJ4228" s="48"/>
      <c r="AK4228" s="48"/>
      <c r="AL4228" s="48"/>
      <c r="AM4228" s="48"/>
      <c r="AN4228" s="48"/>
      <c r="AO4228" s="48"/>
      <c r="AP4228" s="48"/>
      <c r="AQ4228" s="48"/>
      <c r="AR4228" s="48"/>
      <c r="AS4228" s="48"/>
      <c r="AT4228" s="48"/>
      <c r="AU4228" s="48"/>
      <c r="AV4228" s="48"/>
      <c r="AW4228" s="48"/>
      <c r="AX4228" s="48"/>
      <c r="AY4228" s="48"/>
      <c r="AZ4228" s="48"/>
      <c r="BA4228" s="48"/>
      <c r="BB4228" s="48"/>
      <c r="BC4228" s="48"/>
      <c r="BD4228" s="48"/>
    </row>
    <row r="4229" spans="1:56">
      <c r="A4229" s="48"/>
      <c r="B4229" s="48"/>
      <c r="C4229" s="49"/>
      <c r="D4229" s="48"/>
      <c r="E4229" s="48"/>
      <c r="F4229" s="48"/>
      <c r="G4229" s="48"/>
      <c r="H4229" s="48"/>
      <c r="I4229" s="48"/>
      <c r="J4229" s="86"/>
      <c r="K4229" s="86"/>
      <c r="L4229" s="86"/>
      <c r="M4229" s="86"/>
      <c r="N4229" s="86"/>
      <c r="O4229" s="86"/>
      <c r="P4229" s="86"/>
      <c r="Q4229" s="86"/>
      <c r="R4229" s="86"/>
      <c r="S4229" s="86"/>
      <c r="T4229" s="86"/>
      <c r="U4229" s="86"/>
      <c r="V4229" s="48"/>
      <c r="W4229" s="48"/>
      <c r="X4229" s="48"/>
      <c r="Y4229" s="48"/>
      <c r="Z4229" s="48"/>
      <c r="AA4229" s="48"/>
      <c r="AB4229" s="48"/>
      <c r="AC4229" s="48"/>
      <c r="AD4229" s="48"/>
      <c r="AE4229" s="48"/>
      <c r="AF4229" s="48"/>
      <c r="AG4229" s="48"/>
      <c r="AH4229" s="48"/>
      <c r="AI4229" s="48"/>
      <c r="AJ4229" s="48"/>
      <c r="AK4229" s="48"/>
      <c r="AL4229" s="48"/>
      <c r="AM4229" s="48"/>
      <c r="AN4229" s="48"/>
      <c r="AO4229" s="48"/>
      <c r="AP4229" s="48"/>
      <c r="AQ4229" s="48"/>
      <c r="AR4229" s="48"/>
      <c r="AS4229" s="48"/>
      <c r="AT4229" s="48"/>
      <c r="AU4229" s="48"/>
      <c r="AV4229" s="48"/>
      <c r="AW4229" s="48"/>
      <c r="AX4229" s="48"/>
      <c r="AY4229" s="48"/>
      <c r="AZ4229" s="48"/>
      <c r="BA4229" s="48"/>
      <c r="BB4229" s="48"/>
      <c r="BC4229" s="48"/>
      <c r="BD4229" s="48"/>
    </row>
    <row r="4230" spans="1:56">
      <c r="A4230" s="48"/>
      <c r="B4230" s="48"/>
      <c r="C4230" s="49"/>
      <c r="D4230" s="48"/>
      <c r="E4230" s="48"/>
      <c r="F4230" s="48"/>
      <c r="G4230" s="48"/>
      <c r="H4230" s="48"/>
      <c r="I4230" s="48"/>
      <c r="J4230" s="86"/>
      <c r="K4230" s="86"/>
      <c r="L4230" s="86"/>
      <c r="M4230" s="86"/>
      <c r="N4230" s="86"/>
      <c r="O4230" s="86"/>
      <c r="P4230" s="86"/>
      <c r="Q4230" s="86"/>
      <c r="R4230" s="86"/>
      <c r="S4230" s="86"/>
      <c r="T4230" s="86"/>
      <c r="U4230" s="86"/>
      <c r="V4230" s="48"/>
      <c r="W4230" s="48"/>
      <c r="X4230" s="48"/>
      <c r="Y4230" s="48"/>
      <c r="Z4230" s="48"/>
      <c r="AA4230" s="48"/>
      <c r="AB4230" s="48"/>
      <c r="AC4230" s="48"/>
      <c r="AD4230" s="48"/>
      <c r="AE4230" s="48"/>
      <c r="AF4230" s="48"/>
      <c r="AG4230" s="48"/>
      <c r="AH4230" s="48"/>
      <c r="AI4230" s="48"/>
      <c r="AJ4230" s="48"/>
      <c r="AK4230" s="48"/>
      <c r="AL4230" s="48"/>
      <c r="AM4230" s="48"/>
      <c r="AN4230" s="48"/>
      <c r="AO4230" s="48"/>
      <c r="AP4230" s="48"/>
      <c r="AQ4230" s="48"/>
      <c r="AR4230" s="48"/>
      <c r="AS4230" s="48"/>
      <c r="AT4230" s="48"/>
      <c r="AU4230" s="48"/>
      <c r="AV4230" s="48"/>
      <c r="AW4230" s="48"/>
      <c r="AX4230" s="48"/>
      <c r="AY4230" s="48"/>
      <c r="AZ4230" s="48"/>
      <c r="BA4230" s="48"/>
      <c r="BB4230" s="48"/>
      <c r="BC4230" s="48"/>
      <c r="BD4230" s="48"/>
    </row>
    <row r="4231" spans="1:56">
      <c r="A4231" s="48"/>
      <c r="B4231" s="48"/>
      <c r="C4231" s="49"/>
      <c r="D4231" s="48"/>
      <c r="E4231" s="48"/>
      <c r="F4231" s="48"/>
      <c r="G4231" s="48"/>
      <c r="H4231" s="48"/>
      <c r="I4231" s="48"/>
      <c r="J4231" s="86"/>
      <c r="K4231" s="86"/>
      <c r="L4231" s="86"/>
      <c r="M4231" s="86"/>
      <c r="N4231" s="86"/>
      <c r="O4231" s="86"/>
      <c r="P4231" s="86"/>
      <c r="Q4231" s="86"/>
      <c r="R4231" s="86"/>
      <c r="S4231" s="86"/>
      <c r="T4231" s="86"/>
      <c r="U4231" s="86"/>
      <c r="V4231" s="48"/>
      <c r="W4231" s="48"/>
      <c r="X4231" s="48"/>
      <c r="Y4231" s="48"/>
      <c r="Z4231" s="48"/>
      <c r="AA4231" s="48"/>
      <c r="AB4231" s="48"/>
      <c r="AC4231" s="48"/>
      <c r="AD4231" s="48"/>
      <c r="AE4231" s="48"/>
      <c r="AF4231" s="48"/>
      <c r="AG4231" s="48"/>
      <c r="AH4231" s="48"/>
      <c r="AI4231" s="48"/>
      <c r="AJ4231" s="48"/>
      <c r="AK4231" s="48"/>
      <c r="AL4231" s="48"/>
      <c r="AM4231" s="48"/>
      <c r="AN4231" s="48"/>
      <c r="AO4231" s="48"/>
      <c r="AP4231" s="48"/>
      <c r="AQ4231" s="48"/>
      <c r="AR4231" s="48"/>
      <c r="AS4231" s="48"/>
      <c r="AT4231" s="48"/>
      <c r="AU4231" s="48"/>
      <c r="AV4231" s="48"/>
      <c r="AW4231" s="48"/>
      <c r="AX4231" s="48"/>
      <c r="AY4231" s="48"/>
      <c r="AZ4231" s="48"/>
      <c r="BA4231" s="48"/>
      <c r="BB4231" s="48"/>
      <c r="BC4231" s="48"/>
      <c r="BD4231" s="48"/>
    </row>
    <row r="4232" spans="1:56">
      <c r="A4232" s="48"/>
      <c r="B4232" s="48"/>
      <c r="C4232" s="49"/>
      <c r="D4232" s="48"/>
      <c r="E4232" s="48"/>
      <c r="F4232" s="48"/>
      <c r="G4232" s="48"/>
      <c r="H4232" s="48"/>
      <c r="I4232" s="48"/>
      <c r="J4232" s="86"/>
      <c r="K4232" s="86"/>
      <c r="L4232" s="86"/>
      <c r="M4232" s="86"/>
      <c r="N4232" s="86"/>
      <c r="O4232" s="86"/>
      <c r="P4232" s="86"/>
      <c r="Q4232" s="86"/>
      <c r="R4232" s="86"/>
      <c r="S4232" s="86"/>
      <c r="T4232" s="86"/>
      <c r="U4232" s="86"/>
      <c r="V4232" s="48"/>
      <c r="W4232" s="48"/>
      <c r="X4232" s="48"/>
      <c r="Y4232" s="48"/>
      <c r="Z4232" s="48"/>
      <c r="AA4232" s="48"/>
      <c r="AB4232" s="48"/>
      <c r="AC4232" s="48"/>
      <c r="AD4232" s="48"/>
      <c r="AE4232" s="48"/>
      <c r="AF4232" s="48"/>
      <c r="AG4232" s="48"/>
      <c r="AH4232" s="48"/>
      <c r="AI4232" s="48"/>
      <c r="AJ4232" s="48"/>
      <c r="AK4232" s="48"/>
      <c r="AL4232" s="48"/>
      <c r="AM4232" s="48"/>
      <c r="AN4232" s="48"/>
      <c r="AO4232" s="48"/>
      <c r="AP4232" s="48"/>
      <c r="AQ4232" s="48"/>
      <c r="AR4232" s="48"/>
      <c r="AS4232" s="48"/>
      <c r="AT4232" s="48"/>
      <c r="AU4232" s="48"/>
      <c r="AV4232" s="48"/>
      <c r="AW4232" s="48"/>
      <c r="AX4232" s="48"/>
      <c r="AY4232" s="48"/>
      <c r="AZ4232" s="48"/>
      <c r="BA4232" s="48"/>
      <c r="BB4232" s="48"/>
      <c r="BC4232" s="48"/>
      <c r="BD4232" s="48"/>
    </row>
    <row r="4233" spans="1:56">
      <c r="A4233" s="48"/>
      <c r="B4233" s="48"/>
      <c r="C4233" s="49"/>
      <c r="D4233" s="48"/>
      <c r="E4233" s="48"/>
      <c r="F4233" s="48"/>
      <c r="G4233" s="48"/>
      <c r="H4233" s="48"/>
      <c r="I4233" s="48"/>
      <c r="J4233" s="86"/>
      <c r="K4233" s="86"/>
      <c r="L4233" s="86"/>
      <c r="M4233" s="86"/>
      <c r="N4233" s="86"/>
      <c r="O4233" s="86"/>
      <c r="P4233" s="86"/>
      <c r="Q4233" s="86"/>
      <c r="R4233" s="86"/>
      <c r="S4233" s="86"/>
      <c r="T4233" s="86"/>
      <c r="U4233" s="86"/>
      <c r="V4233" s="48"/>
      <c r="W4233" s="48"/>
      <c r="X4233" s="48"/>
      <c r="Y4233" s="48"/>
      <c r="Z4233" s="48"/>
      <c r="AA4233" s="48"/>
      <c r="AB4233" s="48"/>
      <c r="AC4233" s="48"/>
      <c r="AD4233" s="48"/>
      <c r="AE4233" s="48"/>
      <c r="AF4233" s="48"/>
      <c r="AG4233" s="48"/>
      <c r="AH4233" s="48"/>
      <c r="AI4233" s="48"/>
      <c r="AJ4233" s="48"/>
      <c r="AK4233" s="48"/>
      <c r="AL4233" s="48"/>
      <c r="AM4233" s="48"/>
      <c r="AN4233" s="48"/>
      <c r="AO4233" s="48"/>
      <c r="AP4233" s="48"/>
      <c r="AQ4233" s="48"/>
      <c r="AR4233" s="48"/>
      <c r="AS4233" s="48"/>
      <c r="AT4233" s="48"/>
      <c r="AU4233" s="48"/>
      <c r="AV4233" s="48"/>
      <c r="AW4233" s="48"/>
      <c r="AX4233" s="48"/>
      <c r="AY4233" s="48"/>
      <c r="AZ4233" s="48"/>
      <c r="BA4233" s="48"/>
      <c r="BB4233" s="48"/>
      <c r="BC4233" s="48"/>
      <c r="BD4233" s="48"/>
    </row>
    <row r="4234" spans="1:56">
      <c r="A4234" s="48"/>
      <c r="B4234" s="48"/>
      <c r="C4234" s="49"/>
      <c r="D4234" s="48"/>
      <c r="E4234" s="48"/>
      <c r="F4234" s="48"/>
      <c r="G4234" s="48"/>
      <c r="H4234" s="48"/>
      <c r="I4234" s="48"/>
      <c r="J4234" s="86"/>
      <c r="K4234" s="86"/>
      <c r="L4234" s="86"/>
      <c r="M4234" s="86"/>
      <c r="N4234" s="86"/>
      <c r="O4234" s="86"/>
      <c r="P4234" s="86"/>
      <c r="Q4234" s="86"/>
      <c r="R4234" s="86"/>
      <c r="S4234" s="86"/>
      <c r="T4234" s="86"/>
      <c r="U4234" s="86"/>
      <c r="V4234" s="48"/>
      <c r="W4234" s="48"/>
      <c r="X4234" s="48"/>
      <c r="Y4234" s="48"/>
      <c r="Z4234" s="48"/>
      <c r="AA4234" s="48"/>
      <c r="AB4234" s="48"/>
      <c r="AC4234" s="48"/>
      <c r="AD4234" s="48"/>
      <c r="AE4234" s="48"/>
      <c r="AF4234" s="48"/>
      <c r="AG4234" s="48"/>
      <c r="AH4234" s="48"/>
      <c r="AI4234" s="48"/>
      <c r="AJ4234" s="48"/>
      <c r="AK4234" s="48"/>
      <c r="AL4234" s="48"/>
      <c r="AM4234" s="48"/>
      <c r="AN4234" s="48"/>
      <c r="AO4234" s="48"/>
      <c r="AP4234" s="48"/>
      <c r="AQ4234" s="48"/>
      <c r="AR4234" s="48"/>
      <c r="AS4234" s="48"/>
      <c r="AT4234" s="48"/>
      <c r="AU4234" s="48"/>
      <c r="AV4234" s="48"/>
      <c r="AW4234" s="48"/>
      <c r="AX4234" s="48"/>
      <c r="AY4234" s="48"/>
      <c r="AZ4234" s="48"/>
      <c r="BA4234" s="48"/>
      <c r="BB4234" s="48"/>
      <c r="BC4234" s="48"/>
      <c r="BD4234" s="48"/>
    </row>
    <row r="4235" spans="1:56">
      <c r="A4235" s="48"/>
      <c r="B4235" s="48"/>
      <c r="C4235" s="49"/>
      <c r="D4235" s="48"/>
      <c r="E4235" s="48"/>
      <c r="F4235" s="48"/>
      <c r="G4235" s="48"/>
      <c r="H4235" s="48"/>
      <c r="I4235" s="48"/>
      <c r="J4235" s="86"/>
      <c r="K4235" s="86"/>
      <c r="L4235" s="86"/>
      <c r="M4235" s="86"/>
      <c r="N4235" s="86"/>
      <c r="O4235" s="86"/>
      <c r="P4235" s="86"/>
      <c r="Q4235" s="86"/>
      <c r="R4235" s="86"/>
      <c r="S4235" s="86"/>
      <c r="T4235" s="86"/>
      <c r="U4235" s="86"/>
      <c r="V4235" s="48"/>
      <c r="W4235" s="48"/>
      <c r="X4235" s="48"/>
      <c r="Y4235" s="48"/>
      <c r="Z4235" s="48"/>
      <c r="AA4235" s="48"/>
      <c r="AB4235" s="48"/>
      <c r="AC4235" s="48"/>
      <c r="AD4235" s="48"/>
      <c r="AE4235" s="48"/>
      <c r="AF4235" s="48"/>
      <c r="AG4235" s="48"/>
      <c r="AH4235" s="48"/>
      <c r="AI4235" s="48"/>
      <c r="AJ4235" s="48"/>
      <c r="AK4235" s="48"/>
      <c r="AL4235" s="48"/>
      <c r="AM4235" s="48"/>
      <c r="AN4235" s="48"/>
      <c r="AO4235" s="48"/>
      <c r="AP4235" s="48"/>
      <c r="AQ4235" s="48"/>
      <c r="AR4235" s="48"/>
      <c r="AS4235" s="48"/>
      <c r="AT4235" s="48"/>
      <c r="AU4235" s="48"/>
      <c r="AV4235" s="48"/>
      <c r="AW4235" s="48"/>
      <c r="AX4235" s="48"/>
      <c r="AY4235" s="48"/>
      <c r="AZ4235" s="48"/>
      <c r="BA4235" s="48"/>
      <c r="BB4235" s="48"/>
      <c r="BC4235" s="48"/>
      <c r="BD4235" s="48"/>
    </row>
    <row r="4236" spans="1:56">
      <c r="A4236" s="48"/>
      <c r="B4236" s="48"/>
      <c r="C4236" s="49"/>
      <c r="D4236" s="48"/>
      <c r="E4236" s="48"/>
      <c r="F4236" s="48"/>
      <c r="G4236" s="48"/>
      <c r="H4236" s="48"/>
      <c r="I4236" s="48"/>
      <c r="J4236" s="86"/>
      <c r="K4236" s="86"/>
      <c r="L4236" s="86"/>
      <c r="M4236" s="86"/>
      <c r="N4236" s="86"/>
      <c r="O4236" s="86"/>
      <c r="P4236" s="86"/>
      <c r="Q4236" s="86"/>
      <c r="R4236" s="86"/>
      <c r="S4236" s="86"/>
      <c r="T4236" s="86"/>
      <c r="U4236" s="86"/>
      <c r="V4236" s="48"/>
      <c r="W4236" s="48"/>
      <c r="X4236" s="48"/>
      <c r="Y4236" s="48"/>
      <c r="Z4236" s="48"/>
      <c r="AA4236" s="48"/>
      <c r="AB4236" s="48"/>
      <c r="AC4236" s="48"/>
      <c r="AD4236" s="48"/>
      <c r="AE4236" s="48"/>
      <c r="AF4236" s="48"/>
      <c r="AG4236" s="48"/>
      <c r="AH4236" s="48"/>
      <c r="AI4236" s="48"/>
      <c r="AJ4236" s="48"/>
      <c r="AK4236" s="48"/>
      <c r="AL4236" s="48"/>
      <c r="AM4236" s="48"/>
      <c r="AN4236" s="48"/>
      <c r="AO4236" s="48"/>
      <c r="AP4236" s="48"/>
      <c r="AQ4236" s="48"/>
      <c r="AR4236" s="48"/>
      <c r="AS4236" s="48"/>
      <c r="AT4236" s="48"/>
      <c r="AU4236" s="48"/>
      <c r="AV4236" s="48"/>
      <c r="AW4236" s="48"/>
      <c r="AX4236" s="48"/>
      <c r="AY4236" s="48"/>
      <c r="AZ4236" s="48"/>
      <c r="BA4236" s="48"/>
      <c r="BB4236" s="48"/>
      <c r="BC4236" s="48"/>
      <c r="BD4236" s="48"/>
    </row>
    <row r="4237" spans="1:56">
      <c r="A4237" s="48"/>
      <c r="B4237" s="48"/>
      <c r="C4237" s="49"/>
      <c r="D4237" s="48"/>
      <c r="E4237" s="48"/>
      <c r="F4237" s="48"/>
      <c r="G4237" s="48"/>
      <c r="H4237" s="48"/>
      <c r="I4237" s="48"/>
      <c r="J4237" s="86"/>
      <c r="K4237" s="86"/>
      <c r="L4237" s="86"/>
      <c r="M4237" s="86"/>
      <c r="N4237" s="86"/>
      <c r="O4237" s="86"/>
      <c r="P4237" s="86"/>
      <c r="Q4237" s="86"/>
      <c r="R4237" s="86"/>
      <c r="S4237" s="86"/>
      <c r="T4237" s="86"/>
      <c r="U4237" s="86"/>
      <c r="V4237" s="48"/>
      <c r="W4237" s="48"/>
      <c r="X4237" s="48"/>
      <c r="Y4237" s="48"/>
      <c r="Z4237" s="48"/>
      <c r="AA4237" s="48"/>
      <c r="AB4237" s="48"/>
      <c r="AC4237" s="48"/>
      <c r="AD4237" s="48"/>
      <c r="AE4237" s="48"/>
      <c r="AF4237" s="48"/>
      <c r="AG4237" s="48"/>
      <c r="AH4237" s="48"/>
      <c r="AI4237" s="48"/>
      <c r="AJ4237" s="48"/>
      <c r="AK4237" s="48"/>
      <c r="AL4237" s="48"/>
      <c r="AM4237" s="48"/>
      <c r="AN4237" s="48"/>
      <c r="AO4237" s="48"/>
      <c r="AP4237" s="48"/>
      <c r="AQ4237" s="48"/>
      <c r="AR4237" s="48"/>
      <c r="AS4237" s="48"/>
      <c r="AT4237" s="48"/>
      <c r="AU4237" s="48"/>
      <c r="AV4237" s="48"/>
      <c r="AW4237" s="48"/>
      <c r="AX4237" s="48"/>
      <c r="AY4237" s="48"/>
      <c r="AZ4237" s="48"/>
      <c r="BA4237" s="48"/>
      <c r="BB4237" s="48"/>
      <c r="BC4237" s="48"/>
      <c r="BD4237" s="48"/>
    </row>
    <row r="4238" spans="1:56">
      <c r="A4238" s="48"/>
      <c r="B4238" s="48"/>
      <c r="C4238" s="49"/>
      <c r="D4238" s="48"/>
      <c r="E4238" s="48"/>
      <c r="F4238" s="48"/>
      <c r="G4238" s="48"/>
      <c r="H4238" s="48"/>
      <c r="I4238" s="48"/>
      <c r="J4238" s="86"/>
      <c r="K4238" s="86"/>
      <c r="L4238" s="86"/>
      <c r="M4238" s="86"/>
      <c r="N4238" s="86"/>
      <c r="O4238" s="86"/>
      <c r="P4238" s="86"/>
      <c r="Q4238" s="86"/>
      <c r="R4238" s="86"/>
      <c r="S4238" s="86"/>
      <c r="T4238" s="86"/>
      <c r="U4238" s="86"/>
      <c r="V4238" s="48"/>
      <c r="W4238" s="48"/>
      <c r="X4238" s="48"/>
      <c r="Y4238" s="48"/>
      <c r="Z4238" s="48"/>
      <c r="AA4238" s="48"/>
      <c r="AB4238" s="48"/>
      <c r="AC4238" s="48"/>
      <c r="AD4238" s="48"/>
      <c r="AE4238" s="48"/>
      <c r="AF4238" s="48"/>
      <c r="AG4238" s="48"/>
      <c r="AH4238" s="48"/>
      <c r="AI4238" s="48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48"/>
      <c r="AT4238" s="48"/>
      <c r="AU4238" s="48"/>
      <c r="AV4238" s="48"/>
      <c r="AW4238" s="48"/>
      <c r="AX4238" s="48"/>
      <c r="AY4238" s="48"/>
      <c r="AZ4238" s="48"/>
      <c r="BA4238" s="48"/>
      <c r="BB4238" s="48"/>
      <c r="BC4238" s="48"/>
      <c r="BD4238" s="48"/>
    </row>
    <row r="4239" spans="1:56">
      <c r="A4239" s="48"/>
      <c r="B4239" s="48"/>
      <c r="C4239" s="49"/>
      <c r="D4239" s="48"/>
      <c r="E4239" s="48"/>
      <c r="F4239" s="48"/>
      <c r="G4239" s="48"/>
      <c r="H4239" s="48"/>
      <c r="I4239" s="48"/>
      <c r="J4239" s="86"/>
      <c r="K4239" s="86"/>
      <c r="L4239" s="86"/>
      <c r="M4239" s="86"/>
      <c r="N4239" s="86"/>
      <c r="O4239" s="86"/>
      <c r="P4239" s="86"/>
      <c r="Q4239" s="86"/>
      <c r="R4239" s="86"/>
      <c r="S4239" s="86"/>
      <c r="T4239" s="86"/>
      <c r="U4239" s="86"/>
      <c r="V4239" s="48"/>
      <c r="W4239" s="48"/>
      <c r="X4239" s="48"/>
      <c r="Y4239" s="48"/>
      <c r="Z4239" s="48"/>
      <c r="AA4239" s="48"/>
      <c r="AB4239" s="48"/>
      <c r="AC4239" s="48"/>
      <c r="AD4239" s="48"/>
      <c r="AE4239" s="48"/>
      <c r="AF4239" s="48"/>
      <c r="AG4239" s="48"/>
      <c r="AH4239" s="48"/>
      <c r="AI4239" s="48"/>
      <c r="AJ4239" s="48"/>
      <c r="AK4239" s="48"/>
      <c r="AL4239" s="48"/>
      <c r="AM4239" s="48"/>
      <c r="AN4239" s="48"/>
      <c r="AO4239" s="48"/>
      <c r="AP4239" s="48"/>
      <c r="AQ4239" s="48"/>
      <c r="AR4239" s="48"/>
      <c r="AS4239" s="48"/>
      <c r="AT4239" s="48"/>
      <c r="AU4239" s="48"/>
      <c r="AV4239" s="48"/>
      <c r="AW4239" s="48"/>
      <c r="AX4239" s="48"/>
      <c r="AY4239" s="48"/>
      <c r="AZ4239" s="48"/>
      <c r="BA4239" s="48"/>
      <c r="BB4239" s="48"/>
      <c r="BC4239" s="48"/>
      <c r="BD4239" s="48"/>
    </row>
    <row r="4240" spans="1:56">
      <c r="A4240" s="48"/>
      <c r="B4240" s="48"/>
      <c r="C4240" s="49"/>
      <c r="D4240" s="48"/>
      <c r="E4240" s="48"/>
      <c r="F4240" s="48"/>
      <c r="G4240" s="48"/>
      <c r="H4240" s="48"/>
      <c r="I4240" s="48"/>
      <c r="J4240" s="86"/>
      <c r="K4240" s="86"/>
      <c r="L4240" s="86"/>
      <c r="M4240" s="86"/>
      <c r="N4240" s="86"/>
      <c r="O4240" s="86"/>
      <c r="P4240" s="86"/>
      <c r="Q4240" s="86"/>
      <c r="R4240" s="86"/>
      <c r="S4240" s="86"/>
      <c r="T4240" s="86"/>
      <c r="U4240" s="86"/>
      <c r="V4240" s="48"/>
      <c r="W4240" s="48"/>
      <c r="X4240" s="48"/>
      <c r="Y4240" s="48"/>
      <c r="Z4240" s="48"/>
      <c r="AA4240" s="48"/>
      <c r="AB4240" s="48"/>
      <c r="AC4240" s="48"/>
      <c r="AD4240" s="48"/>
      <c r="AE4240" s="48"/>
      <c r="AF4240" s="48"/>
      <c r="AG4240" s="48"/>
      <c r="AH4240" s="48"/>
      <c r="AI4240" s="48"/>
      <c r="AJ4240" s="48"/>
      <c r="AK4240" s="48"/>
      <c r="AL4240" s="48"/>
      <c r="AM4240" s="48"/>
      <c r="AN4240" s="48"/>
      <c r="AO4240" s="48"/>
      <c r="AP4240" s="48"/>
      <c r="AQ4240" s="48"/>
      <c r="AR4240" s="48"/>
      <c r="AS4240" s="48"/>
      <c r="AT4240" s="48"/>
      <c r="AU4240" s="48"/>
      <c r="AV4240" s="48"/>
      <c r="AW4240" s="48"/>
      <c r="AX4240" s="48"/>
      <c r="AY4240" s="48"/>
      <c r="AZ4240" s="48"/>
      <c r="BA4240" s="48"/>
      <c r="BB4240" s="48"/>
      <c r="BC4240" s="48"/>
      <c r="BD4240" s="48"/>
    </row>
    <row r="4241" spans="1:56">
      <c r="A4241" s="48"/>
      <c r="B4241" s="48"/>
      <c r="C4241" s="49"/>
      <c r="D4241" s="48"/>
      <c r="E4241" s="48"/>
      <c r="F4241" s="48"/>
      <c r="G4241" s="48"/>
      <c r="H4241" s="48"/>
      <c r="I4241" s="48"/>
      <c r="J4241" s="86"/>
      <c r="K4241" s="86"/>
      <c r="L4241" s="86"/>
      <c r="M4241" s="86"/>
      <c r="N4241" s="86"/>
      <c r="O4241" s="86"/>
      <c r="P4241" s="86"/>
      <c r="Q4241" s="86"/>
      <c r="R4241" s="86"/>
      <c r="S4241" s="86"/>
      <c r="T4241" s="86"/>
      <c r="U4241" s="86"/>
      <c r="V4241" s="48"/>
      <c r="W4241" s="48"/>
      <c r="X4241" s="48"/>
      <c r="Y4241" s="48"/>
      <c r="Z4241" s="48"/>
      <c r="AA4241" s="48"/>
      <c r="AB4241" s="48"/>
      <c r="AC4241" s="48"/>
      <c r="AD4241" s="48"/>
      <c r="AE4241" s="48"/>
      <c r="AF4241" s="48"/>
      <c r="AG4241" s="48"/>
      <c r="AH4241" s="48"/>
      <c r="AI4241" s="48"/>
      <c r="AJ4241" s="48"/>
      <c r="AK4241" s="48"/>
      <c r="AL4241" s="48"/>
      <c r="AM4241" s="48"/>
      <c r="AN4241" s="48"/>
      <c r="AO4241" s="48"/>
      <c r="AP4241" s="48"/>
      <c r="AQ4241" s="48"/>
      <c r="AR4241" s="48"/>
      <c r="AS4241" s="48"/>
      <c r="AT4241" s="48"/>
      <c r="AU4241" s="48"/>
      <c r="AV4241" s="48"/>
      <c r="AW4241" s="48"/>
      <c r="AX4241" s="48"/>
      <c r="AY4241" s="48"/>
      <c r="AZ4241" s="48"/>
      <c r="BA4241" s="48"/>
      <c r="BB4241" s="48"/>
      <c r="BC4241" s="48"/>
      <c r="BD4241" s="48"/>
    </row>
    <row r="4242" spans="1:56">
      <c r="A4242" s="48"/>
      <c r="B4242" s="48"/>
      <c r="C4242" s="49"/>
      <c r="D4242" s="48"/>
      <c r="E4242" s="48"/>
      <c r="F4242" s="48"/>
      <c r="G4242" s="48"/>
      <c r="H4242" s="48"/>
      <c r="I4242" s="48"/>
      <c r="J4242" s="86"/>
      <c r="K4242" s="86"/>
      <c r="L4242" s="86"/>
      <c r="M4242" s="86"/>
      <c r="N4242" s="86"/>
      <c r="O4242" s="86"/>
      <c r="P4242" s="86"/>
      <c r="Q4242" s="86"/>
      <c r="R4242" s="86"/>
      <c r="S4242" s="86"/>
      <c r="T4242" s="86"/>
      <c r="U4242" s="86"/>
      <c r="V4242" s="48"/>
      <c r="W4242" s="48"/>
      <c r="X4242" s="48"/>
      <c r="Y4242" s="48"/>
      <c r="Z4242" s="48"/>
      <c r="AA4242" s="48"/>
      <c r="AB4242" s="48"/>
      <c r="AC4242" s="48"/>
      <c r="AD4242" s="48"/>
      <c r="AE4242" s="48"/>
      <c r="AF4242" s="48"/>
      <c r="AG4242" s="48"/>
      <c r="AH4242" s="48"/>
      <c r="AI4242" s="48"/>
      <c r="AJ4242" s="48"/>
      <c r="AK4242" s="48"/>
      <c r="AL4242" s="48"/>
      <c r="AM4242" s="48"/>
      <c r="AN4242" s="48"/>
      <c r="AO4242" s="48"/>
      <c r="AP4242" s="48"/>
      <c r="AQ4242" s="48"/>
      <c r="AR4242" s="48"/>
      <c r="AS4242" s="48"/>
      <c r="AT4242" s="48"/>
      <c r="AU4242" s="48"/>
      <c r="AV4242" s="48"/>
      <c r="AW4242" s="48"/>
      <c r="AX4242" s="48"/>
      <c r="AY4242" s="48"/>
      <c r="AZ4242" s="48"/>
      <c r="BA4242" s="48"/>
      <c r="BB4242" s="48"/>
      <c r="BC4242" s="48"/>
      <c r="BD4242" s="48"/>
    </row>
    <row r="4243" spans="1:56">
      <c r="A4243" s="48"/>
      <c r="B4243" s="48"/>
      <c r="C4243" s="49"/>
      <c r="D4243" s="48"/>
      <c r="E4243" s="48"/>
      <c r="F4243" s="48"/>
      <c r="G4243" s="48"/>
      <c r="H4243" s="48"/>
      <c r="I4243" s="48"/>
      <c r="J4243" s="86"/>
      <c r="K4243" s="86"/>
      <c r="L4243" s="86"/>
      <c r="M4243" s="86"/>
      <c r="N4243" s="86"/>
      <c r="O4243" s="86"/>
      <c r="P4243" s="86"/>
      <c r="Q4243" s="86"/>
      <c r="R4243" s="86"/>
      <c r="S4243" s="86"/>
      <c r="T4243" s="86"/>
      <c r="U4243" s="86"/>
      <c r="V4243" s="48"/>
      <c r="W4243" s="48"/>
      <c r="X4243" s="48"/>
      <c r="Y4243" s="48"/>
      <c r="Z4243" s="48"/>
      <c r="AA4243" s="48"/>
      <c r="AB4243" s="48"/>
      <c r="AC4243" s="48"/>
      <c r="AD4243" s="48"/>
      <c r="AE4243" s="48"/>
      <c r="AF4243" s="48"/>
      <c r="AG4243" s="48"/>
      <c r="AH4243" s="48"/>
      <c r="AI4243" s="48"/>
      <c r="AJ4243" s="48"/>
      <c r="AK4243" s="48"/>
      <c r="AL4243" s="48"/>
      <c r="AM4243" s="48"/>
      <c r="AN4243" s="48"/>
      <c r="AO4243" s="48"/>
      <c r="AP4243" s="48"/>
      <c r="AQ4243" s="48"/>
      <c r="AR4243" s="48"/>
      <c r="AS4243" s="48"/>
      <c r="AT4243" s="48"/>
      <c r="AU4243" s="48"/>
      <c r="AV4243" s="48"/>
      <c r="AW4243" s="48"/>
      <c r="AX4243" s="48"/>
      <c r="AY4243" s="48"/>
      <c r="AZ4243" s="48"/>
      <c r="BA4243" s="48"/>
      <c r="BB4243" s="48"/>
      <c r="BC4243" s="48"/>
      <c r="BD4243" s="48"/>
    </row>
    <row r="4244" spans="1:56">
      <c r="A4244" s="48"/>
      <c r="B4244" s="48"/>
      <c r="C4244" s="49"/>
      <c r="D4244" s="48"/>
      <c r="E4244" s="48"/>
      <c r="F4244" s="48"/>
      <c r="G4244" s="48"/>
      <c r="H4244" s="48"/>
      <c r="I4244" s="48"/>
      <c r="J4244" s="86"/>
      <c r="K4244" s="86"/>
      <c r="L4244" s="86"/>
      <c r="M4244" s="86"/>
      <c r="N4244" s="86"/>
      <c r="O4244" s="86"/>
      <c r="P4244" s="86"/>
      <c r="Q4244" s="86"/>
      <c r="R4244" s="86"/>
      <c r="S4244" s="86"/>
      <c r="T4244" s="86"/>
      <c r="U4244" s="86"/>
      <c r="V4244" s="48"/>
      <c r="W4244" s="48"/>
      <c r="X4244" s="48"/>
      <c r="Y4244" s="48"/>
      <c r="Z4244" s="48"/>
      <c r="AA4244" s="48"/>
      <c r="AB4244" s="48"/>
      <c r="AC4244" s="48"/>
      <c r="AD4244" s="48"/>
      <c r="AE4244" s="48"/>
      <c r="AF4244" s="48"/>
      <c r="AG4244" s="48"/>
      <c r="AH4244" s="48"/>
      <c r="AI4244" s="48"/>
      <c r="AJ4244" s="48"/>
      <c r="AK4244" s="48"/>
      <c r="AL4244" s="48"/>
      <c r="AM4244" s="48"/>
      <c r="AN4244" s="48"/>
      <c r="AO4244" s="48"/>
      <c r="AP4244" s="48"/>
      <c r="AQ4244" s="48"/>
      <c r="AR4244" s="48"/>
      <c r="AS4244" s="48"/>
      <c r="AT4244" s="48"/>
      <c r="AU4244" s="48"/>
      <c r="AV4244" s="48"/>
      <c r="AW4244" s="48"/>
      <c r="AX4244" s="48"/>
      <c r="AY4244" s="48"/>
      <c r="AZ4244" s="48"/>
      <c r="BA4244" s="48"/>
      <c r="BB4244" s="48"/>
      <c r="BC4244" s="48"/>
      <c r="BD4244" s="48"/>
    </row>
    <row r="4245" spans="1:56">
      <c r="A4245" s="48"/>
      <c r="B4245" s="48"/>
      <c r="C4245" s="49"/>
      <c r="D4245" s="48"/>
      <c r="E4245" s="48"/>
      <c r="F4245" s="48"/>
      <c r="G4245" s="48"/>
      <c r="H4245" s="48"/>
      <c r="I4245" s="48"/>
      <c r="J4245" s="86"/>
      <c r="K4245" s="86"/>
      <c r="L4245" s="86"/>
      <c r="M4245" s="86"/>
      <c r="N4245" s="86"/>
      <c r="O4245" s="86"/>
      <c r="P4245" s="86"/>
      <c r="Q4245" s="86"/>
      <c r="R4245" s="86"/>
      <c r="S4245" s="86"/>
      <c r="T4245" s="86"/>
      <c r="U4245" s="86"/>
      <c r="V4245" s="48"/>
      <c r="W4245" s="48"/>
      <c r="X4245" s="48"/>
      <c r="Y4245" s="48"/>
      <c r="Z4245" s="48"/>
      <c r="AA4245" s="48"/>
      <c r="AB4245" s="48"/>
      <c r="AC4245" s="48"/>
      <c r="AD4245" s="48"/>
      <c r="AE4245" s="48"/>
      <c r="AF4245" s="48"/>
      <c r="AG4245" s="48"/>
      <c r="AH4245" s="48"/>
      <c r="AI4245" s="48"/>
      <c r="AJ4245" s="48"/>
      <c r="AK4245" s="48"/>
      <c r="AL4245" s="48"/>
      <c r="AM4245" s="48"/>
      <c r="AN4245" s="48"/>
      <c r="AO4245" s="48"/>
      <c r="AP4245" s="48"/>
      <c r="AQ4245" s="48"/>
      <c r="AR4245" s="48"/>
      <c r="AS4245" s="48"/>
      <c r="AT4245" s="48"/>
      <c r="AU4245" s="48"/>
      <c r="AV4245" s="48"/>
      <c r="AW4245" s="48"/>
      <c r="AX4245" s="48"/>
      <c r="AY4245" s="48"/>
      <c r="AZ4245" s="48"/>
      <c r="BA4245" s="48"/>
      <c r="BB4245" s="48"/>
      <c r="BC4245" s="48"/>
      <c r="BD4245" s="48"/>
    </row>
    <row r="4246" spans="1:56">
      <c r="A4246" s="48"/>
      <c r="B4246" s="48"/>
      <c r="C4246" s="49"/>
      <c r="D4246" s="48"/>
      <c r="E4246" s="48"/>
      <c r="F4246" s="48"/>
      <c r="G4246" s="48"/>
      <c r="H4246" s="48"/>
      <c r="I4246" s="48"/>
      <c r="J4246" s="86"/>
      <c r="K4246" s="86"/>
      <c r="L4246" s="86"/>
      <c r="M4246" s="86"/>
      <c r="N4246" s="86"/>
      <c r="O4246" s="86"/>
      <c r="P4246" s="86"/>
      <c r="Q4246" s="86"/>
      <c r="R4246" s="86"/>
      <c r="S4246" s="86"/>
      <c r="T4246" s="86"/>
      <c r="U4246" s="86"/>
      <c r="V4246" s="48"/>
      <c r="W4246" s="48"/>
      <c r="X4246" s="48"/>
      <c r="Y4246" s="48"/>
      <c r="Z4246" s="48"/>
      <c r="AA4246" s="48"/>
      <c r="AB4246" s="48"/>
      <c r="AC4246" s="48"/>
      <c r="AD4246" s="48"/>
      <c r="AE4246" s="48"/>
      <c r="AF4246" s="48"/>
      <c r="AG4246" s="48"/>
      <c r="AH4246" s="48"/>
      <c r="AI4246" s="48"/>
      <c r="AJ4246" s="48"/>
      <c r="AK4246" s="48"/>
      <c r="AL4246" s="48"/>
      <c r="AM4246" s="48"/>
      <c r="AN4246" s="48"/>
      <c r="AO4246" s="48"/>
      <c r="AP4246" s="48"/>
      <c r="AQ4246" s="48"/>
      <c r="AR4246" s="48"/>
      <c r="AS4246" s="48"/>
      <c r="AT4246" s="48"/>
      <c r="AU4246" s="48"/>
      <c r="AV4246" s="48"/>
      <c r="AW4246" s="48"/>
      <c r="AX4246" s="48"/>
      <c r="AY4246" s="48"/>
      <c r="AZ4246" s="48"/>
      <c r="BA4246" s="48"/>
      <c r="BB4246" s="48"/>
      <c r="BC4246" s="48"/>
      <c r="BD4246" s="48"/>
    </row>
    <row r="4247" spans="1:56">
      <c r="A4247" s="48"/>
      <c r="B4247" s="48"/>
      <c r="C4247" s="49"/>
      <c r="D4247" s="48"/>
      <c r="E4247" s="48"/>
      <c r="F4247" s="48"/>
      <c r="G4247" s="48"/>
      <c r="H4247" s="48"/>
      <c r="I4247" s="48"/>
      <c r="J4247" s="86"/>
      <c r="K4247" s="86"/>
      <c r="L4247" s="86"/>
      <c r="M4247" s="86"/>
      <c r="N4247" s="86"/>
      <c r="O4247" s="86"/>
      <c r="P4247" s="86"/>
      <c r="Q4247" s="86"/>
      <c r="R4247" s="86"/>
      <c r="S4247" s="86"/>
      <c r="T4247" s="86"/>
      <c r="U4247" s="86"/>
      <c r="V4247" s="48"/>
      <c r="W4247" s="48"/>
      <c r="X4247" s="48"/>
      <c r="Y4247" s="48"/>
      <c r="Z4247" s="48"/>
      <c r="AA4247" s="48"/>
      <c r="AB4247" s="48"/>
      <c r="AC4247" s="48"/>
      <c r="AD4247" s="48"/>
      <c r="AE4247" s="48"/>
      <c r="AF4247" s="48"/>
      <c r="AG4247" s="48"/>
      <c r="AH4247" s="48"/>
      <c r="AI4247" s="48"/>
      <c r="AJ4247" s="48"/>
      <c r="AK4247" s="48"/>
      <c r="AL4247" s="48"/>
      <c r="AM4247" s="48"/>
      <c r="AN4247" s="48"/>
      <c r="AO4247" s="48"/>
      <c r="AP4247" s="48"/>
      <c r="AQ4247" s="48"/>
      <c r="AR4247" s="48"/>
      <c r="AS4247" s="48"/>
      <c r="AT4247" s="48"/>
      <c r="AU4247" s="48"/>
      <c r="AV4247" s="48"/>
      <c r="AW4247" s="48"/>
      <c r="AX4247" s="48"/>
      <c r="AY4247" s="48"/>
      <c r="AZ4247" s="48"/>
      <c r="BA4247" s="48"/>
      <c r="BB4247" s="48"/>
      <c r="BC4247" s="48"/>
      <c r="BD4247" s="48"/>
    </row>
    <row r="4248" spans="1:56">
      <c r="A4248" s="48"/>
      <c r="B4248" s="48"/>
      <c r="C4248" s="49"/>
      <c r="D4248" s="48"/>
      <c r="E4248" s="48"/>
      <c r="F4248" s="48"/>
      <c r="G4248" s="48"/>
      <c r="H4248" s="48"/>
      <c r="I4248" s="48"/>
      <c r="J4248" s="86"/>
      <c r="K4248" s="86"/>
      <c r="L4248" s="86"/>
      <c r="M4248" s="86"/>
      <c r="N4248" s="86"/>
      <c r="O4248" s="86"/>
      <c r="P4248" s="86"/>
      <c r="Q4248" s="86"/>
      <c r="R4248" s="86"/>
      <c r="S4248" s="86"/>
      <c r="T4248" s="86"/>
      <c r="U4248" s="86"/>
      <c r="V4248" s="48"/>
      <c r="W4248" s="48"/>
      <c r="X4248" s="48"/>
      <c r="Y4248" s="48"/>
      <c r="Z4248" s="48"/>
      <c r="AA4248" s="48"/>
      <c r="AB4248" s="48"/>
      <c r="AC4248" s="48"/>
      <c r="AD4248" s="48"/>
      <c r="AE4248" s="48"/>
      <c r="AF4248" s="48"/>
      <c r="AG4248" s="48"/>
      <c r="AH4248" s="48"/>
      <c r="AI4248" s="48"/>
      <c r="AJ4248" s="48"/>
      <c r="AK4248" s="48"/>
      <c r="AL4248" s="48"/>
      <c r="AM4248" s="48"/>
      <c r="AN4248" s="48"/>
      <c r="AO4248" s="48"/>
      <c r="AP4248" s="48"/>
      <c r="AQ4248" s="48"/>
      <c r="AR4248" s="48"/>
      <c r="AS4248" s="48"/>
      <c r="AT4248" s="48"/>
      <c r="AU4248" s="48"/>
      <c r="AV4248" s="48"/>
      <c r="AW4248" s="48"/>
      <c r="AX4248" s="48"/>
      <c r="AY4248" s="48"/>
      <c r="AZ4248" s="48"/>
      <c r="BA4248" s="48"/>
      <c r="BB4248" s="48"/>
      <c r="BC4248" s="48"/>
      <c r="BD4248" s="48"/>
    </row>
    <row r="4249" spans="1:56">
      <c r="A4249" s="48"/>
      <c r="B4249" s="48"/>
      <c r="C4249" s="49"/>
      <c r="D4249" s="48"/>
      <c r="E4249" s="48"/>
      <c r="F4249" s="48"/>
      <c r="G4249" s="48"/>
      <c r="H4249" s="48"/>
      <c r="I4249" s="48"/>
      <c r="J4249" s="86"/>
      <c r="K4249" s="86"/>
      <c r="L4249" s="86"/>
      <c r="M4249" s="86"/>
      <c r="N4249" s="86"/>
      <c r="O4249" s="86"/>
      <c r="P4249" s="86"/>
      <c r="Q4249" s="86"/>
      <c r="R4249" s="86"/>
      <c r="S4249" s="86"/>
      <c r="T4249" s="86"/>
      <c r="U4249" s="86"/>
      <c r="V4249" s="48"/>
      <c r="W4249" s="48"/>
      <c r="X4249" s="48"/>
      <c r="Y4249" s="48"/>
      <c r="Z4249" s="48"/>
      <c r="AA4249" s="48"/>
      <c r="AB4249" s="48"/>
      <c r="AC4249" s="48"/>
      <c r="AD4249" s="48"/>
      <c r="AE4249" s="48"/>
      <c r="AF4249" s="48"/>
      <c r="AG4249" s="48"/>
      <c r="AH4249" s="48"/>
      <c r="AI4249" s="48"/>
      <c r="AJ4249" s="48"/>
      <c r="AK4249" s="48"/>
      <c r="AL4249" s="48"/>
      <c r="AM4249" s="48"/>
      <c r="AN4249" s="48"/>
      <c r="AO4249" s="48"/>
      <c r="AP4249" s="48"/>
      <c r="AQ4249" s="48"/>
      <c r="AR4249" s="48"/>
      <c r="AS4249" s="48"/>
      <c r="AT4249" s="48"/>
      <c r="AU4249" s="48"/>
      <c r="AV4249" s="48"/>
      <c r="AW4249" s="48"/>
      <c r="AX4249" s="48"/>
      <c r="AY4249" s="48"/>
      <c r="AZ4249" s="48"/>
      <c r="BA4249" s="48"/>
      <c r="BB4249" s="48"/>
      <c r="BC4249" s="48"/>
      <c r="BD4249" s="48"/>
    </row>
    <row r="4250" spans="1:56">
      <c r="A4250" s="48"/>
      <c r="B4250" s="48"/>
      <c r="C4250" s="49"/>
      <c r="D4250" s="48"/>
      <c r="E4250" s="48"/>
      <c r="F4250" s="48"/>
      <c r="G4250" s="48"/>
      <c r="H4250" s="48"/>
      <c r="I4250" s="48"/>
      <c r="J4250" s="86"/>
      <c r="K4250" s="86"/>
      <c r="L4250" s="86"/>
      <c r="M4250" s="86"/>
      <c r="N4250" s="86"/>
      <c r="O4250" s="86"/>
      <c r="P4250" s="86"/>
      <c r="Q4250" s="86"/>
      <c r="R4250" s="86"/>
      <c r="S4250" s="86"/>
      <c r="T4250" s="86"/>
      <c r="U4250" s="86"/>
      <c r="V4250" s="48"/>
      <c r="W4250" s="48"/>
      <c r="X4250" s="48"/>
      <c r="Y4250" s="48"/>
      <c r="Z4250" s="48"/>
      <c r="AA4250" s="48"/>
      <c r="AB4250" s="48"/>
      <c r="AC4250" s="48"/>
      <c r="AD4250" s="48"/>
      <c r="AE4250" s="48"/>
      <c r="AF4250" s="48"/>
      <c r="AG4250" s="48"/>
      <c r="AH4250" s="48"/>
      <c r="AI4250" s="48"/>
      <c r="AJ4250" s="48"/>
      <c r="AK4250" s="48"/>
      <c r="AL4250" s="48"/>
      <c r="AM4250" s="48"/>
      <c r="AN4250" s="48"/>
      <c r="AO4250" s="48"/>
      <c r="AP4250" s="48"/>
      <c r="AQ4250" s="48"/>
      <c r="AR4250" s="48"/>
      <c r="AS4250" s="48"/>
      <c r="AT4250" s="48"/>
      <c r="AU4250" s="48"/>
      <c r="AV4250" s="48"/>
      <c r="AW4250" s="48"/>
      <c r="AX4250" s="48"/>
      <c r="AY4250" s="48"/>
      <c r="AZ4250" s="48"/>
      <c r="BA4250" s="48"/>
      <c r="BB4250" s="48"/>
      <c r="BC4250" s="48"/>
      <c r="BD4250" s="48"/>
    </row>
    <row r="4251" spans="1:56">
      <c r="A4251" s="48"/>
      <c r="B4251" s="48"/>
      <c r="C4251" s="49"/>
      <c r="D4251" s="48"/>
      <c r="E4251" s="48"/>
      <c r="F4251" s="48"/>
      <c r="G4251" s="48"/>
      <c r="H4251" s="48"/>
      <c r="I4251" s="48"/>
      <c r="J4251" s="86"/>
      <c r="K4251" s="86"/>
      <c r="L4251" s="86"/>
      <c r="M4251" s="86"/>
      <c r="N4251" s="86"/>
      <c r="O4251" s="86"/>
      <c r="P4251" s="86"/>
      <c r="Q4251" s="86"/>
      <c r="R4251" s="86"/>
      <c r="S4251" s="86"/>
      <c r="T4251" s="86"/>
      <c r="U4251" s="86"/>
      <c r="V4251" s="48"/>
      <c r="W4251" s="48"/>
      <c r="X4251" s="48"/>
      <c r="Y4251" s="48"/>
      <c r="Z4251" s="48"/>
      <c r="AA4251" s="48"/>
      <c r="AB4251" s="48"/>
      <c r="AC4251" s="48"/>
      <c r="AD4251" s="48"/>
      <c r="AE4251" s="48"/>
      <c r="AF4251" s="48"/>
      <c r="AG4251" s="48"/>
      <c r="AH4251" s="48"/>
      <c r="AI4251" s="48"/>
      <c r="AJ4251" s="48"/>
      <c r="AK4251" s="48"/>
      <c r="AL4251" s="48"/>
      <c r="AM4251" s="48"/>
      <c r="AN4251" s="48"/>
      <c r="AO4251" s="48"/>
      <c r="AP4251" s="48"/>
      <c r="AQ4251" s="48"/>
      <c r="AR4251" s="48"/>
      <c r="AS4251" s="48"/>
      <c r="AT4251" s="48"/>
      <c r="AU4251" s="48"/>
      <c r="AV4251" s="48"/>
      <c r="AW4251" s="48"/>
      <c r="AX4251" s="48"/>
      <c r="AY4251" s="48"/>
      <c r="AZ4251" s="48"/>
      <c r="BA4251" s="48"/>
      <c r="BB4251" s="48"/>
      <c r="BC4251" s="48"/>
      <c r="BD4251" s="48"/>
    </row>
    <row r="4252" spans="1:56">
      <c r="A4252" s="48"/>
      <c r="B4252" s="48"/>
      <c r="C4252" s="49"/>
      <c r="D4252" s="48"/>
      <c r="E4252" s="48"/>
      <c r="F4252" s="48"/>
      <c r="G4252" s="48"/>
      <c r="H4252" s="48"/>
      <c r="I4252" s="48"/>
      <c r="J4252" s="86"/>
      <c r="K4252" s="86"/>
      <c r="L4252" s="86"/>
      <c r="M4252" s="86"/>
      <c r="N4252" s="86"/>
      <c r="O4252" s="86"/>
      <c r="P4252" s="86"/>
      <c r="Q4252" s="86"/>
      <c r="R4252" s="86"/>
      <c r="S4252" s="86"/>
      <c r="T4252" s="86"/>
      <c r="U4252" s="86"/>
      <c r="V4252" s="48"/>
      <c r="W4252" s="48"/>
      <c r="X4252" s="48"/>
      <c r="Y4252" s="48"/>
      <c r="Z4252" s="48"/>
      <c r="AA4252" s="48"/>
      <c r="AB4252" s="48"/>
      <c r="AC4252" s="48"/>
      <c r="AD4252" s="48"/>
      <c r="AE4252" s="48"/>
      <c r="AF4252" s="48"/>
      <c r="AG4252" s="48"/>
      <c r="AH4252" s="48"/>
      <c r="AI4252" s="48"/>
      <c r="AJ4252" s="48"/>
      <c r="AK4252" s="48"/>
      <c r="AL4252" s="48"/>
      <c r="AM4252" s="48"/>
      <c r="AN4252" s="48"/>
      <c r="AO4252" s="48"/>
      <c r="AP4252" s="48"/>
      <c r="AQ4252" s="48"/>
      <c r="AR4252" s="48"/>
      <c r="AS4252" s="48"/>
      <c r="AT4252" s="48"/>
      <c r="AU4252" s="48"/>
      <c r="AV4252" s="48"/>
      <c r="AW4252" s="48"/>
      <c r="AX4252" s="48"/>
      <c r="AY4252" s="48"/>
      <c r="AZ4252" s="48"/>
      <c r="BA4252" s="48"/>
      <c r="BB4252" s="48"/>
      <c r="BC4252" s="48"/>
      <c r="BD4252" s="48"/>
    </row>
    <row r="4253" spans="1:56">
      <c r="A4253" s="48"/>
      <c r="B4253" s="48"/>
      <c r="C4253" s="49"/>
      <c r="D4253" s="48"/>
      <c r="E4253" s="48"/>
      <c r="F4253" s="48"/>
      <c r="G4253" s="48"/>
      <c r="H4253" s="48"/>
      <c r="I4253" s="48"/>
      <c r="J4253" s="86"/>
      <c r="K4253" s="86"/>
      <c r="L4253" s="86"/>
      <c r="M4253" s="86"/>
      <c r="N4253" s="86"/>
      <c r="O4253" s="86"/>
      <c r="P4253" s="86"/>
      <c r="Q4253" s="86"/>
      <c r="R4253" s="86"/>
      <c r="S4253" s="86"/>
      <c r="T4253" s="86"/>
      <c r="U4253" s="86"/>
      <c r="V4253" s="48"/>
      <c r="W4253" s="48"/>
      <c r="X4253" s="48"/>
      <c r="Y4253" s="48"/>
      <c r="Z4253" s="48"/>
      <c r="AA4253" s="48"/>
      <c r="AB4253" s="48"/>
      <c r="AC4253" s="48"/>
      <c r="AD4253" s="48"/>
      <c r="AE4253" s="48"/>
      <c r="AF4253" s="48"/>
      <c r="AG4253" s="48"/>
      <c r="AH4253" s="48"/>
      <c r="AI4253" s="48"/>
      <c r="AJ4253" s="48"/>
      <c r="AK4253" s="48"/>
      <c r="AL4253" s="48"/>
      <c r="AM4253" s="48"/>
      <c r="AN4253" s="48"/>
      <c r="AO4253" s="48"/>
      <c r="AP4253" s="48"/>
      <c r="AQ4253" s="48"/>
      <c r="AR4253" s="48"/>
      <c r="AS4253" s="48"/>
      <c r="AT4253" s="48"/>
      <c r="AU4253" s="48"/>
      <c r="AV4253" s="48"/>
      <c r="AW4253" s="48"/>
      <c r="AX4253" s="48"/>
      <c r="AY4253" s="48"/>
      <c r="AZ4253" s="48"/>
      <c r="BA4253" s="48"/>
      <c r="BB4253" s="48"/>
      <c r="BC4253" s="48"/>
      <c r="BD4253" s="48"/>
    </row>
    <row r="4254" spans="1:56">
      <c r="A4254" s="48"/>
      <c r="B4254" s="48"/>
      <c r="C4254" s="49"/>
      <c r="D4254" s="48"/>
      <c r="E4254" s="48"/>
      <c r="F4254" s="48"/>
      <c r="G4254" s="48"/>
      <c r="H4254" s="48"/>
      <c r="I4254" s="48"/>
      <c r="J4254" s="86"/>
      <c r="K4254" s="86"/>
      <c r="L4254" s="86"/>
      <c r="M4254" s="86"/>
      <c r="N4254" s="86"/>
      <c r="O4254" s="86"/>
      <c r="P4254" s="86"/>
      <c r="Q4254" s="86"/>
      <c r="R4254" s="86"/>
      <c r="S4254" s="86"/>
      <c r="T4254" s="86"/>
      <c r="U4254" s="86"/>
      <c r="V4254" s="48"/>
      <c r="W4254" s="48"/>
      <c r="X4254" s="48"/>
      <c r="Y4254" s="48"/>
      <c r="Z4254" s="48"/>
      <c r="AA4254" s="48"/>
      <c r="AB4254" s="48"/>
      <c r="AC4254" s="48"/>
      <c r="AD4254" s="48"/>
      <c r="AE4254" s="48"/>
      <c r="AF4254" s="48"/>
      <c r="AG4254" s="48"/>
      <c r="AH4254" s="48"/>
      <c r="AI4254" s="48"/>
      <c r="AJ4254" s="48"/>
      <c r="AK4254" s="48"/>
      <c r="AL4254" s="48"/>
      <c r="AM4254" s="48"/>
      <c r="AN4254" s="48"/>
      <c r="AO4254" s="48"/>
      <c r="AP4254" s="48"/>
      <c r="AQ4254" s="48"/>
      <c r="AR4254" s="48"/>
      <c r="AS4254" s="48"/>
      <c r="AT4254" s="48"/>
      <c r="AU4254" s="48"/>
      <c r="AV4254" s="48"/>
      <c r="AW4254" s="48"/>
      <c r="AX4254" s="48"/>
      <c r="AY4254" s="48"/>
      <c r="AZ4254" s="48"/>
      <c r="BA4254" s="48"/>
      <c r="BB4254" s="48"/>
      <c r="BC4254" s="48"/>
      <c r="BD4254" s="48"/>
    </row>
    <row r="4255" spans="1:56">
      <c r="A4255" s="48"/>
      <c r="B4255" s="48"/>
      <c r="C4255" s="49"/>
      <c r="D4255" s="48"/>
      <c r="E4255" s="48"/>
      <c r="F4255" s="48"/>
      <c r="G4255" s="48"/>
      <c r="H4255" s="48"/>
      <c r="I4255" s="48"/>
      <c r="J4255" s="86"/>
      <c r="K4255" s="86"/>
      <c r="L4255" s="86"/>
      <c r="M4255" s="86"/>
      <c r="N4255" s="86"/>
      <c r="O4255" s="86"/>
      <c r="P4255" s="86"/>
      <c r="Q4255" s="86"/>
      <c r="R4255" s="86"/>
      <c r="S4255" s="86"/>
      <c r="T4255" s="86"/>
      <c r="U4255" s="86"/>
      <c r="V4255" s="48"/>
      <c r="W4255" s="48"/>
      <c r="X4255" s="48"/>
      <c r="Y4255" s="48"/>
      <c r="Z4255" s="48"/>
      <c r="AA4255" s="48"/>
      <c r="AB4255" s="48"/>
      <c r="AC4255" s="48"/>
      <c r="AD4255" s="48"/>
      <c r="AE4255" s="48"/>
      <c r="AF4255" s="48"/>
      <c r="AG4255" s="48"/>
      <c r="AH4255" s="48"/>
      <c r="AI4255" s="48"/>
      <c r="AJ4255" s="48"/>
      <c r="AK4255" s="48"/>
      <c r="AL4255" s="48"/>
      <c r="AM4255" s="48"/>
      <c r="AN4255" s="48"/>
      <c r="AO4255" s="48"/>
      <c r="AP4255" s="48"/>
      <c r="AQ4255" s="48"/>
      <c r="AR4255" s="48"/>
      <c r="AS4255" s="48"/>
      <c r="AT4255" s="48"/>
      <c r="AU4255" s="48"/>
      <c r="AV4255" s="48"/>
      <c r="AW4255" s="48"/>
      <c r="AX4255" s="48"/>
      <c r="AY4255" s="48"/>
      <c r="AZ4255" s="48"/>
      <c r="BA4255" s="48"/>
      <c r="BB4255" s="48"/>
      <c r="BC4255" s="48"/>
      <c r="BD4255" s="48"/>
    </row>
    <row r="4256" spans="1:56">
      <c r="A4256" s="48"/>
      <c r="B4256" s="48"/>
      <c r="C4256" s="49"/>
      <c r="D4256" s="48"/>
      <c r="E4256" s="48"/>
      <c r="F4256" s="48"/>
      <c r="G4256" s="48"/>
      <c r="H4256" s="48"/>
      <c r="I4256" s="48"/>
      <c r="J4256" s="86"/>
      <c r="K4256" s="86"/>
      <c r="L4256" s="86"/>
      <c r="M4256" s="86"/>
      <c r="N4256" s="86"/>
      <c r="O4256" s="86"/>
      <c r="P4256" s="86"/>
      <c r="Q4256" s="86"/>
      <c r="R4256" s="86"/>
      <c r="S4256" s="86"/>
      <c r="T4256" s="86"/>
      <c r="U4256" s="86"/>
      <c r="V4256" s="48"/>
      <c r="W4256" s="48"/>
      <c r="X4256" s="48"/>
      <c r="Y4256" s="48"/>
      <c r="Z4256" s="48"/>
      <c r="AA4256" s="48"/>
      <c r="AB4256" s="48"/>
      <c r="AC4256" s="48"/>
      <c r="AD4256" s="48"/>
      <c r="AE4256" s="48"/>
      <c r="AF4256" s="48"/>
      <c r="AG4256" s="48"/>
      <c r="AH4256" s="48"/>
      <c r="AI4256" s="48"/>
      <c r="AJ4256" s="48"/>
      <c r="AK4256" s="48"/>
      <c r="AL4256" s="48"/>
      <c r="AM4256" s="48"/>
      <c r="AN4256" s="48"/>
      <c r="AO4256" s="48"/>
      <c r="AP4256" s="48"/>
      <c r="AQ4256" s="48"/>
      <c r="AR4256" s="48"/>
      <c r="AS4256" s="48"/>
      <c r="AT4256" s="48"/>
      <c r="AU4256" s="48"/>
      <c r="AV4256" s="48"/>
      <c r="AW4256" s="48"/>
      <c r="AX4256" s="48"/>
      <c r="AY4256" s="48"/>
      <c r="AZ4256" s="48"/>
      <c r="BA4256" s="48"/>
      <c r="BB4256" s="48"/>
      <c r="BC4256" s="48"/>
      <c r="BD4256" s="48"/>
    </row>
    <row r="4257" spans="1:56">
      <c r="A4257" s="48"/>
      <c r="B4257" s="48"/>
      <c r="C4257" s="49"/>
      <c r="D4257" s="48"/>
      <c r="E4257" s="48"/>
      <c r="F4257" s="48"/>
      <c r="G4257" s="48"/>
      <c r="H4257" s="48"/>
      <c r="I4257" s="48"/>
      <c r="J4257" s="86"/>
      <c r="K4257" s="86"/>
      <c r="L4257" s="86"/>
      <c r="M4257" s="86"/>
      <c r="N4257" s="86"/>
      <c r="O4257" s="86"/>
      <c r="P4257" s="86"/>
      <c r="Q4257" s="86"/>
      <c r="R4257" s="86"/>
      <c r="S4257" s="86"/>
      <c r="T4257" s="86"/>
      <c r="U4257" s="86"/>
      <c r="V4257" s="48"/>
      <c r="W4257" s="48"/>
      <c r="X4257" s="48"/>
      <c r="Y4257" s="48"/>
      <c r="Z4257" s="48"/>
      <c r="AA4257" s="48"/>
      <c r="AB4257" s="48"/>
      <c r="AC4257" s="48"/>
      <c r="AD4257" s="48"/>
      <c r="AE4257" s="48"/>
      <c r="AF4257" s="48"/>
      <c r="AG4257" s="48"/>
      <c r="AH4257" s="48"/>
      <c r="AI4257" s="48"/>
      <c r="AJ4257" s="48"/>
      <c r="AK4257" s="48"/>
      <c r="AL4257" s="48"/>
      <c r="AM4257" s="48"/>
      <c r="AN4257" s="48"/>
      <c r="AO4257" s="48"/>
      <c r="AP4257" s="48"/>
      <c r="AQ4257" s="48"/>
      <c r="AR4257" s="48"/>
      <c r="AS4257" s="48"/>
      <c r="AT4257" s="48"/>
      <c r="AU4257" s="48"/>
      <c r="AV4257" s="48"/>
      <c r="AW4257" s="48"/>
      <c r="AX4257" s="48"/>
      <c r="AY4257" s="48"/>
      <c r="AZ4257" s="48"/>
      <c r="BA4257" s="48"/>
      <c r="BB4257" s="48"/>
      <c r="BC4257" s="48"/>
      <c r="BD4257" s="48"/>
    </row>
    <row r="4258" spans="1:56">
      <c r="A4258" s="48"/>
      <c r="B4258" s="48"/>
      <c r="C4258" s="49"/>
      <c r="D4258" s="48"/>
      <c r="E4258" s="48"/>
      <c r="F4258" s="48"/>
      <c r="G4258" s="48"/>
      <c r="H4258" s="48"/>
      <c r="I4258" s="48"/>
      <c r="J4258" s="86"/>
      <c r="K4258" s="86"/>
      <c r="L4258" s="86"/>
      <c r="M4258" s="86"/>
      <c r="N4258" s="86"/>
      <c r="O4258" s="86"/>
      <c r="P4258" s="86"/>
      <c r="Q4258" s="86"/>
      <c r="R4258" s="86"/>
      <c r="S4258" s="86"/>
      <c r="T4258" s="86"/>
      <c r="U4258" s="86"/>
      <c r="V4258" s="48"/>
      <c r="W4258" s="48"/>
      <c r="X4258" s="48"/>
      <c r="Y4258" s="48"/>
      <c r="Z4258" s="48"/>
      <c r="AA4258" s="48"/>
      <c r="AB4258" s="48"/>
      <c r="AC4258" s="48"/>
      <c r="AD4258" s="48"/>
      <c r="AE4258" s="48"/>
      <c r="AF4258" s="48"/>
      <c r="AG4258" s="48"/>
      <c r="AH4258" s="48"/>
      <c r="AI4258" s="48"/>
      <c r="AJ4258" s="48"/>
      <c r="AK4258" s="48"/>
      <c r="AL4258" s="48"/>
      <c r="AM4258" s="48"/>
      <c r="AN4258" s="48"/>
      <c r="AO4258" s="48"/>
      <c r="AP4258" s="48"/>
      <c r="AQ4258" s="48"/>
      <c r="AR4258" s="48"/>
      <c r="AS4258" s="48"/>
      <c r="AT4258" s="48"/>
      <c r="AU4258" s="48"/>
      <c r="AV4258" s="48"/>
      <c r="AW4258" s="48"/>
      <c r="AX4258" s="48"/>
      <c r="AY4258" s="48"/>
      <c r="AZ4258" s="48"/>
      <c r="BA4258" s="48"/>
      <c r="BB4258" s="48"/>
      <c r="BC4258" s="48"/>
      <c r="BD4258" s="48"/>
    </row>
    <row r="4259" spans="1:56">
      <c r="A4259" s="48"/>
      <c r="B4259" s="48"/>
      <c r="C4259" s="49"/>
      <c r="D4259" s="48"/>
      <c r="E4259" s="48"/>
      <c r="F4259" s="48"/>
      <c r="G4259" s="48"/>
      <c r="H4259" s="48"/>
      <c r="I4259" s="48"/>
      <c r="J4259" s="86"/>
      <c r="K4259" s="86"/>
      <c r="L4259" s="86"/>
      <c r="M4259" s="86"/>
      <c r="N4259" s="86"/>
      <c r="O4259" s="86"/>
      <c r="P4259" s="86"/>
      <c r="Q4259" s="86"/>
      <c r="R4259" s="86"/>
      <c r="S4259" s="86"/>
      <c r="T4259" s="86"/>
      <c r="U4259" s="86"/>
      <c r="V4259" s="48"/>
      <c r="W4259" s="48"/>
      <c r="X4259" s="48"/>
      <c r="Y4259" s="48"/>
      <c r="Z4259" s="48"/>
      <c r="AA4259" s="48"/>
      <c r="AB4259" s="48"/>
      <c r="AC4259" s="48"/>
      <c r="AD4259" s="48"/>
      <c r="AE4259" s="48"/>
      <c r="AF4259" s="48"/>
      <c r="AG4259" s="48"/>
      <c r="AH4259" s="48"/>
      <c r="AI4259" s="48"/>
      <c r="AJ4259" s="48"/>
      <c r="AK4259" s="48"/>
      <c r="AL4259" s="48"/>
      <c r="AM4259" s="48"/>
      <c r="AN4259" s="48"/>
      <c r="AO4259" s="48"/>
      <c r="AP4259" s="48"/>
      <c r="AQ4259" s="48"/>
      <c r="AR4259" s="48"/>
      <c r="AS4259" s="48"/>
      <c r="AT4259" s="48"/>
      <c r="AU4259" s="48"/>
      <c r="AV4259" s="48"/>
      <c r="AW4259" s="48"/>
      <c r="AX4259" s="48"/>
      <c r="AY4259" s="48"/>
      <c r="AZ4259" s="48"/>
      <c r="BA4259" s="48"/>
      <c r="BB4259" s="48"/>
      <c r="BC4259" s="48"/>
      <c r="BD4259" s="48"/>
    </row>
    <row r="4260" spans="1:56">
      <c r="A4260" s="48"/>
      <c r="B4260" s="48"/>
      <c r="C4260" s="49"/>
      <c r="D4260" s="48"/>
      <c r="E4260" s="48"/>
      <c r="F4260" s="48"/>
      <c r="G4260" s="48"/>
      <c r="H4260" s="48"/>
      <c r="I4260" s="48"/>
      <c r="J4260" s="86"/>
      <c r="K4260" s="86"/>
      <c r="L4260" s="86"/>
      <c r="M4260" s="86"/>
      <c r="N4260" s="86"/>
      <c r="O4260" s="86"/>
      <c r="P4260" s="86"/>
      <c r="Q4260" s="86"/>
      <c r="R4260" s="86"/>
      <c r="S4260" s="86"/>
      <c r="T4260" s="86"/>
      <c r="U4260" s="86"/>
      <c r="V4260" s="48"/>
      <c r="W4260" s="48"/>
      <c r="X4260" s="48"/>
      <c r="Y4260" s="48"/>
      <c r="Z4260" s="48"/>
      <c r="AA4260" s="48"/>
      <c r="AB4260" s="48"/>
      <c r="AC4260" s="48"/>
      <c r="AD4260" s="48"/>
      <c r="AE4260" s="48"/>
      <c r="AF4260" s="48"/>
      <c r="AG4260" s="48"/>
      <c r="AH4260" s="48"/>
      <c r="AI4260" s="48"/>
      <c r="AJ4260" s="48"/>
      <c r="AK4260" s="48"/>
      <c r="AL4260" s="48"/>
      <c r="AM4260" s="48"/>
      <c r="AN4260" s="48"/>
      <c r="AO4260" s="48"/>
      <c r="AP4260" s="48"/>
      <c r="AQ4260" s="48"/>
      <c r="AR4260" s="48"/>
      <c r="AS4260" s="48"/>
      <c r="AT4260" s="48"/>
      <c r="AU4260" s="48"/>
      <c r="AV4260" s="48"/>
      <c r="AW4260" s="48"/>
      <c r="AX4260" s="48"/>
      <c r="AY4260" s="48"/>
      <c r="AZ4260" s="48"/>
      <c r="BA4260" s="48"/>
      <c r="BB4260" s="48"/>
      <c r="BC4260" s="48"/>
      <c r="BD4260" s="48"/>
    </row>
    <row r="4261" spans="1:56">
      <c r="A4261" s="48"/>
      <c r="B4261" s="48"/>
      <c r="C4261" s="49"/>
      <c r="D4261" s="48"/>
      <c r="E4261" s="48"/>
      <c r="F4261" s="48"/>
      <c r="G4261" s="48"/>
      <c r="H4261" s="48"/>
      <c r="I4261" s="48"/>
      <c r="J4261" s="86"/>
      <c r="K4261" s="86"/>
      <c r="L4261" s="86"/>
      <c r="M4261" s="86"/>
      <c r="N4261" s="86"/>
      <c r="O4261" s="86"/>
      <c r="P4261" s="86"/>
      <c r="Q4261" s="86"/>
      <c r="R4261" s="86"/>
      <c r="S4261" s="86"/>
      <c r="T4261" s="86"/>
      <c r="U4261" s="86"/>
      <c r="V4261" s="48"/>
      <c r="W4261" s="48"/>
      <c r="X4261" s="48"/>
      <c r="Y4261" s="48"/>
      <c r="Z4261" s="48"/>
      <c r="AA4261" s="48"/>
      <c r="AB4261" s="48"/>
      <c r="AC4261" s="48"/>
      <c r="AD4261" s="48"/>
      <c r="AE4261" s="48"/>
      <c r="AF4261" s="48"/>
      <c r="AG4261" s="48"/>
      <c r="AH4261" s="48"/>
      <c r="AI4261" s="48"/>
      <c r="AJ4261" s="48"/>
      <c r="AK4261" s="48"/>
      <c r="AL4261" s="48"/>
      <c r="AM4261" s="48"/>
      <c r="AN4261" s="48"/>
      <c r="AO4261" s="48"/>
      <c r="AP4261" s="48"/>
      <c r="AQ4261" s="48"/>
      <c r="AR4261" s="48"/>
      <c r="AS4261" s="48"/>
      <c r="AT4261" s="48"/>
      <c r="AU4261" s="48"/>
      <c r="AV4261" s="48"/>
      <c r="AW4261" s="48"/>
      <c r="AX4261" s="48"/>
      <c r="AY4261" s="48"/>
      <c r="AZ4261" s="48"/>
      <c r="BA4261" s="48"/>
      <c r="BB4261" s="48"/>
      <c r="BC4261" s="48"/>
      <c r="BD4261" s="48"/>
    </row>
    <row r="4262" spans="1:56">
      <c r="A4262" s="48"/>
      <c r="B4262" s="48"/>
      <c r="C4262" s="49"/>
      <c r="D4262" s="48"/>
      <c r="E4262" s="48"/>
      <c r="F4262" s="48"/>
      <c r="G4262" s="48"/>
      <c r="H4262" s="48"/>
      <c r="I4262" s="48"/>
      <c r="J4262" s="86"/>
      <c r="K4262" s="86"/>
      <c r="L4262" s="86"/>
      <c r="M4262" s="86"/>
      <c r="N4262" s="86"/>
      <c r="O4262" s="86"/>
      <c r="P4262" s="86"/>
      <c r="Q4262" s="86"/>
      <c r="R4262" s="86"/>
      <c r="S4262" s="86"/>
      <c r="T4262" s="86"/>
      <c r="U4262" s="86"/>
      <c r="V4262" s="48"/>
      <c r="W4262" s="48"/>
      <c r="X4262" s="48"/>
      <c r="Y4262" s="48"/>
      <c r="Z4262" s="48"/>
      <c r="AA4262" s="48"/>
      <c r="AB4262" s="48"/>
      <c r="AC4262" s="48"/>
      <c r="AD4262" s="48"/>
      <c r="AE4262" s="48"/>
      <c r="AF4262" s="48"/>
      <c r="AG4262" s="48"/>
      <c r="AH4262" s="48"/>
      <c r="AI4262" s="48"/>
      <c r="AJ4262" s="48"/>
      <c r="AK4262" s="48"/>
      <c r="AL4262" s="48"/>
      <c r="AM4262" s="48"/>
      <c r="AN4262" s="48"/>
      <c r="AO4262" s="48"/>
      <c r="AP4262" s="48"/>
      <c r="AQ4262" s="48"/>
      <c r="AR4262" s="48"/>
      <c r="AS4262" s="48"/>
      <c r="AT4262" s="48"/>
      <c r="AU4262" s="48"/>
      <c r="AV4262" s="48"/>
      <c r="AW4262" s="48"/>
      <c r="AX4262" s="48"/>
      <c r="AY4262" s="48"/>
      <c r="AZ4262" s="48"/>
      <c r="BA4262" s="48"/>
      <c r="BB4262" s="48"/>
      <c r="BC4262" s="48"/>
      <c r="BD4262" s="48"/>
    </row>
    <row r="4263" spans="1:56">
      <c r="A4263" s="48"/>
      <c r="B4263" s="48"/>
      <c r="C4263" s="49"/>
      <c r="D4263" s="48"/>
      <c r="E4263" s="48"/>
      <c r="F4263" s="48"/>
      <c r="G4263" s="48"/>
      <c r="H4263" s="48"/>
      <c r="I4263" s="48"/>
      <c r="J4263" s="86"/>
      <c r="K4263" s="86"/>
      <c r="L4263" s="86"/>
      <c r="M4263" s="86"/>
      <c r="N4263" s="86"/>
      <c r="O4263" s="86"/>
      <c r="P4263" s="86"/>
      <c r="Q4263" s="86"/>
      <c r="R4263" s="86"/>
      <c r="S4263" s="86"/>
      <c r="T4263" s="86"/>
      <c r="U4263" s="86"/>
      <c r="V4263" s="48"/>
      <c r="W4263" s="48"/>
      <c r="X4263" s="48"/>
      <c r="Y4263" s="48"/>
      <c r="Z4263" s="48"/>
      <c r="AA4263" s="48"/>
      <c r="AB4263" s="48"/>
      <c r="AC4263" s="48"/>
      <c r="AD4263" s="48"/>
      <c r="AE4263" s="48"/>
      <c r="AF4263" s="48"/>
      <c r="AG4263" s="48"/>
      <c r="AH4263" s="48"/>
      <c r="AI4263" s="48"/>
      <c r="AJ4263" s="48"/>
      <c r="AK4263" s="48"/>
      <c r="AL4263" s="48"/>
      <c r="AM4263" s="48"/>
      <c r="AN4263" s="48"/>
      <c r="AO4263" s="48"/>
      <c r="AP4263" s="48"/>
      <c r="AQ4263" s="48"/>
      <c r="AR4263" s="48"/>
      <c r="AS4263" s="48"/>
      <c r="AT4263" s="48"/>
      <c r="AU4263" s="48"/>
      <c r="AV4263" s="48"/>
      <c r="AW4263" s="48"/>
      <c r="AX4263" s="48"/>
      <c r="AY4263" s="48"/>
      <c r="AZ4263" s="48"/>
      <c r="BA4263" s="48"/>
      <c r="BB4263" s="48"/>
      <c r="BC4263" s="48"/>
      <c r="BD4263" s="48"/>
    </row>
    <row r="4264" spans="1:56">
      <c r="A4264" s="48"/>
      <c r="B4264" s="48"/>
      <c r="C4264" s="49"/>
      <c r="D4264" s="48"/>
      <c r="E4264" s="48"/>
      <c r="F4264" s="48"/>
      <c r="G4264" s="48"/>
      <c r="H4264" s="48"/>
      <c r="I4264" s="48"/>
      <c r="J4264" s="86"/>
      <c r="K4264" s="86"/>
      <c r="L4264" s="86"/>
      <c r="M4264" s="86"/>
      <c r="N4264" s="86"/>
      <c r="O4264" s="86"/>
      <c r="P4264" s="86"/>
      <c r="Q4264" s="86"/>
      <c r="R4264" s="86"/>
      <c r="S4264" s="86"/>
      <c r="T4264" s="86"/>
      <c r="U4264" s="86"/>
      <c r="V4264" s="48"/>
      <c r="W4264" s="48"/>
      <c r="X4264" s="48"/>
      <c r="Y4264" s="48"/>
      <c r="Z4264" s="48"/>
      <c r="AA4264" s="48"/>
      <c r="AB4264" s="48"/>
      <c r="AC4264" s="48"/>
      <c r="AD4264" s="48"/>
      <c r="AE4264" s="48"/>
      <c r="AF4264" s="48"/>
      <c r="AG4264" s="48"/>
      <c r="AH4264" s="48"/>
      <c r="AI4264" s="48"/>
      <c r="AJ4264" s="48"/>
      <c r="AK4264" s="48"/>
      <c r="AL4264" s="48"/>
      <c r="AM4264" s="48"/>
      <c r="AN4264" s="48"/>
      <c r="AO4264" s="48"/>
      <c r="AP4264" s="48"/>
      <c r="AQ4264" s="48"/>
      <c r="AR4264" s="48"/>
      <c r="AS4264" s="48"/>
      <c r="AT4264" s="48"/>
      <c r="AU4264" s="48"/>
      <c r="AV4264" s="48"/>
      <c r="AW4264" s="48"/>
      <c r="AX4264" s="48"/>
      <c r="AY4264" s="48"/>
      <c r="AZ4264" s="48"/>
      <c r="BA4264" s="48"/>
      <c r="BB4264" s="48"/>
      <c r="BC4264" s="48"/>
      <c r="BD4264" s="48"/>
    </row>
    <row r="4265" spans="1:56">
      <c r="A4265" s="48"/>
      <c r="B4265" s="48"/>
      <c r="C4265" s="49"/>
      <c r="D4265" s="48"/>
      <c r="E4265" s="48"/>
      <c r="F4265" s="48"/>
      <c r="G4265" s="48"/>
      <c r="H4265" s="48"/>
      <c r="I4265" s="48"/>
      <c r="J4265" s="86"/>
      <c r="K4265" s="86"/>
      <c r="L4265" s="86"/>
      <c r="M4265" s="86"/>
      <c r="N4265" s="86"/>
      <c r="O4265" s="86"/>
      <c r="P4265" s="86"/>
      <c r="Q4265" s="86"/>
      <c r="R4265" s="86"/>
      <c r="S4265" s="86"/>
      <c r="T4265" s="86"/>
      <c r="U4265" s="86"/>
      <c r="V4265" s="48"/>
      <c r="W4265" s="48"/>
      <c r="X4265" s="48"/>
      <c r="Y4265" s="48"/>
      <c r="Z4265" s="48"/>
      <c r="AA4265" s="48"/>
      <c r="AB4265" s="48"/>
      <c r="AC4265" s="48"/>
      <c r="AD4265" s="48"/>
      <c r="AE4265" s="48"/>
      <c r="AF4265" s="48"/>
      <c r="AG4265" s="48"/>
      <c r="AH4265" s="48"/>
      <c r="AI4265" s="48"/>
      <c r="AJ4265" s="48"/>
      <c r="AK4265" s="48"/>
      <c r="AL4265" s="48"/>
      <c r="AM4265" s="48"/>
      <c r="AN4265" s="48"/>
      <c r="AO4265" s="48"/>
      <c r="AP4265" s="48"/>
      <c r="AQ4265" s="48"/>
      <c r="AR4265" s="48"/>
      <c r="AS4265" s="48"/>
      <c r="AT4265" s="48"/>
      <c r="AU4265" s="48"/>
      <c r="AV4265" s="48"/>
      <c r="AW4265" s="48"/>
      <c r="AX4265" s="48"/>
      <c r="AY4265" s="48"/>
      <c r="AZ4265" s="48"/>
      <c r="BA4265" s="48"/>
      <c r="BB4265" s="48"/>
      <c r="BC4265" s="48"/>
      <c r="BD4265" s="48"/>
    </row>
    <row r="4266" spans="1:56">
      <c r="A4266" s="48"/>
      <c r="B4266" s="48"/>
      <c r="C4266" s="49"/>
      <c r="D4266" s="48"/>
      <c r="E4266" s="48"/>
      <c r="F4266" s="48"/>
      <c r="G4266" s="48"/>
      <c r="H4266" s="48"/>
      <c r="I4266" s="48"/>
      <c r="J4266" s="86"/>
      <c r="K4266" s="86"/>
      <c r="L4266" s="86"/>
      <c r="M4266" s="86"/>
      <c r="N4266" s="86"/>
      <c r="O4266" s="86"/>
      <c r="P4266" s="86"/>
      <c r="Q4266" s="86"/>
      <c r="R4266" s="86"/>
      <c r="S4266" s="86"/>
      <c r="T4266" s="86"/>
      <c r="U4266" s="86"/>
      <c r="V4266" s="48"/>
      <c r="W4266" s="48"/>
      <c r="X4266" s="48"/>
      <c r="Y4266" s="48"/>
      <c r="Z4266" s="48"/>
      <c r="AA4266" s="48"/>
      <c r="AB4266" s="48"/>
      <c r="AC4266" s="48"/>
      <c r="AD4266" s="48"/>
      <c r="AE4266" s="48"/>
      <c r="AF4266" s="48"/>
      <c r="AG4266" s="48"/>
      <c r="AH4266" s="48"/>
      <c r="AI4266" s="48"/>
      <c r="AJ4266" s="48"/>
      <c r="AK4266" s="48"/>
      <c r="AL4266" s="48"/>
      <c r="AM4266" s="48"/>
      <c r="AN4266" s="48"/>
      <c r="AO4266" s="48"/>
      <c r="AP4266" s="48"/>
      <c r="AQ4266" s="48"/>
      <c r="AR4266" s="48"/>
      <c r="AS4266" s="48"/>
      <c r="AT4266" s="48"/>
      <c r="AU4266" s="48"/>
      <c r="AV4266" s="48"/>
      <c r="AW4266" s="48"/>
      <c r="AX4266" s="48"/>
      <c r="AY4266" s="48"/>
      <c r="AZ4266" s="48"/>
      <c r="BA4266" s="48"/>
      <c r="BB4266" s="48"/>
      <c r="BC4266" s="48"/>
      <c r="BD4266" s="48"/>
    </row>
    <row r="4267" spans="1:56">
      <c r="A4267" s="48"/>
      <c r="B4267" s="48"/>
      <c r="C4267" s="49"/>
      <c r="D4267" s="48"/>
      <c r="E4267" s="48"/>
      <c r="F4267" s="48"/>
      <c r="G4267" s="48"/>
      <c r="H4267" s="48"/>
      <c r="I4267" s="48"/>
      <c r="J4267" s="86"/>
      <c r="K4267" s="86"/>
      <c r="L4267" s="86"/>
      <c r="M4267" s="86"/>
      <c r="N4267" s="86"/>
      <c r="O4267" s="86"/>
      <c r="P4267" s="86"/>
      <c r="Q4267" s="86"/>
      <c r="R4267" s="86"/>
      <c r="S4267" s="86"/>
      <c r="T4267" s="86"/>
      <c r="U4267" s="86"/>
      <c r="V4267" s="48"/>
      <c r="W4267" s="48"/>
      <c r="X4267" s="48"/>
      <c r="Y4267" s="48"/>
      <c r="Z4267" s="48"/>
      <c r="AA4267" s="48"/>
      <c r="AB4267" s="48"/>
      <c r="AC4267" s="48"/>
      <c r="AD4267" s="48"/>
      <c r="AE4267" s="48"/>
      <c r="AF4267" s="48"/>
      <c r="AG4267" s="48"/>
      <c r="AH4267" s="48"/>
      <c r="AI4267" s="48"/>
      <c r="AJ4267" s="48"/>
      <c r="AK4267" s="48"/>
      <c r="AL4267" s="48"/>
      <c r="AM4267" s="48"/>
      <c r="AN4267" s="48"/>
      <c r="AO4267" s="48"/>
      <c r="AP4267" s="48"/>
      <c r="AQ4267" s="48"/>
      <c r="AR4267" s="48"/>
      <c r="AS4267" s="48"/>
      <c r="AT4267" s="48"/>
      <c r="AU4267" s="48"/>
      <c r="AV4267" s="48"/>
      <c r="AW4267" s="48"/>
      <c r="AX4267" s="48"/>
      <c r="AY4267" s="48"/>
      <c r="AZ4267" s="48"/>
      <c r="BA4267" s="48"/>
      <c r="BB4267" s="48"/>
      <c r="BC4267" s="48"/>
      <c r="BD4267" s="48"/>
    </row>
    <row r="4268" spans="1:56">
      <c r="A4268" s="48"/>
      <c r="B4268" s="48"/>
      <c r="C4268" s="49"/>
      <c r="D4268" s="48"/>
      <c r="E4268" s="48"/>
      <c r="F4268" s="48"/>
      <c r="G4268" s="48"/>
      <c r="H4268" s="48"/>
      <c r="I4268" s="48"/>
      <c r="J4268" s="86"/>
      <c r="K4268" s="86"/>
      <c r="L4268" s="86"/>
      <c r="M4268" s="86"/>
      <c r="N4268" s="86"/>
      <c r="O4268" s="86"/>
      <c r="P4268" s="86"/>
      <c r="Q4268" s="86"/>
      <c r="R4268" s="86"/>
      <c r="S4268" s="86"/>
      <c r="T4268" s="86"/>
      <c r="U4268" s="86"/>
      <c r="V4268" s="48"/>
      <c r="W4268" s="48"/>
      <c r="X4268" s="48"/>
      <c r="Y4268" s="48"/>
      <c r="Z4268" s="48"/>
      <c r="AA4268" s="48"/>
      <c r="AB4268" s="48"/>
      <c r="AC4268" s="48"/>
      <c r="AD4268" s="48"/>
      <c r="AE4268" s="48"/>
      <c r="AF4268" s="48"/>
      <c r="AG4268" s="48"/>
      <c r="AH4268" s="48"/>
      <c r="AI4268" s="48"/>
      <c r="AJ4268" s="48"/>
      <c r="AK4268" s="48"/>
      <c r="AL4268" s="48"/>
      <c r="AM4268" s="48"/>
      <c r="AN4268" s="48"/>
      <c r="AO4268" s="48"/>
      <c r="AP4268" s="48"/>
      <c r="AQ4268" s="48"/>
      <c r="AR4268" s="48"/>
      <c r="AS4268" s="48"/>
      <c r="AT4268" s="48"/>
      <c r="AU4268" s="48"/>
      <c r="AV4268" s="48"/>
      <c r="AW4268" s="48"/>
      <c r="AX4268" s="48"/>
      <c r="AY4268" s="48"/>
      <c r="AZ4268" s="48"/>
      <c r="BA4268" s="48"/>
      <c r="BB4268" s="48"/>
      <c r="BC4268" s="48"/>
      <c r="BD4268" s="48"/>
    </row>
    <row r="4269" spans="1:56">
      <c r="A4269" s="48"/>
      <c r="B4269" s="48"/>
      <c r="C4269" s="49"/>
      <c r="D4269" s="48"/>
      <c r="E4269" s="48"/>
      <c r="F4269" s="48"/>
      <c r="G4269" s="48"/>
      <c r="H4269" s="48"/>
      <c r="I4269" s="48"/>
      <c r="J4269" s="86"/>
      <c r="K4269" s="86"/>
      <c r="L4269" s="86"/>
      <c r="M4269" s="86"/>
      <c r="N4269" s="86"/>
      <c r="O4269" s="86"/>
      <c r="P4269" s="86"/>
      <c r="Q4269" s="86"/>
      <c r="R4269" s="86"/>
      <c r="S4269" s="86"/>
      <c r="T4269" s="86"/>
      <c r="U4269" s="86"/>
      <c r="V4269" s="48"/>
      <c r="W4269" s="48"/>
      <c r="X4269" s="48"/>
      <c r="Y4269" s="48"/>
      <c r="Z4269" s="48"/>
      <c r="AA4269" s="48"/>
      <c r="AB4269" s="48"/>
      <c r="AC4269" s="48"/>
      <c r="AD4269" s="48"/>
      <c r="AE4269" s="48"/>
      <c r="AF4269" s="48"/>
      <c r="AG4269" s="48"/>
      <c r="AH4269" s="48"/>
      <c r="AI4269" s="48"/>
      <c r="AJ4269" s="48"/>
      <c r="AK4269" s="48"/>
      <c r="AL4269" s="48"/>
      <c r="AM4269" s="48"/>
      <c r="AN4269" s="48"/>
      <c r="AO4269" s="48"/>
      <c r="AP4269" s="48"/>
      <c r="AQ4269" s="48"/>
      <c r="AR4269" s="48"/>
      <c r="AS4269" s="48"/>
      <c r="AT4269" s="48"/>
      <c r="AU4269" s="48"/>
      <c r="AV4269" s="48"/>
      <c r="AW4269" s="48"/>
      <c r="AX4269" s="48"/>
      <c r="AY4269" s="48"/>
      <c r="AZ4269" s="48"/>
      <c r="BA4269" s="48"/>
      <c r="BB4269" s="48"/>
      <c r="BC4269" s="48"/>
      <c r="BD4269" s="48"/>
    </row>
    <row r="4270" spans="1:56">
      <c r="A4270" s="48"/>
      <c r="B4270" s="48"/>
      <c r="C4270" s="49"/>
      <c r="D4270" s="48"/>
      <c r="E4270" s="48"/>
      <c r="F4270" s="48"/>
      <c r="G4270" s="48"/>
      <c r="H4270" s="48"/>
      <c r="I4270" s="48"/>
      <c r="J4270" s="86"/>
      <c r="K4270" s="86"/>
      <c r="L4270" s="86"/>
      <c r="M4270" s="86"/>
      <c r="N4270" s="86"/>
      <c r="O4270" s="86"/>
      <c r="P4270" s="86"/>
      <c r="Q4270" s="86"/>
      <c r="R4270" s="86"/>
      <c r="S4270" s="86"/>
      <c r="T4270" s="86"/>
      <c r="U4270" s="86"/>
      <c r="V4270" s="48"/>
      <c r="W4270" s="48"/>
      <c r="X4270" s="48"/>
      <c r="Y4270" s="48"/>
      <c r="Z4270" s="48"/>
      <c r="AA4270" s="48"/>
      <c r="AB4270" s="48"/>
      <c r="AC4270" s="48"/>
      <c r="AD4270" s="48"/>
      <c r="AE4270" s="48"/>
      <c r="AF4270" s="48"/>
      <c r="AG4270" s="48"/>
      <c r="AH4270" s="48"/>
      <c r="AI4270" s="48"/>
      <c r="AJ4270" s="48"/>
      <c r="AK4270" s="48"/>
      <c r="AL4270" s="48"/>
      <c r="AM4270" s="48"/>
      <c r="AN4270" s="48"/>
      <c r="AO4270" s="48"/>
      <c r="AP4270" s="48"/>
      <c r="AQ4270" s="48"/>
      <c r="AR4270" s="48"/>
      <c r="AS4270" s="48"/>
      <c r="AT4270" s="48"/>
      <c r="AU4270" s="48"/>
      <c r="AV4270" s="48"/>
      <c r="AW4270" s="48"/>
      <c r="AX4270" s="48"/>
      <c r="AY4270" s="48"/>
      <c r="AZ4270" s="48"/>
      <c r="BA4270" s="48"/>
      <c r="BB4270" s="48"/>
      <c r="BC4270" s="48"/>
      <c r="BD4270" s="48"/>
    </row>
    <row r="4271" spans="1:56">
      <c r="A4271" s="48"/>
      <c r="B4271" s="48"/>
      <c r="C4271" s="49"/>
      <c r="D4271" s="48"/>
      <c r="E4271" s="48"/>
      <c r="F4271" s="48"/>
      <c r="G4271" s="48"/>
      <c r="H4271" s="48"/>
      <c r="I4271" s="48"/>
      <c r="J4271" s="86"/>
      <c r="K4271" s="86"/>
      <c r="L4271" s="86"/>
      <c r="M4271" s="86"/>
      <c r="N4271" s="86"/>
      <c r="O4271" s="86"/>
      <c r="P4271" s="86"/>
      <c r="Q4271" s="86"/>
      <c r="R4271" s="86"/>
      <c r="S4271" s="86"/>
      <c r="T4271" s="86"/>
      <c r="U4271" s="86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48"/>
      <c r="BB4271" s="48"/>
      <c r="BC4271" s="48"/>
      <c r="BD4271" s="48"/>
    </row>
    <row r="4272" spans="1:56">
      <c r="A4272" s="48"/>
      <c r="B4272" s="48"/>
      <c r="C4272" s="49"/>
      <c r="D4272" s="48"/>
      <c r="E4272" s="48"/>
      <c r="F4272" s="48"/>
      <c r="G4272" s="48"/>
      <c r="H4272" s="48"/>
      <c r="I4272" s="48"/>
      <c r="J4272" s="86"/>
      <c r="K4272" s="86"/>
      <c r="L4272" s="86"/>
      <c r="M4272" s="86"/>
      <c r="N4272" s="86"/>
      <c r="O4272" s="86"/>
      <c r="P4272" s="86"/>
      <c r="Q4272" s="86"/>
      <c r="R4272" s="86"/>
      <c r="S4272" s="86"/>
      <c r="T4272" s="86"/>
      <c r="U4272" s="86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48"/>
      <c r="BB4272" s="48"/>
      <c r="BC4272" s="48"/>
      <c r="BD4272" s="48"/>
    </row>
    <row r="4273" spans="1:56">
      <c r="A4273" s="48"/>
      <c r="B4273" s="48"/>
      <c r="C4273" s="49"/>
      <c r="D4273" s="48"/>
      <c r="E4273" s="48"/>
      <c r="F4273" s="48"/>
      <c r="G4273" s="48"/>
      <c r="H4273" s="48"/>
      <c r="I4273" s="48"/>
      <c r="J4273" s="86"/>
      <c r="K4273" s="86"/>
      <c r="L4273" s="86"/>
      <c r="M4273" s="86"/>
      <c r="N4273" s="86"/>
      <c r="O4273" s="86"/>
      <c r="P4273" s="86"/>
      <c r="Q4273" s="86"/>
      <c r="R4273" s="86"/>
      <c r="S4273" s="86"/>
      <c r="T4273" s="86"/>
      <c r="U4273" s="86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48"/>
      <c r="BB4273" s="48"/>
      <c r="BC4273" s="48"/>
      <c r="BD4273" s="48"/>
    </row>
    <row r="4274" spans="1:56">
      <c r="A4274" s="48"/>
      <c r="B4274" s="48"/>
      <c r="C4274" s="49"/>
      <c r="D4274" s="48"/>
      <c r="E4274" s="48"/>
      <c r="F4274" s="48"/>
      <c r="G4274" s="48"/>
      <c r="H4274" s="48"/>
      <c r="I4274" s="48"/>
      <c r="J4274" s="86"/>
      <c r="K4274" s="86"/>
      <c r="L4274" s="86"/>
      <c r="M4274" s="86"/>
      <c r="N4274" s="86"/>
      <c r="O4274" s="86"/>
      <c r="P4274" s="86"/>
      <c r="Q4274" s="86"/>
      <c r="R4274" s="86"/>
      <c r="S4274" s="86"/>
      <c r="T4274" s="86"/>
      <c r="U4274" s="86"/>
      <c r="V4274" s="48"/>
      <c r="W4274" s="48"/>
      <c r="X4274" s="48"/>
      <c r="Y4274" s="48"/>
      <c r="Z4274" s="48"/>
      <c r="AA4274" s="48"/>
      <c r="AB4274" s="48"/>
      <c r="AC4274" s="48"/>
      <c r="AD4274" s="48"/>
      <c r="AE4274" s="48"/>
      <c r="AF4274" s="48"/>
      <c r="AG4274" s="48"/>
      <c r="AH4274" s="48"/>
      <c r="AI4274" s="48"/>
      <c r="AJ4274" s="48"/>
      <c r="AK4274" s="48"/>
      <c r="AL4274" s="48"/>
      <c r="AM4274" s="48"/>
      <c r="AN4274" s="48"/>
      <c r="AO4274" s="48"/>
      <c r="AP4274" s="48"/>
      <c r="AQ4274" s="48"/>
      <c r="AR4274" s="48"/>
      <c r="AS4274" s="48"/>
      <c r="AT4274" s="48"/>
      <c r="AU4274" s="48"/>
      <c r="AV4274" s="48"/>
      <c r="AW4274" s="48"/>
      <c r="AX4274" s="48"/>
      <c r="AY4274" s="48"/>
      <c r="AZ4274" s="48"/>
      <c r="BA4274" s="48"/>
      <c r="BB4274" s="48"/>
      <c r="BC4274" s="48"/>
      <c r="BD4274" s="48"/>
    </row>
    <row r="4275" spans="1:56">
      <c r="A4275" s="48"/>
      <c r="B4275" s="48"/>
      <c r="C4275" s="49"/>
      <c r="D4275" s="48"/>
      <c r="E4275" s="48"/>
      <c r="F4275" s="48"/>
      <c r="G4275" s="48"/>
      <c r="H4275" s="48"/>
      <c r="I4275" s="48"/>
      <c r="J4275" s="86"/>
      <c r="K4275" s="86"/>
      <c r="L4275" s="86"/>
      <c r="M4275" s="86"/>
      <c r="N4275" s="86"/>
      <c r="O4275" s="86"/>
      <c r="P4275" s="86"/>
      <c r="Q4275" s="86"/>
      <c r="R4275" s="86"/>
      <c r="S4275" s="86"/>
      <c r="T4275" s="86"/>
      <c r="U4275" s="86"/>
      <c r="V4275" s="48"/>
      <c r="W4275" s="48"/>
      <c r="X4275" s="48"/>
      <c r="Y4275" s="48"/>
      <c r="Z4275" s="48"/>
      <c r="AA4275" s="48"/>
      <c r="AB4275" s="48"/>
      <c r="AC4275" s="48"/>
      <c r="AD4275" s="48"/>
      <c r="AE4275" s="48"/>
      <c r="AF4275" s="48"/>
      <c r="AG4275" s="48"/>
      <c r="AH4275" s="48"/>
      <c r="AI4275" s="48"/>
      <c r="AJ4275" s="48"/>
      <c r="AK4275" s="48"/>
      <c r="AL4275" s="48"/>
      <c r="AM4275" s="48"/>
      <c r="AN4275" s="48"/>
      <c r="AO4275" s="48"/>
      <c r="AP4275" s="48"/>
      <c r="AQ4275" s="48"/>
      <c r="AR4275" s="48"/>
      <c r="AS4275" s="48"/>
      <c r="AT4275" s="48"/>
      <c r="AU4275" s="48"/>
      <c r="AV4275" s="48"/>
      <c r="AW4275" s="48"/>
      <c r="AX4275" s="48"/>
      <c r="AY4275" s="48"/>
      <c r="AZ4275" s="48"/>
      <c r="BA4275" s="48"/>
      <c r="BB4275" s="48"/>
      <c r="BC4275" s="48"/>
      <c r="BD4275" s="48"/>
    </row>
    <row r="4276" spans="1:56">
      <c r="A4276" s="48"/>
      <c r="B4276" s="48"/>
      <c r="C4276" s="49"/>
      <c r="D4276" s="48"/>
      <c r="E4276" s="48"/>
      <c r="F4276" s="48"/>
      <c r="G4276" s="48"/>
      <c r="H4276" s="48"/>
      <c r="I4276" s="48"/>
      <c r="J4276" s="86"/>
      <c r="K4276" s="86"/>
      <c r="L4276" s="86"/>
      <c r="M4276" s="86"/>
      <c r="N4276" s="86"/>
      <c r="O4276" s="86"/>
      <c r="P4276" s="86"/>
      <c r="Q4276" s="86"/>
      <c r="R4276" s="86"/>
      <c r="S4276" s="86"/>
      <c r="T4276" s="86"/>
      <c r="U4276" s="86"/>
      <c r="V4276" s="48"/>
      <c r="W4276" s="48"/>
      <c r="X4276" s="48"/>
      <c r="Y4276" s="48"/>
      <c r="Z4276" s="48"/>
      <c r="AA4276" s="48"/>
      <c r="AB4276" s="48"/>
      <c r="AC4276" s="48"/>
      <c r="AD4276" s="48"/>
      <c r="AE4276" s="48"/>
      <c r="AF4276" s="48"/>
      <c r="AG4276" s="48"/>
      <c r="AH4276" s="48"/>
      <c r="AI4276" s="48"/>
      <c r="AJ4276" s="48"/>
      <c r="AK4276" s="48"/>
      <c r="AL4276" s="48"/>
      <c r="AM4276" s="48"/>
      <c r="AN4276" s="48"/>
      <c r="AO4276" s="48"/>
      <c r="AP4276" s="48"/>
      <c r="AQ4276" s="48"/>
      <c r="AR4276" s="48"/>
      <c r="AS4276" s="48"/>
      <c r="AT4276" s="48"/>
      <c r="AU4276" s="48"/>
      <c r="AV4276" s="48"/>
      <c r="AW4276" s="48"/>
      <c r="AX4276" s="48"/>
      <c r="AY4276" s="48"/>
      <c r="AZ4276" s="48"/>
      <c r="BA4276" s="48"/>
      <c r="BB4276" s="48"/>
      <c r="BC4276" s="48"/>
      <c r="BD4276" s="48"/>
    </row>
    <row r="4277" spans="1:56">
      <c r="A4277" s="48"/>
      <c r="B4277" s="48"/>
      <c r="C4277" s="49"/>
      <c r="D4277" s="48"/>
      <c r="E4277" s="48"/>
      <c r="F4277" s="48"/>
      <c r="G4277" s="48"/>
      <c r="H4277" s="48"/>
      <c r="I4277" s="48"/>
      <c r="J4277" s="86"/>
      <c r="K4277" s="86"/>
      <c r="L4277" s="86"/>
      <c r="M4277" s="86"/>
      <c r="N4277" s="86"/>
      <c r="O4277" s="86"/>
      <c r="P4277" s="86"/>
      <c r="Q4277" s="86"/>
      <c r="R4277" s="86"/>
      <c r="S4277" s="86"/>
      <c r="T4277" s="86"/>
      <c r="U4277" s="86"/>
      <c r="V4277" s="48"/>
      <c r="W4277" s="48"/>
      <c r="X4277" s="48"/>
      <c r="Y4277" s="48"/>
      <c r="Z4277" s="48"/>
      <c r="AA4277" s="48"/>
      <c r="AB4277" s="48"/>
      <c r="AC4277" s="48"/>
      <c r="AD4277" s="48"/>
      <c r="AE4277" s="48"/>
      <c r="AF4277" s="48"/>
      <c r="AG4277" s="48"/>
      <c r="AH4277" s="48"/>
      <c r="AI4277" s="48"/>
      <c r="AJ4277" s="48"/>
      <c r="AK4277" s="48"/>
      <c r="AL4277" s="48"/>
      <c r="AM4277" s="48"/>
      <c r="AN4277" s="48"/>
      <c r="AO4277" s="48"/>
      <c r="AP4277" s="48"/>
      <c r="AQ4277" s="48"/>
      <c r="AR4277" s="48"/>
      <c r="AS4277" s="48"/>
      <c r="AT4277" s="48"/>
      <c r="AU4277" s="48"/>
      <c r="AV4277" s="48"/>
      <c r="AW4277" s="48"/>
      <c r="AX4277" s="48"/>
      <c r="AY4277" s="48"/>
      <c r="AZ4277" s="48"/>
      <c r="BA4277" s="48"/>
      <c r="BB4277" s="48"/>
      <c r="BC4277" s="48"/>
      <c r="BD4277" s="48"/>
    </row>
    <row r="4278" spans="1:56">
      <c r="A4278" s="48"/>
      <c r="B4278" s="48"/>
      <c r="C4278" s="49"/>
      <c r="D4278" s="48"/>
      <c r="E4278" s="48"/>
      <c r="F4278" s="48"/>
      <c r="G4278" s="48"/>
      <c r="H4278" s="48"/>
      <c r="I4278" s="48"/>
      <c r="J4278" s="86"/>
      <c r="K4278" s="86"/>
      <c r="L4278" s="86"/>
      <c r="M4278" s="86"/>
      <c r="N4278" s="86"/>
      <c r="O4278" s="86"/>
      <c r="P4278" s="86"/>
      <c r="Q4278" s="86"/>
      <c r="R4278" s="86"/>
      <c r="S4278" s="86"/>
      <c r="T4278" s="86"/>
      <c r="U4278" s="86"/>
      <c r="V4278" s="48"/>
      <c r="W4278" s="48"/>
      <c r="X4278" s="48"/>
      <c r="Y4278" s="48"/>
      <c r="Z4278" s="48"/>
      <c r="AA4278" s="48"/>
      <c r="AB4278" s="48"/>
      <c r="AC4278" s="48"/>
      <c r="AD4278" s="48"/>
      <c r="AE4278" s="48"/>
      <c r="AF4278" s="48"/>
      <c r="AG4278" s="48"/>
      <c r="AH4278" s="48"/>
      <c r="AI4278" s="48"/>
      <c r="AJ4278" s="48"/>
      <c r="AK4278" s="48"/>
      <c r="AL4278" s="48"/>
      <c r="AM4278" s="48"/>
      <c r="AN4278" s="48"/>
      <c r="AO4278" s="48"/>
      <c r="AP4278" s="48"/>
      <c r="AQ4278" s="48"/>
      <c r="AR4278" s="48"/>
      <c r="AS4278" s="48"/>
      <c r="AT4278" s="48"/>
      <c r="AU4278" s="48"/>
      <c r="AV4278" s="48"/>
      <c r="AW4278" s="48"/>
      <c r="AX4278" s="48"/>
      <c r="AY4278" s="48"/>
      <c r="AZ4278" s="48"/>
      <c r="BA4278" s="48"/>
      <c r="BB4278" s="48"/>
      <c r="BC4278" s="48"/>
      <c r="BD4278" s="48"/>
    </row>
    <row r="4279" spans="1:56">
      <c r="A4279" s="48"/>
      <c r="B4279" s="48"/>
      <c r="C4279" s="49"/>
      <c r="D4279" s="48"/>
      <c r="E4279" s="48"/>
      <c r="F4279" s="48"/>
      <c r="G4279" s="48"/>
      <c r="H4279" s="48"/>
      <c r="I4279" s="48"/>
      <c r="J4279" s="86"/>
      <c r="K4279" s="86"/>
      <c r="L4279" s="86"/>
      <c r="M4279" s="86"/>
      <c r="N4279" s="86"/>
      <c r="O4279" s="86"/>
      <c r="P4279" s="86"/>
      <c r="Q4279" s="86"/>
      <c r="R4279" s="86"/>
      <c r="S4279" s="86"/>
      <c r="T4279" s="86"/>
      <c r="U4279" s="86"/>
      <c r="V4279" s="48"/>
      <c r="W4279" s="48"/>
      <c r="X4279" s="48"/>
      <c r="Y4279" s="48"/>
      <c r="Z4279" s="48"/>
      <c r="AA4279" s="48"/>
      <c r="AB4279" s="48"/>
      <c r="AC4279" s="48"/>
      <c r="AD4279" s="48"/>
      <c r="AE4279" s="48"/>
      <c r="AF4279" s="48"/>
      <c r="AG4279" s="48"/>
      <c r="AH4279" s="48"/>
      <c r="AI4279" s="48"/>
      <c r="AJ4279" s="48"/>
      <c r="AK4279" s="48"/>
      <c r="AL4279" s="48"/>
      <c r="AM4279" s="48"/>
      <c r="AN4279" s="48"/>
      <c r="AO4279" s="48"/>
      <c r="AP4279" s="48"/>
      <c r="AQ4279" s="48"/>
      <c r="AR4279" s="48"/>
      <c r="AS4279" s="48"/>
      <c r="AT4279" s="48"/>
      <c r="AU4279" s="48"/>
      <c r="AV4279" s="48"/>
      <c r="AW4279" s="48"/>
      <c r="AX4279" s="48"/>
      <c r="AY4279" s="48"/>
      <c r="AZ4279" s="48"/>
      <c r="BA4279" s="48"/>
      <c r="BB4279" s="48"/>
      <c r="BC4279" s="48"/>
      <c r="BD4279" s="48"/>
    </row>
    <row r="4280" spans="1:56">
      <c r="A4280" s="48"/>
      <c r="B4280" s="48"/>
      <c r="C4280" s="49"/>
      <c r="D4280" s="48"/>
      <c r="E4280" s="48"/>
      <c r="F4280" s="48"/>
      <c r="G4280" s="48"/>
      <c r="H4280" s="48"/>
      <c r="I4280" s="48"/>
      <c r="J4280" s="86"/>
      <c r="K4280" s="86"/>
      <c r="L4280" s="86"/>
      <c r="M4280" s="86"/>
      <c r="N4280" s="86"/>
      <c r="O4280" s="86"/>
      <c r="P4280" s="86"/>
      <c r="Q4280" s="86"/>
      <c r="R4280" s="86"/>
      <c r="S4280" s="86"/>
      <c r="T4280" s="86"/>
      <c r="U4280" s="86"/>
      <c r="V4280" s="48"/>
      <c r="W4280" s="48"/>
      <c r="X4280" s="48"/>
      <c r="Y4280" s="48"/>
      <c r="Z4280" s="48"/>
      <c r="AA4280" s="48"/>
      <c r="AB4280" s="48"/>
      <c r="AC4280" s="48"/>
      <c r="AD4280" s="48"/>
      <c r="AE4280" s="48"/>
      <c r="AF4280" s="48"/>
      <c r="AG4280" s="48"/>
      <c r="AH4280" s="48"/>
      <c r="AI4280" s="48"/>
      <c r="AJ4280" s="48"/>
      <c r="AK4280" s="48"/>
      <c r="AL4280" s="48"/>
      <c r="AM4280" s="48"/>
      <c r="AN4280" s="48"/>
      <c r="AO4280" s="48"/>
      <c r="AP4280" s="48"/>
      <c r="AQ4280" s="48"/>
      <c r="AR4280" s="48"/>
      <c r="AS4280" s="48"/>
      <c r="AT4280" s="48"/>
      <c r="AU4280" s="48"/>
      <c r="AV4280" s="48"/>
      <c r="AW4280" s="48"/>
      <c r="AX4280" s="48"/>
      <c r="AY4280" s="48"/>
      <c r="AZ4280" s="48"/>
      <c r="BA4280" s="48"/>
      <c r="BB4280" s="48"/>
      <c r="BC4280" s="48"/>
      <c r="BD4280" s="48"/>
    </row>
    <row r="4281" spans="1:56">
      <c r="A4281" s="48"/>
      <c r="B4281" s="48"/>
      <c r="C4281" s="49"/>
      <c r="D4281" s="48"/>
      <c r="E4281" s="48"/>
      <c r="F4281" s="48"/>
      <c r="G4281" s="48"/>
      <c r="H4281" s="48"/>
      <c r="I4281" s="48"/>
      <c r="J4281" s="86"/>
      <c r="K4281" s="86"/>
      <c r="L4281" s="86"/>
      <c r="M4281" s="86"/>
      <c r="N4281" s="86"/>
      <c r="O4281" s="86"/>
      <c r="P4281" s="86"/>
      <c r="Q4281" s="86"/>
      <c r="R4281" s="86"/>
      <c r="S4281" s="86"/>
      <c r="T4281" s="86"/>
      <c r="U4281" s="86"/>
      <c r="V4281" s="48"/>
      <c r="W4281" s="48"/>
      <c r="X4281" s="48"/>
      <c r="Y4281" s="48"/>
      <c r="Z4281" s="48"/>
      <c r="AA4281" s="48"/>
      <c r="AB4281" s="48"/>
      <c r="AC4281" s="48"/>
      <c r="AD4281" s="48"/>
      <c r="AE4281" s="48"/>
      <c r="AF4281" s="48"/>
      <c r="AG4281" s="48"/>
      <c r="AH4281" s="48"/>
      <c r="AI4281" s="48"/>
      <c r="AJ4281" s="48"/>
      <c r="AK4281" s="48"/>
      <c r="AL4281" s="48"/>
      <c r="AM4281" s="48"/>
      <c r="AN4281" s="48"/>
      <c r="AO4281" s="48"/>
      <c r="AP4281" s="48"/>
      <c r="AQ4281" s="48"/>
      <c r="AR4281" s="48"/>
      <c r="AS4281" s="48"/>
      <c r="AT4281" s="48"/>
      <c r="AU4281" s="48"/>
      <c r="AV4281" s="48"/>
      <c r="AW4281" s="48"/>
      <c r="AX4281" s="48"/>
      <c r="AY4281" s="48"/>
      <c r="AZ4281" s="48"/>
      <c r="BA4281" s="48"/>
      <c r="BB4281" s="48"/>
      <c r="BC4281" s="48"/>
      <c r="BD4281" s="48"/>
    </row>
    <row r="4282" spans="1:56">
      <c r="A4282" s="48"/>
      <c r="B4282" s="48"/>
      <c r="C4282" s="49"/>
      <c r="D4282" s="48"/>
      <c r="E4282" s="48"/>
      <c r="F4282" s="48"/>
      <c r="G4282" s="48"/>
      <c r="H4282" s="48"/>
      <c r="I4282" s="48"/>
      <c r="J4282" s="86"/>
      <c r="K4282" s="86"/>
      <c r="L4282" s="86"/>
      <c r="M4282" s="86"/>
      <c r="N4282" s="86"/>
      <c r="O4282" s="86"/>
      <c r="P4282" s="86"/>
      <c r="Q4282" s="86"/>
      <c r="R4282" s="86"/>
      <c r="S4282" s="86"/>
      <c r="T4282" s="86"/>
      <c r="U4282" s="86"/>
      <c r="V4282" s="48"/>
      <c r="W4282" s="48"/>
      <c r="X4282" s="48"/>
      <c r="Y4282" s="48"/>
      <c r="Z4282" s="48"/>
      <c r="AA4282" s="48"/>
      <c r="AB4282" s="48"/>
      <c r="AC4282" s="48"/>
      <c r="AD4282" s="48"/>
      <c r="AE4282" s="48"/>
      <c r="AF4282" s="48"/>
      <c r="AG4282" s="48"/>
      <c r="AH4282" s="48"/>
      <c r="AI4282" s="48"/>
      <c r="AJ4282" s="48"/>
      <c r="AK4282" s="48"/>
      <c r="AL4282" s="48"/>
      <c r="AM4282" s="48"/>
      <c r="AN4282" s="48"/>
      <c r="AO4282" s="48"/>
      <c r="AP4282" s="48"/>
      <c r="AQ4282" s="48"/>
      <c r="AR4282" s="48"/>
      <c r="AS4282" s="48"/>
      <c r="AT4282" s="48"/>
      <c r="AU4282" s="48"/>
      <c r="AV4282" s="48"/>
      <c r="AW4282" s="48"/>
      <c r="AX4282" s="48"/>
      <c r="AY4282" s="48"/>
      <c r="AZ4282" s="48"/>
      <c r="BA4282" s="48"/>
      <c r="BB4282" s="48"/>
      <c r="BC4282" s="48"/>
      <c r="BD4282" s="48"/>
    </row>
    <row r="4283" spans="1:56">
      <c r="A4283" s="48"/>
      <c r="B4283" s="48"/>
      <c r="C4283" s="49"/>
      <c r="D4283" s="48"/>
      <c r="E4283" s="48"/>
      <c r="F4283" s="48"/>
      <c r="G4283" s="48"/>
      <c r="H4283" s="48"/>
      <c r="I4283" s="48"/>
      <c r="J4283" s="86"/>
      <c r="K4283" s="86"/>
      <c r="L4283" s="86"/>
      <c r="M4283" s="86"/>
      <c r="N4283" s="86"/>
      <c r="O4283" s="86"/>
      <c r="P4283" s="86"/>
      <c r="Q4283" s="86"/>
      <c r="R4283" s="86"/>
      <c r="S4283" s="86"/>
      <c r="T4283" s="86"/>
      <c r="U4283" s="86"/>
      <c r="V4283" s="48"/>
      <c r="W4283" s="48"/>
      <c r="X4283" s="48"/>
      <c r="Y4283" s="48"/>
      <c r="Z4283" s="48"/>
      <c r="AA4283" s="48"/>
      <c r="AB4283" s="48"/>
      <c r="AC4283" s="48"/>
      <c r="AD4283" s="48"/>
      <c r="AE4283" s="48"/>
      <c r="AF4283" s="48"/>
      <c r="AG4283" s="48"/>
      <c r="AH4283" s="48"/>
      <c r="AI4283" s="48"/>
      <c r="AJ4283" s="48"/>
      <c r="AK4283" s="48"/>
      <c r="AL4283" s="48"/>
      <c r="AM4283" s="48"/>
      <c r="AN4283" s="48"/>
      <c r="AO4283" s="48"/>
      <c r="AP4283" s="48"/>
      <c r="AQ4283" s="48"/>
      <c r="AR4283" s="48"/>
      <c r="AS4283" s="48"/>
      <c r="AT4283" s="48"/>
      <c r="AU4283" s="48"/>
      <c r="AV4283" s="48"/>
      <c r="AW4283" s="48"/>
      <c r="AX4283" s="48"/>
      <c r="AY4283" s="48"/>
      <c r="AZ4283" s="48"/>
      <c r="BA4283" s="48"/>
      <c r="BB4283" s="48"/>
      <c r="BC4283" s="48"/>
      <c r="BD4283" s="48"/>
    </row>
    <row r="4284" spans="1:56">
      <c r="A4284" s="48"/>
      <c r="B4284" s="48"/>
      <c r="C4284" s="49"/>
      <c r="D4284" s="48"/>
      <c r="E4284" s="48"/>
      <c r="F4284" s="48"/>
      <c r="G4284" s="48"/>
      <c r="H4284" s="48"/>
      <c r="I4284" s="48"/>
      <c r="J4284" s="86"/>
      <c r="K4284" s="86"/>
      <c r="L4284" s="86"/>
      <c r="M4284" s="86"/>
      <c r="N4284" s="86"/>
      <c r="O4284" s="86"/>
      <c r="P4284" s="86"/>
      <c r="Q4284" s="86"/>
      <c r="R4284" s="86"/>
      <c r="S4284" s="86"/>
      <c r="T4284" s="86"/>
      <c r="U4284" s="86"/>
      <c r="V4284" s="48"/>
      <c r="W4284" s="48"/>
      <c r="X4284" s="48"/>
      <c r="Y4284" s="48"/>
      <c r="Z4284" s="48"/>
      <c r="AA4284" s="48"/>
      <c r="AB4284" s="48"/>
      <c r="AC4284" s="48"/>
      <c r="AD4284" s="48"/>
      <c r="AE4284" s="48"/>
      <c r="AF4284" s="48"/>
      <c r="AG4284" s="48"/>
      <c r="AH4284" s="48"/>
      <c r="AI4284" s="48"/>
      <c r="AJ4284" s="48"/>
      <c r="AK4284" s="48"/>
      <c r="AL4284" s="48"/>
      <c r="AM4284" s="48"/>
      <c r="AN4284" s="48"/>
      <c r="AO4284" s="48"/>
      <c r="AP4284" s="48"/>
      <c r="AQ4284" s="48"/>
      <c r="AR4284" s="48"/>
      <c r="AS4284" s="48"/>
      <c r="AT4284" s="48"/>
      <c r="AU4284" s="48"/>
      <c r="AV4284" s="48"/>
      <c r="AW4284" s="48"/>
      <c r="AX4284" s="48"/>
      <c r="AY4284" s="48"/>
      <c r="AZ4284" s="48"/>
      <c r="BA4284" s="48"/>
      <c r="BB4284" s="48"/>
      <c r="BC4284" s="48"/>
      <c r="BD4284" s="48"/>
    </row>
    <row r="4285" spans="1:56">
      <c r="A4285" s="48"/>
      <c r="B4285" s="48"/>
      <c r="C4285" s="49"/>
      <c r="D4285" s="48"/>
      <c r="E4285" s="48"/>
      <c r="F4285" s="48"/>
      <c r="G4285" s="48"/>
      <c r="H4285" s="48"/>
      <c r="I4285" s="48"/>
      <c r="J4285" s="86"/>
      <c r="K4285" s="86"/>
      <c r="L4285" s="86"/>
      <c r="M4285" s="86"/>
      <c r="N4285" s="86"/>
      <c r="O4285" s="86"/>
      <c r="P4285" s="86"/>
      <c r="Q4285" s="86"/>
      <c r="R4285" s="86"/>
      <c r="S4285" s="86"/>
      <c r="T4285" s="86"/>
      <c r="U4285" s="86"/>
      <c r="V4285" s="48"/>
      <c r="W4285" s="48"/>
      <c r="X4285" s="48"/>
      <c r="Y4285" s="48"/>
      <c r="Z4285" s="48"/>
      <c r="AA4285" s="48"/>
      <c r="AB4285" s="48"/>
      <c r="AC4285" s="48"/>
      <c r="AD4285" s="48"/>
      <c r="AE4285" s="48"/>
      <c r="AF4285" s="48"/>
      <c r="AG4285" s="48"/>
      <c r="AH4285" s="48"/>
      <c r="AI4285" s="48"/>
      <c r="AJ4285" s="48"/>
      <c r="AK4285" s="48"/>
      <c r="AL4285" s="48"/>
      <c r="AM4285" s="48"/>
      <c r="AN4285" s="48"/>
      <c r="AO4285" s="48"/>
      <c r="AP4285" s="48"/>
      <c r="AQ4285" s="48"/>
      <c r="AR4285" s="48"/>
      <c r="AS4285" s="48"/>
      <c r="AT4285" s="48"/>
      <c r="AU4285" s="48"/>
      <c r="AV4285" s="48"/>
      <c r="AW4285" s="48"/>
      <c r="AX4285" s="48"/>
      <c r="AY4285" s="48"/>
      <c r="AZ4285" s="48"/>
      <c r="BA4285" s="48"/>
      <c r="BB4285" s="48"/>
      <c r="BC4285" s="48"/>
      <c r="BD4285" s="48"/>
    </row>
    <row r="4286" spans="1:56">
      <c r="A4286" s="48"/>
      <c r="B4286" s="48"/>
      <c r="C4286" s="49"/>
      <c r="D4286" s="48"/>
      <c r="E4286" s="48"/>
      <c r="F4286" s="48"/>
      <c r="G4286" s="48"/>
      <c r="H4286" s="48"/>
      <c r="I4286" s="48"/>
      <c r="J4286" s="86"/>
      <c r="K4286" s="86"/>
      <c r="L4286" s="86"/>
      <c r="M4286" s="86"/>
      <c r="N4286" s="86"/>
      <c r="O4286" s="86"/>
      <c r="P4286" s="86"/>
      <c r="Q4286" s="86"/>
      <c r="R4286" s="86"/>
      <c r="S4286" s="86"/>
      <c r="T4286" s="86"/>
      <c r="U4286" s="86"/>
      <c r="V4286" s="48"/>
      <c r="W4286" s="48"/>
      <c r="X4286" s="48"/>
      <c r="Y4286" s="48"/>
      <c r="Z4286" s="48"/>
      <c r="AA4286" s="48"/>
      <c r="AB4286" s="48"/>
      <c r="AC4286" s="48"/>
      <c r="AD4286" s="48"/>
      <c r="AE4286" s="48"/>
      <c r="AF4286" s="48"/>
      <c r="AG4286" s="48"/>
      <c r="AH4286" s="48"/>
      <c r="AI4286" s="48"/>
      <c r="AJ4286" s="48"/>
      <c r="AK4286" s="48"/>
      <c r="AL4286" s="48"/>
      <c r="AM4286" s="48"/>
      <c r="AN4286" s="48"/>
      <c r="AO4286" s="48"/>
      <c r="AP4286" s="48"/>
      <c r="AQ4286" s="48"/>
      <c r="AR4286" s="48"/>
      <c r="AS4286" s="48"/>
      <c r="AT4286" s="48"/>
      <c r="AU4286" s="48"/>
      <c r="AV4286" s="48"/>
      <c r="AW4286" s="48"/>
      <c r="AX4286" s="48"/>
      <c r="AY4286" s="48"/>
      <c r="AZ4286" s="48"/>
      <c r="BA4286" s="48"/>
      <c r="BB4286" s="48"/>
      <c r="BC4286" s="48"/>
      <c r="BD4286" s="48"/>
    </row>
    <row r="4287" spans="1:56">
      <c r="A4287" s="48"/>
      <c r="B4287" s="48"/>
      <c r="C4287" s="49"/>
      <c r="D4287" s="48"/>
      <c r="E4287" s="48"/>
      <c r="F4287" s="48"/>
      <c r="G4287" s="48"/>
      <c r="H4287" s="48"/>
      <c r="I4287" s="48"/>
      <c r="J4287" s="86"/>
      <c r="K4287" s="86"/>
      <c r="L4287" s="86"/>
      <c r="M4287" s="86"/>
      <c r="N4287" s="86"/>
      <c r="O4287" s="86"/>
      <c r="P4287" s="86"/>
      <c r="Q4287" s="86"/>
      <c r="R4287" s="86"/>
      <c r="S4287" s="86"/>
      <c r="T4287" s="86"/>
      <c r="U4287" s="86"/>
      <c r="V4287" s="48"/>
      <c r="W4287" s="48"/>
      <c r="X4287" s="48"/>
      <c r="Y4287" s="48"/>
      <c r="Z4287" s="48"/>
      <c r="AA4287" s="48"/>
      <c r="AB4287" s="48"/>
      <c r="AC4287" s="48"/>
      <c r="AD4287" s="48"/>
      <c r="AE4287" s="48"/>
      <c r="AF4287" s="48"/>
      <c r="AG4287" s="48"/>
      <c r="AH4287" s="48"/>
      <c r="AI4287" s="48"/>
      <c r="AJ4287" s="48"/>
      <c r="AK4287" s="48"/>
      <c r="AL4287" s="48"/>
      <c r="AM4287" s="48"/>
      <c r="AN4287" s="48"/>
      <c r="AO4287" s="48"/>
      <c r="AP4287" s="48"/>
      <c r="AQ4287" s="48"/>
      <c r="AR4287" s="48"/>
      <c r="AS4287" s="48"/>
      <c r="AT4287" s="48"/>
      <c r="AU4287" s="48"/>
      <c r="AV4287" s="48"/>
      <c r="AW4287" s="48"/>
      <c r="AX4287" s="48"/>
      <c r="AY4287" s="48"/>
      <c r="AZ4287" s="48"/>
      <c r="BA4287" s="48"/>
      <c r="BB4287" s="48"/>
      <c r="BC4287" s="48"/>
      <c r="BD4287" s="48"/>
    </row>
    <row r="4288" spans="1:56">
      <c r="A4288" s="48"/>
      <c r="B4288" s="48"/>
      <c r="C4288" s="49"/>
      <c r="D4288" s="48"/>
      <c r="E4288" s="48"/>
      <c r="F4288" s="48"/>
      <c r="G4288" s="48"/>
      <c r="H4288" s="48"/>
      <c r="I4288" s="48"/>
      <c r="J4288" s="86"/>
      <c r="K4288" s="86"/>
      <c r="L4288" s="86"/>
      <c r="M4288" s="86"/>
      <c r="N4288" s="86"/>
      <c r="O4288" s="86"/>
      <c r="P4288" s="86"/>
      <c r="Q4288" s="86"/>
      <c r="R4288" s="86"/>
      <c r="S4288" s="86"/>
      <c r="T4288" s="86"/>
      <c r="U4288" s="86"/>
      <c r="V4288" s="48"/>
      <c r="W4288" s="48"/>
      <c r="X4288" s="48"/>
      <c r="Y4288" s="48"/>
      <c r="Z4288" s="48"/>
      <c r="AA4288" s="48"/>
      <c r="AB4288" s="48"/>
      <c r="AC4288" s="48"/>
      <c r="AD4288" s="48"/>
      <c r="AE4288" s="48"/>
      <c r="AF4288" s="48"/>
      <c r="AG4288" s="48"/>
      <c r="AH4288" s="48"/>
      <c r="AI4288" s="48"/>
      <c r="AJ4288" s="48"/>
      <c r="AK4288" s="48"/>
      <c r="AL4288" s="48"/>
      <c r="AM4288" s="48"/>
      <c r="AN4288" s="48"/>
      <c r="AO4288" s="48"/>
      <c r="AP4288" s="48"/>
      <c r="AQ4288" s="48"/>
      <c r="AR4288" s="48"/>
      <c r="AS4288" s="48"/>
      <c r="AT4288" s="48"/>
      <c r="AU4288" s="48"/>
      <c r="AV4288" s="48"/>
      <c r="AW4288" s="48"/>
      <c r="AX4288" s="48"/>
      <c r="AY4288" s="48"/>
      <c r="AZ4288" s="48"/>
      <c r="BA4288" s="48"/>
      <c r="BB4288" s="48"/>
      <c r="BC4288" s="48"/>
      <c r="BD4288" s="48"/>
    </row>
    <row r="4289" spans="1:56">
      <c r="A4289" s="48"/>
      <c r="B4289" s="48"/>
      <c r="C4289" s="49"/>
      <c r="D4289" s="48"/>
      <c r="E4289" s="48"/>
      <c r="F4289" s="48"/>
      <c r="G4289" s="48"/>
      <c r="H4289" s="48"/>
      <c r="I4289" s="48"/>
      <c r="J4289" s="86"/>
      <c r="K4289" s="86"/>
      <c r="L4289" s="86"/>
      <c r="M4289" s="86"/>
      <c r="N4289" s="86"/>
      <c r="O4289" s="86"/>
      <c r="P4289" s="86"/>
      <c r="Q4289" s="86"/>
      <c r="R4289" s="86"/>
      <c r="S4289" s="86"/>
      <c r="T4289" s="86"/>
      <c r="U4289" s="86"/>
      <c r="V4289" s="48"/>
      <c r="W4289" s="48"/>
      <c r="X4289" s="48"/>
      <c r="Y4289" s="48"/>
      <c r="Z4289" s="48"/>
      <c r="AA4289" s="48"/>
      <c r="AB4289" s="48"/>
      <c r="AC4289" s="48"/>
      <c r="AD4289" s="48"/>
      <c r="AE4289" s="48"/>
      <c r="AF4289" s="48"/>
      <c r="AG4289" s="48"/>
      <c r="AH4289" s="48"/>
      <c r="AI4289" s="48"/>
      <c r="AJ4289" s="48"/>
      <c r="AK4289" s="48"/>
      <c r="AL4289" s="48"/>
      <c r="AM4289" s="48"/>
      <c r="AN4289" s="48"/>
      <c r="AO4289" s="48"/>
      <c r="AP4289" s="48"/>
      <c r="AQ4289" s="48"/>
      <c r="AR4289" s="48"/>
      <c r="AS4289" s="48"/>
      <c r="AT4289" s="48"/>
      <c r="AU4289" s="48"/>
      <c r="AV4289" s="48"/>
      <c r="AW4289" s="48"/>
      <c r="AX4289" s="48"/>
      <c r="AY4289" s="48"/>
      <c r="AZ4289" s="48"/>
      <c r="BA4289" s="48"/>
      <c r="BB4289" s="48"/>
      <c r="BC4289" s="48"/>
      <c r="BD4289" s="48"/>
    </row>
    <row r="4290" spans="1:56">
      <c r="A4290" s="48"/>
      <c r="B4290" s="48"/>
      <c r="C4290" s="49"/>
      <c r="D4290" s="48"/>
      <c r="E4290" s="48"/>
      <c r="F4290" s="48"/>
      <c r="G4290" s="48"/>
      <c r="H4290" s="48"/>
      <c r="I4290" s="48"/>
      <c r="J4290" s="86"/>
      <c r="K4290" s="86"/>
      <c r="L4290" s="86"/>
      <c r="M4290" s="86"/>
      <c r="N4290" s="86"/>
      <c r="O4290" s="86"/>
      <c r="P4290" s="86"/>
      <c r="Q4290" s="86"/>
      <c r="R4290" s="86"/>
      <c r="S4290" s="86"/>
      <c r="T4290" s="86"/>
      <c r="U4290" s="86"/>
      <c r="V4290" s="48"/>
      <c r="W4290" s="48"/>
      <c r="X4290" s="48"/>
      <c r="Y4290" s="48"/>
      <c r="Z4290" s="48"/>
      <c r="AA4290" s="48"/>
      <c r="AB4290" s="48"/>
      <c r="AC4290" s="48"/>
      <c r="AD4290" s="48"/>
      <c r="AE4290" s="48"/>
      <c r="AF4290" s="48"/>
      <c r="AG4290" s="48"/>
      <c r="AH4290" s="48"/>
      <c r="AI4290" s="48"/>
      <c r="AJ4290" s="48"/>
      <c r="AK4290" s="48"/>
      <c r="AL4290" s="48"/>
      <c r="AM4290" s="48"/>
      <c r="AN4290" s="48"/>
      <c r="AO4290" s="48"/>
      <c r="AP4290" s="48"/>
      <c r="AQ4290" s="48"/>
      <c r="AR4290" s="48"/>
      <c r="AS4290" s="48"/>
      <c r="AT4290" s="48"/>
      <c r="AU4290" s="48"/>
      <c r="AV4290" s="48"/>
      <c r="AW4290" s="48"/>
      <c r="AX4290" s="48"/>
      <c r="AY4290" s="48"/>
      <c r="AZ4290" s="48"/>
      <c r="BA4290" s="48"/>
      <c r="BB4290" s="48"/>
      <c r="BC4290" s="48"/>
      <c r="BD4290" s="48"/>
    </row>
    <row r="4291" spans="1:56">
      <c r="A4291" s="48"/>
      <c r="B4291" s="48"/>
      <c r="C4291" s="49"/>
      <c r="D4291" s="48"/>
      <c r="E4291" s="48"/>
      <c r="F4291" s="48"/>
      <c r="G4291" s="48"/>
      <c r="H4291" s="48"/>
      <c r="I4291" s="48"/>
      <c r="J4291" s="86"/>
      <c r="K4291" s="86"/>
      <c r="L4291" s="86"/>
      <c r="M4291" s="86"/>
      <c r="N4291" s="86"/>
      <c r="O4291" s="86"/>
      <c r="P4291" s="86"/>
      <c r="Q4291" s="86"/>
      <c r="R4291" s="86"/>
      <c r="S4291" s="86"/>
      <c r="T4291" s="86"/>
      <c r="U4291" s="86"/>
      <c r="V4291" s="48"/>
      <c r="W4291" s="48"/>
      <c r="X4291" s="48"/>
      <c r="Y4291" s="48"/>
      <c r="Z4291" s="48"/>
      <c r="AA4291" s="48"/>
      <c r="AB4291" s="48"/>
      <c r="AC4291" s="48"/>
      <c r="AD4291" s="48"/>
      <c r="AE4291" s="48"/>
      <c r="AF4291" s="48"/>
      <c r="AG4291" s="48"/>
      <c r="AH4291" s="48"/>
      <c r="AI4291" s="48"/>
      <c r="AJ4291" s="48"/>
      <c r="AK4291" s="48"/>
      <c r="AL4291" s="48"/>
      <c r="AM4291" s="48"/>
      <c r="AN4291" s="48"/>
      <c r="AO4291" s="48"/>
      <c r="AP4291" s="48"/>
      <c r="AQ4291" s="48"/>
      <c r="AR4291" s="48"/>
      <c r="AS4291" s="48"/>
      <c r="AT4291" s="48"/>
      <c r="AU4291" s="48"/>
      <c r="AV4291" s="48"/>
      <c r="AW4291" s="48"/>
      <c r="AX4291" s="48"/>
      <c r="AY4291" s="48"/>
      <c r="AZ4291" s="48"/>
      <c r="BA4291" s="48"/>
      <c r="BB4291" s="48"/>
      <c r="BC4291" s="48"/>
      <c r="BD4291" s="48"/>
    </row>
    <row r="4292" spans="1:56">
      <c r="A4292" s="48"/>
      <c r="B4292" s="48"/>
      <c r="C4292" s="49"/>
      <c r="D4292" s="48"/>
      <c r="E4292" s="48"/>
      <c r="F4292" s="48"/>
      <c r="G4292" s="48"/>
      <c r="H4292" s="48"/>
      <c r="I4292" s="48"/>
      <c r="J4292" s="86"/>
      <c r="K4292" s="86"/>
      <c r="L4292" s="86"/>
      <c r="M4292" s="86"/>
      <c r="N4292" s="86"/>
      <c r="O4292" s="86"/>
      <c r="P4292" s="86"/>
      <c r="Q4292" s="86"/>
      <c r="R4292" s="86"/>
      <c r="S4292" s="86"/>
      <c r="T4292" s="86"/>
      <c r="U4292" s="86"/>
      <c r="V4292" s="48"/>
      <c r="W4292" s="48"/>
      <c r="X4292" s="48"/>
      <c r="Y4292" s="48"/>
      <c r="Z4292" s="48"/>
      <c r="AA4292" s="48"/>
      <c r="AB4292" s="48"/>
      <c r="AC4292" s="48"/>
      <c r="AD4292" s="48"/>
      <c r="AE4292" s="48"/>
      <c r="AF4292" s="48"/>
      <c r="AG4292" s="48"/>
      <c r="AH4292" s="48"/>
      <c r="AI4292" s="48"/>
      <c r="AJ4292" s="48"/>
      <c r="AK4292" s="48"/>
      <c r="AL4292" s="48"/>
      <c r="AM4292" s="48"/>
      <c r="AN4292" s="48"/>
      <c r="AO4292" s="48"/>
      <c r="AP4292" s="48"/>
      <c r="AQ4292" s="48"/>
      <c r="AR4292" s="48"/>
      <c r="AS4292" s="48"/>
      <c r="AT4292" s="48"/>
      <c r="AU4292" s="48"/>
      <c r="AV4292" s="48"/>
      <c r="AW4292" s="48"/>
      <c r="AX4292" s="48"/>
      <c r="AY4292" s="48"/>
      <c r="AZ4292" s="48"/>
      <c r="BA4292" s="48"/>
      <c r="BB4292" s="48"/>
      <c r="BC4292" s="48"/>
      <c r="BD4292" s="48"/>
    </row>
    <row r="4293" spans="1:56">
      <c r="A4293" s="48"/>
      <c r="B4293" s="48"/>
      <c r="C4293" s="49"/>
      <c r="D4293" s="48"/>
      <c r="E4293" s="48"/>
      <c r="F4293" s="48"/>
      <c r="G4293" s="48"/>
      <c r="H4293" s="48"/>
      <c r="I4293" s="48"/>
      <c r="J4293" s="86"/>
      <c r="K4293" s="86"/>
      <c r="L4293" s="86"/>
      <c r="M4293" s="86"/>
      <c r="N4293" s="86"/>
      <c r="O4293" s="86"/>
      <c r="P4293" s="86"/>
      <c r="Q4293" s="86"/>
      <c r="R4293" s="86"/>
      <c r="S4293" s="86"/>
      <c r="T4293" s="86"/>
      <c r="U4293" s="86"/>
      <c r="V4293" s="48"/>
      <c r="W4293" s="48"/>
      <c r="X4293" s="48"/>
      <c r="Y4293" s="48"/>
      <c r="Z4293" s="48"/>
      <c r="AA4293" s="48"/>
      <c r="AB4293" s="48"/>
      <c r="AC4293" s="48"/>
      <c r="AD4293" s="48"/>
      <c r="AE4293" s="48"/>
      <c r="AF4293" s="48"/>
      <c r="AG4293" s="48"/>
      <c r="AH4293" s="48"/>
      <c r="AI4293" s="48"/>
      <c r="AJ4293" s="48"/>
      <c r="AK4293" s="48"/>
      <c r="AL4293" s="48"/>
      <c r="AM4293" s="48"/>
      <c r="AN4293" s="48"/>
      <c r="AO4293" s="48"/>
      <c r="AP4293" s="48"/>
      <c r="AQ4293" s="48"/>
      <c r="AR4293" s="48"/>
      <c r="AS4293" s="48"/>
      <c r="AT4293" s="48"/>
      <c r="AU4293" s="48"/>
      <c r="AV4293" s="48"/>
      <c r="AW4293" s="48"/>
      <c r="AX4293" s="48"/>
      <c r="AY4293" s="48"/>
      <c r="AZ4293" s="48"/>
      <c r="BA4293" s="48"/>
      <c r="BB4293" s="48"/>
      <c r="BC4293" s="48"/>
      <c r="BD4293" s="48"/>
    </row>
    <row r="4294" spans="1:56">
      <c r="A4294" s="48"/>
      <c r="B4294" s="48"/>
      <c r="C4294" s="49"/>
      <c r="D4294" s="48"/>
      <c r="E4294" s="48"/>
      <c r="F4294" s="48"/>
      <c r="G4294" s="48"/>
      <c r="H4294" s="48"/>
      <c r="I4294" s="48"/>
      <c r="J4294" s="86"/>
      <c r="K4294" s="86"/>
      <c r="L4294" s="86"/>
      <c r="M4294" s="86"/>
      <c r="N4294" s="86"/>
      <c r="O4294" s="86"/>
      <c r="P4294" s="86"/>
      <c r="Q4294" s="86"/>
      <c r="R4294" s="86"/>
      <c r="S4294" s="86"/>
      <c r="T4294" s="86"/>
      <c r="U4294" s="86"/>
      <c r="V4294" s="48"/>
      <c r="W4294" s="48"/>
      <c r="X4294" s="48"/>
      <c r="Y4294" s="48"/>
      <c r="Z4294" s="48"/>
      <c r="AA4294" s="48"/>
      <c r="AB4294" s="48"/>
      <c r="AC4294" s="48"/>
      <c r="AD4294" s="48"/>
      <c r="AE4294" s="48"/>
      <c r="AF4294" s="48"/>
      <c r="AG4294" s="48"/>
      <c r="AH4294" s="48"/>
      <c r="AI4294" s="48"/>
      <c r="AJ4294" s="48"/>
      <c r="AK4294" s="48"/>
      <c r="AL4294" s="48"/>
      <c r="AM4294" s="48"/>
      <c r="AN4294" s="48"/>
      <c r="AO4294" s="48"/>
      <c r="AP4294" s="48"/>
      <c r="AQ4294" s="48"/>
      <c r="AR4294" s="48"/>
      <c r="AS4294" s="48"/>
      <c r="AT4294" s="48"/>
      <c r="AU4294" s="48"/>
      <c r="AV4294" s="48"/>
      <c r="AW4294" s="48"/>
      <c r="AX4294" s="48"/>
      <c r="AY4294" s="48"/>
      <c r="AZ4294" s="48"/>
      <c r="BA4294" s="48"/>
      <c r="BB4294" s="48"/>
      <c r="BC4294" s="48"/>
      <c r="BD4294" s="48"/>
    </row>
    <row r="4295" spans="1:56">
      <c r="A4295" s="48"/>
      <c r="B4295" s="48"/>
      <c r="C4295" s="49"/>
      <c r="D4295" s="48"/>
      <c r="E4295" s="48"/>
      <c r="F4295" s="48"/>
      <c r="G4295" s="48"/>
      <c r="H4295" s="48"/>
      <c r="I4295" s="48"/>
      <c r="J4295" s="86"/>
      <c r="K4295" s="86"/>
      <c r="L4295" s="86"/>
      <c r="M4295" s="86"/>
      <c r="N4295" s="86"/>
      <c r="O4295" s="86"/>
      <c r="P4295" s="86"/>
      <c r="Q4295" s="86"/>
      <c r="R4295" s="86"/>
      <c r="S4295" s="86"/>
      <c r="T4295" s="86"/>
      <c r="U4295" s="86"/>
      <c r="V4295" s="48"/>
      <c r="W4295" s="48"/>
      <c r="X4295" s="48"/>
      <c r="Y4295" s="48"/>
      <c r="Z4295" s="48"/>
      <c r="AA4295" s="48"/>
      <c r="AB4295" s="48"/>
      <c r="AC4295" s="48"/>
      <c r="AD4295" s="48"/>
      <c r="AE4295" s="48"/>
      <c r="AF4295" s="48"/>
      <c r="AG4295" s="48"/>
      <c r="AH4295" s="48"/>
      <c r="AI4295" s="48"/>
      <c r="AJ4295" s="48"/>
      <c r="AK4295" s="48"/>
      <c r="AL4295" s="48"/>
      <c r="AM4295" s="48"/>
      <c r="AN4295" s="48"/>
      <c r="AO4295" s="48"/>
      <c r="AP4295" s="48"/>
      <c r="AQ4295" s="48"/>
      <c r="AR4295" s="48"/>
      <c r="AS4295" s="48"/>
      <c r="AT4295" s="48"/>
      <c r="AU4295" s="48"/>
      <c r="AV4295" s="48"/>
      <c r="AW4295" s="48"/>
      <c r="AX4295" s="48"/>
      <c r="AY4295" s="48"/>
      <c r="AZ4295" s="48"/>
      <c r="BA4295" s="48"/>
      <c r="BB4295" s="48"/>
      <c r="BC4295" s="48"/>
      <c r="BD4295" s="48"/>
    </row>
    <row r="4296" spans="1:56">
      <c r="A4296" s="48"/>
      <c r="B4296" s="48"/>
      <c r="C4296" s="49"/>
      <c r="D4296" s="48"/>
      <c r="E4296" s="48"/>
      <c r="F4296" s="48"/>
      <c r="G4296" s="48"/>
      <c r="H4296" s="48"/>
      <c r="I4296" s="48"/>
      <c r="J4296" s="86"/>
      <c r="K4296" s="86"/>
      <c r="L4296" s="86"/>
      <c r="M4296" s="86"/>
      <c r="N4296" s="86"/>
      <c r="O4296" s="86"/>
      <c r="P4296" s="86"/>
      <c r="Q4296" s="86"/>
      <c r="R4296" s="86"/>
      <c r="S4296" s="86"/>
      <c r="T4296" s="86"/>
      <c r="U4296" s="86"/>
      <c r="V4296" s="48"/>
      <c r="W4296" s="48"/>
      <c r="X4296" s="48"/>
      <c r="Y4296" s="48"/>
      <c r="Z4296" s="48"/>
      <c r="AA4296" s="48"/>
      <c r="AB4296" s="48"/>
      <c r="AC4296" s="48"/>
      <c r="AD4296" s="48"/>
      <c r="AE4296" s="48"/>
      <c r="AF4296" s="48"/>
      <c r="AG4296" s="48"/>
      <c r="AH4296" s="48"/>
      <c r="AI4296" s="48"/>
      <c r="AJ4296" s="48"/>
      <c r="AK4296" s="48"/>
      <c r="AL4296" s="48"/>
      <c r="AM4296" s="48"/>
      <c r="AN4296" s="48"/>
      <c r="AO4296" s="48"/>
      <c r="AP4296" s="48"/>
      <c r="AQ4296" s="48"/>
      <c r="AR4296" s="48"/>
      <c r="AS4296" s="48"/>
      <c r="AT4296" s="48"/>
      <c r="AU4296" s="48"/>
      <c r="AV4296" s="48"/>
      <c r="AW4296" s="48"/>
      <c r="AX4296" s="48"/>
      <c r="AY4296" s="48"/>
      <c r="AZ4296" s="48"/>
      <c r="BA4296" s="48"/>
      <c r="BB4296" s="48"/>
      <c r="BC4296" s="48"/>
      <c r="BD4296" s="48"/>
    </row>
    <row r="4297" spans="1:56">
      <c r="A4297" s="48"/>
      <c r="B4297" s="48"/>
      <c r="C4297" s="49"/>
      <c r="D4297" s="48"/>
      <c r="E4297" s="48"/>
      <c r="F4297" s="48"/>
      <c r="G4297" s="48"/>
      <c r="H4297" s="48"/>
      <c r="I4297" s="48"/>
      <c r="J4297" s="86"/>
      <c r="K4297" s="86"/>
      <c r="L4297" s="86"/>
      <c r="M4297" s="86"/>
      <c r="N4297" s="86"/>
      <c r="O4297" s="86"/>
      <c r="P4297" s="86"/>
      <c r="Q4297" s="86"/>
      <c r="R4297" s="86"/>
      <c r="S4297" s="86"/>
      <c r="T4297" s="86"/>
      <c r="U4297" s="86"/>
      <c r="V4297" s="48"/>
      <c r="W4297" s="48"/>
      <c r="X4297" s="48"/>
      <c r="Y4297" s="48"/>
      <c r="Z4297" s="48"/>
      <c r="AA4297" s="48"/>
      <c r="AB4297" s="48"/>
      <c r="AC4297" s="48"/>
      <c r="AD4297" s="48"/>
      <c r="AE4297" s="48"/>
      <c r="AF4297" s="48"/>
      <c r="AG4297" s="48"/>
      <c r="AH4297" s="48"/>
      <c r="AI4297" s="48"/>
      <c r="AJ4297" s="48"/>
      <c r="AK4297" s="48"/>
      <c r="AL4297" s="48"/>
      <c r="AM4297" s="48"/>
      <c r="AN4297" s="48"/>
      <c r="AO4297" s="48"/>
      <c r="AP4297" s="48"/>
      <c r="AQ4297" s="48"/>
      <c r="AR4297" s="48"/>
      <c r="AS4297" s="48"/>
      <c r="AT4297" s="48"/>
      <c r="AU4297" s="48"/>
      <c r="AV4297" s="48"/>
      <c r="AW4297" s="48"/>
      <c r="AX4297" s="48"/>
      <c r="AY4297" s="48"/>
      <c r="AZ4297" s="48"/>
      <c r="BA4297" s="48"/>
      <c r="BB4297" s="48"/>
      <c r="BC4297" s="48"/>
      <c r="BD4297" s="48"/>
    </row>
    <row r="4298" spans="1:56">
      <c r="A4298" s="48"/>
      <c r="B4298" s="48"/>
      <c r="C4298" s="49"/>
      <c r="D4298" s="48"/>
      <c r="E4298" s="48"/>
      <c r="F4298" s="48"/>
      <c r="G4298" s="48"/>
      <c r="H4298" s="48"/>
      <c r="I4298" s="48"/>
      <c r="J4298" s="86"/>
      <c r="K4298" s="86"/>
      <c r="L4298" s="86"/>
      <c r="M4298" s="86"/>
      <c r="N4298" s="86"/>
      <c r="O4298" s="86"/>
      <c r="P4298" s="86"/>
      <c r="Q4298" s="86"/>
      <c r="R4298" s="86"/>
      <c r="S4298" s="86"/>
      <c r="T4298" s="86"/>
      <c r="U4298" s="86"/>
      <c r="V4298" s="48"/>
      <c r="W4298" s="48"/>
      <c r="X4298" s="48"/>
      <c r="Y4298" s="48"/>
      <c r="Z4298" s="48"/>
      <c r="AA4298" s="48"/>
      <c r="AB4298" s="48"/>
      <c r="AC4298" s="48"/>
      <c r="AD4298" s="48"/>
      <c r="AE4298" s="48"/>
      <c r="AF4298" s="48"/>
      <c r="AG4298" s="48"/>
      <c r="AH4298" s="48"/>
      <c r="AI4298" s="48"/>
      <c r="AJ4298" s="48"/>
      <c r="AK4298" s="48"/>
      <c r="AL4298" s="48"/>
      <c r="AM4298" s="48"/>
      <c r="AN4298" s="48"/>
      <c r="AO4298" s="48"/>
      <c r="AP4298" s="48"/>
      <c r="AQ4298" s="48"/>
      <c r="AR4298" s="48"/>
      <c r="AS4298" s="48"/>
      <c r="AT4298" s="48"/>
      <c r="AU4298" s="48"/>
      <c r="AV4298" s="48"/>
      <c r="AW4298" s="48"/>
      <c r="AX4298" s="48"/>
      <c r="AY4298" s="48"/>
      <c r="AZ4298" s="48"/>
      <c r="BA4298" s="48"/>
      <c r="BB4298" s="48"/>
      <c r="BC4298" s="48"/>
      <c r="BD4298" s="48"/>
    </row>
    <row r="4299" spans="1:56">
      <c r="A4299" s="48"/>
      <c r="B4299" s="48"/>
      <c r="C4299" s="49"/>
      <c r="D4299" s="48"/>
      <c r="E4299" s="48"/>
      <c r="F4299" s="48"/>
      <c r="G4299" s="48"/>
      <c r="H4299" s="48"/>
      <c r="I4299" s="48"/>
      <c r="J4299" s="86"/>
      <c r="K4299" s="86"/>
      <c r="L4299" s="86"/>
      <c r="M4299" s="86"/>
      <c r="N4299" s="86"/>
      <c r="O4299" s="86"/>
      <c r="P4299" s="86"/>
      <c r="Q4299" s="86"/>
      <c r="R4299" s="86"/>
      <c r="S4299" s="86"/>
      <c r="T4299" s="86"/>
      <c r="U4299" s="86"/>
      <c r="V4299" s="48"/>
      <c r="W4299" s="48"/>
      <c r="X4299" s="48"/>
      <c r="Y4299" s="48"/>
      <c r="Z4299" s="48"/>
      <c r="AA4299" s="48"/>
      <c r="AB4299" s="48"/>
      <c r="AC4299" s="48"/>
      <c r="AD4299" s="48"/>
      <c r="AE4299" s="48"/>
      <c r="AF4299" s="48"/>
      <c r="AG4299" s="48"/>
      <c r="AH4299" s="48"/>
      <c r="AI4299" s="48"/>
      <c r="AJ4299" s="48"/>
      <c r="AK4299" s="48"/>
      <c r="AL4299" s="48"/>
      <c r="AM4299" s="48"/>
      <c r="AN4299" s="48"/>
      <c r="AO4299" s="48"/>
      <c r="AP4299" s="48"/>
      <c r="AQ4299" s="48"/>
      <c r="AR4299" s="48"/>
      <c r="AS4299" s="48"/>
      <c r="AT4299" s="48"/>
      <c r="AU4299" s="48"/>
      <c r="AV4299" s="48"/>
      <c r="AW4299" s="48"/>
      <c r="AX4299" s="48"/>
      <c r="AY4299" s="48"/>
      <c r="AZ4299" s="48"/>
      <c r="BA4299" s="48"/>
      <c r="BB4299" s="48"/>
      <c r="BC4299" s="48"/>
      <c r="BD4299" s="48"/>
    </row>
    <row r="4300" spans="1:56">
      <c r="A4300" s="48"/>
      <c r="B4300" s="48"/>
      <c r="C4300" s="49"/>
      <c r="D4300" s="48"/>
      <c r="E4300" s="48"/>
      <c r="F4300" s="48"/>
      <c r="G4300" s="48"/>
      <c r="H4300" s="48"/>
      <c r="I4300" s="48"/>
      <c r="J4300" s="86"/>
      <c r="K4300" s="86"/>
      <c r="L4300" s="86"/>
      <c r="M4300" s="86"/>
      <c r="N4300" s="86"/>
      <c r="O4300" s="86"/>
      <c r="P4300" s="86"/>
      <c r="Q4300" s="86"/>
      <c r="R4300" s="86"/>
      <c r="S4300" s="86"/>
      <c r="T4300" s="86"/>
      <c r="U4300" s="86"/>
      <c r="V4300" s="48"/>
      <c r="W4300" s="48"/>
      <c r="X4300" s="48"/>
      <c r="Y4300" s="48"/>
      <c r="Z4300" s="48"/>
      <c r="AA4300" s="48"/>
      <c r="AB4300" s="48"/>
      <c r="AC4300" s="48"/>
      <c r="AD4300" s="48"/>
      <c r="AE4300" s="48"/>
      <c r="AF4300" s="48"/>
      <c r="AG4300" s="48"/>
      <c r="AH4300" s="48"/>
      <c r="AI4300" s="48"/>
      <c r="AJ4300" s="48"/>
      <c r="AK4300" s="48"/>
      <c r="AL4300" s="48"/>
      <c r="AM4300" s="48"/>
      <c r="AN4300" s="48"/>
      <c r="AO4300" s="48"/>
      <c r="AP4300" s="48"/>
      <c r="AQ4300" s="48"/>
      <c r="AR4300" s="48"/>
      <c r="AS4300" s="48"/>
      <c r="AT4300" s="48"/>
      <c r="AU4300" s="48"/>
      <c r="AV4300" s="48"/>
      <c r="AW4300" s="48"/>
      <c r="AX4300" s="48"/>
      <c r="AY4300" s="48"/>
      <c r="AZ4300" s="48"/>
      <c r="BA4300" s="48"/>
      <c r="BB4300" s="48"/>
      <c r="BC4300" s="48"/>
      <c r="BD4300" s="48"/>
    </row>
    <row r="4301" spans="1:56">
      <c r="A4301" s="48"/>
      <c r="B4301" s="48"/>
      <c r="C4301" s="49"/>
      <c r="D4301" s="48"/>
      <c r="E4301" s="48"/>
      <c r="F4301" s="48"/>
      <c r="G4301" s="48"/>
      <c r="H4301" s="48"/>
      <c r="I4301" s="48"/>
      <c r="J4301" s="86"/>
      <c r="K4301" s="86"/>
      <c r="L4301" s="86"/>
      <c r="M4301" s="86"/>
      <c r="N4301" s="86"/>
      <c r="O4301" s="86"/>
      <c r="P4301" s="86"/>
      <c r="Q4301" s="86"/>
      <c r="R4301" s="86"/>
      <c r="S4301" s="86"/>
      <c r="T4301" s="86"/>
      <c r="U4301" s="86"/>
      <c r="V4301" s="48"/>
      <c r="W4301" s="48"/>
      <c r="X4301" s="48"/>
      <c r="Y4301" s="48"/>
      <c r="Z4301" s="48"/>
      <c r="AA4301" s="48"/>
      <c r="AB4301" s="48"/>
      <c r="AC4301" s="48"/>
      <c r="AD4301" s="48"/>
      <c r="AE4301" s="48"/>
      <c r="AF4301" s="48"/>
      <c r="AG4301" s="48"/>
      <c r="AH4301" s="48"/>
      <c r="AI4301" s="48"/>
      <c r="AJ4301" s="48"/>
      <c r="AK4301" s="48"/>
      <c r="AL4301" s="48"/>
      <c r="AM4301" s="48"/>
      <c r="AN4301" s="48"/>
      <c r="AO4301" s="48"/>
      <c r="AP4301" s="48"/>
      <c r="AQ4301" s="48"/>
      <c r="AR4301" s="48"/>
      <c r="AS4301" s="48"/>
      <c r="AT4301" s="48"/>
      <c r="AU4301" s="48"/>
      <c r="AV4301" s="48"/>
      <c r="AW4301" s="48"/>
      <c r="AX4301" s="48"/>
      <c r="AY4301" s="48"/>
      <c r="AZ4301" s="48"/>
      <c r="BA4301" s="48"/>
      <c r="BB4301" s="48"/>
      <c r="BC4301" s="48"/>
      <c r="BD4301" s="48"/>
    </row>
    <row r="4302" spans="1:56">
      <c r="A4302" s="48"/>
      <c r="B4302" s="48"/>
      <c r="C4302" s="49"/>
      <c r="D4302" s="48"/>
      <c r="E4302" s="48"/>
      <c r="F4302" s="48"/>
      <c r="G4302" s="48"/>
      <c r="H4302" s="48"/>
      <c r="I4302" s="48"/>
      <c r="J4302" s="86"/>
      <c r="K4302" s="86"/>
      <c r="L4302" s="86"/>
      <c r="M4302" s="86"/>
      <c r="N4302" s="86"/>
      <c r="O4302" s="86"/>
      <c r="P4302" s="86"/>
      <c r="Q4302" s="86"/>
      <c r="R4302" s="86"/>
      <c r="S4302" s="86"/>
      <c r="T4302" s="86"/>
      <c r="U4302" s="86"/>
      <c r="V4302" s="48"/>
      <c r="W4302" s="48"/>
      <c r="X4302" s="48"/>
      <c r="Y4302" s="48"/>
      <c r="Z4302" s="48"/>
      <c r="AA4302" s="48"/>
      <c r="AB4302" s="48"/>
      <c r="AC4302" s="48"/>
      <c r="AD4302" s="48"/>
      <c r="AE4302" s="48"/>
      <c r="AF4302" s="48"/>
      <c r="AG4302" s="48"/>
      <c r="AH4302" s="48"/>
      <c r="AI4302" s="48"/>
      <c r="AJ4302" s="48"/>
      <c r="AK4302" s="48"/>
      <c r="AL4302" s="48"/>
      <c r="AM4302" s="48"/>
      <c r="AN4302" s="48"/>
      <c r="AO4302" s="48"/>
      <c r="AP4302" s="48"/>
      <c r="AQ4302" s="48"/>
      <c r="AR4302" s="48"/>
      <c r="AS4302" s="48"/>
      <c r="AT4302" s="48"/>
      <c r="AU4302" s="48"/>
      <c r="AV4302" s="48"/>
      <c r="AW4302" s="48"/>
      <c r="AX4302" s="48"/>
      <c r="AY4302" s="48"/>
      <c r="AZ4302" s="48"/>
      <c r="BA4302" s="48"/>
      <c r="BB4302" s="48"/>
      <c r="BC4302" s="48"/>
      <c r="BD4302" s="48"/>
    </row>
    <row r="4303" spans="1:56">
      <c r="A4303" s="48"/>
      <c r="B4303" s="48"/>
      <c r="C4303" s="49"/>
      <c r="D4303" s="48"/>
      <c r="E4303" s="48"/>
      <c r="F4303" s="48"/>
      <c r="G4303" s="48"/>
      <c r="H4303" s="48"/>
      <c r="I4303" s="48"/>
      <c r="J4303" s="86"/>
      <c r="K4303" s="86"/>
      <c r="L4303" s="86"/>
      <c r="M4303" s="86"/>
      <c r="N4303" s="86"/>
      <c r="O4303" s="86"/>
      <c r="P4303" s="86"/>
      <c r="Q4303" s="86"/>
      <c r="R4303" s="86"/>
      <c r="S4303" s="86"/>
      <c r="T4303" s="86"/>
      <c r="U4303" s="86"/>
      <c r="V4303" s="48"/>
      <c r="W4303" s="48"/>
      <c r="X4303" s="48"/>
      <c r="Y4303" s="48"/>
      <c r="Z4303" s="48"/>
      <c r="AA4303" s="48"/>
      <c r="AB4303" s="48"/>
      <c r="AC4303" s="48"/>
      <c r="AD4303" s="48"/>
      <c r="AE4303" s="48"/>
      <c r="AF4303" s="48"/>
      <c r="AG4303" s="48"/>
      <c r="AH4303" s="48"/>
      <c r="AI4303" s="48"/>
      <c r="AJ4303" s="48"/>
      <c r="AK4303" s="48"/>
      <c r="AL4303" s="48"/>
      <c r="AM4303" s="48"/>
      <c r="AN4303" s="48"/>
      <c r="AO4303" s="48"/>
      <c r="AP4303" s="48"/>
      <c r="AQ4303" s="48"/>
      <c r="AR4303" s="48"/>
      <c r="AS4303" s="48"/>
      <c r="AT4303" s="48"/>
      <c r="AU4303" s="48"/>
      <c r="AV4303" s="48"/>
      <c r="AW4303" s="48"/>
      <c r="AX4303" s="48"/>
      <c r="AY4303" s="48"/>
      <c r="AZ4303" s="48"/>
      <c r="BA4303" s="48"/>
      <c r="BB4303" s="48"/>
      <c r="BC4303" s="48"/>
      <c r="BD4303" s="48"/>
    </row>
    <row r="4304" spans="1:56">
      <c r="A4304" s="48"/>
      <c r="B4304" s="48"/>
      <c r="C4304" s="49"/>
      <c r="D4304" s="48"/>
      <c r="E4304" s="48"/>
      <c r="F4304" s="48"/>
      <c r="G4304" s="48"/>
      <c r="H4304" s="48"/>
      <c r="I4304" s="48"/>
      <c r="J4304" s="86"/>
      <c r="K4304" s="86"/>
      <c r="L4304" s="86"/>
      <c r="M4304" s="86"/>
      <c r="N4304" s="86"/>
      <c r="O4304" s="86"/>
      <c r="P4304" s="86"/>
      <c r="Q4304" s="86"/>
      <c r="R4304" s="86"/>
      <c r="S4304" s="86"/>
      <c r="T4304" s="86"/>
      <c r="U4304" s="86"/>
      <c r="V4304" s="48"/>
      <c r="W4304" s="48"/>
      <c r="X4304" s="48"/>
      <c r="Y4304" s="48"/>
      <c r="Z4304" s="48"/>
      <c r="AA4304" s="48"/>
      <c r="AB4304" s="48"/>
      <c r="AC4304" s="48"/>
      <c r="AD4304" s="48"/>
      <c r="AE4304" s="48"/>
      <c r="AF4304" s="48"/>
      <c r="AG4304" s="48"/>
      <c r="AH4304" s="48"/>
      <c r="AI4304" s="48"/>
      <c r="AJ4304" s="48"/>
      <c r="AK4304" s="48"/>
      <c r="AL4304" s="48"/>
      <c r="AM4304" s="48"/>
      <c r="AN4304" s="48"/>
      <c r="AO4304" s="48"/>
      <c r="AP4304" s="48"/>
      <c r="AQ4304" s="48"/>
      <c r="AR4304" s="48"/>
      <c r="AS4304" s="48"/>
      <c r="AT4304" s="48"/>
      <c r="AU4304" s="48"/>
      <c r="AV4304" s="48"/>
      <c r="AW4304" s="48"/>
      <c r="AX4304" s="48"/>
      <c r="AY4304" s="48"/>
      <c r="AZ4304" s="48"/>
      <c r="BA4304" s="48"/>
      <c r="BB4304" s="48"/>
      <c r="BC4304" s="48"/>
      <c r="BD4304" s="48"/>
    </row>
    <row r="4305" spans="1:56">
      <c r="A4305" s="48"/>
      <c r="B4305" s="48"/>
      <c r="C4305" s="49"/>
      <c r="D4305" s="48"/>
      <c r="E4305" s="48"/>
      <c r="F4305" s="48"/>
      <c r="G4305" s="48"/>
      <c r="H4305" s="48"/>
      <c r="I4305" s="48"/>
      <c r="J4305" s="86"/>
      <c r="K4305" s="86"/>
      <c r="L4305" s="86"/>
      <c r="M4305" s="86"/>
      <c r="N4305" s="86"/>
      <c r="O4305" s="86"/>
      <c r="P4305" s="86"/>
      <c r="Q4305" s="86"/>
      <c r="R4305" s="86"/>
      <c r="S4305" s="86"/>
      <c r="T4305" s="86"/>
      <c r="U4305" s="86"/>
      <c r="V4305" s="48"/>
      <c r="W4305" s="48"/>
      <c r="X4305" s="48"/>
      <c r="Y4305" s="48"/>
      <c r="Z4305" s="48"/>
      <c r="AA4305" s="48"/>
      <c r="AB4305" s="48"/>
      <c r="AC4305" s="48"/>
      <c r="AD4305" s="48"/>
      <c r="AE4305" s="48"/>
      <c r="AF4305" s="48"/>
      <c r="AG4305" s="48"/>
      <c r="AH4305" s="48"/>
      <c r="AI4305" s="48"/>
      <c r="AJ4305" s="48"/>
      <c r="AK4305" s="48"/>
      <c r="AL4305" s="48"/>
      <c r="AM4305" s="48"/>
      <c r="AN4305" s="48"/>
      <c r="AO4305" s="48"/>
      <c r="AP4305" s="48"/>
      <c r="AQ4305" s="48"/>
      <c r="AR4305" s="48"/>
      <c r="AS4305" s="48"/>
      <c r="AT4305" s="48"/>
      <c r="AU4305" s="48"/>
      <c r="AV4305" s="48"/>
      <c r="AW4305" s="48"/>
      <c r="AX4305" s="48"/>
      <c r="AY4305" s="48"/>
      <c r="AZ4305" s="48"/>
      <c r="BA4305" s="48"/>
      <c r="BB4305" s="48"/>
      <c r="BC4305" s="48"/>
      <c r="BD4305" s="48"/>
    </row>
    <row r="4306" spans="1:56">
      <c r="A4306" s="48"/>
      <c r="B4306" s="48"/>
      <c r="C4306" s="49"/>
      <c r="D4306" s="48"/>
      <c r="E4306" s="48"/>
      <c r="F4306" s="48"/>
      <c r="G4306" s="48"/>
      <c r="H4306" s="48"/>
      <c r="I4306" s="48"/>
      <c r="J4306" s="86"/>
      <c r="K4306" s="86"/>
      <c r="L4306" s="86"/>
      <c r="M4306" s="86"/>
      <c r="N4306" s="86"/>
      <c r="O4306" s="86"/>
      <c r="P4306" s="86"/>
      <c r="Q4306" s="86"/>
      <c r="R4306" s="86"/>
      <c r="S4306" s="86"/>
      <c r="T4306" s="86"/>
      <c r="U4306" s="86"/>
      <c r="V4306" s="48"/>
      <c r="W4306" s="48"/>
      <c r="X4306" s="48"/>
      <c r="Y4306" s="48"/>
      <c r="Z4306" s="48"/>
      <c r="AA4306" s="48"/>
      <c r="AB4306" s="48"/>
      <c r="AC4306" s="48"/>
      <c r="AD4306" s="48"/>
      <c r="AE4306" s="48"/>
      <c r="AF4306" s="48"/>
      <c r="AG4306" s="48"/>
      <c r="AH4306" s="48"/>
      <c r="AI4306" s="48"/>
      <c r="AJ4306" s="48"/>
      <c r="AK4306" s="48"/>
      <c r="AL4306" s="48"/>
      <c r="AM4306" s="48"/>
      <c r="AN4306" s="48"/>
      <c r="AO4306" s="48"/>
      <c r="AP4306" s="48"/>
      <c r="AQ4306" s="48"/>
      <c r="AR4306" s="48"/>
      <c r="AS4306" s="48"/>
      <c r="AT4306" s="48"/>
      <c r="AU4306" s="48"/>
      <c r="AV4306" s="48"/>
      <c r="AW4306" s="48"/>
      <c r="AX4306" s="48"/>
      <c r="AY4306" s="48"/>
      <c r="AZ4306" s="48"/>
      <c r="BA4306" s="48"/>
      <c r="BB4306" s="48"/>
      <c r="BC4306" s="48"/>
      <c r="BD4306" s="48"/>
    </row>
    <row r="4307" spans="1:56">
      <c r="A4307" s="48"/>
      <c r="B4307" s="48"/>
      <c r="C4307" s="49"/>
      <c r="D4307" s="48"/>
      <c r="E4307" s="48"/>
      <c r="F4307" s="48"/>
      <c r="G4307" s="48"/>
      <c r="H4307" s="48"/>
      <c r="I4307" s="48"/>
      <c r="J4307" s="86"/>
      <c r="K4307" s="86"/>
      <c r="L4307" s="86"/>
      <c r="M4307" s="86"/>
      <c r="N4307" s="86"/>
      <c r="O4307" s="86"/>
      <c r="P4307" s="86"/>
      <c r="Q4307" s="86"/>
      <c r="R4307" s="86"/>
      <c r="S4307" s="86"/>
      <c r="T4307" s="86"/>
      <c r="U4307" s="86"/>
      <c r="V4307" s="48"/>
      <c r="W4307" s="48"/>
      <c r="X4307" s="48"/>
      <c r="Y4307" s="48"/>
      <c r="Z4307" s="48"/>
      <c r="AA4307" s="48"/>
      <c r="AB4307" s="48"/>
      <c r="AC4307" s="48"/>
      <c r="AD4307" s="48"/>
      <c r="AE4307" s="48"/>
      <c r="AF4307" s="48"/>
      <c r="AG4307" s="48"/>
      <c r="AH4307" s="48"/>
      <c r="AI4307" s="48"/>
      <c r="AJ4307" s="48"/>
      <c r="AK4307" s="48"/>
      <c r="AL4307" s="48"/>
      <c r="AM4307" s="48"/>
      <c r="AN4307" s="48"/>
      <c r="AO4307" s="48"/>
      <c r="AP4307" s="48"/>
      <c r="AQ4307" s="48"/>
      <c r="AR4307" s="48"/>
      <c r="AS4307" s="48"/>
      <c r="AT4307" s="48"/>
      <c r="AU4307" s="48"/>
      <c r="AV4307" s="48"/>
      <c r="AW4307" s="48"/>
      <c r="AX4307" s="48"/>
      <c r="AY4307" s="48"/>
      <c r="AZ4307" s="48"/>
      <c r="BA4307" s="48"/>
      <c r="BB4307" s="48"/>
      <c r="BC4307" s="48"/>
      <c r="BD4307" s="48"/>
    </row>
    <row r="4308" spans="1:56">
      <c r="A4308" s="48"/>
      <c r="B4308" s="48"/>
      <c r="C4308" s="49"/>
      <c r="D4308" s="48"/>
      <c r="E4308" s="48"/>
      <c r="F4308" s="48"/>
      <c r="G4308" s="48"/>
      <c r="H4308" s="48"/>
      <c r="I4308" s="48"/>
      <c r="J4308" s="86"/>
      <c r="K4308" s="86"/>
      <c r="L4308" s="86"/>
      <c r="M4308" s="86"/>
      <c r="N4308" s="86"/>
      <c r="O4308" s="86"/>
      <c r="P4308" s="86"/>
      <c r="Q4308" s="86"/>
      <c r="R4308" s="86"/>
      <c r="S4308" s="86"/>
      <c r="T4308" s="86"/>
      <c r="U4308" s="86"/>
      <c r="V4308" s="48"/>
      <c r="W4308" s="48"/>
      <c r="X4308" s="48"/>
      <c r="Y4308" s="48"/>
      <c r="Z4308" s="48"/>
      <c r="AA4308" s="48"/>
      <c r="AB4308" s="48"/>
      <c r="AC4308" s="48"/>
      <c r="AD4308" s="48"/>
      <c r="AE4308" s="48"/>
      <c r="AF4308" s="48"/>
      <c r="AG4308" s="48"/>
      <c r="AH4308" s="48"/>
      <c r="AI4308" s="48"/>
      <c r="AJ4308" s="48"/>
      <c r="AK4308" s="48"/>
      <c r="AL4308" s="48"/>
      <c r="AM4308" s="48"/>
      <c r="AN4308" s="48"/>
      <c r="AO4308" s="48"/>
      <c r="AP4308" s="48"/>
      <c r="AQ4308" s="48"/>
      <c r="AR4308" s="48"/>
      <c r="AS4308" s="48"/>
      <c r="AT4308" s="48"/>
      <c r="AU4308" s="48"/>
      <c r="AV4308" s="48"/>
      <c r="AW4308" s="48"/>
      <c r="AX4308" s="48"/>
      <c r="AY4308" s="48"/>
      <c r="AZ4308" s="48"/>
      <c r="BA4308" s="48"/>
      <c r="BB4308" s="48"/>
      <c r="BC4308" s="48"/>
      <c r="BD4308" s="48"/>
    </row>
    <row r="4309" spans="1:56">
      <c r="A4309" s="48"/>
      <c r="B4309" s="48"/>
      <c r="C4309" s="49"/>
      <c r="D4309" s="48"/>
      <c r="E4309" s="48"/>
      <c r="F4309" s="48"/>
      <c r="G4309" s="48"/>
      <c r="H4309" s="48"/>
      <c r="I4309" s="48"/>
      <c r="J4309" s="86"/>
      <c r="K4309" s="86"/>
      <c r="L4309" s="86"/>
      <c r="M4309" s="86"/>
      <c r="N4309" s="86"/>
      <c r="O4309" s="86"/>
      <c r="P4309" s="86"/>
      <c r="Q4309" s="86"/>
      <c r="R4309" s="86"/>
      <c r="S4309" s="86"/>
      <c r="T4309" s="86"/>
      <c r="U4309" s="86"/>
      <c r="V4309" s="48"/>
      <c r="W4309" s="48"/>
      <c r="X4309" s="48"/>
      <c r="Y4309" s="48"/>
      <c r="Z4309" s="48"/>
      <c r="AA4309" s="48"/>
      <c r="AB4309" s="48"/>
      <c r="AC4309" s="48"/>
      <c r="AD4309" s="48"/>
      <c r="AE4309" s="48"/>
      <c r="AF4309" s="48"/>
      <c r="AG4309" s="48"/>
      <c r="AH4309" s="48"/>
      <c r="AI4309" s="48"/>
      <c r="AJ4309" s="48"/>
      <c r="AK4309" s="48"/>
      <c r="AL4309" s="48"/>
      <c r="AM4309" s="48"/>
      <c r="AN4309" s="48"/>
      <c r="AO4309" s="48"/>
      <c r="AP4309" s="48"/>
      <c r="AQ4309" s="48"/>
      <c r="AR4309" s="48"/>
      <c r="AS4309" s="48"/>
      <c r="AT4309" s="48"/>
      <c r="AU4309" s="48"/>
      <c r="AV4309" s="48"/>
      <c r="AW4309" s="48"/>
      <c r="AX4309" s="48"/>
      <c r="AY4309" s="48"/>
      <c r="AZ4309" s="48"/>
      <c r="BA4309" s="48"/>
      <c r="BB4309" s="48"/>
      <c r="BC4309" s="48"/>
      <c r="BD4309" s="48"/>
    </row>
    <row r="4310" spans="1:56">
      <c r="A4310" s="48"/>
      <c r="B4310" s="48"/>
      <c r="C4310" s="49"/>
      <c r="D4310" s="48"/>
      <c r="E4310" s="48"/>
      <c r="F4310" s="48"/>
      <c r="G4310" s="48"/>
      <c r="H4310" s="48"/>
      <c r="I4310" s="48"/>
      <c r="J4310" s="86"/>
      <c r="K4310" s="86"/>
      <c r="L4310" s="86"/>
      <c r="M4310" s="86"/>
      <c r="N4310" s="86"/>
      <c r="O4310" s="86"/>
      <c r="P4310" s="86"/>
      <c r="Q4310" s="86"/>
      <c r="R4310" s="86"/>
      <c r="S4310" s="86"/>
      <c r="T4310" s="86"/>
      <c r="U4310" s="86"/>
      <c r="V4310" s="48"/>
      <c r="W4310" s="48"/>
      <c r="X4310" s="48"/>
      <c r="Y4310" s="48"/>
      <c r="Z4310" s="48"/>
      <c r="AA4310" s="48"/>
      <c r="AB4310" s="48"/>
      <c r="AC4310" s="48"/>
      <c r="AD4310" s="48"/>
      <c r="AE4310" s="48"/>
      <c r="AF4310" s="48"/>
      <c r="AG4310" s="48"/>
      <c r="AH4310" s="48"/>
      <c r="AI4310" s="48"/>
      <c r="AJ4310" s="48"/>
      <c r="AK4310" s="48"/>
      <c r="AL4310" s="48"/>
      <c r="AM4310" s="48"/>
      <c r="AN4310" s="48"/>
      <c r="AO4310" s="48"/>
      <c r="AP4310" s="48"/>
      <c r="AQ4310" s="48"/>
      <c r="AR4310" s="48"/>
      <c r="AS4310" s="48"/>
      <c r="AT4310" s="48"/>
      <c r="AU4310" s="48"/>
      <c r="AV4310" s="48"/>
      <c r="AW4310" s="48"/>
      <c r="AX4310" s="48"/>
      <c r="AY4310" s="48"/>
      <c r="AZ4310" s="48"/>
      <c r="BA4310" s="48"/>
      <c r="BB4310" s="48"/>
      <c r="BC4310" s="48"/>
      <c r="BD4310" s="48"/>
    </row>
    <row r="4311" spans="1:56">
      <c r="A4311" s="48"/>
      <c r="B4311" s="48"/>
      <c r="C4311" s="49"/>
      <c r="D4311" s="48"/>
      <c r="E4311" s="48"/>
      <c r="F4311" s="48"/>
      <c r="G4311" s="48"/>
      <c r="H4311" s="48"/>
      <c r="I4311" s="48"/>
      <c r="J4311" s="86"/>
      <c r="K4311" s="86"/>
      <c r="L4311" s="86"/>
      <c r="M4311" s="86"/>
      <c r="N4311" s="86"/>
      <c r="O4311" s="86"/>
      <c r="P4311" s="86"/>
      <c r="Q4311" s="86"/>
      <c r="R4311" s="86"/>
      <c r="S4311" s="86"/>
      <c r="T4311" s="86"/>
      <c r="U4311" s="86"/>
      <c r="V4311" s="48"/>
      <c r="W4311" s="48"/>
      <c r="X4311" s="48"/>
      <c r="Y4311" s="48"/>
      <c r="Z4311" s="48"/>
      <c r="AA4311" s="48"/>
      <c r="AB4311" s="48"/>
      <c r="AC4311" s="48"/>
      <c r="AD4311" s="48"/>
      <c r="AE4311" s="48"/>
      <c r="AF4311" s="48"/>
      <c r="AG4311" s="48"/>
      <c r="AH4311" s="48"/>
      <c r="AI4311" s="48"/>
      <c r="AJ4311" s="48"/>
      <c r="AK4311" s="48"/>
      <c r="AL4311" s="48"/>
      <c r="AM4311" s="48"/>
      <c r="AN4311" s="48"/>
      <c r="AO4311" s="48"/>
      <c r="AP4311" s="48"/>
      <c r="AQ4311" s="48"/>
      <c r="AR4311" s="48"/>
      <c r="AS4311" s="48"/>
      <c r="AT4311" s="48"/>
      <c r="AU4311" s="48"/>
      <c r="AV4311" s="48"/>
      <c r="AW4311" s="48"/>
      <c r="AX4311" s="48"/>
      <c r="AY4311" s="48"/>
      <c r="AZ4311" s="48"/>
      <c r="BA4311" s="48"/>
      <c r="BB4311" s="48"/>
      <c r="BC4311" s="48"/>
      <c r="BD4311" s="48"/>
    </row>
    <row r="4312" spans="1:56">
      <c r="A4312" s="48"/>
      <c r="B4312" s="48"/>
      <c r="C4312" s="49"/>
      <c r="D4312" s="48"/>
      <c r="E4312" s="48"/>
      <c r="F4312" s="48"/>
      <c r="G4312" s="48"/>
      <c r="H4312" s="48"/>
      <c r="I4312" s="48"/>
      <c r="J4312" s="86"/>
      <c r="K4312" s="86"/>
      <c r="L4312" s="86"/>
      <c r="M4312" s="86"/>
      <c r="N4312" s="86"/>
      <c r="O4312" s="86"/>
      <c r="P4312" s="86"/>
      <c r="Q4312" s="86"/>
      <c r="R4312" s="86"/>
      <c r="S4312" s="86"/>
      <c r="T4312" s="86"/>
      <c r="U4312" s="86"/>
      <c r="V4312" s="48"/>
      <c r="W4312" s="48"/>
      <c r="X4312" s="48"/>
      <c r="Y4312" s="48"/>
      <c r="Z4312" s="48"/>
      <c r="AA4312" s="48"/>
      <c r="AB4312" s="48"/>
      <c r="AC4312" s="48"/>
      <c r="AD4312" s="48"/>
      <c r="AE4312" s="48"/>
      <c r="AF4312" s="48"/>
      <c r="AG4312" s="48"/>
      <c r="AH4312" s="48"/>
      <c r="AI4312" s="48"/>
      <c r="AJ4312" s="48"/>
      <c r="AK4312" s="48"/>
      <c r="AL4312" s="48"/>
      <c r="AM4312" s="48"/>
      <c r="AN4312" s="48"/>
      <c r="AO4312" s="48"/>
      <c r="AP4312" s="48"/>
      <c r="AQ4312" s="48"/>
      <c r="AR4312" s="48"/>
      <c r="AS4312" s="48"/>
      <c r="AT4312" s="48"/>
      <c r="AU4312" s="48"/>
      <c r="AV4312" s="48"/>
      <c r="AW4312" s="48"/>
      <c r="AX4312" s="48"/>
      <c r="AY4312" s="48"/>
      <c r="AZ4312" s="48"/>
      <c r="BA4312" s="48"/>
      <c r="BB4312" s="48"/>
      <c r="BC4312" s="48"/>
      <c r="BD4312" s="48"/>
    </row>
    <row r="4313" spans="1:56">
      <c r="A4313" s="48"/>
      <c r="B4313" s="48"/>
      <c r="C4313" s="49"/>
      <c r="D4313" s="48"/>
      <c r="E4313" s="48"/>
      <c r="F4313" s="48"/>
      <c r="G4313" s="48"/>
      <c r="H4313" s="48"/>
      <c r="I4313" s="48"/>
      <c r="J4313" s="86"/>
      <c r="K4313" s="86"/>
      <c r="L4313" s="86"/>
      <c r="M4313" s="86"/>
      <c r="N4313" s="86"/>
      <c r="O4313" s="86"/>
      <c r="P4313" s="86"/>
      <c r="Q4313" s="86"/>
      <c r="R4313" s="86"/>
      <c r="S4313" s="86"/>
      <c r="T4313" s="86"/>
      <c r="U4313" s="86"/>
      <c r="V4313" s="48"/>
      <c r="W4313" s="48"/>
      <c r="X4313" s="48"/>
      <c r="Y4313" s="48"/>
      <c r="Z4313" s="48"/>
      <c r="AA4313" s="48"/>
      <c r="AB4313" s="48"/>
      <c r="AC4313" s="48"/>
      <c r="AD4313" s="48"/>
      <c r="AE4313" s="48"/>
      <c r="AF4313" s="48"/>
      <c r="AG4313" s="48"/>
      <c r="AH4313" s="48"/>
      <c r="AI4313" s="48"/>
      <c r="AJ4313" s="48"/>
      <c r="AK4313" s="48"/>
      <c r="AL4313" s="48"/>
      <c r="AM4313" s="48"/>
      <c r="AN4313" s="48"/>
      <c r="AO4313" s="48"/>
      <c r="AP4313" s="48"/>
      <c r="AQ4313" s="48"/>
      <c r="AR4313" s="48"/>
      <c r="AS4313" s="48"/>
      <c r="AT4313" s="48"/>
      <c r="AU4313" s="48"/>
      <c r="AV4313" s="48"/>
      <c r="AW4313" s="48"/>
      <c r="AX4313" s="48"/>
      <c r="AY4313" s="48"/>
      <c r="AZ4313" s="48"/>
      <c r="BA4313" s="48"/>
      <c r="BB4313" s="48"/>
      <c r="BC4313" s="48"/>
      <c r="BD4313" s="48"/>
    </row>
    <row r="4314" spans="1:56">
      <c r="A4314" s="48"/>
      <c r="B4314" s="48"/>
      <c r="C4314" s="49"/>
      <c r="D4314" s="48"/>
      <c r="E4314" s="48"/>
      <c r="F4314" s="48"/>
      <c r="G4314" s="48"/>
      <c r="H4314" s="48"/>
      <c r="I4314" s="48"/>
      <c r="J4314" s="86"/>
      <c r="K4314" s="86"/>
      <c r="L4314" s="86"/>
      <c r="M4314" s="86"/>
      <c r="N4314" s="86"/>
      <c r="O4314" s="86"/>
      <c r="P4314" s="86"/>
      <c r="Q4314" s="86"/>
      <c r="R4314" s="86"/>
      <c r="S4314" s="86"/>
      <c r="T4314" s="86"/>
      <c r="U4314" s="86"/>
      <c r="V4314" s="48"/>
      <c r="W4314" s="48"/>
      <c r="X4314" s="48"/>
      <c r="Y4314" s="48"/>
      <c r="Z4314" s="48"/>
      <c r="AA4314" s="48"/>
      <c r="AB4314" s="48"/>
      <c r="AC4314" s="48"/>
      <c r="AD4314" s="48"/>
      <c r="AE4314" s="48"/>
      <c r="AF4314" s="48"/>
      <c r="AG4314" s="48"/>
      <c r="AH4314" s="48"/>
      <c r="AI4314" s="48"/>
      <c r="AJ4314" s="48"/>
      <c r="AK4314" s="48"/>
      <c r="AL4314" s="48"/>
      <c r="AM4314" s="48"/>
      <c r="AN4314" s="48"/>
      <c r="AO4314" s="48"/>
      <c r="AP4314" s="48"/>
      <c r="AQ4314" s="48"/>
      <c r="AR4314" s="48"/>
      <c r="AS4314" s="48"/>
      <c r="AT4314" s="48"/>
      <c r="AU4314" s="48"/>
      <c r="AV4314" s="48"/>
      <c r="AW4314" s="48"/>
      <c r="AX4314" s="48"/>
      <c r="AY4314" s="48"/>
      <c r="AZ4314" s="48"/>
      <c r="BA4314" s="48"/>
      <c r="BB4314" s="48"/>
      <c r="BC4314" s="48"/>
      <c r="BD4314" s="48"/>
    </row>
    <row r="4315" spans="1:56">
      <c r="A4315" s="48"/>
      <c r="B4315" s="48"/>
      <c r="C4315" s="49"/>
      <c r="D4315" s="48"/>
      <c r="E4315" s="48"/>
      <c r="F4315" s="48"/>
      <c r="G4315" s="48"/>
      <c r="H4315" s="48"/>
      <c r="I4315" s="48"/>
      <c r="J4315" s="86"/>
      <c r="K4315" s="86"/>
      <c r="L4315" s="86"/>
      <c r="M4315" s="86"/>
      <c r="N4315" s="86"/>
      <c r="O4315" s="86"/>
      <c r="P4315" s="86"/>
      <c r="Q4315" s="86"/>
      <c r="R4315" s="86"/>
      <c r="S4315" s="86"/>
      <c r="T4315" s="86"/>
      <c r="U4315" s="86"/>
      <c r="V4315" s="48"/>
      <c r="W4315" s="48"/>
      <c r="X4315" s="48"/>
      <c r="Y4315" s="48"/>
      <c r="Z4315" s="48"/>
      <c r="AA4315" s="48"/>
      <c r="AB4315" s="48"/>
      <c r="AC4315" s="48"/>
      <c r="AD4315" s="48"/>
      <c r="AE4315" s="48"/>
      <c r="AF4315" s="48"/>
      <c r="AG4315" s="48"/>
      <c r="AH4315" s="48"/>
      <c r="AI4315" s="48"/>
      <c r="AJ4315" s="48"/>
      <c r="AK4315" s="48"/>
      <c r="AL4315" s="48"/>
      <c r="AM4315" s="48"/>
      <c r="AN4315" s="48"/>
      <c r="AO4315" s="48"/>
      <c r="AP4315" s="48"/>
      <c r="AQ4315" s="48"/>
      <c r="AR4315" s="48"/>
      <c r="AS4315" s="48"/>
      <c r="AT4315" s="48"/>
      <c r="AU4315" s="48"/>
      <c r="AV4315" s="48"/>
      <c r="AW4315" s="48"/>
      <c r="AX4315" s="48"/>
      <c r="AY4315" s="48"/>
      <c r="AZ4315" s="48"/>
      <c r="BA4315" s="48"/>
      <c r="BB4315" s="48"/>
      <c r="BC4315" s="48"/>
      <c r="BD4315" s="48"/>
    </row>
    <row r="4316" spans="1:56">
      <c r="A4316" s="48"/>
      <c r="B4316" s="48"/>
      <c r="C4316" s="49"/>
      <c r="D4316" s="48"/>
      <c r="E4316" s="48"/>
      <c r="F4316" s="48"/>
      <c r="G4316" s="48"/>
      <c r="H4316" s="48"/>
      <c r="I4316" s="48"/>
      <c r="J4316" s="86"/>
      <c r="K4316" s="86"/>
      <c r="L4316" s="86"/>
      <c r="M4316" s="86"/>
      <c r="N4316" s="86"/>
      <c r="O4316" s="86"/>
      <c r="P4316" s="86"/>
      <c r="Q4316" s="86"/>
      <c r="R4316" s="86"/>
      <c r="S4316" s="86"/>
      <c r="T4316" s="86"/>
      <c r="U4316" s="86"/>
      <c r="V4316" s="48"/>
      <c r="W4316" s="48"/>
      <c r="X4316" s="48"/>
      <c r="Y4316" s="48"/>
      <c r="Z4316" s="48"/>
      <c r="AA4316" s="48"/>
      <c r="AB4316" s="48"/>
      <c r="AC4316" s="48"/>
      <c r="AD4316" s="48"/>
      <c r="AE4316" s="48"/>
      <c r="AF4316" s="48"/>
      <c r="AG4316" s="48"/>
      <c r="AH4316" s="48"/>
      <c r="AI4316" s="48"/>
      <c r="AJ4316" s="48"/>
      <c r="AK4316" s="48"/>
      <c r="AL4316" s="48"/>
      <c r="AM4316" s="48"/>
      <c r="AN4316" s="48"/>
      <c r="AO4316" s="48"/>
      <c r="AP4316" s="48"/>
      <c r="AQ4316" s="48"/>
      <c r="AR4316" s="48"/>
      <c r="AS4316" s="48"/>
      <c r="AT4316" s="48"/>
      <c r="AU4316" s="48"/>
      <c r="AV4316" s="48"/>
      <c r="AW4316" s="48"/>
      <c r="AX4316" s="48"/>
      <c r="AY4316" s="48"/>
      <c r="AZ4316" s="48"/>
      <c r="BA4316" s="48"/>
      <c r="BB4316" s="48"/>
      <c r="BC4316" s="48"/>
      <c r="BD4316" s="48"/>
    </row>
    <row r="4317" spans="1:56">
      <c r="A4317" s="48"/>
      <c r="B4317" s="48"/>
      <c r="C4317" s="49"/>
      <c r="D4317" s="48"/>
      <c r="E4317" s="48"/>
      <c r="F4317" s="48"/>
      <c r="G4317" s="48"/>
      <c r="H4317" s="48"/>
      <c r="I4317" s="48"/>
      <c r="J4317" s="86"/>
      <c r="K4317" s="86"/>
      <c r="L4317" s="86"/>
      <c r="M4317" s="86"/>
      <c r="N4317" s="86"/>
      <c r="O4317" s="86"/>
      <c r="P4317" s="86"/>
      <c r="Q4317" s="86"/>
      <c r="R4317" s="86"/>
      <c r="S4317" s="86"/>
      <c r="T4317" s="86"/>
      <c r="U4317" s="86"/>
      <c r="V4317" s="48"/>
      <c r="W4317" s="48"/>
      <c r="X4317" s="48"/>
      <c r="Y4317" s="48"/>
      <c r="Z4317" s="48"/>
      <c r="AA4317" s="48"/>
      <c r="AB4317" s="48"/>
      <c r="AC4317" s="48"/>
      <c r="AD4317" s="48"/>
      <c r="AE4317" s="48"/>
      <c r="AF4317" s="48"/>
      <c r="AG4317" s="48"/>
      <c r="AH4317" s="48"/>
      <c r="AI4317" s="48"/>
      <c r="AJ4317" s="48"/>
      <c r="AK4317" s="48"/>
      <c r="AL4317" s="48"/>
      <c r="AM4317" s="48"/>
      <c r="AN4317" s="48"/>
      <c r="AO4317" s="48"/>
      <c r="AP4317" s="48"/>
      <c r="AQ4317" s="48"/>
      <c r="AR4317" s="48"/>
      <c r="AS4317" s="48"/>
      <c r="AT4317" s="48"/>
      <c r="AU4317" s="48"/>
      <c r="AV4317" s="48"/>
      <c r="AW4317" s="48"/>
      <c r="AX4317" s="48"/>
      <c r="AY4317" s="48"/>
      <c r="AZ4317" s="48"/>
      <c r="BA4317" s="48"/>
      <c r="BB4317" s="48"/>
      <c r="BC4317" s="48"/>
      <c r="BD4317" s="48"/>
    </row>
    <row r="4318" spans="1:56">
      <c r="A4318" s="48"/>
      <c r="B4318" s="48"/>
      <c r="C4318" s="49"/>
      <c r="D4318" s="48"/>
      <c r="E4318" s="48"/>
      <c r="F4318" s="48"/>
      <c r="G4318" s="48"/>
      <c r="H4318" s="48"/>
      <c r="I4318" s="48"/>
      <c r="J4318" s="86"/>
      <c r="K4318" s="86"/>
      <c r="L4318" s="86"/>
      <c r="M4318" s="86"/>
      <c r="N4318" s="86"/>
      <c r="O4318" s="86"/>
      <c r="P4318" s="86"/>
      <c r="Q4318" s="86"/>
      <c r="R4318" s="86"/>
      <c r="S4318" s="86"/>
      <c r="T4318" s="86"/>
      <c r="U4318" s="86"/>
      <c r="V4318" s="48"/>
      <c r="W4318" s="48"/>
      <c r="X4318" s="48"/>
      <c r="Y4318" s="48"/>
      <c r="Z4318" s="48"/>
      <c r="AA4318" s="48"/>
      <c r="AB4318" s="48"/>
      <c r="AC4318" s="48"/>
      <c r="AD4318" s="48"/>
      <c r="AE4318" s="48"/>
      <c r="AF4318" s="48"/>
      <c r="AG4318" s="48"/>
      <c r="AH4318" s="48"/>
      <c r="AI4318" s="48"/>
      <c r="AJ4318" s="48"/>
      <c r="AK4318" s="48"/>
      <c r="AL4318" s="48"/>
      <c r="AM4318" s="48"/>
      <c r="AN4318" s="48"/>
      <c r="AO4318" s="48"/>
      <c r="AP4318" s="48"/>
      <c r="AQ4318" s="48"/>
      <c r="AR4318" s="48"/>
      <c r="AS4318" s="48"/>
      <c r="AT4318" s="48"/>
      <c r="AU4318" s="48"/>
      <c r="AV4318" s="48"/>
      <c r="AW4318" s="48"/>
      <c r="AX4318" s="48"/>
      <c r="AY4318" s="48"/>
      <c r="AZ4318" s="48"/>
      <c r="BA4318" s="48"/>
      <c r="BB4318" s="48"/>
      <c r="BC4318" s="48"/>
      <c r="BD4318" s="48"/>
    </row>
    <row r="4319" spans="1:56">
      <c r="A4319" s="48"/>
      <c r="B4319" s="48"/>
      <c r="C4319" s="49"/>
      <c r="D4319" s="48"/>
      <c r="E4319" s="48"/>
      <c r="F4319" s="48"/>
      <c r="G4319" s="48"/>
      <c r="H4319" s="48"/>
      <c r="I4319" s="48"/>
      <c r="J4319" s="86"/>
      <c r="K4319" s="86"/>
      <c r="L4319" s="86"/>
      <c r="M4319" s="86"/>
      <c r="N4319" s="86"/>
      <c r="O4319" s="86"/>
      <c r="P4319" s="86"/>
      <c r="Q4319" s="86"/>
      <c r="R4319" s="86"/>
      <c r="S4319" s="86"/>
      <c r="T4319" s="86"/>
      <c r="U4319" s="86"/>
      <c r="V4319" s="48"/>
      <c r="W4319" s="48"/>
      <c r="X4319" s="48"/>
      <c r="Y4319" s="48"/>
      <c r="Z4319" s="48"/>
      <c r="AA4319" s="48"/>
      <c r="AB4319" s="48"/>
      <c r="AC4319" s="48"/>
      <c r="AD4319" s="48"/>
      <c r="AE4319" s="48"/>
      <c r="AF4319" s="48"/>
      <c r="AG4319" s="48"/>
      <c r="AH4319" s="48"/>
      <c r="AI4319" s="48"/>
      <c r="AJ4319" s="48"/>
      <c r="AK4319" s="48"/>
      <c r="AL4319" s="48"/>
      <c r="AM4319" s="48"/>
      <c r="AN4319" s="48"/>
      <c r="AO4319" s="48"/>
      <c r="AP4319" s="48"/>
      <c r="AQ4319" s="48"/>
      <c r="AR4319" s="48"/>
      <c r="AS4319" s="48"/>
      <c r="AT4319" s="48"/>
      <c r="AU4319" s="48"/>
      <c r="AV4319" s="48"/>
      <c r="AW4319" s="48"/>
      <c r="AX4319" s="48"/>
      <c r="AY4319" s="48"/>
      <c r="AZ4319" s="48"/>
      <c r="BA4319" s="48"/>
      <c r="BB4319" s="48"/>
      <c r="BC4319" s="48"/>
      <c r="BD4319" s="48"/>
    </row>
    <row r="4320" spans="1:56">
      <c r="A4320" s="48"/>
      <c r="B4320" s="48"/>
      <c r="C4320" s="49"/>
      <c r="D4320" s="48"/>
      <c r="E4320" s="48"/>
      <c r="F4320" s="48"/>
      <c r="G4320" s="48"/>
      <c r="H4320" s="48"/>
      <c r="I4320" s="48"/>
      <c r="J4320" s="86"/>
      <c r="K4320" s="86"/>
      <c r="L4320" s="86"/>
      <c r="M4320" s="86"/>
      <c r="N4320" s="86"/>
      <c r="O4320" s="86"/>
      <c r="P4320" s="86"/>
      <c r="Q4320" s="86"/>
      <c r="R4320" s="86"/>
      <c r="S4320" s="86"/>
      <c r="T4320" s="86"/>
      <c r="U4320" s="86"/>
      <c r="V4320" s="48"/>
      <c r="W4320" s="48"/>
      <c r="X4320" s="48"/>
      <c r="Y4320" s="48"/>
      <c r="Z4320" s="48"/>
      <c r="AA4320" s="48"/>
      <c r="AB4320" s="48"/>
      <c r="AC4320" s="48"/>
      <c r="AD4320" s="48"/>
      <c r="AE4320" s="48"/>
      <c r="AF4320" s="48"/>
      <c r="AG4320" s="48"/>
      <c r="AH4320" s="48"/>
      <c r="AI4320" s="48"/>
      <c r="AJ4320" s="48"/>
      <c r="AK4320" s="48"/>
      <c r="AL4320" s="48"/>
      <c r="AM4320" s="48"/>
      <c r="AN4320" s="48"/>
      <c r="AO4320" s="48"/>
      <c r="AP4320" s="48"/>
      <c r="AQ4320" s="48"/>
      <c r="AR4320" s="48"/>
      <c r="AS4320" s="48"/>
      <c r="AT4320" s="48"/>
      <c r="AU4320" s="48"/>
      <c r="AV4320" s="48"/>
      <c r="AW4320" s="48"/>
      <c r="AX4320" s="48"/>
      <c r="AY4320" s="48"/>
      <c r="AZ4320" s="48"/>
      <c r="BA4320" s="48"/>
      <c r="BB4320" s="48"/>
      <c r="BC4320" s="48"/>
      <c r="BD4320" s="48"/>
    </row>
    <row r="4321" spans="1:56">
      <c r="A4321" s="48"/>
      <c r="B4321" s="48"/>
      <c r="C4321" s="49"/>
      <c r="D4321" s="48"/>
      <c r="E4321" s="48"/>
      <c r="F4321" s="48"/>
      <c r="G4321" s="48"/>
      <c r="H4321" s="48"/>
      <c r="I4321" s="48"/>
      <c r="J4321" s="86"/>
      <c r="K4321" s="86"/>
      <c r="L4321" s="86"/>
      <c r="M4321" s="86"/>
      <c r="N4321" s="86"/>
      <c r="O4321" s="86"/>
      <c r="P4321" s="86"/>
      <c r="Q4321" s="86"/>
      <c r="R4321" s="86"/>
      <c r="S4321" s="86"/>
      <c r="T4321" s="86"/>
      <c r="U4321" s="86"/>
      <c r="V4321" s="48"/>
      <c r="W4321" s="48"/>
      <c r="X4321" s="48"/>
      <c r="Y4321" s="48"/>
      <c r="Z4321" s="48"/>
      <c r="AA4321" s="48"/>
      <c r="AB4321" s="48"/>
      <c r="AC4321" s="48"/>
      <c r="AD4321" s="48"/>
      <c r="AE4321" s="48"/>
      <c r="AF4321" s="48"/>
      <c r="AG4321" s="48"/>
      <c r="AH4321" s="48"/>
      <c r="AI4321" s="48"/>
      <c r="AJ4321" s="48"/>
      <c r="AK4321" s="48"/>
      <c r="AL4321" s="48"/>
      <c r="AM4321" s="48"/>
      <c r="AN4321" s="48"/>
      <c r="AO4321" s="48"/>
      <c r="AP4321" s="48"/>
      <c r="AQ4321" s="48"/>
      <c r="AR4321" s="48"/>
      <c r="AS4321" s="48"/>
      <c r="AT4321" s="48"/>
      <c r="AU4321" s="48"/>
      <c r="AV4321" s="48"/>
      <c r="AW4321" s="48"/>
      <c r="AX4321" s="48"/>
      <c r="AY4321" s="48"/>
      <c r="AZ4321" s="48"/>
      <c r="BA4321" s="48"/>
      <c r="BB4321" s="48"/>
      <c r="BC4321" s="48"/>
      <c r="BD4321" s="48"/>
    </row>
    <row r="4322" spans="1:56">
      <c r="A4322" s="48"/>
      <c r="B4322" s="48"/>
      <c r="C4322" s="49"/>
      <c r="D4322" s="48"/>
      <c r="E4322" s="48"/>
      <c r="F4322" s="48"/>
      <c r="G4322" s="48"/>
      <c r="H4322" s="48"/>
      <c r="I4322" s="48"/>
      <c r="J4322" s="86"/>
      <c r="K4322" s="86"/>
      <c r="L4322" s="86"/>
      <c r="M4322" s="86"/>
      <c r="N4322" s="86"/>
      <c r="O4322" s="86"/>
      <c r="P4322" s="86"/>
      <c r="Q4322" s="86"/>
      <c r="R4322" s="86"/>
      <c r="S4322" s="86"/>
      <c r="T4322" s="86"/>
      <c r="U4322" s="86"/>
      <c r="V4322" s="48"/>
      <c r="W4322" s="48"/>
      <c r="X4322" s="48"/>
      <c r="Y4322" s="48"/>
      <c r="Z4322" s="48"/>
      <c r="AA4322" s="48"/>
      <c r="AB4322" s="48"/>
      <c r="AC4322" s="48"/>
      <c r="AD4322" s="48"/>
      <c r="AE4322" s="48"/>
      <c r="AF4322" s="48"/>
      <c r="AG4322" s="48"/>
      <c r="AH4322" s="48"/>
      <c r="AI4322" s="48"/>
      <c r="AJ4322" s="48"/>
      <c r="AK4322" s="48"/>
      <c r="AL4322" s="48"/>
      <c r="AM4322" s="48"/>
      <c r="AN4322" s="48"/>
      <c r="AO4322" s="48"/>
      <c r="AP4322" s="48"/>
      <c r="AQ4322" s="48"/>
      <c r="AR4322" s="48"/>
      <c r="AS4322" s="48"/>
      <c r="AT4322" s="48"/>
      <c r="AU4322" s="48"/>
      <c r="AV4322" s="48"/>
      <c r="AW4322" s="48"/>
      <c r="AX4322" s="48"/>
      <c r="AY4322" s="48"/>
      <c r="AZ4322" s="48"/>
      <c r="BA4322" s="48"/>
      <c r="BB4322" s="48"/>
      <c r="BC4322" s="48"/>
      <c r="BD4322" s="48"/>
    </row>
    <row r="4323" spans="1:56">
      <c r="A4323" s="48"/>
      <c r="B4323" s="48"/>
      <c r="C4323" s="49"/>
      <c r="D4323" s="48"/>
      <c r="E4323" s="48"/>
      <c r="F4323" s="48"/>
      <c r="G4323" s="48"/>
      <c r="H4323" s="48"/>
      <c r="I4323" s="48"/>
      <c r="J4323" s="86"/>
      <c r="K4323" s="86"/>
      <c r="L4323" s="86"/>
      <c r="M4323" s="86"/>
      <c r="N4323" s="86"/>
      <c r="O4323" s="86"/>
      <c r="P4323" s="86"/>
      <c r="Q4323" s="86"/>
      <c r="R4323" s="86"/>
      <c r="S4323" s="86"/>
      <c r="T4323" s="86"/>
      <c r="U4323" s="86"/>
      <c r="V4323" s="48"/>
      <c r="W4323" s="48"/>
      <c r="X4323" s="48"/>
      <c r="Y4323" s="48"/>
      <c r="Z4323" s="48"/>
      <c r="AA4323" s="48"/>
      <c r="AB4323" s="48"/>
      <c r="AC4323" s="48"/>
      <c r="AD4323" s="48"/>
      <c r="AE4323" s="48"/>
      <c r="AF4323" s="48"/>
      <c r="AG4323" s="48"/>
      <c r="AH4323" s="48"/>
      <c r="AI4323" s="48"/>
      <c r="AJ4323" s="48"/>
      <c r="AK4323" s="48"/>
      <c r="AL4323" s="48"/>
      <c r="AM4323" s="48"/>
      <c r="AN4323" s="48"/>
      <c r="AO4323" s="48"/>
      <c r="AP4323" s="48"/>
      <c r="AQ4323" s="48"/>
      <c r="AR4323" s="48"/>
      <c r="AS4323" s="48"/>
      <c r="AT4323" s="48"/>
      <c r="AU4323" s="48"/>
      <c r="AV4323" s="48"/>
      <c r="AW4323" s="48"/>
      <c r="AX4323" s="48"/>
      <c r="AY4323" s="48"/>
      <c r="AZ4323" s="48"/>
      <c r="BA4323" s="48"/>
      <c r="BB4323" s="48"/>
      <c r="BC4323" s="48"/>
      <c r="BD4323" s="48"/>
    </row>
    <row r="4324" spans="1:56">
      <c r="A4324" s="48"/>
      <c r="B4324" s="48"/>
      <c r="C4324" s="49"/>
      <c r="D4324" s="48"/>
      <c r="E4324" s="48"/>
      <c r="F4324" s="48"/>
      <c r="G4324" s="48"/>
      <c r="H4324" s="48"/>
      <c r="I4324" s="48"/>
      <c r="J4324" s="86"/>
      <c r="K4324" s="86"/>
      <c r="L4324" s="86"/>
      <c r="M4324" s="86"/>
      <c r="N4324" s="86"/>
      <c r="O4324" s="86"/>
      <c r="P4324" s="86"/>
      <c r="Q4324" s="86"/>
      <c r="R4324" s="86"/>
      <c r="S4324" s="86"/>
      <c r="T4324" s="86"/>
      <c r="U4324" s="86"/>
      <c r="V4324" s="48"/>
      <c r="W4324" s="48"/>
      <c r="X4324" s="48"/>
      <c r="Y4324" s="48"/>
      <c r="Z4324" s="48"/>
      <c r="AA4324" s="48"/>
      <c r="AB4324" s="48"/>
      <c r="AC4324" s="48"/>
      <c r="AD4324" s="48"/>
      <c r="AE4324" s="48"/>
      <c r="AF4324" s="48"/>
      <c r="AG4324" s="48"/>
      <c r="AH4324" s="48"/>
      <c r="AI4324" s="48"/>
      <c r="AJ4324" s="48"/>
      <c r="AK4324" s="48"/>
      <c r="AL4324" s="48"/>
      <c r="AM4324" s="48"/>
      <c r="AN4324" s="48"/>
      <c r="AO4324" s="48"/>
      <c r="AP4324" s="48"/>
      <c r="AQ4324" s="48"/>
      <c r="AR4324" s="48"/>
      <c r="AS4324" s="48"/>
      <c r="AT4324" s="48"/>
      <c r="AU4324" s="48"/>
      <c r="AV4324" s="48"/>
      <c r="AW4324" s="48"/>
      <c r="AX4324" s="48"/>
      <c r="AY4324" s="48"/>
      <c r="AZ4324" s="48"/>
      <c r="BA4324" s="48"/>
      <c r="BB4324" s="48"/>
      <c r="BC4324" s="48"/>
      <c r="BD4324" s="48"/>
    </row>
    <row r="4325" spans="1:56">
      <c r="A4325" s="48"/>
      <c r="B4325" s="48"/>
      <c r="C4325" s="49"/>
      <c r="D4325" s="48"/>
      <c r="E4325" s="48"/>
      <c r="F4325" s="48"/>
      <c r="G4325" s="48"/>
      <c r="H4325" s="48"/>
      <c r="I4325" s="48"/>
      <c r="J4325" s="86"/>
      <c r="K4325" s="86"/>
      <c r="L4325" s="86"/>
      <c r="M4325" s="86"/>
      <c r="N4325" s="86"/>
      <c r="O4325" s="86"/>
      <c r="P4325" s="86"/>
      <c r="Q4325" s="86"/>
      <c r="R4325" s="86"/>
      <c r="S4325" s="86"/>
      <c r="T4325" s="86"/>
      <c r="U4325" s="86"/>
      <c r="V4325" s="48"/>
      <c r="W4325" s="48"/>
      <c r="X4325" s="48"/>
      <c r="Y4325" s="48"/>
      <c r="Z4325" s="48"/>
      <c r="AA4325" s="48"/>
      <c r="AB4325" s="48"/>
      <c r="AC4325" s="48"/>
      <c r="AD4325" s="48"/>
      <c r="AE4325" s="48"/>
      <c r="AF4325" s="48"/>
      <c r="AG4325" s="48"/>
      <c r="AH4325" s="48"/>
      <c r="AI4325" s="48"/>
      <c r="AJ4325" s="48"/>
      <c r="AK4325" s="48"/>
      <c r="AL4325" s="48"/>
      <c r="AM4325" s="48"/>
      <c r="AN4325" s="48"/>
      <c r="AO4325" s="48"/>
      <c r="AP4325" s="48"/>
      <c r="AQ4325" s="48"/>
      <c r="AR4325" s="48"/>
      <c r="AS4325" s="48"/>
      <c r="AT4325" s="48"/>
      <c r="AU4325" s="48"/>
      <c r="AV4325" s="48"/>
      <c r="AW4325" s="48"/>
      <c r="AX4325" s="48"/>
      <c r="AY4325" s="48"/>
      <c r="AZ4325" s="48"/>
      <c r="BA4325" s="48"/>
      <c r="BB4325" s="48"/>
      <c r="BC4325" s="48"/>
      <c r="BD4325" s="48"/>
    </row>
    <row r="4326" spans="1:56">
      <c r="A4326" s="48"/>
      <c r="B4326" s="48"/>
      <c r="C4326" s="49"/>
      <c r="D4326" s="48"/>
      <c r="E4326" s="48"/>
      <c r="F4326" s="48"/>
      <c r="G4326" s="48"/>
      <c r="H4326" s="48"/>
      <c r="I4326" s="48"/>
      <c r="J4326" s="86"/>
      <c r="K4326" s="86"/>
      <c r="L4326" s="86"/>
      <c r="M4326" s="86"/>
      <c r="N4326" s="86"/>
      <c r="O4326" s="86"/>
      <c r="P4326" s="86"/>
      <c r="Q4326" s="86"/>
      <c r="R4326" s="86"/>
      <c r="S4326" s="86"/>
      <c r="T4326" s="86"/>
      <c r="U4326" s="86"/>
      <c r="V4326" s="48"/>
      <c r="W4326" s="48"/>
      <c r="X4326" s="48"/>
      <c r="Y4326" s="48"/>
      <c r="Z4326" s="48"/>
      <c r="AA4326" s="48"/>
      <c r="AB4326" s="48"/>
      <c r="AC4326" s="48"/>
      <c r="AD4326" s="48"/>
      <c r="AE4326" s="48"/>
      <c r="AF4326" s="48"/>
      <c r="AG4326" s="48"/>
      <c r="AH4326" s="48"/>
      <c r="AI4326" s="48"/>
      <c r="AJ4326" s="48"/>
      <c r="AK4326" s="48"/>
      <c r="AL4326" s="48"/>
      <c r="AM4326" s="48"/>
      <c r="AN4326" s="48"/>
      <c r="AO4326" s="48"/>
      <c r="AP4326" s="48"/>
      <c r="AQ4326" s="48"/>
      <c r="AR4326" s="48"/>
      <c r="AS4326" s="48"/>
      <c r="AT4326" s="48"/>
      <c r="AU4326" s="48"/>
      <c r="AV4326" s="48"/>
      <c r="AW4326" s="48"/>
      <c r="AX4326" s="48"/>
      <c r="AY4326" s="48"/>
      <c r="AZ4326" s="48"/>
      <c r="BA4326" s="48"/>
      <c r="BB4326" s="48"/>
      <c r="BC4326" s="48"/>
      <c r="BD4326" s="48"/>
    </row>
    <row r="4327" spans="1:56">
      <c r="A4327" s="48"/>
      <c r="B4327" s="48"/>
      <c r="C4327" s="49"/>
      <c r="D4327" s="48"/>
      <c r="E4327" s="48"/>
      <c r="F4327" s="48"/>
      <c r="G4327" s="48"/>
      <c r="H4327" s="48"/>
      <c r="I4327" s="48"/>
      <c r="J4327" s="86"/>
      <c r="K4327" s="86"/>
      <c r="L4327" s="86"/>
      <c r="M4327" s="86"/>
      <c r="N4327" s="86"/>
      <c r="O4327" s="86"/>
      <c r="P4327" s="86"/>
      <c r="Q4327" s="86"/>
      <c r="R4327" s="86"/>
      <c r="S4327" s="86"/>
      <c r="T4327" s="86"/>
      <c r="U4327" s="86"/>
      <c r="V4327" s="48"/>
      <c r="W4327" s="48"/>
      <c r="X4327" s="48"/>
      <c r="Y4327" s="48"/>
      <c r="Z4327" s="48"/>
      <c r="AA4327" s="48"/>
      <c r="AB4327" s="48"/>
      <c r="AC4327" s="48"/>
      <c r="AD4327" s="48"/>
      <c r="AE4327" s="48"/>
      <c r="AF4327" s="48"/>
      <c r="AG4327" s="48"/>
      <c r="AH4327" s="48"/>
      <c r="AI4327" s="48"/>
      <c r="AJ4327" s="48"/>
      <c r="AK4327" s="48"/>
      <c r="AL4327" s="48"/>
      <c r="AM4327" s="48"/>
      <c r="AN4327" s="48"/>
      <c r="AO4327" s="48"/>
      <c r="AP4327" s="48"/>
      <c r="AQ4327" s="48"/>
      <c r="AR4327" s="48"/>
      <c r="AS4327" s="48"/>
      <c r="AT4327" s="48"/>
      <c r="AU4327" s="48"/>
      <c r="AV4327" s="48"/>
      <c r="AW4327" s="48"/>
      <c r="AX4327" s="48"/>
      <c r="AY4327" s="48"/>
      <c r="AZ4327" s="48"/>
      <c r="BA4327" s="48"/>
      <c r="BB4327" s="48"/>
      <c r="BC4327" s="48"/>
      <c r="BD4327" s="48"/>
    </row>
    <row r="4328" spans="1:56">
      <c r="A4328" s="48"/>
      <c r="B4328" s="48"/>
      <c r="C4328" s="49"/>
      <c r="D4328" s="48"/>
      <c r="E4328" s="48"/>
      <c r="F4328" s="48"/>
      <c r="G4328" s="48"/>
      <c r="H4328" s="48"/>
      <c r="I4328" s="48"/>
      <c r="J4328" s="86"/>
      <c r="K4328" s="86"/>
      <c r="L4328" s="86"/>
      <c r="M4328" s="86"/>
      <c r="N4328" s="86"/>
      <c r="O4328" s="86"/>
      <c r="P4328" s="86"/>
      <c r="Q4328" s="86"/>
      <c r="R4328" s="86"/>
      <c r="S4328" s="86"/>
      <c r="T4328" s="86"/>
      <c r="U4328" s="86"/>
      <c r="V4328" s="48"/>
      <c r="W4328" s="48"/>
      <c r="X4328" s="48"/>
      <c r="Y4328" s="48"/>
      <c r="Z4328" s="48"/>
      <c r="AA4328" s="48"/>
      <c r="AB4328" s="48"/>
      <c r="AC4328" s="48"/>
      <c r="AD4328" s="48"/>
      <c r="AE4328" s="48"/>
      <c r="AF4328" s="48"/>
      <c r="AG4328" s="48"/>
      <c r="AH4328" s="48"/>
      <c r="AI4328" s="48"/>
      <c r="AJ4328" s="48"/>
      <c r="AK4328" s="48"/>
      <c r="AL4328" s="48"/>
      <c r="AM4328" s="48"/>
      <c r="AN4328" s="48"/>
      <c r="AO4328" s="48"/>
      <c r="AP4328" s="48"/>
      <c r="AQ4328" s="48"/>
      <c r="AR4328" s="48"/>
      <c r="AS4328" s="48"/>
      <c r="AT4328" s="48"/>
      <c r="AU4328" s="48"/>
      <c r="AV4328" s="48"/>
      <c r="AW4328" s="48"/>
      <c r="AX4328" s="48"/>
      <c r="AY4328" s="48"/>
      <c r="AZ4328" s="48"/>
      <c r="BA4328" s="48"/>
      <c r="BB4328" s="48"/>
      <c r="BC4328" s="48"/>
      <c r="BD4328" s="48"/>
    </row>
    <row r="4329" spans="1:56">
      <c r="A4329" s="48"/>
      <c r="B4329" s="48"/>
      <c r="C4329" s="49"/>
      <c r="D4329" s="48"/>
      <c r="E4329" s="48"/>
      <c r="F4329" s="48"/>
      <c r="G4329" s="48"/>
      <c r="H4329" s="48"/>
      <c r="I4329" s="48"/>
      <c r="J4329" s="86"/>
      <c r="K4329" s="86"/>
      <c r="L4329" s="86"/>
      <c r="M4329" s="86"/>
      <c r="N4329" s="86"/>
      <c r="O4329" s="86"/>
      <c r="P4329" s="86"/>
      <c r="Q4329" s="86"/>
      <c r="R4329" s="86"/>
      <c r="S4329" s="86"/>
      <c r="T4329" s="86"/>
      <c r="U4329" s="86"/>
      <c r="V4329" s="48"/>
      <c r="W4329" s="48"/>
      <c r="X4329" s="48"/>
      <c r="Y4329" s="48"/>
      <c r="Z4329" s="48"/>
      <c r="AA4329" s="48"/>
      <c r="AB4329" s="48"/>
      <c r="AC4329" s="48"/>
      <c r="AD4329" s="48"/>
      <c r="AE4329" s="48"/>
      <c r="AF4329" s="48"/>
      <c r="AG4329" s="48"/>
      <c r="AH4329" s="48"/>
      <c r="AI4329" s="48"/>
      <c r="AJ4329" s="48"/>
      <c r="AK4329" s="48"/>
      <c r="AL4329" s="48"/>
      <c r="AM4329" s="48"/>
      <c r="AN4329" s="48"/>
      <c r="AO4329" s="48"/>
      <c r="AP4329" s="48"/>
      <c r="AQ4329" s="48"/>
      <c r="AR4329" s="48"/>
      <c r="AS4329" s="48"/>
      <c r="AT4329" s="48"/>
      <c r="AU4329" s="48"/>
      <c r="AV4329" s="48"/>
      <c r="AW4329" s="48"/>
      <c r="AX4329" s="48"/>
      <c r="AY4329" s="48"/>
      <c r="AZ4329" s="48"/>
      <c r="BA4329" s="48"/>
      <c r="BB4329" s="48"/>
      <c r="BC4329" s="48"/>
      <c r="BD4329" s="48"/>
    </row>
    <row r="4330" spans="1:56">
      <c r="A4330" s="48"/>
      <c r="B4330" s="48"/>
      <c r="C4330" s="49"/>
      <c r="D4330" s="48"/>
      <c r="E4330" s="48"/>
      <c r="F4330" s="48"/>
      <c r="G4330" s="48"/>
      <c r="H4330" s="48"/>
      <c r="I4330" s="48"/>
      <c r="J4330" s="86"/>
      <c r="K4330" s="86"/>
      <c r="L4330" s="86"/>
      <c r="M4330" s="86"/>
      <c r="N4330" s="86"/>
      <c r="O4330" s="86"/>
      <c r="P4330" s="86"/>
      <c r="Q4330" s="86"/>
      <c r="R4330" s="86"/>
      <c r="S4330" s="86"/>
      <c r="T4330" s="86"/>
      <c r="U4330" s="86"/>
      <c r="V4330" s="48"/>
      <c r="W4330" s="48"/>
      <c r="X4330" s="48"/>
      <c r="Y4330" s="48"/>
      <c r="Z4330" s="48"/>
      <c r="AA4330" s="48"/>
      <c r="AB4330" s="48"/>
      <c r="AC4330" s="48"/>
      <c r="AD4330" s="48"/>
      <c r="AE4330" s="48"/>
      <c r="AF4330" s="48"/>
      <c r="AG4330" s="48"/>
      <c r="AH4330" s="48"/>
      <c r="AI4330" s="48"/>
      <c r="AJ4330" s="48"/>
      <c r="AK4330" s="48"/>
      <c r="AL4330" s="48"/>
      <c r="AM4330" s="48"/>
      <c r="AN4330" s="48"/>
      <c r="AO4330" s="48"/>
      <c r="AP4330" s="48"/>
      <c r="AQ4330" s="48"/>
      <c r="AR4330" s="48"/>
      <c r="AS4330" s="48"/>
      <c r="AT4330" s="48"/>
      <c r="AU4330" s="48"/>
      <c r="AV4330" s="48"/>
      <c r="AW4330" s="48"/>
      <c r="AX4330" s="48"/>
      <c r="AY4330" s="48"/>
      <c r="AZ4330" s="48"/>
      <c r="BA4330" s="48"/>
      <c r="BB4330" s="48"/>
      <c r="BC4330" s="48"/>
      <c r="BD4330" s="48"/>
    </row>
    <row r="4331" spans="1:56">
      <c r="A4331" s="48"/>
      <c r="B4331" s="48"/>
      <c r="C4331" s="49"/>
      <c r="D4331" s="48"/>
      <c r="E4331" s="48"/>
      <c r="F4331" s="48"/>
      <c r="G4331" s="48"/>
      <c r="H4331" s="48"/>
      <c r="I4331" s="48"/>
      <c r="J4331" s="86"/>
      <c r="K4331" s="86"/>
      <c r="L4331" s="86"/>
      <c r="M4331" s="86"/>
      <c r="N4331" s="86"/>
      <c r="O4331" s="86"/>
      <c r="P4331" s="86"/>
      <c r="Q4331" s="86"/>
      <c r="R4331" s="86"/>
      <c r="S4331" s="86"/>
      <c r="T4331" s="86"/>
      <c r="U4331" s="86"/>
      <c r="V4331" s="48"/>
      <c r="W4331" s="48"/>
      <c r="X4331" s="48"/>
      <c r="Y4331" s="48"/>
      <c r="Z4331" s="48"/>
      <c r="AA4331" s="48"/>
      <c r="AB4331" s="48"/>
      <c r="AC4331" s="48"/>
      <c r="AD4331" s="48"/>
      <c r="AE4331" s="48"/>
      <c r="AF4331" s="48"/>
      <c r="AG4331" s="48"/>
      <c r="AH4331" s="48"/>
      <c r="AI4331" s="48"/>
      <c r="AJ4331" s="48"/>
      <c r="AK4331" s="48"/>
      <c r="AL4331" s="48"/>
      <c r="AM4331" s="48"/>
      <c r="AN4331" s="48"/>
      <c r="AO4331" s="48"/>
      <c r="AP4331" s="48"/>
      <c r="AQ4331" s="48"/>
      <c r="AR4331" s="48"/>
      <c r="AS4331" s="48"/>
      <c r="AT4331" s="48"/>
      <c r="AU4331" s="48"/>
      <c r="AV4331" s="48"/>
      <c r="AW4331" s="48"/>
      <c r="AX4331" s="48"/>
      <c r="AY4331" s="48"/>
      <c r="AZ4331" s="48"/>
      <c r="BA4331" s="48"/>
      <c r="BB4331" s="48"/>
      <c r="BC4331" s="48"/>
      <c r="BD4331" s="48"/>
    </row>
    <row r="4332" spans="1:56">
      <c r="A4332" s="48"/>
      <c r="B4332" s="48"/>
      <c r="C4332" s="49"/>
      <c r="D4332" s="48"/>
      <c r="E4332" s="48"/>
      <c r="F4332" s="48"/>
      <c r="G4332" s="48"/>
      <c r="H4332" s="48"/>
      <c r="I4332" s="48"/>
      <c r="J4332" s="86"/>
      <c r="K4332" s="86"/>
      <c r="L4332" s="86"/>
      <c r="M4332" s="86"/>
      <c r="N4332" s="86"/>
      <c r="O4332" s="86"/>
      <c r="P4332" s="86"/>
      <c r="Q4332" s="86"/>
      <c r="R4332" s="86"/>
      <c r="S4332" s="86"/>
      <c r="T4332" s="86"/>
      <c r="U4332" s="86"/>
      <c r="V4332" s="48"/>
      <c r="W4332" s="48"/>
      <c r="X4332" s="48"/>
      <c r="Y4332" s="48"/>
      <c r="Z4332" s="48"/>
      <c r="AA4332" s="48"/>
      <c r="AB4332" s="48"/>
      <c r="AC4332" s="48"/>
      <c r="AD4332" s="48"/>
      <c r="AE4332" s="48"/>
      <c r="AF4332" s="48"/>
      <c r="AG4332" s="48"/>
      <c r="AH4332" s="48"/>
      <c r="AI4332" s="48"/>
      <c r="AJ4332" s="48"/>
      <c r="AK4332" s="48"/>
      <c r="AL4332" s="48"/>
      <c r="AM4332" s="48"/>
      <c r="AN4332" s="48"/>
      <c r="AO4332" s="48"/>
      <c r="AP4332" s="48"/>
      <c r="AQ4332" s="48"/>
      <c r="AR4332" s="48"/>
      <c r="AS4332" s="48"/>
      <c r="AT4332" s="48"/>
      <c r="AU4332" s="48"/>
      <c r="AV4332" s="48"/>
      <c r="AW4332" s="48"/>
      <c r="AX4332" s="48"/>
      <c r="AY4332" s="48"/>
      <c r="AZ4332" s="48"/>
      <c r="BA4332" s="48"/>
      <c r="BB4332" s="48"/>
      <c r="BC4332" s="48"/>
      <c r="BD4332" s="48"/>
    </row>
    <row r="4333" spans="1:56">
      <c r="A4333" s="48"/>
      <c r="B4333" s="48"/>
      <c r="C4333" s="49"/>
      <c r="D4333" s="48"/>
      <c r="E4333" s="48"/>
      <c r="F4333" s="48"/>
      <c r="G4333" s="48"/>
      <c r="H4333" s="48"/>
      <c r="I4333" s="48"/>
      <c r="J4333" s="86"/>
      <c r="K4333" s="86"/>
      <c r="L4333" s="86"/>
      <c r="M4333" s="86"/>
      <c r="N4333" s="86"/>
      <c r="O4333" s="86"/>
      <c r="P4333" s="86"/>
      <c r="Q4333" s="86"/>
      <c r="R4333" s="86"/>
      <c r="S4333" s="86"/>
      <c r="T4333" s="86"/>
      <c r="U4333" s="86"/>
      <c r="V4333" s="48"/>
      <c r="W4333" s="48"/>
      <c r="X4333" s="48"/>
      <c r="Y4333" s="48"/>
      <c r="Z4333" s="48"/>
      <c r="AA4333" s="48"/>
      <c r="AB4333" s="48"/>
      <c r="AC4333" s="48"/>
      <c r="AD4333" s="48"/>
      <c r="AE4333" s="48"/>
      <c r="AF4333" s="48"/>
      <c r="AG4333" s="48"/>
      <c r="AH4333" s="48"/>
      <c r="AI4333" s="48"/>
      <c r="AJ4333" s="48"/>
      <c r="AK4333" s="48"/>
      <c r="AL4333" s="48"/>
      <c r="AM4333" s="48"/>
      <c r="AN4333" s="48"/>
      <c r="AO4333" s="48"/>
      <c r="AP4333" s="48"/>
      <c r="AQ4333" s="48"/>
      <c r="AR4333" s="48"/>
      <c r="AS4333" s="48"/>
      <c r="AT4333" s="48"/>
      <c r="AU4333" s="48"/>
      <c r="AV4333" s="48"/>
      <c r="AW4333" s="48"/>
      <c r="AX4333" s="48"/>
      <c r="AY4333" s="48"/>
      <c r="AZ4333" s="48"/>
      <c r="BA4333" s="48"/>
      <c r="BB4333" s="48"/>
      <c r="BC4333" s="48"/>
      <c r="BD4333" s="48"/>
    </row>
    <row r="4334" spans="1:56">
      <c r="A4334" s="48"/>
      <c r="B4334" s="48"/>
      <c r="C4334" s="49"/>
      <c r="D4334" s="48"/>
      <c r="E4334" s="48"/>
      <c r="F4334" s="48"/>
      <c r="G4334" s="48"/>
      <c r="H4334" s="48"/>
      <c r="I4334" s="48"/>
      <c r="J4334" s="86"/>
      <c r="K4334" s="86"/>
      <c r="L4334" s="86"/>
      <c r="M4334" s="86"/>
      <c r="N4334" s="86"/>
      <c r="O4334" s="86"/>
      <c r="P4334" s="86"/>
      <c r="Q4334" s="86"/>
      <c r="R4334" s="86"/>
      <c r="S4334" s="86"/>
      <c r="T4334" s="86"/>
      <c r="U4334" s="86"/>
      <c r="V4334" s="48"/>
      <c r="W4334" s="48"/>
      <c r="X4334" s="48"/>
      <c r="Y4334" s="48"/>
      <c r="Z4334" s="48"/>
      <c r="AA4334" s="48"/>
      <c r="AB4334" s="48"/>
      <c r="AC4334" s="48"/>
      <c r="AD4334" s="48"/>
      <c r="AE4334" s="48"/>
      <c r="AF4334" s="48"/>
      <c r="AG4334" s="48"/>
      <c r="AH4334" s="48"/>
      <c r="AI4334" s="48"/>
      <c r="AJ4334" s="48"/>
      <c r="AK4334" s="48"/>
      <c r="AL4334" s="48"/>
      <c r="AM4334" s="48"/>
      <c r="AN4334" s="48"/>
      <c r="AO4334" s="48"/>
      <c r="AP4334" s="48"/>
      <c r="AQ4334" s="48"/>
      <c r="AR4334" s="48"/>
      <c r="AS4334" s="48"/>
      <c r="AT4334" s="48"/>
      <c r="AU4334" s="48"/>
      <c r="AV4334" s="48"/>
      <c r="AW4334" s="48"/>
      <c r="AX4334" s="48"/>
      <c r="AY4334" s="48"/>
      <c r="AZ4334" s="48"/>
      <c r="BA4334" s="48"/>
      <c r="BB4334" s="48"/>
      <c r="BC4334" s="48"/>
      <c r="BD4334" s="48"/>
    </row>
    <row r="4335" spans="1:56">
      <c r="A4335" s="48"/>
      <c r="B4335" s="48"/>
      <c r="C4335" s="49"/>
      <c r="D4335" s="48"/>
      <c r="E4335" s="48"/>
      <c r="F4335" s="48"/>
      <c r="G4335" s="48"/>
      <c r="H4335" s="48"/>
      <c r="I4335" s="48"/>
      <c r="J4335" s="86"/>
      <c r="K4335" s="86"/>
      <c r="L4335" s="86"/>
      <c r="M4335" s="86"/>
      <c r="N4335" s="86"/>
      <c r="O4335" s="86"/>
      <c r="P4335" s="86"/>
      <c r="Q4335" s="86"/>
      <c r="R4335" s="86"/>
      <c r="S4335" s="86"/>
      <c r="T4335" s="86"/>
      <c r="U4335" s="86"/>
      <c r="V4335" s="48"/>
      <c r="W4335" s="48"/>
      <c r="X4335" s="48"/>
      <c r="Y4335" s="48"/>
      <c r="Z4335" s="48"/>
      <c r="AA4335" s="48"/>
      <c r="AB4335" s="48"/>
      <c r="AC4335" s="48"/>
      <c r="AD4335" s="48"/>
      <c r="AE4335" s="48"/>
      <c r="AF4335" s="48"/>
      <c r="AG4335" s="48"/>
      <c r="AH4335" s="48"/>
      <c r="AI4335" s="48"/>
      <c r="AJ4335" s="48"/>
      <c r="AK4335" s="48"/>
      <c r="AL4335" s="48"/>
      <c r="AM4335" s="48"/>
      <c r="AN4335" s="48"/>
      <c r="AO4335" s="48"/>
      <c r="AP4335" s="48"/>
      <c r="AQ4335" s="48"/>
      <c r="AR4335" s="48"/>
      <c r="AS4335" s="48"/>
      <c r="AT4335" s="48"/>
      <c r="AU4335" s="48"/>
      <c r="AV4335" s="48"/>
      <c r="AW4335" s="48"/>
      <c r="AX4335" s="48"/>
      <c r="AY4335" s="48"/>
      <c r="AZ4335" s="48"/>
      <c r="BA4335" s="48"/>
      <c r="BB4335" s="48"/>
      <c r="BC4335" s="48"/>
      <c r="BD4335" s="48"/>
    </row>
    <row r="4336" spans="1:56">
      <c r="A4336" s="48"/>
      <c r="B4336" s="48"/>
      <c r="C4336" s="49"/>
      <c r="D4336" s="48"/>
      <c r="E4336" s="48"/>
      <c r="F4336" s="48"/>
      <c r="G4336" s="48"/>
      <c r="H4336" s="48"/>
      <c r="I4336" s="48"/>
      <c r="J4336" s="86"/>
      <c r="K4336" s="86"/>
      <c r="L4336" s="86"/>
      <c r="M4336" s="86"/>
      <c r="N4336" s="86"/>
      <c r="O4336" s="86"/>
      <c r="P4336" s="86"/>
      <c r="Q4336" s="86"/>
      <c r="R4336" s="86"/>
      <c r="S4336" s="86"/>
      <c r="T4336" s="86"/>
      <c r="U4336" s="86"/>
      <c r="V4336" s="48"/>
      <c r="W4336" s="48"/>
      <c r="X4336" s="48"/>
      <c r="Y4336" s="48"/>
      <c r="Z4336" s="48"/>
      <c r="AA4336" s="48"/>
      <c r="AB4336" s="48"/>
      <c r="AC4336" s="48"/>
      <c r="AD4336" s="48"/>
      <c r="AE4336" s="48"/>
      <c r="AF4336" s="48"/>
      <c r="AG4336" s="48"/>
      <c r="AH4336" s="48"/>
      <c r="AI4336" s="48"/>
      <c r="AJ4336" s="48"/>
      <c r="AK4336" s="48"/>
      <c r="AL4336" s="48"/>
      <c r="AM4336" s="48"/>
      <c r="AN4336" s="48"/>
      <c r="AO4336" s="48"/>
      <c r="AP4336" s="48"/>
      <c r="AQ4336" s="48"/>
      <c r="AR4336" s="48"/>
      <c r="AS4336" s="48"/>
      <c r="AT4336" s="48"/>
      <c r="AU4336" s="48"/>
      <c r="AV4336" s="48"/>
      <c r="AW4336" s="48"/>
      <c r="AX4336" s="48"/>
      <c r="AY4336" s="48"/>
      <c r="AZ4336" s="48"/>
      <c r="BA4336" s="48"/>
      <c r="BB4336" s="48"/>
      <c r="BC4336" s="48"/>
      <c r="BD4336" s="48"/>
    </row>
    <row r="4337" spans="1:56">
      <c r="A4337" s="48"/>
      <c r="B4337" s="48"/>
      <c r="C4337" s="49"/>
      <c r="D4337" s="48"/>
      <c r="E4337" s="48"/>
      <c r="F4337" s="48"/>
      <c r="G4337" s="48"/>
      <c r="H4337" s="48"/>
      <c r="I4337" s="48"/>
      <c r="J4337" s="86"/>
      <c r="K4337" s="86"/>
      <c r="L4337" s="86"/>
      <c r="M4337" s="86"/>
      <c r="N4337" s="86"/>
      <c r="O4337" s="86"/>
      <c r="P4337" s="86"/>
      <c r="Q4337" s="86"/>
      <c r="R4337" s="86"/>
      <c r="S4337" s="86"/>
      <c r="T4337" s="86"/>
      <c r="U4337" s="86"/>
      <c r="V4337" s="48"/>
      <c r="W4337" s="48"/>
      <c r="X4337" s="48"/>
      <c r="Y4337" s="48"/>
      <c r="Z4337" s="48"/>
      <c r="AA4337" s="48"/>
      <c r="AB4337" s="48"/>
      <c r="AC4337" s="48"/>
      <c r="AD4337" s="48"/>
      <c r="AE4337" s="48"/>
      <c r="AF4337" s="48"/>
      <c r="AG4337" s="48"/>
      <c r="AH4337" s="48"/>
      <c r="AI4337" s="48"/>
      <c r="AJ4337" s="48"/>
      <c r="AK4337" s="48"/>
      <c r="AL4337" s="48"/>
      <c r="AM4337" s="48"/>
      <c r="AN4337" s="48"/>
      <c r="AO4337" s="48"/>
      <c r="AP4337" s="48"/>
      <c r="AQ4337" s="48"/>
      <c r="AR4337" s="48"/>
      <c r="AS4337" s="48"/>
      <c r="AT4337" s="48"/>
      <c r="AU4337" s="48"/>
      <c r="AV4337" s="48"/>
      <c r="AW4337" s="48"/>
      <c r="AX4337" s="48"/>
      <c r="AY4337" s="48"/>
      <c r="AZ4337" s="48"/>
      <c r="BA4337" s="48"/>
      <c r="BB4337" s="48"/>
      <c r="BC4337" s="48"/>
      <c r="BD4337" s="48"/>
    </row>
    <row r="4338" spans="1:56">
      <c r="A4338" s="48"/>
      <c r="B4338" s="48"/>
      <c r="C4338" s="49"/>
      <c r="D4338" s="48"/>
      <c r="E4338" s="48"/>
      <c r="F4338" s="48"/>
      <c r="G4338" s="48"/>
      <c r="H4338" s="48"/>
      <c r="I4338" s="48"/>
      <c r="J4338" s="86"/>
      <c r="K4338" s="86"/>
      <c r="L4338" s="86"/>
      <c r="M4338" s="86"/>
      <c r="N4338" s="86"/>
      <c r="O4338" s="86"/>
      <c r="P4338" s="86"/>
      <c r="Q4338" s="86"/>
      <c r="R4338" s="86"/>
      <c r="S4338" s="86"/>
      <c r="T4338" s="86"/>
      <c r="U4338" s="86"/>
      <c r="V4338" s="48"/>
      <c r="W4338" s="48"/>
      <c r="X4338" s="48"/>
      <c r="Y4338" s="48"/>
      <c r="Z4338" s="48"/>
      <c r="AA4338" s="48"/>
      <c r="AB4338" s="48"/>
      <c r="AC4338" s="48"/>
      <c r="AD4338" s="48"/>
      <c r="AE4338" s="48"/>
      <c r="AF4338" s="48"/>
      <c r="AG4338" s="48"/>
      <c r="AH4338" s="48"/>
      <c r="AI4338" s="48"/>
      <c r="AJ4338" s="48"/>
      <c r="AK4338" s="48"/>
      <c r="AL4338" s="48"/>
      <c r="AM4338" s="48"/>
      <c r="AN4338" s="48"/>
      <c r="AO4338" s="48"/>
      <c r="AP4338" s="48"/>
      <c r="AQ4338" s="48"/>
      <c r="AR4338" s="48"/>
      <c r="AS4338" s="48"/>
      <c r="AT4338" s="48"/>
      <c r="AU4338" s="48"/>
      <c r="AV4338" s="48"/>
      <c r="AW4338" s="48"/>
      <c r="AX4338" s="48"/>
      <c r="AY4338" s="48"/>
      <c r="AZ4338" s="48"/>
      <c r="BA4338" s="48"/>
      <c r="BB4338" s="48"/>
      <c r="BC4338" s="48"/>
      <c r="BD4338" s="48"/>
    </row>
    <row r="4339" spans="1:56">
      <c r="A4339" s="48"/>
      <c r="B4339" s="48"/>
      <c r="C4339" s="49"/>
      <c r="D4339" s="48"/>
      <c r="E4339" s="48"/>
      <c r="F4339" s="48"/>
      <c r="G4339" s="48"/>
      <c r="H4339" s="48"/>
      <c r="I4339" s="48"/>
      <c r="J4339" s="86"/>
      <c r="K4339" s="86"/>
      <c r="L4339" s="86"/>
      <c r="M4339" s="86"/>
      <c r="N4339" s="86"/>
      <c r="O4339" s="86"/>
      <c r="P4339" s="86"/>
      <c r="Q4339" s="86"/>
      <c r="R4339" s="86"/>
      <c r="S4339" s="86"/>
      <c r="T4339" s="86"/>
      <c r="U4339" s="86"/>
      <c r="V4339" s="48"/>
      <c r="W4339" s="48"/>
      <c r="X4339" s="48"/>
      <c r="Y4339" s="48"/>
      <c r="Z4339" s="48"/>
      <c r="AA4339" s="48"/>
      <c r="AB4339" s="48"/>
      <c r="AC4339" s="48"/>
      <c r="AD4339" s="48"/>
      <c r="AE4339" s="48"/>
      <c r="AF4339" s="48"/>
      <c r="AG4339" s="48"/>
      <c r="AH4339" s="48"/>
      <c r="AI4339" s="48"/>
      <c r="AJ4339" s="48"/>
      <c r="AK4339" s="48"/>
      <c r="AL4339" s="48"/>
      <c r="AM4339" s="48"/>
      <c r="AN4339" s="48"/>
      <c r="AO4339" s="48"/>
      <c r="AP4339" s="48"/>
      <c r="AQ4339" s="48"/>
      <c r="AR4339" s="48"/>
      <c r="AS4339" s="48"/>
      <c r="AT4339" s="48"/>
      <c r="AU4339" s="48"/>
      <c r="AV4339" s="48"/>
      <c r="AW4339" s="48"/>
      <c r="AX4339" s="48"/>
      <c r="AY4339" s="48"/>
      <c r="AZ4339" s="48"/>
      <c r="BA4339" s="48"/>
      <c r="BB4339" s="48"/>
      <c r="BC4339" s="48"/>
      <c r="BD4339" s="48"/>
    </row>
    <row r="4340" spans="1:56">
      <c r="A4340" s="48"/>
      <c r="B4340" s="48"/>
      <c r="C4340" s="49"/>
      <c r="D4340" s="48"/>
      <c r="E4340" s="48"/>
      <c r="F4340" s="48"/>
      <c r="G4340" s="48"/>
      <c r="H4340" s="48"/>
      <c r="I4340" s="48"/>
      <c r="J4340" s="86"/>
      <c r="K4340" s="86"/>
      <c r="L4340" s="86"/>
      <c r="M4340" s="86"/>
      <c r="N4340" s="86"/>
      <c r="O4340" s="86"/>
      <c r="P4340" s="86"/>
      <c r="Q4340" s="86"/>
      <c r="R4340" s="86"/>
      <c r="S4340" s="86"/>
      <c r="T4340" s="86"/>
      <c r="U4340" s="86"/>
      <c r="V4340" s="48"/>
      <c r="W4340" s="48"/>
      <c r="X4340" s="48"/>
      <c r="Y4340" s="48"/>
      <c r="Z4340" s="48"/>
      <c r="AA4340" s="48"/>
      <c r="AB4340" s="48"/>
      <c r="AC4340" s="48"/>
      <c r="AD4340" s="48"/>
      <c r="AE4340" s="48"/>
      <c r="AF4340" s="48"/>
      <c r="AG4340" s="48"/>
      <c r="AH4340" s="48"/>
      <c r="AI4340" s="48"/>
      <c r="AJ4340" s="48"/>
      <c r="AK4340" s="48"/>
      <c r="AL4340" s="48"/>
      <c r="AM4340" s="48"/>
      <c r="AN4340" s="48"/>
      <c r="AO4340" s="48"/>
      <c r="AP4340" s="48"/>
      <c r="AQ4340" s="48"/>
      <c r="AR4340" s="48"/>
      <c r="AS4340" s="48"/>
      <c r="AT4340" s="48"/>
      <c r="AU4340" s="48"/>
      <c r="AV4340" s="48"/>
      <c r="AW4340" s="48"/>
      <c r="AX4340" s="48"/>
      <c r="AY4340" s="48"/>
      <c r="AZ4340" s="48"/>
      <c r="BA4340" s="48"/>
      <c r="BB4340" s="48"/>
      <c r="BC4340" s="48"/>
      <c r="BD4340" s="48"/>
    </row>
    <row r="4341" spans="1:56">
      <c r="A4341" s="48"/>
      <c r="B4341" s="48"/>
      <c r="C4341" s="49"/>
      <c r="D4341" s="48"/>
      <c r="E4341" s="48"/>
      <c r="F4341" s="48"/>
      <c r="G4341" s="48"/>
      <c r="H4341" s="48"/>
      <c r="I4341" s="48"/>
      <c r="J4341" s="86"/>
      <c r="K4341" s="86"/>
      <c r="L4341" s="86"/>
      <c r="M4341" s="86"/>
      <c r="N4341" s="86"/>
      <c r="O4341" s="86"/>
      <c r="P4341" s="86"/>
      <c r="Q4341" s="86"/>
      <c r="R4341" s="86"/>
      <c r="S4341" s="86"/>
      <c r="T4341" s="86"/>
      <c r="U4341" s="86"/>
      <c r="V4341" s="48"/>
      <c r="W4341" s="48"/>
      <c r="X4341" s="48"/>
      <c r="Y4341" s="48"/>
      <c r="Z4341" s="48"/>
      <c r="AA4341" s="48"/>
      <c r="AB4341" s="48"/>
      <c r="AC4341" s="48"/>
      <c r="AD4341" s="48"/>
      <c r="AE4341" s="48"/>
      <c r="AF4341" s="48"/>
      <c r="AG4341" s="48"/>
      <c r="AH4341" s="48"/>
      <c r="AI4341" s="48"/>
      <c r="AJ4341" s="48"/>
      <c r="AK4341" s="48"/>
      <c r="AL4341" s="48"/>
      <c r="AM4341" s="48"/>
      <c r="AN4341" s="48"/>
      <c r="AO4341" s="48"/>
      <c r="AP4341" s="48"/>
      <c r="AQ4341" s="48"/>
      <c r="AR4341" s="48"/>
      <c r="AS4341" s="48"/>
      <c r="AT4341" s="48"/>
      <c r="AU4341" s="48"/>
      <c r="AV4341" s="48"/>
      <c r="AW4341" s="48"/>
      <c r="AX4341" s="48"/>
      <c r="AY4341" s="48"/>
      <c r="AZ4341" s="48"/>
      <c r="BA4341" s="48"/>
      <c r="BB4341" s="48"/>
      <c r="BC4341" s="48"/>
      <c r="BD4341" s="48"/>
    </row>
    <row r="4342" spans="1:56">
      <c r="A4342" s="48"/>
      <c r="B4342" s="48"/>
      <c r="C4342" s="49"/>
      <c r="D4342" s="48"/>
      <c r="E4342" s="48"/>
      <c r="F4342" s="48"/>
      <c r="G4342" s="48"/>
      <c r="H4342" s="48"/>
      <c r="I4342" s="48"/>
      <c r="J4342" s="86"/>
      <c r="K4342" s="86"/>
      <c r="L4342" s="86"/>
      <c r="M4342" s="86"/>
      <c r="N4342" s="86"/>
      <c r="O4342" s="86"/>
      <c r="P4342" s="86"/>
      <c r="Q4342" s="86"/>
      <c r="R4342" s="86"/>
      <c r="S4342" s="86"/>
      <c r="T4342" s="86"/>
      <c r="U4342" s="86"/>
      <c r="V4342" s="48"/>
      <c r="W4342" s="48"/>
      <c r="X4342" s="48"/>
      <c r="Y4342" s="48"/>
      <c r="Z4342" s="48"/>
      <c r="AA4342" s="48"/>
      <c r="AB4342" s="48"/>
      <c r="AC4342" s="48"/>
      <c r="AD4342" s="48"/>
      <c r="AE4342" s="48"/>
      <c r="AF4342" s="48"/>
      <c r="AG4342" s="48"/>
      <c r="AH4342" s="48"/>
      <c r="AI4342" s="48"/>
      <c r="AJ4342" s="48"/>
      <c r="AK4342" s="48"/>
      <c r="AL4342" s="48"/>
      <c r="AM4342" s="48"/>
      <c r="AN4342" s="48"/>
      <c r="AO4342" s="48"/>
      <c r="AP4342" s="48"/>
      <c r="AQ4342" s="48"/>
      <c r="AR4342" s="48"/>
      <c r="AS4342" s="48"/>
      <c r="AT4342" s="48"/>
      <c r="AU4342" s="48"/>
      <c r="AV4342" s="48"/>
      <c r="AW4342" s="48"/>
      <c r="AX4342" s="48"/>
      <c r="AY4342" s="48"/>
      <c r="AZ4342" s="48"/>
      <c r="BA4342" s="48"/>
      <c r="BB4342" s="48"/>
      <c r="BC4342" s="48"/>
      <c r="BD4342" s="48"/>
    </row>
    <row r="4343" spans="1:56">
      <c r="A4343" s="48"/>
      <c r="B4343" s="48"/>
      <c r="C4343" s="49"/>
      <c r="D4343" s="48"/>
      <c r="E4343" s="48"/>
      <c r="F4343" s="48"/>
      <c r="G4343" s="48"/>
      <c r="H4343" s="48"/>
      <c r="I4343" s="48"/>
      <c r="J4343" s="86"/>
      <c r="K4343" s="86"/>
      <c r="L4343" s="86"/>
      <c r="M4343" s="86"/>
      <c r="N4343" s="86"/>
      <c r="O4343" s="86"/>
      <c r="P4343" s="86"/>
      <c r="Q4343" s="86"/>
      <c r="R4343" s="86"/>
      <c r="S4343" s="86"/>
      <c r="T4343" s="86"/>
      <c r="U4343" s="86"/>
      <c r="V4343" s="48"/>
      <c r="W4343" s="48"/>
      <c r="X4343" s="48"/>
      <c r="Y4343" s="48"/>
      <c r="Z4343" s="48"/>
      <c r="AA4343" s="48"/>
      <c r="AB4343" s="48"/>
      <c r="AC4343" s="48"/>
      <c r="AD4343" s="48"/>
      <c r="AE4343" s="48"/>
      <c r="AF4343" s="48"/>
      <c r="AG4343" s="48"/>
      <c r="AH4343" s="48"/>
      <c r="AI4343" s="48"/>
      <c r="AJ4343" s="48"/>
      <c r="AK4343" s="48"/>
      <c r="AL4343" s="48"/>
      <c r="AM4343" s="48"/>
      <c r="AN4343" s="48"/>
      <c r="AO4343" s="48"/>
      <c r="AP4343" s="48"/>
      <c r="AQ4343" s="48"/>
      <c r="AR4343" s="48"/>
      <c r="AS4343" s="48"/>
      <c r="AT4343" s="48"/>
      <c r="AU4343" s="48"/>
      <c r="AV4343" s="48"/>
      <c r="AW4343" s="48"/>
      <c r="AX4343" s="48"/>
      <c r="AY4343" s="48"/>
      <c r="AZ4343" s="48"/>
      <c r="BA4343" s="48"/>
      <c r="BB4343" s="48"/>
      <c r="BC4343" s="48"/>
      <c r="BD4343" s="48"/>
    </row>
    <row r="4344" spans="1:56">
      <c r="A4344" s="48"/>
      <c r="B4344" s="48"/>
      <c r="C4344" s="49"/>
      <c r="D4344" s="48"/>
      <c r="E4344" s="48"/>
      <c r="F4344" s="48"/>
      <c r="G4344" s="48"/>
      <c r="H4344" s="48"/>
      <c r="I4344" s="48"/>
      <c r="J4344" s="86"/>
      <c r="K4344" s="86"/>
      <c r="L4344" s="86"/>
      <c r="M4344" s="86"/>
      <c r="N4344" s="86"/>
      <c r="O4344" s="86"/>
      <c r="P4344" s="86"/>
      <c r="Q4344" s="86"/>
      <c r="R4344" s="86"/>
      <c r="S4344" s="86"/>
      <c r="T4344" s="86"/>
      <c r="U4344" s="86"/>
      <c r="V4344" s="48"/>
      <c r="W4344" s="48"/>
      <c r="X4344" s="48"/>
      <c r="Y4344" s="48"/>
      <c r="Z4344" s="48"/>
      <c r="AA4344" s="48"/>
      <c r="AB4344" s="48"/>
      <c r="AC4344" s="48"/>
      <c r="AD4344" s="48"/>
      <c r="AE4344" s="48"/>
      <c r="AF4344" s="48"/>
      <c r="AG4344" s="48"/>
      <c r="AH4344" s="48"/>
      <c r="AI4344" s="48"/>
      <c r="AJ4344" s="48"/>
      <c r="AK4344" s="48"/>
      <c r="AL4344" s="48"/>
      <c r="AM4344" s="48"/>
      <c r="AN4344" s="48"/>
      <c r="AO4344" s="48"/>
      <c r="AP4344" s="48"/>
      <c r="AQ4344" s="48"/>
      <c r="AR4344" s="48"/>
      <c r="AS4344" s="48"/>
      <c r="AT4344" s="48"/>
      <c r="AU4344" s="48"/>
      <c r="AV4344" s="48"/>
      <c r="AW4344" s="48"/>
      <c r="AX4344" s="48"/>
      <c r="AY4344" s="48"/>
      <c r="AZ4344" s="48"/>
      <c r="BA4344" s="48"/>
      <c r="BB4344" s="48"/>
      <c r="BC4344" s="48"/>
      <c r="BD4344" s="48"/>
    </row>
    <row r="4345" spans="1:56">
      <c r="A4345" s="48"/>
      <c r="B4345" s="48"/>
      <c r="C4345" s="49"/>
      <c r="D4345" s="48"/>
      <c r="E4345" s="48"/>
      <c r="F4345" s="48"/>
      <c r="G4345" s="48"/>
      <c r="H4345" s="48"/>
      <c r="I4345" s="48"/>
      <c r="J4345" s="86"/>
      <c r="K4345" s="86"/>
      <c r="L4345" s="86"/>
      <c r="M4345" s="86"/>
      <c r="N4345" s="86"/>
      <c r="O4345" s="86"/>
      <c r="P4345" s="86"/>
      <c r="Q4345" s="86"/>
      <c r="R4345" s="86"/>
      <c r="S4345" s="86"/>
      <c r="T4345" s="86"/>
      <c r="U4345" s="86"/>
      <c r="V4345" s="48"/>
      <c r="W4345" s="48"/>
      <c r="X4345" s="48"/>
      <c r="Y4345" s="48"/>
      <c r="Z4345" s="48"/>
      <c r="AA4345" s="48"/>
      <c r="AB4345" s="48"/>
      <c r="AC4345" s="48"/>
      <c r="AD4345" s="48"/>
      <c r="AE4345" s="48"/>
      <c r="AF4345" s="48"/>
      <c r="AG4345" s="48"/>
      <c r="AH4345" s="48"/>
      <c r="AI4345" s="48"/>
      <c r="AJ4345" s="48"/>
      <c r="AK4345" s="48"/>
      <c r="AL4345" s="48"/>
      <c r="AM4345" s="48"/>
      <c r="AN4345" s="48"/>
      <c r="AO4345" s="48"/>
      <c r="AP4345" s="48"/>
      <c r="AQ4345" s="48"/>
      <c r="AR4345" s="48"/>
      <c r="AS4345" s="48"/>
      <c r="AT4345" s="48"/>
      <c r="AU4345" s="48"/>
      <c r="AV4345" s="48"/>
      <c r="AW4345" s="48"/>
      <c r="AX4345" s="48"/>
      <c r="AY4345" s="48"/>
      <c r="AZ4345" s="48"/>
      <c r="BA4345" s="48"/>
      <c r="BB4345" s="48"/>
      <c r="BC4345" s="48"/>
      <c r="BD4345" s="48"/>
    </row>
    <row r="4346" spans="1:56">
      <c r="A4346" s="48"/>
      <c r="B4346" s="48"/>
      <c r="C4346" s="49"/>
      <c r="D4346" s="48"/>
      <c r="E4346" s="48"/>
      <c r="F4346" s="48"/>
      <c r="G4346" s="48"/>
      <c r="H4346" s="48"/>
      <c r="I4346" s="48"/>
      <c r="J4346" s="86"/>
      <c r="K4346" s="86"/>
      <c r="L4346" s="86"/>
      <c r="M4346" s="86"/>
      <c r="N4346" s="86"/>
      <c r="O4346" s="86"/>
      <c r="P4346" s="86"/>
      <c r="Q4346" s="86"/>
      <c r="R4346" s="86"/>
      <c r="S4346" s="86"/>
      <c r="T4346" s="86"/>
      <c r="U4346" s="86"/>
      <c r="V4346" s="48"/>
      <c r="W4346" s="48"/>
      <c r="X4346" s="48"/>
      <c r="Y4346" s="48"/>
      <c r="Z4346" s="48"/>
      <c r="AA4346" s="48"/>
      <c r="AB4346" s="48"/>
      <c r="AC4346" s="48"/>
      <c r="AD4346" s="48"/>
      <c r="AE4346" s="48"/>
      <c r="AF4346" s="48"/>
      <c r="AG4346" s="48"/>
      <c r="AH4346" s="48"/>
      <c r="AI4346" s="48"/>
      <c r="AJ4346" s="48"/>
      <c r="AK4346" s="48"/>
      <c r="AL4346" s="48"/>
      <c r="AM4346" s="48"/>
      <c r="AN4346" s="48"/>
      <c r="AO4346" s="48"/>
      <c r="AP4346" s="48"/>
      <c r="AQ4346" s="48"/>
      <c r="AR4346" s="48"/>
      <c r="AS4346" s="48"/>
      <c r="AT4346" s="48"/>
      <c r="AU4346" s="48"/>
      <c r="AV4346" s="48"/>
      <c r="AW4346" s="48"/>
      <c r="AX4346" s="48"/>
      <c r="AY4346" s="48"/>
      <c r="AZ4346" s="48"/>
      <c r="BA4346" s="48"/>
      <c r="BB4346" s="48"/>
      <c r="BC4346" s="48"/>
      <c r="BD4346" s="48"/>
    </row>
    <row r="4347" spans="1:56">
      <c r="A4347" s="48"/>
      <c r="B4347" s="48"/>
      <c r="C4347" s="49"/>
      <c r="D4347" s="48"/>
      <c r="E4347" s="48"/>
      <c r="F4347" s="48"/>
      <c r="G4347" s="48"/>
      <c r="H4347" s="48"/>
      <c r="I4347" s="48"/>
      <c r="J4347" s="86"/>
      <c r="K4347" s="86"/>
      <c r="L4347" s="86"/>
      <c r="M4347" s="86"/>
      <c r="N4347" s="86"/>
      <c r="O4347" s="86"/>
      <c r="P4347" s="86"/>
      <c r="Q4347" s="86"/>
      <c r="R4347" s="86"/>
      <c r="S4347" s="86"/>
      <c r="T4347" s="86"/>
      <c r="U4347" s="86"/>
      <c r="V4347" s="48"/>
      <c r="W4347" s="48"/>
      <c r="X4347" s="48"/>
      <c r="Y4347" s="48"/>
      <c r="Z4347" s="48"/>
      <c r="AA4347" s="48"/>
      <c r="AB4347" s="48"/>
      <c r="AC4347" s="48"/>
      <c r="AD4347" s="48"/>
      <c r="AE4347" s="48"/>
      <c r="AF4347" s="48"/>
      <c r="AG4347" s="48"/>
      <c r="AH4347" s="48"/>
      <c r="AI4347" s="48"/>
      <c r="AJ4347" s="48"/>
      <c r="AK4347" s="48"/>
      <c r="AL4347" s="48"/>
      <c r="AM4347" s="48"/>
      <c r="AN4347" s="48"/>
      <c r="AO4347" s="48"/>
      <c r="AP4347" s="48"/>
      <c r="AQ4347" s="48"/>
      <c r="AR4347" s="48"/>
      <c r="AS4347" s="48"/>
      <c r="AT4347" s="48"/>
      <c r="AU4347" s="48"/>
      <c r="AV4347" s="48"/>
      <c r="AW4347" s="48"/>
      <c r="AX4347" s="48"/>
      <c r="AY4347" s="48"/>
      <c r="AZ4347" s="48"/>
      <c r="BA4347" s="48"/>
      <c r="BB4347" s="48"/>
      <c r="BC4347" s="48"/>
      <c r="BD4347" s="48"/>
    </row>
    <row r="4348" spans="1:56">
      <c r="A4348" s="48"/>
      <c r="B4348" s="48"/>
      <c r="C4348" s="49"/>
      <c r="D4348" s="48"/>
      <c r="E4348" s="48"/>
      <c r="F4348" s="48"/>
      <c r="G4348" s="48"/>
      <c r="H4348" s="48"/>
      <c r="I4348" s="48"/>
      <c r="J4348" s="86"/>
      <c r="K4348" s="86"/>
      <c r="L4348" s="86"/>
      <c r="M4348" s="86"/>
      <c r="N4348" s="86"/>
      <c r="O4348" s="86"/>
      <c r="P4348" s="86"/>
      <c r="Q4348" s="86"/>
      <c r="R4348" s="86"/>
      <c r="S4348" s="86"/>
      <c r="T4348" s="86"/>
      <c r="U4348" s="86"/>
      <c r="V4348" s="48"/>
      <c r="W4348" s="48"/>
      <c r="X4348" s="48"/>
      <c r="Y4348" s="48"/>
      <c r="Z4348" s="48"/>
      <c r="AA4348" s="48"/>
      <c r="AB4348" s="48"/>
      <c r="AC4348" s="48"/>
      <c r="AD4348" s="48"/>
      <c r="AE4348" s="48"/>
      <c r="AF4348" s="48"/>
      <c r="AG4348" s="48"/>
      <c r="AH4348" s="48"/>
      <c r="AI4348" s="48"/>
      <c r="AJ4348" s="48"/>
      <c r="AK4348" s="48"/>
      <c r="AL4348" s="48"/>
      <c r="AM4348" s="48"/>
      <c r="AN4348" s="48"/>
      <c r="AO4348" s="48"/>
      <c r="AP4348" s="48"/>
      <c r="AQ4348" s="48"/>
      <c r="AR4348" s="48"/>
      <c r="AS4348" s="48"/>
      <c r="AT4348" s="48"/>
      <c r="AU4348" s="48"/>
      <c r="AV4348" s="48"/>
      <c r="AW4348" s="48"/>
      <c r="AX4348" s="48"/>
      <c r="AY4348" s="48"/>
      <c r="AZ4348" s="48"/>
      <c r="BA4348" s="48"/>
      <c r="BB4348" s="48"/>
      <c r="BC4348" s="48"/>
      <c r="BD4348" s="48"/>
    </row>
    <row r="4349" spans="1:56">
      <c r="A4349" s="48"/>
      <c r="B4349" s="48"/>
      <c r="C4349" s="49"/>
      <c r="D4349" s="48"/>
      <c r="E4349" s="48"/>
      <c r="F4349" s="48"/>
      <c r="G4349" s="48"/>
      <c r="H4349" s="48"/>
      <c r="I4349" s="48"/>
      <c r="J4349" s="86"/>
      <c r="K4349" s="86"/>
      <c r="L4349" s="86"/>
      <c r="M4349" s="86"/>
      <c r="N4349" s="86"/>
      <c r="O4349" s="86"/>
      <c r="P4349" s="86"/>
      <c r="Q4349" s="86"/>
      <c r="R4349" s="86"/>
      <c r="S4349" s="86"/>
      <c r="T4349" s="86"/>
      <c r="U4349" s="86"/>
      <c r="V4349" s="48"/>
      <c r="W4349" s="48"/>
      <c r="X4349" s="48"/>
      <c r="Y4349" s="48"/>
      <c r="Z4349" s="48"/>
      <c r="AA4349" s="48"/>
      <c r="AB4349" s="48"/>
      <c r="AC4349" s="48"/>
      <c r="AD4349" s="48"/>
      <c r="AE4349" s="48"/>
      <c r="AF4349" s="48"/>
      <c r="AG4349" s="48"/>
      <c r="AH4349" s="48"/>
      <c r="AI4349" s="48"/>
      <c r="AJ4349" s="48"/>
      <c r="AK4349" s="48"/>
      <c r="AL4349" s="48"/>
      <c r="AM4349" s="48"/>
      <c r="AN4349" s="48"/>
      <c r="AO4349" s="48"/>
      <c r="AP4349" s="48"/>
      <c r="AQ4349" s="48"/>
      <c r="AR4349" s="48"/>
      <c r="AS4349" s="48"/>
      <c r="AT4349" s="48"/>
      <c r="AU4349" s="48"/>
      <c r="AV4349" s="48"/>
      <c r="AW4349" s="48"/>
      <c r="AX4349" s="48"/>
      <c r="AY4349" s="48"/>
      <c r="AZ4349" s="48"/>
      <c r="BA4349" s="48"/>
      <c r="BB4349" s="48"/>
      <c r="BC4349" s="48"/>
      <c r="BD4349" s="48"/>
    </row>
    <row r="4350" spans="1:56">
      <c r="A4350" s="48"/>
      <c r="B4350" s="48"/>
      <c r="C4350" s="49"/>
      <c r="D4350" s="48"/>
      <c r="E4350" s="48"/>
      <c r="F4350" s="48"/>
      <c r="G4350" s="48"/>
      <c r="H4350" s="48"/>
      <c r="I4350" s="48"/>
      <c r="J4350" s="86"/>
      <c r="K4350" s="86"/>
      <c r="L4350" s="86"/>
      <c r="M4350" s="86"/>
      <c r="N4350" s="86"/>
      <c r="O4350" s="86"/>
      <c r="P4350" s="86"/>
      <c r="Q4350" s="86"/>
      <c r="R4350" s="86"/>
      <c r="S4350" s="86"/>
      <c r="T4350" s="86"/>
      <c r="U4350" s="86"/>
      <c r="V4350" s="48"/>
      <c r="W4350" s="48"/>
      <c r="X4350" s="48"/>
      <c r="Y4350" s="48"/>
      <c r="Z4350" s="48"/>
      <c r="AA4350" s="48"/>
      <c r="AB4350" s="48"/>
      <c r="AC4350" s="48"/>
      <c r="AD4350" s="48"/>
      <c r="AE4350" s="48"/>
      <c r="AF4350" s="48"/>
      <c r="AG4350" s="48"/>
      <c r="AH4350" s="48"/>
      <c r="AI4350" s="48"/>
      <c r="AJ4350" s="48"/>
      <c r="AK4350" s="48"/>
      <c r="AL4350" s="48"/>
      <c r="AM4350" s="48"/>
      <c r="AN4350" s="48"/>
      <c r="AO4350" s="48"/>
      <c r="AP4350" s="48"/>
      <c r="AQ4350" s="48"/>
      <c r="AR4350" s="48"/>
      <c r="AS4350" s="48"/>
      <c r="AT4350" s="48"/>
      <c r="AU4350" s="48"/>
      <c r="AV4350" s="48"/>
      <c r="AW4350" s="48"/>
      <c r="AX4350" s="48"/>
      <c r="AY4350" s="48"/>
      <c r="AZ4350" s="48"/>
      <c r="BA4350" s="48"/>
      <c r="BB4350" s="48"/>
      <c r="BC4350" s="48"/>
      <c r="BD4350" s="48"/>
    </row>
    <row r="4351" spans="1:56">
      <c r="A4351" s="48"/>
      <c r="B4351" s="48"/>
      <c r="C4351" s="49"/>
      <c r="D4351" s="48"/>
      <c r="E4351" s="48"/>
      <c r="F4351" s="48"/>
      <c r="G4351" s="48"/>
      <c r="H4351" s="48"/>
      <c r="I4351" s="48"/>
      <c r="J4351" s="86"/>
      <c r="K4351" s="86"/>
      <c r="L4351" s="86"/>
      <c r="M4351" s="86"/>
      <c r="N4351" s="86"/>
      <c r="O4351" s="86"/>
      <c r="P4351" s="86"/>
      <c r="Q4351" s="86"/>
      <c r="R4351" s="86"/>
      <c r="S4351" s="86"/>
      <c r="T4351" s="86"/>
      <c r="U4351" s="86"/>
      <c r="V4351" s="48"/>
      <c r="W4351" s="48"/>
      <c r="X4351" s="48"/>
      <c r="Y4351" s="48"/>
      <c r="Z4351" s="48"/>
      <c r="AA4351" s="48"/>
      <c r="AB4351" s="48"/>
      <c r="AC4351" s="48"/>
      <c r="AD4351" s="48"/>
      <c r="AE4351" s="48"/>
      <c r="AF4351" s="48"/>
      <c r="AG4351" s="48"/>
      <c r="AH4351" s="48"/>
      <c r="AI4351" s="48"/>
      <c r="AJ4351" s="48"/>
      <c r="AK4351" s="48"/>
      <c r="AL4351" s="48"/>
      <c r="AM4351" s="48"/>
      <c r="AN4351" s="48"/>
      <c r="AO4351" s="48"/>
      <c r="AP4351" s="48"/>
      <c r="AQ4351" s="48"/>
      <c r="AR4351" s="48"/>
      <c r="AS4351" s="48"/>
      <c r="AT4351" s="48"/>
      <c r="AU4351" s="48"/>
      <c r="AV4351" s="48"/>
      <c r="AW4351" s="48"/>
      <c r="AX4351" s="48"/>
      <c r="AY4351" s="48"/>
      <c r="AZ4351" s="48"/>
      <c r="BA4351" s="48"/>
      <c r="BB4351" s="48"/>
      <c r="BC4351" s="48"/>
      <c r="BD4351" s="48"/>
    </row>
    <row r="4352" spans="1:56">
      <c r="A4352" s="48"/>
      <c r="B4352" s="48"/>
      <c r="C4352" s="49"/>
      <c r="D4352" s="48"/>
      <c r="E4352" s="48"/>
      <c r="F4352" s="48"/>
      <c r="G4352" s="48"/>
      <c r="H4352" s="48"/>
      <c r="I4352" s="48"/>
      <c r="J4352" s="86"/>
      <c r="K4352" s="86"/>
      <c r="L4352" s="86"/>
      <c r="M4352" s="86"/>
      <c r="N4352" s="86"/>
      <c r="O4352" s="86"/>
      <c r="P4352" s="86"/>
      <c r="Q4352" s="86"/>
      <c r="R4352" s="86"/>
      <c r="S4352" s="86"/>
      <c r="T4352" s="86"/>
      <c r="U4352" s="86"/>
      <c r="V4352" s="48"/>
      <c r="W4352" s="48"/>
      <c r="X4352" s="48"/>
      <c r="Y4352" s="48"/>
      <c r="Z4352" s="48"/>
      <c r="AA4352" s="48"/>
      <c r="AB4352" s="48"/>
      <c r="AC4352" s="48"/>
      <c r="AD4352" s="48"/>
      <c r="AE4352" s="48"/>
      <c r="AF4352" s="48"/>
      <c r="AG4352" s="48"/>
      <c r="AH4352" s="48"/>
      <c r="AI4352" s="48"/>
      <c r="AJ4352" s="48"/>
      <c r="AK4352" s="48"/>
      <c r="AL4352" s="48"/>
      <c r="AM4352" s="48"/>
      <c r="AN4352" s="48"/>
      <c r="AO4352" s="48"/>
      <c r="AP4352" s="48"/>
      <c r="AQ4352" s="48"/>
      <c r="AR4352" s="48"/>
      <c r="AS4352" s="48"/>
      <c r="AT4352" s="48"/>
      <c r="AU4352" s="48"/>
      <c r="AV4352" s="48"/>
      <c r="AW4352" s="48"/>
      <c r="AX4352" s="48"/>
      <c r="AY4352" s="48"/>
      <c r="AZ4352" s="48"/>
      <c r="BA4352" s="48"/>
      <c r="BB4352" s="48"/>
      <c r="BC4352" s="48"/>
      <c r="BD4352" s="48"/>
    </row>
    <row r="4353" spans="1:56">
      <c r="A4353" s="48"/>
      <c r="B4353" s="48"/>
      <c r="C4353" s="49"/>
      <c r="D4353" s="48"/>
      <c r="E4353" s="48"/>
      <c r="F4353" s="48"/>
      <c r="G4353" s="48"/>
      <c r="H4353" s="48"/>
      <c r="I4353" s="48"/>
      <c r="J4353" s="86"/>
      <c r="K4353" s="86"/>
      <c r="L4353" s="86"/>
      <c r="M4353" s="86"/>
      <c r="N4353" s="86"/>
      <c r="O4353" s="86"/>
      <c r="P4353" s="86"/>
      <c r="Q4353" s="86"/>
      <c r="R4353" s="86"/>
      <c r="S4353" s="86"/>
      <c r="T4353" s="86"/>
      <c r="U4353" s="86"/>
      <c r="V4353" s="48"/>
      <c r="W4353" s="48"/>
      <c r="X4353" s="48"/>
      <c r="Y4353" s="48"/>
      <c r="Z4353" s="48"/>
      <c r="AA4353" s="48"/>
      <c r="AB4353" s="48"/>
      <c r="AC4353" s="48"/>
      <c r="AD4353" s="48"/>
      <c r="AE4353" s="48"/>
      <c r="AF4353" s="48"/>
      <c r="AG4353" s="48"/>
      <c r="AH4353" s="48"/>
      <c r="AI4353" s="48"/>
      <c r="AJ4353" s="48"/>
      <c r="AK4353" s="48"/>
      <c r="AL4353" s="48"/>
      <c r="AM4353" s="48"/>
      <c r="AN4353" s="48"/>
      <c r="AO4353" s="48"/>
      <c r="AP4353" s="48"/>
      <c r="AQ4353" s="48"/>
      <c r="AR4353" s="48"/>
      <c r="AS4353" s="48"/>
      <c r="AT4353" s="48"/>
      <c r="AU4353" s="48"/>
      <c r="AV4353" s="48"/>
      <c r="AW4353" s="48"/>
      <c r="AX4353" s="48"/>
      <c r="AY4353" s="48"/>
      <c r="AZ4353" s="48"/>
      <c r="BA4353" s="48"/>
      <c r="BB4353" s="48"/>
      <c r="BC4353" s="48"/>
      <c r="BD4353" s="48"/>
    </row>
    <row r="4354" spans="1:56">
      <c r="A4354" s="48"/>
      <c r="B4354" s="48"/>
      <c r="C4354" s="49"/>
      <c r="D4354" s="48"/>
      <c r="E4354" s="48"/>
      <c r="F4354" s="48"/>
      <c r="G4354" s="48"/>
      <c r="H4354" s="48"/>
      <c r="I4354" s="48"/>
      <c r="J4354" s="86"/>
      <c r="K4354" s="86"/>
      <c r="L4354" s="86"/>
      <c r="M4354" s="86"/>
      <c r="N4354" s="86"/>
      <c r="O4354" s="86"/>
      <c r="P4354" s="86"/>
      <c r="Q4354" s="86"/>
      <c r="R4354" s="86"/>
      <c r="S4354" s="86"/>
      <c r="T4354" s="86"/>
      <c r="U4354" s="86"/>
      <c r="V4354" s="48"/>
      <c r="W4354" s="48"/>
      <c r="X4354" s="48"/>
      <c r="Y4354" s="48"/>
      <c r="Z4354" s="48"/>
      <c r="AA4354" s="48"/>
      <c r="AB4354" s="48"/>
      <c r="AC4354" s="48"/>
      <c r="AD4354" s="48"/>
      <c r="AE4354" s="48"/>
      <c r="AF4354" s="48"/>
      <c r="AG4354" s="48"/>
      <c r="AH4354" s="48"/>
      <c r="AI4354" s="48"/>
      <c r="AJ4354" s="48"/>
      <c r="AK4354" s="48"/>
      <c r="AL4354" s="48"/>
      <c r="AM4354" s="48"/>
      <c r="AN4354" s="48"/>
      <c r="AO4354" s="48"/>
      <c r="AP4354" s="48"/>
      <c r="AQ4354" s="48"/>
      <c r="AR4354" s="48"/>
      <c r="AS4354" s="48"/>
      <c r="AT4354" s="48"/>
      <c r="AU4354" s="48"/>
      <c r="AV4354" s="48"/>
      <c r="AW4354" s="48"/>
      <c r="AX4354" s="48"/>
      <c r="AY4354" s="48"/>
      <c r="AZ4354" s="48"/>
      <c r="BA4354" s="48"/>
      <c r="BB4354" s="48"/>
      <c r="BC4354" s="48"/>
      <c r="BD4354" s="48"/>
    </row>
    <row r="4355" spans="1:56">
      <c r="A4355" s="48"/>
      <c r="B4355" s="48"/>
      <c r="C4355" s="49"/>
      <c r="D4355" s="48"/>
      <c r="E4355" s="48"/>
      <c r="F4355" s="48"/>
      <c r="G4355" s="48"/>
      <c r="H4355" s="48"/>
      <c r="I4355" s="48"/>
      <c r="J4355" s="86"/>
      <c r="K4355" s="86"/>
      <c r="L4355" s="86"/>
      <c r="M4355" s="86"/>
      <c r="N4355" s="86"/>
      <c r="O4355" s="86"/>
      <c r="P4355" s="86"/>
      <c r="Q4355" s="86"/>
      <c r="R4355" s="86"/>
      <c r="S4355" s="86"/>
      <c r="T4355" s="86"/>
      <c r="U4355" s="86"/>
      <c r="V4355" s="48"/>
      <c r="W4355" s="48"/>
      <c r="X4355" s="48"/>
      <c r="Y4355" s="48"/>
      <c r="Z4355" s="48"/>
      <c r="AA4355" s="48"/>
      <c r="AB4355" s="48"/>
      <c r="AC4355" s="48"/>
      <c r="AD4355" s="48"/>
      <c r="AE4355" s="48"/>
      <c r="AF4355" s="48"/>
      <c r="AG4355" s="48"/>
      <c r="AH4355" s="48"/>
      <c r="AI4355" s="48"/>
      <c r="AJ4355" s="48"/>
      <c r="AK4355" s="48"/>
      <c r="AL4355" s="48"/>
      <c r="AM4355" s="48"/>
      <c r="AN4355" s="48"/>
      <c r="AO4355" s="48"/>
      <c r="AP4355" s="48"/>
      <c r="AQ4355" s="48"/>
      <c r="AR4355" s="48"/>
      <c r="AS4355" s="48"/>
      <c r="AT4355" s="48"/>
      <c r="AU4355" s="48"/>
      <c r="AV4355" s="48"/>
      <c r="AW4355" s="48"/>
      <c r="AX4355" s="48"/>
      <c r="AY4355" s="48"/>
      <c r="AZ4355" s="48"/>
      <c r="BA4355" s="48"/>
      <c r="BB4355" s="48"/>
      <c r="BC4355" s="48"/>
      <c r="BD4355" s="48"/>
    </row>
    <row r="4356" spans="1:56">
      <c r="A4356" s="48"/>
      <c r="B4356" s="48"/>
      <c r="C4356" s="49"/>
      <c r="D4356" s="48"/>
      <c r="E4356" s="48"/>
      <c r="F4356" s="48"/>
      <c r="G4356" s="48"/>
      <c r="H4356" s="48"/>
      <c r="I4356" s="48"/>
      <c r="J4356" s="86"/>
      <c r="K4356" s="86"/>
      <c r="L4356" s="86"/>
      <c r="M4356" s="86"/>
      <c r="N4356" s="86"/>
      <c r="O4356" s="86"/>
      <c r="P4356" s="86"/>
      <c r="Q4356" s="86"/>
      <c r="R4356" s="86"/>
      <c r="S4356" s="86"/>
      <c r="T4356" s="86"/>
      <c r="U4356" s="86"/>
      <c r="V4356" s="48"/>
      <c r="W4356" s="48"/>
      <c r="X4356" s="48"/>
      <c r="Y4356" s="48"/>
      <c r="Z4356" s="48"/>
      <c r="AA4356" s="48"/>
      <c r="AB4356" s="48"/>
      <c r="AC4356" s="48"/>
      <c r="AD4356" s="48"/>
      <c r="AE4356" s="48"/>
      <c r="AF4356" s="48"/>
      <c r="AG4356" s="48"/>
      <c r="AH4356" s="48"/>
      <c r="AI4356" s="48"/>
      <c r="AJ4356" s="48"/>
      <c r="AK4356" s="48"/>
      <c r="AL4356" s="48"/>
      <c r="AM4356" s="48"/>
      <c r="AN4356" s="48"/>
      <c r="AO4356" s="48"/>
      <c r="AP4356" s="48"/>
      <c r="AQ4356" s="48"/>
      <c r="AR4356" s="48"/>
      <c r="AS4356" s="48"/>
      <c r="AT4356" s="48"/>
      <c r="AU4356" s="48"/>
      <c r="AV4356" s="48"/>
      <c r="AW4356" s="48"/>
      <c r="AX4356" s="48"/>
      <c r="AY4356" s="48"/>
      <c r="AZ4356" s="48"/>
      <c r="BA4356" s="48"/>
      <c r="BB4356" s="48"/>
      <c r="BC4356" s="48"/>
      <c r="BD4356" s="48"/>
    </row>
    <row r="4357" spans="1:56">
      <c r="A4357" s="48"/>
      <c r="B4357" s="48"/>
      <c r="C4357" s="49"/>
      <c r="D4357" s="48"/>
      <c r="E4357" s="48"/>
      <c r="F4357" s="48"/>
      <c r="G4357" s="48"/>
      <c r="H4357" s="48"/>
      <c r="I4357" s="48"/>
      <c r="J4357" s="86"/>
      <c r="K4357" s="86"/>
      <c r="L4357" s="86"/>
      <c r="M4357" s="86"/>
      <c r="N4357" s="86"/>
      <c r="O4357" s="86"/>
      <c r="P4357" s="86"/>
      <c r="Q4357" s="86"/>
      <c r="R4357" s="86"/>
      <c r="S4357" s="86"/>
      <c r="T4357" s="86"/>
      <c r="U4357" s="86"/>
      <c r="V4357" s="48"/>
      <c r="W4357" s="48"/>
      <c r="X4357" s="48"/>
      <c r="Y4357" s="48"/>
      <c r="Z4357" s="48"/>
      <c r="AA4357" s="48"/>
      <c r="AB4357" s="48"/>
      <c r="AC4357" s="48"/>
      <c r="AD4357" s="48"/>
      <c r="AE4357" s="48"/>
      <c r="AF4357" s="48"/>
      <c r="AG4357" s="48"/>
      <c r="AH4357" s="48"/>
      <c r="AI4357" s="48"/>
      <c r="AJ4357" s="48"/>
      <c r="AK4357" s="48"/>
      <c r="AL4357" s="48"/>
      <c r="AM4357" s="48"/>
      <c r="AN4357" s="48"/>
      <c r="AO4357" s="48"/>
      <c r="AP4357" s="48"/>
      <c r="AQ4357" s="48"/>
      <c r="AR4357" s="48"/>
      <c r="AS4357" s="48"/>
      <c r="AT4357" s="48"/>
      <c r="AU4357" s="48"/>
      <c r="AV4357" s="48"/>
      <c r="AW4357" s="48"/>
      <c r="AX4357" s="48"/>
      <c r="AY4357" s="48"/>
      <c r="AZ4357" s="48"/>
      <c r="BA4357" s="48"/>
      <c r="BB4357" s="48"/>
      <c r="BC4357" s="48"/>
      <c r="BD4357" s="48"/>
    </row>
    <row r="4358" spans="1:56">
      <c r="A4358" s="48"/>
      <c r="B4358" s="48"/>
      <c r="C4358" s="49"/>
      <c r="D4358" s="48"/>
      <c r="E4358" s="48"/>
      <c r="F4358" s="48"/>
      <c r="G4358" s="48"/>
      <c r="H4358" s="48"/>
      <c r="I4358" s="48"/>
      <c r="J4358" s="86"/>
      <c r="K4358" s="86"/>
      <c r="L4358" s="86"/>
      <c r="M4358" s="86"/>
      <c r="N4358" s="86"/>
      <c r="O4358" s="86"/>
      <c r="P4358" s="86"/>
      <c r="Q4358" s="86"/>
      <c r="R4358" s="86"/>
      <c r="S4358" s="86"/>
      <c r="T4358" s="86"/>
      <c r="U4358" s="86"/>
      <c r="V4358" s="48"/>
      <c r="W4358" s="48"/>
      <c r="X4358" s="48"/>
      <c r="Y4358" s="48"/>
      <c r="Z4358" s="48"/>
      <c r="AA4358" s="48"/>
      <c r="AB4358" s="48"/>
      <c r="AC4358" s="48"/>
      <c r="AD4358" s="48"/>
      <c r="AE4358" s="48"/>
      <c r="AF4358" s="48"/>
      <c r="AG4358" s="48"/>
      <c r="AH4358" s="48"/>
      <c r="AI4358" s="48"/>
      <c r="AJ4358" s="48"/>
      <c r="AK4358" s="48"/>
      <c r="AL4358" s="48"/>
      <c r="AM4358" s="48"/>
      <c r="AN4358" s="48"/>
      <c r="AO4358" s="48"/>
      <c r="AP4358" s="48"/>
      <c r="AQ4358" s="48"/>
      <c r="AR4358" s="48"/>
      <c r="AS4358" s="48"/>
      <c r="AT4358" s="48"/>
      <c r="AU4358" s="48"/>
      <c r="AV4358" s="48"/>
      <c r="AW4358" s="48"/>
      <c r="AX4358" s="48"/>
      <c r="AY4358" s="48"/>
      <c r="AZ4358" s="48"/>
      <c r="BA4358" s="48"/>
      <c r="BB4358" s="48"/>
      <c r="BC4358" s="48"/>
      <c r="BD4358" s="48"/>
    </row>
    <row r="4359" spans="1:56">
      <c r="A4359" s="48"/>
      <c r="B4359" s="48"/>
      <c r="C4359" s="49"/>
      <c r="D4359" s="48"/>
      <c r="E4359" s="48"/>
      <c r="F4359" s="48"/>
      <c r="G4359" s="48"/>
      <c r="H4359" s="48"/>
      <c r="I4359" s="48"/>
      <c r="J4359" s="86"/>
      <c r="K4359" s="86"/>
      <c r="L4359" s="86"/>
      <c r="M4359" s="86"/>
      <c r="N4359" s="86"/>
      <c r="O4359" s="86"/>
      <c r="P4359" s="86"/>
      <c r="Q4359" s="86"/>
      <c r="R4359" s="86"/>
      <c r="S4359" s="86"/>
      <c r="T4359" s="86"/>
      <c r="U4359" s="86"/>
      <c r="V4359" s="48"/>
      <c r="W4359" s="48"/>
      <c r="X4359" s="48"/>
      <c r="Y4359" s="48"/>
      <c r="Z4359" s="48"/>
      <c r="AA4359" s="48"/>
      <c r="AB4359" s="48"/>
      <c r="AC4359" s="48"/>
      <c r="AD4359" s="48"/>
      <c r="AE4359" s="48"/>
      <c r="AF4359" s="48"/>
      <c r="AG4359" s="48"/>
      <c r="AH4359" s="48"/>
      <c r="AI4359" s="48"/>
      <c r="AJ4359" s="48"/>
      <c r="AK4359" s="48"/>
      <c r="AL4359" s="48"/>
      <c r="AM4359" s="48"/>
      <c r="AN4359" s="48"/>
      <c r="AO4359" s="48"/>
      <c r="AP4359" s="48"/>
      <c r="AQ4359" s="48"/>
      <c r="AR4359" s="48"/>
      <c r="AS4359" s="48"/>
      <c r="AT4359" s="48"/>
      <c r="AU4359" s="48"/>
      <c r="AV4359" s="48"/>
      <c r="AW4359" s="48"/>
      <c r="AX4359" s="48"/>
      <c r="AY4359" s="48"/>
      <c r="AZ4359" s="48"/>
      <c r="BA4359" s="48"/>
      <c r="BB4359" s="48"/>
      <c r="BC4359" s="48"/>
      <c r="BD4359" s="48"/>
    </row>
    <row r="4360" spans="1:56">
      <c r="A4360" s="48"/>
      <c r="B4360" s="48"/>
      <c r="C4360" s="49"/>
      <c r="D4360" s="48"/>
      <c r="E4360" s="48"/>
      <c r="F4360" s="48"/>
      <c r="G4360" s="48"/>
      <c r="H4360" s="48"/>
      <c r="I4360" s="48"/>
      <c r="J4360" s="86"/>
      <c r="K4360" s="86"/>
      <c r="L4360" s="86"/>
      <c r="M4360" s="86"/>
      <c r="N4360" s="86"/>
      <c r="O4360" s="86"/>
      <c r="P4360" s="86"/>
      <c r="Q4360" s="86"/>
      <c r="R4360" s="86"/>
      <c r="S4360" s="86"/>
      <c r="T4360" s="86"/>
      <c r="U4360" s="86"/>
      <c r="V4360" s="48"/>
      <c r="W4360" s="48"/>
      <c r="X4360" s="48"/>
      <c r="Y4360" s="48"/>
      <c r="Z4360" s="48"/>
      <c r="AA4360" s="48"/>
      <c r="AB4360" s="48"/>
      <c r="AC4360" s="48"/>
      <c r="AD4360" s="48"/>
      <c r="AE4360" s="48"/>
      <c r="AF4360" s="48"/>
      <c r="AG4360" s="48"/>
      <c r="AH4360" s="48"/>
      <c r="AI4360" s="48"/>
      <c r="AJ4360" s="48"/>
      <c r="AK4360" s="48"/>
      <c r="AL4360" s="48"/>
      <c r="AM4360" s="48"/>
      <c r="AN4360" s="48"/>
      <c r="AO4360" s="48"/>
      <c r="AP4360" s="48"/>
      <c r="AQ4360" s="48"/>
      <c r="AR4360" s="48"/>
      <c r="AS4360" s="48"/>
      <c r="AT4360" s="48"/>
      <c r="AU4360" s="48"/>
      <c r="AV4360" s="48"/>
      <c r="AW4360" s="48"/>
      <c r="AX4360" s="48"/>
      <c r="AY4360" s="48"/>
      <c r="AZ4360" s="48"/>
      <c r="BA4360" s="48"/>
      <c r="BB4360" s="48"/>
      <c r="BC4360" s="48"/>
      <c r="BD4360" s="48"/>
    </row>
    <row r="4361" spans="1:56">
      <c r="A4361" s="48"/>
      <c r="B4361" s="48"/>
      <c r="C4361" s="49"/>
      <c r="D4361" s="48"/>
      <c r="E4361" s="48"/>
      <c r="F4361" s="48"/>
      <c r="G4361" s="48"/>
      <c r="H4361" s="48"/>
      <c r="I4361" s="48"/>
      <c r="J4361" s="86"/>
      <c r="K4361" s="86"/>
      <c r="L4361" s="86"/>
      <c r="M4361" s="86"/>
      <c r="N4361" s="86"/>
      <c r="O4361" s="86"/>
      <c r="P4361" s="86"/>
      <c r="Q4361" s="86"/>
      <c r="R4361" s="86"/>
      <c r="S4361" s="86"/>
      <c r="T4361" s="86"/>
      <c r="U4361" s="86"/>
      <c r="V4361" s="48"/>
      <c r="W4361" s="48"/>
      <c r="X4361" s="48"/>
      <c r="Y4361" s="48"/>
      <c r="Z4361" s="48"/>
      <c r="AA4361" s="48"/>
      <c r="AB4361" s="48"/>
      <c r="AC4361" s="48"/>
      <c r="AD4361" s="48"/>
      <c r="AE4361" s="48"/>
      <c r="AF4361" s="48"/>
      <c r="AG4361" s="48"/>
      <c r="AH4361" s="48"/>
      <c r="AI4361" s="48"/>
      <c r="AJ4361" s="48"/>
      <c r="AK4361" s="48"/>
      <c r="AL4361" s="48"/>
      <c r="AM4361" s="48"/>
      <c r="AN4361" s="48"/>
      <c r="AO4361" s="48"/>
      <c r="AP4361" s="48"/>
      <c r="AQ4361" s="48"/>
      <c r="AR4361" s="48"/>
      <c r="AS4361" s="48"/>
      <c r="AT4361" s="48"/>
      <c r="AU4361" s="48"/>
      <c r="AV4361" s="48"/>
      <c r="AW4361" s="48"/>
      <c r="AX4361" s="48"/>
      <c r="AY4361" s="48"/>
      <c r="AZ4361" s="48"/>
      <c r="BA4361" s="48"/>
      <c r="BB4361" s="48"/>
      <c r="BC4361" s="48"/>
      <c r="BD4361" s="48"/>
    </row>
    <row r="4362" spans="1:56">
      <c r="A4362" s="48"/>
      <c r="B4362" s="48"/>
      <c r="C4362" s="49"/>
      <c r="D4362" s="48"/>
      <c r="E4362" s="48"/>
      <c r="F4362" s="48"/>
      <c r="G4362" s="48"/>
      <c r="H4362" s="48"/>
      <c r="I4362" s="48"/>
      <c r="J4362" s="86"/>
      <c r="K4362" s="86"/>
      <c r="L4362" s="86"/>
      <c r="M4362" s="86"/>
      <c r="N4362" s="86"/>
      <c r="O4362" s="86"/>
      <c r="P4362" s="86"/>
      <c r="Q4362" s="86"/>
      <c r="R4362" s="86"/>
      <c r="S4362" s="86"/>
      <c r="T4362" s="86"/>
      <c r="U4362" s="86"/>
      <c r="V4362" s="48"/>
      <c r="W4362" s="48"/>
      <c r="X4362" s="48"/>
      <c r="Y4362" s="48"/>
      <c r="Z4362" s="48"/>
      <c r="AA4362" s="48"/>
      <c r="AB4362" s="48"/>
      <c r="AC4362" s="48"/>
      <c r="AD4362" s="48"/>
      <c r="AE4362" s="48"/>
      <c r="AF4362" s="48"/>
      <c r="AG4362" s="48"/>
      <c r="AH4362" s="48"/>
      <c r="AI4362" s="48"/>
      <c r="AJ4362" s="48"/>
      <c r="AK4362" s="48"/>
      <c r="AL4362" s="48"/>
      <c r="AM4362" s="48"/>
      <c r="AN4362" s="48"/>
      <c r="AO4362" s="48"/>
      <c r="AP4362" s="48"/>
      <c r="AQ4362" s="48"/>
      <c r="AR4362" s="48"/>
      <c r="AS4362" s="48"/>
      <c r="AT4362" s="48"/>
      <c r="AU4362" s="48"/>
      <c r="AV4362" s="48"/>
      <c r="AW4362" s="48"/>
      <c r="AX4362" s="48"/>
      <c r="AY4362" s="48"/>
      <c r="AZ4362" s="48"/>
      <c r="BA4362" s="48"/>
      <c r="BB4362" s="48"/>
      <c r="BC4362" s="48"/>
      <c r="BD4362" s="48"/>
    </row>
    <row r="4363" spans="1:56">
      <c r="A4363" s="48"/>
      <c r="B4363" s="48"/>
      <c r="C4363" s="49"/>
      <c r="D4363" s="48"/>
      <c r="E4363" s="48"/>
      <c r="F4363" s="48"/>
      <c r="G4363" s="48"/>
      <c r="H4363" s="48"/>
      <c r="I4363" s="48"/>
      <c r="J4363" s="86"/>
      <c r="K4363" s="86"/>
      <c r="L4363" s="86"/>
      <c r="M4363" s="86"/>
      <c r="N4363" s="86"/>
      <c r="O4363" s="86"/>
      <c r="P4363" s="86"/>
      <c r="Q4363" s="86"/>
      <c r="R4363" s="86"/>
      <c r="S4363" s="86"/>
      <c r="T4363" s="86"/>
      <c r="U4363" s="86"/>
      <c r="V4363" s="48"/>
      <c r="W4363" s="48"/>
      <c r="X4363" s="48"/>
      <c r="Y4363" s="48"/>
      <c r="Z4363" s="48"/>
      <c r="AA4363" s="48"/>
      <c r="AB4363" s="48"/>
      <c r="AC4363" s="48"/>
      <c r="AD4363" s="48"/>
      <c r="AE4363" s="48"/>
      <c r="AF4363" s="48"/>
      <c r="AG4363" s="48"/>
      <c r="AH4363" s="48"/>
      <c r="AI4363" s="48"/>
      <c r="AJ4363" s="48"/>
      <c r="AK4363" s="48"/>
      <c r="AL4363" s="48"/>
      <c r="AM4363" s="48"/>
      <c r="AN4363" s="48"/>
      <c r="AO4363" s="48"/>
      <c r="AP4363" s="48"/>
      <c r="AQ4363" s="48"/>
      <c r="AR4363" s="48"/>
      <c r="AS4363" s="48"/>
      <c r="AT4363" s="48"/>
      <c r="AU4363" s="48"/>
      <c r="AV4363" s="48"/>
      <c r="AW4363" s="48"/>
      <c r="AX4363" s="48"/>
      <c r="AY4363" s="48"/>
      <c r="AZ4363" s="48"/>
      <c r="BA4363" s="48"/>
      <c r="BB4363" s="48"/>
      <c r="BC4363" s="48"/>
      <c r="BD4363" s="48"/>
    </row>
    <row r="4364" spans="1:56">
      <c r="A4364" s="48"/>
      <c r="B4364" s="48"/>
      <c r="C4364" s="49"/>
      <c r="D4364" s="48"/>
      <c r="E4364" s="48"/>
      <c r="F4364" s="48"/>
      <c r="G4364" s="48"/>
      <c r="H4364" s="48"/>
      <c r="I4364" s="48"/>
      <c r="J4364" s="86"/>
      <c r="K4364" s="86"/>
      <c r="L4364" s="86"/>
      <c r="M4364" s="86"/>
      <c r="N4364" s="86"/>
      <c r="O4364" s="86"/>
      <c r="P4364" s="86"/>
      <c r="Q4364" s="86"/>
      <c r="R4364" s="86"/>
      <c r="S4364" s="86"/>
      <c r="T4364" s="86"/>
      <c r="U4364" s="86"/>
      <c r="V4364" s="48"/>
      <c r="W4364" s="48"/>
      <c r="X4364" s="48"/>
      <c r="Y4364" s="48"/>
      <c r="Z4364" s="48"/>
      <c r="AA4364" s="48"/>
      <c r="AB4364" s="48"/>
      <c r="AC4364" s="48"/>
      <c r="AD4364" s="48"/>
      <c r="AE4364" s="48"/>
      <c r="AF4364" s="48"/>
      <c r="AG4364" s="48"/>
      <c r="AH4364" s="48"/>
      <c r="AI4364" s="48"/>
      <c r="AJ4364" s="48"/>
      <c r="AK4364" s="48"/>
      <c r="AL4364" s="48"/>
      <c r="AM4364" s="48"/>
      <c r="AN4364" s="48"/>
      <c r="AO4364" s="48"/>
      <c r="AP4364" s="48"/>
      <c r="AQ4364" s="48"/>
      <c r="AR4364" s="48"/>
      <c r="AS4364" s="48"/>
      <c r="AT4364" s="48"/>
      <c r="AU4364" s="48"/>
      <c r="AV4364" s="48"/>
      <c r="AW4364" s="48"/>
      <c r="AX4364" s="48"/>
      <c r="AY4364" s="48"/>
      <c r="AZ4364" s="48"/>
      <c r="BA4364" s="48"/>
      <c r="BB4364" s="48"/>
      <c r="BC4364" s="48"/>
      <c r="BD4364" s="48"/>
    </row>
    <row r="4365" spans="1:56">
      <c r="A4365" s="48"/>
      <c r="B4365" s="48"/>
      <c r="C4365" s="49"/>
      <c r="D4365" s="48"/>
      <c r="E4365" s="48"/>
      <c r="F4365" s="48"/>
      <c r="G4365" s="48"/>
      <c r="H4365" s="48"/>
      <c r="I4365" s="48"/>
      <c r="J4365" s="86"/>
      <c r="K4365" s="86"/>
      <c r="L4365" s="86"/>
      <c r="M4365" s="86"/>
      <c r="N4365" s="86"/>
      <c r="O4365" s="86"/>
      <c r="P4365" s="86"/>
      <c r="Q4365" s="86"/>
      <c r="R4365" s="86"/>
      <c r="S4365" s="86"/>
      <c r="T4365" s="86"/>
      <c r="U4365" s="86"/>
      <c r="V4365" s="48"/>
      <c r="W4365" s="48"/>
      <c r="X4365" s="48"/>
      <c r="Y4365" s="48"/>
      <c r="Z4365" s="48"/>
      <c r="AA4365" s="48"/>
      <c r="AB4365" s="48"/>
      <c r="AC4365" s="48"/>
      <c r="AD4365" s="48"/>
      <c r="AE4365" s="48"/>
      <c r="AF4365" s="48"/>
      <c r="AG4365" s="48"/>
      <c r="AH4365" s="48"/>
      <c r="AI4365" s="48"/>
      <c r="AJ4365" s="48"/>
      <c r="AK4365" s="48"/>
      <c r="AL4365" s="48"/>
      <c r="AM4365" s="48"/>
      <c r="AN4365" s="48"/>
      <c r="AO4365" s="48"/>
      <c r="AP4365" s="48"/>
      <c r="AQ4365" s="48"/>
      <c r="AR4365" s="48"/>
      <c r="AS4365" s="48"/>
      <c r="AT4365" s="48"/>
      <c r="AU4365" s="48"/>
      <c r="AV4365" s="48"/>
      <c r="AW4365" s="48"/>
      <c r="AX4365" s="48"/>
      <c r="AY4365" s="48"/>
      <c r="AZ4365" s="48"/>
      <c r="BA4365" s="48"/>
      <c r="BB4365" s="48"/>
      <c r="BC4365" s="48"/>
      <c r="BD4365" s="48"/>
    </row>
    <row r="4366" spans="1:56">
      <c r="A4366" s="48"/>
      <c r="B4366" s="48"/>
      <c r="C4366" s="49"/>
      <c r="D4366" s="48"/>
      <c r="E4366" s="48"/>
      <c r="F4366" s="48"/>
      <c r="G4366" s="48"/>
      <c r="H4366" s="48"/>
      <c r="I4366" s="48"/>
      <c r="J4366" s="86"/>
      <c r="K4366" s="86"/>
      <c r="L4366" s="86"/>
      <c r="M4366" s="86"/>
      <c r="N4366" s="86"/>
      <c r="O4366" s="86"/>
      <c r="P4366" s="86"/>
      <c r="Q4366" s="86"/>
      <c r="R4366" s="86"/>
      <c r="S4366" s="86"/>
      <c r="T4366" s="86"/>
      <c r="U4366" s="86"/>
      <c r="V4366" s="48"/>
      <c r="W4366" s="48"/>
      <c r="X4366" s="48"/>
      <c r="Y4366" s="48"/>
      <c r="Z4366" s="48"/>
      <c r="AA4366" s="48"/>
      <c r="AB4366" s="48"/>
      <c r="AC4366" s="48"/>
      <c r="AD4366" s="48"/>
      <c r="AE4366" s="48"/>
      <c r="AF4366" s="48"/>
      <c r="AG4366" s="48"/>
      <c r="AH4366" s="48"/>
      <c r="AI4366" s="48"/>
      <c r="AJ4366" s="48"/>
      <c r="AK4366" s="48"/>
      <c r="AL4366" s="48"/>
      <c r="AM4366" s="48"/>
      <c r="AN4366" s="48"/>
      <c r="AO4366" s="48"/>
      <c r="AP4366" s="48"/>
      <c r="AQ4366" s="48"/>
      <c r="AR4366" s="48"/>
      <c r="AS4366" s="48"/>
      <c r="AT4366" s="48"/>
      <c r="AU4366" s="48"/>
      <c r="AV4366" s="48"/>
      <c r="AW4366" s="48"/>
      <c r="AX4366" s="48"/>
      <c r="AY4366" s="48"/>
      <c r="AZ4366" s="48"/>
      <c r="BA4366" s="48"/>
      <c r="BB4366" s="48"/>
      <c r="BC4366" s="48"/>
      <c r="BD4366" s="48"/>
    </row>
    <row r="4367" spans="1:56">
      <c r="A4367" s="48"/>
      <c r="B4367" s="48"/>
      <c r="C4367" s="49"/>
      <c r="D4367" s="48"/>
      <c r="E4367" s="48"/>
      <c r="F4367" s="48"/>
      <c r="G4367" s="48"/>
      <c r="H4367" s="48"/>
      <c r="I4367" s="48"/>
      <c r="J4367" s="86"/>
      <c r="K4367" s="86"/>
      <c r="L4367" s="86"/>
      <c r="M4367" s="86"/>
      <c r="N4367" s="86"/>
      <c r="O4367" s="86"/>
      <c r="P4367" s="86"/>
      <c r="Q4367" s="86"/>
      <c r="R4367" s="86"/>
      <c r="S4367" s="86"/>
      <c r="T4367" s="86"/>
      <c r="U4367" s="86"/>
      <c r="V4367" s="48"/>
      <c r="W4367" s="48"/>
      <c r="X4367" s="48"/>
      <c r="Y4367" s="48"/>
      <c r="Z4367" s="48"/>
      <c r="AA4367" s="48"/>
      <c r="AB4367" s="48"/>
      <c r="AC4367" s="48"/>
      <c r="AD4367" s="48"/>
      <c r="AE4367" s="48"/>
      <c r="AF4367" s="48"/>
      <c r="AG4367" s="48"/>
      <c r="AH4367" s="48"/>
      <c r="AI4367" s="48"/>
      <c r="AJ4367" s="48"/>
      <c r="AK4367" s="48"/>
      <c r="AL4367" s="48"/>
      <c r="AM4367" s="48"/>
      <c r="AN4367" s="48"/>
      <c r="AO4367" s="48"/>
      <c r="AP4367" s="48"/>
      <c r="AQ4367" s="48"/>
      <c r="AR4367" s="48"/>
      <c r="AS4367" s="48"/>
      <c r="AT4367" s="48"/>
      <c r="AU4367" s="48"/>
      <c r="AV4367" s="48"/>
      <c r="AW4367" s="48"/>
      <c r="AX4367" s="48"/>
      <c r="AY4367" s="48"/>
      <c r="AZ4367" s="48"/>
      <c r="BA4367" s="48"/>
      <c r="BB4367" s="48"/>
      <c r="BC4367" s="48"/>
      <c r="BD4367" s="48"/>
    </row>
    <row r="4368" spans="1:56">
      <c r="A4368" s="48"/>
      <c r="B4368" s="48"/>
      <c r="C4368" s="49"/>
      <c r="D4368" s="48"/>
      <c r="E4368" s="48"/>
      <c r="F4368" s="48"/>
      <c r="G4368" s="48"/>
      <c r="H4368" s="48"/>
      <c r="I4368" s="48"/>
      <c r="J4368" s="86"/>
      <c r="K4368" s="86"/>
      <c r="L4368" s="86"/>
      <c r="M4368" s="86"/>
      <c r="N4368" s="86"/>
      <c r="O4368" s="86"/>
      <c r="P4368" s="86"/>
      <c r="Q4368" s="86"/>
      <c r="R4368" s="86"/>
      <c r="S4368" s="86"/>
      <c r="T4368" s="86"/>
      <c r="U4368" s="86"/>
      <c r="V4368" s="48"/>
      <c r="W4368" s="48"/>
      <c r="X4368" s="48"/>
      <c r="Y4368" s="48"/>
      <c r="Z4368" s="48"/>
      <c r="AA4368" s="48"/>
      <c r="AB4368" s="48"/>
      <c r="AC4368" s="48"/>
      <c r="AD4368" s="48"/>
      <c r="AE4368" s="48"/>
      <c r="AF4368" s="48"/>
      <c r="AG4368" s="48"/>
      <c r="AH4368" s="48"/>
      <c r="AI4368" s="48"/>
      <c r="AJ4368" s="48"/>
      <c r="AK4368" s="48"/>
      <c r="AL4368" s="48"/>
      <c r="AM4368" s="48"/>
      <c r="AN4368" s="48"/>
      <c r="AO4368" s="48"/>
      <c r="AP4368" s="48"/>
      <c r="AQ4368" s="48"/>
      <c r="AR4368" s="48"/>
      <c r="AS4368" s="48"/>
      <c r="AT4368" s="48"/>
      <c r="AU4368" s="48"/>
      <c r="AV4368" s="48"/>
      <c r="AW4368" s="48"/>
      <c r="AX4368" s="48"/>
      <c r="AY4368" s="48"/>
      <c r="AZ4368" s="48"/>
      <c r="BA4368" s="48"/>
      <c r="BB4368" s="48"/>
      <c r="BC4368" s="48"/>
      <c r="BD4368" s="48"/>
    </row>
    <row r="4369" spans="1:56">
      <c r="A4369" s="48"/>
      <c r="B4369" s="48"/>
      <c r="C4369" s="49"/>
      <c r="D4369" s="48"/>
      <c r="E4369" s="48"/>
      <c r="F4369" s="48"/>
      <c r="G4369" s="48"/>
      <c r="H4369" s="48"/>
      <c r="I4369" s="48"/>
      <c r="J4369" s="86"/>
      <c r="K4369" s="86"/>
      <c r="L4369" s="86"/>
      <c r="M4369" s="86"/>
      <c r="N4369" s="86"/>
      <c r="O4369" s="86"/>
      <c r="P4369" s="86"/>
      <c r="Q4369" s="86"/>
      <c r="R4369" s="86"/>
      <c r="S4369" s="86"/>
      <c r="T4369" s="86"/>
      <c r="U4369" s="86"/>
      <c r="V4369" s="48"/>
      <c r="W4369" s="48"/>
      <c r="X4369" s="48"/>
      <c r="Y4369" s="48"/>
      <c r="Z4369" s="48"/>
      <c r="AA4369" s="48"/>
      <c r="AB4369" s="48"/>
      <c r="AC4369" s="48"/>
      <c r="AD4369" s="48"/>
      <c r="AE4369" s="48"/>
      <c r="AF4369" s="48"/>
      <c r="AG4369" s="48"/>
      <c r="AH4369" s="48"/>
      <c r="AI4369" s="48"/>
      <c r="AJ4369" s="48"/>
      <c r="AK4369" s="48"/>
      <c r="AL4369" s="48"/>
      <c r="AM4369" s="48"/>
      <c r="AN4369" s="48"/>
      <c r="AO4369" s="48"/>
      <c r="AP4369" s="48"/>
      <c r="AQ4369" s="48"/>
      <c r="AR4369" s="48"/>
      <c r="AS4369" s="48"/>
      <c r="AT4369" s="48"/>
      <c r="AU4369" s="48"/>
      <c r="AV4369" s="48"/>
      <c r="AW4369" s="48"/>
      <c r="AX4369" s="48"/>
      <c r="AY4369" s="48"/>
      <c r="AZ4369" s="48"/>
      <c r="BA4369" s="48"/>
      <c r="BB4369" s="48"/>
      <c r="BC4369" s="48"/>
      <c r="BD4369" s="48"/>
    </row>
    <row r="4370" spans="1:56">
      <c r="A4370" s="48"/>
      <c r="B4370" s="48"/>
      <c r="C4370" s="49"/>
      <c r="D4370" s="48"/>
      <c r="E4370" s="48"/>
      <c r="F4370" s="48"/>
      <c r="G4370" s="48"/>
      <c r="H4370" s="48"/>
      <c r="I4370" s="48"/>
      <c r="J4370" s="86"/>
      <c r="K4370" s="86"/>
      <c r="L4370" s="86"/>
      <c r="M4370" s="86"/>
      <c r="N4370" s="86"/>
      <c r="O4370" s="86"/>
      <c r="P4370" s="86"/>
      <c r="Q4370" s="86"/>
      <c r="R4370" s="86"/>
      <c r="S4370" s="86"/>
      <c r="T4370" s="86"/>
      <c r="U4370" s="86"/>
      <c r="V4370" s="48"/>
      <c r="W4370" s="48"/>
      <c r="X4370" s="48"/>
      <c r="Y4370" s="48"/>
      <c r="Z4370" s="48"/>
      <c r="AA4370" s="48"/>
      <c r="AB4370" s="48"/>
      <c r="AC4370" s="48"/>
      <c r="AD4370" s="48"/>
      <c r="AE4370" s="48"/>
      <c r="AF4370" s="48"/>
      <c r="AG4370" s="48"/>
      <c r="AH4370" s="48"/>
      <c r="AI4370" s="48"/>
      <c r="AJ4370" s="48"/>
      <c r="AK4370" s="48"/>
      <c r="AL4370" s="48"/>
      <c r="AM4370" s="48"/>
      <c r="AN4370" s="48"/>
      <c r="AO4370" s="48"/>
      <c r="AP4370" s="48"/>
      <c r="AQ4370" s="48"/>
      <c r="AR4370" s="48"/>
      <c r="AS4370" s="48"/>
      <c r="AT4370" s="48"/>
      <c r="AU4370" s="48"/>
      <c r="AV4370" s="48"/>
      <c r="AW4370" s="48"/>
      <c r="AX4370" s="48"/>
      <c r="AY4370" s="48"/>
      <c r="AZ4370" s="48"/>
      <c r="BA4370" s="48"/>
      <c r="BB4370" s="48"/>
      <c r="BC4370" s="48"/>
      <c r="BD4370" s="48"/>
    </row>
    <row r="4371" spans="1:56">
      <c r="A4371" s="48"/>
      <c r="B4371" s="48"/>
      <c r="C4371" s="49"/>
      <c r="D4371" s="48"/>
      <c r="E4371" s="48"/>
      <c r="F4371" s="48"/>
      <c r="G4371" s="48"/>
      <c r="H4371" s="48"/>
      <c r="I4371" s="48"/>
      <c r="J4371" s="86"/>
      <c r="K4371" s="86"/>
      <c r="L4371" s="86"/>
      <c r="M4371" s="86"/>
      <c r="N4371" s="86"/>
      <c r="O4371" s="86"/>
      <c r="P4371" s="86"/>
      <c r="Q4371" s="86"/>
      <c r="R4371" s="86"/>
      <c r="S4371" s="86"/>
      <c r="T4371" s="86"/>
      <c r="U4371" s="86"/>
      <c r="V4371" s="48"/>
      <c r="W4371" s="48"/>
      <c r="X4371" s="48"/>
      <c r="Y4371" s="48"/>
      <c r="Z4371" s="48"/>
      <c r="AA4371" s="48"/>
      <c r="AB4371" s="48"/>
      <c r="AC4371" s="48"/>
      <c r="AD4371" s="48"/>
      <c r="AE4371" s="48"/>
      <c r="AF4371" s="48"/>
      <c r="AG4371" s="48"/>
      <c r="AH4371" s="48"/>
      <c r="AI4371" s="48"/>
      <c r="AJ4371" s="48"/>
      <c r="AK4371" s="48"/>
      <c r="AL4371" s="48"/>
      <c r="AM4371" s="48"/>
      <c r="AN4371" s="48"/>
      <c r="AO4371" s="48"/>
      <c r="AP4371" s="48"/>
      <c r="AQ4371" s="48"/>
      <c r="AR4371" s="48"/>
      <c r="AS4371" s="48"/>
      <c r="AT4371" s="48"/>
      <c r="AU4371" s="48"/>
      <c r="AV4371" s="48"/>
      <c r="AW4371" s="48"/>
      <c r="AX4371" s="48"/>
      <c r="AY4371" s="48"/>
      <c r="AZ4371" s="48"/>
      <c r="BA4371" s="48"/>
      <c r="BB4371" s="48"/>
      <c r="BC4371" s="48"/>
      <c r="BD4371" s="48"/>
    </row>
    <row r="4372" spans="1:56">
      <c r="A4372" s="48"/>
      <c r="B4372" s="48"/>
      <c r="C4372" s="49"/>
      <c r="D4372" s="48"/>
      <c r="E4372" s="48"/>
      <c r="F4372" s="48"/>
      <c r="G4372" s="48"/>
      <c r="H4372" s="48"/>
      <c r="I4372" s="48"/>
      <c r="J4372" s="86"/>
      <c r="K4372" s="86"/>
      <c r="L4372" s="86"/>
      <c r="M4372" s="86"/>
      <c r="N4372" s="86"/>
      <c r="O4372" s="86"/>
      <c r="P4372" s="86"/>
      <c r="Q4372" s="86"/>
      <c r="R4372" s="86"/>
      <c r="S4372" s="86"/>
      <c r="T4372" s="86"/>
      <c r="U4372" s="86"/>
      <c r="V4372" s="48"/>
      <c r="W4372" s="48"/>
      <c r="X4372" s="48"/>
      <c r="Y4372" s="48"/>
      <c r="Z4372" s="48"/>
      <c r="AA4372" s="48"/>
      <c r="AB4372" s="48"/>
      <c r="AC4372" s="48"/>
      <c r="AD4372" s="48"/>
      <c r="AE4372" s="48"/>
      <c r="AF4372" s="48"/>
      <c r="AG4372" s="48"/>
      <c r="AH4372" s="48"/>
      <c r="AI4372" s="48"/>
      <c r="AJ4372" s="48"/>
      <c r="AK4372" s="48"/>
      <c r="AL4372" s="48"/>
      <c r="AM4372" s="48"/>
      <c r="AN4372" s="48"/>
      <c r="AO4372" s="48"/>
      <c r="AP4372" s="48"/>
      <c r="AQ4372" s="48"/>
      <c r="AR4372" s="48"/>
      <c r="AS4372" s="48"/>
      <c r="AT4372" s="48"/>
      <c r="AU4372" s="48"/>
      <c r="AV4372" s="48"/>
      <c r="AW4372" s="48"/>
      <c r="AX4372" s="48"/>
      <c r="AY4372" s="48"/>
      <c r="AZ4372" s="48"/>
      <c r="BA4372" s="48"/>
      <c r="BB4372" s="48"/>
      <c r="BC4372" s="48"/>
      <c r="BD4372" s="48"/>
    </row>
    <row r="4373" spans="1:56">
      <c r="A4373" s="48"/>
      <c r="B4373" s="48"/>
      <c r="C4373" s="49"/>
      <c r="D4373" s="48"/>
      <c r="E4373" s="48"/>
      <c r="F4373" s="48"/>
      <c r="G4373" s="48"/>
      <c r="H4373" s="48"/>
      <c r="I4373" s="48"/>
      <c r="J4373" s="86"/>
      <c r="K4373" s="86"/>
      <c r="L4373" s="86"/>
      <c r="M4373" s="86"/>
      <c r="N4373" s="86"/>
      <c r="O4373" s="86"/>
      <c r="P4373" s="86"/>
      <c r="Q4373" s="86"/>
      <c r="R4373" s="86"/>
      <c r="S4373" s="86"/>
      <c r="T4373" s="86"/>
      <c r="U4373" s="86"/>
      <c r="V4373" s="48"/>
      <c r="W4373" s="48"/>
      <c r="X4373" s="48"/>
      <c r="Y4373" s="48"/>
      <c r="Z4373" s="48"/>
      <c r="AA4373" s="48"/>
      <c r="AB4373" s="48"/>
      <c r="AC4373" s="48"/>
      <c r="AD4373" s="48"/>
      <c r="AE4373" s="48"/>
      <c r="AF4373" s="48"/>
      <c r="AG4373" s="48"/>
      <c r="AH4373" s="48"/>
      <c r="AI4373" s="48"/>
      <c r="AJ4373" s="48"/>
      <c r="AK4373" s="48"/>
      <c r="AL4373" s="48"/>
      <c r="AM4373" s="48"/>
      <c r="AN4373" s="48"/>
      <c r="AO4373" s="48"/>
      <c r="AP4373" s="48"/>
      <c r="AQ4373" s="48"/>
      <c r="AR4373" s="48"/>
      <c r="AS4373" s="48"/>
      <c r="AT4373" s="48"/>
      <c r="AU4373" s="48"/>
      <c r="AV4373" s="48"/>
      <c r="AW4373" s="48"/>
      <c r="AX4373" s="48"/>
      <c r="AY4373" s="48"/>
      <c r="AZ4373" s="48"/>
      <c r="BA4373" s="48"/>
      <c r="BB4373" s="48"/>
      <c r="BC4373" s="48"/>
      <c r="BD4373" s="48"/>
    </row>
    <row r="4374" spans="1:56">
      <c r="A4374" s="48"/>
      <c r="B4374" s="48"/>
      <c r="C4374" s="49"/>
      <c r="D4374" s="48"/>
      <c r="E4374" s="48"/>
      <c r="F4374" s="48"/>
      <c r="G4374" s="48"/>
      <c r="H4374" s="48"/>
      <c r="I4374" s="48"/>
      <c r="J4374" s="86"/>
      <c r="K4374" s="86"/>
      <c r="L4374" s="86"/>
      <c r="M4374" s="86"/>
      <c r="N4374" s="86"/>
      <c r="O4374" s="86"/>
      <c r="P4374" s="86"/>
      <c r="Q4374" s="86"/>
      <c r="R4374" s="86"/>
      <c r="S4374" s="86"/>
      <c r="T4374" s="86"/>
      <c r="U4374" s="86"/>
      <c r="V4374" s="48"/>
      <c r="W4374" s="48"/>
      <c r="X4374" s="48"/>
      <c r="Y4374" s="48"/>
      <c r="Z4374" s="48"/>
      <c r="AA4374" s="48"/>
      <c r="AB4374" s="48"/>
      <c r="AC4374" s="48"/>
      <c r="AD4374" s="48"/>
      <c r="AE4374" s="48"/>
      <c r="AF4374" s="48"/>
      <c r="AG4374" s="48"/>
      <c r="AH4374" s="48"/>
      <c r="AI4374" s="48"/>
      <c r="AJ4374" s="48"/>
      <c r="AK4374" s="48"/>
      <c r="AL4374" s="48"/>
      <c r="AM4374" s="48"/>
      <c r="AN4374" s="48"/>
      <c r="AO4374" s="48"/>
      <c r="AP4374" s="48"/>
      <c r="AQ4374" s="48"/>
      <c r="AR4374" s="48"/>
      <c r="AS4374" s="48"/>
      <c r="AT4374" s="48"/>
      <c r="AU4374" s="48"/>
      <c r="AV4374" s="48"/>
      <c r="AW4374" s="48"/>
      <c r="AX4374" s="48"/>
      <c r="AY4374" s="48"/>
      <c r="AZ4374" s="48"/>
      <c r="BA4374" s="48"/>
      <c r="BB4374" s="48"/>
      <c r="BC4374" s="48"/>
      <c r="BD4374" s="48"/>
    </row>
    <row r="4375" spans="1:56">
      <c r="A4375" s="48"/>
      <c r="B4375" s="48"/>
      <c r="C4375" s="49"/>
      <c r="D4375" s="48"/>
      <c r="E4375" s="48"/>
      <c r="F4375" s="48"/>
      <c r="G4375" s="48"/>
      <c r="H4375" s="48"/>
      <c r="I4375" s="48"/>
      <c r="J4375" s="86"/>
      <c r="K4375" s="86"/>
      <c r="L4375" s="86"/>
      <c r="M4375" s="86"/>
      <c r="N4375" s="86"/>
      <c r="O4375" s="86"/>
      <c r="P4375" s="86"/>
      <c r="Q4375" s="86"/>
      <c r="R4375" s="86"/>
      <c r="S4375" s="86"/>
      <c r="T4375" s="86"/>
      <c r="U4375" s="86"/>
      <c r="V4375" s="48"/>
      <c r="W4375" s="48"/>
      <c r="X4375" s="48"/>
      <c r="Y4375" s="48"/>
      <c r="Z4375" s="48"/>
      <c r="AA4375" s="48"/>
      <c r="AB4375" s="48"/>
      <c r="AC4375" s="48"/>
      <c r="AD4375" s="48"/>
      <c r="AE4375" s="48"/>
      <c r="AF4375" s="48"/>
      <c r="AG4375" s="48"/>
      <c r="AH4375" s="48"/>
      <c r="AI4375" s="48"/>
      <c r="AJ4375" s="48"/>
      <c r="AK4375" s="48"/>
      <c r="AL4375" s="48"/>
      <c r="AM4375" s="48"/>
      <c r="AN4375" s="48"/>
      <c r="AO4375" s="48"/>
      <c r="AP4375" s="48"/>
      <c r="AQ4375" s="48"/>
      <c r="AR4375" s="48"/>
      <c r="AS4375" s="48"/>
      <c r="AT4375" s="48"/>
      <c r="AU4375" s="48"/>
      <c r="AV4375" s="48"/>
      <c r="AW4375" s="48"/>
      <c r="AX4375" s="48"/>
      <c r="AY4375" s="48"/>
      <c r="AZ4375" s="48"/>
      <c r="BA4375" s="48"/>
      <c r="BB4375" s="48"/>
      <c r="BC4375" s="48"/>
      <c r="BD4375" s="48"/>
    </row>
    <row r="4376" spans="1:56">
      <c r="A4376" s="48"/>
      <c r="B4376" s="48"/>
      <c r="C4376" s="49"/>
      <c r="D4376" s="48"/>
      <c r="E4376" s="48"/>
      <c r="F4376" s="48"/>
      <c r="G4376" s="48"/>
      <c r="H4376" s="48"/>
      <c r="I4376" s="48"/>
      <c r="J4376" s="86"/>
      <c r="K4376" s="86"/>
      <c r="L4376" s="86"/>
      <c r="M4376" s="86"/>
      <c r="N4376" s="86"/>
      <c r="O4376" s="86"/>
      <c r="P4376" s="86"/>
      <c r="Q4376" s="86"/>
      <c r="R4376" s="86"/>
      <c r="S4376" s="86"/>
      <c r="T4376" s="86"/>
      <c r="U4376" s="86"/>
      <c r="V4376" s="48"/>
      <c r="W4376" s="48"/>
      <c r="X4376" s="48"/>
      <c r="Y4376" s="48"/>
      <c r="Z4376" s="48"/>
      <c r="AA4376" s="48"/>
      <c r="AB4376" s="48"/>
      <c r="AC4376" s="48"/>
      <c r="AD4376" s="48"/>
      <c r="AE4376" s="48"/>
      <c r="AF4376" s="48"/>
      <c r="AG4376" s="48"/>
      <c r="AH4376" s="48"/>
      <c r="AI4376" s="48"/>
      <c r="AJ4376" s="48"/>
      <c r="AK4376" s="48"/>
      <c r="AL4376" s="48"/>
      <c r="AM4376" s="48"/>
      <c r="AN4376" s="48"/>
      <c r="AO4376" s="48"/>
      <c r="AP4376" s="48"/>
      <c r="AQ4376" s="48"/>
      <c r="AR4376" s="48"/>
      <c r="AS4376" s="48"/>
      <c r="AT4376" s="48"/>
      <c r="AU4376" s="48"/>
      <c r="AV4376" s="48"/>
      <c r="AW4376" s="48"/>
      <c r="AX4376" s="48"/>
      <c r="AY4376" s="48"/>
      <c r="AZ4376" s="48"/>
      <c r="BA4376" s="48"/>
      <c r="BB4376" s="48"/>
      <c r="BC4376" s="48"/>
      <c r="BD4376" s="48"/>
    </row>
    <row r="4377" spans="1:56">
      <c r="A4377" s="48"/>
      <c r="B4377" s="48"/>
      <c r="C4377" s="49"/>
      <c r="D4377" s="48"/>
      <c r="E4377" s="48"/>
      <c r="F4377" s="48"/>
      <c r="G4377" s="48"/>
      <c r="H4377" s="48"/>
      <c r="I4377" s="48"/>
      <c r="J4377" s="86"/>
      <c r="K4377" s="86"/>
      <c r="L4377" s="86"/>
      <c r="M4377" s="86"/>
      <c r="N4377" s="86"/>
      <c r="O4377" s="86"/>
      <c r="P4377" s="86"/>
      <c r="Q4377" s="86"/>
      <c r="R4377" s="86"/>
      <c r="S4377" s="86"/>
      <c r="T4377" s="86"/>
      <c r="U4377" s="86"/>
      <c r="V4377" s="48"/>
      <c r="W4377" s="48"/>
      <c r="X4377" s="48"/>
      <c r="Y4377" s="48"/>
      <c r="Z4377" s="48"/>
      <c r="AA4377" s="48"/>
      <c r="AB4377" s="48"/>
      <c r="AC4377" s="48"/>
      <c r="AD4377" s="48"/>
      <c r="AE4377" s="48"/>
      <c r="AF4377" s="48"/>
      <c r="AG4377" s="48"/>
      <c r="AH4377" s="48"/>
      <c r="AI4377" s="48"/>
      <c r="AJ4377" s="48"/>
      <c r="AK4377" s="48"/>
      <c r="AL4377" s="48"/>
      <c r="AM4377" s="48"/>
      <c r="AN4377" s="48"/>
      <c r="AO4377" s="48"/>
      <c r="AP4377" s="48"/>
      <c r="AQ4377" s="48"/>
      <c r="AR4377" s="48"/>
      <c r="AS4377" s="48"/>
      <c r="AT4377" s="48"/>
      <c r="AU4377" s="48"/>
      <c r="AV4377" s="48"/>
      <c r="AW4377" s="48"/>
      <c r="AX4377" s="48"/>
      <c r="AY4377" s="48"/>
      <c r="AZ4377" s="48"/>
      <c r="BA4377" s="48"/>
      <c r="BB4377" s="48"/>
      <c r="BC4377" s="48"/>
      <c r="BD4377" s="48"/>
    </row>
    <row r="4378" spans="1:56">
      <c r="A4378" s="48"/>
      <c r="B4378" s="48"/>
      <c r="C4378" s="49"/>
      <c r="D4378" s="48"/>
      <c r="E4378" s="48"/>
      <c r="F4378" s="48"/>
      <c r="G4378" s="48"/>
      <c r="H4378" s="48"/>
      <c r="I4378" s="48"/>
      <c r="J4378" s="86"/>
      <c r="K4378" s="86"/>
      <c r="L4378" s="86"/>
      <c r="M4378" s="86"/>
      <c r="N4378" s="86"/>
      <c r="O4378" s="86"/>
      <c r="P4378" s="86"/>
      <c r="Q4378" s="86"/>
      <c r="R4378" s="86"/>
      <c r="S4378" s="86"/>
      <c r="T4378" s="86"/>
      <c r="U4378" s="86"/>
      <c r="V4378" s="48"/>
      <c r="W4378" s="48"/>
      <c r="X4378" s="48"/>
      <c r="Y4378" s="48"/>
      <c r="Z4378" s="48"/>
      <c r="AA4378" s="48"/>
      <c r="AB4378" s="48"/>
      <c r="AC4378" s="48"/>
      <c r="AD4378" s="48"/>
      <c r="AE4378" s="48"/>
      <c r="AF4378" s="48"/>
      <c r="AG4378" s="48"/>
      <c r="AH4378" s="48"/>
      <c r="AI4378" s="48"/>
      <c r="AJ4378" s="48"/>
      <c r="AK4378" s="48"/>
      <c r="AL4378" s="48"/>
      <c r="AM4378" s="48"/>
      <c r="AN4378" s="48"/>
      <c r="AO4378" s="48"/>
      <c r="AP4378" s="48"/>
      <c r="AQ4378" s="48"/>
      <c r="AR4378" s="48"/>
      <c r="AS4378" s="48"/>
      <c r="AT4378" s="48"/>
      <c r="AU4378" s="48"/>
      <c r="AV4378" s="48"/>
      <c r="AW4378" s="48"/>
      <c r="AX4378" s="48"/>
      <c r="AY4378" s="48"/>
      <c r="AZ4378" s="48"/>
      <c r="BA4378" s="48"/>
      <c r="BB4378" s="48"/>
      <c r="BC4378" s="48"/>
      <c r="BD4378" s="48"/>
    </row>
    <row r="4379" spans="1:56">
      <c r="A4379" s="48"/>
      <c r="B4379" s="48"/>
      <c r="C4379" s="49"/>
      <c r="D4379" s="48"/>
      <c r="E4379" s="48"/>
      <c r="F4379" s="48"/>
      <c r="G4379" s="48"/>
      <c r="H4379" s="48"/>
      <c r="I4379" s="48"/>
      <c r="J4379" s="86"/>
      <c r="K4379" s="86"/>
      <c r="L4379" s="86"/>
      <c r="M4379" s="86"/>
      <c r="N4379" s="86"/>
      <c r="O4379" s="86"/>
      <c r="P4379" s="86"/>
      <c r="Q4379" s="86"/>
      <c r="R4379" s="86"/>
      <c r="S4379" s="86"/>
      <c r="T4379" s="86"/>
      <c r="U4379" s="86"/>
      <c r="V4379" s="48"/>
      <c r="W4379" s="48"/>
      <c r="X4379" s="48"/>
      <c r="Y4379" s="48"/>
      <c r="Z4379" s="48"/>
      <c r="AA4379" s="48"/>
      <c r="AB4379" s="48"/>
      <c r="AC4379" s="48"/>
      <c r="AD4379" s="48"/>
      <c r="AE4379" s="48"/>
      <c r="AF4379" s="48"/>
      <c r="AG4379" s="48"/>
      <c r="AH4379" s="48"/>
      <c r="AI4379" s="48"/>
      <c r="AJ4379" s="48"/>
      <c r="AK4379" s="48"/>
      <c r="AL4379" s="48"/>
      <c r="AM4379" s="48"/>
      <c r="AN4379" s="48"/>
      <c r="AO4379" s="48"/>
      <c r="AP4379" s="48"/>
      <c r="AQ4379" s="48"/>
      <c r="AR4379" s="48"/>
      <c r="AS4379" s="48"/>
      <c r="AT4379" s="48"/>
      <c r="AU4379" s="48"/>
      <c r="AV4379" s="48"/>
      <c r="AW4379" s="48"/>
      <c r="AX4379" s="48"/>
      <c r="AY4379" s="48"/>
      <c r="AZ4379" s="48"/>
      <c r="BA4379" s="48"/>
      <c r="BB4379" s="48"/>
      <c r="BC4379" s="48"/>
      <c r="BD4379" s="48"/>
    </row>
    <row r="4380" spans="1:56">
      <c r="A4380" s="48"/>
      <c r="B4380" s="48"/>
      <c r="C4380" s="49"/>
      <c r="D4380" s="48"/>
      <c r="E4380" s="48"/>
      <c r="F4380" s="48"/>
      <c r="G4380" s="48"/>
      <c r="H4380" s="48"/>
      <c r="I4380" s="48"/>
      <c r="J4380" s="86"/>
      <c r="K4380" s="86"/>
      <c r="L4380" s="86"/>
      <c r="M4380" s="86"/>
      <c r="N4380" s="86"/>
      <c r="O4380" s="86"/>
      <c r="P4380" s="86"/>
      <c r="Q4380" s="86"/>
      <c r="R4380" s="86"/>
      <c r="S4380" s="86"/>
      <c r="T4380" s="86"/>
      <c r="U4380" s="86"/>
      <c r="V4380" s="48"/>
      <c r="W4380" s="48"/>
      <c r="X4380" s="48"/>
      <c r="Y4380" s="48"/>
      <c r="Z4380" s="48"/>
      <c r="AA4380" s="48"/>
      <c r="AB4380" s="48"/>
      <c r="AC4380" s="48"/>
      <c r="AD4380" s="48"/>
      <c r="AE4380" s="48"/>
      <c r="AF4380" s="48"/>
      <c r="AG4380" s="48"/>
      <c r="AH4380" s="48"/>
      <c r="AI4380" s="48"/>
      <c r="AJ4380" s="48"/>
      <c r="AK4380" s="48"/>
      <c r="AL4380" s="48"/>
      <c r="AM4380" s="48"/>
      <c r="AN4380" s="48"/>
      <c r="AO4380" s="48"/>
      <c r="AP4380" s="48"/>
      <c r="AQ4380" s="48"/>
      <c r="AR4380" s="48"/>
      <c r="AS4380" s="48"/>
      <c r="AT4380" s="48"/>
      <c r="AU4380" s="48"/>
      <c r="AV4380" s="48"/>
      <c r="AW4380" s="48"/>
      <c r="AX4380" s="48"/>
      <c r="AY4380" s="48"/>
      <c r="AZ4380" s="48"/>
      <c r="BA4380" s="48"/>
      <c r="BB4380" s="48"/>
      <c r="BC4380" s="48"/>
      <c r="BD4380" s="48"/>
    </row>
    <row r="4381" spans="1:56">
      <c r="A4381" s="48"/>
      <c r="B4381" s="48"/>
      <c r="C4381" s="49"/>
      <c r="D4381" s="48"/>
      <c r="E4381" s="48"/>
      <c r="F4381" s="48"/>
      <c r="G4381" s="48"/>
      <c r="H4381" s="48"/>
      <c r="I4381" s="48"/>
      <c r="J4381" s="86"/>
      <c r="K4381" s="86"/>
      <c r="L4381" s="86"/>
      <c r="M4381" s="86"/>
      <c r="N4381" s="86"/>
      <c r="O4381" s="86"/>
      <c r="P4381" s="86"/>
      <c r="Q4381" s="86"/>
      <c r="R4381" s="86"/>
      <c r="S4381" s="86"/>
      <c r="T4381" s="86"/>
      <c r="U4381" s="86"/>
      <c r="V4381" s="48"/>
      <c r="W4381" s="48"/>
      <c r="X4381" s="48"/>
      <c r="Y4381" s="48"/>
      <c r="Z4381" s="48"/>
      <c r="AA4381" s="48"/>
      <c r="AB4381" s="48"/>
      <c r="AC4381" s="48"/>
      <c r="AD4381" s="48"/>
      <c r="AE4381" s="48"/>
      <c r="AF4381" s="48"/>
      <c r="AG4381" s="48"/>
      <c r="AH4381" s="48"/>
      <c r="AI4381" s="48"/>
      <c r="AJ4381" s="48"/>
      <c r="AK4381" s="48"/>
      <c r="AL4381" s="48"/>
      <c r="AM4381" s="48"/>
      <c r="AN4381" s="48"/>
      <c r="AO4381" s="48"/>
      <c r="AP4381" s="48"/>
      <c r="AQ4381" s="48"/>
      <c r="AR4381" s="48"/>
      <c r="AS4381" s="48"/>
      <c r="AT4381" s="48"/>
      <c r="AU4381" s="48"/>
      <c r="AV4381" s="48"/>
      <c r="AW4381" s="48"/>
      <c r="AX4381" s="48"/>
      <c r="AY4381" s="48"/>
      <c r="AZ4381" s="48"/>
      <c r="BA4381" s="48"/>
      <c r="BB4381" s="48"/>
      <c r="BC4381" s="48"/>
      <c r="BD4381" s="48"/>
    </row>
    <row r="4382" spans="1:56">
      <c r="A4382" s="48"/>
      <c r="B4382" s="48"/>
      <c r="C4382" s="49"/>
      <c r="D4382" s="48"/>
      <c r="E4382" s="48"/>
      <c r="F4382" s="48"/>
      <c r="G4382" s="48"/>
      <c r="H4382" s="48"/>
      <c r="I4382" s="48"/>
      <c r="J4382" s="86"/>
      <c r="K4382" s="86"/>
      <c r="L4382" s="86"/>
      <c r="M4382" s="86"/>
      <c r="N4382" s="86"/>
      <c r="O4382" s="86"/>
      <c r="P4382" s="86"/>
      <c r="Q4382" s="86"/>
      <c r="R4382" s="86"/>
      <c r="S4382" s="86"/>
      <c r="T4382" s="86"/>
      <c r="U4382" s="86"/>
      <c r="V4382" s="48"/>
      <c r="W4382" s="48"/>
      <c r="X4382" s="48"/>
      <c r="Y4382" s="48"/>
      <c r="Z4382" s="48"/>
      <c r="AA4382" s="48"/>
      <c r="AB4382" s="48"/>
      <c r="AC4382" s="48"/>
      <c r="AD4382" s="48"/>
      <c r="AE4382" s="48"/>
      <c r="AF4382" s="48"/>
      <c r="AG4382" s="48"/>
      <c r="AH4382" s="48"/>
      <c r="AI4382" s="48"/>
      <c r="AJ4382" s="48"/>
      <c r="AK4382" s="48"/>
      <c r="AL4382" s="48"/>
      <c r="AM4382" s="48"/>
      <c r="AN4382" s="48"/>
      <c r="AO4382" s="48"/>
      <c r="AP4382" s="48"/>
      <c r="AQ4382" s="48"/>
      <c r="AR4382" s="48"/>
      <c r="AS4382" s="48"/>
      <c r="AT4382" s="48"/>
      <c r="AU4382" s="48"/>
      <c r="AV4382" s="48"/>
      <c r="AW4382" s="48"/>
      <c r="AX4382" s="48"/>
      <c r="AY4382" s="48"/>
      <c r="AZ4382" s="48"/>
      <c r="BA4382" s="48"/>
      <c r="BB4382" s="48"/>
      <c r="BC4382" s="48"/>
      <c r="BD4382" s="48"/>
    </row>
    <row r="4383" spans="1:56">
      <c r="A4383" s="48"/>
      <c r="B4383" s="48"/>
      <c r="C4383" s="49"/>
      <c r="D4383" s="48"/>
      <c r="E4383" s="48"/>
      <c r="F4383" s="48"/>
      <c r="G4383" s="48"/>
      <c r="H4383" s="48"/>
      <c r="I4383" s="48"/>
      <c r="J4383" s="86"/>
      <c r="K4383" s="86"/>
      <c r="L4383" s="86"/>
      <c r="M4383" s="86"/>
      <c r="N4383" s="86"/>
      <c r="O4383" s="86"/>
      <c r="P4383" s="86"/>
      <c r="Q4383" s="86"/>
      <c r="R4383" s="86"/>
      <c r="S4383" s="86"/>
      <c r="T4383" s="86"/>
      <c r="U4383" s="86"/>
      <c r="V4383" s="48"/>
      <c r="W4383" s="48"/>
      <c r="X4383" s="48"/>
      <c r="Y4383" s="48"/>
      <c r="Z4383" s="48"/>
      <c r="AA4383" s="48"/>
      <c r="AB4383" s="48"/>
      <c r="AC4383" s="48"/>
      <c r="AD4383" s="48"/>
      <c r="AE4383" s="48"/>
      <c r="AF4383" s="48"/>
      <c r="AG4383" s="48"/>
      <c r="AH4383" s="48"/>
      <c r="AI4383" s="48"/>
      <c r="AJ4383" s="48"/>
      <c r="AK4383" s="48"/>
      <c r="AL4383" s="48"/>
      <c r="AM4383" s="48"/>
      <c r="AN4383" s="48"/>
      <c r="AO4383" s="48"/>
      <c r="AP4383" s="48"/>
      <c r="AQ4383" s="48"/>
      <c r="AR4383" s="48"/>
      <c r="AS4383" s="48"/>
      <c r="AT4383" s="48"/>
      <c r="AU4383" s="48"/>
      <c r="AV4383" s="48"/>
      <c r="AW4383" s="48"/>
      <c r="AX4383" s="48"/>
      <c r="AY4383" s="48"/>
      <c r="AZ4383" s="48"/>
      <c r="BA4383" s="48"/>
      <c r="BB4383" s="48"/>
      <c r="BC4383" s="48"/>
      <c r="BD4383" s="48"/>
    </row>
    <row r="4384" spans="1:56">
      <c r="A4384" s="48"/>
      <c r="B4384" s="48"/>
      <c r="C4384" s="49"/>
      <c r="D4384" s="48"/>
      <c r="E4384" s="48"/>
      <c r="F4384" s="48"/>
      <c r="G4384" s="48"/>
      <c r="H4384" s="48"/>
      <c r="I4384" s="48"/>
      <c r="J4384" s="86"/>
      <c r="K4384" s="86"/>
      <c r="L4384" s="86"/>
      <c r="M4384" s="86"/>
      <c r="N4384" s="86"/>
      <c r="O4384" s="86"/>
      <c r="P4384" s="86"/>
      <c r="Q4384" s="86"/>
      <c r="R4384" s="86"/>
      <c r="S4384" s="86"/>
      <c r="T4384" s="86"/>
      <c r="U4384" s="86"/>
      <c r="V4384" s="48"/>
      <c r="W4384" s="48"/>
      <c r="X4384" s="48"/>
      <c r="Y4384" s="48"/>
      <c r="Z4384" s="48"/>
      <c r="AA4384" s="48"/>
      <c r="AB4384" s="48"/>
      <c r="AC4384" s="48"/>
      <c r="AD4384" s="48"/>
      <c r="AE4384" s="48"/>
      <c r="AF4384" s="48"/>
      <c r="AG4384" s="48"/>
      <c r="AH4384" s="48"/>
      <c r="AI4384" s="48"/>
      <c r="AJ4384" s="48"/>
      <c r="AK4384" s="48"/>
      <c r="AL4384" s="48"/>
      <c r="AM4384" s="48"/>
      <c r="AN4384" s="48"/>
      <c r="AO4384" s="48"/>
      <c r="AP4384" s="48"/>
      <c r="AQ4384" s="48"/>
      <c r="AR4384" s="48"/>
      <c r="AS4384" s="48"/>
      <c r="AT4384" s="48"/>
      <c r="AU4384" s="48"/>
      <c r="AV4384" s="48"/>
      <c r="AW4384" s="48"/>
      <c r="AX4384" s="48"/>
      <c r="AY4384" s="48"/>
      <c r="AZ4384" s="48"/>
      <c r="BA4384" s="48"/>
      <c r="BB4384" s="48"/>
      <c r="BC4384" s="48"/>
      <c r="BD4384" s="48"/>
    </row>
    <row r="4385" spans="1:56">
      <c r="A4385" s="48"/>
      <c r="B4385" s="48"/>
      <c r="C4385" s="49"/>
      <c r="D4385" s="48"/>
      <c r="E4385" s="48"/>
      <c r="F4385" s="48"/>
      <c r="G4385" s="48"/>
      <c r="H4385" s="48"/>
      <c r="I4385" s="48"/>
      <c r="J4385" s="86"/>
      <c r="K4385" s="86"/>
      <c r="L4385" s="86"/>
      <c r="M4385" s="86"/>
      <c r="N4385" s="86"/>
      <c r="O4385" s="86"/>
      <c r="P4385" s="86"/>
      <c r="Q4385" s="86"/>
      <c r="R4385" s="86"/>
      <c r="S4385" s="86"/>
      <c r="T4385" s="86"/>
      <c r="U4385" s="86"/>
      <c r="V4385" s="48"/>
      <c r="W4385" s="48"/>
      <c r="X4385" s="48"/>
      <c r="Y4385" s="48"/>
      <c r="Z4385" s="48"/>
      <c r="AA4385" s="48"/>
      <c r="AB4385" s="48"/>
      <c r="AC4385" s="48"/>
      <c r="AD4385" s="48"/>
      <c r="AE4385" s="48"/>
      <c r="AF4385" s="48"/>
      <c r="AG4385" s="48"/>
      <c r="AH4385" s="48"/>
      <c r="AI4385" s="48"/>
      <c r="AJ4385" s="48"/>
      <c r="AK4385" s="48"/>
      <c r="AL4385" s="48"/>
      <c r="AM4385" s="48"/>
      <c r="AN4385" s="48"/>
      <c r="AO4385" s="48"/>
      <c r="AP4385" s="48"/>
      <c r="AQ4385" s="48"/>
      <c r="AR4385" s="48"/>
      <c r="AS4385" s="48"/>
      <c r="AT4385" s="48"/>
      <c r="AU4385" s="48"/>
      <c r="AV4385" s="48"/>
      <c r="AW4385" s="48"/>
      <c r="AX4385" s="48"/>
      <c r="AY4385" s="48"/>
      <c r="AZ4385" s="48"/>
      <c r="BA4385" s="48"/>
      <c r="BB4385" s="48"/>
      <c r="BC4385" s="48"/>
      <c r="BD4385" s="48"/>
    </row>
    <row r="4386" spans="1:56">
      <c r="A4386" s="48"/>
      <c r="B4386" s="48"/>
      <c r="C4386" s="49"/>
      <c r="D4386" s="48"/>
      <c r="E4386" s="48"/>
      <c r="F4386" s="48"/>
      <c r="G4386" s="48"/>
      <c r="H4386" s="48"/>
      <c r="I4386" s="48"/>
      <c r="J4386" s="86"/>
      <c r="K4386" s="86"/>
      <c r="L4386" s="86"/>
      <c r="M4386" s="86"/>
      <c r="N4386" s="86"/>
      <c r="O4386" s="86"/>
      <c r="P4386" s="86"/>
      <c r="Q4386" s="86"/>
      <c r="R4386" s="86"/>
      <c r="S4386" s="86"/>
      <c r="T4386" s="86"/>
      <c r="U4386" s="86"/>
      <c r="V4386" s="48"/>
      <c r="W4386" s="48"/>
      <c r="X4386" s="48"/>
      <c r="Y4386" s="48"/>
      <c r="Z4386" s="48"/>
      <c r="AA4386" s="48"/>
      <c r="AB4386" s="48"/>
      <c r="AC4386" s="48"/>
      <c r="AD4386" s="48"/>
      <c r="AE4386" s="48"/>
      <c r="AF4386" s="48"/>
      <c r="AG4386" s="48"/>
      <c r="AH4386" s="48"/>
      <c r="AI4386" s="48"/>
      <c r="AJ4386" s="48"/>
      <c r="AK4386" s="48"/>
      <c r="AL4386" s="48"/>
      <c r="AM4386" s="48"/>
      <c r="AN4386" s="48"/>
      <c r="AO4386" s="48"/>
      <c r="AP4386" s="48"/>
      <c r="AQ4386" s="48"/>
      <c r="AR4386" s="48"/>
      <c r="AS4386" s="48"/>
      <c r="AT4386" s="48"/>
      <c r="AU4386" s="48"/>
      <c r="AV4386" s="48"/>
      <c r="AW4386" s="48"/>
      <c r="AX4386" s="48"/>
      <c r="AY4386" s="48"/>
      <c r="AZ4386" s="48"/>
      <c r="BA4386" s="48"/>
      <c r="BB4386" s="48"/>
      <c r="BC4386" s="48"/>
      <c r="BD4386" s="48"/>
    </row>
    <row r="4387" spans="1:56">
      <c r="A4387" s="48"/>
      <c r="B4387" s="48"/>
      <c r="C4387" s="49"/>
      <c r="D4387" s="48"/>
      <c r="E4387" s="48"/>
      <c r="F4387" s="48"/>
      <c r="G4387" s="48"/>
      <c r="H4387" s="48"/>
      <c r="I4387" s="48"/>
      <c r="J4387" s="86"/>
      <c r="K4387" s="86"/>
      <c r="L4387" s="86"/>
      <c r="M4387" s="86"/>
      <c r="N4387" s="86"/>
      <c r="O4387" s="86"/>
      <c r="P4387" s="86"/>
      <c r="Q4387" s="86"/>
      <c r="R4387" s="86"/>
      <c r="S4387" s="86"/>
      <c r="T4387" s="86"/>
      <c r="U4387" s="86"/>
      <c r="V4387" s="48"/>
      <c r="W4387" s="48"/>
      <c r="X4387" s="48"/>
      <c r="Y4387" s="48"/>
      <c r="Z4387" s="48"/>
      <c r="AA4387" s="48"/>
      <c r="AB4387" s="48"/>
      <c r="AC4387" s="48"/>
      <c r="AD4387" s="48"/>
      <c r="AE4387" s="48"/>
      <c r="AF4387" s="48"/>
      <c r="AG4387" s="48"/>
      <c r="AH4387" s="48"/>
      <c r="AI4387" s="48"/>
      <c r="AJ4387" s="48"/>
      <c r="AK4387" s="48"/>
      <c r="AL4387" s="48"/>
      <c r="AM4387" s="48"/>
      <c r="AN4387" s="48"/>
      <c r="AO4387" s="48"/>
      <c r="AP4387" s="48"/>
      <c r="AQ4387" s="48"/>
      <c r="AR4387" s="48"/>
      <c r="AS4387" s="48"/>
      <c r="AT4387" s="48"/>
      <c r="AU4387" s="48"/>
      <c r="AV4387" s="48"/>
      <c r="AW4387" s="48"/>
      <c r="AX4387" s="48"/>
      <c r="AY4387" s="48"/>
      <c r="AZ4387" s="48"/>
      <c r="BA4387" s="48"/>
      <c r="BB4387" s="48"/>
      <c r="BC4387" s="48"/>
      <c r="BD4387" s="48"/>
    </row>
    <row r="4388" spans="1:56">
      <c r="A4388" s="48"/>
      <c r="B4388" s="48"/>
      <c r="C4388" s="49"/>
      <c r="D4388" s="48"/>
      <c r="E4388" s="48"/>
      <c r="F4388" s="48"/>
      <c r="G4388" s="48"/>
      <c r="H4388" s="48"/>
      <c r="I4388" s="48"/>
      <c r="J4388" s="86"/>
      <c r="K4388" s="86"/>
      <c r="L4388" s="86"/>
      <c r="M4388" s="86"/>
      <c r="N4388" s="86"/>
      <c r="O4388" s="86"/>
      <c r="P4388" s="86"/>
      <c r="Q4388" s="86"/>
      <c r="R4388" s="86"/>
      <c r="S4388" s="86"/>
      <c r="T4388" s="86"/>
      <c r="U4388" s="86"/>
      <c r="V4388" s="48"/>
      <c r="W4388" s="48"/>
      <c r="X4388" s="48"/>
      <c r="Y4388" s="48"/>
      <c r="Z4388" s="48"/>
      <c r="AA4388" s="48"/>
      <c r="AB4388" s="48"/>
      <c r="AC4388" s="48"/>
      <c r="AD4388" s="48"/>
      <c r="AE4388" s="48"/>
      <c r="AF4388" s="48"/>
      <c r="AG4388" s="48"/>
      <c r="AH4388" s="48"/>
      <c r="AI4388" s="48"/>
      <c r="AJ4388" s="48"/>
      <c r="AK4388" s="48"/>
      <c r="AL4388" s="48"/>
      <c r="AM4388" s="48"/>
      <c r="AN4388" s="48"/>
      <c r="AO4388" s="48"/>
      <c r="AP4388" s="48"/>
      <c r="AQ4388" s="48"/>
      <c r="AR4388" s="48"/>
      <c r="AS4388" s="48"/>
      <c r="AT4388" s="48"/>
      <c r="AU4388" s="48"/>
      <c r="AV4388" s="48"/>
      <c r="AW4388" s="48"/>
      <c r="AX4388" s="48"/>
      <c r="AY4388" s="48"/>
      <c r="AZ4388" s="48"/>
      <c r="BA4388" s="48"/>
      <c r="BB4388" s="48"/>
      <c r="BC4388" s="48"/>
      <c r="BD4388" s="48"/>
    </row>
    <row r="4389" spans="1:56">
      <c r="A4389" s="48"/>
      <c r="B4389" s="48"/>
      <c r="C4389" s="49"/>
      <c r="D4389" s="48"/>
      <c r="E4389" s="48"/>
      <c r="F4389" s="48"/>
      <c r="G4389" s="48"/>
      <c r="H4389" s="48"/>
      <c r="I4389" s="48"/>
      <c r="J4389" s="86"/>
      <c r="K4389" s="86"/>
      <c r="L4389" s="86"/>
      <c r="M4389" s="86"/>
      <c r="N4389" s="86"/>
      <c r="O4389" s="86"/>
      <c r="P4389" s="86"/>
      <c r="Q4389" s="86"/>
      <c r="R4389" s="86"/>
      <c r="S4389" s="86"/>
      <c r="T4389" s="86"/>
      <c r="U4389" s="86"/>
      <c r="V4389" s="48"/>
      <c r="W4389" s="48"/>
      <c r="X4389" s="48"/>
      <c r="Y4389" s="48"/>
      <c r="Z4389" s="48"/>
      <c r="AA4389" s="48"/>
      <c r="AB4389" s="48"/>
      <c r="AC4389" s="48"/>
      <c r="AD4389" s="48"/>
      <c r="AE4389" s="48"/>
      <c r="AF4389" s="48"/>
      <c r="AG4389" s="48"/>
      <c r="AH4389" s="48"/>
      <c r="AI4389" s="48"/>
      <c r="AJ4389" s="48"/>
      <c r="AK4389" s="48"/>
      <c r="AL4389" s="48"/>
      <c r="AM4389" s="48"/>
      <c r="AN4389" s="48"/>
      <c r="AO4389" s="48"/>
      <c r="AP4389" s="48"/>
      <c r="AQ4389" s="48"/>
      <c r="AR4389" s="48"/>
      <c r="AS4389" s="48"/>
      <c r="AT4389" s="48"/>
      <c r="AU4389" s="48"/>
      <c r="AV4389" s="48"/>
      <c r="AW4389" s="48"/>
      <c r="AX4389" s="48"/>
      <c r="AY4389" s="48"/>
      <c r="AZ4389" s="48"/>
      <c r="BA4389" s="48"/>
      <c r="BB4389" s="48"/>
      <c r="BC4389" s="48"/>
      <c r="BD4389" s="48"/>
    </row>
    <row r="4390" spans="1:56">
      <c r="A4390" s="48"/>
      <c r="B4390" s="48"/>
      <c r="C4390" s="49"/>
      <c r="D4390" s="48"/>
      <c r="E4390" s="48"/>
      <c r="F4390" s="48"/>
      <c r="G4390" s="48"/>
      <c r="H4390" s="48"/>
      <c r="I4390" s="48"/>
      <c r="J4390" s="86"/>
      <c r="K4390" s="86"/>
      <c r="L4390" s="86"/>
      <c r="M4390" s="86"/>
      <c r="N4390" s="86"/>
      <c r="O4390" s="86"/>
      <c r="P4390" s="86"/>
      <c r="Q4390" s="86"/>
      <c r="R4390" s="86"/>
      <c r="S4390" s="86"/>
      <c r="T4390" s="86"/>
      <c r="U4390" s="86"/>
      <c r="V4390" s="48"/>
      <c r="W4390" s="48"/>
      <c r="X4390" s="48"/>
      <c r="Y4390" s="48"/>
      <c r="Z4390" s="48"/>
      <c r="AA4390" s="48"/>
      <c r="AB4390" s="48"/>
      <c r="AC4390" s="48"/>
      <c r="AD4390" s="48"/>
      <c r="AE4390" s="48"/>
      <c r="AF4390" s="48"/>
      <c r="AG4390" s="48"/>
      <c r="AH4390" s="48"/>
      <c r="AI4390" s="48"/>
      <c r="AJ4390" s="48"/>
      <c r="AK4390" s="48"/>
      <c r="AL4390" s="48"/>
      <c r="AM4390" s="48"/>
      <c r="AN4390" s="48"/>
      <c r="AO4390" s="48"/>
      <c r="AP4390" s="48"/>
      <c r="AQ4390" s="48"/>
      <c r="AR4390" s="48"/>
      <c r="AS4390" s="48"/>
      <c r="AT4390" s="48"/>
      <c r="AU4390" s="48"/>
      <c r="AV4390" s="48"/>
      <c r="AW4390" s="48"/>
      <c r="AX4390" s="48"/>
      <c r="AY4390" s="48"/>
      <c r="AZ4390" s="48"/>
      <c r="BA4390" s="48"/>
      <c r="BB4390" s="48"/>
      <c r="BC4390" s="48"/>
      <c r="BD4390" s="48"/>
    </row>
    <row r="4391" spans="1:56">
      <c r="A4391" s="48"/>
      <c r="B4391" s="48"/>
      <c r="C4391" s="49"/>
      <c r="D4391" s="48"/>
      <c r="E4391" s="48"/>
      <c r="F4391" s="48"/>
      <c r="G4391" s="48"/>
      <c r="H4391" s="48"/>
      <c r="I4391" s="48"/>
      <c r="J4391" s="86"/>
      <c r="K4391" s="86"/>
      <c r="L4391" s="86"/>
      <c r="M4391" s="86"/>
      <c r="N4391" s="86"/>
      <c r="O4391" s="86"/>
      <c r="P4391" s="86"/>
      <c r="Q4391" s="86"/>
      <c r="R4391" s="86"/>
      <c r="S4391" s="86"/>
      <c r="T4391" s="86"/>
      <c r="U4391" s="86"/>
      <c r="V4391" s="48"/>
      <c r="W4391" s="48"/>
      <c r="X4391" s="48"/>
      <c r="Y4391" s="48"/>
      <c r="Z4391" s="48"/>
      <c r="AA4391" s="48"/>
      <c r="AB4391" s="48"/>
      <c r="AC4391" s="48"/>
      <c r="AD4391" s="48"/>
      <c r="AE4391" s="48"/>
      <c r="AF4391" s="48"/>
      <c r="AG4391" s="48"/>
      <c r="AH4391" s="48"/>
      <c r="AI4391" s="48"/>
      <c r="AJ4391" s="48"/>
      <c r="AK4391" s="48"/>
      <c r="AL4391" s="48"/>
      <c r="AM4391" s="48"/>
      <c r="AN4391" s="48"/>
      <c r="AO4391" s="48"/>
      <c r="AP4391" s="48"/>
      <c r="AQ4391" s="48"/>
      <c r="AR4391" s="48"/>
      <c r="AS4391" s="48"/>
      <c r="AT4391" s="48"/>
      <c r="AU4391" s="48"/>
      <c r="AV4391" s="48"/>
      <c r="AW4391" s="48"/>
      <c r="AX4391" s="48"/>
      <c r="AY4391" s="48"/>
      <c r="AZ4391" s="48"/>
      <c r="BA4391" s="48"/>
      <c r="BB4391" s="48"/>
      <c r="BC4391" s="48"/>
      <c r="BD4391" s="48"/>
    </row>
    <row r="4392" spans="1:56">
      <c r="A4392" s="48"/>
      <c r="B4392" s="48"/>
      <c r="C4392" s="49"/>
      <c r="D4392" s="48"/>
      <c r="E4392" s="48"/>
      <c r="F4392" s="48"/>
      <c r="G4392" s="48"/>
      <c r="H4392" s="48"/>
      <c r="I4392" s="48"/>
      <c r="J4392" s="86"/>
      <c r="K4392" s="86"/>
      <c r="L4392" s="86"/>
      <c r="M4392" s="86"/>
      <c r="N4392" s="86"/>
      <c r="O4392" s="86"/>
      <c r="P4392" s="86"/>
      <c r="Q4392" s="86"/>
      <c r="R4392" s="86"/>
      <c r="S4392" s="86"/>
      <c r="T4392" s="86"/>
      <c r="U4392" s="86"/>
      <c r="V4392" s="48"/>
      <c r="W4392" s="48"/>
      <c r="X4392" s="48"/>
      <c r="Y4392" s="48"/>
      <c r="Z4392" s="48"/>
      <c r="AA4392" s="48"/>
      <c r="AB4392" s="48"/>
      <c r="AC4392" s="48"/>
      <c r="AD4392" s="48"/>
      <c r="AE4392" s="48"/>
      <c r="AF4392" s="48"/>
      <c r="AG4392" s="48"/>
      <c r="AH4392" s="48"/>
      <c r="AI4392" s="48"/>
      <c r="AJ4392" s="48"/>
      <c r="AK4392" s="48"/>
      <c r="AL4392" s="48"/>
      <c r="AM4392" s="48"/>
      <c r="AN4392" s="48"/>
      <c r="AO4392" s="48"/>
      <c r="AP4392" s="48"/>
      <c r="AQ4392" s="48"/>
      <c r="AR4392" s="48"/>
      <c r="AS4392" s="48"/>
      <c r="AT4392" s="48"/>
      <c r="AU4392" s="48"/>
      <c r="AV4392" s="48"/>
      <c r="AW4392" s="48"/>
      <c r="AX4392" s="48"/>
      <c r="AY4392" s="48"/>
      <c r="AZ4392" s="48"/>
      <c r="BA4392" s="48"/>
      <c r="BB4392" s="48"/>
      <c r="BC4392" s="48"/>
      <c r="BD4392" s="48"/>
    </row>
    <row r="4393" spans="1:56">
      <c r="A4393" s="48"/>
      <c r="B4393" s="48"/>
      <c r="C4393" s="49"/>
      <c r="D4393" s="48"/>
      <c r="E4393" s="48"/>
      <c r="F4393" s="48"/>
      <c r="G4393" s="48"/>
      <c r="H4393" s="48"/>
      <c r="I4393" s="48"/>
      <c r="J4393" s="86"/>
      <c r="K4393" s="86"/>
      <c r="L4393" s="86"/>
      <c r="M4393" s="86"/>
      <c r="N4393" s="86"/>
      <c r="O4393" s="86"/>
      <c r="P4393" s="86"/>
      <c r="Q4393" s="86"/>
      <c r="R4393" s="86"/>
      <c r="S4393" s="86"/>
      <c r="T4393" s="86"/>
      <c r="U4393" s="86"/>
      <c r="V4393" s="48"/>
      <c r="W4393" s="48"/>
      <c r="X4393" s="48"/>
      <c r="Y4393" s="48"/>
      <c r="Z4393" s="48"/>
      <c r="AA4393" s="48"/>
      <c r="AB4393" s="48"/>
      <c r="AC4393" s="48"/>
      <c r="AD4393" s="48"/>
      <c r="AE4393" s="48"/>
      <c r="AF4393" s="48"/>
      <c r="AG4393" s="48"/>
      <c r="AH4393" s="48"/>
      <c r="AI4393" s="48"/>
      <c r="AJ4393" s="48"/>
      <c r="AK4393" s="48"/>
      <c r="AL4393" s="48"/>
      <c r="AM4393" s="48"/>
      <c r="AN4393" s="48"/>
      <c r="AO4393" s="48"/>
      <c r="AP4393" s="48"/>
      <c r="AQ4393" s="48"/>
      <c r="AR4393" s="48"/>
      <c r="AS4393" s="48"/>
      <c r="AT4393" s="48"/>
      <c r="AU4393" s="48"/>
      <c r="AV4393" s="48"/>
      <c r="AW4393" s="48"/>
      <c r="AX4393" s="48"/>
      <c r="AY4393" s="48"/>
      <c r="AZ4393" s="48"/>
      <c r="BA4393" s="48"/>
      <c r="BB4393" s="48"/>
      <c r="BC4393" s="48"/>
      <c r="BD4393" s="48"/>
    </row>
    <row r="4394" spans="1:56">
      <c r="A4394" s="48"/>
      <c r="B4394" s="48"/>
      <c r="C4394" s="49"/>
      <c r="D4394" s="48"/>
      <c r="E4394" s="48"/>
      <c r="F4394" s="48"/>
      <c r="G4394" s="48"/>
      <c r="H4394" s="48"/>
      <c r="I4394" s="48"/>
      <c r="J4394" s="86"/>
      <c r="K4394" s="86"/>
      <c r="L4394" s="86"/>
      <c r="M4394" s="86"/>
      <c r="N4394" s="86"/>
      <c r="O4394" s="86"/>
      <c r="P4394" s="86"/>
      <c r="Q4394" s="86"/>
      <c r="R4394" s="86"/>
      <c r="S4394" s="86"/>
      <c r="T4394" s="86"/>
      <c r="U4394" s="86"/>
      <c r="V4394" s="48"/>
      <c r="W4394" s="48"/>
      <c r="X4394" s="48"/>
      <c r="Y4394" s="48"/>
      <c r="Z4394" s="48"/>
      <c r="AA4394" s="48"/>
      <c r="AB4394" s="48"/>
      <c r="AC4394" s="48"/>
      <c r="AD4394" s="48"/>
      <c r="AE4394" s="48"/>
      <c r="AF4394" s="48"/>
      <c r="AG4394" s="48"/>
      <c r="AH4394" s="48"/>
      <c r="AI4394" s="48"/>
      <c r="AJ4394" s="48"/>
      <c r="AK4394" s="48"/>
      <c r="AL4394" s="48"/>
      <c r="AM4394" s="48"/>
      <c r="AN4394" s="48"/>
      <c r="AO4394" s="48"/>
      <c r="AP4394" s="48"/>
      <c r="AQ4394" s="48"/>
      <c r="AR4394" s="48"/>
      <c r="AS4394" s="48"/>
      <c r="AT4394" s="48"/>
      <c r="AU4394" s="48"/>
      <c r="AV4394" s="48"/>
      <c r="AW4394" s="48"/>
      <c r="AX4394" s="48"/>
      <c r="AY4394" s="48"/>
      <c r="AZ4394" s="48"/>
      <c r="BA4394" s="48"/>
      <c r="BB4394" s="48"/>
      <c r="BC4394" s="48"/>
      <c r="BD4394" s="48"/>
    </row>
    <row r="4395" spans="1:56">
      <c r="A4395" s="48"/>
      <c r="B4395" s="48"/>
      <c r="C4395" s="49"/>
      <c r="D4395" s="48"/>
      <c r="E4395" s="48"/>
      <c r="F4395" s="48"/>
      <c r="G4395" s="48"/>
      <c r="H4395" s="48"/>
      <c r="I4395" s="48"/>
      <c r="J4395" s="86"/>
      <c r="K4395" s="86"/>
      <c r="L4395" s="86"/>
      <c r="M4395" s="86"/>
      <c r="N4395" s="86"/>
      <c r="O4395" s="86"/>
      <c r="P4395" s="86"/>
      <c r="Q4395" s="86"/>
      <c r="R4395" s="86"/>
      <c r="S4395" s="86"/>
      <c r="T4395" s="86"/>
      <c r="U4395" s="86"/>
      <c r="V4395" s="48"/>
      <c r="W4395" s="48"/>
      <c r="X4395" s="48"/>
      <c r="Y4395" s="48"/>
      <c r="Z4395" s="48"/>
      <c r="AA4395" s="48"/>
      <c r="AB4395" s="48"/>
      <c r="AC4395" s="48"/>
      <c r="AD4395" s="48"/>
      <c r="AE4395" s="48"/>
      <c r="AF4395" s="48"/>
      <c r="AG4395" s="48"/>
      <c r="AH4395" s="48"/>
      <c r="AI4395" s="48"/>
      <c r="AJ4395" s="48"/>
      <c r="AK4395" s="48"/>
      <c r="AL4395" s="48"/>
      <c r="AM4395" s="48"/>
      <c r="AN4395" s="48"/>
      <c r="AO4395" s="48"/>
      <c r="AP4395" s="48"/>
      <c r="AQ4395" s="48"/>
      <c r="AR4395" s="48"/>
      <c r="AS4395" s="48"/>
      <c r="AT4395" s="48"/>
      <c r="AU4395" s="48"/>
      <c r="AV4395" s="48"/>
      <c r="AW4395" s="48"/>
      <c r="AX4395" s="48"/>
      <c r="AY4395" s="48"/>
      <c r="AZ4395" s="48"/>
      <c r="BA4395" s="48"/>
      <c r="BB4395" s="48"/>
      <c r="BC4395" s="48"/>
      <c r="BD4395" s="48"/>
    </row>
    <row r="4396" spans="1:56">
      <c r="A4396" s="48"/>
      <c r="B4396" s="48"/>
      <c r="C4396" s="49"/>
      <c r="D4396" s="48"/>
      <c r="E4396" s="48"/>
      <c r="F4396" s="48"/>
      <c r="G4396" s="48"/>
      <c r="H4396" s="48"/>
      <c r="I4396" s="48"/>
      <c r="J4396" s="86"/>
      <c r="K4396" s="86"/>
      <c r="L4396" s="86"/>
      <c r="M4396" s="86"/>
      <c r="N4396" s="86"/>
      <c r="O4396" s="86"/>
      <c r="P4396" s="86"/>
      <c r="Q4396" s="86"/>
      <c r="R4396" s="86"/>
      <c r="S4396" s="86"/>
      <c r="T4396" s="86"/>
      <c r="U4396" s="86"/>
      <c r="V4396" s="48"/>
      <c r="W4396" s="48"/>
      <c r="X4396" s="48"/>
      <c r="Y4396" s="48"/>
      <c r="Z4396" s="48"/>
      <c r="AA4396" s="48"/>
      <c r="AB4396" s="48"/>
      <c r="AC4396" s="48"/>
      <c r="AD4396" s="48"/>
      <c r="AE4396" s="48"/>
      <c r="AF4396" s="48"/>
      <c r="AG4396" s="48"/>
      <c r="AH4396" s="48"/>
      <c r="AI4396" s="48"/>
      <c r="AJ4396" s="48"/>
      <c r="AK4396" s="48"/>
      <c r="AL4396" s="48"/>
      <c r="AM4396" s="48"/>
      <c r="AN4396" s="48"/>
      <c r="AO4396" s="48"/>
      <c r="AP4396" s="48"/>
      <c r="AQ4396" s="48"/>
      <c r="AR4396" s="48"/>
      <c r="AS4396" s="48"/>
      <c r="AT4396" s="48"/>
      <c r="AU4396" s="48"/>
      <c r="AV4396" s="48"/>
      <c r="AW4396" s="48"/>
      <c r="AX4396" s="48"/>
      <c r="AY4396" s="48"/>
      <c r="AZ4396" s="48"/>
      <c r="BA4396" s="48"/>
      <c r="BB4396" s="48"/>
      <c r="BC4396" s="48"/>
      <c r="BD4396" s="48"/>
    </row>
    <row r="4397" spans="1:56">
      <c r="A4397" s="48"/>
      <c r="B4397" s="48"/>
      <c r="C4397" s="49"/>
      <c r="D4397" s="48"/>
      <c r="E4397" s="48"/>
      <c r="F4397" s="48"/>
      <c r="G4397" s="48"/>
      <c r="H4397" s="48"/>
      <c r="I4397" s="48"/>
      <c r="J4397" s="86"/>
      <c r="K4397" s="86"/>
      <c r="L4397" s="86"/>
      <c r="M4397" s="86"/>
      <c r="N4397" s="86"/>
      <c r="O4397" s="86"/>
      <c r="P4397" s="86"/>
      <c r="Q4397" s="86"/>
      <c r="R4397" s="86"/>
      <c r="S4397" s="86"/>
      <c r="T4397" s="86"/>
      <c r="U4397" s="86"/>
      <c r="V4397" s="48"/>
      <c r="W4397" s="48"/>
      <c r="X4397" s="48"/>
      <c r="Y4397" s="48"/>
      <c r="Z4397" s="48"/>
      <c r="AA4397" s="48"/>
      <c r="AB4397" s="48"/>
      <c r="AC4397" s="48"/>
      <c r="AD4397" s="48"/>
      <c r="AE4397" s="48"/>
      <c r="AF4397" s="48"/>
      <c r="AG4397" s="48"/>
      <c r="AH4397" s="48"/>
      <c r="AI4397" s="48"/>
      <c r="AJ4397" s="48"/>
      <c r="AK4397" s="48"/>
      <c r="AL4397" s="48"/>
      <c r="AM4397" s="48"/>
      <c r="AN4397" s="48"/>
      <c r="AO4397" s="48"/>
      <c r="AP4397" s="48"/>
      <c r="AQ4397" s="48"/>
      <c r="AR4397" s="48"/>
      <c r="AS4397" s="48"/>
      <c r="AT4397" s="48"/>
      <c r="AU4397" s="48"/>
      <c r="AV4397" s="48"/>
      <c r="AW4397" s="48"/>
      <c r="AX4397" s="48"/>
      <c r="AY4397" s="48"/>
      <c r="AZ4397" s="48"/>
      <c r="BA4397" s="48"/>
      <c r="BB4397" s="48"/>
      <c r="BC4397" s="48"/>
      <c r="BD4397" s="48"/>
    </row>
    <row r="4398" spans="1:56">
      <c r="A4398" s="48"/>
      <c r="B4398" s="48"/>
      <c r="C4398" s="49"/>
      <c r="D4398" s="48"/>
      <c r="E4398" s="48"/>
      <c r="F4398" s="48"/>
      <c r="G4398" s="48"/>
      <c r="H4398" s="48"/>
      <c r="I4398" s="48"/>
      <c r="J4398" s="86"/>
      <c r="K4398" s="86"/>
      <c r="L4398" s="86"/>
      <c r="M4398" s="86"/>
      <c r="N4398" s="86"/>
      <c r="O4398" s="86"/>
      <c r="P4398" s="86"/>
      <c r="Q4398" s="86"/>
      <c r="R4398" s="86"/>
      <c r="S4398" s="86"/>
      <c r="T4398" s="86"/>
      <c r="U4398" s="86"/>
      <c r="V4398" s="48"/>
      <c r="W4398" s="48"/>
      <c r="X4398" s="48"/>
      <c r="Y4398" s="48"/>
      <c r="Z4398" s="48"/>
      <c r="AA4398" s="48"/>
      <c r="AB4398" s="48"/>
      <c r="AC4398" s="48"/>
      <c r="AD4398" s="48"/>
      <c r="AE4398" s="48"/>
      <c r="AF4398" s="48"/>
      <c r="AG4398" s="48"/>
      <c r="AH4398" s="48"/>
      <c r="AI4398" s="48"/>
      <c r="AJ4398" s="48"/>
      <c r="AK4398" s="48"/>
      <c r="AL4398" s="48"/>
      <c r="AM4398" s="48"/>
      <c r="AN4398" s="48"/>
      <c r="AO4398" s="48"/>
      <c r="AP4398" s="48"/>
      <c r="AQ4398" s="48"/>
      <c r="AR4398" s="48"/>
      <c r="AS4398" s="48"/>
      <c r="AT4398" s="48"/>
      <c r="AU4398" s="48"/>
      <c r="AV4398" s="48"/>
      <c r="AW4398" s="48"/>
      <c r="AX4398" s="48"/>
      <c r="AY4398" s="48"/>
      <c r="AZ4398" s="48"/>
      <c r="BA4398" s="48"/>
      <c r="BB4398" s="48"/>
      <c r="BC4398" s="48"/>
      <c r="BD4398" s="48"/>
    </row>
    <row r="4399" spans="1:56">
      <c r="A4399" s="48"/>
      <c r="B4399" s="48"/>
      <c r="C4399" s="49"/>
      <c r="D4399" s="48"/>
      <c r="E4399" s="48"/>
      <c r="F4399" s="48"/>
      <c r="G4399" s="48"/>
      <c r="H4399" s="48"/>
      <c r="I4399" s="48"/>
      <c r="J4399" s="86"/>
      <c r="K4399" s="86"/>
      <c r="L4399" s="86"/>
      <c r="M4399" s="86"/>
      <c r="N4399" s="86"/>
      <c r="O4399" s="86"/>
      <c r="P4399" s="86"/>
      <c r="Q4399" s="86"/>
      <c r="R4399" s="86"/>
      <c r="S4399" s="86"/>
      <c r="T4399" s="86"/>
      <c r="U4399" s="86"/>
      <c r="V4399" s="48"/>
      <c r="W4399" s="48"/>
      <c r="X4399" s="48"/>
      <c r="Y4399" s="48"/>
      <c r="Z4399" s="48"/>
      <c r="AA4399" s="48"/>
      <c r="AB4399" s="48"/>
      <c r="AC4399" s="48"/>
      <c r="AD4399" s="48"/>
      <c r="AE4399" s="48"/>
      <c r="AF4399" s="48"/>
      <c r="AG4399" s="48"/>
      <c r="AH4399" s="48"/>
      <c r="AI4399" s="48"/>
      <c r="AJ4399" s="48"/>
      <c r="AK4399" s="48"/>
      <c r="AL4399" s="48"/>
      <c r="AM4399" s="48"/>
      <c r="AN4399" s="48"/>
      <c r="AO4399" s="48"/>
      <c r="AP4399" s="48"/>
      <c r="AQ4399" s="48"/>
      <c r="AR4399" s="48"/>
      <c r="AS4399" s="48"/>
      <c r="AT4399" s="48"/>
      <c r="AU4399" s="48"/>
      <c r="AV4399" s="48"/>
      <c r="AW4399" s="48"/>
      <c r="AX4399" s="48"/>
      <c r="AY4399" s="48"/>
      <c r="AZ4399" s="48"/>
      <c r="BA4399" s="48"/>
      <c r="BB4399" s="48"/>
      <c r="BC4399" s="48"/>
      <c r="BD4399" s="48"/>
    </row>
    <row r="4400" spans="1:56">
      <c r="A4400" s="48"/>
      <c r="B4400" s="48"/>
      <c r="C4400" s="49"/>
      <c r="D4400" s="48"/>
      <c r="E4400" s="48"/>
      <c r="F4400" s="48"/>
      <c r="G4400" s="48"/>
      <c r="H4400" s="48"/>
      <c r="I4400" s="48"/>
      <c r="J4400" s="86"/>
      <c r="K4400" s="86"/>
      <c r="L4400" s="86"/>
      <c r="M4400" s="86"/>
      <c r="N4400" s="86"/>
      <c r="O4400" s="86"/>
      <c r="P4400" s="86"/>
      <c r="Q4400" s="86"/>
      <c r="R4400" s="86"/>
      <c r="S4400" s="86"/>
      <c r="T4400" s="86"/>
      <c r="U4400" s="86"/>
      <c r="V4400" s="48"/>
      <c r="W4400" s="48"/>
      <c r="X4400" s="48"/>
      <c r="Y4400" s="48"/>
      <c r="Z4400" s="48"/>
      <c r="AA4400" s="48"/>
      <c r="AB4400" s="48"/>
      <c r="AC4400" s="48"/>
      <c r="AD4400" s="48"/>
      <c r="AE4400" s="48"/>
      <c r="AF4400" s="48"/>
      <c r="AG4400" s="48"/>
      <c r="AH4400" s="48"/>
      <c r="AI4400" s="48"/>
      <c r="AJ4400" s="48"/>
      <c r="AK4400" s="48"/>
      <c r="AL4400" s="48"/>
      <c r="AM4400" s="48"/>
      <c r="AN4400" s="48"/>
      <c r="AO4400" s="48"/>
      <c r="AP4400" s="48"/>
      <c r="AQ4400" s="48"/>
      <c r="AR4400" s="48"/>
      <c r="AS4400" s="48"/>
      <c r="AT4400" s="48"/>
      <c r="AU4400" s="48"/>
      <c r="AV4400" s="48"/>
      <c r="AW4400" s="48"/>
      <c r="AX4400" s="48"/>
      <c r="AY4400" s="48"/>
      <c r="AZ4400" s="48"/>
      <c r="BA4400" s="48"/>
      <c r="BB4400" s="48"/>
      <c r="BC4400" s="48"/>
      <c r="BD4400" s="48"/>
    </row>
    <row r="4401" spans="1:56">
      <c r="A4401" s="48"/>
      <c r="B4401" s="48"/>
      <c r="C4401" s="49"/>
      <c r="D4401" s="48"/>
      <c r="E4401" s="48"/>
      <c r="F4401" s="48"/>
      <c r="G4401" s="48"/>
      <c r="H4401" s="48"/>
      <c r="I4401" s="48"/>
      <c r="J4401" s="86"/>
      <c r="K4401" s="86"/>
      <c r="L4401" s="86"/>
      <c r="M4401" s="86"/>
      <c r="N4401" s="86"/>
      <c r="O4401" s="86"/>
      <c r="P4401" s="86"/>
      <c r="Q4401" s="86"/>
      <c r="R4401" s="86"/>
      <c r="S4401" s="86"/>
      <c r="T4401" s="86"/>
      <c r="U4401" s="86"/>
      <c r="V4401" s="48"/>
      <c r="W4401" s="48"/>
      <c r="X4401" s="48"/>
      <c r="Y4401" s="48"/>
      <c r="Z4401" s="48"/>
      <c r="AA4401" s="48"/>
      <c r="AB4401" s="48"/>
      <c r="AC4401" s="48"/>
      <c r="AD4401" s="48"/>
      <c r="AE4401" s="48"/>
      <c r="AF4401" s="48"/>
      <c r="AG4401" s="48"/>
      <c r="AH4401" s="48"/>
      <c r="AI4401" s="48"/>
      <c r="AJ4401" s="48"/>
      <c r="AK4401" s="48"/>
      <c r="AL4401" s="48"/>
      <c r="AM4401" s="48"/>
      <c r="AN4401" s="48"/>
      <c r="AO4401" s="48"/>
      <c r="AP4401" s="48"/>
      <c r="AQ4401" s="48"/>
      <c r="AR4401" s="48"/>
      <c r="AS4401" s="48"/>
      <c r="AT4401" s="48"/>
      <c r="AU4401" s="48"/>
      <c r="AV4401" s="48"/>
      <c r="AW4401" s="48"/>
      <c r="AX4401" s="48"/>
      <c r="AY4401" s="48"/>
      <c r="AZ4401" s="48"/>
      <c r="BA4401" s="48"/>
      <c r="BB4401" s="48"/>
      <c r="BC4401" s="48"/>
      <c r="BD4401" s="48"/>
    </row>
    <row r="4402" spans="1:56">
      <c r="A4402" s="48"/>
      <c r="B4402" s="48"/>
      <c r="C4402" s="49"/>
      <c r="D4402" s="48"/>
      <c r="E4402" s="48"/>
      <c r="F4402" s="48"/>
      <c r="G4402" s="48"/>
      <c r="H4402" s="48"/>
      <c r="I4402" s="48"/>
      <c r="J4402" s="86"/>
      <c r="K4402" s="86"/>
      <c r="L4402" s="86"/>
      <c r="M4402" s="86"/>
      <c r="N4402" s="86"/>
      <c r="O4402" s="86"/>
      <c r="P4402" s="86"/>
      <c r="Q4402" s="86"/>
      <c r="R4402" s="86"/>
      <c r="S4402" s="86"/>
      <c r="T4402" s="86"/>
      <c r="U4402" s="86"/>
      <c r="V4402" s="48"/>
      <c r="W4402" s="48"/>
      <c r="X4402" s="48"/>
      <c r="Y4402" s="48"/>
      <c r="Z4402" s="48"/>
      <c r="AA4402" s="48"/>
      <c r="AB4402" s="48"/>
      <c r="AC4402" s="48"/>
      <c r="AD4402" s="48"/>
      <c r="AE4402" s="48"/>
      <c r="AF4402" s="48"/>
      <c r="AG4402" s="48"/>
      <c r="AH4402" s="48"/>
      <c r="AI4402" s="48"/>
      <c r="AJ4402" s="48"/>
      <c r="AK4402" s="48"/>
      <c r="AL4402" s="48"/>
      <c r="AM4402" s="48"/>
      <c r="AN4402" s="48"/>
      <c r="AO4402" s="48"/>
      <c r="AP4402" s="48"/>
      <c r="AQ4402" s="48"/>
      <c r="AR4402" s="48"/>
      <c r="AS4402" s="48"/>
      <c r="AT4402" s="48"/>
      <c r="AU4402" s="48"/>
      <c r="AV4402" s="48"/>
      <c r="AW4402" s="48"/>
      <c r="AX4402" s="48"/>
      <c r="AY4402" s="48"/>
      <c r="AZ4402" s="48"/>
      <c r="BA4402" s="48"/>
      <c r="BB4402" s="48"/>
      <c r="BC4402" s="48"/>
      <c r="BD4402" s="48"/>
    </row>
    <row r="4403" spans="1:56">
      <c r="A4403" s="48"/>
      <c r="B4403" s="48"/>
      <c r="C4403" s="49"/>
      <c r="D4403" s="48"/>
      <c r="E4403" s="48"/>
      <c r="F4403" s="48"/>
      <c r="G4403" s="48"/>
      <c r="H4403" s="48"/>
      <c r="I4403" s="48"/>
      <c r="J4403" s="86"/>
      <c r="K4403" s="86"/>
      <c r="L4403" s="86"/>
      <c r="M4403" s="86"/>
      <c r="N4403" s="86"/>
      <c r="O4403" s="86"/>
      <c r="P4403" s="86"/>
      <c r="Q4403" s="86"/>
      <c r="R4403" s="86"/>
      <c r="S4403" s="86"/>
      <c r="T4403" s="86"/>
      <c r="U4403" s="86"/>
      <c r="V4403" s="48"/>
      <c r="W4403" s="48"/>
      <c r="X4403" s="48"/>
      <c r="Y4403" s="48"/>
      <c r="Z4403" s="48"/>
      <c r="AA4403" s="48"/>
      <c r="AB4403" s="48"/>
      <c r="AC4403" s="48"/>
      <c r="AD4403" s="48"/>
      <c r="AE4403" s="48"/>
      <c r="AF4403" s="48"/>
      <c r="AG4403" s="48"/>
      <c r="AH4403" s="48"/>
      <c r="AI4403" s="48"/>
      <c r="AJ4403" s="48"/>
      <c r="AK4403" s="48"/>
      <c r="AL4403" s="48"/>
      <c r="AM4403" s="48"/>
      <c r="AN4403" s="48"/>
      <c r="AO4403" s="48"/>
      <c r="AP4403" s="48"/>
      <c r="AQ4403" s="48"/>
      <c r="AR4403" s="48"/>
      <c r="AS4403" s="48"/>
      <c r="AT4403" s="48"/>
      <c r="AU4403" s="48"/>
      <c r="AV4403" s="48"/>
      <c r="AW4403" s="48"/>
      <c r="AX4403" s="48"/>
      <c r="AY4403" s="48"/>
      <c r="AZ4403" s="48"/>
      <c r="BA4403" s="48"/>
      <c r="BB4403" s="48"/>
      <c r="BC4403" s="48"/>
      <c r="BD4403" s="48"/>
    </row>
    <row r="4404" spans="1:56">
      <c r="A4404" s="48"/>
      <c r="B4404" s="48"/>
      <c r="C4404" s="49"/>
      <c r="D4404" s="48"/>
      <c r="E4404" s="48"/>
      <c r="F4404" s="48"/>
      <c r="G4404" s="48"/>
      <c r="H4404" s="48"/>
      <c r="I4404" s="48"/>
      <c r="J4404" s="86"/>
      <c r="K4404" s="86"/>
      <c r="L4404" s="86"/>
      <c r="M4404" s="86"/>
      <c r="N4404" s="86"/>
      <c r="O4404" s="86"/>
      <c r="P4404" s="86"/>
      <c r="Q4404" s="86"/>
      <c r="R4404" s="86"/>
      <c r="S4404" s="86"/>
      <c r="T4404" s="86"/>
      <c r="U4404" s="86"/>
      <c r="V4404" s="48"/>
      <c r="W4404" s="48"/>
      <c r="X4404" s="48"/>
      <c r="Y4404" s="48"/>
      <c r="Z4404" s="48"/>
      <c r="AA4404" s="48"/>
      <c r="AB4404" s="48"/>
      <c r="AC4404" s="48"/>
      <c r="AD4404" s="48"/>
      <c r="AE4404" s="48"/>
      <c r="AF4404" s="48"/>
      <c r="AG4404" s="48"/>
      <c r="AH4404" s="48"/>
      <c r="AI4404" s="48"/>
      <c r="AJ4404" s="48"/>
      <c r="AK4404" s="48"/>
      <c r="AL4404" s="48"/>
      <c r="AM4404" s="48"/>
      <c r="AN4404" s="48"/>
      <c r="AO4404" s="48"/>
      <c r="AP4404" s="48"/>
      <c r="AQ4404" s="48"/>
      <c r="AR4404" s="48"/>
      <c r="AS4404" s="48"/>
      <c r="AT4404" s="48"/>
      <c r="AU4404" s="48"/>
      <c r="AV4404" s="48"/>
      <c r="AW4404" s="48"/>
      <c r="AX4404" s="48"/>
      <c r="AY4404" s="48"/>
      <c r="AZ4404" s="48"/>
      <c r="BA4404" s="48"/>
      <c r="BB4404" s="48"/>
      <c r="BC4404" s="48"/>
      <c r="BD4404" s="48"/>
    </row>
    <row r="4405" spans="1:56">
      <c r="A4405" s="48"/>
      <c r="B4405" s="48"/>
      <c r="C4405" s="49"/>
      <c r="D4405" s="48"/>
      <c r="E4405" s="48"/>
      <c r="F4405" s="48"/>
      <c r="G4405" s="48"/>
      <c r="H4405" s="48"/>
      <c r="I4405" s="48"/>
      <c r="J4405" s="86"/>
      <c r="K4405" s="86"/>
      <c r="L4405" s="86"/>
      <c r="M4405" s="86"/>
      <c r="N4405" s="86"/>
      <c r="O4405" s="86"/>
      <c r="P4405" s="86"/>
      <c r="Q4405" s="86"/>
      <c r="R4405" s="86"/>
      <c r="S4405" s="86"/>
      <c r="T4405" s="86"/>
      <c r="U4405" s="86"/>
      <c r="V4405" s="48"/>
      <c r="W4405" s="48"/>
      <c r="X4405" s="48"/>
      <c r="Y4405" s="48"/>
      <c r="Z4405" s="48"/>
      <c r="AA4405" s="48"/>
      <c r="AB4405" s="48"/>
      <c r="AC4405" s="48"/>
      <c r="AD4405" s="48"/>
      <c r="AE4405" s="48"/>
      <c r="AF4405" s="48"/>
      <c r="AG4405" s="48"/>
      <c r="AH4405" s="48"/>
      <c r="AI4405" s="48"/>
      <c r="AJ4405" s="48"/>
      <c r="AK4405" s="48"/>
      <c r="AL4405" s="48"/>
      <c r="AM4405" s="48"/>
      <c r="AN4405" s="48"/>
      <c r="AO4405" s="48"/>
      <c r="AP4405" s="48"/>
      <c r="AQ4405" s="48"/>
      <c r="AR4405" s="48"/>
      <c r="AS4405" s="48"/>
      <c r="AT4405" s="48"/>
      <c r="AU4405" s="48"/>
      <c r="AV4405" s="48"/>
      <c r="AW4405" s="48"/>
      <c r="AX4405" s="48"/>
      <c r="AY4405" s="48"/>
      <c r="AZ4405" s="48"/>
      <c r="BA4405" s="48"/>
      <c r="BB4405" s="48"/>
      <c r="BC4405" s="48"/>
      <c r="BD4405" s="48"/>
    </row>
    <row r="4406" spans="1:56">
      <c r="A4406" s="48"/>
      <c r="B4406" s="48"/>
      <c r="C4406" s="49"/>
      <c r="D4406" s="48"/>
      <c r="E4406" s="48"/>
      <c r="F4406" s="48"/>
      <c r="G4406" s="48"/>
      <c r="H4406" s="48"/>
      <c r="I4406" s="48"/>
      <c r="J4406" s="86"/>
      <c r="K4406" s="86"/>
      <c r="L4406" s="86"/>
      <c r="M4406" s="86"/>
      <c r="N4406" s="86"/>
      <c r="O4406" s="86"/>
      <c r="P4406" s="86"/>
      <c r="Q4406" s="86"/>
      <c r="R4406" s="86"/>
      <c r="S4406" s="86"/>
      <c r="T4406" s="86"/>
      <c r="U4406" s="86"/>
      <c r="V4406" s="48"/>
      <c r="W4406" s="48"/>
      <c r="X4406" s="48"/>
      <c r="Y4406" s="48"/>
      <c r="Z4406" s="48"/>
      <c r="AA4406" s="48"/>
      <c r="AB4406" s="48"/>
      <c r="AC4406" s="48"/>
      <c r="AD4406" s="48"/>
      <c r="AE4406" s="48"/>
      <c r="AF4406" s="48"/>
      <c r="AG4406" s="48"/>
      <c r="AH4406" s="48"/>
      <c r="AI4406" s="48"/>
      <c r="AJ4406" s="48"/>
      <c r="AK4406" s="48"/>
      <c r="AL4406" s="48"/>
      <c r="AM4406" s="48"/>
      <c r="AN4406" s="48"/>
      <c r="AO4406" s="48"/>
      <c r="AP4406" s="48"/>
      <c r="AQ4406" s="48"/>
      <c r="AR4406" s="48"/>
      <c r="AS4406" s="48"/>
      <c r="AT4406" s="48"/>
      <c r="AU4406" s="48"/>
      <c r="AV4406" s="48"/>
      <c r="AW4406" s="48"/>
      <c r="AX4406" s="48"/>
      <c r="AY4406" s="48"/>
      <c r="AZ4406" s="48"/>
      <c r="BA4406" s="48"/>
      <c r="BB4406" s="48"/>
      <c r="BC4406" s="48"/>
      <c r="BD4406" s="48"/>
    </row>
    <row r="4407" spans="1:56">
      <c r="A4407" s="48"/>
      <c r="B4407" s="48"/>
      <c r="C4407" s="49"/>
      <c r="D4407" s="48"/>
      <c r="E4407" s="48"/>
      <c r="F4407" s="48"/>
      <c r="G4407" s="48"/>
      <c r="H4407" s="48"/>
      <c r="I4407" s="48"/>
      <c r="J4407" s="86"/>
      <c r="K4407" s="86"/>
      <c r="L4407" s="86"/>
      <c r="M4407" s="86"/>
      <c r="N4407" s="86"/>
      <c r="O4407" s="86"/>
      <c r="P4407" s="86"/>
      <c r="Q4407" s="86"/>
      <c r="R4407" s="86"/>
      <c r="S4407" s="86"/>
      <c r="T4407" s="86"/>
      <c r="U4407" s="86"/>
      <c r="V4407" s="48"/>
      <c r="W4407" s="48"/>
      <c r="X4407" s="48"/>
      <c r="Y4407" s="48"/>
      <c r="Z4407" s="48"/>
      <c r="AA4407" s="48"/>
      <c r="AB4407" s="48"/>
      <c r="AC4407" s="48"/>
      <c r="AD4407" s="48"/>
      <c r="AE4407" s="48"/>
      <c r="AF4407" s="48"/>
      <c r="AG4407" s="48"/>
      <c r="AH4407" s="48"/>
      <c r="AI4407" s="48"/>
      <c r="AJ4407" s="48"/>
      <c r="AK4407" s="48"/>
      <c r="AL4407" s="48"/>
      <c r="AM4407" s="48"/>
      <c r="AN4407" s="48"/>
      <c r="AO4407" s="48"/>
      <c r="AP4407" s="48"/>
      <c r="AQ4407" s="48"/>
      <c r="AR4407" s="48"/>
      <c r="AS4407" s="48"/>
      <c r="AT4407" s="48"/>
      <c r="AU4407" s="48"/>
      <c r="AV4407" s="48"/>
      <c r="AW4407" s="48"/>
      <c r="AX4407" s="48"/>
      <c r="AY4407" s="48"/>
      <c r="AZ4407" s="48"/>
      <c r="BA4407" s="48"/>
      <c r="BB4407" s="48"/>
      <c r="BC4407" s="48"/>
      <c r="BD4407" s="48"/>
    </row>
    <row r="4408" spans="1:56">
      <c r="A4408" s="48"/>
      <c r="B4408" s="48"/>
      <c r="C4408" s="49"/>
      <c r="D4408" s="48"/>
      <c r="E4408" s="48"/>
      <c r="F4408" s="48"/>
      <c r="G4408" s="48"/>
      <c r="H4408" s="48"/>
      <c r="I4408" s="48"/>
      <c r="J4408" s="86"/>
      <c r="K4408" s="86"/>
      <c r="L4408" s="86"/>
      <c r="M4408" s="86"/>
      <c r="N4408" s="86"/>
      <c r="O4408" s="86"/>
      <c r="P4408" s="86"/>
      <c r="Q4408" s="86"/>
      <c r="R4408" s="86"/>
      <c r="S4408" s="86"/>
      <c r="T4408" s="86"/>
      <c r="U4408" s="86"/>
      <c r="V4408" s="48"/>
      <c r="W4408" s="48"/>
      <c r="X4408" s="48"/>
      <c r="Y4408" s="48"/>
      <c r="Z4408" s="48"/>
      <c r="AA4408" s="48"/>
      <c r="AB4408" s="48"/>
      <c r="AC4408" s="48"/>
      <c r="AD4408" s="48"/>
      <c r="AE4408" s="48"/>
      <c r="AF4408" s="48"/>
      <c r="AG4408" s="48"/>
      <c r="AH4408" s="48"/>
      <c r="AI4408" s="48"/>
      <c r="AJ4408" s="48"/>
      <c r="AK4408" s="48"/>
      <c r="AL4408" s="48"/>
      <c r="AM4408" s="48"/>
      <c r="AN4408" s="48"/>
      <c r="AO4408" s="48"/>
      <c r="AP4408" s="48"/>
      <c r="AQ4408" s="48"/>
      <c r="AR4408" s="48"/>
      <c r="AS4408" s="48"/>
      <c r="AT4408" s="48"/>
      <c r="AU4408" s="48"/>
      <c r="AV4408" s="48"/>
      <c r="AW4408" s="48"/>
      <c r="AX4408" s="48"/>
      <c r="AY4408" s="48"/>
      <c r="AZ4408" s="48"/>
      <c r="BA4408" s="48"/>
      <c r="BB4408" s="48"/>
      <c r="BC4408" s="48"/>
      <c r="BD4408" s="48"/>
    </row>
    <row r="4409" spans="1:56">
      <c r="A4409" s="48"/>
      <c r="B4409" s="48"/>
      <c r="C4409" s="49"/>
      <c r="D4409" s="48"/>
      <c r="E4409" s="48"/>
      <c r="F4409" s="48"/>
      <c r="G4409" s="48"/>
      <c r="H4409" s="48"/>
      <c r="I4409" s="48"/>
      <c r="J4409" s="86"/>
      <c r="K4409" s="86"/>
      <c r="L4409" s="86"/>
      <c r="M4409" s="86"/>
      <c r="N4409" s="86"/>
      <c r="O4409" s="86"/>
      <c r="P4409" s="86"/>
      <c r="Q4409" s="86"/>
      <c r="R4409" s="86"/>
      <c r="S4409" s="86"/>
      <c r="T4409" s="86"/>
      <c r="U4409" s="86"/>
      <c r="V4409" s="48"/>
      <c r="W4409" s="48"/>
      <c r="X4409" s="48"/>
      <c r="Y4409" s="48"/>
      <c r="Z4409" s="48"/>
      <c r="AA4409" s="48"/>
      <c r="AB4409" s="48"/>
      <c r="AC4409" s="48"/>
      <c r="AD4409" s="48"/>
      <c r="AE4409" s="48"/>
      <c r="AF4409" s="48"/>
      <c r="AG4409" s="48"/>
      <c r="AH4409" s="48"/>
      <c r="AI4409" s="48"/>
      <c r="AJ4409" s="48"/>
      <c r="AK4409" s="48"/>
      <c r="AL4409" s="48"/>
      <c r="AM4409" s="48"/>
      <c r="AN4409" s="48"/>
      <c r="AO4409" s="48"/>
      <c r="AP4409" s="48"/>
      <c r="AQ4409" s="48"/>
      <c r="AR4409" s="48"/>
      <c r="AS4409" s="48"/>
      <c r="AT4409" s="48"/>
      <c r="AU4409" s="48"/>
      <c r="AV4409" s="48"/>
      <c r="AW4409" s="48"/>
      <c r="AX4409" s="48"/>
      <c r="AY4409" s="48"/>
      <c r="AZ4409" s="48"/>
      <c r="BA4409" s="48"/>
      <c r="BB4409" s="48"/>
      <c r="BC4409" s="48"/>
      <c r="BD4409" s="48"/>
    </row>
    <row r="4410" spans="1:56">
      <c r="A4410" s="48"/>
      <c r="B4410" s="48"/>
      <c r="C4410" s="49"/>
      <c r="D4410" s="48"/>
      <c r="E4410" s="48"/>
      <c r="F4410" s="48"/>
      <c r="G4410" s="48"/>
      <c r="H4410" s="48"/>
      <c r="I4410" s="48"/>
      <c r="J4410" s="86"/>
      <c r="K4410" s="86"/>
      <c r="L4410" s="86"/>
      <c r="M4410" s="86"/>
      <c r="N4410" s="86"/>
      <c r="O4410" s="86"/>
      <c r="P4410" s="86"/>
      <c r="Q4410" s="86"/>
      <c r="R4410" s="86"/>
      <c r="S4410" s="86"/>
      <c r="T4410" s="86"/>
      <c r="U4410" s="86"/>
      <c r="V4410" s="48"/>
      <c r="W4410" s="48"/>
      <c r="X4410" s="48"/>
      <c r="Y4410" s="48"/>
      <c r="Z4410" s="48"/>
      <c r="AA4410" s="48"/>
      <c r="AB4410" s="48"/>
      <c r="AC4410" s="48"/>
      <c r="AD4410" s="48"/>
      <c r="AE4410" s="48"/>
      <c r="AF4410" s="48"/>
      <c r="AG4410" s="48"/>
      <c r="AH4410" s="48"/>
      <c r="AI4410" s="48"/>
      <c r="AJ4410" s="48"/>
      <c r="AK4410" s="48"/>
      <c r="AL4410" s="48"/>
      <c r="AM4410" s="48"/>
      <c r="AN4410" s="48"/>
      <c r="AO4410" s="48"/>
      <c r="AP4410" s="48"/>
      <c r="AQ4410" s="48"/>
      <c r="AR4410" s="48"/>
      <c r="AS4410" s="48"/>
      <c r="AT4410" s="48"/>
      <c r="AU4410" s="48"/>
      <c r="AV4410" s="48"/>
      <c r="AW4410" s="48"/>
      <c r="AX4410" s="48"/>
      <c r="AY4410" s="48"/>
      <c r="AZ4410" s="48"/>
      <c r="BA4410" s="48"/>
      <c r="BB4410" s="48"/>
      <c r="BC4410" s="48"/>
      <c r="BD4410" s="48"/>
    </row>
    <row r="4411" spans="1:56">
      <c r="A4411" s="48"/>
      <c r="B4411" s="48"/>
      <c r="C4411" s="49"/>
      <c r="D4411" s="48"/>
      <c r="E4411" s="48"/>
      <c r="F4411" s="48"/>
      <c r="G4411" s="48"/>
      <c r="H4411" s="48"/>
      <c r="I4411" s="48"/>
      <c r="J4411" s="86"/>
      <c r="K4411" s="86"/>
      <c r="L4411" s="86"/>
      <c r="M4411" s="86"/>
      <c r="N4411" s="86"/>
      <c r="O4411" s="86"/>
      <c r="P4411" s="86"/>
      <c r="Q4411" s="86"/>
      <c r="R4411" s="86"/>
      <c r="S4411" s="86"/>
      <c r="T4411" s="86"/>
      <c r="U4411" s="86"/>
      <c r="V4411" s="48"/>
      <c r="W4411" s="48"/>
      <c r="X4411" s="48"/>
      <c r="Y4411" s="48"/>
      <c r="Z4411" s="48"/>
      <c r="AA4411" s="48"/>
      <c r="AB4411" s="48"/>
      <c r="AC4411" s="48"/>
      <c r="AD4411" s="48"/>
      <c r="AE4411" s="48"/>
      <c r="AF4411" s="48"/>
      <c r="AG4411" s="48"/>
      <c r="AH4411" s="48"/>
      <c r="AI4411" s="48"/>
      <c r="AJ4411" s="48"/>
      <c r="AK4411" s="48"/>
      <c r="AL4411" s="48"/>
      <c r="AM4411" s="48"/>
      <c r="AN4411" s="48"/>
      <c r="AO4411" s="48"/>
      <c r="AP4411" s="48"/>
      <c r="AQ4411" s="48"/>
      <c r="AR4411" s="48"/>
      <c r="AS4411" s="48"/>
      <c r="AT4411" s="48"/>
      <c r="AU4411" s="48"/>
      <c r="AV4411" s="48"/>
      <c r="AW4411" s="48"/>
      <c r="AX4411" s="48"/>
      <c r="AY4411" s="48"/>
      <c r="AZ4411" s="48"/>
      <c r="BA4411" s="48"/>
      <c r="BB4411" s="48"/>
      <c r="BC4411" s="48"/>
      <c r="BD4411" s="48"/>
    </row>
    <row r="4412" spans="1:56">
      <c r="A4412" s="48"/>
      <c r="B4412" s="48"/>
      <c r="C4412" s="49"/>
      <c r="D4412" s="48"/>
      <c r="E4412" s="48"/>
      <c r="F4412" s="48"/>
      <c r="G4412" s="48"/>
      <c r="H4412" s="48"/>
      <c r="I4412" s="48"/>
      <c r="J4412" s="86"/>
      <c r="K4412" s="86"/>
      <c r="L4412" s="86"/>
      <c r="M4412" s="86"/>
      <c r="N4412" s="86"/>
      <c r="O4412" s="86"/>
      <c r="P4412" s="86"/>
      <c r="Q4412" s="86"/>
      <c r="R4412" s="86"/>
      <c r="S4412" s="86"/>
      <c r="T4412" s="86"/>
      <c r="U4412" s="86"/>
      <c r="V4412" s="48"/>
      <c r="W4412" s="48"/>
      <c r="X4412" s="48"/>
      <c r="Y4412" s="48"/>
      <c r="Z4412" s="48"/>
      <c r="AA4412" s="48"/>
      <c r="AB4412" s="48"/>
      <c r="AC4412" s="48"/>
      <c r="AD4412" s="48"/>
      <c r="AE4412" s="48"/>
      <c r="AF4412" s="48"/>
      <c r="AG4412" s="48"/>
      <c r="AH4412" s="48"/>
      <c r="AI4412" s="48"/>
      <c r="AJ4412" s="48"/>
      <c r="AK4412" s="48"/>
      <c r="AL4412" s="48"/>
      <c r="AM4412" s="48"/>
      <c r="AN4412" s="48"/>
      <c r="AO4412" s="48"/>
      <c r="AP4412" s="48"/>
      <c r="AQ4412" s="48"/>
      <c r="AR4412" s="48"/>
      <c r="AS4412" s="48"/>
      <c r="AT4412" s="48"/>
      <c r="AU4412" s="48"/>
      <c r="AV4412" s="48"/>
      <c r="AW4412" s="48"/>
      <c r="AX4412" s="48"/>
      <c r="AY4412" s="48"/>
      <c r="AZ4412" s="48"/>
      <c r="BA4412" s="48"/>
      <c r="BB4412" s="48"/>
      <c r="BC4412" s="48"/>
      <c r="BD4412" s="48"/>
    </row>
    <row r="4413" spans="1:56">
      <c r="A4413" s="48"/>
      <c r="B4413" s="48"/>
      <c r="C4413" s="49"/>
      <c r="D4413" s="48"/>
      <c r="E4413" s="48"/>
      <c r="F4413" s="48"/>
      <c r="G4413" s="48"/>
      <c r="H4413" s="48"/>
      <c r="I4413" s="48"/>
      <c r="J4413" s="86"/>
      <c r="K4413" s="86"/>
      <c r="L4413" s="86"/>
      <c r="M4413" s="86"/>
      <c r="N4413" s="86"/>
      <c r="O4413" s="86"/>
      <c r="P4413" s="86"/>
      <c r="Q4413" s="86"/>
      <c r="R4413" s="86"/>
      <c r="S4413" s="86"/>
      <c r="T4413" s="86"/>
      <c r="U4413" s="86"/>
      <c r="V4413" s="48"/>
      <c r="W4413" s="48"/>
      <c r="X4413" s="48"/>
      <c r="Y4413" s="48"/>
      <c r="Z4413" s="48"/>
      <c r="AA4413" s="48"/>
      <c r="AB4413" s="48"/>
      <c r="AC4413" s="48"/>
      <c r="AD4413" s="48"/>
      <c r="AE4413" s="48"/>
      <c r="AF4413" s="48"/>
      <c r="AG4413" s="48"/>
      <c r="AH4413" s="48"/>
      <c r="AI4413" s="48"/>
      <c r="AJ4413" s="48"/>
      <c r="AK4413" s="48"/>
      <c r="AL4413" s="48"/>
      <c r="AM4413" s="48"/>
      <c r="AN4413" s="48"/>
      <c r="AO4413" s="48"/>
      <c r="AP4413" s="48"/>
      <c r="AQ4413" s="48"/>
      <c r="AR4413" s="48"/>
      <c r="AS4413" s="48"/>
      <c r="AT4413" s="48"/>
      <c r="AU4413" s="48"/>
      <c r="AV4413" s="48"/>
      <c r="AW4413" s="48"/>
      <c r="AX4413" s="48"/>
      <c r="AY4413" s="48"/>
      <c r="AZ4413" s="48"/>
      <c r="BA4413" s="48"/>
      <c r="BB4413" s="48"/>
      <c r="BC4413" s="48"/>
      <c r="BD4413" s="48"/>
    </row>
    <row r="4414" spans="1:56">
      <c r="A4414" s="48"/>
      <c r="B4414" s="48"/>
      <c r="C4414" s="49"/>
      <c r="D4414" s="48"/>
      <c r="E4414" s="48"/>
      <c r="F4414" s="48"/>
      <c r="G4414" s="48"/>
      <c r="H4414" s="48"/>
      <c r="I4414" s="48"/>
      <c r="J4414" s="86"/>
      <c r="K4414" s="86"/>
      <c r="L4414" s="86"/>
      <c r="M4414" s="86"/>
      <c r="N4414" s="86"/>
      <c r="O4414" s="86"/>
      <c r="P4414" s="86"/>
      <c r="Q4414" s="86"/>
      <c r="R4414" s="86"/>
      <c r="S4414" s="86"/>
      <c r="T4414" s="86"/>
      <c r="U4414" s="86"/>
      <c r="V4414" s="48"/>
      <c r="W4414" s="48"/>
      <c r="X4414" s="48"/>
      <c r="Y4414" s="48"/>
      <c r="Z4414" s="48"/>
      <c r="AA4414" s="48"/>
      <c r="AB4414" s="48"/>
      <c r="AC4414" s="48"/>
      <c r="AD4414" s="48"/>
      <c r="AE4414" s="48"/>
      <c r="AF4414" s="48"/>
      <c r="AG4414" s="48"/>
      <c r="AH4414" s="48"/>
      <c r="AI4414" s="48"/>
      <c r="AJ4414" s="48"/>
      <c r="AK4414" s="48"/>
      <c r="AL4414" s="48"/>
      <c r="AM4414" s="48"/>
      <c r="AN4414" s="48"/>
      <c r="AO4414" s="48"/>
      <c r="AP4414" s="48"/>
      <c r="AQ4414" s="48"/>
      <c r="AR4414" s="48"/>
      <c r="AS4414" s="48"/>
      <c r="AT4414" s="48"/>
      <c r="AU4414" s="48"/>
      <c r="AV4414" s="48"/>
      <c r="AW4414" s="48"/>
      <c r="AX4414" s="48"/>
      <c r="AY4414" s="48"/>
      <c r="AZ4414" s="48"/>
      <c r="BA4414" s="48"/>
      <c r="BB4414" s="48"/>
      <c r="BC4414" s="48"/>
      <c r="BD4414" s="48"/>
    </row>
    <row r="4415" spans="1:56">
      <c r="A4415" s="48"/>
      <c r="B4415" s="48"/>
      <c r="C4415" s="49"/>
      <c r="D4415" s="48"/>
      <c r="E4415" s="48"/>
      <c r="F4415" s="48"/>
      <c r="G4415" s="48"/>
      <c r="H4415" s="48"/>
      <c r="I4415" s="48"/>
      <c r="J4415" s="86"/>
      <c r="K4415" s="86"/>
      <c r="L4415" s="86"/>
      <c r="M4415" s="86"/>
      <c r="N4415" s="86"/>
      <c r="O4415" s="86"/>
      <c r="P4415" s="86"/>
      <c r="Q4415" s="86"/>
      <c r="R4415" s="86"/>
      <c r="S4415" s="86"/>
      <c r="T4415" s="86"/>
      <c r="U4415" s="86"/>
      <c r="V4415" s="48"/>
      <c r="W4415" s="48"/>
      <c r="X4415" s="48"/>
      <c r="Y4415" s="48"/>
      <c r="Z4415" s="48"/>
      <c r="AA4415" s="48"/>
      <c r="AB4415" s="48"/>
      <c r="AC4415" s="48"/>
      <c r="AD4415" s="48"/>
      <c r="AE4415" s="48"/>
      <c r="AF4415" s="48"/>
      <c r="AG4415" s="48"/>
      <c r="AH4415" s="48"/>
      <c r="AI4415" s="48"/>
      <c r="AJ4415" s="48"/>
      <c r="AK4415" s="48"/>
      <c r="AL4415" s="48"/>
      <c r="AM4415" s="48"/>
      <c r="AN4415" s="48"/>
      <c r="AO4415" s="48"/>
      <c r="AP4415" s="48"/>
      <c r="AQ4415" s="48"/>
      <c r="AR4415" s="48"/>
      <c r="AS4415" s="48"/>
      <c r="AT4415" s="48"/>
      <c r="AU4415" s="48"/>
      <c r="AV4415" s="48"/>
      <c r="AW4415" s="48"/>
      <c r="AX4415" s="48"/>
      <c r="AY4415" s="48"/>
      <c r="AZ4415" s="48"/>
      <c r="BA4415" s="48"/>
      <c r="BB4415" s="48"/>
      <c r="BC4415" s="48"/>
      <c r="BD4415" s="48"/>
    </row>
    <row r="4416" spans="1:56">
      <c r="A4416" s="48"/>
      <c r="B4416" s="48"/>
      <c r="C4416" s="49"/>
      <c r="D4416" s="48"/>
      <c r="E4416" s="48"/>
      <c r="F4416" s="48"/>
      <c r="G4416" s="48"/>
      <c r="H4416" s="48"/>
      <c r="I4416" s="48"/>
      <c r="J4416" s="86"/>
      <c r="K4416" s="86"/>
      <c r="L4416" s="86"/>
      <c r="M4416" s="86"/>
      <c r="N4416" s="86"/>
      <c r="O4416" s="86"/>
      <c r="P4416" s="86"/>
      <c r="Q4416" s="86"/>
      <c r="R4416" s="86"/>
      <c r="S4416" s="86"/>
      <c r="T4416" s="86"/>
      <c r="U4416" s="86"/>
      <c r="V4416" s="48"/>
      <c r="W4416" s="48"/>
      <c r="X4416" s="48"/>
      <c r="Y4416" s="48"/>
      <c r="Z4416" s="48"/>
      <c r="AA4416" s="48"/>
      <c r="AB4416" s="48"/>
      <c r="AC4416" s="48"/>
      <c r="AD4416" s="48"/>
      <c r="AE4416" s="48"/>
      <c r="AF4416" s="48"/>
      <c r="AG4416" s="48"/>
      <c r="AH4416" s="48"/>
      <c r="AI4416" s="48"/>
      <c r="AJ4416" s="48"/>
      <c r="AK4416" s="48"/>
      <c r="AL4416" s="48"/>
      <c r="AM4416" s="48"/>
      <c r="AN4416" s="48"/>
      <c r="AO4416" s="48"/>
      <c r="AP4416" s="48"/>
      <c r="AQ4416" s="48"/>
      <c r="AR4416" s="48"/>
      <c r="AS4416" s="48"/>
      <c r="AT4416" s="48"/>
      <c r="AU4416" s="48"/>
      <c r="AV4416" s="48"/>
      <c r="AW4416" s="48"/>
      <c r="AX4416" s="48"/>
      <c r="AY4416" s="48"/>
      <c r="AZ4416" s="48"/>
      <c r="BA4416" s="48"/>
      <c r="BB4416" s="48"/>
      <c r="BC4416" s="48"/>
      <c r="BD4416" s="48"/>
    </row>
    <row r="4417" spans="1:56">
      <c r="A4417" s="48"/>
      <c r="B4417" s="48"/>
      <c r="C4417" s="49"/>
      <c r="D4417" s="48"/>
      <c r="E4417" s="48"/>
      <c r="F4417" s="48"/>
      <c r="G4417" s="48"/>
      <c r="H4417" s="48"/>
      <c r="I4417" s="48"/>
      <c r="J4417" s="86"/>
      <c r="K4417" s="86"/>
      <c r="L4417" s="86"/>
      <c r="M4417" s="86"/>
      <c r="N4417" s="86"/>
      <c r="O4417" s="86"/>
      <c r="P4417" s="86"/>
      <c r="Q4417" s="86"/>
      <c r="R4417" s="86"/>
      <c r="S4417" s="86"/>
      <c r="T4417" s="86"/>
      <c r="U4417" s="86"/>
      <c r="V4417" s="48"/>
      <c r="W4417" s="48"/>
      <c r="X4417" s="48"/>
      <c r="Y4417" s="48"/>
      <c r="Z4417" s="48"/>
      <c r="AA4417" s="48"/>
      <c r="AB4417" s="48"/>
      <c r="AC4417" s="48"/>
      <c r="AD4417" s="48"/>
      <c r="AE4417" s="48"/>
      <c r="AF4417" s="48"/>
      <c r="AG4417" s="48"/>
      <c r="AH4417" s="48"/>
      <c r="AI4417" s="48"/>
      <c r="AJ4417" s="48"/>
      <c r="AK4417" s="48"/>
      <c r="AL4417" s="48"/>
      <c r="AM4417" s="48"/>
      <c r="AN4417" s="48"/>
      <c r="AO4417" s="48"/>
      <c r="AP4417" s="48"/>
      <c r="AQ4417" s="48"/>
      <c r="AR4417" s="48"/>
      <c r="AS4417" s="48"/>
      <c r="AT4417" s="48"/>
      <c r="AU4417" s="48"/>
      <c r="AV4417" s="48"/>
      <c r="AW4417" s="48"/>
      <c r="AX4417" s="48"/>
      <c r="AY4417" s="48"/>
      <c r="AZ4417" s="48"/>
      <c r="BA4417" s="48"/>
      <c r="BB4417" s="48"/>
      <c r="BC4417" s="48"/>
      <c r="BD4417" s="48"/>
    </row>
    <row r="4418" spans="1:56">
      <c r="A4418" s="48"/>
      <c r="B4418" s="48"/>
      <c r="C4418" s="49"/>
      <c r="D4418" s="48"/>
      <c r="E4418" s="48"/>
      <c r="F4418" s="48"/>
      <c r="G4418" s="48"/>
      <c r="H4418" s="48"/>
      <c r="I4418" s="48"/>
      <c r="J4418" s="86"/>
      <c r="K4418" s="86"/>
      <c r="L4418" s="86"/>
      <c r="M4418" s="86"/>
      <c r="N4418" s="86"/>
      <c r="O4418" s="86"/>
      <c r="P4418" s="86"/>
      <c r="Q4418" s="86"/>
      <c r="R4418" s="86"/>
      <c r="S4418" s="86"/>
      <c r="T4418" s="86"/>
      <c r="U4418" s="86"/>
      <c r="V4418" s="48"/>
      <c r="W4418" s="48"/>
      <c r="X4418" s="48"/>
      <c r="Y4418" s="48"/>
      <c r="Z4418" s="48"/>
      <c r="AA4418" s="48"/>
      <c r="AB4418" s="48"/>
      <c r="AC4418" s="48"/>
      <c r="AD4418" s="48"/>
      <c r="AE4418" s="48"/>
      <c r="AF4418" s="48"/>
      <c r="AG4418" s="48"/>
      <c r="AH4418" s="48"/>
      <c r="AI4418" s="48"/>
      <c r="AJ4418" s="48"/>
      <c r="AK4418" s="48"/>
      <c r="AL4418" s="48"/>
      <c r="AM4418" s="48"/>
      <c r="AN4418" s="48"/>
      <c r="AO4418" s="48"/>
      <c r="AP4418" s="48"/>
      <c r="AQ4418" s="48"/>
      <c r="AR4418" s="48"/>
      <c r="AS4418" s="48"/>
      <c r="AT4418" s="48"/>
      <c r="AU4418" s="48"/>
      <c r="AV4418" s="48"/>
      <c r="AW4418" s="48"/>
      <c r="AX4418" s="48"/>
      <c r="AY4418" s="48"/>
      <c r="AZ4418" s="48"/>
      <c r="BA4418" s="48"/>
      <c r="BB4418" s="48"/>
      <c r="BC4418" s="48"/>
      <c r="BD4418" s="48"/>
    </row>
    <row r="4419" spans="1:56">
      <c r="A4419" s="48"/>
      <c r="B4419" s="48"/>
      <c r="C4419" s="49"/>
      <c r="D4419" s="48"/>
      <c r="E4419" s="48"/>
      <c r="F4419" s="48"/>
      <c r="G4419" s="48"/>
      <c r="H4419" s="48"/>
      <c r="I4419" s="48"/>
      <c r="J4419" s="86"/>
      <c r="K4419" s="86"/>
      <c r="L4419" s="86"/>
      <c r="M4419" s="86"/>
      <c r="N4419" s="86"/>
      <c r="O4419" s="86"/>
      <c r="P4419" s="86"/>
      <c r="Q4419" s="86"/>
      <c r="R4419" s="86"/>
      <c r="S4419" s="86"/>
      <c r="T4419" s="86"/>
      <c r="U4419" s="86"/>
      <c r="V4419" s="48"/>
      <c r="W4419" s="48"/>
      <c r="X4419" s="48"/>
      <c r="Y4419" s="48"/>
      <c r="Z4419" s="48"/>
      <c r="AA4419" s="48"/>
      <c r="AB4419" s="48"/>
      <c r="AC4419" s="48"/>
      <c r="AD4419" s="48"/>
      <c r="AE4419" s="48"/>
      <c r="AF4419" s="48"/>
      <c r="AG4419" s="48"/>
      <c r="AH4419" s="48"/>
      <c r="AI4419" s="48"/>
      <c r="AJ4419" s="48"/>
      <c r="AK4419" s="48"/>
      <c r="AL4419" s="48"/>
      <c r="AM4419" s="48"/>
      <c r="AN4419" s="48"/>
      <c r="AO4419" s="48"/>
      <c r="AP4419" s="48"/>
      <c r="AQ4419" s="48"/>
      <c r="AR4419" s="48"/>
      <c r="AS4419" s="48"/>
      <c r="AT4419" s="48"/>
      <c r="AU4419" s="48"/>
      <c r="AV4419" s="48"/>
      <c r="AW4419" s="48"/>
      <c r="AX4419" s="48"/>
      <c r="AY4419" s="48"/>
      <c r="AZ4419" s="48"/>
      <c r="BA4419" s="48"/>
      <c r="BB4419" s="48"/>
      <c r="BC4419" s="48"/>
      <c r="BD4419" s="48"/>
    </row>
    <row r="4420" spans="1:56">
      <c r="A4420" s="48"/>
      <c r="B4420" s="48"/>
      <c r="C4420" s="49"/>
      <c r="D4420" s="48"/>
      <c r="E4420" s="48"/>
      <c r="F4420" s="48"/>
      <c r="G4420" s="48"/>
      <c r="H4420" s="48"/>
      <c r="I4420" s="48"/>
      <c r="J4420" s="86"/>
      <c r="K4420" s="86"/>
      <c r="L4420" s="86"/>
      <c r="M4420" s="86"/>
      <c r="N4420" s="86"/>
      <c r="O4420" s="86"/>
      <c r="P4420" s="86"/>
      <c r="Q4420" s="86"/>
      <c r="R4420" s="86"/>
      <c r="S4420" s="86"/>
      <c r="T4420" s="86"/>
      <c r="U4420" s="86"/>
      <c r="V4420" s="48"/>
      <c r="W4420" s="48"/>
      <c r="X4420" s="48"/>
      <c r="Y4420" s="48"/>
      <c r="Z4420" s="48"/>
      <c r="AA4420" s="48"/>
      <c r="AB4420" s="48"/>
      <c r="AC4420" s="48"/>
      <c r="AD4420" s="48"/>
      <c r="AE4420" s="48"/>
      <c r="AF4420" s="48"/>
      <c r="AG4420" s="48"/>
      <c r="AH4420" s="48"/>
      <c r="AI4420" s="48"/>
      <c r="AJ4420" s="48"/>
      <c r="AK4420" s="48"/>
      <c r="AL4420" s="48"/>
      <c r="AM4420" s="48"/>
      <c r="AN4420" s="48"/>
      <c r="AO4420" s="48"/>
      <c r="AP4420" s="48"/>
      <c r="AQ4420" s="48"/>
      <c r="AR4420" s="48"/>
      <c r="AS4420" s="48"/>
      <c r="AT4420" s="48"/>
      <c r="AU4420" s="48"/>
      <c r="AV4420" s="48"/>
      <c r="AW4420" s="48"/>
      <c r="AX4420" s="48"/>
      <c r="AY4420" s="48"/>
      <c r="AZ4420" s="48"/>
      <c r="BA4420" s="48"/>
      <c r="BB4420" s="48"/>
      <c r="BC4420" s="48"/>
      <c r="BD4420" s="48"/>
    </row>
    <row r="4421" spans="1:56">
      <c r="A4421" s="48"/>
      <c r="B4421" s="48"/>
      <c r="C4421" s="49"/>
      <c r="D4421" s="48"/>
      <c r="E4421" s="48"/>
      <c r="F4421" s="48"/>
      <c r="G4421" s="48"/>
      <c r="H4421" s="48"/>
      <c r="I4421" s="48"/>
      <c r="J4421" s="86"/>
      <c r="K4421" s="86"/>
      <c r="L4421" s="86"/>
      <c r="M4421" s="86"/>
      <c r="N4421" s="86"/>
      <c r="O4421" s="86"/>
      <c r="P4421" s="86"/>
      <c r="Q4421" s="86"/>
      <c r="R4421" s="86"/>
      <c r="S4421" s="86"/>
      <c r="T4421" s="86"/>
      <c r="U4421" s="86"/>
      <c r="V4421" s="48"/>
      <c r="W4421" s="48"/>
      <c r="X4421" s="48"/>
      <c r="Y4421" s="48"/>
      <c r="Z4421" s="48"/>
      <c r="AA4421" s="48"/>
      <c r="AB4421" s="48"/>
      <c r="AC4421" s="48"/>
      <c r="AD4421" s="48"/>
      <c r="AE4421" s="48"/>
      <c r="AF4421" s="48"/>
      <c r="AG4421" s="48"/>
      <c r="AH4421" s="48"/>
      <c r="AI4421" s="48"/>
      <c r="AJ4421" s="48"/>
      <c r="AK4421" s="48"/>
      <c r="AL4421" s="48"/>
      <c r="AM4421" s="48"/>
      <c r="AN4421" s="48"/>
      <c r="AO4421" s="48"/>
      <c r="AP4421" s="48"/>
      <c r="AQ4421" s="48"/>
      <c r="AR4421" s="48"/>
      <c r="AS4421" s="48"/>
      <c r="AT4421" s="48"/>
      <c r="AU4421" s="48"/>
      <c r="AV4421" s="48"/>
      <c r="AW4421" s="48"/>
      <c r="AX4421" s="48"/>
      <c r="AY4421" s="48"/>
      <c r="AZ4421" s="48"/>
      <c r="BA4421" s="48"/>
      <c r="BB4421" s="48"/>
      <c r="BC4421" s="48"/>
      <c r="BD4421" s="48"/>
    </row>
    <row r="4422" spans="1:56">
      <c r="A4422" s="48"/>
      <c r="B4422" s="48"/>
      <c r="C4422" s="49"/>
      <c r="D4422" s="48"/>
      <c r="E4422" s="48"/>
      <c r="F4422" s="48"/>
      <c r="G4422" s="48"/>
      <c r="H4422" s="48"/>
      <c r="I4422" s="48"/>
      <c r="J4422" s="86"/>
      <c r="K4422" s="86"/>
      <c r="L4422" s="86"/>
      <c r="M4422" s="86"/>
      <c r="N4422" s="86"/>
      <c r="O4422" s="86"/>
      <c r="P4422" s="86"/>
      <c r="Q4422" s="86"/>
      <c r="R4422" s="86"/>
      <c r="S4422" s="86"/>
      <c r="T4422" s="86"/>
      <c r="U4422" s="86"/>
      <c r="V4422" s="48"/>
      <c r="W4422" s="48"/>
      <c r="X4422" s="48"/>
      <c r="Y4422" s="48"/>
      <c r="Z4422" s="48"/>
      <c r="AA4422" s="48"/>
      <c r="AB4422" s="48"/>
      <c r="AC4422" s="48"/>
      <c r="AD4422" s="48"/>
      <c r="AE4422" s="48"/>
      <c r="AF4422" s="48"/>
      <c r="AG4422" s="48"/>
      <c r="AH4422" s="48"/>
      <c r="AI4422" s="48"/>
      <c r="AJ4422" s="48"/>
      <c r="AK4422" s="48"/>
      <c r="AL4422" s="48"/>
      <c r="AM4422" s="48"/>
      <c r="AN4422" s="48"/>
      <c r="AO4422" s="48"/>
      <c r="AP4422" s="48"/>
      <c r="AQ4422" s="48"/>
      <c r="AR4422" s="48"/>
      <c r="AS4422" s="48"/>
      <c r="AT4422" s="48"/>
      <c r="AU4422" s="48"/>
      <c r="AV4422" s="48"/>
      <c r="AW4422" s="48"/>
      <c r="AX4422" s="48"/>
      <c r="AY4422" s="48"/>
      <c r="AZ4422" s="48"/>
      <c r="BA4422" s="48"/>
      <c r="BB4422" s="48"/>
      <c r="BC4422" s="48"/>
      <c r="BD4422" s="48"/>
    </row>
    <row r="4423" spans="1:56">
      <c r="A4423" s="48"/>
      <c r="B4423" s="48"/>
      <c r="C4423" s="49"/>
      <c r="D4423" s="48"/>
      <c r="E4423" s="48"/>
      <c r="F4423" s="48"/>
      <c r="G4423" s="48"/>
      <c r="H4423" s="48"/>
      <c r="I4423" s="48"/>
      <c r="J4423" s="86"/>
      <c r="K4423" s="86"/>
      <c r="L4423" s="86"/>
      <c r="M4423" s="86"/>
      <c r="N4423" s="86"/>
      <c r="O4423" s="86"/>
      <c r="P4423" s="86"/>
      <c r="Q4423" s="86"/>
      <c r="R4423" s="86"/>
      <c r="S4423" s="86"/>
      <c r="T4423" s="86"/>
      <c r="U4423" s="86"/>
      <c r="V4423" s="48"/>
      <c r="W4423" s="48"/>
      <c r="X4423" s="48"/>
      <c r="Y4423" s="48"/>
      <c r="Z4423" s="48"/>
      <c r="AA4423" s="48"/>
      <c r="AB4423" s="48"/>
      <c r="AC4423" s="48"/>
      <c r="AD4423" s="48"/>
      <c r="AE4423" s="48"/>
      <c r="AF4423" s="48"/>
      <c r="AG4423" s="48"/>
      <c r="AH4423" s="48"/>
      <c r="AI4423" s="48"/>
      <c r="AJ4423" s="48"/>
      <c r="AK4423" s="48"/>
      <c r="AL4423" s="48"/>
      <c r="AM4423" s="48"/>
      <c r="AN4423" s="48"/>
      <c r="AO4423" s="48"/>
      <c r="AP4423" s="48"/>
      <c r="AQ4423" s="48"/>
      <c r="AR4423" s="48"/>
      <c r="AS4423" s="48"/>
      <c r="AT4423" s="48"/>
      <c r="AU4423" s="48"/>
      <c r="AV4423" s="48"/>
      <c r="AW4423" s="48"/>
      <c r="AX4423" s="48"/>
      <c r="AY4423" s="48"/>
      <c r="AZ4423" s="48"/>
      <c r="BA4423" s="48"/>
      <c r="BB4423" s="48"/>
      <c r="BC4423" s="48"/>
      <c r="BD4423" s="48"/>
    </row>
    <row r="4424" spans="1:56">
      <c r="A4424" s="48"/>
      <c r="B4424" s="48"/>
      <c r="C4424" s="49"/>
      <c r="D4424" s="48"/>
      <c r="E4424" s="48"/>
      <c r="F4424" s="48"/>
      <c r="G4424" s="48"/>
      <c r="H4424" s="48"/>
      <c r="I4424" s="48"/>
      <c r="J4424" s="86"/>
      <c r="K4424" s="86"/>
      <c r="L4424" s="86"/>
      <c r="M4424" s="86"/>
      <c r="N4424" s="86"/>
      <c r="O4424" s="86"/>
      <c r="P4424" s="86"/>
      <c r="Q4424" s="86"/>
      <c r="R4424" s="86"/>
      <c r="S4424" s="86"/>
      <c r="T4424" s="86"/>
      <c r="U4424" s="86"/>
      <c r="V4424" s="48"/>
      <c r="W4424" s="48"/>
      <c r="X4424" s="48"/>
      <c r="Y4424" s="48"/>
      <c r="Z4424" s="48"/>
      <c r="AA4424" s="48"/>
      <c r="AB4424" s="48"/>
      <c r="AC4424" s="48"/>
      <c r="AD4424" s="48"/>
      <c r="AE4424" s="48"/>
      <c r="AF4424" s="48"/>
      <c r="AG4424" s="48"/>
      <c r="AH4424" s="48"/>
      <c r="AI4424" s="48"/>
      <c r="AJ4424" s="48"/>
      <c r="AK4424" s="48"/>
      <c r="AL4424" s="48"/>
      <c r="AM4424" s="48"/>
      <c r="AN4424" s="48"/>
      <c r="AO4424" s="48"/>
      <c r="AP4424" s="48"/>
      <c r="AQ4424" s="48"/>
      <c r="AR4424" s="48"/>
      <c r="AS4424" s="48"/>
      <c r="AT4424" s="48"/>
      <c r="AU4424" s="48"/>
      <c r="AV4424" s="48"/>
      <c r="AW4424" s="48"/>
      <c r="AX4424" s="48"/>
      <c r="AY4424" s="48"/>
      <c r="AZ4424" s="48"/>
      <c r="BA4424" s="48"/>
      <c r="BB4424" s="48"/>
      <c r="BC4424" s="48"/>
      <c r="BD4424" s="48"/>
    </row>
    <row r="4425" spans="1:56">
      <c r="A4425" s="48"/>
      <c r="B4425" s="48"/>
      <c r="C4425" s="49"/>
      <c r="D4425" s="48"/>
      <c r="E4425" s="48"/>
      <c r="F4425" s="48"/>
      <c r="G4425" s="48"/>
      <c r="H4425" s="48"/>
      <c r="I4425" s="48"/>
      <c r="J4425" s="86"/>
      <c r="K4425" s="86"/>
      <c r="L4425" s="86"/>
      <c r="M4425" s="86"/>
      <c r="N4425" s="86"/>
      <c r="O4425" s="86"/>
      <c r="P4425" s="86"/>
      <c r="Q4425" s="86"/>
      <c r="R4425" s="86"/>
      <c r="S4425" s="86"/>
      <c r="T4425" s="86"/>
      <c r="U4425" s="86"/>
      <c r="V4425" s="48"/>
      <c r="W4425" s="48"/>
      <c r="X4425" s="48"/>
      <c r="Y4425" s="48"/>
      <c r="Z4425" s="48"/>
      <c r="AA4425" s="48"/>
      <c r="AB4425" s="48"/>
      <c r="AC4425" s="48"/>
      <c r="AD4425" s="48"/>
      <c r="AE4425" s="48"/>
      <c r="AF4425" s="48"/>
      <c r="AG4425" s="48"/>
      <c r="AH4425" s="48"/>
      <c r="AI4425" s="48"/>
      <c r="AJ4425" s="48"/>
      <c r="AK4425" s="48"/>
      <c r="AL4425" s="48"/>
      <c r="AM4425" s="48"/>
      <c r="AN4425" s="48"/>
      <c r="AO4425" s="48"/>
      <c r="AP4425" s="48"/>
      <c r="AQ4425" s="48"/>
      <c r="AR4425" s="48"/>
      <c r="AS4425" s="48"/>
      <c r="AT4425" s="48"/>
      <c r="AU4425" s="48"/>
      <c r="AV4425" s="48"/>
      <c r="AW4425" s="48"/>
      <c r="AX4425" s="48"/>
      <c r="AY4425" s="48"/>
      <c r="AZ4425" s="48"/>
      <c r="BA4425" s="48"/>
      <c r="BB4425" s="48"/>
      <c r="BC4425" s="48"/>
      <c r="BD4425" s="48"/>
    </row>
    <row r="4426" spans="1:56">
      <c r="A4426" s="48"/>
      <c r="B4426" s="48"/>
      <c r="C4426" s="49"/>
      <c r="D4426" s="48"/>
      <c r="E4426" s="48"/>
      <c r="F4426" s="48"/>
      <c r="G4426" s="48"/>
      <c r="H4426" s="48"/>
      <c r="I4426" s="48"/>
      <c r="J4426" s="86"/>
      <c r="K4426" s="86"/>
      <c r="L4426" s="86"/>
      <c r="M4426" s="86"/>
      <c r="N4426" s="86"/>
      <c r="O4426" s="86"/>
      <c r="P4426" s="86"/>
      <c r="Q4426" s="86"/>
      <c r="R4426" s="86"/>
      <c r="S4426" s="86"/>
      <c r="T4426" s="86"/>
      <c r="U4426" s="86"/>
      <c r="V4426" s="48"/>
      <c r="W4426" s="48"/>
      <c r="X4426" s="48"/>
      <c r="Y4426" s="48"/>
      <c r="Z4426" s="48"/>
      <c r="AA4426" s="48"/>
      <c r="AB4426" s="48"/>
      <c r="AC4426" s="48"/>
      <c r="AD4426" s="48"/>
      <c r="AE4426" s="48"/>
      <c r="AF4426" s="48"/>
      <c r="AG4426" s="48"/>
      <c r="AH4426" s="48"/>
      <c r="AI4426" s="48"/>
      <c r="AJ4426" s="48"/>
      <c r="AK4426" s="48"/>
      <c r="AL4426" s="48"/>
      <c r="AM4426" s="48"/>
      <c r="AN4426" s="48"/>
      <c r="AO4426" s="48"/>
      <c r="AP4426" s="48"/>
      <c r="AQ4426" s="48"/>
      <c r="AR4426" s="48"/>
      <c r="AS4426" s="48"/>
      <c r="AT4426" s="48"/>
      <c r="AU4426" s="48"/>
      <c r="AV4426" s="48"/>
      <c r="AW4426" s="48"/>
      <c r="AX4426" s="48"/>
      <c r="AY4426" s="48"/>
      <c r="AZ4426" s="48"/>
      <c r="BA4426" s="48"/>
      <c r="BB4426" s="48"/>
      <c r="BC4426" s="48"/>
      <c r="BD4426" s="48"/>
    </row>
    <row r="4427" spans="1:56">
      <c r="A4427" s="48"/>
      <c r="B4427" s="48"/>
      <c r="C4427" s="49"/>
      <c r="D4427" s="48"/>
      <c r="E4427" s="48"/>
      <c r="F4427" s="48"/>
      <c r="G4427" s="48"/>
      <c r="H4427" s="48"/>
      <c r="I4427" s="48"/>
      <c r="J4427" s="86"/>
      <c r="K4427" s="86"/>
      <c r="L4427" s="86"/>
      <c r="M4427" s="86"/>
      <c r="N4427" s="86"/>
      <c r="O4427" s="86"/>
      <c r="P4427" s="86"/>
      <c r="Q4427" s="86"/>
      <c r="R4427" s="86"/>
      <c r="S4427" s="86"/>
      <c r="T4427" s="86"/>
      <c r="U4427" s="86"/>
      <c r="V4427" s="48"/>
      <c r="W4427" s="48"/>
      <c r="X4427" s="48"/>
      <c r="Y4427" s="48"/>
      <c r="Z4427" s="48"/>
      <c r="AA4427" s="48"/>
      <c r="AB4427" s="48"/>
      <c r="AC4427" s="48"/>
      <c r="AD4427" s="48"/>
      <c r="AE4427" s="48"/>
      <c r="AF4427" s="48"/>
      <c r="AG4427" s="48"/>
      <c r="AH4427" s="48"/>
      <c r="AI4427" s="48"/>
      <c r="AJ4427" s="48"/>
      <c r="AK4427" s="48"/>
      <c r="AL4427" s="48"/>
      <c r="AM4427" s="48"/>
      <c r="AN4427" s="48"/>
      <c r="AO4427" s="48"/>
      <c r="AP4427" s="48"/>
      <c r="AQ4427" s="48"/>
      <c r="AR4427" s="48"/>
      <c r="AS4427" s="48"/>
      <c r="AT4427" s="48"/>
      <c r="AU4427" s="48"/>
      <c r="AV4427" s="48"/>
      <c r="AW4427" s="48"/>
      <c r="AX4427" s="48"/>
      <c r="AY4427" s="48"/>
      <c r="AZ4427" s="48"/>
      <c r="BA4427" s="48"/>
      <c r="BB4427" s="48"/>
      <c r="BC4427" s="48"/>
      <c r="BD4427" s="48"/>
    </row>
    <row r="4428" spans="1:56">
      <c r="A4428" s="48"/>
      <c r="B4428" s="48"/>
      <c r="C4428" s="49"/>
      <c r="D4428" s="48"/>
      <c r="E4428" s="48"/>
      <c r="F4428" s="48"/>
      <c r="G4428" s="48"/>
      <c r="H4428" s="48"/>
      <c r="I4428" s="48"/>
      <c r="J4428" s="86"/>
      <c r="K4428" s="86"/>
      <c r="L4428" s="86"/>
      <c r="M4428" s="86"/>
      <c r="N4428" s="86"/>
      <c r="O4428" s="86"/>
      <c r="P4428" s="86"/>
      <c r="Q4428" s="86"/>
      <c r="R4428" s="86"/>
      <c r="S4428" s="86"/>
      <c r="T4428" s="86"/>
      <c r="U4428" s="86"/>
      <c r="V4428" s="48"/>
      <c r="W4428" s="48"/>
      <c r="X4428" s="48"/>
      <c r="Y4428" s="48"/>
      <c r="Z4428" s="48"/>
      <c r="AA4428" s="48"/>
      <c r="AB4428" s="48"/>
      <c r="AC4428" s="48"/>
      <c r="AD4428" s="48"/>
      <c r="AE4428" s="48"/>
      <c r="AF4428" s="48"/>
      <c r="AG4428" s="48"/>
      <c r="AH4428" s="48"/>
      <c r="AI4428" s="48"/>
      <c r="AJ4428" s="48"/>
      <c r="AK4428" s="48"/>
      <c r="AL4428" s="48"/>
      <c r="AM4428" s="48"/>
      <c r="AN4428" s="48"/>
      <c r="AO4428" s="48"/>
      <c r="AP4428" s="48"/>
      <c r="AQ4428" s="48"/>
      <c r="AR4428" s="48"/>
      <c r="AS4428" s="48"/>
      <c r="AT4428" s="48"/>
      <c r="AU4428" s="48"/>
      <c r="AV4428" s="48"/>
      <c r="AW4428" s="48"/>
      <c r="AX4428" s="48"/>
      <c r="AY4428" s="48"/>
      <c r="AZ4428" s="48"/>
      <c r="BA4428" s="48"/>
      <c r="BB4428" s="48"/>
      <c r="BC4428" s="48"/>
      <c r="BD4428" s="48"/>
    </row>
    <row r="4429" spans="1:56">
      <c r="A4429" s="48"/>
      <c r="B4429" s="48"/>
      <c r="C4429" s="49"/>
      <c r="D4429" s="48"/>
      <c r="E4429" s="48"/>
      <c r="F4429" s="48"/>
      <c r="G4429" s="48"/>
      <c r="H4429" s="48"/>
      <c r="I4429" s="48"/>
      <c r="J4429" s="86"/>
      <c r="K4429" s="86"/>
      <c r="L4429" s="86"/>
      <c r="M4429" s="86"/>
      <c r="N4429" s="86"/>
      <c r="O4429" s="86"/>
      <c r="P4429" s="86"/>
      <c r="Q4429" s="86"/>
      <c r="R4429" s="86"/>
      <c r="S4429" s="86"/>
      <c r="T4429" s="86"/>
      <c r="U4429" s="86"/>
      <c r="V4429" s="48"/>
      <c r="W4429" s="48"/>
      <c r="X4429" s="48"/>
      <c r="Y4429" s="48"/>
      <c r="Z4429" s="48"/>
      <c r="AA4429" s="48"/>
      <c r="AB4429" s="48"/>
      <c r="AC4429" s="48"/>
      <c r="AD4429" s="48"/>
      <c r="AE4429" s="48"/>
      <c r="AF4429" s="48"/>
      <c r="AG4429" s="48"/>
      <c r="AH4429" s="48"/>
      <c r="AI4429" s="48"/>
      <c r="AJ4429" s="48"/>
      <c r="AK4429" s="48"/>
      <c r="AL4429" s="48"/>
      <c r="AM4429" s="48"/>
      <c r="AN4429" s="48"/>
      <c r="AO4429" s="48"/>
      <c r="AP4429" s="48"/>
      <c r="AQ4429" s="48"/>
      <c r="AR4429" s="48"/>
      <c r="AS4429" s="48"/>
      <c r="AT4429" s="48"/>
      <c r="AU4429" s="48"/>
      <c r="AV4429" s="48"/>
      <c r="AW4429" s="48"/>
      <c r="AX4429" s="48"/>
      <c r="AY4429" s="48"/>
      <c r="AZ4429" s="48"/>
      <c r="BA4429" s="48"/>
      <c r="BB4429" s="48"/>
      <c r="BC4429" s="48"/>
      <c r="BD4429" s="48"/>
    </row>
    <row r="4430" spans="1:56">
      <c r="A4430" s="48"/>
      <c r="B4430" s="48"/>
      <c r="C4430" s="49"/>
      <c r="D4430" s="48"/>
      <c r="E4430" s="48"/>
      <c r="F4430" s="48"/>
      <c r="G4430" s="48"/>
      <c r="H4430" s="48"/>
      <c r="I4430" s="48"/>
      <c r="J4430" s="86"/>
      <c r="K4430" s="86"/>
      <c r="L4430" s="86"/>
      <c r="M4430" s="86"/>
      <c r="N4430" s="86"/>
      <c r="O4430" s="86"/>
      <c r="P4430" s="86"/>
      <c r="Q4430" s="86"/>
      <c r="R4430" s="86"/>
      <c r="S4430" s="86"/>
      <c r="T4430" s="86"/>
      <c r="U4430" s="86"/>
      <c r="V4430" s="48"/>
      <c r="W4430" s="48"/>
      <c r="X4430" s="48"/>
      <c r="Y4430" s="48"/>
      <c r="Z4430" s="48"/>
      <c r="AA4430" s="48"/>
      <c r="AB4430" s="48"/>
      <c r="AC4430" s="48"/>
      <c r="AD4430" s="48"/>
      <c r="AE4430" s="48"/>
      <c r="AF4430" s="48"/>
      <c r="AG4430" s="48"/>
      <c r="AH4430" s="48"/>
      <c r="AI4430" s="48"/>
      <c r="AJ4430" s="48"/>
      <c r="AK4430" s="48"/>
      <c r="AL4430" s="48"/>
      <c r="AM4430" s="48"/>
      <c r="AN4430" s="48"/>
      <c r="AO4430" s="48"/>
      <c r="AP4430" s="48"/>
      <c r="AQ4430" s="48"/>
      <c r="AR4430" s="48"/>
      <c r="AS4430" s="48"/>
      <c r="AT4430" s="48"/>
      <c r="AU4430" s="48"/>
      <c r="AV4430" s="48"/>
      <c r="AW4430" s="48"/>
      <c r="AX4430" s="48"/>
      <c r="AY4430" s="48"/>
      <c r="AZ4430" s="48"/>
      <c r="BA4430" s="48"/>
      <c r="BB4430" s="48"/>
      <c r="BC4430" s="48"/>
      <c r="BD4430" s="48"/>
    </row>
    <row r="4431" spans="1:56">
      <c r="A4431" s="48"/>
      <c r="B4431" s="48"/>
      <c r="C4431" s="49"/>
      <c r="D4431" s="48"/>
      <c r="E4431" s="48"/>
      <c r="F4431" s="48"/>
      <c r="G4431" s="48"/>
      <c r="H4431" s="48"/>
      <c r="I4431" s="48"/>
      <c r="J4431" s="86"/>
      <c r="K4431" s="86"/>
      <c r="L4431" s="86"/>
      <c r="M4431" s="86"/>
      <c r="N4431" s="86"/>
      <c r="O4431" s="86"/>
      <c r="P4431" s="86"/>
      <c r="Q4431" s="86"/>
      <c r="R4431" s="86"/>
      <c r="S4431" s="86"/>
      <c r="T4431" s="86"/>
      <c r="U4431" s="86"/>
      <c r="V4431" s="48"/>
      <c r="W4431" s="48"/>
      <c r="X4431" s="48"/>
      <c r="Y4431" s="48"/>
      <c r="Z4431" s="48"/>
      <c r="AA4431" s="48"/>
      <c r="AB4431" s="48"/>
      <c r="AC4431" s="48"/>
      <c r="AD4431" s="48"/>
      <c r="AE4431" s="48"/>
      <c r="AF4431" s="48"/>
      <c r="AG4431" s="48"/>
      <c r="AH4431" s="48"/>
      <c r="AI4431" s="48"/>
      <c r="AJ4431" s="48"/>
      <c r="AK4431" s="48"/>
      <c r="AL4431" s="48"/>
      <c r="AM4431" s="48"/>
      <c r="AN4431" s="48"/>
      <c r="AO4431" s="48"/>
      <c r="AP4431" s="48"/>
      <c r="AQ4431" s="48"/>
      <c r="AR4431" s="48"/>
      <c r="AS4431" s="48"/>
      <c r="AT4431" s="48"/>
      <c r="AU4431" s="48"/>
      <c r="AV4431" s="48"/>
      <c r="AW4431" s="48"/>
      <c r="AX4431" s="48"/>
      <c r="AY4431" s="48"/>
      <c r="AZ4431" s="48"/>
      <c r="BA4431" s="48"/>
      <c r="BB4431" s="48"/>
      <c r="BC4431" s="48"/>
      <c r="BD4431" s="48"/>
    </row>
    <row r="4432" spans="1:56">
      <c r="A4432" s="48"/>
      <c r="B4432" s="48"/>
      <c r="C4432" s="49"/>
      <c r="D4432" s="48"/>
      <c r="E4432" s="48"/>
      <c r="F4432" s="48"/>
      <c r="G4432" s="48"/>
      <c r="H4432" s="48"/>
      <c r="I4432" s="48"/>
      <c r="J4432" s="86"/>
      <c r="K4432" s="86"/>
      <c r="L4432" s="86"/>
      <c r="M4432" s="86"/>
      <c r="N4432" s="86"/>
      <c r="O4432" s="86"/>
      <c r="P4432" s="86"/>
      <c r="Q4432" s="86"/>
      <c r="R4432" s="86"/>
      <c r="S4432" s="86"/>
      <c r="T4432" s="86"/>
      <c r="U4432" s="86"/>
      <c r="V4432" s="48"/>
      <c r="W4432" s="48"/>
      <c r="X4432" s="48"/>
      <c r="Y4432" s="48"/>
      <c r="Z4432" s="48"/>
      <c r="AA4432" s="48"/>
      <c r="AB4432" s="48"/>
      <c r="AC4432" s="48"/>
      <c r="AD4432" s="48"/>
      <c r="AE4432" s="48"/>
      <c r="AF4432" s="48"/>
      <c r="AG4432" s="48"/>
      <c r="AH4432" s="48"/>
      <c r="AI4432" s="48"/>
      <c r="AJ4432" s="48"/>
      <c r="AK4432" s="48"/>
      <c r="AL4432" s="48"/>
      <c r="AM4432" s="48"/>
      <c r="AN4432" s="48"/>
      <c r="AO4432" s="48"/>
      <c r="AP4432" s="48"/>
      <c r="AQ4432" s="48"/>
      <c r="AR4432" s="48"/>
      <c r="AS4432" s="48"/>
      <c r="AT4432" s="48"/>
      <c r="AU4432" s="48"/>
      <c r="AV4432" s="48"/>
      <c r="AW4432" s="48"/>
      <c r="AX4432" s="48"/>
      <c r="AY4432" s="48"/>
      <c r="AZ4432" s="48"/>
      <c r="BA4432" s="48"/>
      <c r="BB4432" s="48"/>
      <c r="BC4432" s="48"/>
      <c r="BD4432" s="48"/>
    </row>
    <row r="4433" spans="1:56">
      <c r="A4433" s="48"/>
      <c r="B4433" s="48"/>
      <c r="C4433" s="49"/>
      <c r="D4433" s="48"/>
      <c r="E4433" s="48"/>
      <c r="F4433" s="48"/>
      <c r="G4433" s="48"/>
      <c r="H4433" s="48"/>
      <c r="I4433" s="48"/>
      <c r="J4433" s="86"/>
      <c r="K4433" s="86"/>
      <c r="L4433" s="86"/>
      <c r="M4433" s="86"/>
      <c r="N4433" s="86"/>
      <c r="O4433" s="86"/>
      <c r="P4433" s="86"/>
      <c r="Q4433" s="86"/>
      <c r="R4433" s="86"/>
      <c r="S4433" s="86"/>
      <c r="T4433" s="86"/>
      <c r="U4433" s="86"/>
      <c r="V4433" s="48"/>
      <c r="W4433" s="48"/>
      <c r="X4433" s="48"/>
      <c r="Y4433" s="48"/>
      <c r="Z4433" s="48"/>
      <c r="AA4433" s="48"/>
      <c r="AB4433" s="48"/>
      <c r="AC4433" s="48"/>
      <c r="AD4433" s="48"/>
      <c r="AE4433" s="48"/>
      <c r="AF4433" s="48"/>
      <c r="AG4433" s="48"/>
      <c r="AH4433" s="48"/>
      <c r="AI4433" s="48"/>
      <c r="AJ4433" s="48"/>
      <c r="AK4433" s="48"/>
      <c r="AL4433" s="48"/>
      <c r="AM4433" s="48"/>
      <c r="AN4433" s="48"/>
      <c r="AO4433" s="48"/>
      <c r="AP4433" s="48"/>
      <c r="AQ4433" s="48"/>
      <c r="AR4433" s="48"/>
      <c r="AS4433" s="48"/>
      <c r="AT4433" s="48"/>
      <c r="AU4433" s="48"/>
      <c r="AV4433" s="48"/>
      <c r="AW4433" s="48"/>
      <c r="AX4433" s="48"/>
      <c r="AY4433" s="48"/>
      <c r="AZ4433" s="48"/>
      <c r="BA4433" s="48"/>
      <c r="BB4433" s="48"/>
      <c r="BC4433" s="48"/>
      <c r="BD4433" s="48"/>
    </row>
    <row r="4434" spans="1:56">
      <c r="A4434" s="48"/>
      <c r="B4434" s="48"/>
      <c r="C4434" s="49"/>
      <c r="D4434" s="48"/>
      <c r="E4434" s="48"/>
      <c r="F4434" s="48"/>
      <c r="G4434" s="48"/>
      <c r="H4434" s="48"/>
      <c r="I4434" s="48"/>
      <c r="J4434" s="86"/>
      <c r="K4434" s="86"/>
      <c r="L4434" s="86"/>
      <c r="M4434" s="86"/>
      <c r="N4434" s="86"/>
      <c r="O4434" s="86"/>
      <c r="P4434" s="86"/>
      <c r="Q4434" s="86"/>
      <c r="R4434" s="86"/>
      <c r="S4434" s="86"/>
      <c r="T4434" s="86"/>
      <c r="U4434" s="86"/>
      <c r="V4434" s="48"/>
      <c r="W4434" s="48"/>
      <c r="X4434" s="48"/>
      <c r="Y4434" s="48"/>
      <c r="Z4434" s="48"/>
      <c r="AA4434" s="48"/>
      <c r="AB4434" s="48"/>
      <c r="AC4434" s="48"/>
      <c r="AD4434" s="48"/>
      <c r="AE4434" s="48"/>
      <c r="AF4434" s="48"/>
      <c r="AG4434" s="48"/>
      <c r="AH4434" s="48"/>
      <c r="AI4434" s="48"/>
      <c r="AJ4434" s="48"/>
      <c r="AK4434" s="48"/>
      <c r="AL4434" s="48"/>
      <c r="AM4434" s="48"/>
      <c r="AN4434" s="48"/>
      <c r="AO4434" s="48"/>
      <c r="AP4434" s="48"/>
      <c r="AQ4434" s="48"/>
      <c r="AR4434" s="48"/>
      <c r="AS4434" s="48"/>
      <c r="AT4434" s="48"/>
      <c r="AU4434" s="48"/>
      <c r="AV4434" s="48"/>
      <c r="AW4434" s="48"/>
      <c r="AX4434" s="48"/>
      <c r="AY4434" s="48"/>
      <c r="AZ4434" s="48"/>
      <c r="BA4434" s="48"/>
      <c r="BB4434" s="48"/>
      <c r="BC4434" s="48"/>
      <c r="BD4434" s="48"/>
    </row>
    <row r="4435" spans="1:56">
      <c r="A4435" s="48"/>
      <c r="B4435" s="48"/>
      <c r="C4435" s="49"/>
      <c r="D4435" s="48"/>
      <c r="E4435" s="48"/>
      <c r="F4435" s="48"/>
      <c r="G4435" s="48"/>
      <c r="H4435" s="48"/>
      <c r="I4435" s="48"/>
      <c r="J4435" s="86"/>
      <c r="K4435" s="86"/>
      <c r="L4435" s="86"/>
      <c r="M4435" s="86"/>
      <c r="N4435" s="86"/>
      <c r="O4435" s="86"/>
      <c r="P4435" s="86"/>
      <c r="Q4435" s="86"/>
      <c r="R4435" s="86"/>
      <c r="S4435" s="86"/>
      <c r="T4435" s="86"/>
      <c r="U4435" s="86"/>
      <c r="V4435" s="48"/>
      <c r="W4435" s="48"/>
      <c r="X4435" s="48"/>
      <c r="Y4435" s="48"/>
      <c r="Z4435" s="48"/>
      <c r="AA4435" s="48"/>
      <c r="AB4435" s="48"/>
      <c r="AC4435" s="48"/>
      <c r="AD4435" s="48"/>
      <c r="AE4435" s="48"/>
      <c r="AF4435" s="48"/>
      <c r="AG4435" s="48"/>
      <c r="AH4435" s="48"/>
      <c r="AI4435" s="48"/>
      <c r="AJ4435" s="48"/>
      <c r="AK4435" s="48"/>
      <c r="AL4435" s="48"/>
      <c r="AM4435" s="48"/>
      <c r="AN4435" s="48"/>
      <c r="AO4435" s="48"/>
      <c r="AP4435" s="48"/>
      <c r="AQ4435" s="48"/>
      <c r="AR4435" s="48"/>
      <c r="AS4435" s="48"/>
      <c r="AT4435" s="48"/>
      <c r="AU4435" s="48"/>
      <c r="AV4435" s="48"/>
      <c r="AW4435" s="48"/>
      <c r="AX4435" s="48"/>
      <c r="AY4435" s="48"/>
      <c r="AZ4435" s="48"/>
      <c r="BA4435" s="48"/>
      <c r="BB4435" s="48"/>
      <c r="BC4435" s="48"/>
      <c r="BD4435" s="48"/>
    </row>
    <row r="4436" spans="1:56">
      <c r="A4436" s="48"/>
      <c r="B4436" s="48"/>
      <c r="C4436" s="49"/>
      <c r="D4436" s="48"/>
      <c r="E4436" s="48"/>
      <c r="F4436" s="48"/>
      <c r="G4436" s="48"/>
      <c r="H4436" s="48"/>
      <c r="I4436" s="48"/>
      <c r="J4436" s="86"/>
      <c r="K4436" s="86"/>
      <c r="L4436" s="86"/>
      <c r="M4436" s="86"/>
      <c r="N4436" s="86"/>
      <c r="O4436" s="86"/>
      <c r="P4436" s="86"/>
      <c r="Q4436" s="86"/>
      <c r="R4436" s="86"/>
      <c r="S4436" s="86"/>
      <c r="T4436" s="86"/>
      <c r="U4436" s="86"/>
      <c r="V4436" s="48"/>
      <c r="W4436" s="48"/>
      <c r="X4436" s="48"/>
      <c r="Y4436" s="48"/>
      <c r="Z4436" s="48"/>
      <c r="AA4436" s="48"/>
      <c r="AB4436" s="48"/>
      <c r="AC4436" s="48"/>
      <c r="AD4436" s="48"/>
      <c r="AE4436" s="48"/>
      <c r="AF4436" s="48"/>
      <c r="AG4436" s="48"/>
      <c r="AH4436" s="48"/>
      <c r="AI4436" s="48"/>
      <c r="AJ4436" s="48"/>
      <c r="AK4436" s="48"/>
      <c r="AL4436" s="48"/>
      <c r="AM4436" s="48"/>
      <c r="AN4436" s="48"/>
      <c r="AO4436" s="48"/>
      <c r="AP4436" s="48"/>
      <c r="AQ4436" s="48"/>
      <c r="AR4436" s="48"/>
      <c r="AS4436" s="48"/>
      <c r="AT4436" s="48"/>
      <c r="AU4436" s="48"/>
      <c r="AV4436" s="48"/>
      <c r="AW4436" s="48"/>
      <c r="AX4436" s="48"/>
      <c r="AY4436" s="48"/>
      <c r="AZ4436" s="48"/>
      <c r="BA4436" s="48"/>
      <c r="BB4436" s="48"/>
      <c r="BC4436" s="48"/>
      <c r="BD4436" s="48"/>
    </row>
    <row r="4437" spans="1:56">
      <c r="A4437" s="48"/>
      <c r="B4437" s="48"/>
      <c r="C4437" s="49"/>
      <c r="D4437" s="48"/>
      <c r="E4437" s="48"/>
      <c r="F4437" s="48"/>
      <c r="G4437" s="48"/>
      <c r="H4437" s="48"/>
      <c r="I4437" s="48"/>
      <c r="J4437" s="86"/>
      <c r="K4437" s="86"/>
      <c r="L4437" s="86"/>
      <c r="M4437" s="86"/>
      <c r="N4437" s="86"/>
      <c r="O4437" s="86"/>
      <c r="P4437" s="86"/>
      <c r="Q4437" s="86"/>
      <c r="R4437" s="86"/>
      <c r="S4437" s="86"/>
      <c r="T4437" s="86"/>
      <c r="U4437" s="86"/>
      <c r="V4437" s="48"/>
      <c r="W4437" s="48"/>
      <c r="X4437" s="48"/>
      <c r="Y4437" s="48"/>
      <c r="Z4437" s="48"/>
      <c r="AA4437" s="48"/>
      <c r="AB4437" s="48"/>
      <c r="AC4437" s="48"/>
      <c r="AD4437" s="48"/>
      <c r="AE4437" s="48"/>
      <c r="AF4437" s="48"/>
      <c r="AG4437" s="48"/>
      <c r="AH4437" s="48"/>
      <c r="AI4437" s="48"/>
      <c r="AJ4437" s="48"/>
      <c r="AK4437" s="48"/>
      <c r="AL4437" s="48"/>
      <c r="AM4437" s="48"/>
      <c r="AN4437" s="48"/>
      <c r="AO4437" s="48"/>
      <c r="AP4437" s="48"/>
      <c r="AQ4437" s="48"/>
      <c r="AR4437" s="48"/>
      <c r="AS4437" s="48"/>
      <c r="AT4437" s="48"/>
      <c r="AU4437" s="48"/>
      <c r="AV4437" s="48"/>
      <c r="AW4437" s="48"/>
      <c r="AX4437" s="48"/>
      <c r="AY4437" s="48"/>
      <c r="AZ4437" s="48"/>
      <c r="BA4437" s="48"/>
      <c r="BB4437" s="48"/>
      <c r="BC4437" s="48"/>
      <c r="BD4437" s="48"/>
    </row>
    <row r="4438" spans="1:56">
      <c r="A4438" s="48"/>
      <c r="B4438" s="48"/>
      <c r="C4438" s="49"/>
      <c r="D4438" s="48"/>
      <c r="E4438" s="48"/>
      <c r="F4438" s="48"/>
      <c r="G4438" s="48"/>
      <c r="H4438" s="48"/>
      <c r="I4438" s="48"/>
      <c r="J4438" s="86"/>
      <c r="K4438" s="86"/>
      <c r="L4438" s="86"/>
      <c r="M4438" s="86"/>
      <c r="N4438" s="86"/>
      <c r="O4438" s="86"/>
      <c r="P4438" s="86"/>
      <c r="Q4438" s="86"/>
      <c r="R4438" s="86"/>
      <c r="S4438" s="86"/>
      <c r="T4438" s="86"/>
      <c r="U4438" s="86"/>
      <c r="V4438" s="48"/>
      <c r="W4438" s="48"/>
      <c r="X4438" s="48"/>
      <c r="Y4438" s="48"/>
      <c r="Z4438" s="48"/>
      <c r="AA4438" s="48"/>
      <c r="AB4438" s="48"/>
      <c r="AC4438" s="48"/>
      <c r="AD4438" s="48"/>
      <c r="AE4438" s="48"/>
      <c r="AF4438" s="48"/>
      <c r="AG4438" s="48"/>
      <c r="AH4438" s="48"/>
      <c r="AI4438" s="48"/>
      <c r="AJ4438" s="48"/>
      <c r="AK4438" s="48"/>
      <c r="AL4438" s="48"/>
      <c r="AM4438" s="48"/>
      <c r="AN4438" s="48"/>
      <c r="AO4438" s="48"/>
      <c r="AP4438" s="48"/>
      <c r="AQ4438" s="48"/>
      <c r="AR4438" s="48"/>
      <c r="AS4438" s="48"/>
      <c r="AT4438" s="48"/>
      <c r="AU4438" s="48"/>
      <c r="AV4438" s="48"/>
      <c r="AW4438" s="48"/>
      <c r="AX4438" s="48"/>
      <c r="AY4438" s="48"/>
      <c r="AZ4438" s="48"/>
      <c r="BA4438" s="48"/>
      <c r="BB4438" s="48"/>
      <c r="BC4438" s="48"/>
      <c r="BD4438" s="48"/>
    </row>
    <row r="4439" spans="1:56">
      <c r="A4439" s="48"/>
      <c r="B4439" s="48"/>
      <c r="C4439" s="49"/>
      <c r="D4439" s="48"/>
      <c r="E4439" s="48"/>
      <c r="F4439" s="48"/>
      <c r="G4439" s="48"/>
      <c r="H4439" s="48"/>
      <c r="I4439" s="48"/>
      <c r="J4439" s="86"/>
      <c r="K4439" s="86"/>
      <c r="L4439" s="86"/>
      <c r="M4439" s="86"/>
      <c r="N4439" s="86"/>
      <c r="O4439" s="86"/>
      <c r="P4439" s="86"/>
      <c r="Q4439" s="86"/>
      <c r="R4439" s="86"/>
      <c r="S4439" s="86"/>
      <c r="T4439" s="86"/>
      <c r="U4439" s="86"/>
      <c r="V4439" s="48"/>
      <c r="W4439" s="48"/>
      <c r="X4439" s="48"/>
      <c r="Y4439" s="48"/>
      <c r="Z4439" s="48"/>
      <c r="AA4439" s="48"/>
      <c r="AB4439" s="48"/>
      <c r="AC4439" s="48"/>
      <c r="AD4439" s="48"/>
      <c r="AE4439" s="48"/>
      <c r="AF4439" s="48"/>
      <c r="AG4439" s="48"/>
      <c r="AH4439" s="48"/>
      <c r="AI4439" s="48"/>
      <c r="AJ4439" s="48"/>
      <c r="AK4439" s="48"/>
      <c r="AL4439" s="48"/>
      <c r="AM4439" s="48"/>
      <c r="AN4439" s="48"/>
      <c r="AO4439" s="48"/>
      <c r="AP4439" s="48"/>
      <c r="AQ4439" s="48"/>
      <c r="AR4439" s="48"/>
      <c r="AS4439" s="48"/>
      <c r="AT4439" s="48"/>
      <c r="AU4439" s="48"/>
      <c r="AV4439" s="48"/>
      <c r="AW4439" s="48"/>
      <c r="AX4439" s="48"/>
      <c r="AY4439" s="48"/>
      <c r="AZ4439" s="48"/>
      <c r="BA4439" s="48"/>
      <c r="BB4439" s="48"/>
      <c r="BC4439" s="48"/>
      <c r="BD4439" s="48"/>
    </row>
    <row r="4440" spans="1:56">
      <c r="A4440" s="48"/>
      <c r="B4440" s="48"/>
      <c r="C4440" s="49"/>
      <c r="D4440" s="48"/>
      <c r="E4440" s="48"/>
      <c r="F4440" s="48"/>
      <c r="G4440" s="48"/>
      <c r="H4440" s="48"/>
      <c r="I4440" s="48"/>
      <c r="J4440" s="86"/>
      <c r="K4440" s="86"/>
      <c r="L4440" s="86"/>
      <c r="M4440" s="86"/>
      <c r="N4440" s="86"/>
      <c r="O4440" s="86"/>
      <c r="P4440" s="86"/>
      <c r="Q4440" s="86"/>
      <c r="R4440" s="86"/>
      <c r="S4440" s="86"/>
      <c r="T4440" s="86"/>
      <c r="U4440" s="86"/>
      <c r="V4440" s="48"/>
      <c r="W4440" s="48"/>
      <c r="X4440" s="48"/>
      <c r="Y4440" s="48"/>
      <c r="Z4440" s="48"/>
      <c r="AA4440" s="48"/>
      <c r="AB4440" s="48"/>
      <c r="AC4440" s="48"/>
      <c r="AD4440" s="48"/>
      <c r="AE4440" s="48"/>
      <c r="AF4440" s="48"/>
      <c r="AG4440" s="48"/>
      <c r="AH4440" s="48"/>
      <c r="AI4440" s="48"/>
      <c r="AJ4440" s="48"/>
      <c r="AK4440" s="48"/>
      <c r="AL4440" s="48"/>
      <c r="AM4440" s="48"/>
      <c r="AN4440" s="48"/>
      <c r="AO4440" s="48"/>
      <c r="AP4440" s="48"/>
      <c r="AQ4440" s="48"/>
      <c r="AR4440" s="48"/>
      <c r="AS4440" s="48"/>
      <c r="AT4440" s="48"/>
      <c r="AU4440" s="48"/>
      <c r="AV4440" s="48"/>
      <c r="AW4440" s="48"/>
      <c r="AX4440" s="48"/>
      <c r="AY4440" s="48"/>
      <c r="AZ4440" s="48"/>
      <c r="BA4440" s="48"/>
      <c r="BB4440" s="48"/>
      <c r="BC4440" s="48"/>
      <c r="BD4440" s="48"/>
    </row>
    <row r="4441" spans="1:56">
      <c r="A4441" s="48"/>
      <c r="B4441" s="48"/>
      <c r="C4441" s="49"/>
      <c r="D4441" s="48"/>
      <c r="E4441" s="48"/>
      <c r="F4441" s="48"/>
      <c r="G4441" s="48"/>
      <c r="H4441" s="48"/>
      <c r="I4441" s="48"/>
      <c r="J4441" s="86"/>
      <c r="K4441" s="86"/>
      <c r="L4441" s="86"/>
      <c r="M4441" s="86"/>
      <c r="N4441" s="86"/>
      <c r="O4441" s="86"/>
      <c r="P4441" s="86"/>
      <c r="Q4441" s="86"/>
      <c r="R4441" s="86"/>
      <c r="S4441" s="86"/>
      <c r="T4441" s="86"/>
      <c r="U4441" s="86"/>
      <c r="V4441" s="48"/>
      <c r="W4441" s="48"/>
      <c r="X4441" s="48"/>
      <c r="Y4441" s="48"/>
      <c r="Z4441" s="48"/>
      <c r="AA4441" s="48"/>
      <c r="AB4441" s="48"/>
      <c r="AC4441" s="48"/>
      <c r="AD4441" s="48"/>
      <c r="AE4441" s="48"/>
      <c r="AF4441" s="48"/>
      <c r="AG4441" s="48"/>
      <c r="AH4441" s="48"/>
      <c r="AI4441" s="48"/>
      <c r="AJ4441" s="48"/>
      <c r="AK4441" s="48"/>
      <c r="AL4441" s="48"/>
      <c r="AM4441" s="48"/>
      <c r="AN4441" s="48"/>
      <c r="AO4441" s="48"/>
      <c r="AP4441" s="48"/>
      <c r="AQ4441" s="48"/>
      <c r="AR4441" s="48"/>
      <c r="AS4441" s="48"/>
      <c r="AT4441" s="48"/>
      <c r="AU4441" s="48"/>
      <c r="AV4441" s="48"/>
      <c r="AW4441" s="48"/>
      <c r="AX4441" s="48"/>
      <c r="AY4441" s="48"/>
      <c r="AZ4441" s="48"/>
      <c r="BA4441" s="48"/>
      <c r="BB4441" s="48"/>
      <c r="BC4441" s="48"/>
      <c r="BD4441" s="48"/>
    </row>
    <row r="4442" spans="1:56">
      <c r="A4442" s="48"/>
      <c r="B4442" s="48"/>
      <c r="C4442" s="49"/>
      <c r="D4442" s="48"/>
      <c r="E4442" s="48"/>
      <c r="F4442" s="48"/>
      <c r="G4442" s="48"/>
      <c r="H4442" s="48"/>
      <c r="I4442" s="48"/>
      <c r="J4442" s="86"/>
      <c r="K4442" s="86"/>
      <c r="L4442" s="86"/>
      <c r="M4442" s="86"/>
      <c r="N4442" s="86"/>
      <c r="O4442" s="86"/>
      <c r="P4442" s="86"/>
      <c r="Q4442" s="86"/>
      <c r="R4442" s="86"/>
      <c r="S4442" s="86"/>
      <c r="T4442" s="86"/>
      <c r="U4442" s="86"/>
      <c r="V4442" s="48"/>
      <c r="W4442" s="48"/>
      <c r="X4442" s="48"/>
      <c r="Y4442" s="48"/>
      <c r="Z4442" s="48"/>
      <c r="AA4442" s="48"/>
      <c r="AB4442" s="48"/>
      <c r="AC4442" s="48"/>
      <c r="AD4442" s="48"/>
      <c r="AE4442" s="48"/>
      <c r="AF4442" s="48"/>
      <c r="AG4442" s="48"/>
      <c r="AH4442" s="48"/>
      <c r="AI4442" s="48"/>
      <c r="AJ4442" s="48"/>
      <c r="AK4442" s="48"/>
      <c r="AL4442" s="48"/>
      <c r="AM4442" s="48"/>
      <c r="AN4442" s="48"/>
      <c r="AO4442" s="48"/>
      <c r="AP4442" s="48"/>
      <c r="AQ4442" s="48"/>
      <c r="AR4442" s="48"/>
      <c r="AS4442" s="48"/>
      <c r="AT4442" s="48"/>
      <c r="AU4442" s="48"/>
      <c r="AV4442" s="48"/>
      <c r="AW4442" s="48"/>
      <c r="AX4442" s="48"/>
      <c r="AY4442" s="48"/>
      <c r="AZ4442" s="48"/>
      <c r="BA4442" s="48"/>
      <c r="BB4442" s="48"/>
      <c r="BC4442" s="48"/>
      <c r="BD4442" s="48"/>
    </row>
    <row r="4443" spans="1:56">
      <c r="A4443" s="48"/>
      <c r="B4443" s="48"/>
      <c r="C4443" s="49"/>
      <c r="D4443" s="48"/>
      <c r="E4443" s="48"/>
      <c r="F4443" s="48"/>
      <c r="G4443" s="48"/>
      <c r="H4443" s="48"/>
      <c r="I4443" s="48"/>
      <c r="J4443" s="86"/>
      <c r="K4443" s="86"/>
      <c r="L4443" s="86"/>
      <c r="M4443" s="86"/>
      <c r="N4443" s="86"/>
      <c r="O4443" s="86"/>
      <c r="P4443" s="86"/>
      <c r="Q4443" s="86"/>
      <c r="R4443" s="86"/>
      <c r="S4443" s="86"/>
      <c r="T4443" s="86"/>
      <c r="U4443" s="86"/>
      <c r="V4443" s="48"/>
      <c r="W4443" s="48"/>
      <c r="X4443" s="48"/>
      <c r="Y4443" s="48"/>
      <c r="Z4443" s="48"/>
      <c r="AA4443" s="48"/>
      <c r="AB4443" s="48"/>
      <c r="AC4443" s="48"/>
      <c r="AD4443" s="48"/>
      <c r="AE4443" s="48"/>
      <c r="AF4443" s="48"/>
      <c r="AG4443" s="48"/>
      <c r="AH4443" s="48"/>
      <c r="AI4443" s="48"/>
      <c r="AJ4443" s="48"/>
      <c r="AK4443" s="48"/>
      <c r="AL4443" s="48"/>
      <c r="AM4443" s="48"/>
      <c r="AN4443" s="48"/>
      <c r="AO4443" s="48"/>
      <c r="AP4443" s="48"/>
      <c r="AQ4443" s="48"/>
      <c r="AR4443" s="48"/>
      <c r="AS4443" s="48"/>
      <c r="AT4443" s="48"/>
      <c r="AU4443" s="48"/>
      <c r="AV4443" s="48"/>
      <c r="AW4443" s="48"/>
      <c r="AX4443" s="48"/>
      <c r="AY4443" s="48"/>
      <c r="AZ4443" s="48"/>
      <c r="BA4443" s="48"/>
      <c r="BB4443" s="48"/>
      <c r="BC4443" s="48"/>
      <c r="BD4443" s="48"/>
    </row>
    <row r="4444" spans="1:56">
      <c r="A4444" s="48"/>
      <c r="B4444" s="48"/>
      <c r="C4444" s="49"/>
      <c r="D4444" s="48"/>
      <c r="E4444" s="48"/>
      <c r="F4444" s="48"/>
      <c r="G4444" s="48"/>
      <c r="H4444" s="48"/>
      <c r="I4444" s="48"/>
      <c r="J4444" s="86"/>
      <c r="K4444" s="86"/>
      <c r="L4444" s="86"/>
      <c r="M4444" s="86"/>
      <c r="N4444" s="86"/>
      <c r="O4444" s="86"/>
      <c r="P4444" s="86"/>
      <c r="Q4444" s="86"/>
      <c r="R4444" s="86"/>
      <c r="S4444" s="86"/>
      <c r="T4444" s="86"/>
      <c r="U4444" s="86"/>
      <c r="V4444" s="48"/>
      <c r="W4444" s="48"/>
      <c r="X4444" s="48"/>
      <c r="Y4444" s="48"/>
      <c r="Z4444" s="48"/>
      <c r="AA4444" s="48"/>
      <c r="AB4444" s="48"/>
      <c r="AC4444" s="48"/>
      <c r="AD4444" s="48"/>
      <c r="AE4444" s="48"/>
      <c r="AF4444" s="48"/>
      <c r="AG4444" s="48"/>
      <c r="AH4444" s="48"/>
      <c r="AI4444" s="48"/>
      <c r="AJ4444" s="48"/>
      <c r="AK4444" s="48"/>
      <c r="AL4444" s="48"/>
      <c r="AM4444" s="48"/>
      <c r="AN4444" s="48"/>
      <c r="AO4444" s="48"/>
      <c r="AP4444" s="48"/>
      <c r="AQ4444" s="48"/>
      <c r="AR4444" s="48"/>
      <c r="AS4444" s="48"/>
      <c r="AT4444" s="48"/>
      <c r="AU4444" s="48"/>
      <c r="AV4444" s="48"/>
      <c r="AW4444" s="48"/>
      <c r="AX4444" s="48"/>
      <c r="AY4444" s="48"/>
      <c r="AZ4444" s="48"/>
      <c r="BA4444" s="48"/>
      <c r="BB4444" s="48"/>
      <c r="BC4444" s="48"/>
      <c r="BD4444" s="48"/>
    </row>
    <row r="4445" spans="1:56">
      <c r="A4445" s="48"/>
      <c r="B4445" s="48"/>
      <c r="C4445" s="49"/>
      <c r="D4445" s="48"/>
      <c r="E4445" s="48"/>
      <c r="F4445" s="48"/>
      <c r="G4445" s="48"/>
      <c r="H4445" s="48"/>
      <c r="I4445" s="48"/>
      <c r="J4445" s="86"/>
      <c r="K4445" s="86"/>
      <c r="L4445" s="86"/>
      <c r="M4445" s="86"/>
      <c r="N4445" s="86"/>
      <c r="O4445" s="86"/>
      <c r="P4445" s="86"/>
      <c r="Q4445" s="86"/>
      <c r="R4445" s="86"/>
      <c r="S4445" s="86"/>
      <c r="T4445" s="86"/>
      <c r="U4445" s="86"/>
      <c r="V4445" s="48"/>
      <c r="W4445" s="48"/>
      <c r="X4445" s="48"/>
      <c r="Y4445" s="48"/>
      <c r="Z4445" s="48"/>
      <c r="AA4445" s="48"/>
      <c r="AB4445" s="48"/>
      <c r="AC4445" s="48"/>
      <c r="AD4445" s="48"/>
      <c r="AE4445" s="48"/>
      <c r="AF4445" s="48"/>
      <c r="AG4445" s="48"/>
      <c r="AH4445" s="48"/>
      <c r="AI4445" s="48"/>
      <c r="AJ4445" s="48"/>
      <c r="AK4445" s="48"/>
      <c r="AL4445" s="48"/>
      <c r="AM4445" s="48"/>
      <c r="AN4445" s="48"/>
      <c r="AO4445" s="48"/>
      <c r="AP4445" s="48"/>
      <c r="AQ4445" s="48"/>
      <c r="AR4445" s="48"/>
      <c r="AS4445" s="48"/>
      <c r="AT4445" s="48"/>
      <c r="AU4445" s="48"/>
      <c r="AV4445" s="48"/>
      <c r="AW4445" s="48"/>
      <c r="AX4445" s="48"/>
      <c r="AY4445" s="48"/>
      <c r="AZ4445" s="48"/>
      <c r="BA4445" s="48"/>
      <c r="BB4445" s="48"/>
      <c r="BC4445" s="48"/>
      <c r="BD4445" s="48"/>
    </row>
    <row r="4446" spans="1:56">
      <c r="A4446" s="48"/>
      <c r="B4446" s="48"/>
      <c r="C4446" s="49"/>
      <c r="D4446" s="48"/>
      <c r="E4446" s="48"/>
      <c r="F4446" s="48"/>
      <c r="G4446" s="48"/>
      <c r="H4446" s="48"/>
      <c r="I4446" s="48"/>
      <c r="J4446" s="86"/>
      <c r="K4446" s="86"/>
      <c r="L4446" s="86"/>
      <c r="M4446" s="86"/>
      <c r="N4446" s="86"/>
      <c r="O4446" s="86"/>
      <c r="P4446" s="86"/>
      <c r="Q4446" s="86"/>
      <c r="R4446" s="86"/>
      <c r="S4446" s="86"/>
      <c r="T4446" s="86"/>
      <c r="U4446" s="86"/>
      <c r="V4446" s="48"/>
      <c r="W4446" s="48"/>
      <c r="X4446" s="48"/>
      <c r="Y4446" s="48"/>
      <c r="Z4446" s="48"/>
      <c r="AA4446" s="48"/>
      <c r="AB4446" s="48"/>
      <c r="AC4446" s="48"/>
      <c r="AD4446" s="48"/>
      <c r="AE4446" s="48"/>
      <c r="AF4446" s="48"/>
      <c r="AG4446" s="48"/>
      <c r="AH4446" s="48"/>
      <c r="AI4446" s="48"/>
      <c r="AJ4446" s="48"/>
      <c r="AK4446" s="48"/>
      <c r="AL4446" s="48"/>
      <c r="AM4446" s="48"/>
      <c r="AN4446" s="48"/>
      <c r="AO4446" s="48"/>
      <c r="AP4446" s="48"/>
      <c r="AQ4446" s="48"/>
      <c r="AR4446" s="48"/>
      <c r="AS4446" s="48"/>
      <c r="AT4446" s="48"/>
      <c r="AU4446" s="48"/>
      <c r="AV4446" s="48"/>
      <c r="AW4446" s="48"/>
      <c r="AX4446" s="48"/>
      <c r="AY4446" s="48"/>
      <c r="AZ4446" s="48"/>
      <c r="BA4446" s="48"/>
      <c r="BB4446" s="48"/>
      <c r="BC4446" s="48"/>
      <c r="BD4446" s="48"/>
    </row>
    <row r="4447" spans="1:56">
      <c r="A4447" s="48"/>
      <c r="B4447" s="48"/>
      <c r="C4447" s="49"/>
      <c r="D4447" s="48"/>
      <c r="E4447" s="48"/>
      <c r="F4447" s="48"/>
      <c r="G4447" s="48"/>
      <c r="H4447" s="48"/>
      <c r="I4447" s="48"/>
      <c r="J4447" s="86"/>
      <c r="K4447" s="86"/>
      <c r="L4447" s="86"/>
      <c r="M4447" s="86"/>
      <c r="N4447" s="86"/>
      <c r="O4447" s="86"/>
      <c r="P4447" s="86"/>
      <c r="Q4447" s="86"/>
      <c r="R4447" s="86"/>
      <c r="S4447" s="86"/>
      <c r="T4447" s="86"/>
      <c r="U4447" s="86"/>
      <c r="V4447" s="48"/>
      <c r="W4447" s="48"/>
      <c r="X4447" s="48"/>
      <c r="Y4447" s="48"/>
      <c r="Z4447" s="48"/>
      <c r="AA4447" s="48"/>
      <c r="AB4447" s="48"/>
      <c r="AC4447" s="48"/>
      <c r="AD4447" s="48"/>
      <c r="AE4447" s="48"/>
      <c r="AF4447" s="48"/>
      <c r="AG4447" s="48"/>
      <c r="AH4447" s="48"/>
      <c r="AI4447" s="48"/>
      <c r="AJ4447" s="48"/>
      <c r="AK4447" s="48"/>
      <c r="AL4447" s="48"/>
      <c r="AM4447" s="48"/>
      <c r="AN4447" s="48"/>
      <c r="AO4447" s="48"/>
      <c r="AP4447" s="48"/>
      <c r="AQ4447" s="48"/>
      <c r="AR4447" s="48"/>
      <c r="AS4447" s="48"/>
      <c r="AT4447" s="48"/>
      <c r="AU4447" s="48"/>
      <c r="AV4447" s="48"/>
      <c r="AW4447" s="48"/>
      <c r="AX4447" s="48"/>
      <c r="AY4447" s="48"/>
      <c r="AZ4447" s="48"/>
      <c r="BA4447" s="48"/>
      <c r="BB4447" s="48"/>
      <c r="BC4447" s="48"/>
      <c r="BD4447" s="48"/>
    </row>
    <row r="4448" spans="1:56">
      <c r="A4448" s="48"/>
      <c r="B4448" s="48"/>
      <c r="C4448" s="49"/>
      <c r="D4448" s="48"/>
      <c r="E4448" s="48"/>
      <c r="F4448" s="48"/>
      <c r="G4448" s="48"/>
      <c r="H4448" s="48"/>
      <c r="I4448" s="48"/>
      <c r="J4448" s="86"/>
      <c r="K4448" s="86"/>
      <c r="L4448" s="86"/>
      <c r="M4448" s="86"/>
      <c r="N4448" s="86"/>
      <c r="O4448" s="86"/>
      <c r="P4448" s="86"/>
      <c r="Q4448" s="86"/>
      <c r="R4448" s="86"/>
      <c r="S4448" s="86"/>
      <c r="T4448" s="86"/>
      <c r="U4448" s="86"/>
      <c r="V4448" s="48"/>
      <c r="W4448" s="48"/>
      <c r="X4448" s="48"/>
      <c r="Y4448" s="48"/>
      <c r="Z4448" s="48"/>
      <c r="AA4448" s="48"/>
      <c r="AB4448" s="48"/>
      <c r="AC4448" s="48"/>
      <c r="AD4448" s="48"/>
      <c r="AE4448" s="48"/>
      <c r="AF4448" s="48"/>
      <c r="AG4448" s="48"/>
      <c r="AH4448" s="48"/>
      <c r="AI4448" s="48"/>
      <c r="AJ4448" s="48"/>
      <c r="AK4448" s="48"/>
      <c r="AL4448" s="48"/>
      <c r="AM4448" s="48"/>
      <c r="AN4448" s="48"/>
      <c r="AO4448" s="48"/>
      <c r="AP4448" s="48"/>
      <c r="AQ4448" s="48"/>
      <c r="AR4448" s="48"/>
      <c r="AS4448" s="48"/>
      <c r="AT4448" s="48"/>
      <c r="AU4448" s="48"/>
      <c r="AV4448" s="48"/>
      <c r="AW4448" s="48"/>
      <c r="AX4448" s="48"/>
      <c r="AY4448" s="48"/>
      <c r="AZ4448" s="48"/>
      <c r="BA4448" s="48"/>
      <c r="BB4448" s="48"/>
      <c r="BC4448" s="48"/>
      <c r="BD4448" s="48"/>
    </row>
    <row r="4449" spans="1:56">
      <c r="A4449" s="48"/>
      <c r="B4449" s="48"/>
      <c r="C4449" s="49"/>
      <c r="D4449" s="48"/>
      <c r="E4449" s="48"/>
      <c r="F4449" s="48"/>
      <c r="G4449" s="48"/>
      <c r="H4449" s="48"/>
      <c r="I4449" s="48"/>
      <c r="J4449" s="86"/>
      <c r="K4449" s="86"/>
      <c r="L4449" s="86"/>
      <c r="M4449" s="86"/>
      <c r="N4449" s="86"/>
      <c r="O4449" s="86"/>
      <c r="P4449" s="86"/>
      <c r="Q4449" s="86"/>
      <c r="R4449" s="86"/>
      <c r="S4449" s="86"/>
      <c r="T4449" s="86"/>
      <c r="U4449" s="86"/>
      <c r="V4449" s="48"/>
      <c r="W4449" s="48"/>
      <c r="X4449" s="48"/>
      <c r="Y4449" s="48"/>
      <c r="Z4449" s="48"/>
      <c r="AA4449" s="48"/>
      <c r="AB4449" s="48"/>
      <c r="AC4449" s="48"/>
      <c r="AD4449" s="48"/>
      <c r="AE4449" s="48"/>
      <c r="AF4449" s="48"/>
      <c r="AG4449" s="48"/>
      <c r="AH4449" s="48"/>
      <c r="AI4449" s="48"/>
      <c r="AJ4449" s="48"/>
      <c r="AK4449" s="48"/>
      <c r="AL4449" s="48"/>
      <c r="AM4449" s="48"/>
      <c r="AN4449" s="48"/>
      <c r="AO4449" s="48"/>
      <c r="AP4449" s="48"/>
      <c r="AQ4449" s="48"/>
      <c r="AR4449" s="48"/>
      <c r="AS4449" s="48"/>
      <c r="AT4449" s="48"/>
      <c r="AU4449" s="48"/>
      <c r="AV4449" s="48"/>
      <c r="AW4449" s="48"/>
      <c r="AX4449" s="48"/>
      <c r="AY4449" s="48"/>
      <c r="AZ4449" s="48"/>
      <c r="BA4449" s="48"/>
      <c r="BB4449" s="48"/>
      <c r="BC4449" s="48"/>
      <c r="BD4449" s="48"/>
    </row>
    <row r="4450" spans="1:56">
      <c r="A4450" s="48"/>
      <c r="B4450" s="48"/>
      <c r="C4450" s="49"/>
      <c r="D4450" s="48"/>
      <c r="E4450" s="48"/>
      <c r="F4450" s="48"/>
      <c r="G4450" s="48"/>
      <c r="H4450" s="48"/>
      <c r="I4450" s="48"/>
      <c r="J4450" s="86"/>
      <c r="K4450" s="86"/>
      <c r="L4450" s="86"/>
      <c r="M4450" s="86"/>
      <c r="N4450" s="86"/>
      <c r="O4450" s="86"/>
      <c r="P4450" s="86"/>
      <c r="Q4450" s="86"/>
      <c r="R4450" s="86"/>
      <c r="S4450" s="86"/>
      <c r="T4450" s="86"/>
      <c r="U4450" s="86"/>
      <c r="V4450" s="48"/>
      <c r="W4450" s="48"/>
      <c r="X4450" s="48"/>
      <c r="Y4450" s="48"/>
      <c r="Z4450" s="48"/>
      <c r="AA4450" s="48"/>
      <c r="AB4450" s="48"/>
      <c r="AC4450" s="48"/>
      <c r="AD4450" s="48"/>
      <c r="AE4450" s="48"/>
      <c r="AF4450" s="48"/>
      <c r="AG4450" s="48"/>
      <c r="AH4450" s="48"/>
      <c r="AI4450" s="48"/>
      <c r="AJ4450" s="48"/>
      <c r="AK4450" s="48"/>
      <c r="AL4450" s="48"/>
      <c r="AM4450" s="48"/>
      <c r="AN4450" s="48"/>
      <c r="AO4450" s="48"/>
      <c r="AP4450" s="48"/>
      <c r="AQ4450" s="48"/>
      <c r="AR4450" s="48"/>
      <c r="AS4450" s="48"/>
      <c r="AT4450" s="48"/>
      <c r="AU4450" s="48"/>
      <c r="AV4450" s="48"/>
      <c r="AW4450" s="48"/>
      <c r="AX4450" s="48"/>
      <c r="AY4450" s="48"/>
      <c r="AZ4450" s="48"/>
      <c r="BA4450" s="48"/>
      <c r="BB4450" s="48"/>
      <c r="BC4450" s="48"/>
      <c r="BD4450" s="48"/>
    </row>
    <row r="4451" spans="1:56">
      <c r="A4451" s="48"/>
      <c r="B4451" s="48"/>
      <c r="C4451" s="49"/>
      <c r="D4451" s="48"/>
      <c r="E4451" s="48"/>
      <c r="F4451" s="48"/>
      <c r="G4451" s="48"/>
      <c r="H4451" s="48"/>
      <c r="I4451" s="48"/>
      <c r="J4451" s="86"/>
      <c r="K4451" s="86"/>
      <c r="L4451" s="86"/>
      <c r="M4451" s="86"/>
      <c r="N4451" s="86"/>
      <c r="O4451" s="86"/>
      <c r="P4451" s="86"/>
      <c r="Q4451" s="86"/>
      <c r="R4451" s="86"/>
      <c r="S4451" s="86"/>
      <c r="T4451" s="86"/>
      <c r="U4451" s="86"/>
      <c r="V4451" s="48"/>
      <c r="W4451" s="48"/>
      <c r="X4451" s="48"/>
      <c r="Y4451" s="48"/>
      <c r="Z4451" s="48"/>
      <c r="AA4451" s="48"/>
      <c r="AB4451" s="48"/>
      <c r="AC4451" s="48"/>
      <c r="AD4451" s="48"/>
      <c r="AE4451" s="48"/>
      <c r="AF4451" s="48"/>
      <c r="AG4451" s="48"/>
      <c r="AH4451" s="48"/>
      <c r="AI4451" s="48"/>
      <c r="AJ4451" s="48"/>
      <c r="AK4451" s="48"/>
      <c r="AL4451" s="48"/>
      <c r="AM4451" s="48"/>
      <c r="AN4451" s="48"/>
      <c r="AO4451" s="48"/>
      <c r="AP4451" s="48"/>
      <c r="AQ4451" s="48"/>
      <c r="AR4451" s="48"/>
      <c r="AS4451" s="48"/>
      <c r="AT4451" s="48"/>
      <c r="AU4451" s="48"/>
      <c r="AV4451" s="48"/>
      <c r="AW4451" s="48"/>
      <c r="AX4451" s="48"/>
      <c r="AY4451" s="48"/>
      <c r="AZ4451" s="48"/>
      <c r="BA4451" s="48"/>
      <c r="BB4451" s="48"/>
      <c r="BC4451" s="48"/>
      <c r="BD4451" s="48"/>
    </row>
    <row r="4452" spans="1:56">
      <c r="A4452" s="48"/>
      <c r="B4452" s="48"/>
      <c r="C4452" s="49"/>
      <c r="D4452" s="48"/>
      <c r="E4452" s="48"/>
      <c r="F4452" s="48"/>
      <c r="G4452" s="48"/>
      <c r="H4452" s="48"/>
      <c r="I4452" s="48"/>
      <c r="J4452" s="86"/>
      <c r="K4452" s="86"/>
      <c r="L4452" s="86"/>
      <c r="M4452" s="86"/>
      <c r="N4452" s="86"/>
      <c r="O4452" s="86"/>
      <c r="P4452" s="86"/>
      <c r="Q4452" s="86"/>
      <c r="R4452" s="86"/>
      <c r="S4452" s="86"/>
      <c r="T4452" s="86"/>
      <c r="U4452" s="86"/>
      <c r="V4452" s="48"/>
      <c r="W4452" s="48"/>
      <c r="X4452" s="48"/>
      <c r="Y4452" s="48"/>
      <c r="Z4452" s="48"/>
      <c r="AA4452" s="48"/>
      <c r="AB4452" s="48"/>
      <c r="AC4452" s="48"/>
      <c r="AD4452" s="48"/>
      <c r="AE4452" s="48"/>
      <c r="AF4452" s="48"/>
      <c r="AG4452" s="48"/>
      <c r="AH4452" s="48"/>
      <c r="AI4452" s="48"/>
      <c r="AJ4452" s="48"/>
      <c r="AK4452" s="48"/>
      <c r="AL4452" s="48"/>
      <c r="AM4452" s="48"/>
      <c r="AN4452" s="48"/>
      <c r="AO4452" s="48"/>
      <c r="AP4452" s="48"/>
      <c r="AQ4452" s="48"/>
      <c r="AR4452" s="48"/>
      <c r="AS4452" s="48"/>
      <c r="AT4452" s="48"/>
      <c r="AU4452" s="48"/>
      <c r="AV4452" s="48"/>
      <c r="AW4452" s="48"/>
      <c r="AX4452" s="48"/>
      <c r="AY4452" s="48"/>
      <c r="AZ4452" s="48"/>
      <c r="BA4452" s="48"/>
      <c r="BB4452" s="48"/>
      <c r="BC4452" s="48"/>
      <c r="BD4452" s="48"/>
    </row>
    <row r="4453" spans="1:56">
      <c r="A4453" s="48"/>
      <c r="B4453" s="48"/>
      <c r="C4453" s="49"/>
      <c r="D4453" s="48"/>
      <c r="E4453" s="48"/>
      <c r="F4453" s="48"/>
      <c r="G4453" s="48"/>
      <c r="H4453" s="48"/>
      <c r="I4453" s="48"/>
      <c r="J4453" s="86"/>
      <c r="K4453" s="86"/>
      <c r="L4453" s="86"/>
      <c r="M4453" s="86"/>
      <c r="N4453" s="86"/>
      <c r="O4453" s="86"/>
      <c r="P4453" s="86"/>
      <c r="Q4453" s="86"/>
      <c r="R4453" s="86"/>
      <c r="S4453" s="86"/>
      <c r="T4453" s="86"/>
      <c r="U4453" s="86"/>
      <c r="V4453" s="48"/>
      <c r="W4453" s="48"/>
      <c r="X4453" s="48"/>
      <c r="Y4453" s="48"/>
      <c r="Z4453" s="48"/>
      <c r="AA4453" s="48"/>
      <c r="AB4453" s="48"/>
      <c r="AC4453" s="48"/>
      <c r="AD4453" s="48"/>
      <c r="AE4453" s="48"/>
      <c r="AF4453" s="48"/>
      <c r="AG4453" s="48"/>
      <c r="AH4453" s="48"/>
      <c r="AI4453" s="48"/>
      <c r="AJ4453" s="48"/>
      <c r="AK4453" s="48"/>
      <c r="AL4453" s="48"/>
      <c r="AM4453" s="48"/>
      <c r="AN4453" s="48"/>
      <c r="AO4453" s="48"/>
      <c r="AP4453" s="48"/>
      <c r="AQ4453" s="48"/>
      <c r="AR4453" s="48"/>
      <c r="AS4453" s="48"/>
      <c r="AT4453" s="48"/>
      <c r="AU4453" s="48"/>
      <c r="AV4453" s="48"/>
      <c r="AW4453" s="48"/>
      <c r="AX4453" s="48"/>
      <c r="AY4453" s="48"/>
      <c r="AZ4453" s="48"/>
      <c r="BA4453" s="48"/>
      <c r="BB4453" s="48"/>
      <c r="BC4453" s="48"/>
      <c r="BD4453" s="48"/>
    </row>
    <row r="4454" spans="1:56">
      <c r="A4454" s="48"/>
      <c r="B4454" s="48"/>
      <c r="C4454" s="49"/>
      <c r="D4454" s="48"/>
      <c r="E4454" s="48"/>
      <c r="F4454" s="48"/>
      <c r="G4454" s="48"/>
      <c r="H4454" s="48"/>
      <c r="I4454" s="48"/>
      <c r="J4454" s="86"/>
      <c r="K4454" s="86"/>
      <c r="L4454" s="86"/>
      <c r="M4454" s="86"/>
      <c r="N4454" s="86"/>
      <c r="O4454" s="86"/>
      <c r="P4454" s="86"/>
      <c r="Q4454" s="86"/>
      <c r="R4454" s="86"/>
      <c r="S4454" s="86"/>
      <c r="T4454" s="86"/>
      <c r="U4454" s="86"/>
      <c r="V4454" s="48"/>
      <c r="W4454" s="48"/>
      <c r="X4454" s="48"/>
      <c r="Y4454" s="48"/>
      <c r="Z4454" s="48"/>
      <c r="AA4454" s="48"/>
      <c r="AB4454" s="48"/>
      <c r="AC4454" s="48"/>
      <c r="AD4454" s="48"/>
      <c r="AE4454" s="48"/>
      <c r="AF4454" s="48"/>
      <c r="AG4454" s="48"/>
      <c r="AH4454" s="48"/>
      <c r="AI4454" s="48"/>
      <c r="AJ4454" s="48"/>
      <c r="AK4454" s="48"/>
      <c r="AL4454" s="48"/>
      <c r="AM4454" s="48"/>
      <c r="AN4454" s="48"/>
      <c r="AO4454" s="48"/>
      <c r="AP4454" s="48"/>
      <c r="AQ4454" s="48"/>
      <c r="AR4454" s="48"/>
      <c r="AS4454" s="48"/>
      <c r="AT4454" s="48"/>
      <c r="AU4454" s="48"/>
      <c r="AV4454" s="48"/>
      <c r="AW4454" s="48"/>
      <c r="AX4454" s="48"/>
      <c r="AY4454" s="48"/>
      <c r="AZ4454" s="48"/>
      <c r="BA4454" s="48"/>
      <c r="BB4454" s="48"/>
      <c r="BC4454" s="48"/>
      <c r="BD4454" s="48"/>
    </row>
    <row r="4455" spans="1:56">
      <c r="A4455" s="48"/>
      <c r="B4455" s="48"/>
      <c r="C4455" s="49"/>
      <c r="D4455" s="48"/>
      <c r="E4455" s="48"/>
      <c r="F4455" s="48"/>
      <c r="G4455" s="48"/>
      <c r="H4455" s="48"/>
      <c r="I4455" s="48"/>
      <c r="J4455" s="86"/>
      <c r="K4455" s="86"/>
      <c r="L4455" s="86"/>
      <c r="M4455" s="86"/>
      <c r="N4455" s="86"/>
      <c r="O4455" s="86"/>
      <c r="P4455" s="86"/>
      <c r="Q4455" s="86"/>
      <c r="R4455" s="86"/>
      <c r="S4455" s="86"/>
      <c r="T4455" s="86"/>
      <c r="U4455" s="86"/>
      <c r="V4455" s="48"/>
      <c r="W4455" s="48"/>
      <c r="X4455" s="48"/>
      <c r="Y4455" s="48"/>
      <c r="Z4455" s="48"/>
      <c r="AA4455" s="48"/>
      <c r="AB4455" s="48"/>
      <c r="AC4455" s="48"/>
      <c r="AD4455" s="48"/>
      <c r="AE4455" s="48"/>
      <c r="AF4455" s="48"/>
      <c r="AG4455" s="48"/>
      <c r="AH4455" s="48"/>
      <c r="AI4455" s="48"/>
      <c r="AJ4455" s="48"/>
      <c r="AK4455" s="48"/>
      <c r="AL4455" s="48"/>
      <c r="AM4455" s="48"/>
      <c r="AN4455" s="48"/>
      <c r="AO4455" s="48"/>
      <c r="AP4455" s="48"/>
      <c r="AQ4455" s="48"/>
      <c r="AR4455" s="48"/>
      <c r="AS4455" s="48"/>
      <c r="AT4455" s="48"/>
      <c r="AU4455" s="48"/>
      <c r="AV4455" s="48"/>
      <c r="AW4455" s="48"/>
      <c r="AX4455" s="48"/>
      <c r="AY4455" s="48"/>
      <c r="AZ4455" s="48"/>
      <c r="BA4455" s="48"/>
      <c r="BB4455" s="48"/>
      <c r="BC4455" s="48"/>
      <c r="BD4455" s="48"/>
    </row>
    <row r="4456" spans="1:56">
      <c r="A4456" s="48"/>
      <c r="B4456" s="48"/>
      <c r="C4456" s="49"/>
      <c r="D4456" s="48"/>
      <c r="E4456" s="48"/>
      <c r="F4456" s="48"/>
      <c r="G4456" s="48"/>
      <c r="H4456" s="48"/>
      <c r="I4456" s="48"/>
      <c r="J4456" s="86"/>
      <c r="K4456" s="86"/>
      <c r="L4456" s="86"/>
      <c r="M4456" s="86"/>
      <c r="N4456" s="86"/>
      <c r="O4456" s="86"/>
      <c r="P4456" s="86"/>
      <c r="Q4456" s="86"/>
      <c r="R4456" s="86"/>
      <c r="S4456" s="86"/>
      <c r="T4456" s="86"/>
      <c r="U4456" s="86"/>
      <c r="V4456" s="48"/>
      <c r="W4456" s="48"/>
      <c r="X4456" s="48"/>
      <c r="Y4456" s="48"/>
      <c r="Z4456" s="48"/>
      <c r="AA4456" s="48"/>
      <c r="AB4456" s="48"/>
      <c r="AC4456" s="48"/>
      <c r="AD4456" s="48"/>
      <c r="AE4456" s="48"/>
      <c r="AF4456" s="48"/>
      <c r="AG4456" s="48"/>
      <c r="AH4456" s="48"/>
      <c r="AI4456" s="48"/>
      <c r="AJ4456" s="48"/>
      <c r="AK4456" s="48"/>
      <c r="AL4456" s="48"/>
      <c r="AM4456" s="48"/>
      <c r="AN4456" s="48"/>
      <c r="AO4456" s="48"/>
      <c r="AP4456" s="48"/>
      <c r="AQ4456" s="48"/>
      <c r="AR4456" s="48"/>
      <c r="AS4456" s="48"/>
      <c r="AT4456" s="48"/>
      <c r="AU4456" s="48"/>
      <c r="AV4456" s="48"/>
      <c r="AW4456" s="48"/>
      <c r="AX4456" s="48"/>
      <c r="AY4456" s="48"/>
      <c r="AZ4456" s="48"/>
      <c r="BA4456" s="48"/>
      <c r="BB4456" s="48"/>
      <c r="BC4456" s="48"/>
      <c r="BD4456" s="48"/>
    </row>
    <row r="4457" spans="1:56">
      <c r="A4457" s="48"/>
      <c r="B4457" s="48"/>
      <c r="C4457" s="49"/>
      <c r="D4457" s="48"/>
      <c r="E4457" s="48"/>
      <c r="F4457" s="48"/>
      <c r="G4457" s="48"/>
      <c r="H4457" s="48"/>
      <c r="I4457" s="48"/>
      <c r="J4457" s="86"/>
      <c r="K4457" s="86"/>
      <c r="L4457" s="86"/>
      <c r="M4457" s="86"/>
      <c r="N4457" s="86"/>
      <c r="O4457" s="86"/>
      <c r="P4457" s="86"/>
      <c r="Q4457" s="86"/>
      <c r="R4457" s="86"/>
      <c r="S4457" s="86"/>
      <c r="T4457" s="86"/>
      <c r="U4457" s="86"/>
      <c r="V4457" s="48"/>
      <c r="W4457" s="48"/>
      <c r="X4457" s="48"/>
      <c r="Y4457" s="48"/>
      <c r="Z4457" s="48"/>
      <c r="AA4457" s="48"/>
      <c r="AB4457" s="48"/>
      <c r="AC4457" s="48"/>
      <c r="AD4457" s="48"/>
      <c r="AE4457" s="48"/>
      <c r="AF4457" s="48"/>
      <c r="AG4457" s="48"/>
      <c r="AH4457" s="48"/>
      <c r="AI4457" s="48"/>
      <c r="AJ4457" s="48"/>
      <c r="AK4457" s="48"/>
      <c r="AL4457" s="48"/>
      <c r="AM4457" s="48"/>
      <c r="AN4457" s="48"/>
      <c r="AO4457" s="48"/>
      <c r="AP4457" s="48"/>
      <c r="AQ4457" s="48"/>
      <c r="AR4457" s="48"/>
      <c r="AS4457" s="48"/>
      <c r="AT4457" s="48"/>
      <c r="AU4457" s="48"/>
      <c r="AV4457" s="48"/>
      <c r="AW4457" s="48"/>
      <c r="AX4457" s="48"/>
      <c r="AY4457" s="48"/>
      <c r="AZ4457" s="48"/>
      <c r="BA4457" s="48"/>
      <c r="BB4457" s="48"/>
      <c r="BC4457" s="48"/>
      <c r="BD4457" s="48"/>
    </row>
    <row r="4458" spans="1:56">
      <c r="A4458" s="48"/>
      <c r="B4458" s="48"/>
      <c r="C4458" s="49"/>
      <c r="D4458" s="48"/>
      <c r="E4458" s="48"/>
      <c r="F4458" s="48"/>
      <c r="G4458" s="48"/>
      <c r="H4458" s="48"/>
      <c r="I4458" s="48"/>
      <c r="J4458" s="86"/>
      <c r="K4458" s="86"/>
      <c r="L4458" s="86"/>
      <c r="M4458" s="86"/>
      <c r="N4458" s="86"/>
      <c r="O4458" s="86"/>
      <c r="P4458" s="86"/>
      <c r="Q4458" s="86"/>
      <c r="R4458" s="86"/>
      <c r="S4458" s="86"/>
      <c r="T4458" s="86"/>
      <c r="U4458" s="86"/>
      <c r="V4458" s="48"/>
      <c r="W4458" s="48"/>
      <c r="X4458" s="48"/>
      <c r="Y4458" s="48"/>
      <c r="Z4458" s="48"/>
      <c r="AA4458" s="48"/>
      <c r="AB4458" s="48"/>
      <c r="AC4458" s="48"/>
      <c r="AD4458" s="48"/>
      <c r="AE4458" s="48"/>
      <c r="AF4458" s="48"/>
      <c r="AG4458" s="48"/>
      <c r="AH4458" s="48"/>
      <c r="AI4458" s="48"/>
      <c r="AJ4458" s="48"/>
      <c r="AK4458" s="48"/>
      <c r="AL4458" s="48"/>
      <c r="AM4458" s="48"/>
      <c r="AN4458" s="48"/>
      <c r="AO4458" s="48"/>
      <c r="AP4458" s="48"/>
      <c r="AQ4458" s="48"/>
      <c r="AR4458" s="48"/>
      <c r="AS4458" s="48"/>
      <c r="AT4458" s="48"/>
      <c r="AU4458" s="48"/>
      <c r="AV4458" s="48"/>
      <c r="AW4458" s="48"/>
      <c r="AX4458" s="48"/>
      <c r="AY4458" s="48"/>
      <c r="AZ4458" s="48"/>
      <c r="BA4458" s="48"/>
      <c r="BB4458" s="48"/>
      <c r="BC4458" s="48"/>
      <c r="BD4458" s="48"/>
    </row>
    <row r="4459" spans="1:56">
      <c r="A4459" s="48"/>
      <c r="B4459" s="48"/>
      <c r="C4459" s="49"/>
      <c r="D4459" s="48"/>
      <c r="E4459" s="48"/>
      <c r="F4459" s="48"/>
      <c r="G4459" s="48"/>
      <c r="H4459" s="48"/>
      <c r="I4459" s="48"/>
      <c r="J4459" s="86"/>
      <c r="K4459" s="86"/>
      <c r="L4459" s="86"/>
      <c r="M4459" s="86"/>
      <c r="N4459" s="86"/>
      <c r="O4459" s="86"/>
      <c r="P4459" s="86"/>
      <c r="Q4459" s="86"/>
      <c r="R4459" s="86"/>
      <c r="S4459" s="86"/>
      <c r="T4459" s="86"/>
      <c r="U4459" s="86"/>
      <c r="V4459" s="48"/>
      <c r="W4459" s="48"/>
      <c r="X4459" s="48"/>
      <c r="Y4459" s="48"/>
      <c r="Z4459" s="48"/>
      <c r="AA4459" s="48"/>
      <c r="AB4459" s="48"/>
      <c r="AC4459" s="48"/>
      <c r="AD4459" s="48"/>
      <c r="AE4459" s="48"/>
      <c r="AF4459" s="48"/>
      <c r="AG4459" s="48"/>
      <c r="AH4459" s="48"/>
      <c r="AI4459" s="48"/>
      <c r="AJ4459" s="48"/>
      <c r="AK4459" s="48"/>
      <c r="AL4459" s="48"/>
      <c r="AM4459" s="48"/>
      <c r="AN4459" s="48"/>
      <c r="AO4459" s="48"/>
      <c r="AP4459" s="48"/>
      <c r="AQ4459" s="48"/>
      <c r="AR4459" s="48"/>
      <c r="AS4459" s="48"/>
      <c r="AT4459" s="48"/>
      <c r="AU4459" s="48"/>
      <c r="AV4459" s="48"/>
      <c r="AW4459" s="48"/>
      <c r="AX4459" s="48"/>
      <c r="AY4459" s="48"/>
      <c r="AZ4459" s="48"/>
      <c r="BA4459" s="48"/>
      <c r="BB4459" s="48"/>
      <c r="BC4459" s="48"/>
      <c r="BD4459" s="48"/>
    </row>
    <row r="4460" spans="1:56">
      <c r="A4460" s="48"/>
      <c r="B4460" s="48"/>
      <c r="C4460" s="49"/>
      <c r="D4460" s="48"/>
      <c r="E4460" s="48"/>
      <c r="F4460" s="48"/>
      <c r="G4460" s="48"/>
      <c r="H4460" s="48"/>
      <c r="I4460" s="48"/>
      <c r="J4460" s="86"/>
      <c r="K4460" s="86"/>
      <c r="L4460" s="86"/>
      <c r="M4460" s="86"/>
      <c r="N4460" s="86"/>
      <c r="O4460" s="86"/>
      <c r="P4460" s="86"/>
      <c r="Q4460" s="86"/>
      <c r="R4460" s="86"/>
      <c r="S4460" s="86"/>
      <c r="T4460" s="86"/>
      <c r="U4460" s="86"/>
      <c r="V4460" s="48"/>
      <c r="W4460" s="48"/>
      <c r="X4460" s="48"/>
      <c r="Y4460" s="48"/>
      <c r="Z4460" s="48"/>
      <c r="AA4460" s="48"/>
      <c r="AB4460" s="48"/>
      <c r="AC4460" s="48"/>
      <c r="AD4460" s="48"/>
      <c r="AE4460" s="48"/>
      <c r="AF4460" s="48"/>
      <c r="AG4460" s="48"/>
      <c r="AH4460" s="48"/>
      <c r="AI4460" s="48"/>
      <c r="AJ4460" s="48"/>
      <c r="AK4460" s="48"/>
      <c r="AL4460" s="48"/>
      <c r="AM4460" s="48"/>
      <c r="AN4460" s="48"/>
      <c r="AO4460" s="48"/>
      <c r="AP4460" s="48"/>
      <c r="AQ4460" s="48"/>
      <c r="AR4460" s="48"/>
      <c r="AS4460" s="48"/>
      <c r="AT4460" s="48"/>
      <c r="AU4460" s="48"/>
      <c r="AV4460" s="48"/>
      <c r="AW4460" s="48"/>
      <c r="AX4460" s="48"/>
      <c r="AY4460" s="48"/>
      <c r="AZ4460" s="48"/>
      <c r="BA4460" s="48"/>
      <c r="BB4460" s="48"/>
      <c r="BC4460" s="48"/>
      <c r="BD4460" s="48"/>
    </row>
    <row r="4461" spans="1:56">
      <c r="A4461" s="48"/>
      <c r="B4461" s="48"/>
      <c r="C4461" s="49"/>
      <c r="D4461" s="48"/>
      <c r="E4461" s="48"/>
      <c r="F4461" s="48"/>
      <c r="G4461" s="48"/>
      <c r="H4461" s="48"/>
      <c r="I4461" s="48"/>
      <c r="J4461" s="86"/>
      <c r="K4461" s="86"/>
      <c r="L4461" s="86"/>
      <c r="M4461" s="86"/>
      <c r="N4461" s="86"/>
      <c r="O4461" s="86"/>
      <c r="P4461" s="86"/>
      <c r="Q4461" s="86"/>
      <c r="R4461" s="86"/>
      <c r="S4461" s="86"/>
      <c r="T4461" s="86"/>
      <c r="U4461" s="86"/>
      <c r="V4461" s="48"/>
      <c r="W4461" s="48"/>
      <c r="X4461" s="48"/>
      <c r="Y4461" s="48"/>
      <c r="Z4461" s="48"/>
      <c r="AA4461" s="48"/>
      <c r="AB4461" s="48"/>
      <c r="AC4461" s="48"/>
      <c r="AD4461" s="48"/>
      <c r="AE4461" s="48"/>
      <c r="AF4461" s="48"/>
      <c r="AG4461" s="48"/>
      <c r="AH4461" s="48"/>
      <c r="AI4461" s="48"/>
      <c r="AJ4461" s="48"/>
      <c r="AK4461" s="48"/>
      <c r="AL4461" s="48"/>
      <c r="AM4461" s="48"/>
      <c r="AN4461" s="48"/>
      <c r="AO4461" s="48"/>
      <c r="AP4461" s="48"/>
      <c r="AQ4461" s="48"/>
      <c r="AR4461" s="48"/>
      <c r="AS4461" s="48"/>
      <c r="AT4461" s="48"/>
      <c r="AU4461" s="48"/>
      <c r="AV4461" s="48"/>
      <c r="AW4461" s="48"/>
      <c r="AX4461" s="48"/>
      <c r="AY4461" s="48"/>
      <c r="AZ4461" s="48"/>
      <c r="BA4461" s="48"/>
      <c r="BB4461" s="48"/>
      <c r="BC4461" s="48"/>
      <c r="BD4461" s="48"/>
    </row>
    <row r="4462" spans="1:56">
      <c r="A4462" s="48"/>
      <c r="B4462" s="48"/>
      <c r="C4462" s="49"/>
      <c r="D4462" s="48"/>
      <c r="E4462" s="48"/>
      <c r="F4462" s="48"/>
      <c r="G4462" s="48"/>
      <c r="H4462" s="48"/>
      <c r="I4462" s="48"/>
      <c r="J4462" s="86"/>
      <c r="K4462" s="86"/>
      <c r="L4462" s="86"/>
      <c r="M4462" s="86"/>
      <c r="N4462" s="86"/>
      <c r="O4462" s="86"/>
      <c r="P4462" s="86"/>
      <c r="Q4462" s="86"/>
      <c r="R4462" s="86"/>
      <c r="S4462" s="86"/>
      <c r="T4462" s="86"/>
      <c r="U4462" s="86"/>
      <c r="V4462" s="48"/>
      <c r="W4462" s="48"/>
      <c r="X4462" s="48"/>
      <c r="Y4462" s="48"/>
      <c r="Z4462" s="48"/>
      <c r="AA4462" s="48"/>
      <c r="AB4462" s="48"/>
      <c r="AC4462" s="48"/>
      <c r="AD4462" s="48"/>
      <c r="AE4462" s="48"/>
      <c r="AF4462" s="48"/>
      <c r="AG4462" s="48"/>
      <c r="AH4462" s="48"/>
      <c r="AI4462" s="48"/>
      <c r="AJ4462" s="48"/>
      <c r="AK4462" s="48"/>
      <c r="AL4462" s="48"/>
      <c r="AM4462" s="48"/>
      <c r="AN4462" s="48"/>
      <c r="AO4462" s="48"/>
      <c r="AP4462" s="48"/>
      <c r="AQ4462" s="48"/>
      <c r="AR4462" s="48"/>
      <c r="AS4462" s="48"/>
      <c r="AT4462" s="48"/>
      <c r="AU4462" s="48"/>
      <c r="AV4462" s="48"/>
      <c r="AW4462" s="48"/>
      <c r="AX4462" s="48"/>
      <c r="AY4462" s="48"/>
      <c r="AZ4462" s="48"/>
      <c r="BA4462" s="48"/>
      <c r="BB4462" s="48"/>
      <c r="BC4462" s="48"/>
      <c r="BD4462" s="48"/>
    </row>
    <row r="4463" spans="1:56">
      <c r="A4463" s="48"/>
      <c r="B4463" s="48"/>
      <c r="C4463" s="49"/>
      <c r="D4463" s="48"/>
      <c r="E4463" s="48"/>
      <c r="F4463" s="48"/>
      <c r="G4463" s="48"/>
      <c r="H4463" s="48"/>
      <c r="I4463" s="48"/>
      <c r="J4463" s="86"/>
      <c r="K4463" s="86"/>
      <c r="L4463" s="86"/>
      <c r="M4463" s="86"/>
      <c r="N4463" s="86"/>
      <c r="O4463" s="86"/>
      <c r="P4463" s="86"/>
      <c r="Q4463" s="86"/>
      <c r="R4463" s="86"/>
      <c r="S4463" s="86"/>
      <c r="T4463" s="86"/>
      <c r="U4463" s="86"/>
      <c r="V4463" s="48"/>
      <c r="W4463" s="48"/>
      <c r="X4463" s="48"/>
      <c r="Y4463" s="48"/>
      <c r="Z4463" s="48"/>
      <c r="AA4463" s="48"/>
      <c r="AB4463" s="48"/>
      <c r="AC4463" s="48"/>
      <c r="AD4463" s="48"/>
      <c r="AE4463" s="48"/>
      <c r="AF4463" s="48"/>
      <c r="AG4463" s="48"/>
      <c r="AH4463" s="48"/>
      <c r="AI4463" s="48"/>
      <c r="AJ4463" s="48"/>
      <c r="AK4463" s="48"/>
      <c r="AL4463" s="48"/>
      <c r="AM4463" s="48"/>
      <c r="AN4463" s="48"/>
      <c r="AO4463" s="48"/>
      <c r="AP4463" s="48"/>
      <c r="AQ4463" s="48"/>
      <c r="AR4463" s="48"/>
      <c r="AS4463" s="48"/>
      <c r="AT4463" s="48"/>
      <c r="AU4463" s="48"/>
      <c r="AV4463" s="48"/>
      <c r="AW4463" s="48"/>
      <c r="AX4463" s="48"/>
      <c r="AY4463" s="48"/>
      <c r="AZ4463" s="48"/>
      <c r="BA4463" s="48"/>
      <c r="BB4463" s="48"/>
      <c r="BC4463" s="48"/>
      <c r="BD4463" s="48"/>
    </row>
    <row r="4464" spans="1:56">
      <c r="A4464" s="48"/>
      <c r="B4464" s="48"/>
      <c r="C4464" s="49"/>
      <c r="D4464" s="48"/>
      <c r="E4464" s="48"/>
      <c r="F4464" s="48"/>
      <c r="G4464" s="48"/>
      <c r="H4464" s="48"/>
      <c r="I4464" s="48"/>
      <c r="J4464" s="86"/>
      <c r="K4464" s="86"/>
      <c r="L4464" s="86"/>
      <c r="M4464" s="86"/>
      <c r="N4464" s="86"/>
      <c r="O4464" s="86"/>
      <c r="P4464" s="86"/>
      <c r="Q4464" s="86"/>
      <c r="R4464" s="86"/>
      <c r="S4464" s="86"/>
      <c r="T4464" s="86"/>
      <c r="U4464" s="86"/>
      <c r="V4464" s="48"/>
      <c r="W4464" s="48"/>
      <c r="X4464" s="48"/>
      <c r="Y4464" s="48"/>
      <c r="Z4464" s="48"/>
      <c r="AA4464" s="48"/>
      <c r="AB4464" s="48"/>
      <c r="AC4464" s="48"/>
      <c r="AD4464" s="48"/>
      <c r="AE4464" s="48"/>
      <c r="AF4464" s="48"/>
      <c r="AG4464" s="48"/>
      <c r="AH4464" s="48"/>
      <c r="AI4464" s="48"/>
      <c r="AJ4464" s="48"/>
      <c r="AK4464" s="48"/>
      <c r="AL4464" s="48"/>
      <c r="AM4464" s="48"/>
      <c r="AN4464" s="48"/>
      <c r="AO4464" s="48"/>
      <c r="AP4464" s="48"/>
      <c r="AQ4464" s="48"/>
      <c r="AR4464" s="48"/>
      <c r="AS4464" s="48"/>
      <c r="AT4464" s="48"/>
      <c r="AU4464" s="48"/>
      <c r="AV4464" s="48"/>
      <c r="AW4464" s="48"/>
      <c r="AX4464" s="48"/>
      <c r="AY4464" s="48"/>
      <c r="AZ4464" s="48"/>
      <c r="BA4464" s="48"/>
      <c r="BB4464" s="48"/>
      <c r="BC4464" s="48"/>
      <c r="BD4464" s="48"/>
    </row>
    <row r="4465" spans="1:56">
      <c r="A4465" s="48"/>
      <c r="B4465" s="48"/>
      <c r="C4465" s="49"/>
      <c r="D4465" s="48"/>
      <c r="E4465" s="48"/>
      <c r="F4465" s="48"/>
      <c r="G4465" s="48"/>
      <c r="H4465" s="48"/>
      <c r="I4465" s="48"/>
      <c r="J4465" s="86"/>
      <c r="K4465" s="86"/>
      <c r="L4465" s="86"/>
      <c r="M4465" s="86"/>
      <c r="N4465" s="86"/>
      <c r="O4465" s="86"/>
      <c r="P4465" s="86"/>
      <c r="Q4465" s="86"/>
      <c r="R4465" s="86"/>
      <c r="S4465" s="86"/>
      <c r="T4465" s="86"/>
      <c r="U4465" s="86"/>
      <c r="V4465" s="48"/>
      <c r="W4465" s="48"/>
      <c r="X4465" s="48"/>
      <c r="Y4465" s="48"/>
      <c r="Z4465" s="48"/>
      <c r="AA4465" s="48"/>
      <c r="AB4465" s="48"/>
      <c r="AC4465" s="48"/>
      <c r="AD4465" s="48"/>
      <c r="AE4465" s="48"/>
      <c r="AF4465" s="48"/>
      <c r="AG4465" s="48"/>
      <c r="AH4465" s="48"/>
      <c r="AI4465" s="48"/>
      <c r="AJ4465" s="48"/>
      <c r="AK4465" s="48"/>
      <c r="AL4465" s="48"/>
      <c r="AM4465" s="48"/>
      <c r="AN4465" s="48"/>
      <c r="AO4465" s="48"/>
      <c r="AP4465" s="48"/>
      <c r="AQ4465" s="48"/>
      <c r="AR4465" s="48"/>
      <c r="AS4465" s="48"/>
      <c r="AT4465" s="48"/>
      <c r="AU4465" s="48"/>
      <c r="AV4465" s="48"/>
      <c r="AW4465" s="48"/>
      <c r="AX4465" s="48"/>
      <c r="AY4465" s="48"/>
      <c r="AZ4465" s="48"/>
      <c r="BA4465" s="48"/>
      <c r="BB4465" s="48"/>
      <c r="BC4465" s="48"/>
      <c r="BD4465" s="48"/>
    </row>
    <row r="4466" spans="1:56">
      <c r="A4466" s="48"/>
      <c r="B4466" s="48"/>
      <c r="C4466" s="49"/>
      <c r="D4466" s="48"/>
      <c r="E4466" s="48"/>
      <c r="F4466" s="48"/>
      <c r="G4466" s="48"/>
      <c r="H4466" s="48"/>
      <c r="I4466" s="48"/>
      <c r="J4466" s="86"/>
      <c r="K4466" s="86"/>
      <c r="L4466" s="86"/>
      <c r="M4466" s="86"/>
      <c r="N4466" s="86"/>
      <c r="O4466" s="86"/>
      <c r="P4466" s="86"/>
      <c r="Q4466" s="86"/>
      <c r="R4466" s="86"/>
      <c r="S4466" s="86"/>
      <c r="T4466" s="86"/>
      <c r="U4466" s="86"/>
      <c r="V4466" s="48"/>
      <c r="W4466" s="48"/>
      <c r="X4466" s="48"/>
      <c r="Y4466" s="48"/>
      <c r="Z4466" s="48"/>
      <c r="AA4466" s="48"/>
      <c r="AB4466" s="48"/>
      <c r="AC4466" s="48"/>
      <c r="AD4466" s="48"/>
      <c r="AE4466" s="48"/>
      <c r="AF4466" s="48"/>
      <c r="AG4466" s="48"/>
      <c r="AH4466" s="48"/>
      <c r="AI4466" s="48"/>
      <c r="AJ4466" s="48"/>
      <c r="AK4466" s="48"/>
      <c r="AL4466" s="48"/>
      <c r="AM4466" s="48"/>
      <c r="AN4466" s="48"/>
      <c r="AO4466" s="48"/>
      <c r="AP4466" s="48"/>
      <c r="AQ4466" s="48"/>
      <c r="AR4466" s="48"/>
      <c r="AS4466" s="48"/>
      <c r="AT4466" s="48"/>
      <c r="AU4466" s="48"/>
      <c r="AV4466" s="48"/>
      <c r="AW4466" s="48"/>
      <c r="AX4466" s="48"/>
      <c r="AY4466" s="48"/>
      <c r="AZ4466" s="48"/>
      <c r="BA4466" s="48"/>
      <c r="BB4466" s="48"/>
      <c r="BC4466" s="48"/>
      <c r="BD4466" s="48"/>
    </row>
    <row r="4467" spans="1:56">
      <c r="A4467" s="48"/>
      <c r="B4467" s="48"/>
      <c r="C4467" s="49"/>
      <c r="D4467" s="48"/>
      <c r="E4467" s="48"/>
      <c r="F4467" s="48"/>
      <c r="G4467" s="48"/>
      <c r="H4467" s="48"/>
      <c r="I4467" s="48"/>
      <c r="J4467" s="86"/>
      <c r="K4467" s="86"/>
      <c r="L4467" s="86"/>
      <c r="M4467" s="86"/>
      <c r="N4467" s="86"/>
      <c r="O4467" s="86"/>
      <c r="P4467" s="86"/>
      <c r="Q4467" s="86"/>
      <c r="R4467" s="86"/>
      <c r="S4467" s="86"/>
      <c r="T4467" s="86"/>
      <c r="U4467" s="86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48"/>
      <c r="BB4467" s="48"/>
      <c r="BC4467" s="48"/>
      <c r="BD4467" s="48"/>
    </row>
    <row r="4468" spans="1:56">
      <c r="A4468" s="48"/>
      <c r="B4468" s="48"/>
      <c r="C4468" s="49"/>
      <c r="D4468" s="48"/>
      <c r="E4468" s="48"/>
      <c r="F4468" s="48"/>
      <c r="G4468" s="48"/>
      <c r="H4468" s="48"/>
      <c r="I4468" s="48"/>
      <c r="J4468" s="86"/>
      <c r="K4468" s="86"/>
      <c r="L4468" s="86"/>
      <c r="M4468" s="86"/>
      <c r="N4468" s="86"/>
      <c r="O4468" s="86"/>
      <c r="P4468" s="86"/>
      <c r="Q4468" s="86"/>
      <c r="R4468" s="86"/>
      <c r="S4468" s="86"/>
      <c r="T4468" s="86"/>
      <c r="U4468" s="86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48"/>
      <c r="BB4468" s="48"/>
      <c r="BC4468" s="48"/>
      <c r="BD4468" s="48"/>
    </row>
    <row r="4469" spans="1:56">
      <c r="A4469" s="48"/>
      <c r="B4469" s="48"/>
      <c r="C4469" s="49"/>
      <c r="D4469" s="48"/>
      <c r="E4469" s="48"/>
      <c r="F4469" s="48"/>
      <c r="G4469" s="48"/>
      <c r="H4469" s="48"/>
      <c r="I4469" s="48"/>
      <c r="J4469" s="86"/>
      <c r="K4469" s="86"/>
      <c r="L4469" s="86"/>
      <c r="M4469" s="86"/>
      <c r="N4469" s="86"/>
      <c r="O4469" s="86"/>
      <c r="P4469" s="86"/>
      <c r="Q4469" s="86"/>
      <c r="R4469" s="86"/>
      <c r="S4469" s="86"/>
      <c r="T4469" s="86"/>
      <c r="U4469" s="86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48"/>
      <c r="BB4469" s="48"/>
      <c r="BC4469" s="48"/>
      <c r="BD4469" s="48"/>
    </row>
    <row r="4470" spans="1:56">
      <c r="A4470" s="48"/>
      <c r="B4470" s="48"/>
      <c r="C4470" s="49"/>
      <c r="D4470" s="48"/>
      <c r="E4470" s="48"/>
      <c r="F4470" s="48"/>
      <c r="G4470" s="48"/>
      <c r="H4470" s="48"/>
      <c r="I4470" s="48"/>
      <c r="J4470" s="86"/>
      <c r="K4470" s="86"/>
      <c r="L4470" s="86"/>
      <c r="M4470" s="86"/>
      <c r="N4470" s="86"/>
      <c r="O4470" s="86"/>
      <c r="P4470" s="86"/>
      <c r="Q4470" s="86"/>
      <c r="R4470" s="86"/>
      <c r="S4470" s="86"/>
      <c r="T4470" s="86"/>
      <c r="U4470" s="86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48"/>
      <c r="AL4470" s="48"/>
      <c r="AM4470" s="48"/>
      <c r="AN4470" s="48"/>
      <c r="AO4470" s="48"/>
      <c r="AP4470" s="48"/>
      <c r="AQ4470" s="48"/>
      <c r="AR4470" s="48"/>
      <c r="AS4470" s="48"/>
      <c r="AT4470" s="48"/>
      <c r="AU4470" s="48"/>
      <c r="AV4470" s="48"/>
      <c r="AW4470" s="48"/>
      <c r="AX4470" s="48"/>
      <c r="AY4470" s="48"/>
      <c r="AZ4470" s="48"/>
      <c r="BA4470" s="48"/>
      <c r="BB4470" s="48"/>
      <c r="BC4470" s="48"/>
      <c r="BD4470" s="48"/>
    </row>
    <row r="4471" spans="1:56">
      <c r="A4471" s="48"/>
      <c r="B4471" s="48"/>
      <c r="C4471" s="49"/>
      <c r="D4471" s="48"/>
      <c r="E4471" s="48"/>
      <c r="F4471" s="48"/>
      <c r="G4471" s="48"/>
      <c r="H4471" s="48"/>
      <c r="I4471" s="48"/>
      <c r="J4471" s="86"/>
      <c r="K4471" s="86"/>
      <c r="L4471" s="86"/>
      <c r="M4471" s="86"/>
      <c r="N4471" s="86"/>
      <c r="O4471" s="86"/>
      <c r="P4471" s="86"/>
      <c r="Q4471" s="86"/>
      <c r="R4471" s="86"/>
      <c r="S4471" s="86"/>
      <c r="T4471" s="86"/>
      <c r="U4471" s="86"/>
      <c r="V4471" s="48"/>
      <c r="W4471" s="48"/>
      <c r="X4471" s="48"/>
      <c r="Y4471" s="48"/>
      <c r="Z4471" s="48"/>
      <c r="AA4471" s="48"/>
      <c r="AB4471" s="48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48"/>
      <c r="BB4471" s="48"/>
      <c r="BC4471" s="48"/>
      <c r="BD4471" s="48"/>
    </row>
    <row r="4472" spans="1:56">
      <c r="A4472" s="48"/>
      <c r="B4472" s="48"/>
      <c r="C4472" s="49"/>
      <c r="D4472" s="48"/>
      <c r="E4472" s="48"/>
      <c r="F4472" s="48"/>
      <c r="G4472" s="48"/>
      <c r="H4472" s="48"/>
      <c r="I4472" s="48"/>
      <c r="J4472" s="86"/>
      <c r="K4472" s="86"/>
      <c r="L4472" s="86"/>
      <c r="M4472" s="86"/>
      <c r="N4472" s="86"/>
      <c r="O4472" s="86"/>
      <c r="P4472" s="86"/>
      <c r="Q4472" s="86"/>
      <c r="R4472" s="86"/>
      <c r="S4472" s="86"/>
      <c r="T4472" s="86"/>
      <c r="U4472" s="86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48"/>
      <c r="BB4472" s="48"/>
      <c r="BC4472" s="48"/>
      <c r="BD4472" s="48"/>
    </row>
    <row r="4473" spans="1:56">
      <c r="A4473" s="48"/>
      <c r="B4473" s="48"/>
      <c r="C4473" s="49"/>
      <c r="D4473" s="48"/>
      <c r="E4473" s="48"/>
      <c r="F4473" s="48"/>
      <c r="G4473" s="48"/>
      <c r="H4473" s="48"/>
      <c r="I4473" s="48"/>
      <c r="J4473" s="86"/>
      <c r="K4473" s="86"/>
      <c r="L4473" s="86"/>
      <c r="M4473" s="86"/>
      <c r="N4473" s="86"/>
      <c r="O4473" s="86"/>
      <c r="P4473" s="86"/>
      <c r="Q4473" s="86"/>
      <c r="R4473" s="86"/>
      <c r="S4473" s="86"/>
      <c r="T4473" s="86"/>
      <c r="U4473" s="86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48"/>
      <c r="BB4473" s="48"/>
      <c r="BC4473" s="48"/>
      <c r="BD4473" s="48"/>
    </row>
    <row r="4474" spans="1:56">
      <c r="A4474" s="48"/>
      <c r="B4474" s="48"/>
      <c r="C4474" s="49"/>
      <c r="D4474" s="48"/>
      <c r="E4474" s="48"/>
      <c r="F4474" s="48"/>
      <c r="G4474" s="48"/>
      <c r="H4474" s="48"/>
      <c r="I4474" s="48"/>
      <c r="J4474" s="86"/>
      <c r="K4474" s="86"/>
      <c r="L4474" s="86"/>
      <c r="M4474" s="86"/>
      <c r="N4474" s="86"/>
      <c r="O4474" s="86"/>
      <c r="P4474" s="86"/>
      <c r="Q4474" s="86"/>
      <c r="R4474" s="86"/>
      <c r="S4474" s="86"/>
      <c r="T4474" s="86"/>
      <c r="U4474" s="86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48"/>
      <c r="BB4474" s="48"/>
      <c r="BC4474" s="48"/>
      <c r="BD4474" s="48"/>
    </row>
    <row r="4475" spans="1:56">
      <c r="A4475" s="48"/>
      <c r="B4475" s="48"/>
      <c r="C4475" s="49"/>
      <c r="D4475" s="48"/>
      <c r="E4475" s="48"/>
      <c r="F4475" s="48"/>
      <c r="G4475" s="48"/>
      <c r="H4475" s="48"/>
      <c r="I4475" s="48"/>
      <c r="J4475" s="86"/>
      <c r="K4475" s="86"/>
      <c r="L4475" s="86"/>
      <c r="M4475" s="86"/>
      <c r="N4475" s="86"/>
      <c r="O4475" s="86"/>
      <c r="P4475" s="86"/>
      <c r="Q4475" s="86"/>
      <c r="R4475" s="86"/>
      <c r="S4475" s="86"/>
      <c r="T4475" s="86"/>
      <c r="U4475" s="86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48"/>
      <c r="BB4475" s="48"/>
      <c r="BC4475" s="48"/>
      <c r="BD4475" s="48"/>
    </row>
    <row r="4476" spans="1:56">
      <c r="A4476" s="48"/>
      <c r="B4476" s="48"/>
      <c r="C4476" s="49"/>
      <c r="D4476" s="48"/>
      <c r="E4476" s="48"/>
      <c r="F4476" s="48"/>
      <c r="G4476" s="48"/>
      <c r="H4476" s="48"/>
      <c r="I4476" s="48"/>
      <c r="J4476" s="86"/>
      <c r="K4476" s="86"/>
      <c r="L4476" s="86"/>
      <c r="M4476" s="86"/>
      <c r="N4476" s="86"/>
      <c r="O4476" s="86"/>
      <c r="P4476" s="86"/>
      <c r="Q4476" s="86"/>
      <c r="R4476" s="86"/>
      <c r="S4476" s="86"/>
      <c r="T4476" s="86"/>
      <c r="U4476" s="86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48"/>
      <c r="BB4476" s="48"/>
      <c r="BC4476" s="48"/>
      <c r="BD4476" s="48"/>
    </row>
    <row r="4477" spans="1:56">
      <c r="A4477" s="48"/>
      <c r="B4477" s="48"/>
      <c r="C4477" s="49"/>
      <c r="D4477" s="48"/>
      <c r="E4477" s="48"/>
      <c r="F4477" s="48"/>
      <c r="G4477" s="48"/>
      <c r="H4477" s="48"/>
      <c r="I4477" s="48"/>
      <c r="J4477" s="86"/>
      <c r="K4477" s="86"/>
      <c r="L4477" s="86"/>
      <c r="M4477" s="86"/>
      <c r="N4477" s="86"/>
      <c r="O4477" s="86"/>
      <c r="P4477" s="86"/>
      <c r="Q4477" s="86"/>
      <c r="R4477" s="86"/>
      <c r="S4477" s="86"/>
      <c r="T4477" s="86"/>
      <c r="U4477" s="86"/>
      <c r="V4477" s="48"/>
      <c r="W4477" s="48"/>
      <c r="X4477" s="48"/>
      <c r="Y4477" s="48"/>
      <c r="Z4477" s="48"/>
      <c r="AA4477" s="48"/>
      <c r="AB4477" s="48"/>
      <c r="AC4477" s="48"/>
      <c r="AD4477" s="48"/>
      <c r="AE4477" s="48"/>
      <c r="AF4477" s="48"/>
      <c r="AG4477" s="48"/>
      <c r="AH4477" s="48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48"/>
      <c r="BB4477" s="48"/>
      <c r="BC4477" s="48"/>
      <c r="BD4477" s="48"/>
    </row>
    <row r="4478" spans="1:56">
      <c r="A4478" s="48"/>
      <c r="B4478" s="48"/>
      <c r="C4478" s="49"/>
      <c r="D4478" s="48"/>
      <c r="E4478" s="48"/>
      <c r="F4478" s="48"/>
      <c r="G4478" s="48"/>
      <c r="H4478" s="48"/>
      <c r="I4478" s="48"/>
      <c r="J4478" s="86"/>
      <c r="K4478" s="86"/>
      <c r="L4478" s="86"/>
      <c r="M4478" s="86"/>
      <c r="N4478" s="86"/>
      <c r="O4478" s="86"/>
      <c r="P4478" s="86"/>
      <c r="Q4478" s="86"/>
      <c r="R4478" s="86"/>
      <c r="S4478" s="86"/>
      <c r="T4478" s="86"/>
      <c r="U4478" s="86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48"/>
      <c r="BB4478" s="48"/>
      <c r="BC4478" s="48"/>
      <c r="BD4478" s="48"/>
    </row>
    <row r="4479" spans="1:56">
      <c r="A4479" s="48"/>
      <c r="B4479" s="48"/>
      <c r="C4479" s="49"/>
      <c r="D4479" s="48"/>
      <c r="E4479" s="48"/>
      <c r="F4479" s="48"/>
      <c r="G4479" s="48"/>
      <c r="H4479" s="48"/>
      <c r="I4479" s="48"/>
      <c r="J4479" s="86"/>
      <c r="K4479" s="86"/>
      <c r="L4479" s="86"/>
      <c r="M4479" s="86"/>
      <c r="N4479" s="86"/>
      <c r="O4479" s="86"/>
      <c r="P4479" s="86"/>
      <c r="Q4479" s="86"/>
      <c r="R4479" s="86"/>
      <c r="S4479" s="86"/>
      <c r="T4479" s="86"/>
      <c r="U4479" s="86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48"/>
      <c r="BB4479" s="48"/>
      <c r="BC4479" s="48"/>
      <c r="BD4479" s="48"/>
    </row>
    <row r="4480" spans="1:56">
      <c r="A4480" s="48"/>
      <c r="B4480" s="48"/>
      <c r="C4480" s="49"/>
      <c r="D4480" s="48"/>
      <c r="E4480" s="48"/>
      <c r="F4480" s="48"/>
      <c r="G4480" s="48"/>
      <c r="H4480" s="48"/>
      <c r="I4480" s="48"/>
      <c r="J4480" s="86"/>
      <c r="K4480" s="86"/>
      <c r="L4480" s="86"/>
      <c r="M4480" s="86"/>
      <c r="N4480" s="86"/>
      <c r="O4480" s="86"/>
      <c r="P4480" s="86"/>
      <c r="Q4480" s="86"/>
      <c r="R4480" s="86"/>
      <c r="S4480" s="86"/>
      <c r="T4480" s="86"/>
      <c r="U4480" s="86"/>
      <c r="V4480" s="48"/>
      <c r="W4480" s="48"/>
      <c r="X4480" s="48"/>
      <c r="Y4480" s="48"/>
      <c r="Z4480" s="48"/>
      <c r="AA4480" s="48"/>
      <c r="AB4480" s="48"/>
      <c r="AC4480" s="48"/>
      <c r="AD4480" s="48"/>
      <c r="AE4480" s="48"/>
      <c r="AF4480" s="48"/>
      <c r="AG4480" s="48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48"/>
      <c r="BB4480" s="48"/>
      <c r="BC4480" s="48"/>
      <c r="BD4480" s="48"/>
    </row>
    <row r="4481" spans="1:56">
      <c r="A4481" s="48"/>
      <c r="B4481" s="48"/>
      <c r="C4481" s="49"/>
      <c r="D4481" s="48"/>
      <c r="E4481" s="48"/>
      <c r="F4481" s="48"/>
      <c r="G4481" s="48"/>
      <c r="H4481" s="48"/>
      <c r="I4481" s="48"/>
      <c r="J4481" s="86"/>
      <c r="K4481" s="86"/>
      <c r="L4481" s="86"/>
      <c r="M4481" s="86"/>
      <c r="N4481" s="86"/>
      <c r="O4481" s="86"/>
      <c r="P4481" s="86"/>
      <c r="Q4481" s="86"/>
      <c r="R4481" s="86"/>
      <c r="S4481" s="86"/>
      <c r="T4481" s="86"/>
      <c r="U4481" s="86"/>
      <c r="V4481" s="48"/>
      <c r="W4481" s="48"/>
      <c r="X4481" s="48"/>
      <c r="Y4481" s="48"/>
      <c r="Z4481" s="48"/>
      <c r="AA4481" s="48"/>
      <c r="AB4481" s="48"/>
      <c r="AC4481" s="48"/>
      <c r="AD4481" s="48"/>
      <c r="AE4481" s="48"/>
      <c r="AF4481" s="48"/>
      <c r="AG4481" s="48"/>
      <c r="AH4481" s="48"/>
      <c r="AI4481" s="48"/>
      <c r="AJ4481" s="48"/>
      <c r="AK4481" s="48"/>
      <c r="AL4481" s="48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48"/>
      <c r="BB4481" s="48"/>
      <c r="BC4481" s="48"/>
      <c r="BD4481" s="48"/>
    </row>
    <row r="4482" spans="1:56">
      <c r="A4482" s="48"/>
      <c r="B4482" s="48"/>
      <c r="C4482" s="49"/>
      <c r="D4482" s="48"/>
      <c r="E4482" s="48"/>
      <c r="F4482" s="48"/>
      <c r="G4482" s="48"/>
      <c r="H4482" s="48"/>
      <c r="I4482" s="48"/>
      <c r="J4482" s="86"/>
      <c r="K4482" s="86"/>
      <c r="L4482" s="86"/>
      <c r="M4482" s="86"/>
      <c r="N4482" s="86"/>
      <c r="O4482" s="86"/>
      <c r="P4482" s="86"/>
      <c r="Q4482" s="86"/>
      <c r="R4482" s="86"/>
      <c r="S4482" s="86"/>
      <c r="T4482" s="86"/>
      <c r="U4482" s="86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48"/>
      <c r="BB4482" s="48"/>
      <c r="BC4482" s="48"/>
      <c r="BD4482" s="48"/>
    </row>
    <row r="4483" spans="1:56">
      <c r="A4483" s="48"/>
      <c r="B4483" s="48"/>
      <c r="C4483" s="49"/>
      <c r="D4483" s="48"/>
      <c r="E4483" s="48"/>
      <c r="F4483" s="48"/>
      <c r="G4483" s="48"/>
      <c r="H4483" s="48"/>
      <c r="I4483" s="48"/>
      <c r="J4483" s="86"/>
      <c r="K4483" s="86"/>
      <c r="L4483" s="86"/>
      <c r="M4483" s="86"/>
      <c r="N4483" s="86"/>
      <c r="O4483" s="86"/>
      <c r="P4483" s="86"/>
      <c r="Q4483" s="86"/>
      <c r="R4483" s="86"/>
      <c r="S4483" s="86"/>
      <c r="T4483" s="86"/>
      <c r="U4483" s="86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48"/>
      <c r="BB4483" s="48"/>
      <c r="BC4483" s="48"/>
      <c r="BD4483" s="48"/>
    </row>
    <row r="4484" spans="1:56">
      <c r="A4484" s="48"/>
      <c r="B4484" s="48"/>
      <c r="C4484" s="49"/>
      <c r="D4484" s="48"/>
      <c r="E4484" s="48"/>
      <c r="F4484" s="48"/>
      <c r="G4484" s="48"/>
      <c r="H4484" s="48"/>
      <c r="I4484" s="48"/>
      <c r="J4484" s="86"/>
      <c r="K4484" s="86"/>
      <c r="L4484" s="86"/>
      <c r="M4484" s="86"/>
      <c r="N4484" s="86"/>
      <c r="O4484" s="86"/>
      <c r="P4484" s="86"/>
      <c r="Q4484" s="86"/>
      <c r="R4484" s="86"/>
      <c r="S4484" s="86"/>
      <c r="T4484" s="86"/>
      <c r="U4484" s="86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48"/>
      <c r="BB4484" s="48"/>
      <c r="BC4484" s="48"/>
      <c r="BD4484" s="48"/>
    </row>
    <row r="4485" spans="1:56">
      <c r="A4485" s="48"/>
      <c r="B4485" s="48"/>
      <c r="C4485" s="49"/>
      <c r="D4485" s="48"/>
      <c r="E4485" s="48"/>
      <c r="F4485" s="48"/>
      <c r="G4485" s="48"/>
      <c r="H4485" s="48"/>
      <c r="I4485" s="48"/>
      <c r="J4485" s="86"/>
      <c r="K4485" s="86"/>
      <c r="L4485" s="86"/>
      <c r="M4485" s="86"/>
      <c r="N4485" s="86"/>
      <c r="O4485" s="86"/>
      <c r="P4485" s="86"/>
      <c r="Q4485" s="86"/>
      <c r="R4485" s="86"/>
      <c r="S4485" s="86"/>
      <c r="T4485" s="86"/>
      <c r="U4485" s="86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48"/>
      <c r="BB4485" s="48"/>
      <c r="BC4485" s="48"/>
      <c r="BD4485" s="48"/>
    </row>
    <row r="4486" spans="1:56">
      <c r="A4486" s="48"/>
      <c r="B4486" s="48"/>
      <c r="C4486" s="49"/>
      <c r="D4486" s="48"/>
      <c r="E4486" s="48"/>
      <c r="F4486" s="48"/>
      <c r="G4486" s="48"/>
      <c r="H4486" s="48"/>
      <c r="I4486" s="48"/>
      <c r="J4486" s="86"/>
      <c r="K4486" s="86"/>
      <c r="L4486" s="86"/>
      <c r="M4486" s="86"/>
      <c r="N4486" s="86"/>
      <c r="O4486" s="86"/>
      <c r="P4486" s="86"/>
      <c r="Q4486" s="86"/>
      <c r="R4486" s="86"/>
      <c r="S4486" s="86"/>
      <c r="T4486" s="86"/>
      <c r="U4486" s="86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48"/>
      <c r="BB4486" s="48"/>
      <c r="BC4486" s="48"/>
      <c r="BD4486" s="48"/>
    </row>
    <row r="4487" spans="1:56">
      <c r="A4487" s="48"/>
      <c r="B4487" s="48"/>
      <c r="C4487" s="49"/>
      <c r="D4487" s="48"/>
      <c r="E4487" s="48"/>
      <c r="F4487" s="48"/>
      <c r="G4487" s="48"/>
      <c r="H4487" s="48"/>
      <c r="I4487" s="48"/>
      <c r="J4487" s="86"/>
      <c r="K4487" s="86"/>
      <c r="L4487" s="86"/>
      <c r="M4487" s="86"/>
      <c r="N4487" s="86"/>
      <c r="O4487" s="86"/>
      <c r="P4487" s="86"/>
      <c r="Q4487" s="86"/>
      <c r="R4487" s="86"/>
      <c r="S4487" s="86"/>
      <c r="T4487" s="86"/>
      <c r="U4487" s="86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48"/>
      <c r="BB4487" s="48"/>
      <c r="BC4487" s="48"/>
      <c r="BD4487" s="48"/>
    </row>
    <row r="4488" spans="1:56">
      <c r="A4488" s="48"/>
      <c r="B4488" s="48"/>
      <c r="C4488" s="49"/>
      <c r="D4488" s="48"/>
      <c r="E4488" s="48"/>
      <c r="F4488" s="48"/>
      <c r="G4488" s="48"/>
      <c r="H4488" s="48"/>
      <c r="I4488" s="48"/>
      <c r="J4488" s="86"/>
      <c r="K4488" s="86"/>
      <c r="L4488" s="86"/>
      <c r="M4488" s="86"/>
      <c r="N4488" s="86"/>
      <c r="O4488" s="86"/>
      <c r="P4488" s="86"/>
      <c r="Q4488" s="86"/>
      <c r="R4488" s="86"/>
      <c r="S4488" s="86"/>
      <c r="T4488" s="86"/>
      <c r="U4488" s="86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48"/>
      <c r="BB4488" s="48"/>
      <c r="BC4488" s="48"/>
      <c r="BD4488" s="48"/>
    </row>
    <row r="4489" spans="1:56">
      <c r="A4489" s="48"/>
      <c r="B4489" s="48"/>
      <c r="C4489" s="49"/>
      <c r="D4489" s="48"/>
      <c r="E4489" s="48"/>
      <c r="F4489" s="48"/>
      <c r="G4489" s="48"/>
      <c r="H4489" s="48"/>
      <c r="I4489" s="48"/>
      <c r="J4489" s="86"/>
      <c r="K4489" s="86"/>
      <c r="L4489" s="86"/>
      <c r="M4489" s="86"/>
      <c r="N4489" s="86"/>
      <c r="O4489" s="86"/>
      <c r="P4489" s="86"/>
      <c r="Q4489" s="86"/>
      <c r="R4489" s="86"/>
      <c r="S4489" s="86"/>
      <c r="T4489" s="86"/>
      <c r="U4489" s="86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48"/>
      <c r="BB4489" s="48"/>
      <c r="BC4489" s="48"/>
      <c r="BD4489" s="48"/>
    </row>
    <row r="4490" spans="1:56">
      <c r="A4490" s="48"/>
      <c r="B4490" s="48"/>
      <c r="C4490" s="49"/>
      <c r="D4490" s="48"/>
      <c r="E4490" s="48"/>
      <c r="F4490" s="48"/>
      <c r="G4490" s="48"/>
      <c r="H4490" s="48"/>
      <c r="I4490" s="48"/>
      <c r="J4490" s="86"/>
      <c r="K4490" s="86"/>
      <c r="L4490" s="86"/>
      <c r="M4490" s="86"/>
      <c r="N4490" s="86"/>
      <c r="O4490" s="86"/>
      <c r="P4490" s="86"/>
      <c r="Q4490" s="86"/>
      <c r="R4490" s="86"/>
      <c r="S4490" s="86"/>
      <c r="T4490" s="86"/>
      <c r="U4490" s="86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48"/>
      <c r="BB4490" s="48"/>
      <c r="BC4490" s="48"/>
      <c r="BD4490" s="48"/>
    </row>
    <row r="4491" spans="1:56">
      <c r="A4491" s="48"/>
      <c r="B4491" s="48"/>
      <c r="C4491" s="49"/>
      <c r="D4491" s="48"/>
      <c r="E4491" s="48"/>
      <c r="F4491" s="48"/>
      <c r="G4491" s="48"/>
      <c r="H4491" s="48"/>
      <c r="I4491" s="48"/>
      <c r="J4491" s="86"/>
      <c r="K4491" s="86"/>
      <c r="L4491" s="86"/>
      <c r="M4491" s="86"/>
      <c r="N4491" s="86"/>
      <c r="O4491" s="86"/>
      <c r="P4491" s="86"/>
      <c r="Q4491" s="86"/>
      <c r="R4491" s="86"/>
      <c r="S4491" s="86"/>
      <c r="T4491" s="86"/>
      <c r="U4491" s="86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48"/>
      <c r="BB4491" s="48"/>
      <c r="BC4491" s="48"/>
      <c r="BD4491" s="48"/>
    </row>
    <row r="4492" spans="1:56">
      <c r="A4492" s="48"/>
      <c r="B4492" s="48"/>
      <c r="C4492" s="49"/>
      <c r="D4492" s="48"/>
      <c r="E4492" s="48"/>
      <c r="F4492" s="48"/>
      <c r="G4492" s="48"/>
      <c r="H4492" s="48"/>
      <c r="I4492" s="48"/>
      <c r="J4492" s="86"/>
      <c r="K4492" s="86"/>
      <c r="L4492" s="86"/>
      <c r="M4492" s="86"/>
      <c r="N4492" s="86"/>
      <c r="O4492" s="86"/>
      <c r="P4492" s="86"/>
      <c r="Q4492" s="86"/>
      <c r="R4492" s="86"/>
      <c r="S4492" s="86"/>
      <c r="T4492" s="86"/>
      <c r="U4492" s="86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48"/>
      <c r="BB4492" s="48"/>
      <c r="BC4492" s="48"/>
      <c r="BD4492" s="48"/>
    </row>
    <row r="4493" spans="1:56">
      <c r="A4493" s="48"/>
      <c r="B4493" s="48"/>
      <c r="C4493" s="49"/>
      <c r="D4493" s="48"/>
      <c r="E4493" s="48"/>
      <c r="F4493" s="48"/>
      <c r="G4493" s="48"/>
      <c r="H4493" s="48"/>
      <c r="I4493" s="48"/>
      <c r="J4493" s="86"/>
      <c r="K4493" s="86"/>
      <c r="L4493" s="86"/>
      <c r="M4493" s="86"/>
      <c r="N4493" s="86"/>
      <c r="O4493" s="86"/>
      <c r="P4493" s="86"/>
      <c r="Q4493" s="86"/>
      <c r="R4493" s="86"/>
      <c r="S4493" s="86"/>
      <c r="T4493" s="86"/>
      <c r="U4493" s="86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48"/>
      <c r="BB4493" s="48"/>
      <c r="BC4493" s="48"/>
      <c r="BD4493" s="48"/>
    </row>
    <row r="4494" spans="1:56">
      <c r="A4494" s="48"/>
      <c r="B4494" s="48"/>
      <c r="C4494" s="49"/>
      <c r="D4494" s="48"/>
      <c r="E4494" s="48"/>
      <c r="F4494" s="48"/>
      <c r="G4494" s="48"/>
      <c r="H4494" s="48"/>
      <c r="I4494" s="48"/>
      <c r="J4494" s="86"/>
      <c r="K4494" s="86"/>
      <c r="L4494" s="86"/>
      <c r="M4494" s="86"/>
      <c r="N4494" s="86"/>
      <c r="O4494" s="86"/>
      <c r="P4494" s="86"/>
      <c r="Q4494" s="86"/>
      <c r="R4494" s="86"/>
      <c r="S4494" s="86"/>
      <c r="T4494" s="86"/>
      <c r="U4494" s="86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48"/>
      <c r="BB4494" s="48"/>
      <c r="BC4494" s="48"/>
      <c r="BD4494" s="48"/>
    </row>
    <row r="4495" spans="1:56">
      <c r="A4495" s="48"/>
      <c r="B4495" s="48"/>
      <c r="C4495" s="49"/>
      <c r="D4495" s="48"/>
      <c r="E4495" s="48"/>
      <c r="F4495" s="48"/>
      <c r="G4495" s="48"/>
      <c r="H4495" s="48"/>
      <c r="I4495" s="48"/>
      <c r="J4495" s="86"/>
      <c r="K4495" s="86"/>
      <c r="L4495" s="86"/>
      <c r="M4495" s="86"/>
      <c r="N4495" s="86"/>
      <c r="O4495" s="86"/>
      <c r="P4495" s="86"/>
      <c r="Q4495" s="86"/>
      <c r="R4495" s="86"/>
      <c r="S4495" s="86"/>
      <c r="T4495" s="86"/>
      <c r="U4495" s="86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48"/>
      <c r="BB4495" s="48"/>
      <c r="BC4495" s="48"/>
      <c r="BD4495" s="48"/>
    </row>
    <row r="4496" spans="1:56">
      <c r="A4496" s="48"/>
      <c r="B4496" s="48"/>
      <c r="C4496" s="49"/>
      <c r="D4496" s="48"/>
      <c r="E4496" s="48"/>
      <c r="F4496" s="48"/>
      <c r="G4496" s="48"/>
      <c r="H4496" s="48"/>
      <c r="I4496" s="48"/>
      <c r="J4496" s="86"/>
      <c r="K4496" s="86"/>
      <c r="L4496" s="86"/>
      <c r="M4496" s="86"/>
      <c r="N4496" s="86"/>
      <c r="O4496" s="86"/>
      <c r="P4496" s="86"/>
      <c r="Q4496" s="86"/>
      <c r="R4496" s="86"/>
      <c r="S4496" s="86"/>
      <c r="T4496" s="86"/>
      <c r="U4496" s="86"/>
      <c r="V4496" s="48"/>
      <c r="W4496" s="48"/>
      <c r="X4496" s="48"/>
      <c r="Y4496" s="48"/>
      <c r="Z4496" s="48"/>
      <c r="AA4496" s="48"/>
      <c r="AB4496" s="48"/>
      <c r="AC4496" s="48"/>
      <c r="AD4496" s="48"/>
      <c r="AE4496" s="48"/>
      <c r="AF4496" s="48"/>
      <c r="AG4496" s="48"/>
      <c r="AH4496" s="48"/>
      <c r="AI4496" s="48"/>
      <c r="AJ4496" s="48"/>
      <c r="AK4496" s="48"/>
      <c r="AL4496" s="48"/>
      <c r="AM4496" s="48"/>
      <c r="AN4496" s="48"/>
      <c r="AO4496" s="48"/>
      <c r="AP4496" s="48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48"/>
      <c r="BB4496" s="48"/>
      <c r="BC4496" s="48"/>
      <c r="BD4496" s="48"/>
    </row>
    <row r="4497" spans="1:56">
      <c r="A4497" s="48"/>
      <c r="B4497" s="48"/>
      <c r="C4497" s="49"/>
      <c r="D4497" s="48"/>
      <c r="E4497" s="48"/>
      <c r="F4497" s="48"/>
      <c r="G4497" s="48"/>
      <c r="H4497" s="48"/>
      <c r="I4497" s="48"/>
      <c r="J4497" s="86"/>
      <c r="K4497" s="86"/>
      <c r="L4497" s="86"/>
      <c r="M4497" s="86"/>
      <c r="N4497" s="86"/>
      <c r="O4497" s="86"/>
      <c r="P4497" s="86"/>
      <c r="Q4497" s="86"/>
      <c r="R4497" s="86"/>
      <c r="S4497" s="86"/>
      <c r="T4497" s="86"/>
      <c r="U4497" s="86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48"/>
      <c r="BB4497" s="48"/>
      <c r="BC4497" s="48"/>
      <c r="BD4497" s="48"/>
    </row>
    <row r="4498" spans="1:56">
      <c r="A4498" s="48"/>
      <c r="B4498" s="48"/>
      <c r="C4498" s="49"/>
      <c r="D4498" s="48"/>
      <c r="E4498" s="48"/>
      <c r="F4498" s="48"/>
      <c r="G4498" s="48"/>
      <c r="H4498" s="48"/>
      <c r="I4498" s="48"/>
      <c r="J4498" s="86"/>
      <c r="K4498" s="86"/>
      <c r="L4498" s="86"/>
      <c r="M4498" s="86"/>
      <c r="N4498" s="86"/>
      <c r="O4498" s="86"/>
      <c r="P4498" s="86"/>
      <c r="Q4498" s="86"/>
      <c r="R4498" s="86"/>
      <c r="S4498" s="86"/>
      <c r="T4498" s="86"/>
      <c r="U4498" s="86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48"/>
      <c r="BB4498" s="48"/>
      <c r="BC4498" s="48"/>
      <c r="BD4498" s="48"/>
    </row>
    <row r="4499" spans="1:56">
      <c r="A4499" s="48"/>
      <c r="B4499" s="48"/>
      <c r="C4499" s="49"/>
      <c r="D4499" s="48"/>
      <c r="E4499" s="48"/>
      <c r="F4499" s="48"/>
      <c r="G4499" s="48"/>
      <c r="H4499" s="48"/>
      <c r="I4499" s="48"/>
      <c r="J4499" s="86"/>
      <c r="K4499" s="86"/>
      <c r="L4499" s="86"/>
      <c r="M4499" s="86"/>
      <c r="N4499" s="86"/>
      <c r="O4499" s="86"/>
      <c r="P4499" s="86"/>
      <c r="Q4499" s="86"/>
      <c r="R4499" s="86"/>
      <c r="S4499" s="86"/>
      <c r="T4499" s="86"/>
      <c r="U4499" s="86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48"/>
      <c r="BB4499" s="48"/>
      <c r="BC4499" s="48"/>
      <c r="BD4499" s="48"/>
    </row>
    <row r="4500" spans="1:56">
      <c r="A4500" s="48"/>
      <c r="B4500" s="48"/>
      <c r="C4500" s="49"/>
      <c r="D4500" s="48"/>
      <c r="E4500" s="48"/>
      <c r="F4500" s="48"/>
      <c r="G4500" s="48"/>
      <c r="H4500" s="48"/>
      <c r="I4500" s="48"/>
      <c r="J4500" s="86"/>
      <c r="K4500" s="86"/>
      <c r="L4500" s="86"/>
      <c r="M4500" s="86"/>
      <c r="N4500" s="86"/>
      <c r="O4500" s="86"/>
      <c r="P4500" s="86"/>
      <c r="Q4500" s="86"/>
      <c r="R4500" s="86"/>
      <c r="S4500" s="86"/>
      <c r="T4500" s="86"/>
      <c r="U4500" s="86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48"/>
      <c r="BB4500" s="48"/>
      <c r="BC4500" s="48"/>
      <c r="BD4500" s="48"/>
    </row>
    <row r="4501" spans="1:56">
      <c r="A4501" s="48"/>
      <c r="B4501" s="48"/>
      <c r="C4501" s="49"/>
      <c r="D4501" s="48"/>
      <c r="E4501" s="48"/>
      <c r="F4501" s="48"/>
      <c r="G4501" s="48"/>
      <c r="H4501" s="48"/>
      <c r="I4501" s="48"/>
      <c r="J4501" s="86"/>
      <c r="K4501" s="86"/>
      <c r="L4501" s="86"/>
      <c r="M4501" s="86"/>
      <c r="N4501" s="86"/>
      <c r="O4501" s="86"/>
      <c r="P4501" s="86"/>
      <c r="Q4501" s="86"/>
      <c r="R4501" s="86"/>
      <c r="S4501" s="86"/>
      <c r="T4501" s="86"/>
      <c r="U4501" s="86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48"/>
      <c r="BB4501" s="48"/>
      <c r="BC4501" s="48"/>
      <c r="BD4501" s="48"/>
    </row>
    <row r="4502" spans="1:56">
      <c r="A4502" s="48"/>
      <c r="B4502" s="48"/>
      <c r="C4502" s="49"/>
      <c r="D4502" s="48"/>
      <c r="E4502" s="48"/>
      <c r="F4502" s="48"/>
      <c r="G4502" s="48"/>
      <c r="H4502" s="48"/>
      <c r="I4502" s="48"/>
      <c r="J4502" s="86"/>
      <c r="K4502" s="86"/>
      <c r="L4502" s="86"/>
      <c r="M4502" s="86"/>
      <c r="N4502" s="86"/>
      <c r="O4502" s="86"/>
      <c r="P4502" s="86"/>
      <c r="Q4502" s="86"/>
      <c r="R4502" s="86"/>
      <c r="S4502" s="86"/>
      <c r="T4502" s="86"/>
      <c r="U4502" s="86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48"/>
      <c r="BB4502" s="48"/>
      <c r="BC4502" s="48"/>
      <c r="BD4502" s="48"/>
    </row>
    <row r="4503" spans="1:56">
      <c r="A4503" s="48"/>
      <c r="B4503" s="48"/>
      <c r="C4503" s="49"/>
      <c r="D4503" s="48"/>
      <c r="E4503" s="48"/>
      <c r="F4503" s="48"/>
      <c r="G4503" s="48"/>
      <c r="H4503" s="48"/>
      <c r="I4503" s="48"/>
      <c r="J4503" s="86"/>
      <c r="K4503" s="86"/>
      <c r="L4503" s="86"/>
      <c r="M4503" s="86"/>
      <c r="N4503" s="86"/>
      <c r="O4503" s="86"/>
      <c r="P4503" s="86"/>
      <c r="Q4503" s="86"/>
      <c r="R4503" s="86"/>
      <c r="S4503" s="86"/>
      <c r="T4503" s="86"/>
      <c r="U4503" s="86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48"/>
      <c r="BB4503" s="48"/>
      <c r="BC4503" s="48"/>
      <c r="BD4503" s="48"/>
    </row>
    <row r="4504" spans="1:56">
      <c r="A4504" s="48"/>
      <c r="B4504" s="48"/>
      <c r="C4504" s="49"/>
      <c r="D4504" s="48"/>
      <c r="E4504" s="48"/>
      <c r="F4504" s="48"/>
      <c r="G4504" s="48"/>
      <c r="H4504" s="48"/>
      <c r="I4504" s="48"/>
      <c r="J4504" s="86"/>
      <c r="K4504" s="86"/>
      <c r="L4504" s="86"/>
      <c r="M4504" s="86"/>
      <c r="N4504" s="86"/>
      <c r="O4504" s="86"/>
      <c r="P4504" s="86"/>
      <c r="Q4504" s="86"/>
      <c r="R4504" s="86"/>
      <c r="S4504" s="86"/>
      <c r="T4504" s="86"/>
      <c r="U4504" s="86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48"/>
      <c r="AI4504" s="48"/>
      <c r="AJ4504" s="48"/>
      <c r="AK4504" s="48"/>
      <c r="AL4504" s="48"/>
      <c r="AM4504" s="48"/>
      <c r="AN4504" s="48"/>
      <c r="AO4504" s="48"/>
      <c r="AP4504" s="48"/>
      <c r="AQ4504" s="48"/>
      <c r="AR4504" s="48"/>
      <c r="AS4504" s="48"/>
      <c r="AT4504" s="48"/>
      <c r="AU4504" s="48"/>
      <c r="AV4504" s="48"/>
      <c r="AW4504" s="48"/>
      <c r="AX4504" s="48"/>
      <c r="AY4504" s="48"/>
      <c r="AZ4504" s="48"/>
      <c r="BA4504" s="48"/>
      <c r="BB4504" s="48"/>
      <c r="BC4504" s="48"/>
      <c r="BD4504" s="48"/>
    </row>
    <row r="4505" spans="1:56">
      <c r="A4505" s="48"/>
      <c r="B4505" s="48"/>
      <c r="C4505" s="49"/>
      <c r="D4505" s="48"/>
      <c r="E4505" s="48"/>
      <c r="F4505" s="48"/>
      <c r="G4505" s="48"/>
      <c r="H4505" s="48"/>
      <c r="I4505" s="48"/>
      <c r="J4505" s="86"/>
      <c r="K4505" s="86"/>
      <c r="L4505" s="86"/>
      <c r="M4505" s="86"/>
      <c r="N4505" s="86"/>
      <c r="O4505" s="86"/>
      <c r="P4505" s="86"/>
      <c r="Q4505" s="86"/>
      <c r="R4505" s="86"/>
      <c r="S4505" s="86"/>
      <c r="T4505" s="86"/>
      <c r="U4505" s="86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48"/>
      <c r="BB4505" s="48"/>
      <c r="BC4505" s="48"/>
      <c r="BD4505" s="48"/>
    </row>
    <row r="4506" spans="1:56">
      <c r="A4506" s="48"/>
      <c r="B4506" s="48"/>
      <c r="C4506" s="49"/>
      <c r="D4506" s="48"/>
      <c r="E4506" s="48"/>
      <c r="F4506" s="48"/>
      <c r="G4506" s="48"/>
      <c r="H4506" s="48"/>
      <c r="I4506" s="48"/>
      <c r="J4506" s="86"/>
      <c r="K4506" s="86"/>
      <c r="L4506" s="86"/>
      <c r="M4506" s="86"/>
      <c r="N4506" s="86"/>
      <c r="O4506" s="86"/>
      <c r="P4506" s="86"/>
      <c r="Q4506" s="86"/>
      <c r="R4506" s="86"/>
      <c r="S4506" s="86"/>
      <c r="T4506" s="86"/>
      <c r="U4506" s="86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48"/>
      <c r="AM4506" s="48"/>
      <c r="AN4506" s="48"/>
      <c r="AO4506" s="48"/>
      <c r="AP4506" s="48"/>
      <c r="AQ4506" s="48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48"/>
      <c r="BB4506" s="48"/>
      <c r="BC4506" s="48"/>
      <c r="BD4506" s="48"/>
    </row>
    <row r="4507" spans="1:56">
      <c r="A4507" s="48"/>
      <c r="B4507" s="48"/>
      <c r="C4507" s="49"/>
      <c r="D4507" s="48"/>
      <c r="E4507" s="48"/>
      <c r="F4507" s="48"/>
      <c r="G4507" s="48"/>
      <c r="H4507" s="48"/>
      <c r="I4507" s="48"/>
      <c r="J4507" s="86"/>
      <c r="K4507" s="86"/>
      <c r="L4507" s="86"/>
      <c r="M4507" s="86"/>
      <c r="N4507" s="86"/>
      <c r="O4507" s="86"/>
      <c r="P4507" s="86"/>
      <c r="Q4507" s="86"/>
      <c r="R4507" s="86"/>
      <c r="S4507" s="86"/>
      <c r="T4507" s="86"/>
      <c r="U4507" s="86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48"/>
      <c r="BB4507" s="48"/>
      <c r="BC4507" s="48"/>
      <c r="BD4507" s="48"/>
    </row>
    <row r="4508" spans="1:56">
      <c r="A4508" s="48"/>
      <c r="B4508" s="48"/>
      <c r="C4508" s="49"/>
      <c r="D4508" s="48"/>
      <c r="E4508" s="48"/>
      <c r="F4508" s="48"/>
      <c r="G4508" s="48"/>
      <c r="H4508" s="48"/>
      <c r="I4508" s="48"/>
      <c r="J4508" s="86"/>
      <c r="K4508" s="86"/>
      <c r="L4508" s="86"/>
      <c r="M4508" s="86"/>
      <c r="N4508" s="86"/>
      <c r="O4508" s="86"/>
      <c r="P4508" s="86"/>
      <c r="Q4508" s="86"/>
      <c r="R4508" s="86"/>
      <c r="S4508" s="86"/>
      <c r="T4508" s="86"/>
      <c r="U4508" s="86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48"/>
      <c r="BB4508" s="48"/>
      <c r="BC4508" s="48"/>
      <c r="BD4508" s="48"/>
    </row>
    <row r="4509" spans="1:56">
      <c r="A4509" s="48"/>
      <c r="B4509" s="48"/>
      <c r="C4509" s="49"/>
      <c r="D4509" s="48"/>
      <c r="E4509" s="48"/>
      <c r="F4509" s="48"/>
      <c r="G4509" s="48"/>
      <c r="H4509" s="48"/>
      <c r="I4509" s="48"/>
      <c r="J4509" s="86"/>
      <c r="K4509" s="86"/>
      <c r="L4509" s="86"/>
      <c r="M4509" s="86"/>
      <c r="N4509" s="86"/>
      <c r="O4509" s="86"/>
      <c r="P4509" s="86"/>
      <c r="Q4509" s="86"/>
      <c r="R4509" s="86"/>
      <c r="S4509" s="86"/>
      <c r="T4509" s="86"/>
      <c r="U4509" s="86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48"/>
      <c r="BB4509" s="48"/>
      <c r="BC4509" s="48"/>
      <c r="BD4509" s="48"/>
    </row>
    <row r="4510" spans="1:56">
      <c r="A4510" s="48"/>
      <c r="B4510" s="48"/>
      <c r="C4510" s="49"/>
      <c r="D4510" s="48"/>
      <c r="E4510" s="48"/>
      <c r="F4510" s="48"/>
      <c r="G4510" s="48"/>
      <c r="H4510" s="48"/>
      <c r="I4510" s="48"/>
      <c r="J4510" s="86"/>
      <c r="K4510" s="86"/>
      <c r="L4510" s="86"/>
      <c r="M4510" s="86"/>
      <c r="N4510" s="86"/>
      <c r="O4510" s="86"/>
      <c r="P4510" s="86"/>
      <c r="Q4510" s="86"/>
      <c r="R4510" s="86"/>
      <c r="S4510" s="86"/>
      <c r="T4510" s="86"/>
      <c r="U4510" s="86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48"/>
      <c r="BB4510" s="48"/>
      <c r="BC4510" s="48"/>
      <c r="BD4510" s="48"/>
    </row>
    <row r="4511" spans="1:56">
      <c r="A4511" s="48"/>
      <c r="B4511" s="48"/>
      <c r="C4511" s="49"/>
      <c r="D4511" s="48"/>
      <c r="E4511" s="48"/>
      <c r="F4511" s="48"/>
      <c r="G4511" s="48"/>
      <c r="H4511" s="48"/>
      <c r="I4511" s="48"/>
      <c r="J4511" s="86"/>
      <c r="K4511" s="86"/>
      <c r="L4511" s="86"/>
      <c r="M4511" s="86"/>
      <c r="N4511" s="86"/>
      <c r="O4511" s="86"/>
      <c r="P4511" s="86"/>
      <c r="Q4511" s="86"/>
      <c r="R4511" s="86"/>
      <c r="S4511" s="86"/>
      <c r="T4511" s="86"/>
      <c r="U4511" s="86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48"/>
      <c r="BB4511" s="48"/>
      <c r="BC4511" s="48"/>
      <c r="BD4511" s="48"/>
    </row>
    <row r="4512" spans="1:56">
      <c r="A4512" s="48"/>
      <c r="B4512" s="48"/>
      <c r="C4512" s="49"/>
      <c r="D4512" s="48"/>
      <c r="E4512" s="48"/>
      <c r="F4512" s="48"/>
      <c r="G4512" s="48"/>
      <c r="H4512" s="48"/>
      <c r="I4512" s="48"/>
      <c r="J4512" s="86"/>
      <c r="K4512" s="86"/>
      <c r="L4512" s="86"/>
      <c r="M4512" s="86"/>
      <c r="N4512" s="86"/>
      <c r="O4512" s="86"/>
      <c r="P4512" s="86"/>
      <c r="Q4512" s="86"/>
      <c r="R4512" s="86"/>
      <c r="S4512" s="86"/>
      <c r="T4512" s="86"/>
      <c r="U4512" s="86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48"/>
      <c r="BB4512" s="48"/>
      <c r="BC4512" s="48"/>
      <c r="BD4512" s="48"/>
    </row>
    <row r="4513" spans="1:56">
      <c r="A4513" s="48"/>
      <c r="B4513" s="48"/>
      <c r="C4513" s="49"/>
      <c r="D4513" s="48"/>
      <c r="E4513" s="48"/>
      <c r="F4513" s="48"/>
      <c r="G4513" s="48"/>
      <c r="H4513" s="48"/>
      <c r="I4513" s="48"/>
      <c r="J4513" s="86"/>
      <c r="K4513" s="86"/>
      <c r="L4513" s="86"/>
      <c r="M4513" s="86"/>
      <c r="N4513" s="86"/>
      <c r="O4513" s="86"/>
      <c r="P4513" s="86"/>
      <c r="Q4513" s="86"/>
      <c r="R4513" s="86"/>
      <c r="S4513" s="86"/>
      <c r="T4513" s="86"/>
      <c r="U4513" s="86"/>
      <c r="V4513" s="48"/>
      <c r="W4513" s="48"/>
      <c r="X4513" s="48"/>
      <c r="Y4513" s="48"/>
      <c r="Z4513" s="48"/>
      <c r="AA4513" s="48"/>
      <c r="AB4513" s="48"/>
      <c r="AC4513" s="48"/>
      <c r="AD4513" s="48"/>
      <c r="AE4513" s="48"/>
      <c r="AF4513" s="48"/>
      <c r="AG4513" s="48"/>
      <c r="AH4513" s="48"/>
      <c r="AI4513" s="48"/>
      <c r="AJ4513" s="48"/>
      <c r="AK4513" s="48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48"/>
      <c r="BB4513" s="48"/>
      <c r="BC4513" s="48"/>
      <c r="BD4513" s="48"/>
    </row>
    <row r="4514" spans="1:56">
      <c r="A4514" s="48"/>
      <c r="B4514" s="48"/>
      <c r="C4514" s="49"/>
      <c r="D4514" s="48"/>
      <c r="E4514" s="48"/>
      <c r="F4514" s="48"/>
      <c r="G4514" s="48"/>
      <c r="H4514" s="48"/>
      <c r="I4514" s="48"/>
      <c r="J4514" s="86"/>
      <c r="K4514" s="86"/>
      <c r="L4514" s="86"/>
      <c r="M4514" s="86"/>
      <c r="N4514" s="86"/>
      <c r="O4514" s="86"/>
      <c r="P4514" s="86"/>
      <c r="Q4514" s="86"/>
      <c r="R4514" s="86"/>
      <c r="S4514" s="86"/>
      <c r="T4514" s="86"/>
      <c r="U4514" s="86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48"/>
      <c r="BB4514" s="48"/>
      <c r="BC4514" s="48"/>
      <c r="BD4514" s="48"/>
    </row>
    <row r="4515" spans="1:56">
      <c r="A4515" s="48"/>
      <c r="B4515" s="48"/>
      <c r="C4515" s="49"/>
      <c r="D4515" s="48"/>
      <c r="E4515" s="48"/>
      <c r="F4515" s="48"/>
      <c r="G4515" s="48"/>
      <c r="H4515" s="48"/>
      <c r="I4515" s="48"/>
      <c r="J4515" s="86"/>
      <c r="K4515" s="86"/>
      <c r="L4515" s="86"/>
      <c r="M4515" s="86"/>
      <c r="N4515" s="86"/>
      <c r="O4515" s="86"/>
      <c r="P4515" s="86"/>
      <c r="Q4515" s="86"/>
      <c r="R4515" s="86"/>
      <c r="S4515" s="86"/>
      <c r="T4515" s="86"/>
      <c r="U4515" s="86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48"/>
      <c r="AK4515" s="48"/>
      <c r="AL4515" s="48"/>
      <c r="AM4515" s="48"/>
      <c r="AN4515" s="48"/>
      <c r="AO4515" s="48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48"/>
      <c r="BB4515" s="48"/>
      <c r="BC4515" s="48"/>
      <c r="BD4515" s="48"/>
    </row>
    <row r="4516" spans="1:56">
      <c r="A4516" s="48"/>
      <c r="B4516" s="48"/>
      <c r="C4516" s="49"/>
      <c r="D4516" s="48"/>
      <c r="E4516" s="48"/>
      <c r="F4516" s="48"/>
      <c r="G4516" s="48"/>
      <c r="H4516" s="48"/>
      <c r="I4516" s="48"/>
      <c r="J4516" s="86"/>
      <c r="K4516" s="86"/>
      <c r="L4516" s="86"/>
      <c r="M4516" s="86"/>
      <c r="N4516" s="86"/>
      <c r="O4516" s="86"/>
      <c r="P4516" s="86"/>
      <c r="Q4516" s="86"/>
      <c r="R4516" s="86"/>
      <c r="S4516" s="86"/>
      <c r="T4516" s="86"/>
      <c r="U4516" s="86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48"/>
      <c r="BB4516" s="48"/>
      <c r="BC4516" s="48"/>
      <c r="BD4516" s="48"/>
    </row>
    <row r="4517" spans="1:56">
      <c r="A4517" s="48"/>
      <c r="B4517" s="48"/>
      <c r="C4517" s="49"/>
      <c r="D4517" s="48"/>
      <c r="E4517" s="48"/>
      <c r="F4517" s="48"/>
      <c r="G4517" s="48"/>
      <c r="H4517" s="48"/>
      <c r="I4517" s="48"/>
      <c r="J4517" s="86"/>
      <c r="K4517" s="86"/>
      <c r="L4517" s="86"/>
      <c r="M4517" s="86"/>
      <c r="N4517" s="86"/>
      <c r="O4517" s="86"/>
      <c r="P4517" s="86"/>
      <c r="Q4517" s="86"/>
      <c r="R4517" s="86"/>
      <c r="S4517" s="86"/>
      <c r="T4517" s="86"/>
      <c r="U4517" s="86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48"/>
      <c r="BB4517" s="48"/>
      <c r="BC4517" s="48"/>
      <c r="BD4517" s="48"/>
    </row>
    <row r="4518" spans="1:56">
      <c r="A4518" s="48"/>
      <c r="B4518" s="48"/>
      <c r="C4518" s="49"/>
      <c r="D4518" s="48"/>
      <c r="E4518" s="48"/>
      <c r="F4518" s="48"/>
      <c r="G4518" s="48"/>
      <c r="H4518" s="48"/>
      <c r="I4518" s="48"/>
      <c r="J4518" s="86"/>
      <c r="K4518" s="86"/>
      <c r="L4518" s="86"/>
      <c r="M4518" s="86"/>
      <c r="N4518" s="86"/>
      <c r="O4518" s="86"/>
      <c r="P4518" s="86"/>
      <c r="Q4518" s="86"/>
      <c r="R4518" s="86"/>
      <c r="S4518" s="86"/>
      <c r="T4518" s="86"/>
      <c r="U4518" s="86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48"/>
      <c r="BB4518" s="48"/>
      <c r="BC4518" s="48"/>
      <c r="BD4518" s="48"/>
    </row>
    <row r="4519" spans="1:56">
      <c r="A4519" s="48"/>
      <c r="B4519" s="48"/>
      <c r="C4519" s="49"/>
      <c r="D4519" s="48"/>
      <c r="E4519" s="48"/>
      <c r="F4519" s="48"/>
      <c r="G4519" s="48"/>
      <c r="H4519" s="48"/>
      <c r="I4519" s="48"/>
      <c r="J4519" s="86"/>
      <c r="K4519" s="86"/>
      <c r="L4519" s="86"/>
      <c r="M4519" s="86"/>
      <c r="N4519" s="86"/>
      <c r="O4519" s="86"/>
      <c r="P4519" s="86"/>
      <c r="Q4519" s="86"/>
      <c r="R4519" s="86"/>
      <c r="S4519" s="86"/>
      <c r="T4519" s="86"/>
      <c r="U4519" s="86"/>
      <c r="V4519" s="48"/>
      <c r="W4519" s="48"/>
      <c r="X4519" s="48"/>
      <c r="Y4519" s="48"/>
      <c r="Z4519" s="48"/>
      <c r="AA4519" s="48"/>
      <c r="AB4519" s="48"/>
      <c r="AC4519" s="48"/>
      <c r="AD4519" s="48"/>
      <c r="AE4519" s="48"/>
      <c r="AF4519" s="48"/>
      <c r="AG4519" s="48"/>
      <c r="AH4519" s="48"/>
      <c r="AI4519" s="48"/>
      <c r="AJ4519" s="48"/>
      <c r="AK4519" s="48"/>
      <c r="AL4519" s="48"/>
      <c r="AM4519" s="48"/>
      <c r="AN4519" s="48"/>
      <c r="AO4519" s="48"/>
      <c r="AP4519" s="48"/>
      <c r="AQ4519" s="48"/>
      <c r="AR4519" s="48"/>
      <c r="AS4519" s="48"/>
      <c r="AT4519" s="48"/>
      <c r="AU4519" s="48"/>
      <c r="AV4519" s="48"/>
      <c r="AW4519" s="48"/>
      <c r="AX4519" s="48"/>
      <c r="AY4519" s="48"/>
      <c r="AZ4519" s="48"/>
      <c r="BA4519" s="48"/>
      <c r="BB4519" s="48"/>
      <c r="BC4519" s="48"/>
      <c r="BD4519" s="48"/>
    </row>
    <row r="4520" spans="1:56">
      <c r="A4520" s="48"/>
      <c r="B4520" s="48"/>
      <c r="C4520" s="49"/>
      <c r="D4520" s="48"/>
      <c r="E4520" s="48"/>
      <c r="F4520" s="48"/>
      <c r="G4520" s="48"/>
      <c r="H4520" s="48"/>
      <c r="I4520" s="48"/>
      <c r="J4520" s="86"/>
      <c r="K4520" s="86"/>
      <c r="L4520" s="86"/>
      <c r="M4520" s="86"/>
      <c r="N4520" s="86"/>
      <c r="O4520" s="86"/>
      <c r="P4520" s="86"/>
      <c r="Q4520" s="86"/>
      <c r="R4520" s="86"/>
      <c r="S4520" s="86"/>
      <c r="T4520" s="86"/>
      <c r="U4520" s="86"/>
      <c r="V4520" s="48"/>
      <c r="W4520" s="48"/>
      <c r="X4520" s="48"/>
      <c r="Y4520" s="48"/>
      <c r="Z4520" s="48"/>
      <c r="AA4520" s="48"/>
      <c r="AB4520" s="48"/>
      <c r="AC4520" s="48"/>
      <c r="AD4520" s="48"/>
      <c r="AE4520" s="48"/>
      <c r="AF4520" s="48"/>
      <c r="AG4520" s="48"/>
      <c r="AH4520" s="48"/>
      <c r="AI4520" s="48"/>
      <c r="AJ4520" s="48"/>
      <c r="AK4520" s="48"/>
      <c r="AL4520" s="48"/>
      <c r="AM4520" s="48"/>
      <c r="AN4520" s="48"/>
      <c r="AO4520" s="48"/>
      <c r="AP4520" s="48"/>
      <c r="AQ4520" s="48"/>
      <c r="AR4520" s="48"/>
      <c r="AS4520" s="48"/>
      <c r="AT4520" s="48"/>
      <c r="AU4520" s="48"/>
      <c r="AV4520" s="48"/>
      <c r="AW4520" s="48"/>
      <c r="AX4520" s="48"/>
      <c r="AY4520" s="48"/>
      <c r="AZ4520" s="48"/>
      <c r="BA4520" s="48"/>
      <c r="BB4520" s="48"/>
      <c r="BC4520" s="48"/>
      <c r="BD4520" s="48"/>
    </row>
    <row r="4521" spans="1:56">
      <c r="A4521" s="48"/>
      <c r="B4521" s="48"/>
      <c r="C4521" s="49"/>
      <c r="D4521" s="48"/>
      <c r="E4521" s="48"/>
      <c r="F4521" s="48"/>
      <c r="G4521" s="48"/>
      <c r="H4521" s="48"/>
      <c r="I4521" s="48"/>
      <c r="J4521" s="86"/>
      <c r="K4521" s="86"/>
      <c r="L4521" s="86"/>
      <c r="M4521" s="86"/>
      <c r="N4521" s="86"/>
      <c r="O4521" s="86"/>
      <c r="P4521" s="86"/>
      <c r="Q4521" s="86"/>
      <c r="R4521" s="86"/>
      <c r="S4521" s="86"/>
      <c r="T4521" s="86"/>
      <c r="U4521" s="86"/>
      <c r="V4521" s="48"/>
      <c r="W4521" s="48"/>
      <c r="X4521" s="48"/>
      <c r="Y4521" s="48"/>
      <c r="Z4521" s="48"/>
      <c r="AA4521" s="48"/>
      <c r="AB4521" s="48"/>
      <c r="AC4521" s="48"/>
      <c r="AD4521" s="48"/>
      <c r="AE4521" s="48"/>
      <c r="AF4521" s="48"/>
      <c r="AG4521" s="48"/>
      <c r="AH4521" s="48"/>
      <c r="AI4521" s="48"/>
      <c r="AJ4521" s="48"/>
      <c r="AK4521" s="48"/>
      <c r="AL4521" s="48"/>
      <c r="AM4521" s="48"/>
      <c r="AN4521" s="48"/>
      <c r="AO4521" s="48"/>
      <c r="AP4521" s="48"/>
      <c r="AQ4521" s="48"/>
      <c r="AR4521" s="48"/>
      <c r="AS4521" s="48"/>
      <c r="AT4521" s="48"/>
      <c r="AU4521" s="48"/>
      <c r="AV4521" s="48"/>
      <c r="AW4521" s="48"/>
      <c r="AX4521" s="48"/>
      <c r="AY4521" s="48"/>
      <c r="AZ4521" s="48"/>
      <c r="BA4521" s="48"/>
      <c r="BB4521" s="48"/>
      <c r="BC4521" s="48"/>
      <c r="BD4521" s="48"/>
    </row>
    <row r="4522" spans="1:56">
      <c r="A4522" s="48"/>
      <c r="B4522" s="48"/>
      <c r="C4522" s="49"/>
      <c r="D4522" s="48"/>
      <c r="E4522" s="48"/>
      <c r="F4522" s="48"/>
      <c r="G4522" s="48"/>
      <c r="H4522" s="48"/>
      <c r="I4522" s="48"/>
      <c r="J4522" s="86"/>
      <c r="K4522" s="86"/>
      <c r="L4522" s="86"/>
      <c r="M4522" s="86"/>
      <c r="N4522" s="86"/>
      <c r="O4522" s="86"/>
      <c r="P4522" s="86"/>
      <c r="Q4522" s="86"/>
      <c r="R4522" s="86"/>
      <c r="S4522" s="86"/>
      <c r="T4522" s="86"/>
      <c r="U4522" s="86"/>
      <c r="V4522" s="48"/>
      <c r="W4522" s="48"/>
      <c r="X4522" s="48"/>
      <c r="Y4522" s="48"/>
      <c r="Z4522" s="48"/>
      <c r="AA4522" s="48"/>
      <c r="AB4522" s="48"/>
      <c r="AC4522" s="48"/>
      <c r="AD4522" s="48"/>
      <c r="AE4522" s="48"/>
      <c r="AF4522" s="48"/>
      <c r="AG4522" s="48"/>
      <c r="AH4522" s="48"/>
      <c r="AI4522" s="48"/>
      <c r="AJ4522" s="48"/>
      <c r="AK4522" s="48"/>
      <c r="AL4522" s="48"/>
      <c r="AM4522" s="48"/>
      <c r="AN4522" s="48"/>
      <c r="AO4522" s="48"/>
      <c r="AP4522" s="48"/>
      <c r="AQ4522" s="48"/>
      <c r="AR4522" s="48"/>
      <c r="AS4522" s="48"/>
      <c r="AT4522" s="48"/>
      <c r="AU4522" s="48"/>
      <c r="AV4522" s="48"/>
      <c r="AW4522" s="48"/>
      <c r="AX4522" s="48"/>
      <c r="AY4522" s="48"/>
      <c r="AZ4522" s="48"/>
      <c r="BA4522" s="48"/>
      <c r="BB4522" s="48"/>
      <c r="BC4522" s="48"/>
      <c r="BD4522" s="48"/>
    </row>
    <row r="4523" spans="1:56">
      <c r="A4523" s="48"/>
      <c r="B4523" s="48"/>
      <c r="C4523" s="49"/>
      <c r="D4523" s="48"/>
      <c r="E4523" s="48"/>
      <c r="F4523" s="48"/>
      <c r="G4523" s="48"/>
      <c r="H4523" s="48"/>
      <c r="I4523" s="48"/>
      <c r="J4523" s="86"/>
      <c r="K4523" s="86"/>
      <c r="L4523" s="86"/>
      <c r="M4523" s="86"/>
      <c r="N4523" s="86"/>
      <c r="O4523" s="86"/>
      <c r="P4523" s="86"/>
      <c r="Q4523" s="86"/>
      <c r="R4523" s="86"/>
      <c r="S4523" s="86"/>
      <c r="T4523" s="86"/>
      <c r="U4523" s="86"/>
      <c r="V4523" s="48"/>
      <c r="W4523" s="48"/>
      <c r="X4523" s="48"/>
      <c r="Y4523" s="48"/>
      <c r="Z4523" s="48"/>
      <c r="AA4523" s="48"/>
      <c r="AB4523" s="48"/>
      <c r="AC4523" s="48"/>
      <c r="AD4523" s="48"/>
      <c r="AE4523" s="48"/>
      <c r="AF4523" s="48"/>
      <c r="AG4523" s="48"/>
      <c r="AH4523" s="48"/>
      <c r="AI4523" s="48"/>
      <c r="AJ4523" s="48"/>
      <c r="AK4523" s="48"/>
      <c r="AL4523" s="48"/>
      <c r="AM4523" s="48"/>
      <c r="AN4523" s="48"/>
      <c r="AO4523" s="48"/>
      <c r="AP4523" s="48"/>
      <c r="AQ4523" s="48"/>
      <c r="AR4523" s="48"/>
      <c r="AS4523" s="48"/>
      <c r="AT4523" s="48"/>
      <c r="AU4523" s="48"/>
      <c r="AV4523" s="48"/>
      <c r="AW4523" s="48"/>
      <c r="AX4523" s="48"/>
      <c r="AY4523" s="48"/>
      <c r="AZ4523" s="48"/>
      <c r="BA4523" s="48"/>
      <c r="BB4523" s="48"/>
      <c r="BC4523" s="48"/>
      <c r="BD4523" s="48"/>
    </row>
    <row r="4524" spans="1:56">
      <c r="A4524" s="48"/>
      <c r="B4524" s="48"/>
      <c r="C4524" s="49"/>
      <c r="D4524" s="48"/>
      <c r="E4524" s="48"/>
      <c r="F4524" s="48"/>
      <c r="G4524" s="48"/>
      <c r="H4524" s="48"/>
      <c r="I4524" s="48"/>
      <c r="J4524" s="86"/>
      <c r="K4524" s="86"/>
      <c r="L4524" s="86"/>
      <c r="M4524" s="86"/>
      <c r="N4524" s="86"/>
      <c r="O4524" s="86"/>
      <c r="P4524" s="86"/>
      <c r="Q4524" s="86"/>
      <c r="R4524" s="86"/>
      <c r="S4524" s="86"/>
      <c r="T4524" s="86"/>
      <c r="U4524" s="86"/>
      <c r="V4524" s="48"/>
      <c r="W4524" s="48"/>
      <c r="X4524" s="48"/>
      <c r="Y4524" s="48"/>
      <c r="Z4524" s="48"/>
      <c r="AA4524" s="48"/>
      <c r="AB4524" s="48"/>
      <c r="AC4524" s="48"/>
      <c r="AD4524" s="48"/>
      <c r="AE4524" s="48"/>
      <c r="AF4524" s="48"/>
      <c r="AG4524" s="48"/>
      <c r="AH4524" s="48"/>
      <c r="AI4524" s="48"/>
      <c r="AJ4524" s="48"/>
      <c r="AK4524" s="48"/>
      <c r="AL4524" s="48"/>
      <c r="AM4524" s="48"/>
      <c r="AN4524" s="48"/>
      <c r="AO4524" s="48"/>
      <c r="AP4524" s="48"/>
      <c r="AQ4524" s="48"/>
      <c r="AR4524" s="48"/>
      <c r="AS4524" s="48"/>
      <c r="AT4524" s="48"/>
      <c r="AU4524" s="48"/>
      <c r="AV4524" s="48"/>
      <c r="AW4524" s="48"/>
      <c r="AX4524" s="48"/>
      <c r="AY4524" s="48"/>
      <c r="AZ4524" s="48"/>
      <c r="BA4524" s="48"/>
      <c r="BB4524" s="48"/>
      <c r="BC4524" s="48"/>
      <c r="BD4524" s="48"/>
    </row>
    <row r="4525" spans="1:56">
      <c r="A4525" s="48"/>
      <c r="B4525" s="48"/>
      <c r="C4525" s="49"/>
      <c r="D4525" s="48"/>
      <c r="E4525" s="48"/>
      <c r="F4525" s="48"/>
      <c r="G4525" s="48"/>
      <c r="H4525" s="48"/>
      <c r="I4525" s="48"/>
      <c r="J4525" s="86"/>
      <c r="K4525" s="86"/>
      <c r="L4525" s="86"/>
      <c r="M4525" s="86"/>
      <c r="N4525" s="86"/>
      <c r="O4525" s="86"/>
      <c r="P4525" s="86"/>
      <c r="Q4525" s="86"/>
      <c r="R4525" s="86"/>
      <c r="S4525" s="86"/>
      <c r="T4525" s="86"/>
      <c r="U4525" s="86"/>
      <c r="V4525" s="48"/>
      <c r="W4525" s="48"/>
      <c r="X4525" s="48"/>
      <c r="Y4525" s="48"/>
      <c r="Z4525" s="48"/>
      <c r="AA4525" s="48"/>
      <c r="AB4525" s="48"/>
      <c r="AC4525" s="48"/>
      <c r="AD4525" s="48"/>
      <c r="AE4525" s="48"/>
      <c r="AF4525" s="48"/>
      <c r="AG4525" s="48"/>
      <c r="AH4525" s="48"/>
      <c r="AI4525" s="48"/>
      <c r="AJ4525" s="48"/>
      <c r="AK4525" s="48"/>
      <c r="AL4525" s="48"/>
      <c r="AM4525" s="48"/>
      <c r="AN4525" s="48"/>
      <c r="AO4525" s="48"/>
      <c r="AP4525" s="48"/>
      <c r="AQ4525" s="48"/>
      <c r="AR4525" s="48"/>
      <c r="AS4525" s="48"/>
      <c r="AT4525" s="48"/>
      <c r="AU4525" s="48"/>
      <c r="AV4525" s="48"/>
      <c r="AW4525" s="48"/>
      <c r="AX4525" s="48"/>
      <c r="AY4525" s="48"/>
      <c r="AZ4525" s="48"/>
      <c r="BA4525" s="48"/>
      <c r="BB4525" s="48"/>
      <c r="BC4525" s="48"/>
      <c r="BD4525" s="48"/>
    </row>
    <row r="4526" spans="1:56">
      <c r="A4526" s="48"/>
      <c r="B4526" s="48"/>
      <c r="C4526" s="49"/>
      <c r="D4526" s="48"/>
      <c r="E4526" s="48"/>
      <c r="F4526" s="48"/>
      <c r="G4526" s="48"/>
      <c r="H4526" s="48"/>
      <c r="I4526" s="48"/>
      <c r="J4526" s="86"/>
      <c r="K4526" s="86"/>
      <c r="L4526" s="86"/>
      <c r="M4526" s="86"/>
      <c r="N4526" s="86"/>
      <c r="O4526" s="86"/>
      <c r="P4526" s="86"/>
      <c r="Q4526" s="86"/>
      <c r="R4526" s="86"/>
      <c r="S4526" s="86"/>
      <c r="T4526" s="86"/>
      <c r="U4526" s="86"/>
      <c r="V4526" s="48"/>
      <c r="W4526" s="48"/>
      <c r="X4526" s="48"/>
      <c r="Y4526" s="48"/>
      <c r="Z4526" s="48"/>
      <c r="AA4526" s="48"/>
      <c r="AB4526" s="48"/>
      <c r="AC4526" s="48"/>
      <c r="AD4526" s="48"/>
      <c r="AE4526" s="48"/>
      <c r="AF4526" s="48"/>
      <c r="AG4526" s="48"/>
      <c r="AH4526" s="48"/>
      <c r="AI4526" s="48"/>
      <c r="AJ4526" s="48"/>
      <c r="AK4526" s="48"/>
      <c r="AL4526" s="48"/>
      <c r="AM4526" s="48"/>
      <c r="AN4526" s="48"/>
      <c r="AO4526" s="48"/>
      <c r="AP4526" s="48"/>
      <c r="AQ4526" s="48"/>
      <c r="AR4526" s="48"/>
      <c r="AS4526" s="48"/>
      <c r="AT4526" s="48"/>
      <c r="AU4526" s="48"/>
      <c r="AV4526" s="48"/>
      <c r="AW4526" s="48"/>
      <c r="AX4526" s="48"/>
      <c r="AY4526" s="48"/>
      <c r="AZ4526" s="48"/>
      <c r="BA4526" s="48"/>
      <c r="BB4526" s="48"/>
      <c r="BC4526" s="48"/>
      <c r="BD4526" s="48"/>
    </row>
    <row r="4527" spans="1:56">
      <c r="A4527" s="48"/>
      <c r="B4527" s="48"/>
      <c r="C4527" s="49"/>
      <c r="D4527" s="48"/>
      <c r="E4527" s="48"/>
      <c r="F4527" s="48"/>
      <c r="G4527" s="48"/>
      <c r="H4527" s="48"/>
      <c r="I4527" s="48"/>
      <c r="J4527" s="86"/>
      <c r="K4527" s="86"/>
      <c r="L4527" s="86"/>
      <c r="M4527" s="86"/>
      <c r="N4527" s="86"/>
      <c r="O4527" s="86"/>
      <c r="P4527" s="86"/>
      <c r="Q4527" s="86"/>
      <c r="R4527" s="86"/>
      <c r="S4527" s="86"/>
      <c r="T4527" s="86"/>
      <c r="U4527" s="86"/>
      <c r="V4527" s="48"/>
      <c r="W4527" s="48"/>
      <c r="X4527" s="48"/>
      <c r="Y4527" s="48"/>
      <c r="Z4527" s="48"/>
      <c r="AA4527" s="48"/>
      <c r="AB4527" s="48"/>
      <c r="AC4527" s="48"/>
      <c r="AD4527" s="48"/>
      <c r="AE4527" s="48"/>
      <c r="AF4527" s="48"/>
      <c r="AG4527" s="48"/>
      <c r="AH4527" s="48"/>
      <c r="AI4527" s="48"/>
      <c r="AJ4527" s="48"/>
      <c r="AK4527" s="48"/>
      <c r="AL4527" s="48"/>
      <c r="AM4527" s="48"/>
      <c r="AN4527" s="48"/>
      <c r="AO4527" s="48"/>
      <c r="AP4527" s="48"/>
      <c r="AQ4527" s="48"/>
      <c r="AR4527" s="48"/>
      <c r="AS4527" s="48"/>
      <c r="AT4527" s="48"/>
      <c r="AU4527" s="48"/>
      <c r="AV4527" s="48"/>
      <c r="AW4527" s="48"/>
      <c r="AX4527" s="48"/>
      <c r="AY4527" s="48"/>
      <c r="AZ4527" s="48"/>
      <c r="BA4527" s="48"/>
      <c r="BB4527" s="48"/>
      <c r="BC4527" s="48"/>
      <c r="BD4527" s="48"/>
    </row>
    <row r="4528" spans="1:56">
      <c r="A4528" s="48"/>
      <c r="B4528" s="48"/>
      <c r="C4528" s="49"/>
      <c r="D4528" s="48"/>
      <c r="E4528" s="48"/>
      <c r="F4528" s="48"/>
      <c r="G4528" s="48"/>
      <c r="H4528" s="48"/>
      <c r="I4528" s="48"/>
      <c r="J4528" s="86"/>
      <c r="K4528" s="86"/>
      <c r="L4528" s="86"/>
      <c r="M4528" s="86"/>
      <c r="N4528" s="86"/>
      <c r="O4528" s="86"/>
      <c r="P4528" s="86"/>
      <c r="Q4528" s="86"/>
      <c r="R4528" s="86"/>
      <c r="S4528" s="86"/>
      <c r="T4528" s="86"/>
      <c r="U4528" s="86"/>
      <c r="V4528" s="48"/>
      <c r="W4528" s="48"/>
      <c r="X4528" s="48"/>
      <c r="Y4528" s="48"/>
      <c r="Z4528" s="48"/>
      <c r="AA4528" s="48"/>
      <c r="AB4528" s="48"/>
      <c r="AC4528" s="48"/>
      <c r="AD4528" s="48"/>
      <c r="AE4528" s="48"/>
      <c r="AF4528" s="48"/>
      <c r="AG4528" s="48"/>
      <c r="AH4528" s="48"/>
      <c r="AI4528" s="48"/>
      <c r="AJ4528" s="48"/>
      <c r="AK4528" s="48"/>
      <c r="AL4528" s="48"/>
      <c r="AM4528" s="48"/>
      <c r="AN4528" s="48"/>
      <c r="AO4528" s="48"/>
      <c r="AP4528" s="48"/>
      <c r="AQ4528" s="48"/>
      <c r="AR4528" s="48"/>
      <c r="AS4528" s="48"/>
      <c r="AT4528" s="48"/>
      <c r="AU4528" s="48"/>
      <c r="AV4528" s="48"/>
      <c r="AW4528" s="48"/>
      <c r="AX4528" s="48"/>
      <c r="AY4528" s="48"/>
      <c r="AZ4528" s="48"/>
      <c r="BA4528" s="48"/>
      <c r="BB4528" s="48"/>
      <c r="BC4528" s="48"/>
      <c r="BD4528" s="48"/>
    </row>
    <row r="4529" spans="1:56">
      <c r="A4529" s="48"/>
      <c r="B4529" s="48"/>
      <c r="C4529" s="49"/>
      <c r="D4529" s="48"/>
      <c r="E4529" s="48"/>
      <c r="F4529" s="48"/>
      <c r="G4529" s="48"/>
      <c r="H4529" s="48"/>
      <c r="I4529" s="48"/>
      <c r="J4529" s="86"/>
      <c r="K4529" s="86"/>
      <c r="L4529" s="86"/>
      <c r="M4529" s="86"/>
      <c r="N4529" s="86"/>
      <c r="O4529" s="86"/>
      <c r="P4529" s="86"/>
      <c r="Q4529" s="86"/>
      <c r="R4529" s="86"/>
      <c r="S4529" s="86"/>
      <c r="T4529" s="86"/>
      <c r="U4529" s="86"/>
      <c r="V4529" s="48"/>
      <c r="W4529" s="48"/>
      <c r="X4529" s="48"/>
      <c r="Y4529" s="48"/>
      <c r="Z4529" s="48"/>
      <c r="AA4529" s="48"/>
      <c r="AB4529" s="48"/>
      <c r="AC4529" s="48"/>
      <c r="AD4529" s="48"/>
      <c r="AE4529" s="48"/>
      <c r="AF4529" s="48"/>
      <c r="AG4529" s="48"/>
      <c r="AH4529" s="48"/>
      <c r="AI4529" s="48"/>
      <c r="AJ4529" s="48"/>
      <c r="AK4529" s="48"/>
      <c r="AL4529" s="48"/>
      <c r="AM4529" s="48"/>
      <c r="AN4529" s="48"/>
      <c r="AO4529" s="48"/>
      <c r="AP4529" s="48"/>
      <c r="AQ4529" s="48"/>
      <c r="AR4529" s="48"/>
      <c r="AS4529" s="48"/>
      <c r="AT4529" s="48"/>
      <c r="AU4529" s="48"/>
      <c r="AV4529" s="48"/>
      <c r="AW4529" s="48"/>
      <c r="AX4529" s="48"/>
      <c r="AY4529" s="48"/>
      <c r="AZ4529" s="48"/>
      <c r="BA4529" s="48"/>
      <c r="BB4529" s="48"/>
      <c r="BC4529" s="48"/>
      <c r="BD4529" s="48"/>
    </row>
    <row r="4530" spans="1:56">
      <c r="A4530" s="48"/>
      <c r="B4530" s="48"/>
      <c r="C4530" s="49"/>
      <c r="D4530" s="48"/>
      <c r="E4530" s="48"/>
      <c r="F4530" s="48"/>
      <c r="G4530" s="48"/>
      <c r="H4530" s="48"/>
      <c r="I4530" s="48"/>
      <c r="J4530" s="86"/>
      <c r="K4530" s="86"/>
      <c r="L4530" s="86"/>
      <c r="M4530" s="86"/>
      <c r="N4530" s="86"/>
      <c r="O4530" s="86"/>
      <c r="P4530" s="86"/>
      <c r="Q4530" s="86"/>
      <c r="R4530" s="86"/>
      <c r="S4530" s="86"/>
      <c r="T4530" s="86"/>
      <c r="U4530" s="86"/>
      <c r="V4530" s="48"/>
      <c r="W4530" s="48"/>
      <c r="X4530" s="48"/>
      <c r="Y4530" s="48"/>
      <c r="Z4530" s="48"/>
      <c r="AA4530" s="48"/>
      <c r="AB4530" s="48"/>
      <c r="AC4530" s="48"/>
      <c r="AD4530" s="48"/>
      <c r="AE4530" s="48"/>
      <c r="AF4530" s="48"/>
      <c r="AG4530" s="48"/>
      <c r="AH4530" s="48"/>
      <c r="AI4530" s="48"/>
      <c r="AJ4530" s="48"/>
      <c r="AK4530" s="48"/>
      <c r="AL4530" s="48"/>
      <c r="AM4530" s="48"/>
      <c r="AN4530" s="48"/>
      <c r="AO4530" s="48"/>
      <c r="AP4530" s="48"/>
      <c r="AQ4530" s="48"/>
      <c r="AR4530" s="48"/>
      <c r="AS4530" s="48"/>
      <c r="AT4530" s="48"/>
      <c r="AU4530" s="48"/>
      <c r="AV4530" s="48"/>
      <c r="AW4530" s="48"/>
      <c r="AX4530" s="48"/>
      <c r="AY4530" s="48"/>
      <c r="AZ4530" s="48"/>
      <c r="BA4530" s="48"/>
      <c r="BB4530" s="48"/>
      <c r="BC4530" s="48"/>
      <c r="BD4530" s="48"/>
    </row>
    <row r="4531" spans="1:56">
      <c r="A4531" s="48"/>
      <c r="B4531" s="48"/>
      <c r="C4531" s="49"/>
      <c r="D4531" s="48"/>
      <c r="E4531" s="48"/>
      <c r="F4531" s="48"/>
      <c r="G4531" s="48"/>
      <c r="H4531" s="48"/>
      <c r="I4531" s="48"/>
      <c r="J4531" s="86"/>
      <c r="K4531" s="86"/>
      <c r="L4531" s="86"/>
      <c r="M4531" s="86"/>
      <c r="N4531" s="86"/>
      <c r="O4531" s="86"/>
      <c r="P4531" s="86"/>
      <c r="Q4531" s="86"/>
      <c r="R4531" s="86"/>
      <c r="S4531" s="86"/>
      <c r="T4531" s="86"/>
      <c r="U4531" s="86"/>
      <c r="V4531" s="48"/>
      <c r="W4531" s="48"/>
      <c r="X4531" s="48"/>
      <c r="Y4531" s="48"/>
      <c r="Z4531" s="48"/>
      <c r="AA4531" s="48"/>
      <c r="AB4531" s="48"/>
      <c r="AC4531" s="48"/>
      <c r="AD4531" s="48"/>
      <c r="AE4531" s="48"/>
      <c r="AF4531" s="48"/>
      <c r="AG4531" s="48"/>
      <c r="AH4531" s="48"/>
      <c r="AI4531" s="48"/>
      <c r="AJ4531" s="48"/>
      <c r="AK4531" s="48"/>
      <c r="AL4531" s="48"/>
      <c r="AM4531" s="48"/>
      <c r="AN4531" s="48"/>
      <c r="AO4531" s="48"/>
      <c r="AP4531" s="48"/>
      <c r="AQ4531" s="48"/>
      <c r="AR4531" s="48"/>
      <c r="AS4531" s="48"/>
      <c r="AT4531" s="48"/>
      <c r="AU4531" s="48"/>
      <c r="AV4531" s="48"/>
      <c r="AW4531" s="48"/>
      <c r="AX4531" s="48"/>
      <c r="AY4531" s="48"/>
      <c r="AZ4531" s="48"/>
      <c r="BA4531" s="48"/>
      <c r="BB4531" s="48"/>
      <c r="BC4531" s="48"/>
      <c r="BD4531" s="48"/>
    </row>
    <row r="4532" spans="1:56">
      <c r="A4532" s="48"/>
      <c r="B4532" s="48"/>
      <c r="C4532" s="49"/>
      <c r="D4532" s="48"/>
      <c r="E4532" s="48"/>
      <c r="F4532" s="48"/>
      <c r="G4532" s="48"/>
      <c r="H4532" s="48"/>
      <c r="I4532" s="48"/>
      <c r="J4532" s="86"/>
      <c r="K4532" s="86"/>
      <c r="L4532" s="86"/>
      <c r="M4532" s="86"/>
      <c r="N4532" s="86"/>
      <c r="O4532" s="86"/>
      <c r="P4532" s="86"/>
      <c r="Q4532" s="86"/>
      <c r="R4532" s="86"/>
      <c r="S4532" s="86"/>
      <c r="T4532" s="86"/>
      <c r="U4532" s="86"/>
      <c r="V4532" s="48"/>
      <c r="W4532" s="48"/>
      <c r="X4532" s="48"/>
      <c r="Y4532" s="48"/>
      <c r="Z4532" s="48"/>
      <c r="AA4532" s="48"/>
      <c r="AB4532" s="48"/>
      <c r="AC4532" s="48"/>
      <c r="AD4532" s="48"/>
      <c r="AE4532" s="48"/>
      <c r="AF4532" s="48"/>
      <c r="AG4532" s="48"/>
      <c r="AH4532" s="48"/>
      <c r="AI4532" s="48"/>
      <c r="AJ4532" s="48"/>
      <c r="AK4532" s="48"/>
      <c r="AL4532" s="48"/>
      <c r="AM4532" s="48"/>
      <c r="AN4532" s="48"/>
      <c r="AO4532" s="48"/>
      <c r="AP4532" s="48"/>
      <c r="AQ4532" s="48"/>
      <c r="AR4532" s="48"/>
      <c r="AS4532" s="48"/>
      <c r="AT4532" s="48"/>
      <c r="AU4532" s="48"/>
      <c r="AV4532" s="48"/>
      <c r="AW4532" s="48"/>
      <c r="AX4532" s="48"/>
      <c r="AY4532" s="48"/>
      <c r="AZ4532" s="48"/>
      <c r="BA4532" s="48"/>
      <c r="BB4532" s="48"/>
      <c r="BC4532" s="48"/>
      <c r="BD4532" s="48"/>
    </row>
    <row r="4533" spans="1:56">
      <c r="A4533" s="48"/>
      <c r="B4533" s="48"/>
      <c r="C4533" s="49"/>
      <c r="D4533" s="48"/>
      <c r="E4533" s="48"/>
      <c r="F4533" s="48"/>
      <c r="G4533" s="48"/>
      <c r="H4533" s="48"/>
      <c r="I4533" s="48"/>
      <c r="J4533" s="86"/>
      <c r="K4533" s="86"/>
      <c r="L4533" s="86"/>
      <c r="M4533" s="86"/>
      <c r="N4533" s="86"/>
      <c r="O4533" s="86"/>
      <c r="P4533" s="86"/>
      <c r="Q4533" s="86"/>
      <c r="R4533" s="86"/>
      <c r="S4533" s="86"/>
      <c r="T4533" s="86"/>
      <c r="U4533" s="86"/>
      <c r="V4533" s="48"/>
      <c r="W4533" s="48"/>
      <c r="X4533" s="48"/>
      <c r="Y4533" s="48"/>
      <c r="Z4533" s="48"/>
      <c r="AA4533" s="48"/>
      <c r="AB4533" s="48"/>
      <c r="AC4533" s="48"/>
      <c r="AD4533" s="48"/>
      <c r="AE4533" s="48"/>
      <c r="AF4533" s="48"/>
      <c r="AG4533" s="48"/>
      <c r="AH4533" s="48"/>
      <c r="AI4533" s="48"/>
      <c r="AJ4533" s="48"/>
      <c r="AK4533" s="48"/>
      <c r="AL4533" s="48"/>
      <c r="AM4533" s="48"/>
      <c r="AN4533" s="48"/>
      <c r="AO4533" s="48"/>
      <c r="AP4533" s="48"/>
      <c r="AQ4533" s="48"/>
      <c r="AR4533" s="48"/>
      <c r="AS4533" s="48"/>
      <c r="AT4533" s="48"/>
      <c r="AU4533" s="48"/>
      <c r="AV4533" s="48"/>
      <c r="AW4533" s="48"/>
      <c r="AX4533" s="48"/>
      <c r="AY4533" s="48"/>
      <c r="AZ4533" s="48"/>
      <c r="BA4533" s="48"/>
      <c r="BB4533" s="48"/>
      <c r="BC4533" s="48"/>
      <c r="BD4533" s="48"/>
    </row>
    <row r="4534" spans="1:56">
      <c r="A4534" s="48"/>
      <c r="B4534" s="48"/>
      <c r="C4534" s="49"/>
      <c r="D4534" s="48"/>
      <c r="E4534" s="48"/>
      <c r="F4534" s="48"/>
      <c r="G4534" s="48"/>
      <c r="H4534" s="48"/>
      <c r="I4534" s="48"/>
      <c r="J4534" s="86"/>
      <c r="K4534" s="86"/>
      <c r="L4534" s="86"/>
      <c r="M4534" s="86"/>
      <c r="N4534" s="86"/>
      <c r="O4534" s="86"/>
      <c r="P4534" s="86"/>
      <c r="Q4534" s="86"/>
      <c r="R4534" s="86"/>
      <c r="S4534" s="86"/>
      <c r="T4534" s="86"/>
      <c r="U4534" s="86"/>
      <c r="V4534" s="48"/>
      <c r="W4534" s="48"/>
      <c r="X4534" s="48"/>
      <c r="Y4534" s="48"/>
      <c r="Z4534" s="48"/>
      <c r="AA4534" s="48"/>
      <c r="AB4534" s="48"/>
      <c r="AC4534" s="48"/>
      <c r="AD4534" s="48"/>
      <c r="AE4534" s="48"/>
      <c r="AF4534" s="48"/>
      <c r="AG4534" s="48"/>
      <c r="AH4534" s="48"/>
      <c r="AI4534" s="48"/>
      <c r="AJ4534" s="48"/>
      <c r="AK4534" s="48"/>
      <c r="AL4534" s="48"/>
      <c r="AM4534" s="48"/>
      <c r="AN4534" s="48"/>
      <c r="AO4534" s="48"/>
      <c r="AP4534" s="48"/>
      <c r="AQ4534" s="48"/>
      <c r="AR4534" s="48"/>
      <c r="AS4534" s="48"/>
      <c r="AT4534" s="48"/>
      <c r="AU4534" s="48"/>
      <c r="AV4534" s="48"/>
      <c r="AW4534" s="48"/>
      <c r="AX4534" s="48"/>
      <c r="AY4534" s="48"/>
      <c r="AZ4534" s="48"/>
      <c r="BA4534" s="48"/>
      <c r="BB4534" s="48"/>
      <c r="BC4534" s="48"/>
      <c r="BD4534" s="48"/>
    </row>
    <row r="4535" spans="1:56">
      <c r="A4535" s="48"/>
      <c r="B4535" s="48"/>
      <c r="C4535" s="49"/>
      <c r="D4535" s="48"/>
      <c r="E4535" s="48"/>
      <c r="F4535" s="48"/>
      <c r="G4535" s="48"/>
      <c r="H4535" s="48"/>
      <c r="I4535" s="48"/>
      <c r="J4535" s="86"/>
      <c r="K4535" s="86"/>
      <c r="L4535" s="86"/>
      <c r="M4535" s="86"/>
      <c r="N4535" s="86"/>
      <c r="O4535" s="86"/>
      <c r="P4535" s="86"/>
      <c r="Q4535" s="86"/>
      <c r="R4535" s="86"/>
      <c r="S4535" s="86"/>
      <c r="T4535" s="86"/>
      <c r="U4535" s="86"/>
      <c r="V4535" s="48"/>
      <c r="W4535" s="48"/>
      <c r="X4535" s="48"/>
      <c r="Y4535" s="48"/>
      <c r="Z4535" s="48"/>
      <c r="AA4535" s="48"/>
      <c r="AB4535" s="48"/>
      <c r="AC4535" s="48"/>
      <c r="AD4535" s="48"/>
      <c r="AE4535" s="48"/>
      <c r="AF4535" s="48"/>
      <c r="AG4535" s="48"/>
      <c r="AH4535" s="48"/>
      <c r="AI4535" s="48"/>
      <c r="AJ4535" s="48"/>
      <c r="AK4535" s="48"/>
      <c r="AL4535" s="48"/>
      <c r="AM4535" s="48"/>
      <c r="AN4535" s="48"/>
      <c r="AO4535" s="48"/>
      <c r="AP4535" s="48"/>
      <c r="AQ4535" s="48"/>
      <c r="AR4535" s="48"/>
      <c r="AS4535" s="48"/>
      <c r="AT4535" s="48"/>
      <c r="AU4535" s="48"/>
      <c r="AV4535" s="48"/>
      <c r="AW4535" s="48"/>
      <c r="AX4535" s="48"/>
      <c r="AY4535" s="48"/>
      <c r="AZ4535" s="48"/>
      <c r="BA4535" s="48"/>
      <c r="BB4535" s="48"/>
      <c r="BC4535" s="48"/>
      <c r="BD4535" s="48"/>
    </row>
    <row r="4536" spans="1:56">
      <c r="A4536" s="48"/>
      <c r="B4536" s="48"/>
      <c r="C4536" s="49"/>
      <c r="D4536" s="48"/>
      <c r="E4536" s="48"/>
      <c r="F4536" s="48"/>
      <c r="G4536" s="48"/>
      <c r="H4536" s="48"/>
      <c r="I4536" s="48"/>
      <c r="J4536" s="86"/>
      <c r="K4536" s="86"/>
      <c r="L4536" s="86"/>
      <c r="M4536" s="86"/>
      <c r="N4536" s="86"/>
      <c r="O4536" s="86"/>
      <c r="P4536" s="86"/>
      <c r="Q4536" s="86"/>
      <c r="R4536" s="86"/>
      <c r="S4536" s="86"/>
      <c r="T4536" s="86"/>
      <c r="U4536" s="86"/>
      <c r="V4536" s="48"/>
      <c r="W4536" s="48"/>
      <c r="X4536" s="48"/>
      <c r="Y4536" s="48"/>
      <c r="Z4536" s="48"/>
      <c r="AA4536" s="48"/>
      <c r="AB4536" s="48"/>
      <c r="AC4536" s="48"/>
      <c r="AD4536" s="48"/>
      <c r="AE4536" s="48"/>
      <c r="AF4536" s="48"/>
      <c r="AG4536" s="48"/>
      <c r="AH4536" s="48"/>
      <c r="AI4536" s="48"/>
      <c r="AJ4536" s="48"/>
      <c r="AK4536" s="48"/>
      <c r="AL4536" s="48"/>
      <c r="AM4536" s="48"/>
      <c r="AN4536" s="48"/>
      <c r="AO4536" s="48"/>
      <c r="AP4536" s="48"/>
      <c r="AQ4536" s="48"/>
      <c r="AR4536" s="48"/>
      <c r="AS4536" s="48"/>
      <c r="AT4536" s="48"/>
      <c r="AU4536" s="48"/>
      <c r="AV4536" s="48"/>
      <c r="AW4536" s="48"/>
      <c r="AX4536" s="48"/>
      <c r="AY4536" s="48"/>
      <c r="AZ4536" s="48"/>
      <c r="BA4536" s="48"/>
      <c r="BB4536" s="48"/>
      <c r="BC4536" s="48"/>
      <c r="BD4536" s="48"/>
    </row>
    <row r="4537" spans="1:56">
      <c r="A4537" s="48"/>
      <c r="B4537" s="48"/>
      <c r="C4537" s="49"/>
      <c r="D4537" s="48"/>
      <c r="E4537" s="48"/>
      <c r="F4537" s="48"/>
      <c r="G4537" s="48"/>
      <c r="H4537" s="48"/>
      <c r="I4537" s="48"/>
      <c r="J4537" s="86"/>
      <c r="K4537" s="86"/>
      <c r="L4537" s="86"/>
      <c r="M4537" s="86"/>
      <c r="N4537" s="86"/>
      <c r="O4537" s="86"/>
      <c r="P4537" s="86"/>
      <c r="Q4537" s="86"/>
      <c r="R4537" s="86"/>
      <c r="S4537" s="86"/>
      <c r="T4537" s="86"/>
      <c r="U4537" s="86"/>
      <c r="V4537" s="48"/>
      <c r="W4537" s="48"/>
      <c r="X4537" s="48"/>
      <c r="Y4537" s="48"/>
      <c r="Z4537" s="48"/>
      <c r="AA4537" s="48"/>
      <c r="AB4537" s="48"/>
      <c r="AC4537" s="48"/>
      <c r="AD4537" s="48"/>
      <c r="AE4537" s="48"/>
      <c r="AF4537" s="48"/>
      <c r="AG4537" s="48"/>
      <c r="AH4537" s="48"/>
      <c r="AI4537" s="48"/>
      <c r="AJ4537" s="48"/>
      <c r="AK4537" s="48"/>
      <c r="AL4537" s="48"/>
      <c r="AM4537" s="48"/>
      <c r="AN4537" s="48"/>
      <c r="AO4537" s="48"/>
      <c r="AP4537" s="48"/>
      <c r="AQ4537" s="48"/>
      <c r="AR4537" s="48"/>
      <c r="AS4537" s="48"/>
      <c r="AT4537" s="48"/>
      <c r="AU4537" s="48"/>
      <c r="AV4537" s="48"/>
      <c r="AW4537" s="48"/>
      <c r="AX4537" s="48"/>
      <c r="AY4537" s="48"/>
      <c r="AZ4537" s="48"/>
      <c r="BA4537" s="48"/>
      <c r="BB4537" s="48"/>
      <c r="BC4537" s="48"/>
      <c r="BD4537" s="48"/>
    </row>
    <row r="4538" spans="1:56">
      <c r="A4538" s="48"/>
      <c r="B4538" s="48"/>
      <c r="C4538" s="49"/>
      <c r="D4538" s="48"/>
      <c r="E4538" s="48"/>
      <c r="F4538" s="48"/>
      <c r="G4538" s="48"/>
      <c r="H4538" s="48"/>
      <c r="I4538" s="48"/>
      <c r="J4538" s="86"/>
      <c r="K4538" s="86"/>
      <c r="L4538" s="86"/>
      <c r="M4538" s="86"/>
      <c r="N4538" s="86"/>
      <c r="O4538" s="86"/>
      <c r="P4538" s="86"/>
      <c r="Q4538" s="86"/>
      <c r="R4538" s="86"/>
      <c r="S4538" s="86"/>
      <c r="T4538" s="86"/>
      <c r="U4538" s="86"/>
      <c r="V4538" s="48"/>
      <c r="W4538" s="48"/>
      <c r="X4538" s="48"/>
      <c r="Y4538" s="48"/>
      <c r="Z4538" s="48"/>
      <c r="AA4538" s="48"/>
      <c r="AB4538" s="48"/>
      <c r="AC4538" s="48"/>
      <c r="AD4538" s="48"/>
      <c r="AE4538" s="48"/>
      <c r="AF4538" s="48"/>
      <c r="AG4538" s="48"/>
      <c r="AH4538" s="48"/>
      <c r="AI4538" s="48"/>
      <c r="AJ4538" s="48"/>
      <c r="AK4538" s="48"/>
      <c r="AL4538" s="48"/>
      <c r="AM4538" s="48"/>
      <c r="AN4538" s="48"/>
      <c r="AO4538" s="48"/>
      <c r="AP4538" s="48"/>
      <c r="AQ4538" s="48"/>
      <c r="AR4538" s="48"/>
      <c r="AS4538" s="48"/>
      <c r="AT4538" s="48"/>
      <c r="AU4538" s="48"/>
      <c r="AV4538" s="48"/>
      <c r="AW4538" s="48"/>
      <c r="AX4538" s="48"/>
      <c r="AY4538" s="48"/>
      <c r="AZ4538" s="48"/>
      <c r="BA4538" s="48"/>
      <c r="BB4538" s="48"/>
      <c r="BC4538" s="48"/>
      <c r="BD4538" s="48"/>
    </row>
    <row r="4539" spans="1:56">
      <c r="A4539" s="48"/>
      <c r="B4539" s="48"/>
      <c r="C4539" s="49"/>
      <c r="D4539" s="48"/>
      <c r="E4539" s="48"/>
      <c r="F4539" s="48"/>
      <c r="G4539" s="48"/>
      <c r="H4539" s="48"/>
      <c r="I4539" s="48"/>
      <c r="J4539" s="86"/>
      <c r="K4539" s="86"/>
      <c r="L4539" s="86"/>
      <c r="M4539" s="86"/>
      <c r="N4539" s="86"/>
      <c r="O4539" s="86"/>
      <c r="P4539" s="86"/>
      <c r="Q4539" s="86"/>
      <c r="R4539" s="86"/>
      <c r="S4539" s="86"/>
      <c r="T4539" s="86"/>
      <c r="U4539" s="86"/>
      <c r="V4539" s="48"/>
      <c r="W4539" s="48"/>
      <c r="X4539" s="48"/>
      <c r="Y4539" s="48"/>
      <c r="Z4539" s="48"/>
      <c r="AA4539" s="48"/>
      <c r="AB4539" s="48"/>
      <c r="AC4539" s="48"/>
      <c r="AD4539" s="48"/>
      <c r="AE4539" s="48"/>
      <c r="AF4539" s="48"/>
      <c r="AG4539" s="48"/>
      <c r="AH4539" s="48"/>
      <c r="AI4539" s="48"/>
      <c r="AJ4539" s="48"/>
      <c r="AK4539" s="48"/>
      <c r="AL4539" s="48"/>
      <c r="AM4539" s="48"/>
      <c r="AN4539" s="48"/>
      <c r="AO4539" s="48"/>
      <c r="AP4539" s="48"/>
      <c r="AQ4539" s="48"/>
      <c r="AR4539" s="48"/>
      <c r="AS4539" s="48"/>
      <c r="AT4539" s="48"/>
      <c r="AU4539" s="48"/>
      <c r="AV4539" s="48"/>
      <c r="AW4539" s="48"/>
      <c r="AX4539" s="48"/>
      <c r="AY4539" s="48"/>
      <c r="AZ4539" s="48"/>
      <c r="BA4539" s="48"/>
      <c r="BB4539" s="48"/>
      <c r="BC4539" s="48"/>
      <c r="BD4539" s="48"/>
    </row>
    <row r="4540" spans="1:56">
      <c r="A4540" s="48"/>
      <c r="B4540" s="48"/>
      <c r="C4540" s="49"/>
      <c r="D4540" s="48"/>
      <c r="E4540" s="48"/>
      <c r="F4540" s="48"/>
      <c r="G4540" s="48"/>
      <c r="H4540" s="48"/>
      <c r="I4540" s="48"/>
      <c r="J4540" s="86"/>
      <c r="K4540" s="86"/>
      <c r="L4540" s="86"/>
      <c r="M4540" s="86"/>
      <c r="N4540" s="86"/>
      <c r="O4540" s="86"/>
      <c r="P4540" s="86"/>
      <c r="Q4540" s="86"/>
      <c r="R4540" s="86"/>
      <c r="S4540" s="86"/>
      <c r="T4540" s="86"/>
      <c r="U4540" s="86"/>
      <c r="V4540" s="48"/>
      <c r="W4540" s="48"/>
      <c r="X4540" s="48"/>
      <c r="Y4540" s="48"/>
      <c r="Z4540" s="48"/>
      <c r="AA4540" s="48"/>
      <c r="AB4540" s="48"/>
      <c r="AC4540" s="48"/>
      <c r="AD4540" s="48"/>
      <c r="AE4540" s="48"/>
      <c r="AF4540" s="48"/>
      <c r="AG4540" s="48"/>
      <c r="AH4540" s="48"/>
      <c r="AI4540" s="48"/>
      <c r="AJ4540" s="48"/>
      <c r="AK4540" s="48"/>
      <c r="AL4540" s="48"/>
      <c r="AM4540" s="48"/>
      <c r="AN4540" s="48"/>
      <c r="AO4540" s="48"/>
      <c r="AP4540" s="48"/>
      <c r="AQ4540" s="48"/>
      <c r="AR4540" s="48"/>
      <c r="AS4540" s="48"/>
      <c r="AT4540" s="48"/>
      <c r="AU4540" s="48"/>
      <c r="AV4540" s="48"/>
      <c r="AW4540" s="48"/>
      <c r="AX4540" s="48"/>
      <c r="AY4540" s="48"/>
      <c r="AZ4540" s="48"/>
      <c r="BA4540" s="48"/>
      <c r="BB4540" s="48"/>
      <c r="BC4540" s="48"/>
      <c r="BD4540" s="48"/>
    </row>
    <row r="4541" spans="1:56">
      <c r="A4541" s="48"/>
      <c r="B4541" s="48"/>
      <c r="C4541" s="49"/>
      <c r="D4541" s="48"/>
      <c r="E4541" s="48"/>
      <c r="F4541" s="48"/>
      <c r="G4541" s="48"/>
      <c r="H4541" s="48"/>
      <c r="I4541" s="48"/>
      <c r="J4541" s="86"/>
      <c r="K4541" s="86"/>
      <c r="L4541" s="86"/>
      <c r="M4541" s="86"/>
      <c r="N4541" s="86"/>
      <c r="O4541" s="86"/>
      <c r="P4541" s="86"/>
      <c r="Q4541" s="86"/>
      <c r="R4541" s="86"/>
      <c r="S4541" s="86"/>
      <c r="T4541" s="86"/>
      <c r="U4541" s="86"/>
      <c r="V4541" s="48"/>
      <c r="W4541" s="48"/>
      <c r="X4541" s="48"/>
      <c r="Y4541" s="48"/>
      <c r="Z4541" s="48"/>
      <c r="AA4541" s="48"/>
      <c r="AB4541" s="48"/>
      <c r="AC4541" s="48"/>
      <c r="AD4541" s="48"/>
      <c r="AE4541" s="48"/>
      <c r="AF4541" s="48"/>
      <c r="AG4541" s="48"/>
      <c r="AH4541" s="48"/>
      <c r="AI4541" s="48"/>
      <c r="AJ4541" s="48"/>
      <c r="AK4541" s="48"/>
      <c r="AL4541" s="48"/>
      <c r="AM4541" s="48"/>
      <c r="AN4541" s="48"/>
      <c r="AO4541" s="48"/>
      <c r="AP4541" s="48"/>
      <c r="AQ4541" s="48"/>
      <c r="AR4541" s="48"/>
      <c r="AS4541" s="48"/>
      <c r="AT4541" s="48"/>
      <c r="AU4541" s="48"/>
      <c r="AV4541" s="48"/>
      <c r="AW4541" s="48"/>
      <c r="AX4541" s="48"/>
      <c r="AY4541" s="48"/>
      <c r="AZ4541" s="48"/>
      <c r="BA4541" s="48"/>
      <c r="BB4541" s="48"/>
      <c r="BC4541" s="48"/>
      <c r="BD4541" s="48"/>
    </row>
    <row r="4542" spans="1:56">
      <c r="A4542" s="48"/>
      <c r="B4542" s="48"/>
      <c r="C4542" s="49"/>
      <c r="D4542" s="48"/>
      <c r="E4542" s="48"/>
      <c r="F4542" s="48"/>
      <c r="G4542" s="48"/>
      <c r="H4542" s="48"/>
      <c r="I4542" s="48"/>
      <c r="J4542" s="86"/>
      <c r="K4542" s="86"/>
      <c r="L4542" s="86"/>
      <c r="M4542" s="86"/>
      <c r="N4542" s="86"/>
      <c r="O4542" s="86"/>
      <c r="P4542" s="86"/>
      <c r="Q4542" s="86"/>
      <c r="R4542" s="86"/>
      <c r="S4542" s="86"/>
      <c r="T4542" s="86"/>
      <c r="U4542" s="86"/>
      <c r="V4542" s="48"/>
      <c r="W4542" s="48"/>
      <c r="X4542" s="48"/>
      <c r="Y4542" s="48"/>
      <c r="Z4542" s="48"/>
      <c r="AA4542" s="48"/>
      <c r="AB4542" s="48"/>
      <c r="AC4542" s="48"/>
      <c r="AD4542" s="48"/>
      <c r="AE4542" s="48"/>
      <c r="AF4542" s="48"/>
      <c r="AG4542" s="48"/>
      <c r="AH4542" s="48"/>
      <c r="AI4542" s="48"/>
      <c r="AJ4542" s="48"/>
      <c r="AK4542" s="48"/>
      <c r="AL4542" s="48"/>
      <c r="AM4542" s="48"/>
      <c r="AN4542" s="48"/>
      <c r="AO4542" s="48"/>
      <c r="AP4542" s="48"/>
      <c r="AQ4542" s="48"/>
      <c r="AR4542" s="48"/>
      <c r="AS4542" s="48"/>
      <c r="AT4542" s="48"/>
      <c r="AU4542" s="48"/>
      <c r="AV4542" s="48"/>
      <c r="AW4542" s="48"/>
      <c r="AX4542" s="48"/>
      <c r="AY4542" s="48"/>
      <c r="AZ4542" s="48"/>
      <c r="BA4542" s="48"/>
      <c r="BB4542" s="48"/>
      <c r="BC4542" s="48"/>
      <c r="BD4542" s="48"/>
    </row>
    <row r="4543" spans="1:56">
      <c r="A4543" s="48"/>
      <c r="B4543" s="48"/>
      <c r="C4543" s="49"/>
      <c r="D4543" s="48"/>
      <c r="E4543" s="48"/>
      <c r="F4543" s="48"/>
      <c r="G4543" s="48"/>
      <c r="H4543" s="48"/>
      <c r="I4543" s="48"/>
      <c r="J4543" s="86"/>
      <c r="K4543" s="86"/>
      <c r="L4543" s="86"/>
      <c r="M4543" s="86"/>
      <c r="N4543" s="86"/>
      <c r="O4543" s="86"/>
      <c r="P4543" s="86"/>
      <c r="Q4543" s="86"/>
      <c r="R4543" s="86"/>
      <c r="S4543" s="86"/>
      <c r="T4543" s="86"/>
      <c r="U4543" s="86"/>
      <c r="V4543" s="48"/>
      <c r="W4543" s="48"/>
      <c r="X4543" s="48"/>
      <c r="Y4543" s="48"/>
      <c r="Z4543" s="48"/>
      <c r="AA4543" s="48"/>
      <c r="AB4543" s="48"/>
      <c r="AC4543" s="48"/>
      <c r="AD4543" s="48"/>
      <c r="AE4543" s="48"/>
      <c r="AF4543" s="48"/>
      <c r="AG4543" s="48"/>
      <c r="AH4543" s="48"/>
      <c r="AI4543" s="48"/>
      <c r="AJ4543" s="48"/>
      <c r="AK4543" s="48"/>
      <c r="AL4543" s="48"/>
      <c r="AM4543" s="48"/>
      <c r="AN4543" s="48"/>
      <c r="AO4543" s="48"/>
      <c r="AP4543" s="48"/>
      <c r="AQ4543" s="48"/>
      <c r="AR4543" s="48"/>
      <c r="AS4543" s="48"/>
      <c r="AT4543" s="48"/>
      <c r="AU4543" s="48"/>
      <c r="AV4543" s="48"/>
      <c r="AW4543" s="48"/>
      <c r="AX4543" s="48"/>
      <c r="AY4543" s="48"/>
      <c r="AZ4543" s="48"/>
      <c r="BA4543" s="48"/>
      <c r="BB4543" s="48"/>
      <c r="BC4543" s="48"/>
      <c r="BD4543" s="48"/>
    </row>
    <row r="4544" spans="1:56">
      <c r="A4544" s="48"/>
      <c r="B4544" s="48"/>
      <c r="C4544" s="49"/>
      <c r="D4544" s="48"/>
      <c r="E4544" s="48"/>
      <c r="F4544" s="48"/>
      <c r="G4544" s="48"/>
      <c r="H4544" s="48"/>
      <c r="I4544" s="48"/>
      <c r="J4544" s="86"/>
      <c r="K4544" s="86"/>
      <c r="L4544" s="86"/>
      <c r="M4544" s="86"/>
      <c r="N4544" s="86"/>
      <c r="O4544" s="86"/>
      <c r="P4544" s="86"/>
      <c r="Q4544" s="86"/>
      <c r="R4544" s="86"/>
      <c r="S4544" s="86"/>
      <c r="T4544" s="86"/>
      <c r="U4544" s="86"/>
      <c r="V4544" s="48"/>
      <c r="W4544" s="48"/>
      <c r="X4544" s="48"/>
      <c r="Y4544" s="48"/>
      <c r="Z4544" s="48"/>
      <c r="AA4544" s="48"/>
      <c r="AB4544" s="48"/>
      <c r="AC4544" s="48"/>
      <c r="AD4544" s="48"/>
      <c r="AE4544" s="48"/>
      <c r="AF4544" s="48"/>
      <c r="AG4544" s="48"/>
      <c r="AH4544" s="48"/>
      <c r="AI4544" s="48"/>
      <c r="AJ4544" s="48"/>
      <c r="AK4544" s="48"/>
      <c r="AL4544" s="48"/>
      <c r="AM4544" s="48"/>
      <c r="AN4544" s="48"/>
      <c r="AO4544" s="48"/>
      <c r="AP4544" s="48"/>
      <c r="AQ4544" s="48"/>
      <c r="AR4544" s="48"/>
      <c r="AS4544" s="48"/>
      <c r="AT4544" s="48"/>
      <c r="AU4544" s="48"/>
      <c r="AV4544" s="48"/>
      <c r="AW4544" s="48"/>
      <c r="AX4544" s="48"/>
      <c r="AY4544" s="48"/>
      <c r="AZ4544" s="48"/>
      <c r="BA4544" s="48"/>
      <c r="BB4544" s="48"/>
      <c r="BC4544" s="48"/>
      <c r="BD4544" s="48"/>
    </row>
    <row r="4545" spans="1:56">
      <c r="A4545" s="48"/>
      <c r="B4545" s="48"/>
      <c r="C4545" s="49"/>
      <c r="D4545" s="48"/>
      <c r="E4545" s="48"/>
      <c r="F4545" s="48"/>
      <c r="G4545" s="48"/>
      <c r="H4545" s="48"/>
      <c r="I4545" s="48"/>
      <c r="J4545" s="86"/>
      <c r="K4545" s="86"/>
      <c r="L4545" s="86"/>
      <c r="M4545" s="86"/>
      <c r="N4545" s="86"/>
      <c r="O4545" s="86"/>
      <c r="P4545" s="86"/>
      <c r="Q4545" s="86"/>
      <c r="R4545" s="86"/>
      <c r="S4545" s="86"/>
      <c r="T4545" s="86"/>
      <c r="U4545" s="86"/>
      <c r="V4545" s="48"/>
      <c r="W4545" s="48"/>
      <c r="X4545" s="48"/>
      <c r="Y4545" s="48"/>
      <c r="Z4545" s="48"/>
      <c r="AA4545" s="48"/>
      <c r="AB4545" s="48"/>
      <c r="AC4545" s="48"/>
      <c r="AD4545" s="48"/>
      <c r="AE4545" s="48"/>
      <c r="AF4545" s="48"/>
      <c r="AG4545" s="48"/>
      <c r="AH4545" s="48"/>
      <c r="AI4545" s="48"/>
      <c r="AJ4545" s="48"/>
      <c r="AK4545" s="48"/>
      <c r="AL4545" s="48"/>
      <c r="AM4545" s="48"/>
      <c r="AN4545" s="48"/>
      <c r="AO4545" s="48"/>
      <c r="AP4545" s="48"/>
      <c r="AQ4545" s="48"/>
      <c r="AR4545" s="48"/>
      <c r="AS4545" s="48"/>
      <c r="AT4545" s="48"/>
      <c r="AU4545" s="48"/>
      <c r="AV4545" s="48"/>
      <c r="AW4545" s="48"/>
      <c r="AX4545" s="48"/>
      <c r="AY4545" s="48"/>
      <c r="AZ4545" s="48"/>
      <c r="BA4545" s="48"/>
      <c r="BB4545" s="48"/>
      <c r="BC4545" s="48"/>
      <c r="BD4545" s="48"/>
    </row>
    <row r="4546" spans="1:56">
      <c r="A4546" s="48"/>
      <c r="B4546" s="48"/>
      <c r="C4546" s="49"/>
      <c r="D4546" s="48"/>
      <c r="E4546" s="48"/>
      <c r="F4546" s="48"/>
      <c r="G4546" s="48"/>
      <c r="H4546" s="48"/>
      <c r="I4546" s="48"/>
      <c r="J4546" s="86"/>
      <c r="K4546" s="86"/>
      <c r="L4546" s="86"/>
      <c r="M4546" s="86"/>
      <c r="N4546" s="86"/>
      <c r="O4546" s="86"/>
      <c r="P4546" s="86"/>
      <c r="Q4546" s="86"/>
      <c r="R4546" s="86"/>
      <c r="S4546" s="86"/>
      <c r="T4546" s="86"/>
      <c r="U4546" s="86"/>
      <c r="V4546" s="48"/>
      <c r="W4546" s="48"/>
      <c r="X4546" s="48"/>
      <c r="Y4546" s="48"/>
      <c r="Z4546" s="48"/>
      <c r="AA4546" s="48"/>
      <c r="AB4546" s="48"/>
      <c r="AC4546" s="48"/>
      <c r="AD4546" s="48"/>
      <c r="AE4546" s="48"/>
      <c r="AF4546" s="48"/>
      <c r="AG4546" s="48"/>
      <c r="AH4546" s="48"/>
      <c r="AI4546" s="48"/>
      <c r="AJ4546" s="48"/>
      <c r="AK4546" s="48"/>
      <c r="AL4546" s="48"/>
      <c r="AM4546" s="48"/>
      <c r="AN4546" s="48"/>
      <c r="AO4546" s="48"/>
      <c r="AP4546" s="48"/>
      <c r="AQ4546" s="48"/>
      <c r="AR4546" s="48"/>
      <c r="AS4546" s="48"/>
      <c r="AT4546" s="48"/>
      <c r="AU4546" s="48"/>
      <c r="AV4546" s="48"/>
      <c r="AW4546" s="48"/>
      <c r="AX4546" s="48"/>
      <c r="AY4546" s="48"/>
      <c r="AZ4546" s="48"/>
      <c r="BA4546" s="48"/>
      <c r="BB4546" s="48"/>
      <c r="BC4546" s="48"/>
      <c r="BD4546" s="48"/>
    </row>
    <row r="4547" spans="1:56">
      <c r="A4547" s="48"/>
      <c r="B4547" s="48"/>
      <c r="C4547" s="49"/>
      <c r="D4547" s="48"/>
      <c r="E4547" s="48"/>
      <c r="F4547" s="48"/>
      <c r="G4547" s="48"/>
      <c r="H4547" s="48"/>
      <c r="I4547" s="48"/>
      <c r="J4547" s="86"/>
      <c r="K4547" s="86"/>
      <c r="L4547" s="86"/>
      <c r="M4547" s="86"/>
      <c r="N4547" s="86"/>
      <c r="O4547" s="86"/>
      <c r="P4547" s="86"/>
      <c r="Q4547" s="86"/>
      <c r="R4547" s="86"/>
      <c r="S4547" s="86"/>
      <c r="T4547" s="86"/>
      <c r="U4547" s="86"/>
      <c r="V4547" s="48"/>
      <c r="W4547" s="48"/>
      <c r="X4547" s="48"/>
      <c r="Y4547" s="48"/>
      <c r="Z4547" s="48"/>
      <c r="AA4547" s="48"/>
      <c r="AB4547" s="48"/>
      <c r="AC4547" s="48"/>
      <c r="AD4547" s="48"/>
      <c r="AE4547" s="48"/>
      <c r="AF4547" s="48"/>
      <c r="AG4547" s="48"/>
      <c r="AH4547" s="48"/>
      <c r="AI4547" s="48"/>
      <c r="AJ4547" s="48"/>
      <c r="AK4547" s="48"/>
      <c r="AL4547" s="48"/>
      <c r="AM4547" s="48"/>
      <c r="AN4547" s="48"/>
      <c r="AO4547" s="48"/>
      <c r="AP4547" s="48"/>
      <c r="AQ4547" s="48"/>
      <c r="AR4547" s="48"/>
      <c r="AS4547" s="48"/>
      <c r="AT4547" s="48"/>
      <c r="AU4547" s="48"/>
      <c r="AV4547" s="48"/>
      <c r="AW4547" s="48"/>
      <c r="AX4547" s="48"/>
      <c r="AY4547" s="48"/>
      <c r="AZ4547" s="48"/>
      <c r="BA4547" s="48"/>
      <c r="BB4547" s="48"/>
      <c r="BC4547" s="48"/>
      <c r="BD4547" s="48"/>
    </row>
    <row r="4548" spans="1:56">
      <c r="A4548" s="48"/>
      <c r="B4548" s="48"/>
      <c r="C4548" s="49"/>
      <c r="D4548" s="48"/>
      <c r="E4548" s="48"/>
      <c r="F4548" s="48"/>
      <c r="G4548" s="48"/>
      <c r="H4548" s="48"/>
      <c r="I4548" s="48"/>
      <c r="J4548" s="86"/>
      <c r="K4548" s="86"/>
      <c r="L4548" s="86"/>
      <c r="M4548" s="86"/>
      <c r="N4548" s="86"/>
      <c r="O4548" s="86"/>
      <c r="P4548" s="86"/>
      <c r="Q4548" s="86"/>
      <c r="R4548" s="86"/>
      <c r="S4548" s="86"/>
      <c r="T4548" s="86"/>
      <c r="U4548" s="86"/>
      <c r="V4548" s="48"/>
      <c r="W4548" s="48"/>
      <c r="X4548" s="48"/>
      <c r="Y4548" s="48"/>
      <c r="Z4548" s="48"/>
      <c r="AA4548" s="48"/>
      <c r="AB4548" s="48"/>
      <c r="AC4548" s="48"/>
      <c r="AD4548" s="48"/>
      <c r="AE4548" s="48"/>
      <c r="AF4548" s="48"/>
      <c r="AG4548" s="48"/>
      <c r="AH4548" s="48"/>
      <c r="AI4548" s="48"/>
      <c r="AJ4548" s="48"/>
      <c r="AK4548" s="48"/>
      <c r="AL4548" s="48"/>
      <c r="AM4548" s="48"/>
      <c r="AN4548" s="48"/>
      <c r="AO4548" s="48"/>
      <c r="AP4548" s="48"/>
      <c r="AQ4548" s="48"/>
      <c r="AR4548" s="48"/>
      <c r="AS4548" s="48"/>
      <c r="AT4548" s="48"/>
      <c r="AU4548" s="48"/>
      <c r="AV4548" s="48"/>
      <c r="AW4548" s="48"/>
      <c r="AX4548" s="48"/>
      <c r="AY4548" s="48"/>
      <c r="AZ4548" s="48"/>
      <c r="BA4548" s="48"/>
      <c r="BB4548" s="48"/>
      <c r="BC4548" s="48"/>
      <c r="BD4548" s="48"/>
    </row>
    <row r="4549" spans="1:56">
      <c r="A4549" s="48"/>
      <c r="B4549" s="48"/>
      <c r="C4549" s="49"/>
      <c r="D4549" s="48"/>
      <c r="E4549" s="48"/>
      <c r="F4549" s="48"/>
      <c r="G4549" s="48"/>
      <c r="H4549" s="48"/>
      <c r="I4549" s="48"/>
      <c r="J4549" s="86"/>
      <c r="K4549" s="86"/>
      <c r="L4549" s="86"/>
      <c r="M4549" s="86"/>
      <c r="N4549" s="86"/>
      <c r="O4549" s="86"/>
      <c r="P4549" s="86"/>
      <c r="Q4549" s="86"/>
      <c r="R4549" s="86"/>
      <c r="S4549" s="86"/>
      <c r="T4549" s="86"/>
      <c r="U4549" s="86"/>
      <c r="V4549" s="48"/>
      <c r="W4549" s="48"/>
      <c r="X4549" s="48"/>
      <c r="Y4549" s="48"/>
      <c r="Z4549" s="48"/>
      <c r="AA4549" s="48"/>
      <c r="AB4549" s="48"/>
      <c r="AC4549" s="48"/>
      <c r="AD4549" s="48"/>
      <c r="AE4549" s="48"/>
      <c r="AF4549" s="48"/>
      <c r="AG4549" s="48"/>
      <c r="AH4549" s="48"/>
      <c r="AI4549" s="48"/>
      <c r="AJ4549" s="48"/>
      <c r="AK4549" s="48"/>
      <c r="AL4549" s="48"/>
      <c r="AM4549" s="48"/>
      <c r="AN4549" s="48"/>
      <c r="AO4549" s="48"/>
      <c r="AP4549" s="48"/>
      <c r="AQ4549" s="48"/>
      <c r="AR4549" s="48"/>
      <c r="AS4549" s="48"/>
      <c r="AT4549" s="48"/>
      <c r="AU4549" s="48"/>
      <c r="AV4549" s="48"/>
      <c r="AW4549" s="48"/>
      <c r="AX4549" s="48"/>
      <c r="AY4549" s="48"/>
      <c r="AZ4549" s="48"/>
      <c r="BA4549" s="48"/>
      <c r="BB4549" s="48"/>
      <c r="BC4549" s="48"/>
      <c r="BD4549" s="48"/>
    </row>
    <row r="4550" spans="1:56">
      <c r="A4550" s="48"/>
      <c r="B4550" s="48"/>
      <c r="C4550" s="49"/>
      <c r="D4550" s="48"/>
      <c r="E4550" s="48"/>
      <c r="F4550" s="48"/>
      <c r="G4550" s="48"/>
      <c r="H4550" s="48"/>
      <c r="I4550" s="48"/>
      <c r="J4550" s="86"/>
      <c r="K4550" s="86"/>
      <c r="L4550" s="86"/>
      <c r="M4550" s="86"/>
      <c r="N4550" s="86"/>
      <c r="O4550" s="86"/>
      <c r="P4550" s="86"/>
      <c r="Q4550" s="86"/>
      <c r="R4550" s="86"/>
      <c r="S4550" s="86"/>
      <c r="T4550" s="86"/>
      <c r="U4550" s="86"/>
      <c r="V4550" s="48"/>
      <c r="W4550" s="48"/>
      <c r="X4550" s="48"/>
      <c r="Y4550" s="48"/>
      <c r="Z4550" s="48"/>
      <c r="AA4550" s="48"/>
      <c r="AB4550" s="48"/>
      <c r="AC4550" s="48"/>
      <c r="AD4550" s="48"/>
      <c r="AE4550" s="48"/>
      <c r="AF4550" s="48"/>
      <c r="AG4550" s="48"/>
      <c r="AH4550" s="48"/>
      <c r="AI4550" s="48"/>
      <c r="AJ4550" s="48"/>
      <c r="AK4550" s="48"/>
      <c r="AL4550" s="48"/>
      <c r="AM4550" s="48"/>
      <c r="AN4550" s="48"/>
      <c r="AO4550" s="48"/>
      <c r="AP4550" s="48"/>
      <c r="AQ4550" s="48"/>
      <c r="AR4550" s="48"/>
      <c r="AS4550" s="48"/>
      <c r="AT4550" s="48"/>
      <c r="AU4550" s="48"/>
      <c r="AV4550" s="48"/>
      <c r="AW4550" s="48"/>
      <c r="AX4550" s="48"/>
      <c r="AY4550" s="48"/>
      <c r="AZ4550" s="48"/>
      <c r="BA4550" s="48"/>
      <c r="BB4550" s="48"/>
      <c r="BC4550" s="48"/>
      <c r="BD4550" s="48"/>
    </row>
    <row r="4551" spans="1:56">
      <c r="A4551" s="48"/>
      <c r="B4551" s="48"/>
      <c r="C4551" s="49"/>
      <c r="D4551" s="48"/>
      <c r="E4551" s="48"/>
      <c r="F4551" s="48"/>
      <c r="G4551" s="48"/>
      <c r="H4551" s="48"/>
      <c r="I4551" s="48"/>
      <c r="J4551" s="86"/>
      <c r="K4551" s="86"/>
      <c r="L4551" s="86"/>
      <c r="M4551" s="86"/>
      <c r="N4551" s="86"/>
      <c r="O4551" s="86"/>
      <c r="P4551" s="86"/>
      <c r="Q4551" s="86"/>
      <c r="R4551" s="86"/>
      <c r="S4551" s="86"/>
      <c r="T4551" s="86"/>
      <c r="U4551" s="86"/>
      <c r="V4551" s="48"/>
      <c r="W4551" s="48"/>
      <c r="X4551" s="48"/>
      <c r="Y4551" s="48"/>
      <c r="Z4551" s="48"/>
      <c r="AA4551" s="48"/>
      <c r="AB4551" s="48"/>
      <c r="AC4551" s="48"/>
      <c r="AD4551" s="48"/>
      <c r="AE4551" s="48"/>
      <c r="AF4551" s="48"/>
      <c r="AG4551" s="48"/>
      <c r="AH4551" s="48"/>
      <c r="AI4551" s="48"/>
      <c r="AJ4551" s="48"/>
      <c r="AK4551" s="48"/>
      <c r="AL4551" s="48"/>
      <c r="AM4551" s="48"/>
      <c r="AN4551" s="48"/>
      <c r="AO4551" s="48"/>
      <c r="AP4551" s="48"/>
      <c r="AQ4551" s="48"/>
      <c r="AR4551" s="48"/>
      <c r="AS4551" s="48"/>
      <c r="AT4551" s="48"/>
      <c r="AU4551" s="48"/>
      <c r="AV4551" s="48"/>
      <c r="AW4551" s="48"/>
      <c r="AX4551" s="48"/>
      <c r="AY4551" s="48"/>
      <c r="AZ4551" s="48"/>
      <c r="BA4551" s="48"/>
      <c r="BB4551" s="48"/>
      <c r="BC4551" s="48"/>
      <c r="BD4551" s="48"/>
    </row>
    <row r="4552" spans="1:56">
      <c r="A4552" s="48"/>
      <c r="B4552" s="48"/>
      <c r="C4552" s="49"/>
      <c r="D4552" s="48"/>
      <c r="E4552" s="48"/>
      <c r="F4552" s="48"/>
      <c r="G4552" s="48"/>
      <c r="H4552" s="48"/>
      <c r="I4552" s="48"/>
      <c r="J4552" s="86"/>
      <c r="K4552" s="86"/>
      <c r="L4552" s="86"/>
      <c r="M4552" s="86"/>
      <c r="N4552" s="86"/>
      <c r="O4552" s="86"/>
      <c r="P4552" s="86"/>
      <c r="Q4552" s="86"/>
      <c r="R4552" s="86"/>
      <c r="S4552" s="86"/>
      <c r="T4552" s="86"/>
      <c r="U4552" s="86"/>
      <c r="V4552" s="48"/>
      <c r="W4552" s="48"/>
      <c r="X4552" s="48"/>
      <c r="Y4552" s="48"/>
      <c r="Z4552" s="48"/>
      <c r="AA4552" s="48"/>
      <c r="AB4552" s="48"/>
      <c r="AC4552" s="48"/>
      <c r="AD4552" s="48"/>
      <c r="AE4552" s="48"/>
      <c r="AF4552" s="48"/>
      <c r="AG4552" s="48"/>
      <c r="AH4552" s="48"/>
      <c r="AI4552" s="48"/>
      <c r="AJ4552" s="48"/>
      <c r="AK4552" s="48"/>
      <c r="AL4552" s="48"/>
      <c r="AM4552" s="48"/>
      <c r="AN4552" s="48"/>
      <c r="AO4552" s="48"/>
      <c r="AP4552" s="48"/>
      <c r="AQ4552" s="48"/>
      <c r="AR4552" s="48"/>
      <c r="AS4552" s="48"/>
      <c r="AT4552" s="48"/>
      <c r="AU4552" s="48"/>
      <c r="AV4552" s="48"/>
      <c r="AW4552" s="48"/>
      <c r="AX4552" s="48"/>
      <c r="AY4552" s="48"/>
      <c r="AZ4552" s="48"/>
      <c r="BA4552" s="48"/>
      <c r="BB4552" s="48"/>
      <c r="BC4552" s="48"/>
      <c r="BD4552" s="48"/>
    </row>
    <row r="4553" spans="1:56">
      <c r="A4553" s="48"/>
      <c r="B4553" s="48"/>
      <c r="C4553" s="49"/>
      <c r="D4553" s="48"/>
      <c r="E4553" s="48"/>
      <c r="F4553" s="48"/>
      <c r="G4553" s="48"/>
      <c r="H4553" s="48"/>
      <c r="I4553" s="48"/>
      <c r="J4553" s="86"/>
      <c r="K4553" s="86"/>
      <c r="L4553" s="86"/>
      <c r="M4553" s="86"/>
      <c r="N4553" s="86"/>
      <c r="O4553" s="86"/>
      <c r="P4553" s="86"/>
      <c r="Q4553" s="86"/>
      <c r="R4553" s="86"/>
      <c r="S4553" s="86"/>
      <c r="T4553" s="86"/>
      <c r="U4553" s="86"/>
      <c r="V4553" s="48"/>
      <c r="W4553" s="48"/>
      <c r="X4553" s="48"/>
      <c r="Y4553" s="48"/>
      <c r="Z4553" s="48"/>
      <c r="AA4553" s="48"/>
      <c r="AB4553" s="48"/>
      <c r="AC4553" s="48"/>
      <c r="AD4553" s="48"/>
      <c r="AE4553" s="48"/>
      <c r="AF4553" s="48"/>
      <c r="AG4553" s="48"/>
      <c r="AH4553" s="48"/>
      <c r="AI4553" s="48"/>
      <c r="AJ4553" s="48"/>
      <c r="AK4553" s="48"/>
      <c r="AL4553" s="48"/>
      <c r="AM4553" s="48"/>
      <c r="AN4553" s="48"/>
      <c r="AO4553" s="48"/>
      <c r="AP4553" s="48"/>
      <c r="AQ4553" s="48"/>
      <c r="AR4553" s="48"/>
      <c r="AS4553" s="48"/>
      <c r="AT4553" s="48"/>
      <c r="AU4553" s="48"/>
      <c r="AV4553" s="48"/>
      <c r="AW4553" s="48"/>
      <c r="AX4553" s="48"/>
      <c r="AY4553" s="48"/>
      <c r="AZ4553" s="48"/>
      <c r="BA4553" s="48"/>
      <c r="BB4553" s="48"/>
      <c r="BC4553" s="48"/>
      <c r="BD4553" s="48"/>
    </row>
    <row r="4554" spans="1:56">
      <c r="A4554" s="48"/>
      <c r="B4554" s="48"/>
      <c r="C4554" s="49"/>
      <c r="D4554" s="48"/>
      <c r="E4554" s="48"/>
      <c r="F4554" s="48"/>
      <c r="G4554" s="48"/>
      <c r="H4554" s="48"/>
      <c r="I4554" s="48"/>
      <c r="J4554" s="86"/>
      <c r="K4554" s="86"/>
      <c r="L4554" s="86"/>
      <c r="M4554" s="86"/>
      <c r="N4554" s="86"/>
      <c r="O4554" s="86"/>
      <c r="P4554" s="86"/>
      <c r="Q4554" s="86"/>
      <c r="R4554" s="86"/>
      <c r="S4554" s="86"/>
      <c r="T4554" s="86"/>
      <c r="U4554" s="86"/>
      <c r="V4554" s="48"/>
      <c r="W4554" s="48"/>
      <c r="X4554" s="48"/>
      <c r="Y4554" s="48"/>
      <c r="Z4554" s="48"/>
      <c r="AA4554" s="48"/>
      <c r="AB4554" s="48"/>
      <c r="AC4554" s="48"/>
      <c r="AD4554" s="48"/>
      <c r="AE4554" s="48"/>
      <c r="AF4554" s="48"/>
      <c r="AG4554" s="48"/>
      <c r="AH4554" s="48"/>
      <c r="AI4554" s="48"/>
      <c r="AJ4554" s="48"/>
      <c r="AK4554" s="48"/>
      <c r="AL4554" s="48"/>
      <c r="AM4554" s="48"/>
      <c r="AN4554" s="48"/>
      <c r="AO4554" s="48"/>
      <c r="AP4554" s="48"/>
      <c r="AQ4554" s="48"/>
      <c r="AR4554" s="48"/>
      <c r="AS4554" s="48"/>
      <c r="AT4554" s="48"/>
      <c r="AU4554" s="48"/>
      <c r="AV4554" s="48"/>
      <c r="AW4554" s="48"/>
      <c r="AX4554" s="48"/>
      <c r="AY4554" s="48"/>
      <c r="AZ4554" s="48"/>
      <c r="BA4554" s="48"/>
      <c r="BB4554" s="48"/>
      <c r="BC4554" s="48"/>
      <c r="BD4554" s="48"/>
    </row>
    <row r="4555" spans="1:56">
      <c r="A4555" s="48"/>
      <c r="B4555" s="48"/>
      <c r="C4555" s="49"/>
      <c r="D4555" s="48"/>
      <c r="E4555" s="48"/>
      <c r="F4555" s="48"/>
      <c r="G4555" s="48"/>
      <c r="H4555" s="48"/>
      <c r="I4555" s="48"/>
      <c r="J4555" s="86"/>
      <c r="K4555" s="86"/>
      <c r="L4555" s="86"/>
      <c r="M4555" s="86"/>
      <c r="N4555" s="86"/>
      <c r="O4555" s="86"/>
      <c r="P4555" s="86"/>
      <c r="Q4555" s="86"/>
      <c r="R4555" s="86"/>
      <c r="S4555" s="86"/>
      <c r="T4555" s="86"/>
      <c r="U4555" s="86"/>
      <c r="V4555" s="48"/>
      <c r="W4555" s="48"/>
      <c r="X4555" s="48"/>
      <c r="Y4555" s="48"/>
      <c r="Z4555" s="48"/>
      <c r="AA4555" s="48"/>
      <c r="AB4555" s="48"/>
      <c r="AC4555" s="48"/>
      <c r="AD4555" s="48"/>
      <c r="AE4555" s="48"/>
      <c r="AF4555" s="48"/>
      <c r="AG4555" s="48"/>
      <c r="AH4555" s="48"/>
      <c r="AI4555" s="48"/>
      <c r="AJ4555" s="48"/>
      <c r="AK4555" s="48"/>
      <c r="AL4555" s="48"/>
      <c r="AM4555" s="48"/>
      <c r="AN4555" s="48"/>
      <c r="AO4555" s="48"/>
      <c r="AP4555" s="48"/>
      <c r="AQ4555" s="48"/>
      <c r="AR4555" s="48"/>
      <c r="AS4555" s="48"/>
      <c r="AT4555" s="48"/>
      <c r="AU4555" s="48"/>
      <c r="AV4555" s="48"/>
      <c r="AW4555" s="48"/>
      <c r="AX4555" s="48"/>
      <c r="AY4555" s="48"/>
      <c r="AZ4555" s="48"/>
      <c r="BA4555" s="48"/>
      <c r="BB4555" s="48"/>
      <c r="BC4555" s="48"/>
      <c r="BD4555" s="48"/>
    </row>
    <row r="4556" spans="1:56">
      <c r="A4556" s="48"/>
      <c r="B4556" s="48"/>
      <c r="C4556" s="49"/>
      <c r="D4556" s="48"/>
      <c r="E4556" s="48"/>
      <c r="F4556" s="48"/>
      <c r="G4556" s="48"/>
      <c r="H4556" s="48"/>
      <c r="I4556" s="48"/>
      <c r="J4556" s="86"/>
      <c r="K4556" s="86"/>
      <c r="L4556" s="86"/>
      <c r="M4556" s="86"/>
      <c r="N4556" s="86"/>
      <c r="O4556" s="86"/>
      <c r="P4556" s="86"/>
      <c r="Q4556" s="86"/>
      <c r="R4556" s="86"/>
      <c r="S4556" s="86"/>
      <c r="T4556" s="86"/>
      <c r="U4556" s="86"/>
      <c r="V4556" s="48"/>
      <c r="W4556" s="48"/>
      <c r="X4556" s="48"/>
      <c r="Y4556" s="48"/>
      <c r="Z4556" s="48"/>
      <c r="AA4556" s="48"/>
      <c r="AB4556" s="48"/>
      <c r="AC4556" s="48"/>
      <c r="AD4556" s="48"/>
      <c r="AE4556" s="48"/>
      <c r="AF4556" s="48"/>
      <c r="AG4556" s="48"/>
      <c r="AH4556" s="48"/>
      <c r="AI4556" s="48"/>
      <c r="AJ4556" s="48"/>
      <c r="AK4556" s="48"/>
      <c r="AL4556" s="48"/>
      <c r="AM4556" s="48"/>
      <c r="AN4556" s="48"/>
      <c r="AO4556" s="48"/>
      <c r="AP4556" s="48"/>
      <c r="AQ4556" s="48"/>
      <c r="AR4556" s="48"/>
      <c r="AS4556" s="48"/>
      <c r="AT4556" s="48"/>
      <c r="AU4556" s="48"/>
      <c r="AV4556" s="48"/>
      <c r="AW4556" s="48"/>
      <c r="AX4556" s="48"/>
      <c r="AY4556" s="48"/>
      <c r="AZ4556" s="48"/>
      <c r="BA4556" s="48"/>
      <c r="BB4556" s="48"/>
      <c r="BC4556" s="48"/>
      <c r="BD4556" s="48"/>
    </row>
    <row r="4557" spans="1:56">
      <c r="A4557" s="48"/>
      <c r="B4557" s="48"/>
      <c r="C4557" s="49"/>
      <c r="D4557" s="48"/>
      <c r="E4557" s="48"/>
      <c r="F4557" s="48"/>
      <c r="G4557" s="48"/>
      <c r="H4557" s="48"/>
      <c r="I4557" s="48"/>
      <c r="J4557" s="86"/>
      <c r="K4557" s="86"/>
      <c r="L4557" s="86"/>
      <c r="M4557" s="86"/>
      <c r="N4557" s="86"/>
      <c r="O4557" s="86"/>
      <c r="P4557" s="86"/>
      <c r="Q4557" s="86"/>
      <c r="R4557" s="86"/>
      <c r="S4557" s="86"/>
      <c r="T4557" s="86"/>
      <c r="U4557" s="86"/>
      <c r="V4557" s="48"/>
      <c r="W4557" s="48"/>
      <c r="X4557" s="48"/>
      <c r="Y4557" s="48"/>
      <c r="Z4557" s="48"/>
      <c r="AA4557" s="48"/>
      <c r="AB4557" s="48"/>
      <c r="AC4557" s="48"/>
      <c r="AD4557" s="48"/>
      <c r="AE4557" s="48"/>
      <c r="AF4557" s="48"/>
      <c r="AG4557" s="48"/>
      <c r="AH4557" s="48"/>
      <c r="AI4557" s="48"/>
      <c r="AJ4557" s="48"/>
      <c r="AK4557" s="48"/>
      <c r="AL4557" s="48"/>
      <c r="AM4557" s="48"/>
      <c r="AN4557" s="48"/>
      <c r="AO4557" s="48"/>
      <c r="AP4557" s="48"/>
      <c r="AQ4557" s="48"/>
      <c r="AR4557" s="48"/>
      <c r="AS4557" s="48"/>
      <c r="AT4557" s="48"/>
      <c r="AU4557" s="48"/>
      <c r="AV4557" s="48"/>
      <c r="AW4557" s="48"/>
      <c r="AX4557" s="48"/>
      <c r="AY4557" s="48"/>
      <c r="AZ4557" s="48"/>
      <c r="BA4557" s="48"/>
      <c r="BB4557" s="48"/>
      <c r="BC4557" s="48"/>
      <c r="BD4557" s="48"/>
    </row>
    <row r="4558" spans="1:56">
      <c r="A4558" s="48"/>
      <c r="B4558" s="48"/>
      <c r="C4558" s="49"/>
      <c r="D4558" s="48"/>
      <c r="E4558" s="48"/>
      <c r="F4558" s="48"/>
      <c r="G4558" s="48"/>
      <c r="H4558" s="48"/>
      <c r="I4558" s="48"/>
      <c r="J4558" s="86"/>
      <c r="K4558" s="86"/>
      <c r="L4558" s="86"/>
      <c r="M4558" s="86"/>
      <c r="N4558" s="86"/>
      <c r="O4558" s="86"/>
      <c r="P4558" s="86"/>
      <c r="Q4558" s="86"/>
      <c r="R4558" s="86"/>
      <c r="S4558" s="86"/>
      <c r="T4558" s="86"/>
      <c r="U4558" s="86"/>
      <c r="V4558" s="48"/>
      <c r="W4558" s="48"/>
      <c r="X4558" s="48"/>
      <c r="Y4558" s="48"/>
      <c r="Z4558" s="48"/>
      <c r="AA4558" s="48"/>
      <c r="AB4558" s="48"/>
      <c r="AC4558" s="48"/>
      <c r="AD4558" s="48"/>
      <c r="AE4558" s="48"/>
      <c r="AF4558" s="48"/>
      <c r="AG4558" s="48"/>
      <c r="AH4558" s="48"/>
      <c r="AI4558" s="48"/>
      <c r="AJ4558" s="48"/>
      <c r="AK4558" s="48"/>
      <c r="AL4558" s="48"/>
      <c r="AM4558" s="48"/>
      <c r="AN4558" s="48"/>
      <c r="AO4558" s="48"/>
      <c r="AP4558" s="48"/>
      <c r="AQ4558" s="48"/>
      <c r="AR4558" s="48"/>
      <c r="AS4558" s="48"/>
      <c r="AT4558" s="48"/>
      <c r="AU4558" s="48"/>
      <c r="AV4558" s="48"/>
      <c r="AW4558" s="48"/>
      <c r="AX4558" s="48"/>
      <c r="AY4558" s="48"/>
      <c r="AZ4558" s="48"/>
      <c r="BA4558" s="48"/>
      <c r="BB4558" s="48"/>
      <c r="BC4558" s="48"/>
      <c r="BD4558" s="48"/>
    </row>
    <row r="4559" spans="1:56">
      <c r="A4559" s="48"/>
      <c r="B4559" s="48"/>
      <c r="C4559" s="49"/>
      <c r="D4559" s="48"/>
      <c r="E4559" s="48"/>
      <c r="F4559" s="48"/>
      <c r="G4559" s="48"/>
      <c r="H4559" s="48"/>
      <c r="I4559" s="48"/>
      <c r="J4559" s="86"/>
      <c r="K4559" s="86"/>
      <c r="L4559" s="86"/>
      <c r="M4559" s="86"/>
      <c r="N4559" s="86"/>
      <c r="O4559" s="86"/>
      <c r="P4559" s="86"/>
      <c r="Q4559" s="86"/>
      <c r="R4559" s="86"/>
      <c r="S4559" s="86"/>
      <c r="T4559" s="86"/>
      <c r="U4559" s="86"/>
      <c r="V4559" s="48"/>
      <c r="W4559" s="48"/>
      <c r="X4559" s="48"/>
      <c r="Y4559" s="48"/>
      <c r="Z4559" s="48"/>
      <c r="AA4559" s="48"/>
      <c r="AB4559" s="48"/>
      <c r="AC4559" s="48"/>
      <c r="AD4559" s="48"/>
      <c r="AE4559" s="48"/>
      <c r="AF4559" s="48"/>
      <c r="AG4559" s="48"/>
      <c r="AH4559" s="48"/>
      <c r="AI4559" s="48"/>
      <c r="AJ4559" s="48"/>
      <c r="AK4559" s="48"/>
      <c r="AL4559" s="48"/>
      <c r="AM4559" s="48"/>
      <c r="AN4559" s="48"/>
      <c r="AO4559" s="48"/>
      <c r="AP4559" s="48"/>
      <c r="AQ4559" s="48"/>
      <c r="AR4559" s="48"/>
      <c r="AS4559" s="48"/>
      <c r="AT4559" s="48"/>
      <c r="AU4559" s="48"/>
      <c r="AV4559" s="48"/>
      <c r="AW4559" s="48"/>
      <c r="AX4559" s="48"/>
      <c r="AY4559" s="48"/>
      <c r="AZ4559" s="48"/>
      <c r="BA4559" s="48"/>
      <c r="BB4559" s="48"/>
      <c r="BC4559" s="48"/>
      <c r="BD4559" s="48"/>
    </row>
    <row r="4560" spans="1:56">
      <c r="A4560" s="48"/>
      <c r="B4560" s="48"/>
      <c r="C4560" s="49"/>
      <c r="D4560" s="48"/>
      <c r="E4560" s="48"/>
      <c r="F4560" s="48"/>
      <c r="G4560" s="48"/>
      <c r="H4560" s="48"/>
      <c r="I4560" s="48"/>
      <c r="J4560" s="86"/>
      <c r="K4560" s="86"/>
      <c r="L4560" s="86"/>
      <c r="M4560" s="86"/>
      <c r="N4560" s="86"/>
      <c r="O4560" s="86"/>
      <c r="P4560" s="86"/>
      <c r="Q4560" s="86"/>
      <c r="R4560" s="86"/>
      <c r="S4560" s="86"/>
      <c r="T4560" s="86"/>
      <c r="U4560" s="86"/>
      <c r="V4560" s="48"/>
      <c r="W4560" s="48"/>
      <c r="X4560" s="48"/>
      <c r="Y4560" s="48"/>
      <c r="Z4560" s="48"/>
      <c r="AA4560" s="48"/>
      <c r="AB4560" s="48"/>
      <c r="AC4560" s="48"/>
      <c r="AD4560" s="48"/>
      <c r="AE4560" s="48"/>
      <c r="AF4560" s="48"/>
      <c r="AG4560" s="48"/>
      <c r="AH4560" s="48"/>
      <c r="AI4560" s="48"/>
      <c r="AJ4560" s="48"/>
      <c r="AK4560" s="48"/>
      <c r="AL4560" s="48"/>
      <c r="AM4560" s="48"/>
      <c r="AN4560" s="48"/>
      <c r="AO4560" s="48"/>
      <c r="AP4560" s="48"/>
      <c r="AQ4560" s="48"/>
      <c r="AR4560" s="48"/>
      <c r="AS4560" s="48"/>
      <c r="AT4560" s="48"/>
      <c r="AU4560" s="48"/>
      <c r="AV4560" s="48"/>
      <c r="AW4560" s="48"/>
      <c r="AX4560" s="48"/>
      <c r="AY4560" s="48"/>
      <c r="AZ4560" s="48"/>
      <c r="BA4560" s="48"/>
      <c r="BB4560" s="48"/>
      <c r="BC4560" s="48"/>
      <c r="BD4560" s="48"/>
    </row>
    <row r="4561" spans="1:56">
      <c r="A4561" s="48"/>
      <c r="B4561" s="48"/>
      <c r="C4561" s="49"/>
      <c r="D4561" s="48"/>
      <c r="E4561" s="48"/>
      <c r="F4561" s="48"/>
      <c r="G4561" s="48"/>
      <c r="H4561" s="48"/>
      <c r="I4561" s="48"/>
      <c r="J4561" s="86"/>
      <c r="K4561" s="86"/>
      <c r="L4561" s="86"/>
      <c r="M4561" s="86"/>
      <c r="N4561" s="86"/>
      <c r="O4561" s="86"/>
      <c r="P4561" s="86"/>
      <c r="Q4561" s="86"/>
      <c r="R4561" s="86"/>
      <c r="S4561" s="86"/>
      <c r="T4561" s="86"/>
      <c r="U4561" s="86"/>
      <c r="V4561" s="48"/>
      <c r="W4561" s="48"/>
      <c r="X4561" s="48"/>
      <c r="Y4561" s="48"/>
      <c r="Z4561" s="48"/>
      <c r="AA4561" s="48"/>
      <c r="AB4561" s="48"/>
      <c r="AC4561" s="48"/>
      <c r="AD4561" s="48"/>
      <c r="AE4561" s="48"/>
      <c r="AF4561" s="48"/>
      <c r="AG4561" s="48"/>
      <c r="AH4561" s="48"/>
      <c r="AI4561" s="48"/>
      <c r="AJ4561" s="48"/>
      <c r="AK4561" s="48"/>
      <c r="AL4561" s="48"/>
      <c r="AM4561" s="48"/>
      <c r="AN4561" s="48"/>
      <c r="AO4561" s="48"/>
      <c r="AP4561" s="48"/>
      <c r="AQ4561" s="48"/>
      <c r="AR4561" s="48"/>
      <c r="AS4561" s="48"/>
      <c r="AT4561" s="48"/>
      <c r="AU4561" s="48"/>
      <c r="AV4561" s="48"/>
      <c r="AW4561" s="48"/>
      <c r="AX4561" s="48"/>
      <c r="AY4561" s="48"/>
      <c r="AZ4561" s="48"/>
      <c r="BA4561" s="48"/>
      <c r="BB4561" s="48"/>
      <c r="BC4561" s="48"/>
      <c r="BD4561" s="48"/>
    </row>
    <row r="4562" spans="1:56">
      <c r="A4562" s="48"/>
      <c r="B4562" s="48"/>
      <c r="C4562" s="49"/>
      <c r="D4562" s="48"/>
      <c r="E4562" s="48"/>
      <c r="F4562" s="48"/>
      <c r="G4562" s="48"/>
      <c r="H4562" s="48"/>
      <c r="I4562" s="48"/>
      <c r="J4562" s="86"/>
      <c r="K4562" s="86"/>
      <c r="L4562" s="86"/>
      <c r="M4562" s="86"/>
      <c r="N4562" s="86"/>
      <c r="O4562" s="86"/>
      <c r="P4562" s="86"/>
      <c r="Q4562" s="86"/>
      <c r="R4562" s="86"/>
      <c r="S4562" s="86"/>
      <c r="T4562" s="86"/>
      <c r="U4562" s="86"/>
      <c r="V4562" s="48"/>
      <c r="W4562" s="48"/>
      <c r="X4562" s="48"/>
      <c r="Y4562" s="48"/>
      <c r="Z4562" s="48"/>
      <c r="AA4562" s="48"/>
      <c r="AB4562" s="48"/>
      <c r="AC4562" s="48"/>
      <c r="AD4562" s="48"/>
      <c r="AE4562" s="48"/>
      <c r="AF4562" s="48"/>
      <c r="AG4562" s="48"/>
      <c r="AH4562" s="48"/>
      <c r="AI4562" s="48"/>
      <c r="AJ4562" s="48"/>
      <c r="AK4562" s="48"/>
      <c r="AL4562" s="48"/>
      <c r="AM4562" s="48"/>
      <c r="AN4562" s="48"/>
      <c r="AO4562" s="48"/>
      <c r="AP4562" s="48"/>
      <c r="AQ4562" s="48"/>
      <c r="AR4562" s="48"/>
      <c r="AS4562" s="48"/>
      <c r="AT4562" s="48"/>
      <c r="AU4562" s="48"/>
      <c r="AV4562" s="48"/>
      <c r="AW4562" s="48"/>
      <c r="AX4562" s="48"/>
      <c r="AY4562" s="48"/>
      <c r="AZ4562" s="48"/>
      <c r="BA4562" s="48"/>
      <c r="BB4562" s="48"/>
      <c r="BC4562" s="48"/>
      <c r="BD4562" s="48"/>
    </row>
    <row r="4563" spans="1:56">
      <c r="A4563" s="48"/>
      <c r="B4563" s="48"/>
      <c r="C4563" s="49"/>
      <c r="D4563" s="48"/>
      <c r="E4563" s="48"/>
      <c r="F4563" s="48"/>
      <c r="G4563" s="48"/>
      <c r="H4563" s="48"/>
      <c r="I4563" s="48"/>
      <c r="J4563" s="86"/>
      <c r="K4563" s="86"/>
      <c r="L4563" s="86"/>
      <c r="M4563" s="86"/>
      <c r="N4563" s="86"/>
      <c r="O4563" s="86"/>
      <c r="P4563" s="86"/>
      <c r="Q4563" s="86"/>
      <c r="R4563" s="86"/>
      <c r="S4563" s="86"/>
      <c r="T4563" s="86"/>
      <c r="U4563" s="86"/>
      <c r="V4563" s="48"/>
      <c r="W4563" s="48"/>
      <c r="X4563" s="48"/>
      <c r="Y4563" s="48"/>
      <c r="Z4563" s="48"/>
      <c r="AA4563" s="48"/>
      <c r="AB4563" s="48"/>
      <c r="AC4563" s="48"/>
      <c r="AD4563" s="48"/>
      <c r="AE4563" s="48"/>
      <c r="AF4563" s="48"/>
      <c r="AG4563" s="48"/>
      <c r="AH4563" s="48"/>
      <c r="AI4563" s="48"/>
      <c r="AJ4563" s="48"/>
      <c r="AK4563" s="48"/>
      <c r="AL4563" s="48"/>
      <c r="AM4563" s="48"/>
      <c r="AN4563" s="48"/>
      <c r="AO4563" s="48"/>
      <c r="AP4563" s="48"/>
      <c r="AQ4563" s="48"/>
      <c r="AR4563" s="48"/>
      <c r="AS4563" s="48"/>
      <c r="AT4563" s="48"/>
      <c r="AU4563" s="48"/>
      <c r="AV4563" s="48"/>
      <c r="AW4563" s="48"/>
      <c r="AX4563" s="48"/>
      <c r="AY4563" s="48"/>
      <c r="AZ4563" s="48"/>
      <c r="BA4563" s="48"/>
      <c r="BB4563" s="48"/>
      <c r="BC4563" s="48"/>
      <c r="BD4563" s="48"/>
    </row>
    <row r="4564" spans="1:56">
      <c r="A4564" s="48"/>
      <c r="B4564" s="48"/>
      <c r="C4564" s="49"/>
      <c r="D4564" s="48"/>
      <c r="E4564" s="48"/>
      <c r="F4564" s="48"/>
      <c r="G4564" s="48"/>
      <c r="H4564" s="48"/>
      <c r="I4564" s="48"/>
      <c r="J4564" s="86"/>
      <c r="K4564" s="86"/>
      <c r="L4564" s="86"/>
      <c r="M4564" s="86"/>
      <c r="N4564" s="86"/>
      <c r="O4564" s="86"/>
      <c r="P4564" s="86"/>
      <c r="Q4564" s="86"/>
      <c r="R4564" s="86"/>
      <c r="S4564" s="86"/>
      <c r="T4564" s="86"/>
      <c r="U4564" s="86"/>
      <c r="V4564" s="48"/>
      <c r="W4564" s="48"/>
      <c r="X4564" s="48"/>
      <c r="Y4564" s="48"/>
      <c r="Z4564" s="48"/>
      <c r="AA4564" s="48"/>
      <c r="AB4564" s="48"/>
      <c r="AC4564" s="48"/>
      <c r="AD4564" s="48"/>
      <c r="AE4564" s="48"/>
      <c r="AF4564" s="48"/>
      <c r="AG4564" s="48"/>
      <c r="AH4564" s="48"/>
      <c r="AI4564" s="48"/>
      <c r="AJ4564" s="48"/>
      <c r="AK4564" s="48"/>
      <c r="AL4564" s="48"/>
      <c r="AM4564" s="48"/>
      <c r="AN4564" s="48"/>
      <c r="AO4564" s="48"/>
      <c r="AP4564" s="48"/>
      <c r="AQ4564" s="48"/>
      <c r="AR4564" s="48"/>
      <c r="AS4564" s="48"/>
      <c r="AT4564" s="48"/>
      <c r="AU4564" s="48"/>
      <c r="AV4564" s="48"/>
      <c r="AW4564" s="48"/>
      <c r="AX4564" s="48"/>
      <c r="AY4564" s="48"/>
      <c r="AZ4564" s="48"/>
      <c r="BA4564" s="48"/>
      <c r="BB4564" s="48"/>
      <c r="BC4564" s="48"/>
      <c r="BD4564" s="48"/>
    </row>
    <row r="4565" spans="1:56">
      <c r="A4565" s="48"/>
      <c r="B4565" s="48"/>
      <c r="C4565" s="49"/>
      <c r="D4565" s="48"/>
      <c r="E4565" s="48"/>
      <c r="F4565" s="48"/>
      <c r="G4565" s="48"/>
      <c r="H4565" s="48"/>
      <c r="I4565" s="48"/>
      <c r="J4565" s="86"/>
      <c r="K4565" s="86"/>
      <c r="L4565" s="86"/>
      <c r="M4565" s="86"/>
      <c r="N4565" s="86"/>
      <c r="O4565" s="86"/>
      <c r="P4565" s="86"/>
      <c r="Q4565" s="86"/>
      <c r="R4565" s="86"/>
      <c r="S4565" s="86"/>
      <c r="T4565" s="86"/>
      <c r="U4565" s="86"/>
      <c r="V4565" s="48"/>
      <c r="W4565" s="48"/>
      <c r="X4565" s="48"/>
      <c r="Y4565" s="48"/>
      <c r="Z4565" s="48"/>
      <c r="AA4565" s="48"/>
      <c r="AB4565" s="48"/>
      <c r="AC4565" s="48"/>
      <c r="AD4565" s="48"/>
      <c r="AE4565" s="48"/>
      <c r="AF4565" s="48"/>
      <c r="AG4565" s="48"/>
      <c r="AH4565" s="48"/>
      <c r="AI4565" s="48"/>
      <c r="AJ4565" s="48"/>
      <c r="AK4565" s="48"/>
      <c r="AL4565" s="48"/>
      <c r="AM4565" s="48"/>
      <c r="AN4565" s="48"/>
      <c r="AO4565" s="48"/>
      <c r="AP4565" s="48"/>
      <c r="AQ4565" s="48"/>
      <c r="AR4565" s="48"/>
      <c r="AS4565" s="48"/>
      <c r="AT4565" s="48"/>
      <c r="AU4565" s="48"/>
      <c r="AV4565" s="48"/>
      <c r="AW4565" s="48"/>
      <c r="AX4565" s="48"/>
      <c r="AY4565" s="48"/>
      <c r="AZ4565" s="48"/>
      <c r="BA4565" s="48"/>
      <c r="BB4565" s="48"/>
      <c r="BC4565" s="48"/>
      <c r="BD4565" s="48"/>
    </row>
    <row r="4566" spans="1:56">
      <c r="A4566" s="48"/>
      <c r="B4566" s="48"/>
      <c r="C4566" s="49"/>
      <c r="D4566" s="48"/>
      <c r="E4566" s="48"/>
      <c r="F4566" s="48"/>
      <c r="G4566" s="48"/>
      <c r="H4566" s="48"/>
      <c r="I4566" s="48"/>
      <c r="J4566" s="86"/>
      <c r="K4566" s="86"/>
      <c r="L4566" s="86"/>
      <c r="M4566" s="86"/>
      <c r="N4566" s="86"/>
      <c r="O4566" s="86"/>
      <c r="P4566" s="86"/>
      <c r="Q4566" s="86"/>
      <c r="R4566" s="86"/>
      <c r="S4566" s="86"/>
      <c r="T4566" s="86"/>
      <c r="U4566" s="86"/>
      <c r="V4566" s="48"/>
      <c r="W4566" s="48"/>
      <c r="X4566" s="48"/>
      <c r="Y4566" s="48"/>
      <c r="Z4566" s="48"/>
      <c r="AA4566" s="48"/>
      <c r="AB4566" s="48"/>
      <c r="AC4566" s="48"/>
      <c r="AD4566" s="48"/>
      <c r="AE4566" s="48"/>
      <c r="AF4566" s="48"/>
      <c r="AG4566" s="48"/>
      <c r="AH4566" s="48"/>
      <c r="AI4566" s="48"/>
      <c r="AJ4566" s="48"/>
      <c r="AK4566" s="48"/>
      <c r="AL4566" s="48"/>
      <c r="AM4566" s="48"/>
      <c r="AN4566" s="48"/>
      <c r="AO4566" s="48"/>
      <c r="AP4566" s="48"/>
      <c r="AQ4566" s="48"/>
      <c r="AR4566" s="48"/>
      <c r="AS4566" s="48"/>
      <c r="AT4566" s="48"/>
      <c r="AU4566" s="48"/>
      <c r="AV4566" s="48"/>
      <c r="AW4566" s="48"/>
      <c r="AX4566" s="48"/>
      <c r="AY4566" s="48"/>
      <c r="AZ4566" s="48"/>
      <c r="BA4566" s="48"/>
      <c r="BB4566" s="48"/>
      <c r="BC4566" s="48"/>
      <c r="BD4566" s="48"/>
    </row>
    <row r="4567" spans="1:56">
      <c r="A4567" s="48"/>
      <c r="B4567" s="48"/>
      <c r="C4567" s="49"/>
      <c r="D4567" s="48"/>
      <c r="E4567" s="48"/>
      <c r="F4567" s="48"/>
      <c r="G4567" s="48"/>
      <c r="H4567" s="48"/>
      <c r="I4567" s="48"/>
      <c r="J4567" s="86"/>
      <c r="K4567" s="86"/>
      <c r="L4567" s="86"/>
      <c r="M4567" s="86"/>
      <c r="N4567" s="86"/>
      <c r="O4567" s="86"/>
      <c r="P4567" s="86"/>
      <c r="Q4567" s="86"/>
      <c r="R4567" s="86"/>
      <c r="S4567" s="86"/>
      <c r="T4567" s="86"/>
      <c r="U4567" s="86"/>
      <c r="V4567" s="48"/>
      <c r="W4567" s="48"/>
      <c r="X4567" s="48"/>
      <c r="Y4567" s="48"/>
      <c r="Z4567" s="48"/>
      <c r="AA4567" s="48"/>
      <c r="AB4567" s="48"/>
      <c r="AC4567" s="48"/>
      <c r="AD4567" s="48"/>
      <c r="AE4567" s="48"/>
      <c r="AF4567" s="48"/>
      <c r="AG4567" s="48"/>
      <c r="AH4567" s="48"/>
      <c r="AI4567" s="48"/>
      <c r="AJ4567" s="48"/>
      <c r="AK4567" s="48"/>
      <c r="AL4567" s="48"/>
      <c r="AM4567" s="48"/>
      <c r="AN4567" s="48"/>
      <c r="AO4567" s="48"/>
      <c r="AP4567" s="48"/>
      <c r="AQ4567" s="48"/>
      <c r="AR4567" s="48"/>
      <c r="AS4567" s="48"/>
      <c r="AT4567" s="48"/>
      <c r="AU4567" s="48"/>
      <c r="AV4567" s="48"/>
      <c r="AW4567" s="48"/>
      <c r="AX4567" s="48"/>
      <c r="AY4567" s="48"/>
      <c r="AZ4567" s="48"/>
      <c r="BA4567" s="48"/>
      <c r="BB4567" s="48"/>
      <c r="BC4567" s="48"/>
      <c r="BD4567" s="48"/>
    </row>
    <row r="4568" spans="1:56">
      <c r="A4568" s="48"/>
      <c r="B4568" s="48"/>
      <c r="C4568" s="49"/>
      <c r="D4568" s="48"/>
      <c r="E4568" s="48"/>
      <c r="F4568" s="48"/>
      <c r="G4568" s="48"/>
      <c r="H4568" s="48"/>
      <c r="I4568" s="48"/>
      <c r="J4568" s="86"/>
      <c r="K4568" s="86"/>
      <c r="L4568" s="86"/>
      <c r="M4568" s="86"/>
      <c r="N4568" s="86"/>
      <c r="O4568" s="86"/>
      <c r="P4568" s="86"/>
      <c r="Q4568" s="86"/>
      <c r="R4568" s="86"/>
      <c r="S4568" s="86"/>
      <c r="T4568" s="86"/>
      <c r="U4568" s="86"/>
      <c r="V4568" s="48"/>
      <c r="W4568" s="48"/>
      <c r="X4568" s="48"/>
      <c r="Y4568" s="48"/>
      <c r="Z4568" s="48"/>
      <c r="AA4568" s="48"/>
      <c r="AB4568" s="48"/>
      <c r="AC4568" s="48"/>
      <c r="AD4568" s="48"/>
      <c r="AE4568" s="48"/>
      <c r="AF4568" s="48"/>
      <c r="AG4568" s="48"/>
      <c r="AH4568" s="48"/>
      <c r="AI4568" s="48"/>
      <c r="AJ4568" s="48"/>
      <c r="AK4568" s="48"/>
      <c r="AL4568" s="48"/>
      <c r="AM4568" s="48"/>
      <c r="AN4568" s="48"/>
      <c r="AO4568" s="48"/>
      <c r="AP4568" s="48"/>
      <c r="AQ4568" s="48"/>
      <c r="AR4568" s="48"/>
      <c r="AS4568" s="48"/>
      <c r="AT4568" s="48"/>
      <c r="AU4568" s="48"/>
      <c r="AV4568" s="48"/>
      <c r="AW4568" s="48"/>
      <c r="AX4568" s="48"/>
      <c r="AY4568" s="48"/>
      <c r="AZ4568" s="48"/>
      <c r="BA4568" s="48"/>
      <c r="BB4568" s="48"/>
      <c r="BC4568" s="48"/>
      <c r="BD4568" s="48"/>
    </row>
    <row r="4569" spans="1:56">
      <c r="A4569" s="48"/>
      <c r="B4569" s="48"/>
      <c r="C4569" s="49"/>
      <c r="D4569" s="48"/>
      <c r="E4569" s="48"/>
      <c r="F4569" s="48"/>
      <c r="G4569" s="48"/>
      <c r="H4569" s="48"/>
      <c r="I4569" s="48"/>
      <c r="J4569" s="86"/>
      <c r="K4569" s="86"/>
      <c r="L4569" s="86"/>
      <c r="M4569" s="86"/>
      <c r="N4569" s="86"/>
      <c r="O4569" s="86"/>
      <c r="P4569" s="86"/>
      <c r="Q4569" s="86"/>
      <c r="R4569" s="86"/>
      <c r="S4569" s="86"/>
      <c r="T4569" s="86"/>
      <c r="U4569" s="86"/>
      <c r="V4569" s="48"/>
      <c r="W4569" s="48"/>
      <c r="X4569" s="48"/>
      <c r="Y4569" s="48"/>
      <c r="Z4569" s="48"/>
      <c r="AA4569" s="48"/>
      <c r="AB4569" s="48"/>
      <c r="AC4569" s="48"/>
      <c r="AD4569" s="48"/>
      <c r="AE4569" s="48"/>
      <c r="AF4569" s="48"/>
      <c r="AG4569" s="48"/>
      <c r="AH4569" s="48"/>
      <c r="AI4569" s="48"/>
      <c r="AJ4569" s="48"/>
      <c r="AK4569" s="48"/>
      <c r="AL4569" s="48"/>
      <c r="AM4569" s="48"/>
      <c r="AN4569" s="48"/>
      <c r="AO4569" s="48"/>
      <c r="AP4569" s="48"/>
      <c r="AQ4569" s="48"/>
      <c r="AR4569" s="48"/>
      <c r="AS4569" s="48"/>
      <c r="AT4569" s="48"/>
      <c r="AU4569" s="48"/>
      <c r="AV4569" s="48"/>
      <c r="AW4569" s="48"/>
      <c r="AX4569" s="48"/>
      <c r="AY4569" s="48"/>
      <c r="AZ4569" s="48"/>
      <c r="BA4569" s="48"/>
      <c r="BB4569" s="48"/>
      <c r="BC4569" s="48"/>
      <c r="BD4569" s="48"/>
    </row>
    <row r="4570" spans="1:56">
      <c r="A4570" s="48"/>
      <c r="B4570" s="48"/>
      <c r="C4570" s="49"/>
      <c r="D4570" s="48"/>
      <c r="E4570" s="48"/>
      <c r="F4570" s="48"/>
      <c r="G4570" s="48"/>
      <c r="H4570" s="48"/>
      <c r="I4570" s="48"/>
      <c r="J4570" s="86"/>
      <c r="K4570" s="86"/>
      <c r="L4570" s="86"/>
      <c r="M4570" s="86"/>
      <c r="N4570" s="86"/>
      <c r="O4570" s="86"/>
      <c r="P4570" s="86"/>
      <c r="Q4570" s="86"/>
      <c r="R4570" s="86"/>
      <c r="S4570" s="86"/>
      <c r="T4570" s="86"/>
      <c r="U4570" s="86"/>
      <c r="V4570" s="48"/>
      <c r="W4570" s="48"/>
      <c r="X4570" s="48"/>
      <c r="Y4570" s="48"/>
      <c r="Z4570" s="48"/>
      <c r="AA4570" s="48"/>
      <c r="AB4570" s="48"/>
      <c r="AC4570" s="48"/>
      <c r="AD4570" s="48"/>
      <c r="AE4570" s="48"/>
      <c r="AF4570" s="48"/>
      <c r="AG4570" s="48"/>
      <c r="AH4570" s="48"/>
      <c r="AI4570" s="48"/>
      <c r="AJ4570" s="48"/>
      <c r="AK4570" s="48"/>
      <c r="AL4570" s="48"/>
      <c r="AM4570" s="48"/>
      <c r="AN4570" s="48"/>
      <c r="AO4570" s="48"/>
      <c r="AP4570" s="48"/>
      <c r="AQ4570" s="48"/>
      <c r="AR4570" s="48"/>
      <c r="AS4570" s="48"/>
      <c r="AT4570" s="48"/>
      <c r="AU4570" s="48"/>
      <c r="AV4570" s="48"/>
      <c r="AW4570" s="48"/>
      <c r="AX4570" s="48"/>
      <c r="AY4570" s="48"/>
      <c r="AZ4570" s="48"/>
      <c r="BA4570" s="48"/>
      <c r="BB4570" s="48"/>
      <c r="BC4570" s="48"/>
      <c r="BD4570" s="48"/>
    </row>
    <row r="4571" spans="1:56">
      <c r="A4571" s="48"/>
      <c r="B4571" s="48"/>
      <c r="C4571" s="49"/>
      <c r="D4571" s="48"/>
      <c r="E4571" s="48"/>
      <c r="F4571" s="48"/>
      <c r="G4571" s="48"/>
      <c r="H4571" s="48"/>
      <c r="I4571" s="48"/>
      <c r="J4571" s="86"/>
      <c r="K4571" s="86"/>
      <c r="L4571" s="86"/>
      <c r="M4571" s="86"/>
      <c r="N4571" s="86"/>
      <c r="O4571" s="86"/>
      <c r="P4571" s="86"/>
      <c r="Q4571" s="86"/>
      <c r="R4571" s="86"/>
      <c r="S4571" s="86"/>
      <c r="T4571" s="86"/>
      <c r="U4571" s="86"/>
      <c r="V4571" s="48"/>
      <c r="W4571" s="48"/>
      <c r="X4571" s="48"/>
      <c r="Y4571" s="48"/>
      <c r="Z4571" s="48"/>
      <c r="AA4571" s="48"/>
      <c r="AB4571" s="48"/>
      <c r="AC4571" s="48"/>
      <c r="AD4571" s="48"/>
      <c r="AE4571" s="48"/>
      <c r="AF4571" s="48"/>
      <c r="AG4571" s="48"/>
      <c r="AH4571" s="48"/>
      <c r="AI4571" s="48"/>
      <c r="AJ4571" s="48"/>
      <c r="AK4571" s="48"/>
      <c r="AL4571" s="48"/>
      <c r="AM4571" s="48"/>
      <c r="AN4571" s="48"/>
      <c r="AO4571" s="48"/>
      <c r="AP4571" s="48"/>
      <c r="AQ4571" s="48"/>
      <c r="AR4571" s="48"/>
      <c r="AS4571" s="48"/>
      <c r="AT4571" s="48"/>
      <c r="AU4571" s="48"/>
      <c r="AV4571" s="48"/>
      <c r="AW4571" s="48"/>
      <c r="AX4571" s="48"/>
      <c r="AY4571" s="48"/>
      <c r="AZ4571" s="48"/>
      <c r="BA4571" s="48"/>
      <c r="BB4571" s="48"/>
      <c r="BC4571" s="48"/>
      <c r="BD4571" s="48"/>
    </row>
    <row r="4572" spans="1:56">
      <c r="A4572" s="48"/>
      <c r="B4572" s="48"/>
      <c r="C4572" s="49"/>
      <c r="D4572" s="48"/>
      <c r="E4572" s="48"/>
      <c r="F4572" s="48"/>
      <c r="G4572" s="48"/>
      <c r="H4572" s="48"/>
      <c r="I4572" s="48"/>
      <c r="J4572" s="86"/>
      <c r="K4572" s="86"/>
      <c r="L4572" s="86"/>
      <c r="M4572" s="86"/>
      <c r="N4572" s="86"/>
      <c r="O4572" s="86"/>
      <c r="P4572" s="86"/>
      <c r="Q4572" s="86"/>
      <c r="R4572" s="86"/>
      <c r="S4572" s="86"/>
      <c r="T4572" s="86"/>
      <c r="U4572" s="86"/>
      <c r="V4572" s="48"/>
      <c r="W4572" s="48"/>
      <c r="X4572" s="48"/>
      <c r="Y4572" s="48"/>
      <c r="Z4572" s="48"/>
      <c r="AA4572" s="48"/>
      <c r="AB4572" s="48"/>
      <c r="AC4572" s="48"/>
      <c r="AD4572" s="48"/>
      <c r="AE4572" s="48"/>
      <c r="AF4572" s="48"/>
      <c r="AG4572" s="48"/>
      <c r="AH4572" s="48"/>
      <c r="AI4572" s="48"/>
      <c r="AJ4572" s="48"/>
      <c r="AK4572" s="48"/>
      <c r="AL4572" s="48"/>
      <c r="AM4572" s="48"/>
      <c r="AN4572" s="48"/>
      <c r="AO4572" s="48"/>
      <c r="AP4572" s="48"/>
      <c r="AQ4572" s="48"/>
      <c r="AR4572" s="48"/>
      <c r="AS4572" s="48"/>
      <c r="AT4572" s="48"/>
      <c r="AU4572" s="48"/>
      <c r="AV4572" s="48"/>
      <c r="AW4572" s="48"/>
      <c r="AX4572" s="48"/>
      <c r="AY4572" s="48"/>
      <c r="AZ4572" s="48"/>
      <c r="BA4572" s="48"/>
      <c r="BB4572" s="48"/>
      <c r="BC4572" s="48"/>
      <c r="BD4572" s="48"/>
    </row>
    <row r="4573" spans="1:56">
      <c r="A4573" s="48"/>
      <c r="B4573" s="48"/>
      <c r="C4573" s="49"/>
      <c r="D4573" s="48"/>
      <c r="E4573" s="48"/>
      <c r="F4573" s="48"/>
      <c r="G4573" s="48"/>
      <c r="H4573" s="48"/>
      <c r="I4573" s="48"/>
      <c r="J4573" s="86"/>
      <c r="K4573" s="86"/>
      <c r="L4573" s="86"/>
      <c r="M4573" s="86"/>
      <c r="N4573" s="86"/>
      <c r="O4573" s="86"/>
      <c r="P4573" s="86"/>
      <c r="Q4573" s="86"/>
      <c r="R4573" s="86"/>
      <c r="S4573" s="86"/>
      <c r="T4573" s="86"/>
      <c r="U4573" s="86"/>
      <c r="V4573" s="48"/>
      <c r="W4573" s="48"/>
      <c r="X4573" s="48"/>
      <c r="Y4573" s="48"/>
      <c r="Z4573" s="48"/>
      <c r="AA4573" s="48"/>
      <c r="AB4573" s="48"/>
      <c r="AC4573" s="48"/>
      <c r="AD4573" s="48"/>
      <c r="AE4573" s="48"/>
      <c r="AF4573" s="48"/>
      <c r="AG4573" s="48"/>
      <c r="AH4573" s="48"/>
      <c r="AI4573" s="48"/>
      <c r="AJ4573" s="48"/>
      <c r="AK4573" s="48"/>
      <c r="AL4573" s="48"/>
      <c r="AM4573" s="48"/>
      <c r="AN4573" s="48"/>
      <c r="AO4573" s="48"/>
      <c r="AP4573" s="48"/>
      <c r="AQ4573" s="48"/>
      <c r="AR4573" s="48"/>
      <c r="AS4573" s="48"/>
      <c r="AT4573" s="48"/>
      <c r="AU4573" s="48"/>
      <c r="AV4573" s="48"/>
      <c r="AW4573" s="48"/>
      <c r="AX4573" s="48"/>
      <c r="AY4573" s="48"/>
      <c r="AZ4573" s="48"/>
      <c r="BA4573" s="48"/>
      <c r="BB4573" s="48"/>
      <c r="BC4573" s="48"/>
      <c r="BD4573" s="48"/>
    </row>
    <row r="4574" spans="1:56">
      <c r="A4574" s="48"/>
      <c r="B4574" s="48"/>
      <c r="C4574" s="49"/>
      <c r="D4574" s="48"/>
      <c r="E4574" s="48"/>
      <c r="F4574" s="48"/>
      <c r="G4574" s="48"/>
      <c r="H4574" s="48"/>
      <c r="I4574" s="48"/>
      <c r="J4574" s="86"/>
      <c r="K4574" s="86"/>
      <c r="L4574" s="86"/>
      <c r="M4574" s="86"/>
      <c r="N4574" s="86"/>
      <c r="O4574" s="86"/>
      <c r="P4574" s="86"/>
      <c r="Q4574" s="86"/>
      <c r="R4574" s="86"/>
      <c r="S4574" s="86"/>
      <c r="T4574" s="86"/>
      <c r="U4574" s="86"/>
      <c r="V4574" s="48"/>
      <c r="W4574" s="48"/>
      <c r="X4574" s="48"/>
      <c r="Y4574" s="48"/>
      <c r="Z4574" s="48"/>
      <c r="AA4574" s="48"/>
      <c r="AB4574" s="48"/>
      <c r="AC4574" s="48"/>
      <c r="AD4574" s="48"/>
      <c r="AE4574" s="48"/>
      <c r="AF4574" s="48"/>
      <c r="AG4574" s="48"/>
      <c r="AH4574" s="48"/>
      <c r="AI4574" s="48"/>
      <c r="AJ4574" s="48"/>
      <c r="AK4574" s="48"/>
      <c r="AL4574" s="48"/>
      <c r="AM4574" s="48"/>
      <c r="AN4574" s="48"/>
      <c r="AO4574" s="48"/>
      <c r="AP4574" s="48"/>
      <c r="AQ4574" s="48"/>
      <c r="AR4574" s="48"/>
      <c r="AS4574" s="48"/>
      <c r="AT4574" s="48"/>
      <c r="AU4574" s="48"/>
      <c r="AV4574" s="48"/>
      <c r="AW4574" s="48"/>
      <c r="AX4574" s="48"/>
      <c r="AY4574" s="48"/>
      <c r="AZ4574" s="48"/>
      <c r="BA4574" s="48"/>
      <c r="BB4574" s="48"/>
      <c r="BC4574" s="48"/>
      <c r="BD4574" s="48"/>
    </row>
    <row r="4575" spans="1:56">
      <c r="A4575" s="48"/>
      <c r="B4575" s="48"/>
      <c r="C4575" s="49"/>
      <c r="D4575" s="48"/>
      <c r="E4575" s="48"/>
      <c r="F4575" s="48"/>
      <c r="G4575" s="48"/>
      <c r="H4575" s="48"/>
      <c r="I4575" s="48"/>
      <c r="J4575" s="86"/>
      <c r="K4575" s="86"/>
      <c r="L4575" s="86"/>
      <c r="M4575" s="86"/>
      <c r="N4575" s="86"/>
      <c r="O4575" s="86"/>
      <c r="P4575" s="86"/>
      <c r="Q4575" s="86"/>
      <c r="R4575" s="86"/>
      <c r="S4575" s="86"/>
      <c r="T4575" s="86"/>
      <c r="U4575" s="86"/>
      <c r="V4575" s="48"/>
      <c r="W4575" s="48"/>
      <c r="X4575" s="48"/>
      <c r="Y4575" s="48"/>
      <c r="Z4575" s="48"/>
      <c r="AA4575" s="48"/>
      <c r="AB4575" s="48"/>
      <c r="AC4575" s="48"/>
      <c r="AD4575" s="48"/>
      <c r="AE4575" s="48"/>
      <c r="AF4575" s="48"/>
      <c r="AG4575" s="48"/>
      <c r="AH4575" s="48"/>
      <c r="AI4575" s="48"/>
      <c r="AJ4575" s="48"/>
      <c r="AK4575" s="48"/>
      <c r="AL4575" s="48"/>
      <c r="AM4575" s="48"/>
      <c r="AN4575" s="48"/>
      <c r="AO4575" s="48"/>
      <c r="AP4575" s="48"/>
      <c r="AQ4575" s="48"/>
      <c r="AR4575" s="48"/>
      <c r="AS4575" s="48"/>
      <c r="AT4575" s="48"/>
      <c r="AU4575" s="48"/>
      <c r="AV4575" s="48"/>
      <c r="AW4575" s="48"/>
      <c r="AX4575" s="48"/>
      <c r="AY4575" s="48"/>
      <c r="AZ4575" s="48"/>
      <c r="BA4575" s="48"/>
      <c r="BB4575" s="48"/>
      <c r="BC4575" s="48"/>
      <c r="BD4575" s="48"/>
    </row>
    <row r="4576" spans="1:56">
      <c r="A4576" s="48"/>
      <c r="B4576" s="48"/>
      <c r="C4576" s="49"/>
      <c r="D4576" s="48"/>
      <c r="E4576" s="48"/>
      <c r="F4576" s="48"/>
      <c r="G4576" s="48"/>
      <c r="H4576" s="48"/>
      <c r="I4576" s="48"/>
      <c r="J4576" s="86"/>
      <c r="K4576" s="86"/>
      <c r="L4576" s="86"/>
      <c r="M4576" s="86"/>
      <c r="N4576" s="86"/>
      <c r="O4576" s="86"/>
      <c r="P4576" s="86"/>
      <c r="Q4576" s="86"/>
      <c r="R4576" s="86"/>
      <c r="S4576" s="86"/>
      <c r="T4576" s="86"/>
      <c r="U4576" s="86"/>
      <c r="V4576" s="48"/>
      <c r="W4576" s="48"/>
      <c r="X4576" s="48"/>
      <c r="Y4576" s="48"/>
      <c r="Z4576" s="48"/>
      <c r="AA4576" s="48"/>
      <c r="AB4576" s="48"/>
      <c r="AC4576" s="48"/>
      <c r="AD4576" s="48"/>
      <c r="AE4576" s="48"/>
      <c r="AF4576" s="48"/>
      <c r="AG4576" s="48"/>
      <c r="AH4576" s="48"/>
      <c r="AI4576" s="48"/>
      <c r="AJ4576" s="48"/>
      <c r="AK4576" s="48"/>
      <c r="AL4576" s="48"/>
      <c r="AM4576" s="48"/>
      <c r="AN4576" s="48"/>
      <c r="AO4576" s="48"/>
      <c r="AP4576" s="48"/>
      <c r="AQ4576" s="48"/>
      <c r="AR4576" s="48"/>
      <c r="AS4576" s="48"/>
      <c r="AT4576" s="48"/>
      <c r="AU4576" s="48"/>
      <c r="AV4576" s="48"/>
      <c r="AW4576" s="48"/>
      <c r="AX4576" s="48"/>
      <c r="AY4576" s="48"/>
      <c r="AZ4576" s="48"/>
      <c r="BA4576" s="48"/>
      <c r="BB4576" s="48"/>
      <c r="BC4576" s="48"/>
      <c r="BD4576" s="48"/>
    </row>
    <row r="4577" spans="1:56">
      <c r="A4577" s="48"/>
      <c r="B4577" s="48"/>
      <c r="C4577" s="49"/>
      <c r="D4577" s="48"/>
      <c r="E4577" s="48"/>
      <c r="F4577" s="48"/>
      <c r="G4577" s="48"/>
      <c r="H4577" s="48"/>
      <c r="I4577" s="48"/>
      <c r="J4577" s="86"/>
      <c r="K4577" s="86"/>
      <c r="L4577" s="86"/>
      <c r="M4577" s="86"/>
      <c r="N4577" s="86"/>
      <c r="O4577" s="86"/>
      <c r="P4577" s="86"/>
      <c r="Q4577" s="86"/>
      <c r="R4577" s="86"/>
      <c r="S4577" s="86"/>
      <c r="T4577" s="86"/>
      <c r="U4577" s="86"/>
      <c r="V4577" s="48"/>
      <c r="W4577" s="48"/>
      <c r="X4577" s="48"/>
      <c r="Y4577" s="48"/>
      <c r="Z4577" s="48"/>
      <c r="AA4577" s="48"/>
      <c r="AB4577" s="48"/>
      <c r="AC4577" s="48"/>
      <c r="AD4577" s="48"/>
      <c r="AE4577" s="48"/>
      <c r="AF4577" s="48"/>
      <c r="AG4577" s="48"/>
      <c r="AH4577" s="48"/>
      <c r="AI4577" s="48"/>
      <c r="AJ4577" s="48"/>
      <c r="AK4577" s="48"/>
      <c r="AL4577" s="48"/>
      <c r="AM4577" s="48"/>
      <c r="AN4577" s="48"/>
      <c r="AO4577" s="48"/>
      <c r="AP4577" s="48"/>
      <c r="AQ4577" s="48"/>
      <c r="AR4577" s="48"/>
      <c r="AS4577" s="48"/>
      <c r="AT4577" s="48"/>
      <c r="AU4577" s="48"/>
      <c r="AV4577" s="48"/>
      <c r="AW4577" s="48"/>
      <c r="AX4577" s="48"/>
      <c r="AY4577" s="48"/>
      <c r="AZ4577" s="48"/>
      <c r="BA4577" s="48"/>
      <c r="BB4577" s="48"/>
      <c r="BC4577" s="48"/>
      <c r="BD4577" s="48"/>
    </row>
    <row r="4578" spans="1:56">
      <c r="A4578" s="48"/>
      <c r="B4578" s="48"/>
      <c r="C4578" s="49"/>
      <c r="D4578" s="48"/>
      <c r="E4578" s="48"/>
      <c r="F4578" s="48"/>
      <c r="G4578" s="48"/>
      <c r="H4578" s="48"/>
      <c r="I4578" s="48"/>
      <c r="J4578" s="86"/>
      <c r="K4578" s="86"/>
      <c r="L4578" s="86"/>
      <c r="M4578" s="86"/>
      <c r="N4578" s="86"/>
      <c r="O4578" s="86"/>
      <c r="P4578" s="86"/>
      <c r="Q4578" s="86"/>
      <c r="R4578" s="86"/>
      <c r="S4578" s="86"/>
      <c r="T4578" s="86"/>
      <c r="U4578" s="86"/>
      <c r="V4578" s="48"/>
      <c r="W4578" s="48"/>
      <c r="X4578" s="48"/>
      <c r="Y4578" s="48"/>
      <c r="Z4578" s="48"/>
      <c r="AA4578" s="48"/>
      <c r="AB4578" s="48"/>
      <c r="AC4578" s="48"/>
      <c r="AD4578" s="48"/>
      <c r="AE4578" s="48"/>
      <c r="AF4578" s="48"/>
      <c r="AG4578" s="48"/>
      <c r="AH4578" s="48"/>
      <c r="AI4578" s="48"/>
      <c r="AJ4578" s="48"/>
      <c r="AK4578" s="48"/>
      <c r="AL4578" s="48"/>
      <c r="AM4578" s="48"/>
      <c r="AN4578" s="48"/>
      <c r="AO4578" s="48"/>
      <c r="AP4578" s="48"/>
      <c r="AQ4578" s="48"/>
      <c r="AR4578" s="48"/>
      <c r="AS4578" s="48"/>
      <c r="AT4578" s="48"/>
      <c r="AU4578" s="48"/>
      <c r="AV4578" s="48"/>
      <c r="AW4578" s="48"/>
      <c r="AX4578" s="48"/>
      <c r="AY4578" s="48"/>
      <c r="AZ4578" s="48"/>
      <c r="BA4578" s="48"/>
      <c r="BB4578" s="48"/>
      <c r="BC4578" s="48"/>
      <c r="BD4578" s="48"/>
    </row>
    <row r="4579" spans="1:56">
      <c r="A4579" s="48"/>
      <c r="B4579" s="48"/>
      <c r="C4579" s="49"/>
      <c r="D4579" s="48"/>
      <c r="E4579" s="48"/>
      <c r="F4579" s="48"/>
      <c r="G4579" s="48"/>
      <c r="H4579" s="48"/>
      <c r="I4579" s="48"/>
      <c r="J4579" s="86"/>
      <c r="K4579" s="86"/>
      <c r="L4579" s="86"/>
      <c r="M4579" s="86"/>
      <c r="N4579" s="86"/>
      <c r="O4579" s="86"/>
      <c r="P4579" s="86"/>
      <c r="Q4579" s="86"/>
      <c r="R4579" s="86"/>
      <c r="S4579" s="86"/>
      <c r="T4579" s="86"/>
      <c r="U4579" s="86"/>
      <c r="V4579" s="48"/>
      <c r="W4579" s="48"/>
      <c r="X4579" s="48"/>
      <c r="Y4579" s="48"/>
      <c r="Z4579" s="48"/>
      <c r="AA4579" s="48"/>
      <c r="AB4579" s="48"/>
      <c r="AC4579" s="48"/>
      <c r="AD4579" s="48"/>
      <c r="AE4579" s="48"/>
      <c r="AF4579" s="48"/>
      <c r="AG4579" s="48"/>
      <c r="AH4579" s="48"/>
      <c r="AI4579" s="48"/>
      <c r="AJ4579" s="48"/>
      <c r="AK4579" s="48"/>
      <c r="AL4579" s="48"/>
      <c r="AM4579" s="48"/>
      <c r="AN4579" s="48"/>
      <c r="AO4579" s="48"/>
      <c r="AP4579" s="48"/>
      <c r="AQ4579" s="48"/>
      <c r="AR4579" s="48"/>
      <c r="AS4579" s="48"/>
      <c r="AT4579" s="48"/>
      <c r="AU4579" s="48"/>
      <c r="AV4579" s="48"/>
      <c r="AW4579" s="48"/>
      <c r="AX4579" s="48"/>
      <c r="AY4579" s="48"/>
      <c r="AZ4579" s="48"/>
      <c r="BA4579" s="48"/>
      <c r="BB4579" s="48"/>
      <c r="BC4579" s="48"/>
      <c r="BD4579" s="48"/>
    </row>
    <row r="4580" spans="1:56">
      <c r="A4580" s="48"/>
      <c r="B4580" s="48"/>
      <c r="C4580" s="49"/>
      <c r="D4580" s="48"/>
      <c r="E4580" s="48"/>
      <c r="F4580" s="48"/>
      <c r="G4580" s="48"/>
      <c r="H4580" s="48"/>
      <c r="I4580" s="48"/>
      <c r="J4580" s="86"/>
      <c r="K4580" s="86"/>
      <c r="L4580" s="86"/>
      <c r="M4580" s="86"/>
      <c r="N4580" s="86"/>
      <c r="O4580" s="86"/>
      <c r="P4580" s="86"/>
      <c r="Q4580" s="86"/>
      <c r="R4580" s="86"/>
      <c r="S4580" s="86"/>
      <c r="T4580" s="86"/>
      <c r="U4580" s="86"/>
      <c r="V4580" s="48"/>
      <c r="W4580" s="48"/>
      <c r="X4580" s="48"/>
      <c r="Y4580" s="48"/>
      <c r="Z4580" s="48"/>
      <c r="AA4580" s="48"/>
      <c r="AB4580" s="48"/>
      <c r="AC4580" s="48"/>
      <c r="AD4580" s="48"/>
      <c r="AE4580" s="48"/>
      <c r="AF4580" s="48"/>
      <c r="AG4580" s="48"/>
      <c r="AH4580" s="48"/>
      <c r="AI4580" s="48"/>
      <c r="AJ4580" s="48"/>
      <c r="AK4580" s="48"/>
      <c r="AL4580" s="48"/>
      <c r="AM4580" s="48"/>
      <c r="AN4580" s="48"/>
      <c r="AO4580" s="48"/>
      <c r="AP4580" s="48"/>
      <c r="AQ4580" s="48"/>
      <c r="AR4580" s="48"/>
      <c r="AS4580" s="48"/>
      <c r="AT4580" s="48"/>
      <c r="AU4580" s="48"/>
      <c r="AV4580" s="48"/>
      <c r="AW4580" s="48"/>
      <c r="AX4580" s="48"/>
      <c r="AY4580" s="48"/>
      <c r="AZ4580" s="48"/>
      <c r="BA4580" s="48"/>
      <c r="BB4580" s="48"/>
      <c r="BC4580" s="48"/>
      <c r="BD4580" s="48"/>
    </row>
    <row r="4581" spans="1:56">
      <c r="A4581" s="48"/>
      <c r="B4581" s="48"/>
      <c r="C4581" s="49"/>
      <c r="D4581" s="48"/>
      <c r="E4581" s="48"/>
      <c r="F4581" s="48"/>
      <c r="G4581" s="48"/>
      <c r="H4581" s="48"/>
      <c r="I4581" s="48"/>
      <c r="J4581" s="86"/>
      <c r="K4581" s="86"/>
      <c r="L4581" s="86"/>
      <c r="M4581" s="86"/>
      <c r="N4581" s="86"/>
      <c r="O4581" s="86"/>
      <c r="P4581" s="86"/>
      <c r="Q4581" s="86"/>
      <c r="R4581" s="86"/>
      <c r="S4581" s="86"/>
      <c r="T4581" s="86"/>
      <c r="U4581" s="86"/>
      <c r="V4581" s="48"/>
      <c r="W4581" s="48"/>
      <c r="X4581" s="48"/>
      <c r="Y4581" s="48"/>
      <c r="Z4581" s="48"/>
      <c r="AA4581" s="48"/>
      <c r="AB4581" s="48"/>
      <c r="AC4581" s="48"/>
      <c r="AD4581" s="48"/>
      <c r="AE4581" s="48"/>
      <c r="AF4581" s="48"/>
      <c r="AG4581" s="48"/>
      <c r="AH4581" s="48"/>
      <c r="AI4581" s="48"/>
      <c r="AJ4581" s="48"/>
      <c r="AK4581" s="48"/>
      <c r="AL4581" s="48"/>
      <c r="AM4581" s="48"/>
      <c r="AN4581" s="48"/>
      <c r="AO4581" s="48"/>
      <c r="AP4581" s="48"/>
      <c r="AQ4581" s="48"/>
      <c r="AR4581" s="48"/>
      <c r="AS4581" s="48"/>
      <c r="AT4581" s="48"/>
      <c r="AU4581" s="48"/>
      <c r="AV4581" s="48"/>
      <c r="AW4581" s="48"/>
      <c r="AX4581" s="48"/>
      <c r="AY4581" s="48"/>
      <c r="AZ4581" s="48"/>
      <c r="BA4581" s="48"/>
      <c r="BB4581" s="48"/>
      <c r="BC4581" s="48"/>
      <c r="BD4581" s="48"/>
    </row>
    <row r="4582" spans="1:56">
      <c r="A4582" s="48"/>
      <c r="B4582" s="48"/>
      <c r="C4582" s="49"/>
      <c r="D4582" s="48"/>
      <c r="E4582" s="48"/>
      <c r="F4582" s="48"/>
      <c r="G4582" s="48"/>
      <c r="H4582" s="48"/>
      <c r="I4582" s="48"/>
      <c r="J4582" s="86"/>
      <c r="K4582" s="86"/>
      <c r="L4582" s="86"/>
      <c r="M4582" s="86"/>
      <c r="N4582" s="86"/>
      <c r="O4582" s="86"/>
      <c r="P4582" s="86"/>
      <c r="Q4582" s="86"/>
      <c r="R4582" s="86"/>
      <c r="S4582" s="86"/>
      <c r="T4582" s="86"/>
      <c r="U4582" s="86"/>
      <c r="V4582" s="48"/>
      <c r="W4582" s="48"/>
      <c r="X4582" s="48"/>
      <c r="Y4582" s="48"/>
      <c r="Z4582" s="48"/>
      <c r="AA4582" s="48"/>
      <c r="AB4582" s="48"/>
      <c r="AC4582" s="48"/>
      <c r="AD4582" s="48"/>
      <c r="AE4582" s="48"/>
      <c r="AF4582" s="48"/>
      <c r="AG4582" s="48"/>
      <c r="AH4582" s="48"/>
      <c r="AI4582" s="48"/>
      <c r="AJ4582" s="48"/>
      <c r="AK4582" s="48"/>
      <c r="AL4582" s="48"/>
      <c r="AM4582" s="48"/>
      <c r="AN4582" s="48"/>
      <c r="AO4582" s="48"/>
      <c r="AP4582" s="48"/>
      <c r="AQ4582" s="48"/>
      <c r="AR4582" s="48"/>
      <c r="AS4582" s="48"/>
      <c r="AT4582" s="48"/>
      <c r="AU4582" s="48"/>
      <c r="AV4582" s="48"/>
      <c r="AW4582" s="48"/>
      <c r="AX4582" s="48"/>
      <c r="AY4582" s="48"/>
      <c r="AZ4582" s="48"/>
      <c r="BA4582" s="48"/>
      <c r="BB4582" s="48"/>
      <c r="BC4582" s="48"/>
      <c r="BD4582" s="48"/>
    </row>
    <row r="4583" spans="1:56">
      <c r="A4583" s="48"/>
      <c r="B4583" s="48"/>
      <c r="C4583" s="49"/>
      <c r="D4583" s="48"/>
      <c r="E4583" s="48"/>
      <c r="F4583" s="48"/>
      <c r="G4583" s="48"/>
      <c r="H4583" s="48"/>
      <c r="I4583" s="48"/>
      <c r="J4583" s="86"/>
      <c r="K4583" s="86"/>
      <c r="L4583" s="86"/>
      <c r="M4583" s="86"/>
      <c r="N4583" s="86"/>
      <c r="O4583" s="86"/>
      <c r="P4583" s="86"/>
      <c r="Q4583" s="86"/>
      <c r="R4583" s="86"/>
      <c r="S4583" s="86"/>
      <c r="T4583" s="86"/>
      <c r="U4583" s="86"/>
      <c r="V4583" s="48"/>
      <c r="W4583" s="48"/>
      <c r="X4583" s="48"/>
      <c r="Y4583" s="48"/>
      <c r="Z4583" s="48"/>
      <c r="AA4583" s="48"/>
      <c r="AB4583" s="48"/>
      <c r="AC4583" s="48"/>
      <c r="AD4583" s="48"/>
      <c r="AE4583" s="48"/>
      <c r="AF4583" s="48"/>
      <c r="AG4583" s="48"/>
      <c r="AH4583" s="48"/>
      <c r="AI4583" s="48"/>
      <c r="AJ4583" s="48"/>
      <c r="AK4583" s="48"/>
      <c r="AL4583" s="48"/>
      <c r="AM4583" s="48"/>
      <c r="AN4583" s="48"/>
      <c r="AO4583" s="48"/>
      <c r="AP4583" s="48"/>
      <c r="AQ4583" s="48"/>
      <c r="AR4583" s="48"/>
      <c r="AS4583" s="48"/>
      <c r="AT4583" s="48"/>
      <c r="AU4583" s="48"/>
      <c r="AV4583" s="48"/>
      <c r="AW4583" s="48"/>
      <c r="AX4583" s="48"/>
      <c r="AY4583" s="48"/>
      <c r="AZ4583" s="48"/>
      <c r="BA4583" s="48"/>
      <c r="BB4583" s="48"/>
      <c r="BC4583" s="48"/>
      <c r="BD4583" s="48"/>
    </row>
    <row r="4584" spans="1:56">
      <c r="A4584" s="48"/>
      <c r="B4584" s="48"/>
      <c r="C4584" s="49"/>
      <c r="D4584" s="48"/>
      <c r="E4584" s="48"/>
      <c r="F4584" s="48"/>
      <c r="G4584" s="48"/>
      <c r="H4584" s="48"/>
      <c r="I4584" s="48"/>
      <c r="J4584" s="86"/>
      <c r="K4584" s="86"/>
      <c r="L4584" s="86"/>
      <c r="M4584" s="86"/>
      <c r="N4584" s="86"/>
      <c r="O4584" s="86"/>
      <c r="P4584" s="86"/>
      <c r="Q4584" s="86"/>
      <c r="R4584" s="86"/>
      <c r="S4584" s="86"/>
      <c r="T4584" s="86"/>
      <c r="U4584" s="86"/>
      <c r="V4584" s="48"/>
      <c r="W4584" s="48"/>
      <c r="X4584" s="48"/>
      <c r="Y4584" s="48"/>
      <c r="Z4584" s="48"/>
      <c r="AA4584" s="48"/>
      <c r="AB4584" s="48"/>
      <c r="AC4584" s="48"/>
      <c r="AD4584" s="48"/>
      <c r="AE4584" s="48"/>
      <c r="AF4584" s="48"/>
      <c r="AG4584" s="48"/>
      <c r="AH4584" s="48"/>
      <c r="AI4584" s="48"/>
      <c r="AJ4584" s="48"/>
      <c r="AK4584" s="48"/>
      <c r="AL4584" s="48"/>
      <c r="AM4584" s="48"/>
      <c r="AN4584" s="48"/>
      <c r="AO4584" s="48"/>
      <c r="AP4584" s="48"/>
      <c r="AQ4584" s="48"/>
      <c r="AR4584" s="48"/>
      <c r="AS4584" s="48"/>
      <c r="AT4584" s="48"/>
      <c r="AU4584" s="48"/>
      <c r="AV4584" s="48"/>
      <c r="AW4584" s="48"/>
      <c r="AX4584" s="48"/>
      <c r="AY4584" s="48"/>
      <c r="AZ4584" s="48"/>
      <c r="BA4584" s="48"/>
      <c r="BB4584" s="48"/>
      <c r="BC4584" s="48"/>
      <c r="BD4584" s="48"/>
    </row>
    <row r="4585" spans="1:56">
      <c r="A4585" s="48"/>
      <c r="B4585" s="48"/>
      <c r="C4585" s="49"/>
      <c r="D4585" s="48"/>
      <c r="E4585" s="48"/>
      <c r="F4585" s="48"/>
      <c r="G4585" s="48"/>
      <c r="H4585" s="48"/>
      <c r="I4585" s="48"/>
      <c r="J4585" s="86"/>
      <c r="K4585" s="86"/>
      <c r="L4585" s="86"/>
      <c r="M4585" s="86"/>
      <c r="N4585" s="86"/>
      <c r="O4585" s="86"/>
      <c r="P4585" s="86"/>
      <c r="Q4585" s="86"/>
      <c r="R4585" s="86"/>
      <c r="S4585" s="86"/>
      <c r="T4585" s="86"/>
      <c r="U4585" s="86"/>
      <c r="V4585" s="48"/>
      <c r="W4585" s="48"/>
      <c r="X4585" s="48"/>
      <c r="Y4585" s="48"/>
      <c r="Z4585" s="48"/>
      <c r="AA4585" s="48"/>
      <c r="AB4585" s="48"/>
      <c r="AC4585" s="48"/>
      <c r="AD4585" s="48"/>
      <c r="AE4585" s="48"/>
      <c r="AF4585" s="48"/>
      <c r="AG4585" s="48"/>
      <c r="AH4585" s="48"/>
      <c r="AI4585" s="48"/>
      <c r="AJ4585" s="48"/>
      <c r="AK4585" s="48"/>
      <c r="AL4585" s="48"/>
      <c r="AM4585" s="48"/>
      <c r="AN4585" s="48"/>
      <c r="AO4585" s="48"/>
      <c r="AP4585" s="48"/>
      <c r="AQ4585" s="48"/>
      <c r="AR4585" s="48"/>
      <c r="AS4585" s="48"/>
      <c r="AT4585" s="48"/>
      <c r="AU4585" s="48"/>
      <c r="AV4585" s="48"/>
      <c r="AW4585" s="48"/>
      <c r="AX4585" s="48"/>
      <c r="AY4585" s="48"/>
      <c r="AZ4585" s="48"/>
      <c r="BA4585" s="48"/>
      <c r="BB4585" s="48"/>
      <c r="BC4585" s="48"/>
      <c r="BD4585" s="48"/>
    </row>
    <row r="4586" spans="1:56">
      <c r="A4586" s="48"/>
      <c r="B4586" s="48"/>
      <c r="C4586" s="49"/>
      <c r="D4586" s="48"/>
      <c r="E4586" s="48"/>
      <c r="F4586" s="48"/>
      <c r="G4586" s="48"/>
      <c r="H4586" s="48"/>
      <c r="I4586" s="48"/>
      <c r="J4586" s="86"/>
      <c r="K4586" s="86"/>
      <c r="L4586" s="86"/>
      <c r="M4586" s="86"/>
      <c r="N4586" s="86"/>
      <c r="O4586" s="86"/>
      <c r="P4586" s="86"/>
      <c r="Q4586" s="86"/>
      <c r="R4586" s="86"/>
      <c r="S4586" s="86"/>
      <c r="T4586" s="86"/>
      <c r="U4586" s="86"/>
      <c r="V4586" s="48"/>
      <c r="W4586" s="48"/>
      <c r="X4586" s="48"/>
      <c r="Y4586" s="48"/>
      <c r="Z4586" s="48"/>
      <c r="AA4586" s="48"/>
      <c r="AB4586" s="48"/>
      <c r="AC4586" s="48"/>
      <c r="AD4586" s="48"/>
      <c r="AE4586" s="48"/>
      <c r="AF4586" s="48"/>
      <c r="AG4586" s="48"/>
      <c r="AH4586" s="48"/>
      <c r="AI4586" s="48"/>
      <c r="AJ4586" s="48"/>
      <c r="AK4586" s="48"/>
      <c r="AL4586" s="48"/>
      <c r="AM4586" s="48"/>
      <c r="AN4586" s="48"/>
      <c r="AO4586" s="48"/>
      <c r="AP4586" s="48"/>
      <c r="AQ4586" s="48"/>
      <c r="AR4586" s="48"/>
      <c r="AS4586" s="48"/>
      <c r="AT4586" s="48"/>
      <c r="AU4586" s="48"/>
      <c r="AV4586" s="48"/>
      <c r="AW4586" s="48"/>
      <c r="AX4586" s="48"/>
      <c r="AY4586" s="48"/>
      <c r="AZ4586" s="48"/>
      <c r="BA4586" s="48"/>
      <c r="BB4586" s="48"/>
      <c r="BC4586" s="48"/>
      <c r="BD4586" s="48"/>
    </row>
    <row r="4587" spans="1:56">
      <c r="A4587" s="48"/>
      <c r="B4587" s="48"/>
      <c r="C4587" s="49"/>
      <c r="D4587" s="48"/>
      <c r="E4587" s="48"/>
      <c r="F4587" s="48"/>
      <c r="G4587" s="48"/>
      <c r="H4587" s="48"/>
      <c r="I4587" s="48"/>
      <c r="J4587" s="86"/>
      <c r="K4587" s="86"/>
      <c r="L4587" s="86"/>
      <c r="M4587" s="86"/>
      <c r="N4587" s="86"/>
      <c r="O4587" s="86"/>
      <c r="P4587" s="86"/>
      <c r="Q4587" s="86"/>
      <c r="R4587" s="86"/>
      <c r="S4587" s="86"/>
      <c r="T4587" s="86"/>
      <c r="U4587" s="86"/>
      <c r="V4587" s="48"/>
      <c r="W4587" s="48"/>
      <c r="X4587" s="48"/>
      <c r="Y4587" s="48"/>
      <c r="Z4587" s="48"/>
      <c r="AA4587" s="48"/>
      <c r="AB4587" s="48"/>
      <c r="AC4587" s="48"/>
      <c r="AD4587" s="48"/>
      <c r="AE4587" s="48"/>
      <c r="AF4587" s="48"/>
      <c r="AG4587" s="48"/>
      <c r="AH4587" s="48"/>
      <c r="AI4587" s="48"/>
      <c r="AJ4587" s="48"/>
      <c r="AK4587" s="48"/>
      <c r="AL4587" s="48"/>
      <c r="AM4587" s="48"/>
      <c r="AN4587" s="48"/>
      <c r="AO4587" s="48"/>
      <c r="AP4587" s="48"/>
      <c r="AQ4587" s="48"/>
      <c r="AR4587" s="48"/>
      <c r="AS4587" s="48"/>
      <c r="AT4587" s="48"/>
      <c r="AU4587" s="48"/>
      <c r="AV4587" s="48"/>
      <c r="AW4587" s="48"/>
      <c r="AX4587" s="48"/>
      <c r="AY4587" s="48"/>
      <c r="AZ4587" s="48"/>
      <c r="BA4587" s="48"/>
      <c r="BB4587" s="48"/>
      <c r="BC4587" s="48"/>
      <c r="BD4587" s="48"/>
    </row>
    <row r="4588" spans="1:56">
      <c r="A4588" s="48"/>
      <c r="B4588" s="48"/>
      <c r="C4588" s="49"/>
      <c r="D4588" s="48"/>
      <c r="E4588" s="48"/>
      <c r="F4588" s="48"/>
      <c r="G4588" s="48"/>
      <c r="H4588" s="48"/>
      <c r="I4588" s="48"/>
      <c r="J4588" s="86"/>
      <c r="K4588" s="86"/>
      <c r="L4588" s="86"/>
      <c r="M4588" s="86"/>
      <c r="N4588" s="86"/>
      <c r="O4588" s="86"/>
      <c r="P4588" s="86"/>
      <c r="Q4588" s="86"/>
      <c r="R4588" s="86"/>
      <c r="S4588" s="86"/>
      <c r="T4588" s="86"/>
      <c r="U4588" s="86"/>
      <c r="V4588" s="48"/>
      <c r="W4588" s="48"/>
      <c r="X4588" s="48"/>
      <c r="Y4588" s="48"/>
      <c r="Z4588" s="48"/>
      <c r="AA4588" s="48"/>
      <c r="AB4588" s="48"/>
      <c r="AC4588" s="48"/>
      <c r="AD4588" s="48"/>
      <c r="AE4588" s="48"/>
      <c r="AF4588" s="48"/>
      <c r="AG4588" s="48"/>
      <c r="AH4588" s="48"/>
      <c r="AI4588" s="48"/>
      <c r="AJ4588" s="48"/>
      <c r="AK4588" s="48"/>
      <c r="AL4588" s="48"/>
      <c r="AM4588" s="48"/>
      <c r="AN4588" s="48"/>
      <c r="AO4588" s="48"/>
      <c r="AP4588" s="48"/>
      <c r="AQ4588" s="48"/>
      <c r="AR4588" s="48"/>
      <c r="AS4588" s="48"/>
      <c r="AT4588" s="48"/>
      <c r="AU4588" s="48"/>
      <c r="AV4588" s="48"/>
      <c r="AW4588" s="48"/>
      <c r="AX4588" s="48"/>
      <c r="AY4588" s="48"/>
      <c r="AZ4588" s="48"/>
      <c r="BA4588" s="48"/>
      <c r="BB4588" s="48"/>
      <c r="BC4588" s="48"/>
      <c r="BD4588" s="48"/>
    </row>
    <row r="4589" spans="1:56">
      <c r="A4589" s="48"/>
      <c r="B4589" s="48"/>
      <c r="C4589" s="49"/>
      <c r="D4589" s="48"/>
      <c r="E4589" s="48"/>
      <c r="F4589" s="48"/>
      <c r="G4589" s="48"/>
      <c r="H4589" s="48"/>
      <c r="I4589" s="48"/>
      <c r="J4589" s="86"/>
      <c r="K4589" s="86"/>
      <c r="L4589" s="86"/>
      <c r="M4589" s="86"/>
      <c r="N4589" s="86"/>
      <c r="O4589" s="86"/>
      <c r="P4589" s="86"/>
      <c r="Q4589" s="86"/>
      <c r="R4589" s="86"/>
      <c r="S4589" s="86"/>
      <c r="T4589" s="86"/>
      <c r="U4589" s="86"/>
      <c r="V4589" s="48"/>
      <c r="W4589" s="48"/>
      <c r="X4589" s="48"/>
      <c r="Y4589" s="48"/>
      <c r="Z4589" s="48"/>
      <c r="AA4589" s="48"/>
      <c r="AB4589" s="48"/>
      <c r="AC4589" s="48"/>
      <c r="AD4589" s="48"/>
      <c r="AE4589" s="48"/>
      <c r="AF4589" s="48"/>
      <c r="AG4589" s="48"/>
      <c r="AH4589" s="48"/>
      <c r="AI4589" s="48"/>
      <c r="AJ4589" s="48"/>
      <c r="AK4589" s="48"/>
      <c r="AL4589" s="48"/>
      <c r="AM4589" s="48"/>
      <c r="AN4589" s="48"/>
      <c r="AO4589" s="48"/>
      <c r="AP4589" s="48"/>
      <c r="AQ4589" s="48"/>
      <c r="AR4589" s="48"/>
      <c r="AS4589" s="48"/>
      <c r="AT4589" s="48"/>
      <c r="AU4589" s="48"/>
      <c r="AV4589" s="48"/>
      <c r="AW4589" s="48"/>
      <c r="AX4589" s="48"/>
      <c r="AY4589" s="48"/>
      <c r="AZ4589" s="48"/>
      <c r="BA4589" s="48"/>
      <c r="BB4589" s="48"/>
      <c r="BC4589" s="48"/>
      <c r="BD4589" s="48"/>
    </row>
    <row r="4590" spans="1:56">
      <c r="A4590" s="48"/>
      <c r="B4590" s="48"/>
      <c r="C4590" s="49"/>
      <c r="D4590" s="48"/>
      <c r="E4590" s="48"/>
      <c r="F4590" s="48"/>
      <c r="G4590" s="48"/>
      <c r="H4590" s="48"/>
      <c r="I4590" s="48"/>
      <c r="J4590" s="86"/>
      <c r="K4590" s="86"/>
      <c r="L4590" s="86"/>
      <c r="M4590" s="86"/>
      <c r="N4590" s="86"/>
      <c r="O4590" s="86"/>
      <c r="P4590" s="86"/>
      <c r="Q4590" s="86"/>
      <c r="R4590" s="86"/>
      <c r="S4590" s="86"/>
      <c r="T4590" s="86"/>
      <c r="U4590" s="86"/>
      <c r="V4590" s="48"/>
      <c r="W4590" s="48"/>
      <c r="X4590" s="48"/>
      <c r="Y4590" s="48"/>
      <c r="Z4590" s="48"/>
      <c r="AA4590" s="48"/>
      <c r="AB4590" s="48"/>
      <c r="AC4590" s="48"/>
      <c r="AD4590" s="48"/>
      <c r="AE4590" s="48"/>
      <c r="AF4590" s="48"/>
      <c r="AG4590" s="48"/>
      <c r="AH4590" s="48"/>
      <c r="AI4590" s="48"/>
      <c r="AJ4590" s="48"/>
      <c r="AK4590" s="48"/>
      <c r="AL4590" s="48"/>
      <c r="AM4590" s="48"/>
      <c r="AN4590" s="48"/>
      <c r="AO4590" s="48"/>
      <c r="AP4590" s="48"/>
      <c r="AQ4590" s="48"/>
      <c r="AR4590" s="48"/>
      <c r="AS4590" s="48"/>
      <c r="AT4590" s="48"/>
      <c r="AU4590" s="48"/>
      <c r="AV4590" s="48"/>
      <c r="AW4590" s="48"/>
      <c r="AX4590" s="48"/>
      <c r="AY4590" s="48"/>
      <c r="AZ4590" s="48"/>
      <c r="BA4590" s="48"/>
      <c r="BB4590" s="48"/>
      <c r="BC4590" s="48"/>
      <c r="BD4590" s="48"/>
    </row>
    <row r="4591" spans="1:56">
      <c r="A4591" s="48"/>
      <c r="B4591" s="48"/>
      <c r="C4591" s="49"/>
      <c r="D4591" s="48"/>
      <c r="E4591" s="48"/>
      <c r="F4591" s="48"/>
      <c r="G4591" s="48"/>
      <c r="H4591" s="48"/>
      <c r="I4591" s="48"/>
      <c r="J4591" s="86"/>
      <c r="K4591" s="86"/>
      <c r="L4591" s="86"/>
      <c r="M4591" s="86"/>
      <c r="N4591" s="86"/>
      <c r="O4591" s="86"/>
      <c r="P4591" s="86"/>
      <c r="Q4591" s="86"/>
      <c r="R4591" s="86"/>
      <c r="S4591" s="86"/>
      <c r="T4591" s="86"/>
      <c r="U4591" s="86"/>
      <c r="V4591" s="48"/>
      <c r="W4591" s="48"/>
      <c r="X4591" s="48"/>
      <c r="Y4591" s="48"/>
      <c r="Z4591" s="48"/>
      <c r="AA4591" s="48"/>
      <c r="AB4591" s="48"/>
      <c r="AC4591" s="48"/>
      <c r="AD4591" s="48"/>
      <c r="AE4591" s="48"/>
      <c r="AF4591" s="48"/>
      <c r="AG4591" s="48"/>
      <c r="AH4591" s="48"/>
      <c r="AI4591" s="48"/>
      <c r="AJ4591" s="48"/>
      <c r="AK4591" s="48"/>
      <c r="AL4591" s="48"/>
      <c r="AM4591" s="48"/>
      <c r="AN4591" s="48"/>
      <c r="AO4591" s="48"/>
      <c r="AP4591" s="48"/>
      <c r="AQ4591" s="48"/>
      <c r="AR4591" s="48"/>
      <c r="AS4591" s="48"/>
      <c r="AT4591" s="48"/>
      <c r="AU4591" s="48"/>
      <c r="AV4591" s="48"/>
      <c r="AW4591" s="48"/>
      <c r="AX4591" s="48"/>
      <c r="AY4591" s="48"/>
      <c r="AZ4591" s="48"/>
      <c r="BA4591" s="48"/>
      <c r="BB4591" s="48"/>
      <c r="BC4591" s="48"/>
      <c r="BD4591" s="48"/>
    </row>
    <row r="4592" spans="1:56">
      <c r="A4592" s="48"/>
      <c r="B4592" s="48"/>
      <c r="C4592" s="49"/>
      <c r="D4592" s="48"/>
      <c r="E4592" s="48"/>
      <c r="F4592" s="48"/>
      <c r="G4592" s="48"/>
      <c r="H4592" s="48"/>
      <c r="I4592" s="48"/>
      <c r="J4592" s="86"/>
      <c r="K4592" s="86"/>
      <c r="L4592" s="86"/>
      <c r="M4592" s="86"/>
      <c r="N4592" s="86"/>
      <c r="O4592" s="86"/>
      <c r="P4592" s="86"/>
      <c r="Q4592" s="86"/>
      <c r="R4592" s="86"/>
      <c r="S4592" s="86"/>
      <c r="T4592" s="86"/>
      <c r="U4592" s="86"/>
      <c r="V4592" s="48"/>
      <c r="W4592" s="48"/>
      <c r="X4592" s="48"/>
      <c r="Y4592" s="48"/>
      <c r="Z4592" s="48"/>
      <c r="AA4592" s="48"/>
      <c r="AB4592" s="48"/>
      <c r="AC4592" s="48"/>
      <c r="AD4592" s="48"/>
      <c r="AE4592" s="48"/>
      <c r="AF4592" s="48"/>
      <c r="AG4592" s="48"/>
      <c r="AH4592" s="48"/>
      <c r="AI4592" s="48"/>
      <c r="AJ4592" s="48"/>
      <c r="AK4592" s="48"/>
      <c r="AL4592" s="48"/>
      <c r="AM4592" s="48"/>
      <c r="AN4592" s="48"/>
      <c r="AO4592" s="48"/>
      <c r="AP4592" s="48"/>
      <c r="AQ4592" s="48"/>
      <c r="AR4592" s="48"/>
      <c r="AS4592" s="48"/>
      <c r="AT4592" s="48"/>
      <c r="AU4592" s="48"/>
      <c r="AV4592" s="48"/>
      <c r="AW4592" s="48"/>
      <c r="AX4592" s="48"/>
      <c r="AY4592" s="48"/>
      <c r="AZ4592" s="48"/>
      <c r="BA4592" s="48"/>
      <c r="BB4592" s="48"/>
      <c r="BC4592" s="48"/>
      <c r="BD4592" s="48"/>
    </row>
    <row r="4593" spans="1:56">
      <c r="A4593" s="48"/>
      <c r="B4593" s="48"/>
      <c r="C4593" s="49"/>
      <c r="D4593" s="48"/>
      <c r="E4593" s="48"/>
      <c r="F4593" s="48"/>
      <c r="G4593" s="48"/>
      <c r="H4593" s="48"/>
      <c r="I4593" s="48"/>
      <c r="J4593" s="86"/>
      <c r="K4593" s="86"/>
      <c r="L4593" s="86"/>
      <c r="M4593" s="86"/>
      <c r="N4593" s="86"/>
      <c r="O4593" s="86"/>
      <c r="P4593" s="86"/>
      <c r="Q4593" s="86"/>
      <c r="R4593" s="86"/>
      <c r="S4593" s="86"/>
      <c r="T4593" s="86"/>
      <c r="U4593" s="86"/>
      <c r="V4593" s="48"/>
      <c r="W4593" s="48"/>
      <c r="X4593" s="48"/>
      <c r="Y4593" s="48"/>
      <c r="Z4593" s="48"/>
      <c r="AA4593" s="48"/>
      <c r="AB4593" s="48"/>
      <c r="AC4593" s="48"/>
      <c r="AD4593" s="48"/>
      <c r="AE4593" s="48"/>
      <c r="AF4593" s="48"/>
      <c r="AG4593" s="48"/>
      <c r="AH4593" s="48"/>
      <c r="AI4593" s="48"/>
      <c r="AJ4593" s="48"/>
      <c r="AK4593" s="48"/>
      <c r="AL4593" s="48"/>
      <c r="AM4593" s="48"/>
      <c r="AN4593" s="48"/>
      <c r="AO4593" s="48"/>
      <c r="AP4593" s="48"/>
      <c r="AQ4593" s="48"/>
      <c r="AR4593" s="48"/>
      <c r="AS4593" s="48"/>
      <c r="AT4593" s="48"/>
      <c r="AU4593" s="48"/>
      <c r="AV4593" s="48"/>
      <c r="AW4593" s="48"/>
      <c r="AX4593" s="48"/>
      <c r="AY4593" s="48"/>
      <c r="AZ4593" s="48"/>
      <c r="BA4593" s="48"/>
      <c r="BB4593" s="48"/>
      <c r="BC4593" s="48"/>
      <c r="BD4593" s="48"/>
    </row>
    <row r="4594" spans="1:56">
      <c r="A4594" s="48"/>
      <c r="B4594" s="48"/>
      <c r="C4594" s="49"/>
      <c r="D4594" s="48"/>
      <c r="E4594" s="48"/>
      <c r="F4594" s="48"/>
      <c r="G4594" s="48"/>
      <c r="H4594" s="48"/>
      <c r="I4594" s="48"/>
      <c r="J4594" s="86"/>
      <c r="K4594" s="86"/>
      <c r="L4594" s="86"/>
      <c r="M4594" s="86"/>
      <c r="N4594" s="86"/>
      <c r="O4594" s="86"/>
      <c r="P4594" s="86"/>
      <c r="Q4594" s="86"/>
      <c r="R4594" s="86"/>
      <c r="S4594" s="86"/>
      <c r="T4594" s="86"/>
      <c r="U4594" s="86"/>
      <c r="V4594" s="48"/>
      <c r="W4594" s="48"/>
      <c r="X4594" s="48"/>
      <c r="Y4594" s="48"/>
      <c r="Z4594" s="48"/>
      <c r="AA4594" s="48"/>
      <c r="AB4594" s="48"/>
      <c r="AC4594" s="48"/>
      <c r="AD4594" s="48"/>
      <c r="AE4594" s="48"/>
      <c r="AF4594" s="48"/>
      <c r="AG4594" s="48"/>
      <c r="AH4594" s="48"/>
      <c r="AI4594" s="48"/>
      <c r="AJ4594" s="48"/>
      <c r="AK4594" s="48"/>
      <c r="AL4594" s="48"/>
      <c r="AM4594" s="48"/>
      <c r="AN4594" s="48"/>
      <c r="AO4594" s="48"/>
      <c r="AP4594" s="48"/>
      <c r="AQ4594" s="48"/>
      <c r="AR4594" s="48"/>
      <c r="AS4594" s="48"/>
      <c r="AT4594" s="48"/>
      <c r="AU4594" s="48"/>
      <c r="AV4594" s="48"/>
      <c r="AW4594" s="48"/>
      <c r="AX4594" s="48"/>
      <c r="AY4594" s="48"/>
      <c r="AZ4594" s="48"/>
      <c r="BA4594" s="48"/>
      <c r="BB4594" s="48"/>
      <c r="BC4594" s="48"/>
      <c r="BD4594" s="48"/>
    </row>
    <row r="4595" spans="1:56">
      <c r="A4595" s="48"/>
      <c r="B4595" s="48"/>
      <c r="C4595" s="49"/>
      <c r="D4595" s="48"/>
      <c r="E4595" s="48"/>
      <c r="F4595" s="48"/>
      <c r="G4595" s="48"/>
      <c r="H4595" s="48"/>
      <c r="I4595" s="48"/>
      <c r="J4595" s="86"/>
      <c r="K4595" s="86"/>
      <c r="L4595" s="86"/>
      <c r="M4595" s="86"/>
      <c r="N4595" s="86"/>
      <c r="O4595" s="86"/>
      <c r="P4595" s="86"/>
      <c r="Q4595" s="86"/>
      <c r="R4595" s="86"/>
      <c r="S4595" s="86"/>
      <c r="T4595" s="86"/>
      <c r="U4595" s="86"/>
      <c r="V4595" s="48"/>
      <c r="W4595" s="48"/>
      <c r="X4595" s="48"/>
      <c r="Y4595" s="48"/>
      <c r="Z4595" s="48"/>
      <c r="AA4595" s="48"/>
      <c r="AB4595" s="48"/>
      <c r="AC4595" s="48"/>
      <c r="AD4595" s="48"/>
      <c r="AE4595" s="48"/>
      <c r="AF4595" s="48"/>
      <c r="AG4595" s="48"/>
      <c r="AH4595" s="48"/>
      <c r="AI4595" s="48"/>
      <c r="AJ4595" s="48"/>
      <c r="AK4595" s="48"/>
      <c r="AL4595" s="48"/>
      <c r="AM4595" s="48"/>
      <c r="AN4595" s="48"/>
      <c r="AO4595" s="48"/>
      <c r="AP4595" s="48"/>
      <c r="AQ4595" s="48"/>
      <c r="AR4595" s="48"/>
      <c r="AS4595" s="48"/>
      <c r="AT4595" s="48"/>
      <c r="AU4595" s="48"/>
      <c r="AV4595" s="48"/>
      <c r="AW4595" s="48"/>
      <c r="AX4595" s="48"/>
      <c r="AY4595" s="48"/>
      <c r="AZ4595" s="48"/>
      <c r="BA4595" s="48"/>
      <c r="BB4595" s="48"/>
      <c r="BC4595" s="48"/>
      <c r="BD4595" s="48"/>
    </row>
    <row r="4596" spans="1:56">
      <c r="A4596" s="48"/>
      <c r="B4596" s="48"/>
      <c r="C4596" s="49"/>
      <c r="D4596" s="48"/>
      <c r="E4596" s="48"/>
      <c r="F4596" s="48"/>
      <c r="G4596" s="48"/>
      <c r="H4596" s="48"/>
      <c r="I4596" s="48"/>
      <c r="J4596" s="86"/>
      <c r="K4596" s="86"/>
      <c r="L4596" s="86"/>
      <c r="M4596" s="86"/>
      <c r="N4596" s="86"/>
      <c r="O4596" s="86"/>
      <c r="P4596" s="86"/>
      <c r="Q4596" s="86"/>
      <c r="R4596" s="86"/>
      <c r="S4596" s="86"/>
      <c r="T4596" s="86"/>
      <c r="U4596" s="86"/>
      <c r="V4596" s="48"/>
      <c r="W4596" s="48"/>
      <c r="X4596" s="48"/>
      <c r="Y4596" s="48"/>
      <c r="Z4596" s="48"/>
      <c r="AA4596" s="48"/>
      <c r="AB4596" s="48"/>
      <c r="AC4596" s="48"/>
      <c r="AD4596" s="48"/>
      <c r="AE4596" s="48"/>
      <c r="AF4596" s="48"/>
      <c r="AG4596" s="48"/>
      <c r="AH4596" s="48"/>
      <c r="AI4596" s="48"/>
      <c r="AJ4596" s="48"/>
      <c r="AK4596" s="48"/>
      <c r="AL4596" s="48"/>
      <c r="AM4596" s="48"/>
      <c r="AN4596" s="48"/>
      <c r="AO4596" s="48"/>
      <c r="AP4596" s="48"/>
      <c r="AQ4596" s="48"/>
      <c r="AR4596" s="48"/>
      <c r="AS4596" s="48"/>
      <c r="AT4596" s="48"/>
      <c r="AU4596" s="48"/>
      <c r="AV4596" s="48"/>
      <c r="AW4596" s="48"/>
      <c r="AX4596" s="48"/>
      <c r="AY4596" s="48"/>
      <c r="AZ4596" s="48"/>
      <c r="BA4596" s="48"/>
      <c r="BB4596" s="48"/>
      <c r="BC4596" s="48"/>
      <c r="BD4596" s="48"/>
    </row>
    <row r="4597" spans="1:56">
      <c r="A4597" s="48"/>
      <c r="B4597" s="48"/>
      <c r="C4597" s="49"/>
      <c r="D4597" s="48"/>
      <c r="E4597" s="48"/>
      <c r="F4597" s="48"/>
      <c r="G4597" s="48"/>
      <c r="H4597" s="48"/>
      <c r="I4597" s="48"/>
      <c r="J4597" s="86"/>
      <c r="K4597" s="86"/>
      <c r="L4597" s="86"/>
      <c r="M4597" s="86"/>
      <c r="N4597" s="86"/>
      <c r="O4597" s="86"/>
      <c r="P4597" s="86"/>
      <c r="Q4597" s="86"/>
      <c r="R4597" s="86"/>
      <c r="S4597" s="86"/>
      <c r="T4597" s="86"/>
      <c r="U4597" s="86"/>
      <c r="V4597" s="48"/>
      <c r="W4597" s="48"/>
      <c r="X4597" s="48"/>
      <c r="Y4597" s="48"/>
      <c r="Z4597" s="48"/>
      <c r="AA4597" s="48"/>
      <c r="AB4597" s="48"/>
      <c r="AC4597" s="48"/>
      <c r="AD4597" s="48"/>
      <c r="AE4597" s="48"/>
      <c r="AF4597" s="48"/>
      <c r="AG4597" s="48"/>
      <c r="AH4597" s="48"/>
      <c r="AI4597" s="48"/>
      <c r="AJ4597" s="48"/>
      <c r="AK4597" s="48"/>
      <c r="AL4597" s="48"/>
      <c r="AM4597" s="48"/>
      <c r="AN4597" s="48"/>
      <c r="AO4597" s="48"/>
      <c r="AP4597" s="48"/>
      <c r="AQ4597" s="48"/>
      <c r="AR4597" s="48"/>
      <c r="AS4597" s="48"/>
      <c r="AT4597" s="48"/>
      <c r="AU4597" s="48"/>
      <c r="AV4597" s="48"/>
      <c r="AW4597" s="48"/>
      <c r="AX4597" s="48"/>
      <c r="AY4597" s="48"/>
      <c r="AZ4597" s="48"/>
      <c r="BA4597" s="48"/>
      <c r="BB4597" s="48"/>
      <c r="BC4597" s="48"/>
      <c r="BD4597" s="48"/>
    </row>
    <row r="4598" spans="1:56">
      <c r="A4598" s="48"/>
      <c r="B4598" s="48"/>
      <c r="C4598" s="49"/>
      <c r="D4598" s="48"/>
      <c r="E4598" s="48"/>
      <c r="F4598" s="48"/>
      <c r="G4598" s="48"/>
      <c r="H4598" s="48"/>
      <c r="I4598" s="48"/>
      <c r="J4598" s="86"/>
      <c r="K4598" s="86"/>
      <c r="L4598" s="86"/>
      <c r="M4598" s="86"/>
      <c r="N4598" s="86"/>
      <c r="O4598" s="86"/>
      <c r="P4598" s="86"/>
      <c r="Q4598" s="86"/>
      <c r="R4598" s="86"/>
      <c r="S4598" s="86"/>
      <c r="T4598" s="86"/>
      <c r="U4598" s="86"/>
      <c r="V4598" s="48"/>
      <c r="W4598" s="48"/>
      <c r="X4598" s="48"/>
      <c r="Y4598" s="48"/>
      <c r="Z4598" s="48"/>
      <c r="AA4598" s="48"/>
      <c r="AB4598" s="48"/>
      <c r="AC4598" s="48"/>
      <c r="AD4598" s="48"/>
      <c r="AE4598" s="48"/>
      <c r="AF4598" s="48"/>
      <c r="AG4598" s="48"/>
      <c r="AH4598" s="48"/>
      <c r="AI4598" s="48"/>
      <c r="AJ4598" s="48"/>
      <c r="AK4598" s="48"/>
      <c r="AL4598" s="48"/>
      <c r="AM4598" s="48"/>
      <c r="AN4598" s="48"/>
      <c r="AO4598" s="48"/>
      <c r="AP4598" s="48"/>
      <c r="AQ4598" s="48"/>
      <c r="AR4598" s="48"/>
      <c r="AS4598" s="48"/>
      <c r="AT4598" s="48"/>
      <c r="AU4598" s="48"/>
      <c r="AV4598" s="48"/>
      <c r="AW4598" s="48"/>
      <c r="AX4598" s="48"/>
      <c r="AY4598" s="48"/>
      <c r="AZ4598" s="48"/>
      <c r="BA4598" s="48"/>
      <c r="BB4598" s="48"/>
      <c r="BC4598" s="48"/>
      <c r="BD4598" s="48"/>
    </row>
    <row r="4599" spans="1:56">
      <c r="A4599" s="48"/>
      <c r="B4599" s="48"/>
      <c r="C4599" s="49"/>
      <c r="D4599" s="48"/>
      <c r="E4599" s="48"/>
      <c r="F4599" s="48"/>
      <c r="G4599" s="48"/>
      <c r="H4599" s="48"/>
      <c r="I4599" s="48"/>
      <c r="J4599" s="86"/>
      <c r="K4599" s="86"/>
      <c r="L4599" s="86"/>
      <c r="M4599" s="86"/>
      <c r="N4599" s="86"/>
      <c r="O4599" s="86"/>
      <c r="P4599" s="86"/>
      <c r="Q4599" s="86"/>
      <c r="R4599" s="86"/>
      <c r="S4599" s="86"/>
      <c r="T4599" s="86"/>
      <c r="U4599" s="86"/>
      <c r="V4599" s="48"/>
      <c r="W4599" s="48"/>
      <c r="X4599" s="48"/>
      <c r="Y4599" s="48"/>
      <c r="Z4599" s="48"/>
      <c r="AA4599" s="48"/>
      <c r="AB4599" s="48"/>
      <c r="AC4599" s="48"/>
      <c r="AD4599" s="48"/>
      <c r="AE4599" s="48"/>
      <c r="AF4599" s="48"/>
      <c r="AG4599" s="48"/>
      <c r="AH4599" s="48"/>
      <c r="AI4599" s="48"/>
      <c r="AJ4599" s="48"/>
      <c r="AK4599" s="48"/>
      <c r="AL4599" s="48"/>
      <c r="AM4599" s="48"/>
      <c r="AN4599" s="48"/>
      <c r="AO4599" s="48"/>
      <c r="AP4599" s="48"/>
      <c r="AQ4599" s="48"/>
      <c r="AR4599" s="48"/>
      <c r="AS4599" s="48"/>
      <c r="AT4599" s="48"/>
      <c r="AU4599" s="48"/>
      <c r="AV4599" s="48"/>
      <c r="AW4599" s="48"/>
      <c r="AX4599" s="48"/>
      <c r="AY4599" s="48"/>
      <c r="AZ4599" s="48"/>
      <c r="BA4599" s="48"/>
      <c r="BB4599" s="48"/>
      <c r="BC4599" s="48"/>
      <c r="BD4599" s="48"/>
    </row>
    <row r="4600" spans="1:56">
      <c r="A4600" s="48"/>
      <c r="B4600" s="48"/>
      <c r="C4600" s="49"/>
      <c r="D4600" s="48"/>
      <c r="E4600" s="48"/>
      <c r="F4600" s="48"/>
      <c r="G4600" s="48"/>
      <c r="H4600" s="48"/>
      <c r="I4600" s="48"/>
      <c r="J4600" s="86"/>
      <c r="K4600" s="86"/>
      <c r="L4600" s="86"/>
      <c r="M4600" s="86"/>
      <c r="N4600" s="86"/>
      <c r="O4600" s="86"/>
      <c r="P4600" s="86"/>
      <c r="Q4600" s="86"/>
      <c r="R4600" s="86"/>
      <c r="S4600" s="86"/>
      <c r="T4600" s="86"/>
      <c r="U4600" s="86"/>
      <c r="V4600" s="48"/>
      <c r="W4600" s="48"/>
      <c r="X4600" s="48"/>
      <c r="Y4600" s="48"/>
      <c r="Z4600" s="48"/>
      <c r="AA4600" s="48"/>
      <c r="AB4600" s="48"/>
      <c r="AC4600" s="48"/>
      <c r="AD4600" s="48"/>
      <c r="AE4600" s="48"/>
      <c r="AF4600" s="48"/>
      <c r="AG4600" s="48"/>
      <c r="AH4600" s="48"/>
      <c r="AI4600" s="48"/>
      <c r="AJ4600" s="48"/>
      <c r="AK4600" s="48"/>
      <c r="AL4600" s="48"/>
      <c r="AM4600" s="48"/>
      <c r="AN4600" s="48"/>
      <c r="AO4600" s="48"/>
      <c r="AP4600" s="48"/>
      <c r="AQ4600" s="48"/>
      <c r="AR4600" s="48"/>
      <c r="AS4600" s="48"/>
      <c r="AT4600" s="48"/>
      <c r="AU4600" s="48"/>
      <c r="AV4600" s="48"/>
      <c r="AW4600" s="48"/>
      <c r="AX4600" s="48"/>
      <c r="AY4600" s="48"/>
      <c r="AZ4600" s="48"/>
      <c r="BA4600" s="48"/>
      <c r="BB4600" s="48"/>
      <c r="BC4600" s="48"/>
      <c r="BD4600" s="48"/>
    </row>
    <row r="4601" spans="1:56">
      <c r="A4601" s="48"/>
      <c r="B4601" s="48"/>
      <c r="C4601" s="49"/>
      <c r="D4601" s="48"/>
      <c r="E4601" s="48"/>
      <c r="F4601" s="48"/>
      <c r="G4601" s="48"/>
      <c r="H4601" s="48"/>
      <c r="I4601" s="48"/>
      <c r="J4601" s="86"/>
      <c r="K4601" s="86"/>
      <c r="L4601" s="86"/>
      <c r="M4601" s="86"/>
      <c r="N4601" s="86"/>
      <c r="O4601" s="86"/>
      <c r="P4601" s="86"/>
      <c r="Q4601" s="86"/>
      <c r="R4601" s="86"/>
      <c r="S4601" s="86"/>
      <c r="T4601" s="86"/>
      <c r="U4601" s="86"/>
      <c r="V4601" s="48"/>
      <c r="W4601" s="48"/>
      <c r="X4601" s="48"/>
      <c r="Y4601" s="48"/>
      <c r="Z4601" s="48"/>
      <c r="AA4601" s="48"/>
      <c r="AB4601" s="48"/>
      <c r="AC4601" s="48"/>
      <c r="AD4601" s="48"/>
      <c r="AE4601" s="48"/>
      <c r="AF4601" s="48"/>
      <c r="AG4601" s="48"/>
      <c r="AH4601" s="48"/>
      <c r="AI4601" s="48"/>
      <c r="AJ4601" s="48"/>
      <c r="AK4601" s="48"/>
      <c r="AL4601" s="48"/>
      <c r="AM4601" s="48"/>
      <c r="AN4601" s="48"/>
      <c r="AO4601" s="48"/>
      <c r="AP4601" s="48"/>
      <c r="AQ4601" s="48"/>
      <c r="AR4601" s="48"/>
      <c r="AS4601" s="48"/>
      <c r="AT4601" s="48"/>
      <c r="AU4601" s="48"/>
      <c r="AV4601" s="48"/>
      <c r="AW4601" s="48"/>
      <c r="AX4601" s="48"/>
      <c r="AY4601" s="48"/>
      <c r="AZ4601" s="48"/>
      <c r="BA4601" s="48"/>
      <c r="BB4601" s="48"/>
      <c r="BC4601" s="48"/>
      <c r="BD4601" s="48"/>
    </row>
    <row r="4602" spans="1:56">
      <c r="A4602" s="48"/>
      <c r="B4602" s="48"/>
      <c r="C4602" s="49"/>
      <c r="D4602" s="48"/>
      <c r="E4602" s="48"/>
      <c r="F4602" s="48"/>
      <c r="G4602" s="48"/>
      <c r="H4602" s="48"/>
      <c r="I4602" s="48"/>
      <c r="J4602" s="86"/>
      <c r="K4602" s="86"/>
      <c r="L4602" s="86"/>
      <c r="M4602" s="86"/>
      <c r="N4602" s="86"/>
      <c r="O4602" s="86"/>
      <c r="P4602" s="86"/>
      <c r="Q4602" s="86"/>
      <c r="R4602" s="86"/>
      <c r="S4602" s="86"/>
      <c r="T4602" s="86"/>
      <c r="U4602" s="86"/>
      <c r="V4602" s="48"/>
      <c r="W4602" s="48"/>
      <c r="X4602" s="48"/>
      <c r="Y4602" s="48"/>
      <c r="Z4602" s="48"/>
      <c r="AA4602" s="48"/>
      <c r="AB4602" s="48"/>
      <c r="AC4602" s="48"/>
      <c r="AD4602" s="48"/>
      <c r="AE4602" s="48"/>
      <c r="AF4602" s="48"/>
      <c r="AG4602" s="48"/>
      <c r="AH4602" s="48"/>
      <c r="AI4602" s="48"/>
      <c r="AJ4602" s="48"/>
      <c r="AK4602" s="48"/>
      <c r="AL4602" s="48"/>
      <c r="AM4602" s="48"/>
      <c r="AN4602" s="48"/>
      <c r="AO4602" s="48"/>
      <c r="AP4602" s="48"/>
      <c r="AQ4602" s="48"/>
      <c r="AR4602" s="48"/>
      <c r="AS4602" s="48"/>
      <c r="AT4602" s="48"/>
      <c r="AU4602" s="48"/>
      <c r="AV4602" s="48"/>
      <c r="AW4602" s="48"/>
      <c r="AX4602" s="48"/>
      <c r="AY4602" s="48"/>
      <c r="AZ4602" s="48"/>
      <c r="BA4602" s="48"/>
      <c r="BB4602" s="48"/>
      <c r="BC4602" s="48"/>
      <c r="BD4602" s="48"/>
    </row>
    <row r="4603" spans="1:56">
      <c r="A4603" s="48"/>
      <c r="B4603" s="48"/>
      <c r="C4603" s="49"/>
      <c r="D4603" s="48"/>
      <c r="E4603" s="48"/>
      <c r="F4603" s="48"/>
      <c r="G4603" s="48"/>
      <c r="H4603" s="48"/>
      <c r="I4603" s="48"/>
      <c r="J4603" s="86"/>
      <c r="K4603" s="86"/>
      <c r="L4603" s="86"/>
      <c r="M4603" s="86"/>
      <c r="N4603" s="86"/>
      <c r="O4603" s="86"/>
      <c r="P4603" s="86"/>
      <c r="Q4603" s="86"/>
      <c r="R4603" s="86"/>
      <c r="S4603" s="86"/>
      <c r="T4603" s="86"/>
      <c r="U4603" s="86"/>
      <c r="V4603" s="48"/>
      <c r="W4603" s="48"/>
      <c r="X4603" s="48"/>
      <c r="Y4603" s="48"/>
      <c r="Z4603" s="48"/>
      <c r="AA4603" s="48"/>
      <c r="AB4603" s="48"/>
      <c r="AC4603" s="48"/>
      <c r="AD4603" s="48"/>
      <c r="AE4603" s="48"/>
      <c r="AF4603" s="48"/>
      <c r="AG4603" s="48"/>
      <c r="AH4603" s="48"/>
      <c r="AI4603" s="48"/>
      <c r="AJ4603" s="48"/>
      <c r="AK4603" s="48"/>
      <c r="AL4603" s="48"/>
      <c r="AM4603" s="48"/>
      <c r="AN4603" s="48"/>
      <c r="AO4603" s="48"/>
      <c r="AP4603" s="48"/>
      <c r="AQ4603" s="48"/>
      <c r="AR4603" s="48"/>
      <c r="AS4603" s="48"/>
      <c r="AT4603" s="48"/>
      <c r="AU4603" s="48"/>
      <c r="AV4603" s="48"/>
      <c r="AW4603" s="48"/>
      <c r="AX4603" s="48"/>
      <c r="AY4603" s="48"/>
      <c r="AZ4603" s="48"/>
      <c r="BA4603" s="48"/>
      <c r="BB4603" s="48"/>
      <c r="BC4603" s="48"/>
      <c r="BD4603" s="48"/>
    </row>
    <row r="4604" spans="1:56">
      <c r="A4604" s="48"/>
      <c r="B4604" s="48"/>
      <c r="C4604" s="49"/>
      <c r="D4604" s="48"/>
      <c r="E4604" s="48"/>
      <c r="F4604" s="48"/>
      <c r="G4604" s="48"/>
      <c r="H4604" s="48"/>
      <c r="I4604" s="48"/>
      <c r="J4604" s="86"/>
      <c r="K4604" s="86"/>
      <c r="L4604" s="86"/>
      <c r="M4604" s="86"/>
      <c r="N4604" s="86"/>
      <c r="O4604" s="86"/>
      <c r="P4604" s="86"/>
      <c r="Q4604" s="86"/>
      <c r="R4604" s="86"/>
      <c r="S4604" s="86"/>
      <c r="T4604" s="86"/>
      <c r="U4604" s="86"/>
      <c r="V4604" s="48"/>
      <c r="W4604" s="48"/>
      <c r="X4604" s="48"/>
      <c r="Y4604" s="48"/>
      <c r="Z4604" s="48"/>
      <c r="AA4604" s="48"/>
      <c r="AB4604" s="48"/>
      <c r="AC4604" s="48"/>
      <c r="AD4604" s="48"/>
      <c r="AE4604" s="48"/>
      <c r="AF4604" s="48"/>
      <c r="AG4604" s="48"/>
      <c r="AH4604" s="48"/>
      <c r="AI4604" s="48"/>
      <c r="AJ4604" s="48"/>
      <c r="AK4604" s="48"/>
      <c r="AL4604" s="48"/>
      <c r="AM4604" s="48"/>
      <c r="AN4604" s="48"/>
      <c r="AO4604" s="48"/>
      <c r="AP4604" s="48"/>
      <c r="AQ4604" s="48"/>
      <c r="AR4604" s="48"/>
      <c r="AS4604" s="48"/>
      <c r="AT4604" s="48"/>
      <c r="AU4604" s="48"/>
      <c r="AV4604" s="48"/>
      <c r="AW4604" s="48"/>
      <c r="AX4604" s="48"/>
      <c r="AY4604" s="48"/>
      <c r="AZ4604" s="48"/>
      <c r="BA4604" s="48"/>
      <c r="BB4604" s="48"/>
      <c r="BC4604" s="48"/>
      <c r="BD4604" s="48"/>
    </row>
    <row r="4605" spans="1:56">
      <c r="A4605" s="48"/>
      <c r="B4605" s="48"/>
      <c r="C4605" s="49"/>
      <c r="D4605" s="48"/>
      <c r="E4605" s="48"/>
      <c r="F4605" s="48"/>
      <c r="G4605" s="48"/>
      <c r="H4605" s="48"/>
      <c r="I4605" s="48"/>
      <c r="J4605" s="86"/>
      <c r="K4605" s="86"/>
      <c r="L4605" s="86"/>
      <c r="M4605" s="86"/>
      <c r="N4605" s="86"/>
      <c r="O4605" s="86"/>
      <c r="P4605" s="86"/>
      <c r="Q4605" s="86"/>
      <c r="R4605" s="86"/>
      <c r="S4605" s="86"/>
      <c r="T4605" s="86"/>
      <c r="U4605" s="86"/>
      <c r="V4605" s="48"/>
      <c r="W4605" s="48"/>
      <c r="X4605" s="48"/>
      <c r="Y4605" s="48"/>
      <c r="Z4605" s="48"/>
      <c r="AA4605" s="48"/>
      <c r="AB4605" s="48"/>
      <c r="AC4605" s="48"/>
      <c r="AD4605" s="48"/>
      <c r="AE4605" s="48"/>
      <c r="AF4605" s="48"/>
      <c r="AG4605" s="48"/>
      <c r="AH4605" s="48"/>
      <c r="AI4605" s="48"/>
      <c r="AJ4605" s="48"/>
      <c r="AK4605" s="48"/>
      <c r="AL4605" s="48"/>
      <c r="AM4605" s="48"/>
      <c r="AN4605" s="48"/>
      <c r="AO4605" s="48"/>
      <c r="AP4605" s="48"/>
      <c r="AQ4605" s="48"/>
      <c r="AR4605" s="48"/>
      <c r="AS4605" s="48"/>
      <c r="AT4605" s="48"/>
      <c r="AU4605" s="48"/>
      <c r="AV4605" s="48"/>
      <c r="AW4605" s="48"/>
      <c r="AX4605" s="48"/>
      <c r="AY4605" s="48"/>
      <c r="AZ4605" s="48"/>
      <c r="BA4605" s="48"/>
      <c r="BB4605" s="48"/>
      <c r="BC4605" s="48"/>
      <c r="BD4605" s="48"/>
    </row>
    <row r="4606" spans="1:56">
      <c r="A4606" s="48"/>
      <c r="B4606" s="48"/>
      <c r="C4606" s="49"/>
      <c r="D4606" s="48"/>
      <c r="E4606" s="48"/>
      <c r="F4606" s="48"/>
      <c r="G4606" s="48"/>
      <c r="H4606" s="48"/>
      <c r="I4606" s="48"/>
      <c r="J4606" s="86"/>
      <c r="K4606" s="86"/>
      <c r="L4606" s="86"/>
      <c r="M4606" s="86"/>
      <c r="N4606" s="86"/>
      <c r="O4606" s="86"/>
      <c r="P4606" s="86"/>
      <c r="Q4606" s="86"/>
      <c r="R4606" s="86"/>
      <c r="S4606" s="86"/>
      <c r="T4606" s="86"/>
      <c r="U4606" s="86"/>
      <c r="V4606" s="48"/>
      <c r="W4606" s="48"/>
      <c r="X4606" s="48"/>
      <c r="Y4606" s="48"/>
      <c r="Z4606" s="48"/>
      <c r="AA4606" s="48"/>
      <c r="AB4606" s="48"/>
      <c r="AC4606" s="48"/>
      <c r="AD4606" s="48"/>
      <c r="AE4606" s="48"/>
      <c r="AF4606" s="48"/>
      <c r="AG4606" s="48"/>
      <c r="AH4606" s="48"/>
      <c r="AI4606" s="48"/>
      <c r="AJ4606" s="48"/>
      <c r="AK4606" s="48"/>
      <c r="AL4606" s="48"/>
      <c r="AM4606" s="48"/>
      <c r="AN4606" s="48"/>
      <c r="AO4606" s="48"/>
      <c r="AP4606" s="48"/>
      <c r="AQ4606" s="48"/>
      <c r="AR4606" s="48"/>
      <c r="AS4606" s="48"/>
      <c r="AT4606" s="48"/>
      <c r="AU4606" s="48"/>
      <c r="AV4606" s="48"/>
      <c r="AW4606" s="48"/>
      <c r="AX4606" s="48"/>
      <c r="AY4606" s="48"/>
      <c r="AZ4606" s="48"/>
      <c r="BA4606" s="48"/>
      <c r="BB4606" s="48"/>
      <c r="BC4606" s="48"/>
      <c r="BD4606" s="48"/>
    </row>
    <row r="4607" spans="1:56">
      <c r="A4607" s="48"/>
      <c r="B4607" s="48"/>
      <c r="C4607" s="49"/>
      <c r="D4607" s="48"/>
      <c r="E4607" s="48"/>
      <c r="F4607" s="48"/>
      <c r="G4607" s="48"/>
      <c r="H4607" s="48"/>
      <c r="I4607" s="48"/>
      <c r="J4607" s="86"/>
      <c r="K4607" s="86"/>
      <c r="L4607" s="86"/>
      <c r="M4607" s="86"/>
      <c r="N4607" s="86"/>
      <c r="O4607" s="86"/>
      <c r="P4607" s="86"/>
      <c r="Q4607" s="86"/>
      <c r="R4607" s="86"/>
      <c r="S4607" s="86"/>
      <c r="T4607" s="86"/>
      <c r="U4607" s="86"/>
      <c r="V4607" s="48"/>
      <c r="W4607" s="48"/>
      <c r="X4607" s="48"/>
      <c r="Y4607" s="48"/>
      <c r="Z4607" s="48"/>
      <c r="AA4607" s="48"/>
      <c r="AB4607" s="48"/>
      <c r="AC4607" s="48"/>
      <c r="AD4607" s="48"/>
      <c r="AE4607" s="48"/>
      <c r="AF4607" s="48"/>
      <c r="AG4607" s="48"/>
      <c r="AH4607" s="48"/>
      <c r="AI4607" s="48"/>
      <c r="AJ4607" s="48"/>
      <c r="AK4607" s="48"/>
      <c r="AL4607" s="48"/>
      <c r="AM4607" s="48"/>
      <c r="AN4607" s="48"/>
      <c r="AO4607" s="48"/>
      <c r="AP4607" s="48"/>
      <c r="AQ4607" s="48"/>
      <c r="AR4607" s="48"/>
      <c r="AS4607" s="48"/>
      <c r="AT4607" s="48"/>
      <c r="AU4607" s="48"/>
      <c r="AV4607" s="48"/>
      <c r="AW4607" s="48"/>
      <c r="AX4607" s="48"/>
      <c r="AY4607" s="48"/>
      <c r="AZ4607" s="48"/>
      <c r="BA4607" s="48"/>
      <c r="BB4607" s="48"/>
      <c r="BC4607" s="48"/>
      <c r="BD4607" s="48"/>
    </row>
    <row r="4608" spans="1:56">
      <c r="A4608" s="48"/>
      <c r="B4608" s="48"/>
      <c r="C4608" s="49"/>
      <c r="D4608" s="48"/>
      <c r="E4608" s="48"/>
      <c r="F4608" s="48"/>
      <c r="G4608" s="48"/>
      <c r="H4608" s="48"/>
      <c r="I4608" s="48"/>
      <c r="J4608" s="86"/>
      <c r="K4608" s="86"/>
      <c r="L4608" s="86"/>
      <c r="M4608" s="86"/>
      <c r="N4608" s="86"/>
      <c r="O4608" s="86"/>
      <c r="P4608" s="86"/>
      <c r="Q4608" s="86"/>
      <c r="R4608" s="86"/>
      <c r="S4608" s="86"/>
      <c r="T4608" s="86"/>
      <c r="U4608" s="86"/>
      <c r="V4608" s="48"/>
      <c r="W4608" s="48"/>
      <c r="X4608" s="48"/>
      <c r="Y4608" s="48"/>
      <c r="Z4608" s="48"/>
      <c r="AA4608" s="48"/>
      <c r="AB4608" s="48"/>
      <c r="AC4608" s="48"/>
      <c r="AD4608" s="48"/>
      <c r="AE4608" s="48"/>
      <c r="AF4608" s="48"/>
      <c r="AG4608" s="48"/>
      <c r="AH4608" s="48"/>
      <c r="AI4608" s="48"/>
      <c r="AJ4608" s="48"/>
      <c r="AK4608" s="48"/>
      <c r="AL4608" s="48"/>
      <c r="AM4608" s="48"/>
      <c r="AN4608" s="48"/>
      <c r="AO4608" s="48"/>
      <c r="AP4608" s="48"/>
      <c r="AQ4608" s="48"/>
      <c r="AR4608" s="48"/>
      <c r="AS4608" s="48"/>
      <c r="AT4608" s="48"/>
      <c r="AU4608" s="48"/>
      <c r="AV4608" s="48"/>
      <c r="AW4608" s="48"/>
      <c r="AX4608" s="48"/>
      <c r="AY4608" s="48"/>
      <c r="AZ4608" s="48"/>
      <c r="BA4608" s="48"/>
      <c r="BB4608" s="48"/>
      <c r="BC4608" s="48"/>
      <c r="BD4608" s="48"/>
    </row>
    <row r="4609" spans="1:56">
      <c r="A4609" s="48"/>
      <c r="B4609" s="48"/>
      <c r="C4609" s="49"/>
      <c r="D4609" s="48"/>
      <c r="E4609" s="48"/>
      <c r="F4609" s="48"/>
      <c r="G4609" s="48"/>
      <c r="H4609" s="48"/>
      <c r="I4609" s="48"/>
      <c r="J4609" s="86"/>
      <c r="K4609" s="86"/>
      <c r="L4609" s="86"/>
      <c r="M4609" s="86"/>
      <c r="N4609" s="86"/>
      <c r="O4609" s="86"/>
      <c r="P4609" s="86"/>
      <c r="Q4609" s="86"/>
      <c r="R4609" s="86"/>
      <c r="S4609" s="86"/>
      <c r="T4609" s="86"/>
      <c r="U4609" s="86"/>
      <c r="V4609" s="48"/>
      <c r="W4609" s="48"/>
      <c r="X4609" s="48"/>
      <c r="Y4609" s="48"/>
      <c r="Z4609" s="48"/>
      <c r="AA4609" s="48"/>
      <c r="AB4609" s="48"/>
      <c r="AC4609" s="48"/>
      <c r="AD4609" s="48"/>
      <c r="AE4609" s="48"/>
      <c r="AF4609" s="48"/>
      <c r="AG4609" s="48"/>
      <c r="AH4609" s="48"/>
      <c r="AI4609" s="48"/>
      <c r="AJ4609" s="48"/>
      <c r="AK4609" s="48"/>
      <c r="AL4609" s="48"/>
      <c r="AM4609" s="48"/>
      <c r="AN4609" s="48"/>
      <c r="AO4609" s="48"/>
      <c r="AP4609" s="48"/>
      <c r="AQ4609" s="48"/>
      <c r="AR4609" s="48"/>
      <c r="AS4609" s="48"/>
      <c r="AT4609" s="48"/>
      <c r="AU4609" s="48"/>
      <c r="AV4609" s="48"/>
      <c r="AW4609" s="48"/>
      <c r="AX4609" s="48"/>
      <c r="AY4609" s="48"/>
      <c r="AZ4609" s="48"/>
      <c r="BA4609" s="48"/>
      <c r="BB4609" s="48"/>
      <c r="BC4609" s="48"/>
      <c r="BD4609" s="48"/>
    </row>
    <row r="4610" spans="1:56">
      <c r="A4610" s="48"/>
      <c r="B4610" s="48"/>
      <c r="C4610" s="49"/>
      <c r="D4610" s="48"/>
      <c r="E4610" s="48"/>
      <c r="F4610" s="48"/>
      <c r="G4610" s="48"/>
      <c r="H4610" s="48"/>
      <c r="I4610" s="48"/>
      <c r="J4610" s="86"/>
      <c r="K4610" s="86"/>
      <c r="L4610" s="86"/>
      <c r="M4610" s="86"/>
      <c r="N4610" s="86"/>
      <c r="O4610" s="86"/>
      <c r="P4610" s="86"/>
      <c r="Q4610" s="86"/>
      <c r="R4610" s="86"/>
      <c r="S4610" s="86"/>
      <c r="T4610" s="86"/>
      <c r="U4610" s="86"/>
      <c r="V4610" s="48"/>
      <c r="W4610" s="48"/>
      <c r="X4610" s="48"/>
      <c r="Y4610" s="48"/>
      <c r="Z4610" s="48"/>
      <c r="AA4610" s="48"/>
      <c r="AB4610" s="48"/>
      <c r="AC4610" s="48"/>
      <c r="AD4610" s="48"/>
      <c r="AE4610" s="48"/>
      <c r="AF4610" s="48"/>
      <c r="AG4610" s="48"/>
      <c r="AH4610" s="48"/>
      <c r="AI4610" s="48"/>
      <c r="AJ4610" s="48"/>
      <c r="AK4610" s="48"/>
      <c r="AL4610" s="48"/>
      <c r="AM4610" s="48"/>
      <c r="AN4610" s="48"/>
      <c r="AO4610" s="48"/>
      <c r="AP4610" s="48"/>
      <c r="AQ4610" s="48"/>
      <c r="AR4610" s="48"/>
      <c r="AS4610" s="48"/>
      <c r="AT4610" s="48"/>
      <c r="AU4610" s="48"/>
      <c r="AV4610" s="48"/>
      <c r="AW4610" s="48"/>
      <c r="AX4610" s="48"/>
      <c r="AY4610" s="48"/>
      <c r="AZ4610" s="48"/>
      <c r="BA4610" s="48"/>
      <c r="BB4610" s="48"/>
      <c r="BC4610" s="48"/>
      <c r="BD4610" s="48"/>
    </row>
    <row r="4611" spans="1:56">
      <c r="A4611" s="48"/>
      <c r="B4611" s="48"/>
      <c r="C4611" s="49"/>
      <c r="D4611" s="48"/>
      <c r="E4611" s="48"/>
      <c r="F4611" s="48"/>
      <c r="G4611" s="48"/>
      <c r="H4611" s="48"/>
      <c r="I4611" s="48"/>
      <c r="J4611" s="86"/>
      <c r="K4611" s="86"/>
      <c r="L4611" s="86"/>
      <c r="M4611" s="86"/>
      <c r="N4611" s="86"/>
      <c r="O4611" s="86"/>
      <c r="P4611" s="86"/>
      <c r="Q4611" s="86"/>
      <c r="R4611" s="86"/>
      <c r="S4611" s="86"/>
      <c r="T4611" s="86"/>
      <c r="U4611" s="86"/>
      <c r="V4611" s="48"/>
      <c r="W4611" s="48"/>
      <c r="X4611" s="48"/>
      <c r="Y4611" s="48"/>
      <c r="Z4611" s="48"/>
      <c r="AA4611" s="48"/>
      <c r="AB4611" s="48"/>
      <c r="AC4611" s="48"/>
      <c r="AD4611" s="48"/>
      <c r="AE4611" s="48"/>
      <c r="AF4611" s="48"/>
      <c r="AG4611" s="48"/>
      <c r="AH4611" s="48"/>
      <c r="AI4611" s="48"/>
      <c r="AJ4611" s="48"/>
      <c r="AK4611" s="48"/>
      <c r="AL4611" s="48"/>
      <c r="AM4611" s="48"/>
      <c r="AN4611" s="48"/>
      <c r="AO4611" s="48"/>
      <c r="AP4611" s="48"/>
      <c r="AQ4611" s="48"/>
      <c r="AR4611" s="48"/>
      <c r="AS4611" s="48"/>
      <c r="AT4611" s="48"/>
      <c r="AU4611" s="48"/>
      <c r="AV4611" s="48"/>
      <c r="AW4611" s="48"/>
      <c r="AX4611" s="48"/>
      <c r="AY4611" s="48"/>
      <c r="AZ4611" s="48"/>
      <c r="BA4611" s="48"/>
      <c r="BB4611" s="48"/>
      <c r="BC4611" s="48"/>
      <c r="BD4611" s="48"/>
    </row>
    <row r="4612" spans="1:56">
      <c r="A4612" s="48"/>
      <c r="B4612" s="48"/>
      <c r="C4612" s="49"/>
      <c r="D4612" s="48"/>
      <c r="E4612" s="48"/>
      <c r="F4612" s="48"/>
      <c r="G4612" s="48"/>
      <c r="H4612" s="48"/>
      <c r="I4612" s="48"/>
      <c r="J4612" s="86"/>
      <c r="K4612" s="86"/>
      <c r="L4612" s="86"/>
      <c r="M4612" s="86"/>
      <c r="N4612" s="86"/>
      <c r="O4612" s="86"/>
      <c r="P4612" s="86"/>
      <c r="Q4612" s="86"/>
      <c r="R4612" s="86"/>
      <c r="S4612" s="86"/>
      <c r="T4612" s="86"/>
      <c r="U4612" s="86"/>
      <c r="V4612" s="48"/>
      <c r="W4612" s="48"/>
      <c r="X4612" s="48"/>
      <c r="Y4612" s="48"/>
      <c r="Z4612" s="48"/>
      <c r="AA4612" s="48"/>
      <c r="AB4612" s="48"/>
      <c r="AC4612" s="48"/>
      <c r="AD4612" s="48"/>
      <c r="AE4612" s="48"/>
      <c r="AF4612" s="48"/>
      <c r="AG4612" s="48"/>
      <c r="AH4612" s="48"/>
      <c r="AI4612" s="48"/>
      <c r="AJ4612" s="48"/>
      <c r="AK4612" s="48"/>
      <c r="AL4612" s="48"/>
      <c r="AM4612" s="48"/>
      <c r="AN4612" s="48"/>
      <c r="AO4612" s="48"/>
      <c r="AP4612" s="48"/>
      <c r="AQ4612" s="48"/>
      <c r="AR4612" s="48"/>
      <c r="AS4612" s="48"/>
      <c r="AT4612" s="48"/>
      <c r="AU4612" s="48"/>
      <c r="AV4612" s="48"/>
      <c r="AW4612" s="48"/>
      <c r="AX4612" s="48"/>
      <c r="AY4612" s="48"/>
      <c r="AZ4612" s="48"/>
      <c r="BA4612" s="48"/>
      <c r="BB4612" s="48"/>
      <c r="BC4612" s="48"/>
      <c r="BD4612" s="48"/>
    </row>
    <row r="4613" spans="1:56">
      <c r="A4613" s="48"/>
      <c r="B4613" s="48"/>
      <c r="C4613" s="49"/>
      <c r="D4613" s="48"/>
      <c r="E4613" s="48"/>
      <c r="F4613" s="48"/>
      <c r="G4613" s="48"/>
      <c r="H4613" s="48"/>
      <c r="I4613" s="48"/>
      <c r="J4613" s="86"/>
      <c r="K4613" s="86"/>
      <c r="L4613" s="86"/>
      <c r="M4613" s="86"/>
      <c r="N4613" s="86"/>
      <c r="O4613" s="86"/>
      <c r="P4613" s="86"/>
      <c r="Q4613" s="86"/>
      <c r="R4613" s="86"/>
      <c r="S4613" s="86"/>
      <c r="T4613" s="86"/>
      <c r="U4613" s="86"/>
      <c r="V4613" s="48"/>
      <c r="W4613" s="48"/>
      <c r="X4613" s="48"/>
      <c r="Y4613" s="48"/>
      <c r="Z4613" s="48"/>
      <c r="AA4613" s="48"/>
      <c r="AB4613" s="48"/>
      <c r="AC4613" s="48"/>
      <c r="AD4613" s="48"/>
      <c r="AE4613" s="48"/>
      <c r="AF4613" s="48"/>
      <c r="AG4613" s="48"/>
      <c r="AH4613" s="48"/>
      <c r="AI4613" s="48"/>
      <c r="AJ4613" s="48"/>
      <c r="AK4613" s="48"/>
      <c r="AL4613" s="48"/>
      <c r="AM4613" s="48"/>
      <c r="AN4613" s="48"/>
      <c r="AO4613" s="48"/>
      <c r="AP4613" s="48"/>
      <c r="AQ4613" s="48"/>
      <c r="AR4613" s="48"/>
      <c r="AS4613" s="48"/>
      <c r="AT4613" s="48"/>
      <c r="AU4613" s="48"/>
      <c r="AV4613" s="48"/>
      <c r="AW4613" s="48"/>
      <c r="AX4613" s="48"/>
      <c r="AY4613" s="48"/>
      <c r="AZ4613" s="48"/>
      <c r="BA4613" s="48"/>
      <c r="BB4613" s="48"/>
      <c r="BC4613" s="48"/>
      <c r="BD4613" s="48"/>
    </row>
    <row r="4614" spans="1:56">
      <c r="A4614" s="48"/>
      <c r="B4614" s="48"/>
      <c r="C4614" s="49"/>
      <c r="D4614" s="48"/>
      <c r="E4614" s="48"/>
      <c r="F4614" s="48"/>
      <c r="G4614" s="48"/>
      <c r="H4614" s="48"/>
      <c r="I4614" s="48"/>
      <c r="J4614" s="86"/>
      <c r="K4614" s="86"/>
      <c r="L4614" s="86"/>
      <c r="M4614" s="86"/>
      <c r="N4614" s="86"/>
      <c r="O4614" s="86"/>
      <c r="P4614" s="86"/>
      <c r="Q4614" s="86"/>
      <c r="R4614" s="86"/>
      <c r="S4614" s="86"/>
      <c r="T4614" s="86"/>
      <c r="U4614" s="86"/>
      <c r="V4614" s="48"/>
      <c r="W4614" s="48"/>
      <c r="X4614" s="48"/>
      <c r="Y4614" s="48"/>
      <c r="Z4614" s="48"/>
      <c r="AA4614" s="48"/>
      <c r="AB4614" s="48"/>
      <c r="AC4614" s="48"/>
      <c r="AD4614" s="48"/>
      <c r="AE4614" s="48"/>
      <c r="AF4614" s="48"/>
      <c r="AG4614" s="48"/>
      <c r="AH4614" s="48"/>
      <c r="AI4614" s="48"/>
      <c r="AJ4614" s="48"/>
      <c r="AK4614" s="48"/>
      <c r="AL4614" s="48"/>
      <c r="AM4614" s="48"/>
      <c r="AN4614" s="48"/>
      <c r="AO4614" s="48"/>
      <c r="AP4614" s="48"/>
      <c r="AQ4614" s="48"/>
      <c r="AR4614" s="48"/>
      <c r="AS4614" s="48"/>
      <c r="AT4614" s="48"/>
      <c r="AU4614" s="48"/>
      <c r="AV4614" s="48"/>
      <c r="AW4614" s="48"/>
      <c r="AX4614" s="48"/>
      <c r="AY4614" s="48"/>
      <c r="AZ4614" s="48"/>
      <c r="BA4614" s="48"/>
      <c r="BB4614" s="48"/>
      <c r="BC4614" s="48"/>
      <c r="BD4614" s="48"/>
    </row>
    <row r="4615" spans="1:56">
      <c r="A4615" s="48"/>
      <c r="B4615" s="48"/>
      <c r="C4615" s="49"/>
      <c r="D4615" s="48"/>
      <c r="E4615" s="48"/>
      <c r="F4615" s="48"/>
      <c r="G4615" s="48"/>
      <c r="H4615" s="48"/>
      <c r="I4615" s="48"/>
      <c r="J4615" s="86"/>
      <c r="K4615" s="86"/>
      <c r="L4615" s="86"/>
      <c r="M4615" s="86"/>
      <c r="N4615" s="86"/>
      <c r="O4615" s="86"/>
      <c r="P4615" s="86"/>
      <c r="Q4615" s="86"/>
      <c r="R4615" s="86"/>
      <c r="S4615" s="86"/>
      <c r="T4615" s="86"/>
      <c r="U4615" s="86"/>
      <c r="V4615" s="48"/>
      <c r="W4615" s="48"/>
      <c r="X4615" s="48"/>
      <c r="Y4615" s="48"/>
      <c r="Z4615" s="48"/>
      <c r="AA4615" s="48"/>
      <c r="AB4615" s="48"/>
      <c r="AC4615" s="48"/>
      <c r="AD4615" s="48"/>
      <c r="AE4615" s="48"/>
      <c r="AF4615" s="48"/>
      <c r="AG4615" s="48"/>
      <c r="AH4615" s="48"/>
      <c r="AI4615" s="48"/>
      <c r="AJ4615" s="48"/>
      <c r="AK4615" s="48"/>
      <c r="AL4615" s="48"/>
      <c r="AM4615" s="48"/>
      <c r="AN4615" s="48"/>
      <c r="AO4615" s="48"/>
      <c r="AP4615" s="48"/>
      <c r="AQ4615" s="48"/>
      <c r="AR4615" s="48"/>
      <c r="AS4615" s="48"/>
      <c r="AT4615" s="48"/>
      <c r="AU4615" s="48"/>
      <c r="AV4615" s="48"/>
      <c r="AW4615" s="48"/>
      <c r="AX4615" s="48"/>
      <c r="AY4615" s="48"/>
      <c r="AZ4615" s="48"/>
      <c r="BA4615" s="48"/>
      <c r="BB4615" s="48"/>
      <c r="BC4615" s="48"/>
      <c r="BD4615" s="48"/>
    </row>
    <row r="4616" spans="1:56">
      <c r="A4616" s="48"/>
      <c r="B4616" s="48"/>
      <c r="C4616" s="49"/>
      <c r="D4616" s="48"/>
      <c r="E4616" s="48"/>
      <c r="F4616" s="48"/>
      <c r="G4616" s="48"/>
      <c r="H4616" s="48"/>
      <c r="I4616" s="48"/>
      <c r="J4616" s="86"/>
      <c r="K4616" s="86"/>
      <c r="L4616" s="86"/>
      <c r="M4616" s="86"/>
      <c r="N4616" s="86"/>
      <c r="O4616" s="86"/>
      <c r="P4616" s="86"/>
      <c r="Q4616" s="86"/>
      <c r="R4616" s="86"/>
      <c r="S4616" s="86"/>
      <c r="T4616" s="86"/>
      <c r="U4616" s="86"/>
      <c r="V4616" s="48"/>
      <c r="W4616" s="48"/>
      <c r="X4616" s="48"/>
      <c r="Y4616" s="48"/>
      <c r="Z4616" s="48"/>
      <c r="AA4616" s="48"/>
      <c r="AB4616" s="48"/>
      <c r="AC4616" s="48"/>
      <c r="AD4616" s="48"/>
      <c r="AE4616" s="48"/>
      <c r="AF4616" s="48"/>
      <c r="AG4616" s="48"/>
      <c r="AH4616" s="48"/>
      <c r="AI4616" s="48"/>
      <c r="AJ4616" s="48"/>
      <c r="AK4616" s="48"/>
      <c r="AL4616" s="48"/>
      <c r="AM4616" s="48"/>
      <c r="AN4616" s="48"/>
      <c r="AO4616" s="48"/>
      <c r="AP4616" s="48"/>
      <c r="AQ4616" s="48"/>
      <c r="AR4616" s="48"/>
      <c r="AS4616" s="48"/>
      <c r="AT4616" s="48"/>
      <c r="AU4616" s="48"/>
      <c r="AV4616" s="48"/>
      <c r="AW4616" s="48"/>
      <c r="AX4616" s="48"/>
      <c r="AY4616" s="48"/>
      <c r="AZ4616" s="48"/>
      <c r="BA4616" s="48"/>
      <c r="BB4616" s="48"/>
      <c r="BC4616" s="48"/>
      <c r="BD4616" s="48"/>
    </row>
    <row r="4617" spans="1:56">
      <c r="A4617" s="48"/>
      <c r="B4617" s="48"/>
      <c r="C4617" s="49"/>
      <c r="D4617" s="48"/>
      <c r="E4617" s="48"/>
      <c r="F4617" s="48"/>
      <c r="G4617" s="48"/>
      <c r="H4617" s="48"/>
      <c r="I4617" s="48"/>
      <c r="J4617" s="86"/>
      <c r="K4617" s="86"/>
      <c r="L4617" s="86"/>
      <c r="M4617" s="86"/>
      <c r="N4617" s="86"/>
      <c r="O4617" s="86"/>
      <c r="P4617" s="86"/>
      <c r="Q4617" s="86"/>
      <c r="R4617" s="86"/>
      <c r="S4617" s="86"/>
      <c r="T4617" s="86"/>
      <c r="U4617" s="86"/>
      <c r="V4617" s="48"/>
      <c r="W4617" s="48"/>
      <c r="X4617" s="48"/>
      <c r="Y4617" s="48"/>
      <c r="Z4617" s="48"/>
      <c r="AA4617" s="48"/>
      <c r="AB4617" s="48"/>
      <c r="AC4617" s="48"/>
      <c r="AD4617" s="48"/>
      <c r="AE4617" s="48"/>
      <c r="AF4617" s="48"/>
      <c r="AG4617" s="48"/>
      <c r="AH4617" s="48"/>
      <c r="AI4617" s="48"/>
      <c r="AJ4617" s="48"/>
      <c r="AK4617" s="48"/>
      <c r="AL4617" s="48"/>
      <c r="AM4617" s="48"/>
      <c r="AN4617" s="48"/>
      <c r="AO4617" s="48"/>
      <c r="AP4617" s="48"/>
      <c r="AQ4617" s="48"/>
      <c r="AR4617" s="48"/>
      <c r="AS4617" s="48"/>
      <c r="AT4617" s="48"/>
      <c r="AU4617" s="48"/>
      <c r="AV4617" s="48"/>
      <c r="AW4617" s="48"/>
      <c r="AX4617" s="48"/>
      <c r="AY4617" s="48"/>
      <c r="AZ4617" s="48"/>
      <c r="BA4617" s="48"/>
      <c r="BB4617" s="48"/>
      <c r="BC4617" s="48"/>
      <c r="BD4617" s="48"/>
    </row>
    <row r="4618" spans="1:56">
      <c r="A4618" s="48"/>
      <c r="B4618" s="48"/>
      <c r="C4618" s="49"/>
      <c r="D4618" s="48"/>
      <c r="E4618" s="48"/>
      <c r="F4618" s="48"/>
      <c r="G4618" s="48"/>
      <c r="H4618" s="48"/>
      <c r="I4618" s="48"/>
      <c r="J4618" s="86"/>
      <c r="K4618" s="86"/>
      <c r="L4618" s="86"/>
      <c r="M4618" s="86"/>
      <c r="N4618" s="86"/>
      <c r="O4618" s="86"/>
      <c r="P4618" s="86"/>
      <c r="Q4618" s="86"/>
      <c r="R4618" s="86"/>
      <c r="S4618" s="86"/>
      <c r="T4618" s="86"/>
      <c r="U4618" s="86"/>
      <c r="V4618" s="48"/>
      <c r="W4618" s="48"/>
      <c r="X4618" s="48"/>
      <c r="Y4618" s="48"/>
      <c r="Z4618" s="48"/>
      <c r="AA4618" s="48"/>
      <c r="AB4618" s="48"/>
      <c r="AC4618" s="48"/>
      <c r="AD4618" s="48"/>
      <c r="AE4618" s="48"/>
      <c r="AF4618" s="48"/>
      <c r="AG4618" s="48"/>
      <c r="AH4618" s="48"/>
      <c r="AI4618" s="48"/>
      <c r="AJ4618" s="48"/>
      <c r="AK4618" s="48"/>
      <c r="AL4618" s="48"/>
      <c r="AM4618" s="48"/>
      <c r="AN4618" s="48"/>
      <c r="AO4618" s="48"/>
      <c r="AP4618" s="48"/>
      <c r="AQ4618" s="48"/>
      <c r="AR4618" s="48"/>
      <c r="AS4618" s="48"/>
      <c r="AT4618" s="48"/>
      <c r="AU4618" s="48"/>
      <c r="AV4618" s="48"/>
      <c r="AW4618" s="48"/>
      <c r="AX4618" s="48"/>
      <c r="AY4618" s="48"/>
      <c r="AZ4618" s="48"/>
      <c r="BA4618" s="48"/>
      <c r="BB4618" s="48"/>
      <c r="BC4618" s="48"/>
      <c r="BD4618" s="48"/>
    </row>
    <row r="4619" spans="1:56">
      <c r="A4619" s="48"/>
      <c r="B4619" s="48"/>
      <c r="C4619" s="49"/>
      <c r="D4619" s="48"/>
      <c r="E4619" s="48"/>
      <c r="F4619" s="48"/>
      <c r="G4619" s="48"/>
      <c r="H4619" s="48"/>
      <c r="I4619" s="48"/>
      <c r="J4619" s="86"/>
      <c r="K4619" s="86"/>
      <c r="L4619" s="86"/>
      <c r="M4619" s="86"/>
      <c r="N4619" s="86"/>
      <c r="O4619" s="86"/>
      <c r="P4619" s="86"/>
      <c r="Q4619" s="86"/>
      <c r="R4619" s="86"/>
      <c r="S4619" s="86"/>
      <c r="T4619" s="86"/>
      <c r="U4619" s="86"/>
      <c r="V4619" s="48"/>
      <c r="W4619" s="48"/>
      <c r="X4619" s="48"/>
      <c r="Y4619" s="48"/>
      <c r="Z4619" s="48"/>
      <c r="AA4619" s="48"/>
      <c r="AB4619" s="48"/>
      <c r="AC4619" s="48"/>
      <c r="AD4619" s="48"/>
      <c r="AE4619" s="48"/>
      <c r="AF4619" s="48"/>
      <c r="AG4619" s="48"/>
      <c r="AH4619" s="48"/>
      <c r="AI4619" s="48"/>
      <c r="AJ4619" s="48"/>
      <c r="AK4619" s="48"/>
      <c r="AL4619" s="48"/>
      <c r="AM4619" s="48"/>
      <c r="AN4619" s="48"/>
      <c r="AO4619" s="48"/>
      <c r="AP4619" s="48"/>
      <c r="AQ4619" s="48"/>
      <c r="AR4619" s="48"/>
      <c r="AS4619" s="48"/>
      <c r="AT4619" s="48"/>
      <c r="AU4619" s="48"/>
      <c r="AV4619" s="48"/>
      <c r="AW4619" s="48"/>
      <c r="AX4619" s="48"/>
      <c r="AY4619" s="48"/>
      <c r="AZ4619" s="48"/>
      <c r="BA4619" s="48"/>
      <c r="BB4619" s="48"/>
      <c r="BC4619" s="48"/>
      <c r="BD4619" s="48"/>
    </row>
    <row r="4620" spans="1:56">
      <c r="A4620" s="48"/>
      <c r="B4620" s="48"/>
      <c r="C4620" s="49"/>
      <c r="D4620" s="48"/>
      <c r="E4620" s="48"/>
      <c r="F4620" s="48"/>
      <c r="G4620" s="48"/>
      <c r="H4620" s="48"/>
      <c r="I4620" s="48"/>
      <c r="J4620" s="86"/>
      <c r="K4620" s="86"/>
      <c r="L4620" s="86"/>
      <c r="M4620" s="86"/>
      <c r="N4620" s="86"/>
      <c r="O4620" s="86"/>
      <c r="P4620" s="86"/>
      <c r="Q4620" s="86"/>
      <c r="R4620" s="86"/>
      <c r="S4620" s="86"/>
      <c r="T4620" s="86"/>
      <c r="U4620" s="86"/>
      <c r="V4620" s="48"/>
      <c r="W4620" s="48"/>
      <c r="X4620" s="48"/>
      <c r="Y4620" s="48"/>
      <c r="Z4620" s="48"/>
      <c r="AA4620" s="48"/>
      <c r="AB4620" s="48"/>
      <c r="AC4620" s="48"/>
      <c r="AD4620" s="48"/>
      <c r="AE4620" s="48"/>
      <c r="AF4620" s="48"/>
      <c r="AG4620" s="48"/>
      <c r="AH4620" s="48"/>
      <c r="AI4620" s="48"/>
      <c r="AJ4620" s="48"/>
      <c r="AK4620" s="48"/>
      <c r="AL4620" s="48"/>
      <c r="AM4620" s="48"/>
      <c r="AN4620" s="48"/>
      <c r="AO4620" s="48"/>
      <c r="AP4620" s="48"/>
      <c r="AQ4620" s="48"/>
      <c r="AR4620" s="48"/>
      <c r="AS4620" s="48"/>
      <c r="AT4620" s="48"/>
      <c r="AU4620" s="48"/>
      <c r="AV4620" s="48"/>
      <c r="AW4620" s="48"/>
      <c r="AX4620" s="48"/>
      <c r="AY4620" s="48"/>
      <c r="AZ4620" s="48"/>
      <c r="BA4620" s="48"/>
      <c r="BB4620" s="48"/>
      <c r="BC4620" s="48"/>
      <c r="BD4620" s="48"/>
    </row>
    <row r="4621" spans="1:56">
      <c r="A4621" s="48"/>
      <c r="B4621" s="48"/>
      <c r="C4621" s="49"/>
      <c r="D4621" s="48"/>
      <c r="E4621" s="48"/>
      <c r="F4621" s="48"/>
      <c r="G4621" s="48"/>
      <c r="H4621" s="48"/>
      <c r="I4621" s="48"/>
      <c r="J4621" s="86"/>
      <c r="K4621" s="86"/>
      <c r="L4621" s="86"/>
      <c r="M4621" s="86"/>
      <c r="N4621" s="86"/>
      <c r="O4621" s="86"/>
      <c r="P4621" s="86"/>
      <c r="Q4621" s="86"/>
      <c r="R4621" s="86"/>
      <c r="S4621" s="86"/>
      <c r="T4621" s="86"/>
      <c r="U4621" s="86"/>
      <c r="V4621" s="48"/>
      <c r="W4621" s="48"/>
      <c r="X4621" s="48"/>
      <c r="Y4621" s="48"/>
      <c r="Z4621" s="48"/>
      <c r="AA4621" s="48"/>
      <c r="AB4621" s="48"/>
      <c r="AC4621" s="48"/>
      <c r="AD4621" s="48"/>
      <c r="AE4621" s="48"/>
      <c r="AF4621" s="48"/>
      <c r="AG4621" s="48"/>
      <c r="AH4621" s="48"/>
      <c r="AI4621" s="48"/>
      <c r="AJ4621" s="48"/>
      <c r="AK4621" s="48"/>
      <c r="AL4621" s="48"/>
      <c r="AM4621" s="48"/>
      <c r="AN4621" s="48"/>
      <c r="AO4621" s="48"/>
      <c r="AP4621" s="48"/>
      <c r="AQ4621" s="48"/>
      <c r="AR4621" s="48"/>
      <c r="AS4621" s="48"/>
      <c r="AT4621" s="48"/>
      <c r="AU4621" s="48"/>
      <c r="AV4621" s="48"/>
      <c r="AW4621" s="48"/>
      <c r="AX4621" s="48"/>
      <c r="AY4621" s="48"/>
      <c r="AZ4621" s="48"/>
      <c r="BA4621" s="48"/>
      <c r="BB4621" s="48"/>
      <c r="BC4621" s="48"/>
      <c r="BD4621" s="48"/>
    </row>
    <row r="4622" spans="1:56">
      <c r="A4622" s="48"/>
      <c r="B4622" s="48"/>
      <c r="C4622" s="49"/>
      <c r="D4622" s="48"/>
      <c r="E4622" s="48"/>
      <c r="F4622" s="48"/>
      <c r="G4622" s="48"/>
      <c r="H4622" s="48"/>
      <c r="I4622" s="48"/>
      <c r="J4622" s="86"/>
      <c r="K4622" s="86"/>
      <c r="L4622" s="86"/>
      <c r="M4622" s="86"/>
      <c r="N4622" s="86"/>
      <c r="O4622" s="86"/>
      <c r="P4622" s="86"/>
      <c r="Q4622" s="86"/>
      <c r="R4622" s="86"/>
      <c r="S4622" s="86"/>
      <c r="T4622" s="86"/>
      <c r="U4622" s="86"/>
      <c r="V4622" s="48"/>
      <c r="W4622" s="48"/>
      <c r="X4622" s="48"/>
      <c r="Y4622" s="48"/>
      <c r="Z4622" s="48"/>
      <c r="AA4622" s="48"/>
      <c r="AB4622" s="48"/>
      <c r="AC4622" s="48"/>
      <c r="AD4622" s="48"/>
      <c r="AE4622" s="48"/>
      <c r="AF4622" s="48"/>
      <c r="AG4622" s="48"/>
      <c r="AH4622" s="48"/>
      <c r="AI4622" s="48"/>
      <c r="AJ4622" s="48"/>
      <c r="AK4622" s="48"/>
      <c r="AL4622" s="48"/>
      <c r="AM4622" s="48"/>
      <c r="AN4622" s="48"/>
      <c r="AO4622" s="48"/>
      <c r="AP4622" s="48"/>
      <c r="AQ4622" s="48"/>
      <c r="AR4622" s="48"/>
      <c r="AS4622" s="48"/>
      <c r="AT4622" s="48"/>
      <c r="AU4622" s="48"/>
      <c r="AV4622" s="48"/>
      <c r="AW4622" s="48"/>
      <c r="AX4622" s="48"/>
      <c r="AY4622" s="48"/>
      <c r="AZ4622" s="48"/>
      <c r="BA4622" s="48"/>
      <c r="BB4622" s="48"/>
      <c r="BC4622" s="48"/>
      <c r="BD4622" s="48"/>
    </row>
    <row r="4623" spans="1:56">
      <c r="A4623" s="48"/>
      <c r="B4623" s="48"/>
      <c r="C4623" s="49"/>
      <c r="D4623" s="48"/>
      <c r="E4623" s="48"/>
      <c r="F4623" s="48"/>
      <c r="G4623" s="48"/>
      <c r="H4623" s="48"/>
      <c r="I4623" s="48"/>
      <c r="J4623" s="86"/>
      <c r="K4623" s="86"/>
      <c r="L4623" s="86"/>
      <c r="M4623" s="86"/>
      <c r="N4623" s="86"/>
      <c r="O4623" s="86"/>
      <c r="P4623" s="86"/>
      <c r="Q4623" s="86"/>
      <c r="R4623" s="86"/>
      <c r="S4623" s="86"/>
      <c r="T4623" s="86"/>
      <c r="U4623" s="86"/>
      <c r="V4623" s="48"/>
      <c r="W4623" s="48"/>
      <c r="X4623" s="48"/>
      <c r="Y4623" s="48"/>
      <c r="Z4623" s="48"/>
      <c r="AA4623" s="48"/>
      <c r="AB4623" s="48"/>
      <c r="AC4623" s="48"/>
      <c r="AD4623" s="48"/>
      <c r="AE4623" s="48"/>
      <c r="AF4623" s="48"/>
      <c r="AG4623" s="48"/>
      <c r="AH4623" s="48"/>
      <c r="AI4623" s="48"/>
      <c r="AJ4623" s="48"/>
      <c r="AK4623" s="48"/>
      <c r="AL4623" s="48"/>
      <c r="AM4623" s="48"/>
      <c r="AN4623" s="48"/>
      <c r="AO4623" s="48"/>
      <c r="AP4623" s="48"/>
      <c r="AQ4623" s="48"/>
      <c r="AR4623" s="48"/>
      <c r="AS4623" s="48"/>
      <c r="AT4623" s="48"/>
      <c r="AU4623" s="48"/>
      <c r="AV4623" s="48"/>
      <c r="AW4623" s="48"/>
      <c r="AX4623" s="48"/>
      <c r="AY4623" s="48"/>
      <c r="AZ4623" s="48"/>
      <c r="BA4623" s="48"/>
      <c r="BB4623" s="48"/>
      <c r="BC4623" s="48"/>
      <c r="BD4623" s="48"/>
    </row>
    <row r="4624" spans="1:56">
      <c r="A4624" s="48"/>
      <c r="B4624" s="48"/>
      <c r="C4624" s="49"/>
      <c r="D4624" s="48"/>
      <c r="E4624" s="48"/>
      <c r="F4624" s="48"/>
      <c r="G4624" s="48"/>
      <c r="H4624" s="48"/>
      <c r="I4624" s="48"/>
      <c r="J4624" s="86"/>
      <c r="K4624" s="86"/>
      <c r="L4624" s="86"/>
      <c r="M4624" s="86"/>
      <c r="N4624" s="86"/>
      <c r="O4624" s="86"/>
      <c r="P4624" s="86"/>
      <c r="Q4624" s="86"/>
      <c r="R4624" s="86"/>
      <c r="S4624" s="86"/>
      <c r="T4624" s="86"/>
      <c r="U4624" s="86"/>
      <c r="V4624" s="48"/>
      <c r="W4624" s="48"/>
      <c r="X4624" s="48"/>
      <c r="Y4624" s="48"/>
      <c r="Z4624" s="48"/>
      <c r="AA4624" s="48"/>
      <c r="AB4624" s="48"/>
      <c r="AC4624" s="48"/>
      <c r="AD4624" s="48"/>
      <c r="AE4624" s="48"/>
      <c r="AF4624" s="48"/>
      <c r="AG4624" s="48"/>
      <c r="AH4624" s="48"/>
      <c r="AI4624" s="48"/>
      <c r="AJ4624" s="48"/>
      <c r="AK4624" s="48"/>
      <c r="AL4624" s="48"/>
      <c r="AM4624" s="48"/>
      <c r="AN4624" s="48"/>
      <c r="AO4624" s="48"/>
      <c r="AP4624" s="48"/>
      <c r="AQ4624" s="48"/>
      <c r="AR4624" s="48"/>
      <c r="AS4624" s="48"/>
      <c r="AT4624" s="48"/>
      <c r="AU4624" s="48"/>
      <c r="AV4624" s="48"/>
      <c r="AW4624" s="48"/>
      <c r="AX4624" s="48"/>
      <c r="AY4624" s="48"/>
      <c r="AZ4624" s="48"/>
      <c r="BA4624" s="48"/>
      <c r="BB4624" s="48"/>
      <c r="BC4624" s="48"/>
      <c r="BD4624" s="48"/>
    </row>
    <row r="4625" spans="1:56">
      <c r="A4625" s="48"/>
      <c r="B4625" s="48"/>
      <c r="C4625" s="49"/>
      <c r="D4625" s="48"/>
      <c r="E4625" s="48"/>
      <c r="F4625" s="48"/>
      <c r="G4625" s="48"/>
      <c r="H4625" s="48"/>
      <c r="I4625" s="48"/>
      <c r="J4625" s="86"/>
      <c r="K4625" s="86"/>
      <c r="L4625" s="86"/>
      <c r="M4625" s="86"/>
      <c r="N4625" s="86"/>
      <c r="O4625" s="86"/>
      <c r="P4625" s="86"/>
      <c r="Q4625" s="86"/>
      <c r="R4625" s="86"/>
      <c r="S4625" s="86"/>
      <c r="T4625" s="86"/>
      <c r="U4625" s="86"/>
      <c r="V4625" s="48"/>
      <c r="W4625" s="48"/>
      <c r="X4625" s="48"/>
      <c r="Y4625" s="48"/>
      <c r="Z4625" s="48"/>
      <c r="AA4625" s="48"/>
      <c r="AB4625" s="48"/>
      <c r="AC4625" s="48"/>
      <c r="AD4625" s="48"/>
      <c r="AE4625" s="48"/>
      <c r="AF4625" s="48"/>
      <c r="AG4625" s="48"/>
      <c r="AH4625" s="48"/>
      <c r="AI4625" s="48"/>
      <c r="AJ4625" s="48"/>
      <c r="AK4625" s="48"/>
      <c r="AL4625" s="48"/>
      <c r="AM4625" s="48"/>
      <c r="AN4625" s="48"/>
      <c r="AO4625" s="48"/>
      <c r="AP4625" s="48"/>
      <c r="AQ4625" s="48"/>
      <c r="AR4625" s="48"/>
      <c r="AS4625" s="48"/>
      <c r="AT4625" s="48"/>
      <c r="AU4625" s="48"/>
      <c r="AV4625" s="48"/>
      <c r="AW4625" s="48"/>
      <c r="AX4625" s="48"/>
      <c r="AY4625" s="48"/>
      <c r="AZ4625" s="48"/>
      <c r="BA4625" s="48"/>
      <c r="BB4625" s="48"/>
      <c r="BC4625" s="48"/>
      <c r="BD4625" s="48"/>
    </row>
    <row r="4626" spans="1:56">
      <c r="A4626" s="48"/>
      <c r="B4626" s="48"/>
      <c r="C4626" s="49"/>
      <c r="D4626" s="48"/>
      <c r="E4626" s="48"/>
      <c r="F4626" s="48"/>
      <c r="G4626" s="48"/>
      <c r="H4626" s="48"/>
      <c r="I4626" s="48"/>
      <c r="J4626" s="86"/>
      <c r="K4626" s="86"/>
      <c r="L4626" s="86"/>
      <c r="M4626" s="86"/>
      <c r="N4626" s="86"/>
      <c r="O4626" s="86"/>
      <c r="P4626" s="86"/>
      <c r="Q4626" s="86"/>
      <c r="R4626" s="86"/>
      <c r="S4626" s="86"/>
      <c r="T4626" s="86"/>
      <c r="U4626" s="86"/>
      <c r="V4626" s="48"/>
      <c r="W4626" s="48"/>
      <c r="X4626" s="48"/>
      <c r="Y4626" s="48"/>
      <c r="Z4626" s="48"/>
      <c r="AA4626" s="48"/>
      <c r="AB4626" s="48"/>
      <c r="AC4626" s="48"/>
      <c r="AD4626" s="48"/>
      <c r="AE4626" s="48"/>
      <c r="AF4626" s="48"/>
      <c r="AG4626" s="48"/>
      <c r="AH4626" s="48"/>
      <c r="AI4626" s="48"/>
      <c r="AJ4626" s="48"/>
      <c r="AK4626" s="48"/>
      <c r="AL4626" s="48"/>
      <c r="AM4626" s="48"/>
      <c r="AN4626" s="48"/>
      <c r="AO4626" s="48"/>
      <c r="AP4626" s="48"/>
      <c r="AQ4626" s="48"/>
      <c r="AR4626" s="48"/>
      <c r="AS4626" s="48"/>
      <c r="AT4626" s="48"/>
      <c r="AU4626" s="48"/>
      <c r="AV4626" s="48"/>
      <c r="AW4626" s="48"/>
      <c r="AX4626" s="48"/>
      <c r="AY4626" s="48"/>
      <c r="AZ4626" s="48"/>
      <c r="BA4626" s="48"/>
      <c r="BB4626" s="48"/>
      <c r="BC4626" s="48"/>
      <c r="BD4626" s="48"/>
    </row>
    <row r="4627" spans="1:56">
      <c r="A4627" s="48"/>
      <c r="B4627" s="48"/>
      <c r="C4627" s="49"/>
      <c r="D4627" s="48"/>
      <c r="E4627" s="48"/>
      <c r="F4627" s="48"/>
      <c r="G4627" s="48"/>
      <c r="H4627" s="48"/>
      <c r="I4627" s="48"/>
      <c r="J4627" s="86"/>
      <c r="K4627" s="86"/>
      <c r="L4627" s="86"/>
      <c r="M4627" s="86"/>
      <c r="N4627" s="86"/>
      <c r="O4627" s="86"/>
      <c r="P4627" s="86"/>
      <c r="Q4627" s="86"/>
      <c r="R4627" s="86"/>
      <c r="S4627" s="86"/>
      <c r="T4627" s="86"/>
      <c r="U4627" s="86"/>
      <c r="V4627" s="48"/>
      <c r="W4627" s="48"/>
      <c r="X4627" s="48"/>
      <c r="Y4627" s="48"/>
      <c r="Z4627" s="48"/>
      <c r="AA4627" s="48"/>
      <c r="AB4627" s="48"/>
      <c r="AC4627" s="48"/>
      <c r="AD4627" s="48"/>
      <c r="AE4627" s="48"/>
      <c r="AF4627" s="48"/>
      <c r="AG4627" s="48"/>
      <c r="AH4627" s="48"/>
      <c r="AI4627" s="48"/>
      <c r="AJ4627" s="48"/>
      <c r="AK4627" s="48"/>
      <c r="AL4627" s="48"/>
      <c r="AM4627" s="48"/>
      <c r="AN4627" s="48"/>
      <c r="AO4627" s="48"/>
      <c r="AP4627" s="48"/>
      <c r="AQ4627" s="48"/>
      <c r="AR4627" s="48"/>
      <c r="AS4627" s="48"/>
      <c r="AT4627" s="48"/>
      <c r="AU4627" s="48"/>
      <c r="AV4627" s="48"/>
      <c r="AW4627" s="48"/>
      <c r="AX4627" s="48"/>
      <c r="AY4627" s="48"/>
      <c r="AZ4627" s="48"/>
      <c r="BA4627" s="48"/>
      <c r="BB4627" s="48"/>
      <c r="BC4627" s="48"/>
      <c r="BD4627" s="48"/>
    </row>
    <row r="4628" spans="1:56">
      <c r="A4628" s="48"/>
      <c r="B4628" s="48"/>
      <c r="C4628" s="49"/>
      <c r="D4628" s="48"/>
      <c r="E4628" s="48"/>
      <c r="F4628" s="48"/>
      <c r="G4628" s="48"/>
      <c r="H4628" s="48"/>
      <c r="I4628" s="48"/>
      <c r="J4628" s="86"/>
      <c r="K4628" s="86"/>
      <c r="L4628" s="86"/>
      <c r="M4628" s="86"/>
      <c r="N4628" s="86"/>
      <c r="O4628" s="86"/>
      <c r="P4628" s="86"/>
      <c r="Q4628" s="86"/>
      <c r="R4628" s="86"/>
      <c r="S4628" s="86"/>
      <c r="T4628" s="86"/>
      <c r="U4628" s="86"/>
      <c r="V4628" s="48"/>
      <c r="W4628" s="48"/>
      <c r="X4628" s="48"/>
      <c r="Y4628" s="48"/>
      <c r="Z4628" s="48"/>
      <c r="AA4628" s="48"/>
      <c r="AB4628" s="48"/>
      <c r="AC4628" s="48"/>
      <c r="AD4628" s="48"/>
      <c r="AE4628" s="48"/>
      <c r="AF4628" s="48"/>
      <c r="AG4628" s="48"/>
      <c r="AH4628" s="48"/>
      <c r="AI4628" s="48"/>
      <c r="AJ4628" s="48"/>
      <c r="AK4628" s="48"/>
      <c r="AL4628" s="48"/>
      <c r="AM4628" s="48"/>
      <c r="AN4628" s="48"/>
      <c r="AO4628" s="48"/>
      <c r="AP4628" s="48"/>
      <c r="AQ4628" s="48"/>
      <c r="AR4628" s="48"/>
      <c r="AS4628" s="48"/>
      <c r="AT4628" s="48"/>
      <c r="AU4628" s="48"/>
      <c r="AV4628" s="48"/>
      <c r="AW4628" s="48"/>
      <c r="AX4628" s="48"/>
      <c r="AY4628" s="48"/>
      <c r="AZ4628" s="48"/>
      <c r="BA4628" s="48"/>
      <c r="BB4628" s="48"/>
      <c r="BC4628" s="48"/>
      <c r="BD4628" s="48"/>
    </row>
    <row r="4629" spans="1:56">
      <c r="A4629" s="48"/>
      <c r="B4629" s="48"/>
      <c r="C4629" s="49"/>
      <c r="D4629" s="48"/>
      <c r="E4629" s="48"/>
      <c r="F4629" s="48"/>
      <c r="G4629" s="48"/>
      <c r="H4629" s="48"/>
      <c r="I4629" s="48"/>
      <c r="J4629" s="86"/>
      <c r="K4629" s="86"/>
      <c r="L4629" s="86"/>
      <c r="M4629" s="86"/>
      <c r="N4629" s="86"/>
      <c r="O4629" s="86"/>
      <c r="P4629" s="86"/>
      <c r="Q4629" s="86"/>
      <c r="R4629" s="86"/>
      <c r="S4629" s="86"/>
      <c r="T4629" s="86"/>
      <c r="U4629" s="86"/>
      <c r="V4629" s="48"/>
      <c r="W4629" s="48"/>
      <c r="X4629" s="48"/>
      <c r="Y4629" s="48"/>
      <c r="Z4629" s="48"/>
      <c r="AA4629" s="48"/>
      <c r="AB4629" s="48"/>
      <c r="AC4629" s="48"/>
      <c r="AD4629" s="48"/>
      <c r="AE4629" s="48"/>
      <c r="AF4629" s="48"/>
      <c r="AG4629" s="48"/>
      <c r="AH4629" s="48"/>
      <c r="AI4629" s="48"/>
      <c r="AJ4629" s="48"/>
      <c r="AK4629" s="48"/>
      <c r="AL4629" s="48"/>
      <c r="AM4629" s="48"/>
      <c r="AN4629" s="48"/>
      <c r="AO4629" s="48"/>
      <c r="AP4629" s="48"/>
      <c r="AQ4629" s="48"/>
      <c r="AR4629" s="48"/>
      <c r="AS4629" s="48"/>
      <c r="AT4629" s="48"/>
      <c r="AU4629" s="48"/>
      <c r="AV4629" s="48"/>
      <c r="AW4629" s="48"/>
      <c r="AX4629" s="48"/>
      <c r="AY4629" s="48"/>
      <c r="AZ4629" s="48"/>
      <c r="BA4629" s="48"/>
      <c r="BB4629" s="48"/>
      <c r="BC4629" s="48"/>
      <c r="BD4629" s="48"/>
    </row>
    <row r="4630" spans="1:56">
      <c r="A4630" s="48"/>
      <c r="B4630" s="48"/>
      <c r="C4630" s="49"/>
      <c r="D4630" s="48"/>
      <c r="E4630" s="48"/>
      <c r="F4630" s="48"/>
      <c r="G4630" s="48"/>
      <c r="H4630" s="48"/>
      <c r="I4630" s="48"/>
      <c r="J4630" s="86"/>
      <c r="K4630" s="86"/>
      <c r="L4630" s="86"/>
      <c r="M4630" s="86"/>
      <c r="N4630" s="86"/>
      <c r="O4630" s="86"/>
      <c r="P4630" s="86"/>
      <c r="Q4630" s="86"/>
      <c r="R4630" s="86"/>
      <c r="S4630" s="86"/>
      <c r="T4630" s="86"/>
      <c r="U4630" s="86"/>
      <c r="V4630" s="48"/>
      <c r="W4630" s="48"/>
      <c r="X4630" s="48"/>
      <c r="Y4630" s="48"/>
      <c r="Z4630" s="48"/>
      <c r="AA4630" s="48"/>
      <c r="AB4630" s="48"/>
      <c r="AC4630" s="48"/>
      <c r="AD4630" s="48"/>
      <c r="AE4630" s="48"/>
      <c r="AF4630" s="48"/>
      <c r="AG4630" s="48"/>
      <c r="AH4630" s="48"/>
      <c r="AI4630" s="48"/>
      <c r="AJ4630" s="48"/>
      <c r="AK4630" s="48"/>
      <c r="AL4630" s="48"/>
      <c r="AM4630" s="48"/>
      <c r="AN4630" s="48"/>
      <c r="AO4630" s="48"/>
      <c r="AP4630" s="48"/>
      <c r="AQ4630" s="48"/>
      <c r="AR4630" s="48"/>
      <c r="AS4630" s="48"/>
      <c r="AT4630" s="48"/>
      <c r="AU4630" s="48"/>
      <c r="AV4630" s="48"/>
      <c r="AW4630" s="48"/>
      <c r="AX4630" s="48"/>
      <c r="AY4630" s="48"/>
      <c r="AZ4630" s="48"/>
      <c r="BA4630" s="48"/>
      <c r="BB4630" s="48"/>
      <c r="BC4630" s="48"/>
      <c r="BD4630" s="48"/>
    </row>
    <row r="4631" spans="1:56">
      <c r="A4631" s="48"/>
      <c r="B4631" s="48"/>
      <c r="C4631" s="49"/>
      <c r="D4631" s="48"/>
      <c r="E4631" s="48"/>
      <c r="F4631" s="48"/>
      <c r="G4631" s="48"/>
      <c r="H4631" s="48"/>
      <c r="I4631" s="48"/>
      <c r="J4631" s="86"/>
      <c r="K4631" s="86"/>
      <c r="L4631" s="86"/>
      <c r="M4631" s="86"/>
      <c r="N4631" s="86"/>
      <c r="O4631" s="86"/>
      <c r="P4631" s="86"/>
      <c r="Q4631" s="86"/>
      <c r="R4631" s="86"/>
      <c r="S4631" s="86"/>
      <c r="T4631" s="86"/>
      <c r="U4631" s="86"/>
      <c r="V4631" s="48"/>
      <c r="W4631" s="48"/>
      <c r="X4631" s="48"/>
      <c r="Y4631" s="48"/>
      <c r="Z4631" s="48"/>
      <c r="AA4631" s="48"/>
      <c r="AB4631" s="48"/>
      <c r="AC4631" s="48"/>
      <c r="AD4631" s="48"/>
      <c r="AE4631" s="48"/>
      <c r="AF4631" s="48"/>
      <c r="AG4631" s="48"/>
      <c r="AH4631" s="48"/>
      <c r="AI4631" s="48"/>
      <c r="AJ4631" s="48"/>
      <c r="AK4631" s="48"/>
      <c r="AL4631" s="48"/>
      <c r="AM4631" s="48"/>
      <c r="AN4631" s="48"/>
      <c r="AO4631" s="48"/>
      <c r="AP4631" s="48"/>
      <c r="AQ4631" s="48"/>
      <c r="AR4631" s="48"/>
      <c r="AS4631" s="48"/>
      <c r="AT4631" s="48"/>
      <c r="AU4631" s="48"/>
      <c r="AV4631" s="48"/>
      <c r="AW4631" s="48"/>
      <c r="AX4631" s="48"/>
      <c r="AY4631" s="48"/>
      <c r="AZ4631" s="48"/>
      <c r="BA4631" s="48"/>
      <c r="BB4631" s="48"/>
      <c r="BC4631" s="48"/>
      <c r="BD4631" s="48"/>
    </row>
    <row r="4632" spans="1:56">
      <c r="A4632" s="48"/>
      <c r="B4632" s="48"/>
      <c r="C4632" s="49"/>
      <c r="D4632" s="48"/>
      <c r="E4632" s="48"/>
      <c r="F4632" s="48"/>
      <c r="G4632" s="48"/>
      <c r="H4632" s="48"/>
      <c r="I4632" s="48"/>
      <c r="J4632" s="86"/>
      <c r="K4632" s="86"/>
      <c r="L4632" s="86"/>
      <c r="M4632" s="86"/>
      <c r="N4632" s="86"/>
      <c r="O4632" s="86"/>
      <c r="P4632" s="86"/>
      <c r="Q4632" s="86"/>
      <c r="R4632" s="86"/>
      <c r="S4632" s="86"/>
      <c r="T4632" s="86"/>
      <c r="U4632" s="86"/>
      <c r="V4632" s="48"/>
      <c r="W4632" s="48"/>
      <c r="X4632" s="48"/>
      <c r="Y4632" s="48"/>
      <c r="Z4632" s="48"/>
      <c r="AA4632" s="48"/>
      <c r="AB4632" s="48"/>
      <c r="AC4632" s="48"/>
      <c r="AD4632" s="48"/>
      <c r="AE4632" s="48"/>
      <c r="AF4632" s="48"/>
      <c r="AG4632" s="48"/>
      <c r="AH4632" s="48"/>
      <c r="AI4632" s="48"/>
      <c r="AJ4632" s="48"/>
      <c r="AK4632" s="48"/>
      <c r="AL4632" s="48"/>
      <c r="AM4632" s="48"/>
      <c r="AN4632" s="48"/>
      <c r="AO4632" s="48"/>
      <c r="AP4632" s="48"/>
      <c r="AQ4632" s="48"/>
      <c r="AR4632" s="48"/>
      <c r="AS4632" s="48"/>
      <c r="AT4632" s="48"/>
      <c r="AU4632" s="48"/>
      <c r="AV4632" s="48"/>
      <c r="AW4632" s="48"/>
      <c r="AX4632" s="48"/>
      <c r="AY4632" s="48"/>
      <c r="AZ4632" s="48"/>
      <c r="BA4632" s="48"/>
      <c r="BB4632" s="48"/>
      <c r="BC4632" s="48"/>
      <c r="BD4632" s="48"/>
    </row>
    <row r="4633" spans="1:56">
      <c r="A4633" s="48"/>
      <c r="B4633" s="48"/>
      <c r="C4633" s="49"/>
      <c r="D4633" s="48"/>
      <c r="E4633" s="48"/>
      <c r="F4633" s="48"/>
      <c r="G4633" s="48"/>
      <c r="H4633" s="48"/>
      <c r="I4633" s="48"/>
      <c r="J4633" s="86"/>
      <c r="K4633" s="86"/>
      <c r="L4633" s="86"/>
      <c r="M4633" s="86"/>
      <c r="N4633" s="86"/>
      <c r="O4633" s="86"/>
      <c r="P4633" s="86"/>
      <c r="Q4633" s="86"/>
      <c r="R4633" s="86"/>
      <c r="S4633" s="86"/>
      <c r="T4633" s="86"/>
      <c r="U4633" s="86"/>
      <c r="V4633" s="48"/>
      <c r="W4633" s="48"/>
      <c r="X4633" s="48"/>
      <c r="Y4633" s="48"/>
      <c r="Z4633" s="48"/>
      <c r="AA4633" s="48"/>
      <c r="AB4633" s="48"/>
      <c r="AC4633" s="48"/>
      <c r="AD4633" s="48"/>
      <c r="AE4633" s="48"/>
      <c r="AF4633" s="48"/>
      <c r="AG4633" s="48"/>
      <c r="AH4633" s="48"/>
      <c r="AI4633" s="48"/>
      <c r="AJ4633" s="48"/>
      <c r="AK4633" s="48"/>
      <c r="AL4633" s="48"/>
      <c r="AM4633" s="48"/>
      <c r="AN4633" s="48"/>
      <c r="AO4633" s="48"/>
      <c r="AP4633" s="48"/>
      <c r="AQ4633" s="48"/>
      <c r="AR4633" s="48"/>
      <c r="AS4633" s="48"/>
      <c r="AT4633" s="48"/>
      <c r="AU4633" s="48"/>
      <c r="AV4633" s="48"/>
      <c r="AW4633" s="48"/>
      <c r="AX4633" s="48"/>
      <c r="AY4633" s="48"/>
      <c r="AZ4633" s="48"/>
      <c r="BA4633" s="48"/>
      <c r="BB4633" s="48"/>
      <c r="BC4633" s="48"/>
      <c r="BD4633" s="48"/>
    </row>
    <row r="4634" spans="1:56">
      <c r="A4634" s="48"/>
      <c r="B4634" s="48"/>
      <c r="C4634" s="49"/>
      <c r="D4634" s="48"/>
      <c r="E4634" s="48"/>
      <c r="F4634" s="48"/>
      <c r="G4634" s="48"/>
      <c r="H4634" s="48"/>
      <c r="I4634" s="48"/>
      <c r="J4634" s="86"/>
      <c r="K4634" s="86"/>
      <c r="L4634" s="86"/>
      <c r="M4634" s="86"/>
      <c r="N4634" s="86"/>
      <c r="O4634" s="86"/>
      <c r="P4634" s="86"/>
      <c r="Q4634" s="86"/>
      <c r="R4634" s="86"/>
      <c r="S4634" s="86"/>
      <c r="T4634" s="86"/>
      <c r="U4634" s="86"/>
      <c r="V4634" s="48"/>
      <c r="W4634" s="48"/>
      <c r="X4634" s="48"/>
      <c r="Y4634" s="48"/>
      <c r="Z4634" s="48"/>
      <c r="AA4634" s="48"/>
      <c r="AB4634" s="48"/>
      <c r="AC4634" s="48"/>
      <c r="AD4634" s="48"/>
      <c r="AE4634" s="48"/>
      <c r="AF4634" s="48"/>
      <c r="AG4634" s="48"/>
      <c r="AH4634" s="48"/>
      <c r="AI4634" s="48"/>
      <c r="AJ4634" s="48"/>
      <c r="AK4634" s="48"/>
      <c r="AL4634" s="48"/>
      <c r="AM4634" s="48"/>
      <c r="AN4634" s="48"/>
      <c r="AO4634" s="48"/>
      <c r="AP4634" s="48"/>
      <c r="AQ4634" s="48"/>
      <c r="AR4634" s="48"/>
      <c r="AS4634" s="48"/>
      <c r="AT4634" s="48"/>
      <c r="AU4634" s="48"/>
      <c r="AV4634" s="48"/>
      <c r="AW4634" s="48"/>
      <c r="AX4634" s="48"/>
      <c r="AY4634" s="48"/>
      <c r="AZ4634" s="48"/>
      <c r="BA4634" s="48"/>
      <c r="BB4634" s="48"/>
      <c r="BC4634" s="48"/>
      <c r="BD4634" s="48"/>
    </row>
    <row r="4635" spans="1:56">
      <c r="A4635" s="48"/>
      <c r="B4635" s="48"/>
      <c r="C4635" s="49"/>
      <c r="D4635" s="48"/>
      <c r="E4635" s="48"/>
      <c r="F4635" s="48"/>
      <c r="G4635" s="48"/>
      <c r="H4635" s="48"/>
      <c r="I4635" s="48"/>
      <c r="J4635" s="86"/>
      <c r="K4635" s="86"/>
      <c r="L4635" s="86"/>
      <c r="M4635" s="86"/>
      <c r="N4635" s="86"/>
      <c r="O4635" s="86"/>
      <c r="P4635" s="86"/>
      <c r="Q4635" s="86"/>
      <c r="R4635" s="86"/>
      <c r="S4635" s="86"/>
      <c r="T4635" s="86"/>
      <c r="U4635" s="86"/>
      <c r="V4635" s="48"/>
      <c r="W4635" s="48"/>
      <c r="X4635" s="48"/>
      <c r="Y4635" s="48"/>
      <c r="Z4635" s="48"/>
      <c r="AA4635" s="48"/>
      <c r="AB4635" s="48"/>
      <c r="AC4635" s="48"/>
      <c r="AD4635" s="48"/>
      <c r="AE4635" s="48"/>
      <c r="AF4635" s="48"/>
      <c r="AG4635" s="48"/>
      <c r="AH4635" s="48"/>
      <c r="AI4635" s="48"/>
      <c r="AJ4635" s="48"/>
      <c r="AK4635" s="48"/>
      <c r="AL4635" s="48"/>
      <c r="AM4635" s="48"/>
      <c r="AN4635" s="48"/>
      <c r="AO4635" s="48"/>
      <c r="AP4635" s="48"/>
      <c r="AQ4635" s="48"/>
      <c r="AR4635" s="48"/>
      <c r="AS4635" s="48"/>
      <c r="AT4635" s="48"/>
      <c r="AU4635" s="48"/>
      <c r="AV4635" s="48"/>
      <c r="AW4635" s="48"/>
      <c r="AX4635" s="48"/>
      <c r="AY4635" s="48"/>
      <c r="AZ4635" s="48"/>
      <c r="BA4635" s="48"/>
      <c r="BB4635" s="48"/>
      <c r="BC4635" s="48"/>
      <c r="BD4635" s="48"/>
    </row>
    <row r="4636" spans="1:56">
      <c r="A4636" s="48"/>
      <c r="B4636" s="48"/>
      <c r="C4636" s="49"/>
      <c r="D4636" s="48"/>
      <c r="E4636" s="48"/>
      <c r="F4636" s="48"/>
      <c r="G4636" s="48"/>
      <c r="H4636" s="48"/>
      <c r="I4636" s="48"/>
      <c r="J4636" s="86"/>
      <c r="K4636" s="86"/>
      <c r="L4636" s="86"/>
      <c r="M4636" s="86"/>
      <c r="N4636" s="86"/>
      <c r="O4636" s="86"/>
      <c r="P4636" s="86"/>
      <c r="Q4636" s="86"/>
      <c r="R4636" s="86"/>
      <c r="S4636" s="86"/>
      <c r="T4636" s="86"/>
      <c r="U4636" s="86"/>
      <c r="V4636" s="48"/>
      <c r="W4636" s="48"/>
      <c r="X4636" s="48"/>
      <c r="Y4636" s="48"/>
      <c r="Z4636" s="48"/>
      <c r="AA4636" s="48"/>
      <c r="AB4636" s="48"/>
      <c r="AC4636" s="48"/>
      <c r="AD4636" s="48"/>
      <c r="AE4636" s="48"/>
      <c r="AF4636" s="48"/>
      <c r="AG4636" s="48"/>
      <c r="AH4636" s="48"/>
      <c r="AI4636" s="48"/>
      <c r="AJ4636" s="48"/>
      <c r="AK4636" s="48"/>
      <c r="AL4636" s="48"/>
      <c r="AM4636" s="48"/>
      <c r="AN4636" s="48"/>
      <c r="AO4636" s="48"/>
      <c r="AP4636" s="48"/>
      <c r="AQ4636" s="48"/>
      <c r="AR4636" s="48"/>
      <c r="AS4636" s="48"/>
      <c r="AT4636" s="48"/>
      <c r="AU4636" s="48"/>
      <c r="AV4636" s="48"/>
      <c r="AW4636" s="48"/>
      <c r="AX4636" s="48"/>
      <c r="AY4636" s="48"/>
      <c r="AZ4636" s="48"/>
      <c r="BA4636" s="48"/>
      <c r="BB4636" s="48"/>
      <c r="BC4636" s="48"/>
      <c r="BD4636" s="48"/>
    </row>
    <row r="4637" spans="1:56">
      <c r="A4637" s="48"/>
      <c r="B4637" s="48"/>
      <c r="C4637" s="49"/>
      <c r="D4637" s="48"/>
      <c r="E4637" s="48"/>
      <c r="F4637" s="48"/>
      <c r="G4637" s="48"/>
      <c r="H4637" s="48"/>
      <c r="I4637" s="48"/>
      <c r="J4637" s="86"/>
      <c r="K4637" s="86"/>
      <c r="L4637" s="86"/>
      <c r="M4637" s="86"/>
      <c r="N4637" s="86"/>
      <c r="O4637" s="86"/>
      <c r="P4637" s="86"/>
      <c r="Q4637" s="86"/>
      <c r="R4637" s="86"/>
      <c r="S4637" s="86"/>
      <c r="T4637" s="86"/>
      <c r="U4637" s="86"/>
      <c r="V4637" s="48"/>
      <c r="W4637" s="48"/>
      <c r="X4637" s="48"/>
      <c r="Y4637" s="48"/>
      <c r="Z4637" s="48"/>
      <c r="AA4637" s="48"/>
      <c r="AB4637" s="48"/>
      <c r="AC4637" s="48"/>
      <c r="AD4637" s="48"/>
      <c r="AE4637" s="48"/>
      <c r="AF4637" s="48"/>
      <c r="AG4637" s="48"/>
      <c r="AH4637" s="48"/>
      <c r="AI4637" s="48"/>
      <c r="AJ4637" s="48"/>
      <c r="AK4637" s="48"/>
      <c r="AL4637" s="48"/>
      <c r="AM4637" s="48"/>
      <c r="AN4637" s="48"/>
      <c r="AO4637" s="48"/>
      <c r="AP4637" s="48"/>
      <c r="AQ4637" s="48"/>
      <c r="AR4637" s="48"/>
      <c r="AS4637" s="48"/>
      <c r="AT4637" s="48"/>
      <c r="AU4637" s="48"/>
      <c r="AV4637" s="48"/>
      <c r="AW4637" s="48"/>
      <c r="AX4637" s="48"/>
      <c r="AY4637" s="48"/>
      <c r="AZ4637" s="48"/>
      <c r="BA4637" s="48"/>
      <c r="BB4637" s="48"/>
      <c r="BC4637" s="48"/>
      <c r="BD4637" s="48"/>
    </row>
    <row r="4638" spans="1:56">
      <c r="A4638" s="48"/>
      <c r="B4638" s="48"/>
      <c r="C4638" s="49"/>
      <c r="D4638" s="48"/>
      <c r="E4638" s="48"/>
      <c r="F4638" s="48"/>
      <c r="G4638" s="48"/>
      <c r="H4638" s="48"/>
      <c r="I4638" s="48"/>
      <c r="J4638" s="86"/>
      <c r="K4638" s="86"/>
      <c r="L4638" s="86"/>
      <c r="M4638" s="86"/>
      <c r="N4638" s="86"/>
      <c r="O4638" s="86"/>
      <c r="P4638" s="86"/>
      <c r="Q4638" s="86"/>
      <c r="R4638" s="86"/>
      <c r="S4638" s="86"/>
      <c r="T4638" s="86"/>
      <c r="U4638" s="86"/>
      <c r="V4638" s="48"/>
      <c r="W4638" s="48"/>
      <c r="X4638" s="48"/>
      <c r="Y4638" s="48"/>
      <c r="Z4638" s="48"/>
      <c r="AA4638" s="48"/>
      <c r="AB4638" s="48"/>
      <c r="AC4638" s="48"/>
      <c r="AD4638" s="48"/>
      <c r="AE4638" s="48"/>
      <c r="AF4638" s="48"/>
      <c r="AG4638" s="48"/>
      <c r="AH4638" s="48"/>
      <c r="AI4638" s="48"/>
      <c r="AJ4638" s="48"/>
      <c r="AK4638" s="48"/>
      <c r="AL4638" s="48"/>
      <c r="AM4638" s="48"/>
      <c r="AN4638" s="48"/>
      <c r="AO4638" s="48"/>
      <c r="AP4638" s="48"/>
      <c r="AQ4638" s="48"/>
      <c r="AR4638" s="48"/>
      <c r="AS4638" s="48"/>
      <c r="AT4638" s="48"/>
      <c r="AU4638" s="48"/>
      <c r="AV4638" s="48"/>
      <c r="AW4638" s="48"/>
      <c r="AX4638" s="48"/>
      <c r="AY4638" s="48"/>
      <c r="AZ4638" s="48"/>
      <c r="BA4638" s="48"/>
      <c r="BB4638" s="48"/>
      <c r="BC4638" s="48"/>
      <c r="BD4638" s="48"/>
    </row>
    <row r="4639" spans="1:56">
      <c r="A4639" s="48"/>
      <c r="B4639" s="48"/>
      <c r="C4639" s="49"/>
      <c r="D4639" s="48"/>
      <c r="E4639" s="48"/>
      <c r="F4639" s="48"/>
      <c r="G4639" s="48"/>
      <c r="H4639" s="48"/>
      <c r="I4639" s="48"/>
      <c r="J4639" s="86"/>
      <c r="K4639" s="86"/>
      <c r="L4639" s="86"/>
      <c r="M4639" s="86"/>
      <c r="N4639" s="86"/>
      <c r="O4639" s="86"/>
      <c r="P4639" s="86"/>
      <c r="Q4639" s="86"/>
      <c r="R4639" s="86"/>
      <c r="S4639" s="86"/>
      <c r="T4639" s="86"/>
      <c r="U4639" s="86"/>
      <c r="V4639" s="48"/>
      <c r="W4639" s="48"/>
      <c r="X4639" s="48"/>
      <c r="Y4639" s="48"/>
      <c r="Z4639" s="48"/>
      <c r="AA4639" s="48"/>
      <c r="AB4639" s="48"/>
      <c r="AC4639" s="48"/>
      <c r="AD4639" s="48"/>
      <c r="AE4639" s="48"/>
      <c r="AF4639" s="48"/>
      <c r="AG4639" s="48"/>
      <c r="AH4639" s="48"/>
      <c r="AI4639" s="48"/>
      <c r="AJ4639" s="48"/>
      <c r="AK4639" s="48"/>
      <c r="AL4639" s="48"/>
      <c r="AM4639" s="48"/>
      <c r="AN4639" s="48"/>
      <c r="AO4639" s="48"/>
      <c r="AP4639" s="48"/>
      <c r="AQ4639" s="48"/>
      <c r="AR4639" s="48"/>
      <c r="AS4639" s="48"/>
      <c r="AT4639" s="48"/>
      <c r="AU4639" s="48"/>
      <c r="AV4639" s="48"/>
      <c r="AW4639" s="48"/>
      <c r="AX4639" s="48"/>
      <c r="AY4639" s="48"/>
      <c r="AZ4639" s="48"/>
      <c r="BA4639" s="48"/>
      <c r="BB4639" s="48"/>
      <c r="BC4639" s="48"/>
      <c r="BD4639" s="48"/>
    </row>
    <row r="4640" spans="1:56">
      <c r="A4640" s="48"/>
      <c r="B4640" s="48"/>
      <c r="C4640" s="49"/>
      <c r="D4640" s="48"/>
      <c r="E4640" s="48"/>
      <c r="F4640" s="48"/>
      <c r="G4640" s="48"/>
      <c r="H4640" s="48"/>
      <c r="I4640" s="48"/>
      <c r="J4640" s="86"/>
      <c r="K4640" s="86"/>
      <c r="L4640" s="86"/>
      <c r="M4640" s="86"/>
      <c r="N4640" s="86"/>
      <c r="O4640" s="86"/>
      <c r="P4640" s="86"/>
      <c r="Q4640" s="86"/>
      <c r="R4640" s="86"/>
      <c r="S4640" s="86"/>
      <c r="T4640" s="86"/>
      <c r="U4640" s="86"/>
      <c r="V4640" s="48"/>
      <c r="W4640" s="48"/>
      <c r="X4640" s="48"/>
      <c r="Y4640" s="48"/>
      <c r="Z4640" s="48"/>
      <c r="AA4640" s="48"/>
      <c r="AB4640" s="48"/>
      <c r="AC4640" s="48"/>
      <c r="AD4640" s="48"/>
      <c r="AE4640" s="48"/>
      <c r="AF4640" s="48"/>
      <c r="AG4640" s="48"/>
      <c r="AH4640" s="48"/>
      <c r="AI4640" s="48"/>
      <c r="AJ4640" s="48"/>
      <c r="AK4640" s="48"/>
      <c r="AL4640" s="48"/>
      <c r="AM4640" s="48"/>
      <c r="AN4640" s="48"/>
      <c r="AO4640" s="48"/>
      <c r="AP4640" s="48"/>
      <c r="AQ4640" s="48"/>
      <c r="AR4640" s="48"/>
      <c r="AS4640" s="48"/>
      <c r="AT4640" s="48"/>
      <c r="AU4640" s="48"/>
      <c r="AV4640" s="48"/>
      <c r="AW4640" s="48"/>
      <c r="AX4640" s="48"/>
      <c r="AY4640" s="48"/>
      <c r="AZ4640" s="48"/>
      <c r="BA4640" s="48"/>
      <c r="BB4640" s="48"/>
      <c r="BC4640" s="48"/>
      <c r="BD4640" s="48"/>
    </row>
    <row r="4641" spans="1:56">
      <c r="A4641" s="48"/>
      <c r="B4641" s="48"/>
      <c r="C4641" s="49"/>
      <c r="D4641" s="48"/>
      <c r="E4641" s="48"/>
      <c r="F4641" s="48"/>
      <c r="G4641" s="48"/>
      <c r="H4641" s="48"/>
      <c r="I4641" s="48"/>
      <c r="J4641" s="86"/>
      <c r="K4641" s="86"/>
      <c r="L4641" s="86"/>
      <c r="M4641" s="86"/>
      <c r="N4641" s="86"/>
      <c r="O4641" s="86"/>
      <c r="P4641" s="86"/>
      <c r="Q4641" s="86"/>
      <c r="R4641" s="86"/>
      <c r="S4641" s="86"/>
      <c r="T4641" s="86"/>
      <c r="U4641" s="86"/>
      <c r="V4641" s="48"/>
      <c r="W4641" s="48"/>
      <c r="X4641" s="48"/>
      <c r="Y4641" s="48"/>
      <c r="Z4641" s="48"/>
      <c r="AA4641" s="48"/>
      <c r="AB4641" s="48"/>
      <c r="AC4641" s="48"/>
      <c r="AD4641" s="48"/>
      <c r="AE4641" s="48"/>
      <c r="AF4641" s="48"/>
      <c r="AG4641" s="48"/>
      <c r="AH4641" s="48"/>
      <c r="AI4641" s="48"/>
      <c r="AJ4641" s="48"/>
      <c r="AK4641" s="48"/>
      <c r="AL4641" s="48"/>
      <c r="AM4641" s="48"/>
      <c r="AN4641" s="48"/>
      <c r="AO4641" s="48"/>
      <c r="AP4641" s="48"/>
      <c r="AQ4641" s="48"/>
      <c r="AR4641" s="48"/>
      <c r="AS4641" s="48"/>
      <c r="AT4641" s="48"/>
      <c r="AU4641" s="48"/>
      <c r="AV4641" s="48"/>
      <c r="AW4641" s="48"/>
      <c r="AX4641" s="48"/>
      <c r="AY4641" s="48"/>
      <c r="AZ4641" s="48"/>
      <c r="BA4641" s="48"/>
      <c r="BB4641" s="48"/>
      <c r="BC4641" s="48"/>
      <c r="BD4641" s="48"/>
    </row>
    <row r="4642" spans="1:56">
      <c r="A4642" s="48"/>
      <c r="B4642" s="48"/>
      <c r="C4642" s="49"/>
      <c r="D4642" s="48"/>
      <c r="E4642" s="48"/>
      <c r="F4642" s="48"/>
      <c r="G4642" s="48"/>
      <c r="H4642" s="48"/>
      <c r="I4642" s="48"/>
      <c r="J4642" s="86"/>
      <c r="K4642" s="86"/>
      <c r="L4642" s="86"/>
      <c r="M4642" s="86"/>
      <c r="N4642" s="86"/>
      <c r="O4642" s="86"/>
      <c r="P4642" s="86"/>
      <c r="Q4642" s="86"/>
      <c r="R4642" s="86"/>
      <c r="S4642" s="86"/>
      <c r="T4642" s="86"/>
      <c r="U4642" s="86"/>
      <c r="V4642" s="48"/>
      <c r="W4642" s="48"/>
      <c r="X4642" s="48"/>
      <c r="Y4642" s="48"/>
      <c r="Z4642" s="48"/>
      <c r="AA4642" s="48"/>
      <c r="AB4642" s="48"/>
      <c r="AC4642" s="48"/>
      <c r="AD4642" s="48"/>
      <c r="AE4642" s="48"/>
      <c r="AF4642" s="48"/>
      <c r="AG4642" s="48"/>
      <c r="AH4642" s="48"/>
      <c r="AI4642" s="48"/>
      <c r="AJ4642" s="48"/>
      <c r="AK4642" s="48"/>
      <c r="AL4642" s="48"/>
      <c r="AM4642" s="48"/>
      <c r="AN4642" s="48"/>
      <c r="AO4642" s="48"/>
      <c r="AP4642" s="48"/>
      <c r="AQ4642" s="48"/>
      <c r="AR4642" s="48"/>
      <c r="AS4642" s="48"/>
      <c r="AT4642" s="48"/>
      <c r="AU4642" s="48"/>
      <c r="AV4642" s="48"/>
      <c r="AW4642" s="48"/>
      <c r="AX4642" s="48"/>
      <c r="AY4642" s="48"/>
      <c r="AZ4642" s="48"/>
      <c r="BA4642" s="48"/>
      <c r="BB4642" s="48"/>
      <c r="BC4642" s="48"/>
      <c r="BD4642" s="48"/>
    </row>
    <row r="4643" spans="1:56">
      <c r="A4643" s="48"/>
      <c r="B4643" s="48"/>
      <c r="C4643" s="49"/>
      <c r="D4643" s="48"/>
      <c r="E4643" s="48"/>
      <c r="F4643" s="48"/>
      <c r="G4643" s="48"/>
      <c r="H4643" s="48"/>
      <c r="I4643" s="48"/>
      <c r="J4643" s="86"/>
      <c r="K4643" s="86"/>
      <c r="L4643" s="86"/>
      <c r="M4643" s="86"/>
      <c r="N4643" s="86"/>
      <c r="O4643" s="86"/>
      <c r="P4643" s="86"/>
      <c r="Q4643" s="86"/>
      <c r="R4643" s="86"/>
      <c r="S4643" s="86"/>
      <c r="T4643" s="86"/>
      <c r="U4643" s="86"/>
      <c r="V4643" s="48"/>
      <c r="W4643" s="48"/>
      <c r="X4643" s="48"/>
      <c r="Y4643" s="48"/>
      <c r="Z4643" s="48"/>
      <c r="AA4643" s="48"/>
      <c r="AB4643" s="48"/>
      <c r="AC4643" s="48"/>
      <c r="AD4643" s="48"/>
      <c r="AE4643" s="48"/>
      <c r="AF4643" s="48"/>
      <c r="AG4643" s="48"/>
      <c r="AH4643" s="48"/>
      <c r="AI4643" s="48"/>
      <c r="AJ4643" s="48"/>
      <c r="AK4643" s="48"/>
      <c r="AL4643" s="48"/>
      <c r="AM4643" s="48"/>
      <c r="AN4643" s="48"/>
      <c r="AO4643" s="48"/>
      <c r="AP4643" s="48"/>
      <c r="AQ4643" s="48"/>
      <c r="AR4643" s="48"/>
      <c r="AS4643" s="48"/>
      <c r="AT4643" s="48"/>
      <c r="AU4643" s="48"/>
      <c r="AV4643" s="48"/>
      <c r="AW4643" s="48"/>
      <c r="AX4643" s="48"/>
      <c r="AY4643" s="48"/>
      <c r="AZ4643" s="48"/>
      <c r="BA4643" s="48"/>
      <c r="BB4643" s="48"/>
      <c r="BC4643" s="48"/>
      <c r="BD4643" s="48"/>
    </row>
    <row r="4644" spans="1:56">
      <c r="A4644" s="48"/>
      <c r="B4644" s="48"/>
      <c r="C4644" s="49"/>
      <c r="D4644" s="48"/>
      <c r="E4644" s="48"/>
      <c r="F4644" s="48"/>
      <c r="G4644" s="48"/>
      <c r="H4644" s="48"/>
      <c r="I4644" s="48"/>
      <c r="J4644" s="86"/>
      <c r="K4644" s="86"/>
      <c r="L4644" s="86"/>
      <c r="M4644" s="86"/>
      <c r="N4644" s="86"/>
      <c r="O4644" s="86"/>
      <c r="P4644" s="86"/>
      <c r="Q4644" s="86"/>
      <c r="R4644" s="86"/>
      <c r="S4644" s="86"/>
      <c r="T4644" s="86"/>
      <c r="U4644" s="86"/>
      <c r="V4644" s="48"/>
      <c r="W4644" s="48"/>
      <c r="X4644" s="48"/>
      <c r="Y4644" s="48"/>
      <c r="Z4644" s="48"/>
      <c r="AA4644" s="48"/>
      <c r="AB4644" s="48"/>
      <c r="AC4644" s="48"/>
      <c r="AD4644" s="48"/>
      <c r="AE4644" s="48"/>
      <c r="AF4644" s="48"/>
      <c r="AG4644" s="48"/>
      <c r="AH4644" s="48"/>
      <c r="AI4644" s="48"/>
      <c r="AJ4644" s="48"/>
      <c r="AK4644" s="48"/>
      <c r="AL4644" s="48"/>
      <c r="AM4644" s="48"/>
      <c r="AN4644" s="48"/>
      <c r="AO4644" s="48"/>
      <c r="AP4644" s="48"/>
      <c r="AQ4644" s="48"/>
      <c r="AR4644" s="48"/>
      <c r="AS4644" s="48"/>
      <c r="AT4644" s="48"/>
      <c r="AU4644" s="48"/>
      <c r="AV4644" s="48"/>
      <c r="AW4644" s="48"/>
      <c r="AX4644" s="48"/>
      <c r="AY4644" s="48"/>
      <c r="AZ4644" s="48"/>
      <c r="BA4644" s="48"/>
      <c r="BB4644" s="48"/>
      <c r="BC4644" s="48"/>
      <c r="BD4644" s="48"/>
    </row>
    <row r="4645" spans="1:56">
      <c r="A4645" s="48"/>
      <c r="B4645" s="48"/>
      <c r="C4645" s="49"/>
      <c r="D4645" s="48"/>
      <c r="E4645" s="48"/>
      <c r="F4645" s="48"/>
      <c r="G4645" s="48"/>
      <c r="H4645" s="48"/>
      <c r="I4645" s="48"/>
      <c r="J4645" s="86"/>
      <c r="K4645" s="86"/>
      <c r="L4645" s="86"/>
      <c r="M4645" s="86"/>
      <c r="N4645" s="86"/>
      <c r="O4645" s="86"/>
      <c r="P4645" s="86"/>
      <c r="Q4645" s="86"/>
      <c r="R4645" s="86"/>
      <c r="S4645" s="86"/>
      <c r="T4645" s="86"/>
      <c r="U4645" s="86"/>
      <c r="V4645" s="48"/>
      <c r="W4645" s="48"/>
      <c r="X4645" s="48"/>
      <c r="Y4645" s="48"/>
      <c r="Z4645" s="48"/>
      <c r="AA4645" s="48"/>
      <c r="AB4645" s="48"/>
      <c r="AC4645" s="48"/>
      <c r="AD4645" s="48"/>
      <c r="AE4645" s="48"/>
      <c r="AF4645" s="48"/>
      <c r="AG4645" s="48"/>
      <c r="AH4645" s="48"/>
      <c r="AI4645" s="48"/>
      <c r="AJ4645" s="48"/>
      <c r="AK4645" s="48"/>
      <c r="AL4645" s="48"/>
      <c r="AM4645" s="48"/>
      <c r="AN4645" s="48"/>
      <c r="AO4645" s="48"/>
      <c r="AP4645" s="48"/>
      <c r="AQ4645" s="48"/>
      <c r="AR4645" s="48"/>
      <c r="AS4645" s="48"/>
      <c r="AT4645" s="48"/>
      <c r="AU4645" s="48"/>
      <c r="AV4645" s="48"/>
      <c r="AW4645" s="48"/>
      <c r="AX4645" s="48"/>
      <c r="AY4645" s="48"/>
      <c r="AZ4645" s="48"/>
      <c r="BA4645" s="48"/>
      <c r="BB4645" s="48"/>
      <c r="BC4645" s="48"/>
      <c r="BD4645" s="48"/>
    </row>
    <row r="4646" spans="1:56">
      <c r="A4646" s="48"/>
      <c r="B4646" s="48"/>
      <c r="C4646" s="49"/>
      <c r="D4646" s="48"/>
      <c r="E4646" s="48"/>
      <c r="F4646" s="48"/>
      <c r="G4646" s="48"/>
      <c r="H4646" s="48"/>
      <c r="I4646" s="48"/>
      <c r="J4646" s="86"/>
      <c r="K4646" s="86"/>
      <c r="L4646" s="86"/>
      <c r="M4646" s="86"/>
      <c r="N4646" s="86"/>
      <c r="O4646" s="86"/>
      <c r="P4646" s="86"/>
      <c r="Q4646" s="86"/>
      <c r="R4646" s="86"/>
      <c r="S4646" s="86"/>
      <c r="T4646" s="86"/>
      <c r="U4646" s="86"/>
      <c r="V4646" s="48"/>
      <c r="W4646" s="48"/>
      <c r="X4646" s="48"/>
      <c r="Y4646" s="48"/>
      <c r="Z4646" s="48"/>
      <c r="AA4646" s="48"/>
      <c r="AB4646" s="48"/>
      <c r="AC4646" s="48"/>
      <c r="AD4646" s="48"/>
      <c r="AE4646" s="48"/>
      <c r="AF4646" s="48"/>
      <c r="AG4646" s="48"/>
      <c r="AH4646" s="48"/>
      <c r="AI4646" s="48"/>
      <c r="AJ4646" s="48"/>
      <c r="AK4646" s="48"/>
      <c r="AL4646" s="48"/>
      <c r="AM4646" s="48"/>
      <c r="AN4646" s="48"/>
      <c r="AO4646" s="48"/>
      <c r="AP4646" s="48"/>
      <c r="AQ4646" s="48"/>
      <c r="AR4646" s="48"/>
      <c r="AS4646" s="48"/>
      <c r="AT4646" s="48"/>
      <c r="AU4646" s="48"/>
      <c r="AV4646" s="48"/>
      <c r="AW4646" s="48"/>
      <c r="AX4646" s="48"/>
      <c r="AY4646" s="48"/>
      <c r="AZ4646" s="48"/>
      <c r="BA4646" s="48"/>
      <c r="BB4646" s="48"/>
      <c r="BC4646" s="48"/>
      <c r="BD4646" s="48"/>
    </row>
    <row r="4647" spans="1:56">
      <c r="A4647" s="48"/>
      <c r="B4647" s="48"/>
      <c r="C4647" s="49"/>
      <c r="D4647" s="48"/>
      <c r="E4647" s="48"/>
      <c r="F4647" s="48"/>
      <c r="G4647" s="48"/>
      <c r="H4647" s="48"/>
      <c r="I4647" s="48"/>
      <c r="J4647" s="86"/>
      <c r="K4647" s="86"/>
      <c r="L4647" s="86"/>
      <c r="M4647" s="86"/>
      <c r="N4647" s="86"/>
      <c r="O4647" s="86"/>
      <c r="P4647" s="86"/>
      <c r="Q4647" s="86"/>
      <c r="R4647" s="86"/>
      <c r="S4647" s="86"/>
      <c r="T4647" s="86"/>
      <c r="U4647" s="86"/>
      <c r="V4647" s="48"/>
      <c r="W4647" s="48"/>
      <c r="X4647" s="48"/>
      <c r="Y4647" s="48"/>
      <c r="Z4647" s="48"/>
      <c r="AA4647" s="48"/>
      <c r="AB4647" s="48"/>
      <c r="AC4647" s="48"/>
      <c r="AD4647" s="48"/>
      <c r="AE4647" s="48"/>
      <c r="AF4647" s="48"/>
      <c r="AG4647" s="48"/>
      <c r="AH4647" s="48"/>
      <c r="AI4647" s="48"/>
      <c r="AJ4647" s="48"/>
      <c r="AK4647" s="48"/>
      <c r="AL4647" s="48"/>
      <c r="AM4647" s="48"/>
      <c r="AN4647" s="48"/>
      <c r="AO4647" s="48"/>
      <c r="AP4647" s="48"/>
      <c r="AQ4647" s="48"/>
      <c r="AR4647" s="48"/>
      <c r="AS4647" s="48"/>
      <c r="AT4647" s="48"/>
      <c r="AU4647" s="48"/>
      <c r="AV4647" s="48"/>
      <c r="AW4647" s="48"/>
      <c r="AX4647" s="48"/>
      <c r="AY4647" s="48"/>
      <c r="AZ4647" s="48"/>
      <c r="BA4647" s="48"/>
      <c r="BB4647" s="48"/>
      <c r="BC4647" s="48"/>
      <c r="BD4647" s="48"/>
    </row>
    <row r="4648" spans="1:56">
      <c r="A4648" s="48"/>
      <c r="B4648" s="48"/>
      <c r="C4648" s="49"/>
      <c r="D4648" s="48"/>
      <c r="E4648" s="48"/>
      <c r="F4648" s="48"/>
      <c r="G4648" s="48"/>
      <c r="H4648" s="48"/>
      <c r="I4648" s="48"/>
      <c r="J4648" s="86"/>
      <c r="K4648" s="86"/>
      <c r="L4648" s="86"/>
      <c r="M4648" s="86"/>
      <c r="N4648" s="86"/>
      <c r="O4648" s="86"/>
      <c r="P4648" s="86"/>
      <c r="Q4648" s="86"/>
      <c r="R4648" s="86"/>
      <c r="S4648" s="86"/>
      <c r="T4648" s="86"/>
      <c r="U4648" s="86"/>
      <c r="V4648" s="48"/>
      <c r="W4648" s="48"/>
      <c r="X4648" s="48"/>
      <c r="Y4648" s="48"/>
      <c r="Z4648" s="48"/>
      <c r="AA4648" s="48"/>
      <c r="AB4648" s="48"/>
      <c r="AC4648" s="48"/>
      <c r="AD4648" s="48"/>
      <c r="AE4648" s="48"/>
      <c r="AF4648" s="48"/>
      <c r="AG4648" s="48"/>
      <c r="AH4648" s="48"/>
      <c r="AI4648" s="48"/>
      <c r="AJ4648" s="48"/>
      <c r="AK4648" s="48"/>
      <c r="AL4648" s="48"/>
      <c r="AM4648" s="48"/>
      <c r="AN4648" s="48"/>
      <c r="AO4648" s="48"/>
      <c r="AP4648" s="48"/>
      <c r="AQ4648" s="48"/>
      <c r="AR4648" s="48"/>
      <c r="AS4648" s="48"/>
      <c r="AT4648" s="48"/>
      <c r="AU4648" s="48"/>
      <c r="AV4648" s="48"/>
      <c r="AW4648" s="48"/>
      <c r="AX4648" s="48"/>
      <c r="AY4648" s="48"/>
      <c r="AZ4648" s="48"/>
      <c r="BA4648" s="48"/>
      <c r="BB4648" s="48"/>
      <c r="BC4648" s="48"/>
      <c r="BD4648" s="48"/>
    </row>
    <row r="4649" spans="1:56">
      <c r="A4649" s="48"/>
      <c r="B4649" s="48"/>
      <c r="C4649" s="49"/>
      <c r="D4649" s="48"/>
      <c r="E4649" s="48"/>
      <c r="F4649" s="48"/>
      <c r="G4649" s="48"/>
      <c r="H4649" s="48"/>
      <c r="I4649" s="48"/>
      <c r="J4649" s="86"/>
      <c r="K4649" s="86"/>
      <c r="L4649" s="86"/>
      <c r="M4649" s="86"/>
      <c r="N4649" s="86"/>
      <c r="O4649" s="86"/>
      <c r="P4649" s="86"/>
      <c r="Q4649" s="86"/>
      <c r="R4649" s="86"/>
      <c r="S4649" s="86"/>
      <c r="T4649" s="86"/>
      <c r="U4649" s="86"/>
      <c r="V4649" s="48"/>
      <c r="W4649" s="48"/>
      <c r="X4649" s="48"/>
      <c r="Y4649" s="48"/>
      <c r="Z4649" s="48"/>
      <c r="AA4649" s="48"/>
      <c r="AB4649" s="48"/>
      <c r="AC4649" s="48"/>
      <c r="AD4649" s="48"/>
      <c r="AE4649" s="48"/>
      <c r="AF4649" s="48"/>
      <c r="AG4649" s="48"/>
      <c r="AH4649" s="48"/>
      <c r="AI4649" s="48"/>
      <c r="AJ4649" s="48"/>
      <c r="AK4649" s="48"/>
      <c r="AL4649" s="48"/>
      <c r="AM4649" s="48"/>
      <c r="AN4649" s="48"/>
      <c r="AO4649" s="48"/>
      <c r="AP4649" s="48"/>
      <c r="AQ4649" s="48"/>
      <c r="AR4649" s="48"/>
      <c r="AS4649" s="48"/>
      <c r="AT4649" s="48"/>
      <c r="AU4649" s="48"/>
      <c r="AV4649" s="48"/>
      <c r="AW4649" s="48"/>
      <c r="AX4649" s="48"/>
      <c r="AY4649" s="48"/>
      <c r="AZ4649" s="48"/>
      <c r="BA4649" s="48"/>
      <c r="BB4649" s="48"/>
      <c r="BC4649" s="48"/>
      <c r="BD4649" s="48"/>
    </row>
    <row r="4650" spans="1:56">
      <c r="A4650" s="48"/>
      <c r="B4650" s="48"/>
      <c r="C4650" s="49"/>
      <c r="D4650" s="48"/>
      <c r="E4650" s="48"/>
      <c r="F4650" s="48"/>
      <c r="G4650" s="48"/>
      <c r="H4650" s="48"/>
      <c r="I4650" s="48"/>
      <c r="J4650" s="86"/>
      <c r="K4650" s="86"/>
      <c r="L4650" s="86"/>
      <c r="M4650" s="86"/>
      <c r="N4650" s="86"/>
      <c r="O4650" s="86"/>
      <c r="P4650" s="86"/>
      <c r="Q4650" s="86"/>
      <c r="R4650" s="86"/>
      <c r="S4650" s="86"/>
      <c r="T4650" s="86"/>
      <c r="U4650" s="86"/>
      <c r="V4650" s="48"/>
      <c r="W4650" s="48"/>
      <c r="X4650" s="48"/>
      <c r="Y4650" s="48"/>
      <c r="Z4650" s="48"/>
      <c r="AA4650" s="48"/>
      <c r="AB4650" s="48"/>
      <c r="AC4650" s="48"/>
      <c r="AD4650" s="48"/>
      <c r="AE4650" s="48"/>
      <c r="AF4650" s="48"/>
      <c r="AG4650" s="48"/>
      <c r="AH4650" s="48"/>
      <c r="AI4650" s="48"/>
      <c r="AJ4650" s="48"/>
      <c r="AK4650" s="48"/>
      <c r="AL4650" s="48"/>
      <c r="AM4650" s="48"/>
      <c r="AN4650" s="48"/>
      <c r="AO4650" s="48"/>
      <c r="AP4650" s="48"/>
      <c r="AQ4650" s="48"/>
      <c r="AR4650" s="48"/>
      <c r="AS4650" s="48"/>
      <c r="AT4650" s="48"/>
      <c r="AU4650" s="48"/>
      <c r="AV4650" s="48"/>
      <c r="AW4650" s="48"/>
      <c r="AX4650" s="48"/>
      <c r="AY4650" s="48"/>
      <c r="AZ4650" s="48"/>
      <c r="BA4650" s="48"/>
      <c r="BB4650" s="48"/>
      <c r="BC4650" s="48"/>
      <c r="BD4650" s="48"/>
    </row>
    <row r="4651" spans="1:56">
      <c r="A4651" s="48"/>
      <c r="B4651" s="48"/>
      <c r="C4651" s="49"/>
      <c r="D4651" s="48"/>
      <c r="E4651" s="48"/>
      <c r="F4651" s="48"/>
      <c r="G4651" s="48"/>
      <c r="H4651" s="48"/>
      <c r="I4651" s="48"/>
      <c r="J4651" s="86"/>
      <c r="K4651" s="86"/>
      <c r="L4651" s="86"/>
      <c r="M4651" s="86"/>
      <c r="N4651" s="86"/>
      <c r="O4651" s="86"/>
      <c r="P4651" s="86"/>
      <c r="Q4651" s="86"/>
      <c r="R4651" s="86"/>
      <c r="S4651" s="86"/>
      <c r="T4651" s="86"/>
      <c r="U4651" s="86"/>
      <c r="V4651" s="48"/>
      <c r="W4651" s="48"/>
      <c r="X4651" s="48"/>
      <c r="Y4651" s="48"/>
      <c r="Z4651" s="48"/>
      <c r="AA4651" s="48"/>
      <c r="AB4651" s="48"/>
      <c r="AC4651" s="48"/>
      <c r="AD4651" s="48"/>
      <c r="AE4651" s="48"/>
      <c r="AF4651" s="48"/>
      <c r="AG4651" s="48"/>
      <c r="AH4651" s="48"/>
      <c r="AI4651" s="48"/>
      <c r="AJ4651" s="48"/>
      <c r="AK4651" s="48"/>
      <c r="AL4651" s="48"/>
      <c r="AM4651" s="48"/>
      <c r="AN4651" s="48"/>
      <c r="AO4651" s="48"/>
      <c r="AP4651" s="48"/>
      <c r="AQ4651" s="48"/>
      <c r="AR4651" s="48"/>
      <c r="AS4651" s="48"/>
      <c r="AT4651" s="48"/>
      <c r="AU4651" s="48"/>
      <c r="AV4651" s="48"/>
      <c r="AW4651" s="48"/>
      <c r="AX4651" s="48"/>
      <c r="AY4651" s="48"/>
      <c r="AZ4651" s="48"/>
      <c r="BA4651" s="48"/>
      <c r="BB4651" s="48"/>
      <c r="BC4651" s="48"/>
      <c r="BD4651" s="48"/>
    </row>
    <row r="4652" spans="1:56">
      <c r="A4652" s="48"/>
      <c r="B4652" s="48"/>
      <c r="C4652" s="49"/>
      <c r="D4652" s="48"/>
      <c r="E4652" s="48"/>
      <c r="F4652" s="48"/>
      <c r="G4652" s="48"/>
      <c r="H4652" s="48"/>
      <c r="I4652" s="48"/>
      <c r="J4652" s="86"/>
      <c r="K4652" s="86"/>
      <c r="L4652" s="86"/>
      <c r="M4652" s="86"/>
      <c r="N4652" s="86"/>
      <c r="O4652" s="86"/>
      <c r="P4652" s="86"/>
      <c r="Q4652" s="86"/>
      <c r="R4652" s="86"/>
      <c r="S4652" s="86"/>
      <c r="T4652" s="86"/>
      <c r="U4652" s="86"/>
      <c r="V4652" s="48"/>
      <c r="W4652" s="48"/>
      <c r="X4652" s="48"/>
      <c r="Y4652" s="48"/>
      <c r="Z4652" s="48"/>
      <c r="AA4652" s="48"/>
      <c r="AB4652" s="48"/>
      <c r="AC4652" s="48"/>
      <c r="AD4652" s="48"/>
      <c r="AE4652" s="48"/>
      <c r="AF4652" s="48"/>
      <c r="AG4652" s="48"/>
      <c r="AH4652" s="48"/>
      <c r="AI4652" s="48"/>
      <c r="AJ4652" s="48"/>
      <c r="AK4652" s="48"/>
      <c r="AL4652" s="48"/>
      <c r="AM4652" s="48"/>
      <c r="AN4652" s="48"/>
      <c r="AO4652" s="48"/>
      <c r="AP4652" s="48"/>
      <c r="AQ4652" s="48"/>
      <c r="AR4652" s="48"/>
      <c r="AS4652" s="48"/>
      <c r="AT4652" s="48"/>
      <c r="AU4652" s="48"/>
      <c r="AV4652" s="48"/>
      <c r="AW4652" s="48"/>
      <c r="AX4652" s="48"/>
      <c r="AY4652" s="48"/>
      <c r="AZ4652" s="48"/>
      <c r="BA4652" s="48"/>
      <c r="BB4652" s="48"/>
      <c r="BC4652" s="48"/>
      <c r="BD4652" s="48"/>
    </row>
    <row r="4653" spans="1:56">
      <c r="A4653" s="48"/>
      <c r="B4653" s="48"/>
      <c r="C4653" s="49"/>
      <c r="D4653" s="48"/>
      <c r="E4653" s="48"/>
      <c r="F4653" s="48"/>
      <c r="G4653" s="48"/>
      <c r="H4653" s="48"/>
      <c r="I4653" s="48"/>
      <c r="J4653" s="86"/>
      <c r="K4653" s="86"/>
      <c r="L4653" s="86"/>
      <c r="M4653" s="86"/>
      <c r="N4653" s="86"/>
      <c r="O4653" s="86"/>
      <c r="P4653" s="86"/>
      <c r="Q4653" s="86"/>
      <c r="R4653" s="86"/>
      <c r="S4653" s="86"/>
      <c r="T4653" s="86"/>
      <c r="U4653" s="86"/>
      <c r="V4653" s="48"/>
      <c r="W4653" s="48"/>
      <c r="X4653" s="48"/>
      <c r="Y4653" s="48"/>
      <c r="Z4653" s="48"/>
      <c r="AA4653" s="48"/>
      <c r="AB4653" s="48"/>
      <c r="AC4653" s="48"/>
      <c r="AD4653" s="48"/>
      <c r="AE4653" s="48"/>
      <c r="AF4653" s="48"/>
      <c r="AG4653" s="48"/>
      <c r="AH4653" s="48"/>
      <c r="AI4653" s="48"/>
      <c r="AJ4653" s="48"/>
      <c r="AK4653" s="48"/>
      <c r="AL4653" s="48"/>
      <c r="AM4653" s="48"/>
      <c r="AN4653" s="48"/>
      <c r="AO4653" s="48"/>
      <c r="AP4653" s="48"/>
      <c r="AQ4653" s="48"/>
      <c r="AR4653" s="48"/>
      <c r="AS4653" s="48"/>
      <c r="AT4653" s="48"/>
      <c r="AU4653" s="48"/>
      <c r="AV4653" s="48"/>
      <c r="AW4653" s="48"/>
      <c r="AX4653" s="48"/>
      <c r="AY4653" s="48"/>
      <c r="AZ4653" s="48"/>
      <c r="BA4653" s="48"/>
      <c r="BB4653" s="48"/>
      <c r="BC4653" s="48"/>
      <c r="BD4653" s="48"/>
    </row>
    <row r="4654" spans="1:56">
      <c r="A4654" s="48"/>
      <c r="B4654" s="48"/>
      <c r="C4654" s="49"/>
      <c r="D4654" s="48"/>
      <c r="E4654" s="48"/>
      <c r="F4654" s="48"/>
      <c r="G4654" s="48"/>
      <c r="H4654" s="48"/>
      <c r="I4654" s="48"/>
      <c r="J4654" s="86"/>
      <c r="K4654" s="86"/>
      <c r="L4654" s="86"/>
      <c r="M4654" s="86"/>
      <c r="N4654" s="86"/>
      <c r="O4654" s="86"/>
      <c r="P4654" s="86"/>
      <c r="Q4654" s="86"/>
      <c r="R4654" s="86"/>
      <c r="S4654" s="86"/>
      <c r="T4654" s="86"/>
      <c r="U4654" s="86"/>
      <c r="V4654" s="48"/>
      <c r="W4654" s="48"/>
      <c r="X4654" s="48"/>
      <c r="Y4654" s="48"/>
      <c r="Z4654" s="48"/>
      <c r="AA4654" s="48"/>
      <c r="AB4654" s="48"/>
      <c r="AC4654" s="48"/>
      <c r="AD4654" s="48"/>
      <c r="AE4654" s="48"/>
      <c r="AF4654" s="48"/>
      <c r="AG4654" s="48"/>
      <c r="AH4654" s="48"/>
      <c r="AI4654" s="48"/>
      <c r="AJ4654" s="48"/>
      <c r="AK4654" s="48"/>
      <c r="AL4654" s="48"/>
      <c r="AM4654" s="48"/>
      <c r="AN4654" s="48"/>
      <c r="AO4654" s="48"/>
      <c r="AP4654" s="48"/>
      <c r="AQ4654" s="48"/>
      <c r="AR4654" s="48"/>
      <c r="AS4654" s="48"/>
      <c r="AT4654" s="48"/>
      <c r="AU4654" s="48"/>
      <c r="AV4654" s="48"/>
      <c r="AW4654" s="48"/>
      <c r="AX4654" s="48"/>
      <c r="AY4654" s="48"/>
      <c r="AZ4654" s="48"/>
      <c r="BA4654" s="48"/>
      <c r="BB4654" s="48"/>
      <c r="BC4654" s="48"/>
      <c r="BD4654" s="48"/>
    </row>
    <row r="4655" spans="1:56">
      <c r="A4655" s="48"/>
      <c r="B4655" s="48"/>
      <c r="C4655" s="49"/>
      <c r="D4655" s="48"/>
      <c r="E4655" s="48"/>
      <c r="F4655" s="48"/>
      <c r="G4655" s="48"/>
      <c r="H4655" s="48"/>
      <c r="I4655" s="48"/>
      <c r="J4655" s="86"/>
      <c r="K4655" s="86"/>
      <c r="L4655" s="86"/>
      <c r="M4655" s="86"/>
      <c r="N4655" s="86"/>
      <c r="O4655" s="86"/>
      <c r="P4655" s="86"/>
      <c r="Q4655" s="86"/>
      <c r="R4655" s="86"/>
      <c r="S4655" s="86"/>
      <c r="T4655" s="86"/>
      <c r="U4655" s="86"/>
      <c r="V4655" s="48"/>
      <c r="W4655" s="48"/>
      <c r="X4655" s="48"/>
      <c r="Y4655" s="48"/>
      <c r="Z4655" s="48"/>
      <c r="AA4655" s="48"/>
      <c r="AB4655" s="48"/>
      <c r="AC4655" s="48"/>
      <c r="AD4655" s="48"/>
      <c r="AE4655" s="48"/>
      <c r="AF4655" s="48"/>
      <c r="AG4655" s="48"/>
      <c r="AH4655" s="48"/>
      <c r="AI4655" s="48"/>
      <c r="AJ4655" s="48"/>
      <c r="AK4655" s="48"/>
      <c r="AL4655" s="48"/>
      <c r="AM4655" s="48"/>
      <c r="AN4655" s="48"/>
      <c r="AO4655" s="48"/>
      <c r="AP4655" s="48"/>
      <c r="AQ4655" s="48"/>
      <c r="AR4655" s="48"/>
      <c r="AS4655" s="48"/>
      <c r="AT4655" s="48"/>
      <c r="AU4655" s="48"/>
      <c r="AV4655" s="48"/>
      <c r="AW4655" s="48"/>
      <c r="AX4655" s="48"/>
      <c r="AY4655" s="48"/>
      <c r="AZ4655" s="48"/>
      <c r="BA4655" s="48"/>
      <c r="BB4655" s="48"/>
      <c r="BC4655" s="48"/>
      <c r="BD4655" s="48"/>
    </row>
    <row r="4656" spans="1:56">
      <c r="A4656" s="48"/>
      <c r="B4656" s="48"/>
      <c r="C4656" s="49"/>
      <c r="D4656" s="48"/>
      <c r="E4656" s="48"/>
      <c r="F4656" s="48"/>
      <c r="G4656" s="48"/>
      <c r="H4656" s="48"/>
      <c r="I4656" s="48"/>
      <c r="J4656" s="86"/>
      <c r="K4656" s="86"/>
      <c r="L4656" s="86"/>
      <c r="M4656" s="86"/>
      <c r="N4656" s="86"/>
      <c r="O4656" s="86"/>
      <c r="P4656" s="86"/>
      <c r="Q4656" s="86"/>
      <c r="R4656" s="86"/>
      <c r="S4656" s="86"/>
      <c r="T4656" s="86"/>
      <c r="U4656" s="86"/>
      <c r="V4656" s="48"/>
      <c r="W4656" s="48"/>
      <c r="X4656" s="48"/>
      <c r="Y4656" s="48"/>
      <c r="Z4656" s="48"/>
      <c r="AA4656" s="48"/>
      <c r="AB4656" s="48"/>
      <c r="AC4656" s="48"/>
      <c r="AD4656" s="48"/>
      <c r="AE4656" s="48"/>
      <c r="AF4656" s="48"/>
      <c r="AG4656" s="48"/>
      <c r="AH4656" s="48"/>
      <c r="AI4656" s="48"/>
      <c r="AJ4656" s="48"/>
      <c r="AK4656" s="48"/>
      <c r="AL4656" s="48"/>
      <c r="AM4656" s="48"/>
      <c r="AN4656" s="48"/>
      <c r="AO4656" s="48"/>
      <c r="AP4656" s="48"/>
      <c r="AQ4656" s="48"/>
      <c r="AR4656" s="48"/>
      <c r="AS4656" s="48"/>
      <c r="AT4656" s="48"/>
      <c r="AU4656" s="48"/>
      <c r="AV4656" s="48"/>
      <c r="AW4656" s="48"/>
      <c r="AX4656" s="48"/>
      <c r="AY4656" s="48"/>
      <c r="AZ4656" s="48"/>
      <c r="BA4656" s="48"/>
      <c r="BB4656" s="48"/>
      <c r="BC4656" s="48"/>
      <c r="BD4656" s="48"/>
    </row>
    <row r="4657" spans="1:56">
      <c r="A4657" s="48"/>
      <c r="B4657" s="48"/>
      <c r="C4657" s="49"/>
      <c r="D4657" s="48"/>
      <c r="E4657" s="48"/>
      <c r="F4657" s="48"/>
      <c r="G4657" s="48"/>
      <c r="H4657" s="48"/>
      <c r="I4657" s="48"/>
      <c r="J4657" s="86"/>
      <c r="K4657" s="86"/>
      <c r="L4657" s="86"/>
      <c r="M4657" s="86"/>
      <c r="N4657" s="86"/>
      <c r="O4657" s="86"/>
      <c r="P4657" s="86"/>
      <c r="Q4657" s="86"/>
      <c r="R4657" s="86"/>
      <c r="S4657" s="86"/>
      <c r="T4657" s="86"/>
      <c r="U4657" s="86"/>
      <c r="V4657" s="48"/>
      <c r="W4657" s="48"/>
      <c r="X4657" s="48"/>
      <c r="Y4657" s="48"/>
      <c r="Z4657" s="48"/>
      <c r="AA4657" s="48"/>
      <c r="AB4657" s="48"/>
      <c r="AC4657" s="48"/>
      <c r="AD4657" s="48"/>
      <c r="AE4657" s="48"/>
      <c r="AF4657" s="48"/>
      <c r="AG4657" s="48"/>
      <c r="AH4657" s="48"/>
      <c r="AI4657" s="48"/>
      <c r="AJ4657" s="48"/>
      <c r="AK4657" s="48"/>
      <c r="AL4657" s="48"/>
      <c r="AM4657" s="48"/>
      <c r="AN4657" s="48"/>
      <c r="AO4657" s="48"/>
      <c r="AP4657" s="48"/>
      <c r="AQ4657" s="48"/>
      <c r="AR4657" s="48"/>
      <c r="AS4657" s="48"/>
      <c r="AT4657" s="48"/>
      <c r="AU4657" s="48"/>
      <c r="AV4657" s="48"/>
      <c r="AW4657" s="48"/>
      <c r="AX4657" s="48"/>
      <c r="AY4657" s="48"/>
      <c r="AZ4657" s="48"/>
      <c r="BA4657" s="48"/>
      <c r="BB4657" s="48"/>
      <c r="BC4657" s="48"/>
      <c r="BD4657" s="48"/>
    </row>
    <row r="4658" spans="1:56">
      <c r="A4658" s="48"/>
      <c r="B4658" s="48"/>
      <c r="C4658" s="49"/>
      <c r="D4658" s="48"/>
      <c r="E4658" s="48"/>
      <c r="F4658" s="48"/>
      <c r="G4658" s="48"/>
      <c r="H4658" s="48"/>
      <c r="I4658" s="48"/>
      <c r="J4658" s="86"/>
      <c r="K4658" s="86"/>
      <c r="L4658" s="86"/>
      <c r="M4658" s="86"/>
      <c r="N4658" s="86"/>
      <c r="O4658" s="86"/>
      <c r="P4658" s="86"/>
      <c r="Q4658" s="86"/>
      <c r="R4658" s="86"/>
      <c r="S4658" s="86"/>
      <c r="T4658" s="86"/>
      <c r="U4658" s="86"/>
      <c r="V4658" s="48"/>
      <c r="W4658" s="48"/>
      <c r="X4658" s="48"/>
      <c r="Y4658" s="48"/>
      <c r="Z4658" s="48"/>
      <c r="AA4658" s="48"/>
      <c r="AB4658" s="48"/>
      <c r="AC4658" s="48"/>
      <c r="AD4658" s="48"/>
      <c r="AE4658" s="48"/>
      <c r="AF4658" s="48"/>
      <c r="AG4658" s="48"/>
      <c r="AH4658" s="48"/>
      <c r="AI4658" s="48"/>
      <c r="AJ4658" s="48"/>
      <c r="AK4658" s="48"/>
      <c r="AL4658" s="48"/>
      <c r="AM4658" s="48"/>
      <c r="AN4658" s="48"/>
      <c r="AO4658" s="48"/>
      <c r="AP4658" s="48"/>
      <c r="AQ4658" s="48"/>
      <c r="AR4658" s="48"/>
      <c r="AS4658" s="48"/>
      <c r="AT4658" s="48"/>
      <c r="AU4658" s="48"/>
      <c r="AV4658" s="48"/>
      <c r="AW4658" s="48"/>
      <c r="AX4658" s="48"/>
      <c r="AY4658" s="48"/>
      <c r="AZ4658" s="48"/>
      <c r="BA4658" s="48"/>
      <c r="BB4658" s="48"/>
      <c r="BC4658" s="48"/>
      <c r="BD4658" s="48"/>
    </row>
    <row r="4659" spans="1:56">
      <c r="A4659" s="48"/>
      <c r="B4659" s="48"/>
      <c r="C4659" s="49"/>
      <c r="D4659" s="48"/>
      <c r="E4659" s="48"/>
      <c r="F4659" s="48"/>
      <c r="G4659" s="48"/>
      <c r="H4659" s="48"/>
      <c r="I4659" s="48"/>
      <c r="J4659" s="86"/>
      <c r="K4659" s="86"/>
      <c r="L4659" s="86"/>
      <c r="M4659" s="86"/>
      <c r="N4659" s="86"/>
      <c r="O4659" s="86"/>
      <c r="P4659" s="86"/>
      <c r="Q4659" s="86"/>
      <c r="R4659" s="86"/>
      <c r="S4659" s="86"/>
      <c r="T4659" s="86"/>
      <c r="U4659" s="86"/>
      <c r="V4659" s="48"/>
      <c r="W4659" s="48"/>
      <c r="X4659" s="48"/>
      <c r="Y4659" s="48"/>
      <c r="Z4659" s="48"/>
      <c r="AA4659" s="48"/>
      <c r="AB4659" s="48"/>
      <c r="AC4659" s="48"/>
      <c r="AD4659" s="48"/>
      <c r="AE4659" s="48"/>
      <c r="AF4659" s="48"/>
      <c r="AG4659" s="48"/>
      <c r="AH4659" s="48"/>
      <c r="AI4659" s="48"/>
      <c r="AJ4659" s="48"/>
      <c r="AK4659" s="48"/>
      <c r="AL4659" s="48"/>
      <c r="AM4659" s="48"/>
      <c r="AN4659" s="48"/>
      <c r="AO4659" s="48"/>
      <c r="AP4659" s="48"/>
      <c r="AQ4659" s="48"/>
      <c r="AR4659" s="48"/>
      <c r="AS4659" s="48"/>
      <c r="AT4659" s="48"/>
      <c r="AU4659" s="48"/>
      <c r="AV4659" s="48"/>
      <c r="AW4659" s="48"/>
      <c r="AX4659" s="48"/>
      <c r="AY4659" s="48"/>
      <c r="AZ4659" s="48"/>
      <c r="BA4659" s="48"/>
      <c r="BB4659" s="48"/>
      <c r="BC4659" s="48"/>
      <c r="BD4659" s="48"/>
    </row>
    <row r="4660" spans="1:56">
      <c r="A4660" s="48"/>
      <c r="B4660" s="48"/>
      <c r="C4660" s="49"/>
      <c r="D4660" s="48"/>
      <c r="E4660" s="48"/>
      <c r="F4660" s="48"/>
      <c r="G4660" s="48"/>
      <c r="H4660" s="48"/>
      <c r="I4660" s="48"/>
      <c r="J4660" s="86"/>
      <c r="K4660" s="86"/>
      <c r="L4660" s="86"/>
      <c r="M4660" s="86"/>
      <c r="N4660" s="86"/>
      <c r="O4660" s="86"/>
      <c r="P4660" s="86"/>
      <c r="Q4660" s="86"/>
      <c r="R4660" s="86"/>
      <c r="S4660" s="86"/>
      <c r="T4660" s="86"/>
      <c r="U4660" s="86"/>
      <c r="V4660" s="48"/>
      <c r="W4660" s="48"/>
      <c r="X4660" s="48"/>
      <c r="Y4660" s="48"/>
      <c r="Z4660" s="48"/>
      <c r="AA4660" s="48"/>
      <c r="AB4660" s="48"/>
      <c r="AC4660" s="48"/>
      <c r="AD4660" s="48"/>
      <c r="AE4660" s="48"/>
      <c r="AF4660" s="48"/>
      <c r="AG4660" s="48"/>
      <c r="AH4660" s="48"/>
      <c r="AI4660" s="48"/>
      <c r="AJ4660" s="48"/>
      <c r="AK4660" s="48"/>
      <c r="AL4660" s="48"/>
      <c r="AM4660" s="48"/>
      <c r="AN4660" s="48"/>
      <c r="AO4660" s="48"/>
      <c r="AP4660" s="48"/>
      <c r="AQ4660" s="48"/>
      <c r="AR4660" s="48"/>
      <c r="AS4660" s="48"/>
      <c r="AT4660" s="48"/>
      <c r="AU4660" s="48"/>
      <c r="AV4660" s="48"/>
      <c r="AW4660" s="48"/>
      <c r="AX4660" s="48"/>
      <c r="AY4660" s="48"/>
      <c r="AZ4660" s="48"/>
      <c r="BA4660" s="48"/>
      <c r="BB4660" s="48"/>
      <c r="BC4660" s="48"/>
      <c r="BD4660" s="48"/>
    </row>
    <row r="4661" spans="1:56">
      <c r="A4661" s="48"/>
      <c r="B4661" s="48"/>
      <c r="C4661" s="49"/>
      <c r="D4661" s="48"/>
      <c r="E4661" s="48"/>
      <c r="F4661" s="48"/>
      <c r="G4661" s="48"/>
      <c r="H4661" s="48"/>
      <c r="I4661" s="48"/>
      <c r="J4661" s="86"/>
      <c r="K4661" s="86"/>
      <c r="L4661" s="86"/>
      <c r="M4661" s="86"/>
      <c r="N4661" s="86"/>
      <c r="O4661" s="86"/>
      <c r="P4661" s="86"/>
      <c r="Q4661" s="86"/>
      <c r="R4661" s="86"/>
      <c r="S4661" s="86"/>
      <c r="T4661" s="86"/>
      <c r="U4661" s="86"/>
      <c r="V4661" s="48"/>
      <c r="W4661" s="48"/>
      <c r="X4661" s="48"/>
      <c r="Y4661" s="48"/>
      <c r="Z4661" s="48"/>
      <c r="AA4661" s="48"/>
      <c r="AB4661" s="48"/>
      <c r="AC4661" s="48"/>
      <c r="AD4661" s="48"/>
      <c r="AE4661" s="48"/>
      <c r="AF4661" s="48"/>
      <c r="AG4661" s="48"/>
      <c r="AH4661" s="48"/>
      <c r="AI4661" s="48"/>
      <c r="AJ4661" s="48"/>
      <c r="AK4661" s="48"/>
      <c r="AL4661" s="48"/>
      <c r="AM4661" s="48"/>
      <c r="AN4661" s="48"/>
      <c r="AO4661" s="48"/>
      <c r="AP4661" s="48"/>
      <c r="AQ4661" s="48"/>
      <c r="AR4661" s="48"/>
      <c r="AS4661" s="48"/>
      <c r="AT4661" s="48"/>
      <c r="AU4661" s="48"/>
      <c r="AV4661" s="48"/>
      <c r="AW4661" s="48"/>
      <c r="AX4661" s="48"/>
      <c r="AY4661" s="48"/>
      <c r="AZ4661" s="48"/>
      <c r="BA4661" s="48"/>
      <c r="BB4661" s="48"/>
      <c r="BC4661" s="48"/>
      <c r="BD4661" s="48"/>
    </row>
    <row r="4662" spans="1:56">
      <c r="A4662" s="48"/>
      <c r="B4662" s="48"/>
      <c r="C4662" s="49"/>
      <c r="D4662" s="48"/>
      <c r="E4662" s="48"/>
      <c r="F4662" s="48"/>
      <c r="G4662" s="48"/>
      <c r="H4662" s="48"/>
      <c r="I4662" s="48"/>
      <c r="J4662" s="86"/>
      <c r="K4662" s="86"/>
      <c r="L4662" s="86"/>
      <c r="M4662" s="86"/>
      <c r="N4662" s="86"/>
      <c r="O4662" s="86"/>
      <c r="P4662" s="86"/>
      <c r="Q4662" s="86"/>
      <c r="R4662" s="86"/>
      <c r="S4662" s="86"/>
      <c r="T4662" s="86"/>
      <c r="U4662" s="86"/>
      <c r="V4662" s="48"/>
      <c r="W4662" s="48"/>
      <c r="X4662" s="48"/>
      <c r="Y4662" s="48"/>
      <c r="Z4662" s="48"/>
      <c r="AA4662" s="48"/>
      <c r="AB4662" s="48"/>
      <c r="AC4662" s="48"/>
      <c r="AD4662" s="48"/>
      <c r="AE4662" s="48"/>
      <c r="AF4662" s="48"/>
      <c r="AG4662" s="48"/>
      <c r="AH4662" s="48"/>
      <c r="AI4662" s="48"/>
      <c r="AJ4662" s="48"/>
      <c r="AK4662" s="48"/>
      <c r="AL4662" s="48"/>
      <c r="AM4662" s="48"/>
      <c r="AN4662" s="48"/>
      <c r="AO4662" s="48"/>
      <c r="AP4662" s="48"/>
      <c r="AQ4662" s="48"/>
      <c r="AR4662" s="48"/>
      <c r="AS4662" s="48"/>
      <c r="AT4662" s="48"/>
      <c r="AU4662" s="48"/>
      <c r="AV4662" s="48"/>
      <c r="AW4662" s="48"/>
      <c r="AX4662" s="48"/>
      <c r="AY4662" s="48"/>
      <c r="AZ4662" s="48"/>
      <c r="BA4662" s="48"/>
      <c r="BB4662" s="48"/>
      <c r="BC4662" s="48"/>
      <c r="BD4662" s="48"/>
    </row>
    <row r="4663" spans="1:56">
      <c r="A4663" s="48"/>
      <c r="B4663" s="48"/>
      <c r="C4663" s="49"/>
      <c r="D4663" s="48"/>
      <c r="E4663" s="48"/>
      <c r="F4663" s="48"/>
      <c r="G4663" s="48"/>
      <c r="H4663" s="48"/>
      <c r="I4663" s="48"/>
      <c r="J4663" s="86"/>
      <c r="K4663" s="86"/>
      <c r="L4663" s="86"/>
      <c r="M4663" s="86"/>
      <c r="N4663" s="86"/>
      <c r="O4663" s="86"/>
      <c r="P4663" s="86"/>
      <c r="Q4663" s="86"/>
      <c r="R4663" s="86"/>
      <c r="S4663" s="86"/>
      <c r="T4663" s="86"/>
      <c r="U4663" s="86"/>
      <c r="V4663" s="48"/>
      <c r="W4663" s="48"/>
      <c r="X4663" s="48"/>
      <c r="Y4663" s="48"/>
      <c r="Z4663" s="48"/>
      <c r="AA4663" s="48"/>
      <c r="AB4663" s="48"/>
      <c r="AC4663" s="48"/>
      <c r="AD4663" s="48"/>
      <c r="AE4663" s="48"/>
      <c r="AF4663" s="48"/>
      <c r="AG4663" s="48"/>
      <c r="AH4663" s="48"/>
      <c r="AI4663" s="48"/>
      <c r="AJ4663" s="48"/>
      <c r="AK4663" s="48"/>
      <c r="AL4663" s="48"/>
      <c r="AM4663" s="48"/>
      <c r="AN4663" s="48"/>
      <c r="AO4663" s="48"/>
      <c r="AP4663" s="48"/>
      <c r="AQ4663" s="48"/>
      <c r="AR4663" s="48"/>
      <c r="AS4663" s="48"/>
      <c r="AT4663" s="48"/>
      <c r="AU4663" s="48"/>
      <c r="AV4663" s="48"/>
      <c r="AW4663" s="48"/>
      <c r="AX4663" s="48"/>
      <c r="AY4663" s="48"/>
      <c r="AZ4663" s="48"/>
      <c r="BA4663" s="48"/>
      <c r="BB4663" s="48"/>
      <c r="BC4663" s="48"/>
      <c r="BD4663" s="48"/>
    </row>
    <row r="4664" spans="1:56">
      <c r="A4664" s="48"/>
      <c r="B4664" s="48"/>
      <c r="C4664" s="49"/>
      <c r="D4664" s="48"/>
      <c r="E4664" s="48"/>
      <c r="F4664" s="48"/>
      <c r="G4664" s="48"/>
      <c r="H4664" s="48"/>
      <c r="I4664" s="48"/>
      <c r="J4664" s="86"/>
      <c r="K4664" s="86"/>
      <c r="L4664" s="86"/>
      <c r="M4664" s="86"/>
      <c r="N4664" s="86"/>
      <c r="O4664" s="86"/>
      <c r="P4664" s="86"/>
      <c r="Q4664" s="86"/>
      <c r="R4664" s="86"/>
      <c r="S4664" s="86"/>
      <c r="T4664" s="86"/>
      <c r="U4664" s="86"/>
      <c r="V4664" s="48"/>
      <c r="W4664" s="48"/>
      <c r="X4664" s="48"/>
      <c r="Y4664" s="48"/>
      <c r="Z4664" s="48"/>
      <c r="AA4664" s="48"/>
      <c r="AB4664" s="48"/>
      <c r="AC4664" s="48"/>
      <c r="AD4664" s="48"/>
      <c r="AE4664" s="48"/>
      <c r="AF4664" s="48"/>
      <c r="AG4664" s="48"/>
      <c r="AH4664" s="48"/>
      <c r="AI4664" s="48"/>
      <c r="AJ4664" s="48"/>
      <c r="AK4664" s="48"/>
      <c r="AL4664" s="48"/>
      <c r="AM4664" s="48"/>
      <c r="AN4664" s="48"/>
      <c r="AO4664" s="48"/>
      <c r="AP4664" s="48"/>
      <c r="AQ4664" s="48"/>
      <c r="AR4664" s="48"/>
      <c r="AS4664" s="48"/>
      <c r="AT4664" s="48"/>
      <c r="AU4664" s="48"/>
      <c r="AV4664" s="48"/>
      <c r="AW4664" s="48"/>
      <c r="AX4664" s="48"/>
      <c r="AY4664" s="48"/>
      <c r="AZ4664" s="48"/>
      <c r="BA4664" s="48"/>
      <c r="BB4664" s="48"/>
      <c r="BC4664" s="48"/>
      <c r="BD4664" s="48"/>
    </row>
    <row r="4665" spans="1:56">
      <c r="A4665" s="48"/>
      <c r="B4665" s="48"/>
      <c r="C4665" s="49"/>
      <c r="D4665" s="48"/>
      <c r="E4665" s="48"/>
      <c r="F4665" s="48"/>
      <c r="G4665" s="48"/>
      <c r="H4665" s="48"/>
      <c r="I4665" s="48"/>
      <c r="J4665" s="86"/>
      <c r="K4665" s="86"/>
      <c r="L4665" s="86"/>
      <c r="M4665" s="86"/>
      <c r="N4665" s="86"/>
      <c r="O4665" s="86"/>
      <c r="P4665" s="86"/>
      <c r="Q4665" s="86"/>
      <c r="R4665" s="86"/>
      <c r="S4665" s="86"/>
      <c r="T4665" s="86"/>
      <c r="U4665" s="86"/>
      <c r="V4665" s="48"/>
      <c r="W4665" s="48"/>
      <c r="X4665" s="48"/>
      <c r="Y4665" s="48"/>
      <c r="Z4665" s="48"/>
      <c r="AA4665" s="48"/>
      <c r="AB4665" s="48"/>
      <c r="AC4665" s="48"/>
      <c r="AD4665" s="48"/>
      <c r="AE4665" s="48"/>
      <c r="AF4665" s="48"/>
      <c r="AG4665" s="48"/>
      <c r="AH4665" s="48"/>
      <c r="AI4665" s="48"/>
      <c r="AJ4665" s="48"/>
      <c r="AK4665" s="48"/>
      <c r="AL4665" s="48"/>
      <c r="AM4665" s="48"/>
      <c r="AN4665" s="48"/>
      <c r="AO4665" s="48"/>
      <c r="AP4665" s="48"/>
      <c r="AQ4665" s="48"/>
      <c r="AR4665" s="48"/>
      <c r="AS4665" s="48"/>
      <c r="AT4665" s="48"/>
      <c r="AU4665" s="48"/>
      <c r="AV4665" s="48"/>
      <c r="AW4665" s="48"/>
      <c r="AX4665" s="48"/>
      <c r="AY4665" s="48"/>
      <c r="AZ4665" s="48"/>
      <c r="BA4665" s="48"/>
      <c r="BB4665" s="48"/>
      <c r="BC4665" s="48"/>
      <c r="BD4665" s="48"/>
    </row>
    <row r="4666" spans="1:56">
      <c r="A4666" s="48"/>
      <c r="B4666" s="48"/>
      <c r="C4666" s="49"/>
      <c r="D4666" s="48"/>
      <c r="E4666" s="48"/>
      <c r="F4666" s="48"/>
      <c r="G4666" s="48"/>
      <c r="H4666" s="48"/>
      <c r="I4666" s="48"/>
      <c r="J4666" s="86"/>
      <c r="K4666" s="86"/>
      <c r="L4666" s="86"/>
      <c r="M4666" s="86"/>
      <c r="N4666" s="86"/>
      <c r="O4666" s="86"/>
      <c r="P4666" s="86"/>
      <c r="Q4666" s="86"/>
      <c r="R4666" s="86"/>
      <c r="S4666" s="86"/>
      <c r="T4666" s="86"/>
      <c r="U4666" s="86"/>
      <c r="V4666" s="48"/>
      <c r="W4666" s="48"/>
      <c r="X4666" s="48"/>
      <c r="Y4666" s="48"/>
      <c r="Z4666" s="48"/>
      <c r="AA4666" s="48"/>
      <c r="AB4666" s="48"/>
      <c r="AC4666" s="48"/>
      <c r="AD4666" s="48"/>
      <c r="AE4666" s="48"/>
      <c r="AF4666" s="48"/>
      <c r="AG4666" s="48"/>
      <c r="AH4666" s="48"/>
      <c r="AI4666" s="48"/>
      <c r="AJ4666" s="48"/>
      <c r="AK4666" s="48"/>
      <c r="AL4666" s="48"/>
      <c r="AM4666" s="48"/>
      <c r="AN4666" s="48"/>
      <c r="AO4666" s="48"/>
      <c r="AP4666" s="48"/>
      <c r="AQ4666" s="48"/>
      <c r="AR4666" s="48"/>
      <c r="AS4666" s="48"/>
      <c r="AT4666" s="48"/>
      <c r="AU4666" s="48"/>
      <c r="AV4666" s="48"/>
      <c r="AW4666" s="48"/>
      <c r="AX4666" s="48"/>
      <c r="AY4666" s="48"/>
      <c r="AZ4666" s="48"/>
      <c r="BA4666" s="48"/>
      <c r="BB4666" s="48"/>
      <c r="BC4666" s="48"/>
      <c r="BD4666" s="48"/>
    </row>
    <row r="4667" spans="1:56">
      <c r="A4667" s="48"/>
      <c r="B4667" s="48"/>
      <c r="C4667" s="49"/>
      <c r="D4667" s="48"/>
      <c r="E4667" s="48"/>
      <c r="F4667" s="48"/>
      <c r="G4667" s="48"/>
      <c r="H4667" s="48"/>
      <c r="I4667" s="48"/>
      <c r="J4667" s="86"/>
      <c r="K4667" s="86"/>
      <c r="L4667" s="86"/>
      <c r="M4667" s="86"/>
      <c r="N4667" s="86"/>
      <c r="O4667" s="86"/>
      <c r="P4667" s="86"/>
      <c r="Q4667" s="86"/>
      <c r="R4667" s="86"/>
      <c r="S4667" s="86"/>
      <c r="T4667" s="86"/>
      <c r="U4667" s="86"/>
      <c r="V4667" s="48"/>
      <c r="W4667" s="48"/>
      <c r="X4667" s="48"/>
      <c r="Y4667" s="48"/>
      <c r="Z4667" s="48"/>
      <c r="AA4667" s="48"/>
      <c r="AB4667" s="48"/>
      <c r="AC4667" s="48"/>
      <c r="AD4667" s="48"/>
      <c r="AE4667" s="48"/>
      <c r="AF4667" s="48"/>
      <c r="AG4667" s="48"/>
      <c r="AH4667" s="48"/>
      <c r="AI4667" s="48"/>
      <c r="AJ4667" s="48"/>
      <c r="AK4667" s="48"/>
      <c r="AL4667" s="48"/>
      <c r="AM4667" s="48"/>
      <c r="AN4667" s="48"/>
      <c r="AO4667" s="48"/>
      <c r="AP4667" s="48"/>
      <c r="AQ4667" s="48"/>
      <c r="AR4667" s="48"/>
      <c r="AS4667" s="48"/>
      <c r="AT4667" s="48"/>
      <c r="AU4667" s="48"/>
      <c r="AV4667" s="48"/>
      <c r="AW4667" s="48"/>
      <c r="AX4667" s="48"/>
      <c r="AY4667" s="48"/>
      <c r="AZ4667" s="48"/>
      <c r="BA4667" s="48"/>
      <c r="BB4667" s="48"/>
      <c r="BC4667" s="48"/>
      <c r="BD4667" s="48"/>
    </row>
    <row r="4668" spans="1:56">
      <c r="A4668" s="48"/>
      <c r="B4668" s="48"/>
      <c r="C4668" s="49"/>
      <c r="D4668" s="48"/>
      <c r="E4668" s="48"/>
      <c r="F4668" s="48"/>
      <c r="G4668" s="48"/>
      <c r="H4668" s="48"/>
      <c r="I4668" s="48"/>
      <c r="J4668" s="86"/>
      <c r="K4668" s="86"/>
      <c r="L4668" s="86"/>
      <c r="M4668" s="86"/>
      <c r="N4668" s="86"/>
      <c r="O4668" s="86"/>
      <c r="P4668" s="86"/>
      <c r="Q4668" s="86"/>
      <c r="R4668" s="86"/>
      <c r="S4668" s="86"/>
      <c r="T4668" s="86"/>
      <c r="U4668" s="86"/>
      <c r="V4668" s="48"/>
      <c r="W4668" s="48"/>
      <c r="X4668" s="48"/>
      <c r="Y4668" s="48"/>
      <c r="Z4668" s="48"/>
      <c r="AA4668" s="48"/>
      <c r="AB4668" s="48"/>
      <c r="AC4668" s="48"/>
      <c r="AD4668" s="48"/>
      <c r="AE4668" s="48"/>
      <c r="AF4668" s="48"/>
      <c r="AG4668" s="48"/>
      <c r="AH4668" s="48"/>
      <c r="AI4668" s="48"/>
      <c r="AJ4668" s="48"/>
      <c r="AK4668" s="48"/>
      <c r="AL4668" s="48"/>
      <c r="AM4668" s="48"/>
      <c r="AN4668" s="48"/>
      <c r="AO4668" s="48"/>
      <c r="AP4668" s="48"/>
      <c r="AQ4668" s="48"/>
      <c r="AR4668" s="48"/>
      <c r="AS4668" s="48"/>
      <c r="AT4668" s="48"/>
      <c r="AU4668" s="48"/>
      <c r="AV4668" s="48"/>
      <c r="AW4668" s="48"/>
      <c r="AX4668" s="48"/>
      <c r="AY4668" s="48"/>
      <c r="AZ4668" s="48"/>
      <c r="BA4668" s="48"/>
      <c r="BB4668" s="48"/>
      <c r="BC4668" s="48"/>
      <c r="BD4668" s="48"/>
    </row>
    <row r="4669" spans="1:56">
      <c r="A4669" s="48"/>
      <c r="B4669" s="48"/>
      <c r="C4669" s="49"/>
      <c r="D4669" s="48"/>
      <c r="E4669" s="48"/>
      <c r="F4669" s="48"/>
      <c r="G4669" s="48"/>
      <c r="H4669" s="48"/>
      <c r="I4669" s="48"/>
      <c r="J4669" s="86"/>
      <c r="K4669" s="86"/>
      <c r="L4669" s="86"/>
      <c r="M4669" s="86"/>
      <c r="N4669" s="86"/>
      <c r="O4669" s="86"/>
      <c r="P4669" s="86"/>
      <c r="Q4669" s="86"/>
      <c r="R4669" s="86"/>
      <c r="S4669" s="86"/>
      <c r="T4669" s="86"/>
      <c r="U4669" s="86"/>
      <c r="V4669" s="48"/>
      <c r="W4669" s="48"/>
      <c r="X4669" s="48"/>
      <c r="Y4669" s="48"/>
      <c r="Z4669" s="48"/>
      <c r="AA4669" s="48"/>
      <c r="AB4669" s="48"/>
      <c r="AC4669" s="48"/>
      <c r="AD4669" s="48"/>
      <c r="AE4669" s="48"/>
      <c r="AF4669" s="48"/>
      <c r="AG4669" s="48"/>
      <c r="AH4669" s="48"/>
      <c r="AI4669" s="48"/>
      <c r="AJ4669" s="48"/>
      <c r="AK4669" s="48"/>
      <c r="AL4669" s="48"/>
      <c r="AM4669" s="48"/>
      <c r="AN4669" s="48"/>
      <c r="AO4669" s="48"/>
      <c r="AP4669" s="48"/>
      <c r="AQ4669" s="48"/>
      <c r="AR4669" s="48"/>
      <c r="AS4669" s="48"/>
      <c r="AT4669" s="48"/>
      <c r="AU4669" s="48"/>
      <c r="AV4669" s="48"/>
      <c r="AW4669" s="48"/>
      <c r="AX4669" s="48"/>
      <c r="AY4669" s="48"/>
      <c r="AZ4669" s="48"/>
      <c r="BA4669" s="48"/>
      <c r="BB4669" s="48"/>
      <c r="BC4669" s="48"/>
      <c r="BD4669" s="48"/>
    </row>
    <row r="4670" spans="1:56">
      <c r="A4670" s="48"/>
      <c r="B4670" s="48"/>
      <c r="C4670" s="49"/>
      <c r="D4670" s="48"/>
      <c r="E4670" s="48"/>
      <c r="F4670" s="48"/>
      <c r="G4670" s="48"/>
      <c r="H4670" s="48"/>
      <c r="I4670" s="48"/>
      <c r="J4670" s="86"/>
      <c r="K4670" s="86"/>
      <c r="L4670" s="86"/>
      <c r="M4670" s="86"/>
      <c r="N4670" s="86"/>
      <c r="O4670" s="86"/>
      <c r="P4670" s="86"/>
      <c r="Q4670" s="86"/>
      <c r="R4670" s="86"/>
      <c r="S4670" s="86"/>
      <c r="T4670" s="86"/>
      <c r="U4670" s="86"/>
      <c r="V4670" s="48"/>
      <c r="W4670" s="48"/>
      <c r="X4670" s="48"/>
      <c r="Y4670" s="48"/>
      <c r="Z4670" s="48"/>
      <c r="AA4670" s="48"/>
      <c r="AB4670" s="48"/>
      <c r="AC4670" s="48"/>
      <c r="AD4670" s="48"/>
      <c r="AE4670" s="48"/>
      <c r="AF4670" s="48"/>
      <c r="AG4670" s="48"/>
      <c r="AH4670" s="48"/>
      <c r="AI4670" s="48"/>
      <c r="AJ4670" s="48"/>
      <c r="AK4670" s="48"/>
      <c r="AL4670" s="48"/>
      <c r="AM4670" s="48"/>
      <c r="AN4670" s="48"/>
      <c r="AO4670" s="48"/>
      <c r="AP4670" s="48"/>
      <c r="AQ4670" s="48"/>
      <c r="AR4670" s="48"/>
      <c r="AS4670" s="48"/>
      <c r="AT4670" s="48"/>
      <c r="AU4670" s="48"/>
      <c r="AV4670" s="48"/>
      <c r="AW4670" s="48"/>
      <c r="AX4670" s="48"/>
      <c r="AY4670" s="48"/>
      <c r="AZ4670" s="48"/>
      <c r="BA4670" s="48"/>
      <c r="BB4670" s="48"/>
      <c r="BC4670" s="48"/>
      <c r="BD4670" s="48"/>
    </row>
    <row r="4671" spans="1:56">
      <c r="A4671" s="48"/>
      <c r="B4671" s="48"/>
      <c r="C4671" s="49"/>
      <c r="D4671" s="48"/>
      <c r="E4671" s="48"/>
      <c r="F4671" s="48"/>
      <c r="G4671" s="48"/>
      <c r="H4671" s="48"/>
      <c r="I4671" s="48"/>
      <c r="J4671" s="86"/>
      <c r="K4671" s="86"/>
      <c r="L4671" s="86"/>
      <c r="M4671" s="86"/>
      <c r="N4671" s="86"/>
      <c r="O4671" s="86"/>
      <c r="P4671" s="86"/>
      <c r="Q4671" s="86"/>
      <c r="R4671" s="86"/>
      <c r="S4671" s="86"/>
      <c r="T4671" s="86"/>
      <c r="U4671" s="86"/>
      <c r="V4671" s="48"/>
      <c r="W4671" s="48"/>
      <c r="X4671" s="48"/>
      <c r="Y4671" s="48"/>
      <c r="Z4671" s="48"/>
      <c r="AA4671" s="48"/>
      <c r="AB4671" s="48"/>
      <c r="AC4671" s="48"/>
      <c r="AD4671" s="48"/>
      <c r="AE4671" s="48"/>
      <c r="AF4671" s="48"/>
      <c r="AG4671" s="48"/>
      <c r="AH4671" s="48"/>
      <c r="AI4671" s="48"/>
      <c r="AJ4671" s="48"/>
      <c r="AK4671" s="48"/>
      <c r="AL4671" s="48"/>
      <c r="AM4671" s="48"/>
      <c r="AN4671" s="48"/>
      <c r="AO4671" s="48"/>
      <c r="AP4671" s="48"/>
      <c r="AQ4671" s="48"/>
      <c r="AR4671" s="48"/>
      <c r="AS4671" s="48"/>
      <c r="AT4671" s="48"/>
      <c r="AU4671" s="48"/>
      <c r="AV4671" s="48"/>
      <c r="AW4671" s="48"/>
      <c r="AX4671" s="48"/>
      <c r="AY4671" s="48"/>
      <c r="AZ4671" s="48"/>
      <c r="BA4671" s="48"/>
      <c r="BB4671" s="48"/>
      <c r="BC4671" s="48"/>
      <c r="BD4671" s="48"/>
    </row>
    <row r="4672" spans="1:56">
      <c r="A4672" s="48"/>
      <c r="B4672" s="48"/>
      <c r="C4672" s="49"/>
      <c r="D4672" s="48"/>
      <c r="E4672" s="48"/>
      <c r="F4672" s="48"/>
      <c r="G4672" s="48"/>
      <c r="H4672" s="48"/>
      <c r="I4672" s="48"/>
      <c r="J4672" s="86"/>
      <c r="K4672" s="86"/>
      <c r="L4672" s="86"/>
      <c r="M4672" s="86"/>
      <c r="N4672" s="86"/>
      <c r="O4672" s="86"/>
      <c r="P4672" s="86"/>
      <c r="Q4672" s="86"/>
      <c r="R4672" s="86"/>
      <c r="S4672" s="86"/>
      <c r="T4672" s="86"/>
      <c r="U4672" s="86"/>
      <c r="V4672" s="48"/>
      <c r="W4672" s="48"/>
      <c r="X4672" s="48"/>
      <c r="Y4672" s="48"/>
      <c r="Z4672" s="48"/>
      <c r="AA4672" s="48"/>
      <c r="AB4672" s="48"/>
      <c r="AC4672" s="48"/>
      <c r="AD4672" s="48"/>
      <c r="AE4672" s="48"/>
      <c r="AF4672" s="48"/>
      <c r="AG4672" s="48"/>
      <c r="AH4672" s="48"/>
      <c r="AI4672" s="48"/>
      <c r="AJ4672" s="48"/>
      <c r="AK4672" s="48"/>
      <c r="AL4672" s="48"/>
      <c r="AM4672" s="48"/>
      <c r="AN4672" s="48"/>
      <c r="AO4672" s="48"/>
      <c r="AP4672" s="48"/>
      <c r="AQ4672" s="48"/>
      <c r="AR4672" s="48"/>
      <c r="AS4672" s="48"/>
      <c r="AT4672" s="48"/>
      <c r="AU4672" s="48"/>
      <c r="AV4672" s="48"/>
      <c r="AW4672" s="48"/>
      <c r="AX4672" s="48"/>
      <c r="AY4672" s="48"/>
      <c r="AZ4672" s="48"/>
      <c r="BA4672" s="48"/>
      <c r="BB4672" s="48"/>
      <c r="BC4672" s="48"/>
      <c r="BD4672" s="48"/>
    </row>
    <row r="4673" spans="1:56">
      <c r="A4673" s="48"/>
      <c r="B4673" s="48"/>
      <c r="C4673" s="49"/>
      <c r="D4673" s="48"/>
      <c r="E4673" s="48"/>
      <c r="F4673" s="48"/>
      <c r="G4673" s="48"/>
      <c r="H4673" s="48"/>
      <c r="I4673" s="48"/>
      <c r="J4673" s="86"/>
      <c r="K4673" s="86"/>
      <c r="L4673" s="86"/>
      <c r="M4673" s="86"/>
      <c r="N4673" s="86"/>
      <c r="O4673" s="86"/>
      <c r="P4673" s="86"/>
      <c r="Q4673" s="86"/>
      <c r="R4673" s="86"/>
      <c r="S4673" s="86"/>
      <c r="T4673" s="86"/>
      <c r="U4673" s="86"/>
      <c r="V4673" s="48"/>
      <c r="W4673" s="48"/>
      <c r="X4673" s="48"/>
      <c r="Y4673" s="48"/>
      <c r="Z4673" s="48"/>
      <c r="AA4673" s="48"/>
      <c r="AB4673" s="48"/>
      <c r="AC4673" s="48"/>
      <c r="AD4673" s="48"/>
      <c r="AE4673" s="48"/>
      <c r="AF4673" s="48"/>
      <c r="AG4673" s="48"/>
      <c r="AH4673" s="48"/>
      <c r="AI4673" s="48"/>
      <c r="AJ4673" s="48"/>
      <c r="AK4673" s="48"/>
      <c r="AL4673" s="48"/>
      <c r="AM4673" s="48"/>
      <c r="AN4673" s="48"/>
      <c r="AO4673" s="48"/>
      <c r="AP4673" s="48"/>
      <c r="AQ4673" s="48"/>
      <c r="AR4673" s="48"/>
      <c r="AS4673" s="48"/>
      <c r="AT4673" s="48"/>
      <c r="AU4673" s="48"/>
      <c r="AV4673" s="48"/>
      <c r="AW4673" s="48"/>
      <c r="AX4673" s="48"/>
      <c r="AY4673" s="48"/>
      <c r="AZ4673" s="48"/>
      <c r="BA4673" s="48"/>
      <c r="BB4673" s="48"/>
      <c r="BC4673" s="48"/>
      <c r="BD4673" s="48"/>
    </row>
    <row r="4674" spans="1:56">
      <c r="A4674" s="48"/>
      <c r="B4674" s="48"/>
      <c r="C4674" s="49"/>
      <c r="D4674" s="48"/>
      <c r="E4674" s="48"/>
      <c r="F4674" s="48"/>
      <c r="G4674" s="48"/>
      <c r="H4674" s="48"/>
      <c r="I4674" s="48"/>
      <c r="J4674" s="86"/>
      <c r="K4674" s="86"/>
      <c r="L4674" s="86"/>
      <c r="M4674" s="86"/>
      <c r="N4674" s="86"/>
      <c r="O4674" s="86"/>
      <c r="P4674" s="86"/>
      <c r="Q4674" s="86"/>
      <c r="R4674" s="86"/>
      <c r="S4674" s="86"/>
      <c r="T4674" s="86"/>
      <c r="U4674" s="86"/>
      <c r="V4674" s="48"/>
      <c r="W4674" s="48"/>
      <c r="X4674" s="48"/>
      <c r="Y4674" s="48"/>
      <c r="Z4674" s="48"/>
      <c r="AA4674" s="48"/>
      <c r="AB4674" s="48"/>
      <c r="AC4674" s="48"/>
      <c r="AD4674" s="48"/>
      <c r="AE4674" s="48"/>
      <c r="AF4674" s="48"/>
      <c r="AG4674" s="48"/>
      <c r="AH4674" s="48"/>
      <c r="AI4674" s="48"/>
      <c r="AJ4674" s="48"/>
      <c r="AK4674" s="48"/>
      <c r="AL4674" s="48"/>
      <c r="AM4674" s="48"/>
      <c r="AN4674" s="48"/>
      <c r="AO4674" s="48"/>
      <c r="AP4674" s="48"/>
      <c r="AQ4674" s="48"/>
      <c r="AR4674" s="48"/>
      <c r="AS4674" s="48"/>
      <c r="AT4674" s="48"/>
      <c r="AU4674" s="48"/>
      <c r="AV4674" s="48"/>
      <c r="AW4674" s="48"/>
      <c r="AX4674" s="48"/>
      <c r="AY4674" s="48"/>
      <c r="AZ4674" s="48"/>
      <c r="BA4674" s="48"/>
      <c r="BB4674" s="48"/>
      <c r="BC4674" s="48"/>
      <c r="BD4674" s="48"/>
    </row>
    <row r="4675" spans="1:56">
      <c r="A4675" s="48"/>
      <c r="B4675" s="48"/>
      <c r="C4675" s="49"/>
      <c r="D4675" s="48"/>
      <c r="E4675" s="48"/>
      <c r="F4675" s="48"/>
      <c r="G4675" s="48"/>
      <c r="H4675" s="48"/>
      <c r="I4675" s="48"/>
      <c r="J4675" s="86"/>
      <c r="K4675" s="86"/>
      <c r="L4675" s="86"/>
      <c r="M4675" s="86"/>
      <c r="N4675" s="86"/>
      <c r="O4675" s="86"/>
      <c r="P4675" s="86"/>
      <c r="Q4675" s="86"/>
      <c r="R4675" s="86"/>
      <c r="S4675" s="86"/>
      <c r="T4675" s="86"/>
      <c r="U4675" s="86"/>
      <c r="V4675" s="48"/>
      <c r="W4675" s="48"/>
      <c r="X4675" s="48"/>
      <c r="Y4675" s="48"/>
      <c r="Z4675" s="48"/>
      <c r="AA4675" s="48"/>
      <c r="AB4675" s="48"/>
      <c r="AC4675" s="48"/>
      <c r="AD4675" s="48"/>
      <c r="AE4675" s="48"/>
      <c r="AF4675" s="48"/>
      <c r="AG4675" s="48"/>
      <c r="AH4675" s="48"/>
      <c r="AI4675" s="48"/>
      <c r="AJ4675" s="48"/>
      <c r="AK4675" s="48"/>
      <c r="AL4675" s="48"/>
      <c r="AM4675" s="48"/>
      <c r="AN4675" s="48"/>
      <c r="AO4675" s="48"/>
      <c r="AP4675" s="48"/>
      <c r="AQ4675" s="48"/>
      <c r="AR4675" s="48"/>
      <c r="AS4675" s="48"/>
      <c r="AT4675" s="48"/>
      <c r="AU4675" s="48"/>
      <c r="AV4675" s="48"/>
      <c r="AW4675" s="48"/>
      <c r="AX4675" s="48"/>
      <c r="AY4675" s="48"/>
      <c r="AZ4675" s="48"/>
      <c r="BA4675" s="48"/>
      <c r="BB4675" s="48"/>
      <c r="BC4675" s="48"/>
      <c r="BD4675" s="48"/>
    </row>
    <row r="4676" spans="1:56">
      <c r="A4676" s="48"/>
      <c r="B4676" s="48"/>
      <c r="C4676" s="49"/>
      <c r="D4676" s="48"/>
      <c r="E4676" s="48"/>
      <c r="F4676" s="48"/>
      <c r="G4676" s="48"/>
      <c r="H4676" s="48"/>
      <c r="I4676" s="48"/>
      <c r="J4676" s="86"/>
      <c r="K4676" s="86"/>
      <c r="L4676" s="86"/>
      <c r="M4676" s="86"/>
      <c r="N4676" s="86"/>
      <c r="O4676" s="86"/>
      <c r="P4676" s="86"/>
      <c r="Q4676" s="86"/>
      <c r="R4676" s="86"/>
      <c r="S4676" s="86"/>
      <c r="T4676" s="86"/>
      <c r="U4676" s="86"/>
      <c r="V4676" s="48"/>
      <c r="W4676" s="48"/>
      <c r="X4676" s="48"/>
      <c r="Y4676" s="48"/>
      <c r="Z4676" s="48"/>
      <c r="AA4676" s="48"/>
      <c r="AB4676" s="48"/>
      <c r="AC4676" s="48"/>
      <c r="AD4676" s="48"/>
      <c r="AE4676" s="48"/>
      <c r="AF4676" s="48"/>
      <c r="AG4676" s="48"/>
      <c r="AH4676" s="48"/>
      <c r="AI4676" s="48"/>
      <c r="AJ4676" s="48"/>
      <c r="AK4676" s="48"/>
      <c r="AL4676" s="48"/>
      <c r="AM4676" s="48"/>
      <c r="AN4676" s="48"/>
      <c r="AO4676" s="48"/>
      <c r="AP4676" s="48"/>
      <c r="AQ4676" s="48"/>
      <c r="AR4676" s="48"/>
      <c r="AS4676" s="48"/>
      <c r="AT4676" s="48"/>
      <c r="AU4676" s="48"/>
      <c r="AV4676" s="48"/>
      <c r="AW4676" s="48"/>
      <c r="AX4676" s="48"/>
      <c r="AY4676" s="48"/>
      <c r="AZ4676" s="48"/>
      <c r="BA4676" s="48"/>
      <c r="BB4676" s="48"/>
      <c r="BC4676" s="48"/>
      <c r="BD4676" s="48"/>
    </row>
    <row r="4677" spans="1:56">
      <c r="A4677" s="48"/>
      <c r="B4677" s="48"/>
      <c r="C4677" s="49"/>
      <c r="D4677" s="48"/>
      <c r="E4677" s="48"/>
      <c r="F4677" s="48"/>
      <c r="G4677" s="48"/>
      <c r="H4677" s="48"/>
      <c r="I4677" s="48"/>
      <c r="J4677" s="86"/>
      <c r="K4677" s="86"/>
      <c r="L4677" s="86"/>
      <c r="M4677" s="86"/>
      <c r="N4677" s="86"/>
      <c r="O4677" s="86"/>
      <c r="P4677" s="86"/>
      <c r="Q4677" s="86"/>
      <c r="R4677" s="86"/>
      <c r="S4677" s="86"/>
      <c r="T4677" s="86"/>
      <c r="U4677" s="86"/>
      <c r="V4677" s="48"/>
      <c r="W4677" s="48"/>
      <c r="X4677" s="48"/>
      <c r="Y4677" s="48"/>
      <c r="Z4677" s="48"/>
      <c r="AA4677" s="48"/>
      <c r="AB4677" s="48"/>
      <c r="AC4677" s="48"/>
      <c r="AD4677" s="48"/>
      <c r="AE4677" s="48"/>
      <c r="AF4677" s="48"/>
      <c r="AG4677" s="48"/>
      <c r="AH4677" s="48"/>
      <c r="AI4677" s="48"/>
      <c r="AJ4677" s="48"/>
      <c r="AK4677" s="48"/>
      <c r="AL4677" s="48"/>
      <c r="AM4677" s="48"/>
      <c r="AN4677" s="48"/>
      <c r="AO4677" s="48"/>
      <c r="AP4677" s="48"/>
      <c r="AQ4677" s="48"/>
      <c r="AR4677" s="48"/>
      <c r="AS4677" s="48"/>
      <c r="AT4677" s="48"/>
      <c r="AU4677" s="48"/>
      <c r="AV4677" s="48"/>
      <c r="AW4677" s="48"/>
      <c r="AX4677" s="48"/>
      <c r="AY4677" s="48"/>
      <c r="AZ4677" s="48"/>
      <c r="BA4677" s="48"/>
      <c r="BB4677" s="48"/>
      <c r="BC4677" s="48"/>
      <c r="BD4677" s="48"/>
    </row>
    <row r="4678" spans="1:56">
      <c r="A4678" s="48"/>
      <c r="B4678" s="48"/>
      <c r="C4678" s="49"/>
      <c r="D4678" s="48"/>
      <c r="E4678" s="48"/>
      <c r="F4678" s="48"/>
      <c r="G4678" s="48"/>
      <c r="H4678" s="48"/>
      <c r="I4678" s="48"/>
      <c r="J4678" s="86"/>
      <c r="K4678" s="86"/>
      <c r="L4678" s="86"/>
      <c r="M4678" s="86"/>
      <c r="N4678" s="86"/>
      <c r="O4678" s="86"/>
      <c r="P4678" s="86"/>
      <c r="Q4678" s="86"/>
      <c r="R4678" s="86"/>
      <c r="S4678" s="86"/>
      <c r="T4678" s="86"/>
      <c r="U4678" s="86"/>
      <c r="V4678" s="48"/>
      <c r="W4678" s="48"/>
      <c r="X4678" s="48"/>
      <c r="Y4678" s="48"/>
      <c r="Z4678" s="48"/>
      <c r="AA4678" s="48"/>
      <c r="AB4678" s="48"/>
      <c r="AC4678" s="48"/>
      <c r="AD4678" s="48"/>
      <c r="AE4678" s="48"/>
      <c r="AF4678" s="48"/>
      <c r="AG4678" s="48"/>
      <c r="AH4678" s="48"/>
      <c r="AI4678" s="48"/>
      <c r="AJ4678" s="48"/>
      <c r="AK4678" s="48"/>
      <c r="AL4678" s="48"/>
      <c r="AM4678" s="48"/>
      <c r="AN4678" s="48"/>
      <c r="AO4678" s="48"/>
      <c r="AP4678" s="48"/>
      <c r="AQ4678" s="48"/>
      <c r="AR4678" s="48"/>
      <c r="AS4678" s="48"/>
      <c r="AT4678" s="48"/>
      <c r="AU4678" s="48"/>
      <c r="AV4678" s="48"/>
      <c r="AW4678" s="48"/>
      <c r="AX4678" s="48"/>
      <c r="AY4678" s="48"/>
      <c r="AZ4678" s="48"/>
      <c r="BA4678" s="48"/>
      <c r="BB4678" s="48"/>
      <c r="BC4678" s="48"/>
      <c r="BD4678" s="48"/>
    </row>
    <row r="4679" spans="1:56">
      <c r="A4679" s="48"/>
      <c r="B4679" s="48"/>
      <c r="C4679" s="49"/>
      <c r="D4679" s="48"/>
      <c r="E4679" s="48"/>
      <c r="F4679" s="48"/>
      <c r="G4679" s="48"/>
      <c r="H4679" s="48"/>
      <c r="I4679" s="48"/>
      <c r="J4679" s="86"/>
      <c r="K4679" s="86"/>
      <c r="L4679" s="86"/>
      <c r="M4679" s="86"/>
      <c r="N4679" s="86"/>
      <c r="O4679" s="86"/>
      <c r="P4679" s="86"/>
      <c r="Q4679" s="86"/>
      <c r="R4679" s="86"/>
      <c r="S4679" s="86"/>
      <c r="T4679" s="86"/>
      <c r="U4679" s="86"/>
      <c r="V4679" s="48"/>
      <c r="W4679" s="48"/>
      <c r="X4679" s="48"/>
      <c r="Y4679" s="48"/>
      <c r="Z4679" s="48"/>
      <c r="AA4679" s="48"/>
      <c r="AB4679" s="48"/>
      <c r="AC4679" s="48"/>
      <c r="AD4679" s="48"/>
      <c r="AE4679" s="48"/>
      <c r="AF4679" s="48"/>
      <c r="AG4679" s="48"/>
      <c r="AH4679" s="48"/>
      <c r="AI4679" s="48"/>
      <c r="AJ4679" s="48"/>
      <c r="AK4679" s="48"/>
      <c r="AL4679" s="48"/>
      <c r="AM4679" s="48"/>
      <c r="AN4679" s="48"/>
      <c r="AO4679" s="48"/>
      <c r="AP4679" s="48"/>
      <c r="AQ4679" s="48"/>
      <c r="AR4679" s="48"/>
      <c r="AS4679" s="48"/>
      <c r="AT4679" s="48"/>
      <c r="AU4679" s="48"/>
      <c r="AV4679" s="48"/>
      <c r="AW4679" s="48"/>
      <c r="AX4679" s="48"/>
      <c r="AY4679" s="48"/>
      <c r="AZ4679" s="48"/>
      <c r="BA4679" s="48"/>
      <c r="BB4679" s="48"/>
      <c r="BC4679" s="48"/>
      <c r="BD4679" s="48"/>
    </row>
    <row r="4680" spans="1:56">
      <c r="A4680" s="48"/>
      <c r="B4680" s="48"/>
      <c r="C4680" s="49"/>
      <c r="D4680" s="48"/>
      <c r="E4680" s="48"/>
      <c r="F4680" s="48"/>
      <c r="G4680" s="48"/>
      <c r="H4680" s="48"/>
      <c r="I4680" s="48"/>
      <c r="J4680" s="86"/>
      <c r="K4680" s="86"/>
      <c r="L4680" s="86"/>
      <c r="M4680" s="86"/>
      <c r="N4680" s="86"/>
      <c r="O4680" s="86"/>
      <c r="P4680" s="86"/>
      <c r="Q4680" s="86"/>
      <c r="R4680" s="86"/>
      <c r="S4680" s="86"/>
      <c r="T4680" s="86"/>
      <c r="U4680" s="86"/>
      <c r="V4680" s="48"/>
      <c r="W4680" s="48"/>
      <c r="X4680" s="48"/>
      <c r="Y4680" s="48"/>
      <c r="Z4680" s="48"/>
      <c r="AA4680" s="48"/>
      <c r="AB4680" s="48"/>
      <c r="AC4680" s="48"/>
      <c r="AD4680" s="48"/>
      <c r="AE4680" s="48"/>
      <c r="AF4680" s="48"/>
      <c r="AG4680" s="48"/>
      <c r="AH4680" s="48"/>
      <c r="AI4680" s="48"/>
      <c r="AJ4680" s="48"/>
      <c r="AK4680" s="48"/>
      <c r="AL4680" s="48"/>
      <c r="AM4680" s="48"/>
      <c r="AN4680" s="48"/>
      <c r="AO4680" s="48"/>
      <c r="AP4680" s="48"/>
      <c r="AQ4680" s="48"/>
      <c r="AR4680" s="48"/>
      <c r="AS4680" s="48"/>
      <c r="AT4680" s="48"/>
      <c r="AU4680" s="48"/>
      <c r="AV4680" s="48"/>
      <c r="AW4680" s="48"/>
      <c r="AX4680" s="48"/>
      <c r="AY4680" s="48"/>
      <c r="AZ4680" s="48"/>
      <c r="BA4680" s="48"/>
      <c r="BB4680" s="48"/>
      <c r="BC4680" s="48"/>
      <c r="BD4680" s="48"/>
    </row>
    <row r="4681" spans="1:56">
      <c r="A4681" s="48"/>
      <c r="B4681" s="48"/>
      <c r="C4681" s="49"/>
      <c r="D4681" s="48"/>
      <c r="E4681" s="48"/>
      <c r="F4681" s="48"/>
      <c r="G4681" s="48"/>
      <c r="H4681" s="48"/>
      <c r="I4681" s="48"/>
      <c r="J4681" s="86"/>
      <c r="K4681" s="86"/>
      <c r="L4681" s="86"/>
      <c r="M4681" s="86"/>
      <c r="N4681" s="86"/>
      <c r="O4681" s="86"/>
      <c r="P4681" s="86"/>
      <c r="Q4681" s="86"/>
      <c r="R4681" s="86"/>
      <c r="S4681" s="86"/>
      <c r="T4681" s="86"/>
      <c r="U4681" s="86"/>
      <c r="V4681" s="48"/>
      <c r="W4681" s="48"/>
      <c r="X4681" s="48"/>
      <c r="Y4681" s="48"/>
      <c r="Z4681" s="48"/>
      <c r="AA4681" s="48"/>
      <c r="AB4681" s="48"/>
      <c r="AC4681" s="48"/>
      <c r="AD4681" s="48"/>
      <c r="AE4681" s="48"/>
      <c r="AF4681" s="48"/>
      <c r="AG4681" s="48"/>
      <c r="AH4681" s="48"/>
      <c r="AI4681" s="48"/>
      <c r="AJ4681" s="48"/>
      <c r="AK4681" s="48"/>
      <c r="AL4681" s="48"/>
      <c r="AM4681" s="48"/>
      <c r="AN4681" s="48"/>
      <c r="AO4681" s="48"/>
      <c r="AP4681" s="48"/>
      <c r="AQ4681" s="48"/>
      <c r="AR4681" s="48"/>
      <c r="AS4681" s="48"/>
      <c r="AT4681" s="48"/>
      <c r="AU4681" s="48"/>
      <c r="AV4681" s="48"/>
      <c r="AW4681" s="48"/>
      <c r="AX4681" s="48"/>
      <c r="AY4681" s="48"/>
      <c r="AZ4681" s="48"/>
      <c r="BA4681" s="48"/>
      <c r="BB4681" s="48"/>
      <c r="BC4681" s="48"/>
      <c r="BD4681" s="48"/>
    </row>
    <row r="4682" spans="1:56">
      <c r="A4682" s="48"/>
      <c r="B4682" s="48"/>
      <c r="C4682" s="49"/>
      <c r="D4682" s="48"/>
      <c r="E4682" s="48"/>
      <c r="F4682" s="48"/>
      <c r="G4682" s="48"/>
      <c r="H4682" s="48"/>
      <c r="I4682" s="48"/>
      <c r="J4682" s="86"/>
      <c r="K4682" s="86"/>
      <c r="L4682" s="86"/>
      <c r="M4682" s="86"/>
      <c r="N4682" s="86"/>
      <c r="O4682" s="86"/>
      <c r="P4682" s="86"/>
      <c r="Q4682" s="86"/>
      <c r="R4682" s="86"/>
      <c r="S4682" s="86"/>
      <c r="T4682" s="86"/>
      <c r="U4682" s="86"/>
      <c r="V4682" s="48"/>
      <c r="W4682" s="48"/>
      <c r="X4682" s="48"/>
      <c r="Y4682" s="48"/>
      <c r="Z4682" s="48"/>
      <c r="AA4682" s="48"/>
      <c r="AB4682" s="48"/>
      <c r="AC4682" s="48"/>
      <c r="AD4682" s="48"/>
      <c r="AE4682" s="48"/>
      <c r="AF4682" s="48"/>
      <c r="AG4682" s="48"/>
      <c r="AH4682" s="48"/>
      <c r="AI4682" s="48"/>
      <c r="AJ4682" s="48"/>
      <c r="AK4682" s="48"/>
      <c r="AL4682" s="48"/>
      <c r="AM4682" s="48"/>
      <c r="AN4682" s="48"/>
      <c r="AO4682" s="48"/>
      <c r="AP4682" s="48"/>
      <c r="AQ4682" s="48"/>
      <c r="AR4682" s="48"/>
      <c r="AS4682" s="48"/>
      <c r="AT4682" s="48"/>
      <c r="AU4682" s="48"/>
      <c r="AV4682" s="48"/>
      <c r="AW4682" s="48"/>
      <c r="AX4682" s="48"/>
      <c r="AY4682" s="48"/>
      <c r="AZ4682" s="48"/>
      <c r="BA4682" s="48"/>
      <c r="BB4682" s="48"/>
      <c r="BC4682" s="48"/>
      <c r="BD4682" s="48"/>
    </row>
    <row r="4683" spans="1:56">
      <c r="A4683" s="48"/>
      <c r="B4683" s="48"/>
      <c r="C4683" s="49"/>
      <c r="D4683" s="48"/>
      <c r="E4683" s="48"/>
      <c r="F4683" s="48"/>
      <c r="G4683" s="48"/>
      <c r="H4683" s="48"/>
      <c r="I4683" s="48"/>
      <c r="J4683" s="86"/>
      <c r="K4683" s="86"/>
      <c r="L4683" s="86"/>
      <c r="M4683" s="86"/>
      <c r="N4683" s="86"/>
      <c r="O4683" s="86"/>
      <c r="P4683" s="86"/>
      <c r="Q4683" s="86"/>
      <c r="R4683" s="86"/>
      <c r="S4683" s="86"/>
      <c r="T4683" s="86"/>
      <c r="U4683" s="86"/>
      <c r="V4683" s="48"/>
      <c r="W4683" s="48"/>
      <c r="X4683" s="48"/>
      <c r="Y4683" s="48"/>
      <c r="Z4683" s="48"/>
      <c r="AA4683" s="48"/>
      <c r="AB4683" s="48"/>
      <c r="AC4683" s="48"/>
      <c r="AD4683" s="48"/>
      <c r="AE4683" s="48"/>
      <c r="AF4683" s="48"/>
      <c r="AG4683" s="48"/>
      <c r="AH4683" s="48"/>
      <c r="AI4683" s="48"/>
      <c r="AJ4683" s="48"/>
      <c r="AK4683" s="48"/>
      <c r="AL4683" s="48"/>
      <c r="AM4683" s="48"/>
      <c r="AN4683" s="48"/>
      <c r="AO4683" s="48"/>
      <c r="AP4683" s="48"/>
      <c r="AQ4683" s="48"/>
      <c r="AR4683" s="48"/>
      <c r="AS4683" s="48"/>
      <c r="AT4683" s="48"/>
      <c r="AU4683" s="48"/>
      <c r="AV4683" s="48"/>
      <c r="AW4683" s="48"/>
      <c r="AX4683" s="48"/>
      <c r="AY4683" s="48"/>
      <c r="AZ4683" s="48"/>
      <c r="BA4683" s="48"/>
      <c r="BB4683" s="48"/>
      <c r="BC4683" s="48"/>
      <c r="BD4683" s="48"/>
    </row>
    <row r="4684" spans="1:56">
      <c r="A4684" s="48"/>
      <c r="B4684" s="48"/>
      <c r="C4684" s="49"/>
      <c r="D4684" s="48"/>
      <c r="E4684" s="48"/>
      <c r="F4684" s="48"/>
      <c r="G4684" s="48"/>
      <c r="H4684" s="48"/>
      <c r="I4684" s="48"/>
      <c r="J4684" s="86"/>
      <c r="K4684" s="86"/>
      <c r="L4684" s="86"/>
      <c r="M4684" s="86"/>
      <c r="N4684" s="86"/>
      <c r="O4684" s="86"/>
      <c r="P4684" s="86"/>
      <c r="Q4684" s="86"/>
      <c r="R4684" s="86"/>
      <c r="S4684" s="86"/>
      <c r="T4684" s="86"/>
      <c r="U4684" s="86"/>
      <c r="V4684" s="48"/>
      <c r="W4684" s="48"/>
      <c r="X4684" s="48"/>
      <c r="Y4684" s="48"/>
      <c r="Z4684" s="48"/>
      <c r="AA4684" s="48"/>
      <c r="AB4684" s="48"/>
      <c r="AC4684" s="48"/>
      <c r="AD4684" s="48"/>
      <c r="AE4684" s="48"/>
      <c r="AF4684" s="48"/>
      <c r="AG4684" s="48"/>
      <c r="AH4684" s="48"/>
      <c r="AI4684" s="48"/>
      <c r="AJ4684" s="48"/>
      <c r="AK4684" s="48"/>
      <c r="AL4684" s="48"/>
      <c r="AM4684" s="48"/>
      <c r="AN4684" s="48"/>
      <c r="AO4684" s="48"/>
      <c r="AP4684" s="48"/>
      <c r="AQ4684" s="48"/>
      <c r="AR4684" s="48"/>
      <c r="AS4684" s="48"/>
      <c r="AT4684" s="48"/>
      <c r="AU4684" s="48"/>
      <c r="AV4684" s="48"/>
      <c r="AW4684" s="48"/>
      <c r="AX4684" s="48"/>
      <c r="AY4684" s="48"/>
      <c r="AZ4684" s="48"/>
      <c r="BA4684" s="48"/>
      <c r="BB4684" s="48"/>
      <c r="BC4684" s="48"/>
      <c r="BD4684" s="48"/>
    </row>
    <row r="4685" spans="1:56">
      <c r="A4685" s="48"/>
      <c r="B4685" s="48"/>
      <c r="C4685" s="49"/>
      <c r="D4685" s="48"/>
      <c r="E4685" s="48"/>
      <c r="F4685" s="48"/>
      <c r="G4685" s="48"/>
      <c r="H4685" s="48"/>
      <c r="I4685" s="48"/>
      <c r="J4685" s="86"/>
      <c r="K4685" s="86"/>
      <c r="L4685" s="86"/>
      <c r="M4685" s="86"/>
      <c r="N4685" s="86"/>
      <c r="O4685" s="86"/>
      <c r="P4685" s="86"/>
      <c r="Q4685" s="86"/>
      <c r="R4685" s="86"/>
      <c r="S4685" s="86"/>
      <c r="T4685" s="86"/>
      <c r="U4685" s="86"/>
      <c r="V4685" s="48"/>
      <c r="W4685" s="48"/>
      <c r="X4685" s="48"/>
      <c r="Y4685" s="48"/>
      <c r="Z4685" s="48"/>
      <c r="AA4685" s="48"/>
      <c r="AB4685" s="48"/>
      <c r="AC4685" s="48"/>
      <c r="AD4685" s="48"/>
      <c r="AE4685" s="48"/>
      <c r="AF4685" s="48"/>
      <c r="AG4685" s="48"/>
      <c r="AH4685" s="48"/>
      <c r="AI4685" s="48"/>
      <c r="AJ4685" s="48"/>
      <c r="AK4685" s="48"/>
      <c r="AL4685" s="48"/>
      <c r="AM4685" s="48"/>
      <c r="AN4685" s="48"/>
      <c r="AO4685" s="48"/>
      <c r="AP4685" s="48"/>
      <c r="AQ4685" s="48"/>
      <c r="AR4685" s="48"/>
      <c r="AS4685" s="48"/>
      <c r="AT4685" s="48"/>
      <c r="AU4685" s="48"/>
      <c r="AV4685" s="48"/>
      <c r="AW4685" s="48"/>
      <c r="AX4685" s="48"/>
      <c r="AY4685" s="48"/>
      <c r="AZ4685" s="48"/>
      <c r="BA4685" s="48"/>
      <c r="BB4685" s="48"/>
      <c r="BC4685" s="48"/>
      <c r="BD4685" s="48"/>
    </row>
    <row r="4686" spans="1:56">
      <c r="A4686" s="48"/>
      <c r="B4686" s="48"/>
      <c r="C4686" s="49"/>
      <c r="D4686" s="48"/>
      <c r="E4686" s="48"/>
      <c r="F4686" s="48"/>
      <c r="G4686" s="48"/>
      <c r="H4686" s="48"/>
      <c r="I4686" s="48"/>
      <c r="J4686" s="86"/>
      <c r="K4686" s="86"/>
      <c r="L4686" s="86"/>
      <c r="M4686" s="86"/>
      <c r="N4686" s="86"/>
      <c r="O4686" s="86"/>
      <c r="P4686" s="86"/>
      <c r="Q4686" s="86"/>
      <c r="R4686" s="86"/>
      <c r="S4686" s="86"/>
      <c r="T4686" s="86"/>
      <c r="U4686" s="86"/>
      <c r="V4686" s="48"/>
      <c r="W4686" s="48"/>
      <c r="X4686" s="48"/>
      <c r="Y4686" s="48"/>
      <c r="Z4686" s="48"/>
      <c r="AA4686" s="48"/>
      <c r="AB4686" s="48"/>
      <c r="AC4686" s="48"/>
      <c r="AD4686" s="48"/>
      <c r="AE4686" s="48"/>
      <c r="AF4686" s="48"/>
      <c r="AG4686" s="48"/>
      <c r="AH4686" s="48"/>
      <c r="AI4686" s="48"/>
      <c r="AJ4686" s="48"/>
      <c r="AK4686" s="48"/>
      <c r="AL4686" s="48"/>
      <c r="AM4686" s="48"/>
      <c r="AN4686" s="48"/>
      <c r="AO4686" s="48"/>
      <c r="AP4686" s="48"/>
      <c r="AQ4686" s="48"/>
      <c r="AR4686" s="48"/>
      <c r="AS4686" s="48"/>
      <c r="AT4686" s="48"/>
      <c r="AU4686" s="48"/>
      <c r="AV4686" s="48"/>
      <c r="AW4686" s="48"/>
      <c r="AX4686" s="48"/>
      <c r="AY4686" s="48"/>
      <c r="AZ4686" s="48"/>
      <c r="BA4686" s="48"/>
      <c r="BB4686" s="48"/>
      <c r="BC4686" s="48"/>
      <c r="BD4686" s="48"/>
    </row>
    <row r="4687" spans="1:56">
      <c r="A4687" s="48"/>
      <c r="B4687" s="48"/>
      <c r="C4687" s="49"/>
      <c r="D4687" s="48"/>
      <c r="E4687" s="48"/>
      <c r="F4687" s="48"/>
      <c r="G4687" s="48"/>
      <c r="H4687" s="48"/>
      <c r="I4687" s="48"/>
      <c r="J4687" s="86"/>
      <c r="K4687" s="86"/>
      <c r="L4687" s="86"/>
      <c r="M4687" s="86"/>
      <c r="N4687" s="86"/>
      <c r="O4687" s="86"/>
      <c r="P4687" s="86"/>
      <c r="Q4687" s="86"/>
      <c r="R4687" s="86"/>
      <c r="S4687" s="86"/>
      <c r="T4687" s="86"/>
      <c r="U4687" s="86"/>
      <c r="V4687" s="48"/>
      <c r="W4687" s="48"/>
      <c r="X4687" s="48"/>
      <c r="Y4687" s="48"/>
      <c r="Z4687" s="48"/>
      <c r="AA4687" s="48"/>
      <c r="AB4687" s="48"/>
      <c r="AC4687" s="48"/>
      <c r="AD4687" s="48"/>
      <c r="AE4687" s="48"/>
      <c r="AF4687" s="48"/>
      <c r="AG4687" s="48"/>
      <c r="AH4687" s="48"/>
      <c r="AI4687" s="48"/>
      <c r="AJ4687" s="48"/>
      <c r="AK4687" s="48"/>
      <c r="AL4687" s="48"/>
      <c r="AM4687" s="48"/>
      <c r="AN4687" s="48"/>
      <c r="AO4687" s="48"/>
      <c r="AP4687" s="48"/>
      <c r="AQ4687" s="48"/>
      <c r="AR4687" s="48"/>
      <c r="AS4687" s="48"/>
      <c r="AT4687" s="48"/>
      <c r="AU4687" s="48"/>
      <c r="AV4687" s="48"/>
      <c r="AW4687" s="48"/>
      <c r="AX4687" s="48"/>
      <c r="AY4687" s="48"/>
      <c r="AZ4687" s="48"/>
      <c r="BA4687" s="48"/>
      <c r="BB4687" s="48"/>
      <c r="BC4687" s="48"/>
      <c r="BD4687" s="48"/>
    </row>
    <row r="4688" spans="1:56">
      <c r="A4688" s="48"/>
      <c r="B4688" s="48"/>
      <c r="C4688" s="49"/>
      <c r="D4688" s="48"/>
      <c r="E4688" s="48"/>
      <c r="F4688" s="48"/>
      <c r="G4688" s="48"/>
      <c r="H4688" s="48"/>
      <c r="I4688" s="48"/>
      <c r="J4688" s="86"/>
      <c r="K4688" s="86"/>
      <c r="L4688" s="86"/>
      <c r="M4688" s="86"/>
      <c r="N4688" s="86"/>
      <c r="O4688" s="86"/>
      <c r="P4688" s="86"/>
      <c r="Q4688" s="86"/>
      <c r="R4688" s="86"/>
      <c r="S4688" s="86"/>
      <c r="T4688" s="86"/>
      <c r="U4688" s="86"/>
      <c r="V4688" s="48"/>
      <c r="W4688" s="48"/>
      <c r="X4688" s="48"/>
      <c r="Y4688" s="48"/>
      <c r="Z4688" s="48"/>
      <c r="AA4688" s="48"/>
      <c r="AB4688" s="48"/>
      <c r="AC4688" s="48"/>
      <c r="AD4688" s="48"/>
      <c r="AE4688" s="48"/>
      <c r="AF4688" s="48"/>
      <c r="AG4688" s="48"/>
      <c r="AH4688" s="48"/>
      <c r="AI4688" s="48"/>
      <c r="AJ4688" s="48"/>
      <c r="AK4688" s="48"/>
      <c r="AL4688" s="48"/>
      <c r="AM4688" s="48"/>
      <c r="AN4688" s="48"/>
      <c r="AO4688" s="48"/>
      <c r="AP4688" s="48"/>
      <c r="AQ4688" s="48"/>
      <c r="AR4688" s="48"/>
      <c r="AS4688" s="48"/>
      <c r="AT4688" s="48"/>
      <c r="AU4688" s="48"/>
      <c r="AV4688" s="48"/>
      <c r="AW4688" s="48"/>
      <c r="AX4688" s="48"/>
      <c r="AY4688" s="48"/>
      <c r="AZ4688" s="48"/>
      <c r="BA4688" s="48"/>
      <c r="BB4688" s="48"/>
      <c r="BC4688" s="48"/>
      <c r="BD4688" s="48"/>
    </row>
    <row r="4689" spans="1:56">
      <c r="A4689" s="48"/>
      <c r="B4689" s="48"/>
      <c r="C4689" s="49"/>
      <c r="D4689" s="48"/>
      <c r="E4689" s="48"/>
      <c r="F4689" s="48"/>
      <c r="G4689" s="48"/>
      <c r="H4689" s="48"/>
      <c r="I4689" s="48"/>
      <c r="J4689" s="86"/>
      <c r="K4689" s="86"/>
      <c r="L4689" s="86"/>
      <c r="M4689" s="86"/>
      <c r="N4689" s="86"/>
      <c r="O4689" s="86"/>
      <c r="P4689" s="86"/>
      <c r="Q4689" s="86"/>
      <c r="R4689" s="86"/>
      <c r="S4689" s="86"/>
      <c r="T4689" s="86"/>
      <c r="U4689" s="86"/>
      <c r="V4689" s="48"/>
      <c r="W4689" s="48"/>
      <c r="X4689" s="48"/>
      <c r="Y4689" s="48"/>
      <c r="Z4689" s="48"/>
      <c r="AA4689" s="48"/>
      <c r="AB4689" s="48"/>
      <c r="AC4689" s="48"/>
      <c r="AD4689" s="48"/>
      <c r="AE4689" s="48"/>
      <c r="AF4689" s="48"/>
      <c r="AG4689" s="48"/>
      <c r="AH4689" s="48"/>
      <c r="AI4689" s="48"/>
      <c r="AJ4689" s="48"/>
      <c r="AK4689" s="48"/>
      <c r="AL4689" s="48"/>
      <c r="AM4689" s="48"/>
      <c r="AN4689" s="48"/>
      <c r="AO4689" s="48"/>
      <c r="AP4689" s="48"/>
      <c r="AQ4689" s="48"/>
      <c r="AR4689" s="48"/>
      <c r="AS4689" s="48"/>
      <c r="AT4689" s="48"/>
      <c r="AU4689" s="48"/>
      <c r="AV4689" s="48"/>
      <c r="AW4689" s="48"/>
      <c r="AX4689" s="48"/>
      <c r="AY4689" s="48"/>
      <c r="AZ4689" s="48"/>
      <c r="BA4689" s="48"/>
      <c r="BB4689" s="48"/>
      <c r="BC4689" s="48"/>
      <c r="BD4689" s="48"/>
    </row>
    <row r="4690" spans="1:56">
      <c r="A4690" s="48"/>
      <c r="B4690" s="48"/>
      <c r="C4690" s="49"/>
      <c r="D4690" s="48"/>
      <c r="E4690" s="48"/>
      <c r="F4690" s="48"/>
      <c r="G4690" s="48"/>
      <c r="H4690" s="48"/>
      <c r="I4690" s="48"/>
      <c r="J4690" s="86"/>
      <c r="K4690" s="86"/>
      <c r="L4690" s="86"/>
      <c r="M4690" s="86"/>
      <c r="N4690" s="86"/>
      <c r="O4690" s="86"/>
      <c r="P4690" s="86"/>
      <c r="Q4690" s="86"/>
      <c r="R4690" s="86"/>
      <c r="S4690" s="86"/>
      <c r="T4690" s="86"/>
      <c r="U4690" s="86"/>
      <c r="V4690" s="48"/>
      <c r="W4690" s="48"/>
      <c r="X4690" s="48"/>
      <c r="Y4690" s="48"/>
      <c r="Z4690" s="48"/>
      <c r="AA4690" s="48"/>
      <c r="AB4690" s="48"/>
      <c r="AC4690" s="48"/>
      <c r="AD4690" s="48"/>
      <c r="AE4690" s="48"/>
      <c r="AF4690" s="48"/>
      <c r="AG4690" s="48"/>
      <c r="AH4690" s="48"/>
      <c r="AI4690" s="48"/>
      <c r="AJ4690" s="48"/>
      <c r="AK4690" s="48"/>
      <c r="AL4690" s="48"/>
      <c r="AM4690" s="48"/>
      <c r="AN4690" s="48"/>
      <c r="AO4690" s="48"/>
      <c r="AP4690" s="48"/>
      <c r="AQ4690" s="48"/>
      <c r="AR4690" s="48"/>
      <c r="AS4690" s="48"/>
      <c r="AT4690" s="48"/>
      <c r="AU4690" s="48"/>
      <c r="AV4690" s="48"/>
      <c r="AW4690" s="48"/>
      <c r="AX4690" s="48"/>
      <c r="AY4690" s="48"/>
      <c r="AZ4690" s="48"/>
      <c r="BA4690" s="48"/>
      <c r="BB4690" s="48"/>
      <c r="BC4690" s="48"/>
      <c r="BD4690" s="48"/>
    </row>
    <row r="4691" spans="1:56">
      <c r="A4691" s="48"/>
      <c r="B4691" s="48"/>
      <c r="C4691" s="49"/>
      <c r="D4691" s="48"/>
      <c r="E4691" s="48"/>
      <c r="F4691" s="48"/>
      <c r="G4691" s="48"/>
      <c r="H4691" s="48"/>
      <c r="I4691" s="48"/>
      <c r="J4691" s="86"/>
      <c r="K4691" s="86"/>
      <c r="L4691" s="86"/>
      <c r="M4691" s="86"/>
      <c r="N4691" s="86"/>
      <c r="O4691" s="86"/>
      <c r="P4691" s="86"/>
      <c r="Q4691" s="86"/>
      <c r="R4691" s="86"/>
      <c r="S4691" s="86"/>
      <c r="T4691" s="86"/>
      <c r="U4691" s="86"/>
      <c r="V4691" s="48"/>
      <c r="W4691" s="48"/>
      <c r="X4691" s="48"/>
      <c r="Y4691" s="48"/>
      <c r="Z4691" s="48"/>
      <c r="AA4691" s="48"/>
      <c r="AB4691" s="48"/>
      <c r="AC4691" s="48"/>
      <c r="AD4691" s="48"/>
      <c r="AE4691" s="48"/>
      <c r="AF4691" s="48"/>
      <c r="AG4691" s="48"/>
      <c r="AH4691" s="48"/>
      <c r="AI4691" s="48"/>
      <c r="AJ4691" s="48"/>
      <c r="AK4691" s="48"/>
      <c r="AL4691" s="48"/>
      <c r="AM4691" s="48"/>
      <c r="AN4691" s="48"/>
      <c r="AO4691" s="48"/>
      <c r="AP4691" s="48"/>
      <c r="AQ4691" s="48"/>
      <c r="AR4691" s="48"/>
      <c r="AS4691" s="48"/>
      <c r="AT4691" s="48"/>
      <c r="AU4691" s="48"/>
      <c r="AV4691" s="48"/>
      <c r="AW4691" s="48"/>
      <c r="AX4691" s="48"/>
      <c r="AY4691" s="48"/>
      <c r="AZ4691" s="48"/>
      <c r="BA4691" s="48"/>
      <c r="BB4691" s="48"/>
      <c r="BC4691" s="48"/>
      <c r="BD4691" s="48"/>
    </row>
    <row r="4692" spans="1:56">
      <c r="A4692" s="48"/>
      <c r="B4692" s="48"/>
      <c r="C4692" s="49"/>
      <c r="D4692" s="48"/>
      <c r="E4692" s="48"/>
      <c r="F4692" s="48"/>
      <c r="G4692" s="48"/>
      <c r="H4692" s="48"/>
      <c r="I4692" s="48"/>
      <c r="J4692" s="86"/>
      <c r="K4692" s="86"/>
      <c r="L4692" s="86"/>
      <c r="M4692" s="86"/>
      <c r="N4692" s="86"/>
      <c r="O4692" s="86"/>
      <c r="P4692" s="86"/>
      <c r="Q4692" s="86"/>
      <c r="R4692" s="86"/>
      <c r="S4692" s="86"/>
      <c r="T4692" s="86"/>
      <c r="U4692" s="86"/>
      <c r="V4692" s="48"/>
      <c r="W4692" s="48"/>
      <c r="X4692" s="48"/>
      <c r="Y4692" s="48"/>
      <c r="Z4692" s="48"/>
      <c r="AA4692" s="48"/>
      <c r="AB4692" s="48"/>
      <c r="AC4692" s="48"/>
      <c r="AD4692" s="48"/>
      <c r="AE4692" s="48"/>
      <c r="AF4692" s="48"/>
      <c r="AG4692" s="48"/>
      <c r="AH4692" s="48"/>
      <c r="AI4692" s="48"/>
      <c r="AJ4692" s="48"/>
      <c r="AK4692" s="48"/>
      <c r="AL4692" s="48"/>
      <c r="AM4692" s="48"/>
      <c r="AN4692" s="48"/>
      <c r="AO4692" s="48"/>
      <c r="AP4692" s="48"/>
      <c r="AQ4692" s="48"/>
      <c r="AR4692" s="48"/>
      <c r="AS4692" s="48"/>
      <c r="AT4692" s="48"/>
      <c r="AU4692" s="48"/>
      <c r="AV4692" s="48"/>
      <c r="AW4692" s="48"/>
      <c r="AX4692" s="48"/>
      <c r="AY4692" s="48"/>
      <c r="AZ4692" s="48"/>
      <c r="BA4692" s="48"/>
      <c r="BB4692" s="48"/>
      <c r="BC4692" s="48"/>
      <c r="BD4692" s="48"/>
    </row>
    <row r="4693" spans="1:56">
      <c r="A4693" s="48"/>
      <c r="B4693" s="48"/>
      <c r="C4693" s="49"/>
      <c r="D4693" s="48"/>
      <c r="E4693" s="48"/>
      <c r="F4693" s="48"/>
      <c r="G4693" s="48"/>
      <c r="H4693" s="48"/>
      <c r="I4693" s="48"/>
      <c r="J4693" s="86"/>
      <c r="K4693" s="86"/>
      <c r="L4693" s="86"/>
      <c r="M4693" s="86"/>
      <c r="N4693" s="86"/>
      <c r="O4693" s="86"/>
      <c r="P4693" s="86"/>
      <c r="Q4693" s="86"/>
      <c r="R4693" s="86"/>
      <c r="S4693" s="86"/>
      <c r="T4693" s="86"/>
      <c r="U4693" s="86"/>
      <c r="V4693" s="48"/>
      <c r="W4693" s="48"/>
      <c r="X4693" s="48"/>
      <c r="Y4693" s="48"/>
      <c r="Z4693" s="48"/>
      <c r="AA4693" s="48"/>
      <c r="AB4693" s="48"/>
      <c r="AC4693" s="48"/>
      <c r="AD4693" s="48"/>
      <c r="AE4693" s="48"/>
      <c r="AF4693" s="48"/>
      <c r="AG4693" s="48"/>
      <c r="AH4693" s="48"/>
      <c r="AI4693" s="48"/>
      <c r="AJ4693" s="48"/>
      <c r="AK4693" s="48"/>
      <c r="AL4693" s="48"/>
      <c r="AM4693" s="48"/>
      <c r="AN4693" s="48"/>
      <c r="AO4693" s="48"/>
      <c r="AP4693" s="48"/>
      <c r="AQ4693" s="48"/>
      <c r="AR4693" s="48"/>
      <c r="AS4693" s="48"/>
      <c r="AT4693" s="48"/>
      <c r="AU4693" s="48"/>
      <c r="AV4693" s="48"/>
      <c r="AW4693" s="48"/>
      <c r="AX4693" s="48"/>
      <c r="AY4693" s="48"/>
      <c r="AZ4693" s="48"/>
      <c r="BA4693" s="48"/>
      <c r="BB4693" s="48"/>
      <c r="BC4693" s="48"/>
      <c r="BD4693" s="48"/>
    </row>
    <row r="4694" spans="1:56">
      <c r="A4694" s="48"/>
      <c r="B4694" s="48"/>
      <c r="C4694" s="49"/>
      <c r="D4694" s="48"/>
      <c r="E4694" s="48"/>
      <c r="F4694" s="48"/>
      <c r="G4694" s="48"/>
      <c r="H4694" s="48"/>
      <c r="I4694" s="48"/>
      <c r="J4694" s="86"/>
      <c r="K4694" s="86"/>
      <c r="L4694" s="86"/>
      <c r="M4694" s="86"/>
      <c r="N4694" s="86"/>
      <c r="O4694" s="86"/>
      <c r="P4694" s="86"/>
      <c r="Q4694" s="86"/>
      <c r="R4694" s="86"/>
      <c r="S4694" s="86"/>
      <c r="T4694" s="86"/>
      <c r="U4694" s="86"/>
      <c r="V4694" s="48"/>
      <c r="W4694" s="48"/>
      <c r="X4694" s="48"/>
      <c r="Y4694" s="48"/>
      <c r="Z4694" s="48"/>
      <c r="AA4694" s="48"/>
      <c r="AB4694" s="48"/>
      <c r="AC4694" s="48"/>
      <c r="AD4694" s="48"/>
      <c r="AE4694" s="48"/>
      <c r="AF4694" s="48"/>
      <c r="AG4694" s="48"/>
      <c r="AH4694" s="48"/>
      <c r="AI4694" s="48"/>
      <c r="AJ4694" s="48"/>
      <c r="AK4694" s="48"/>
      <c r="AL4694" s="48"/>
      <c r="AM4694" s="48"/>
      <c r="AN4694" s="48"/>
      <c r="AO4694" s="48"/>
      <c r="AP4694" s="48"/>
      <c r="AQ4694" s="48"/>
      <c r="AR4694" s="48"/>
      <c r="AS4694" s="48"/>
      <c r="AT4694" s="48"/>
      <c r="AU4694" s="48"/>
      <c r="AV4694" s="48"/>
      <c r="AW4694" s="48"/>
      <c r="AX4694" s="48"/>
      <c r="AY4694" s="48"/>
      <c r="AZ4694" s="48"/>
      <c r="BA4694" s="48"/>
      <c r="BB4694" s="48"/>
      <c r="BC4694" s="48"/>
      <c r="BD4694" s="48"/>
    </row>
    <row r="4695" spans="1:56">
      <c r="A4695" s="48"/>
      <c r="B4695" s="48"/>
      <c r="C4695" s="49"/>
      <c r="D4695" s="48"/>
      <c r="E4695" s="48"/>
      <c r="F4695" s="48"/>
      <c r="G4695" s="48"/>
      <c r="H4695" s="48"/>
      <c r="I4695" s="48"/>
      <c r="J4695" s="86"/>
      <c r="K4695" s="86"/>
      <c r="L4695" s="86"/>
      <c r="M4695" s="86"/>
      <c r="N4695" s="86"/>
      <c r="O4695" s="86"/>
      <c r="P4695" s="86"/>
      <c r="Q4695" s="86"/>
      <c r="R4695" s="86"/>
      <c r="S4695" s="86"/>
      <c r="T4695" s="86"/>
      <c r="U4695" s="86"/>
      <c r="V4695" s="48"/>
      <c r="W4695" s="48"/>
      <c r="X4695" s="48"/>
      <c r="Y4695" s="48"/>
      <c r="Z4695" s="48"/>
      <c r="AA4695" s="48"/>
      <c r="AB4695" s="48"/>
      <c r="AC4695" s="48"/>
      <c r="AD4695" s="48"/>
      <c r="AE4695" s="48"/>
      <c r="AF4695" s="48"/>
      <c r="AG4695" s="48"/>
      <c r="AH4695" s="48"/>
      <c r="AI4695" s="48"/>
      <c r="AJ4695" s="48"/>
      <c r="AK4695" s="48"/>
      <c r="AL4695" s="48"/>
      <c r="AM4695" s="48"/>
      <c r="AN4695" s="48"/>
      <c r="AO4695" s="48"/>
      <c r="AP4695" s="48"/>
      <c r="AQ4695" s="48"/>
      <c r="AR4695" s="48"/>
      <c r="AS4695" s="48"/>
      <c r="AT4695" s="48"/>
      <c r="AU4695" s="48"/>
      <c r="AV4695" s="48"/>
      <c r="AW4695" s="48"/>
      <c r="AX4695" s="48"/>
      <c r="AY4695" s="48"/>
      <c r="AZ4695" s="48"/>
      <c r="BA4695" s="48"/>
      <c r="BB4695" s="48"/>
      <c r="BC4695" s="48"/>
      <c r="BD4695" s="48"/>
    </row>
    <row r="4696" spans="1:56">
      <c r="A4696" s="48"/>
      <c r="B4696" s="48"/>
      <c r="C4696" s="49"/>
      <c r="D4696" s="48"/>
      <c r="E4696" s="48"/>
      <c r="F4696" s="48"/>
      <c r="G4696" s="48"/>
      <c r="H4696" s="48"/>
      <c r="I4696" s="48"/>
      <c r="J4696" s="86"/>
      <c r="K4696" s="86"/>
      <c r="L4696" s="86"/>
      <c r="M4696" s="86"/>
      <c r="N4696" s="86"/>
      <c r="O4696" s="86"/>
      <c r="P4696" s="86"/>
      <c r="Q4696" s="86"/>
      <c r="R4696" s="86"/>
      <c r="S4696" s="86"/>
      <c r="T4696" s="86"/>
      <c r="U4696" s="86"/>
      <c r="V4696" s="48"/>
      <c r="W4696" s="48"/>
      <c r="X4696" s="48"/>
      <c r="Y4696" s="48"/>
      <c r="Z4696" s="48"/>
      <c r="AA4696" s="48"/>
      <c r="AB4696" s="48"/>
      <c r="AC4696" s="48"/>
      <c r="AD4696" s="48"/>
      <c r="AE4696" s="48"/>
      <c r="AF4696" s="48"/>
      <c r="AG4696" s="48"/>
      <c r="AH4696" s="48"/>
      <c r="AI4696" s="48"/>
      <c r="AJ4696" s="48"/>
      <c r="AK4696" s="48"/>
      <c r="AL4696" s="48"/>
      <c r="AM4696" s="48"/>
      <c r="AN4696" s="48"/>
      <c r="AO4696" s="48"/>
      <c r="AP4696" s="48"/>
      <c r="AQ4696" s="48"/>
      <c r="AR4696" s="48"/>
      <c r="AS4696" s="48"/>
      <c r="AT4696" s="48"/>
      <c r="AU4696" s="48"/>
      <c r="AV4696" s="48"/>
      <c r="AW4696" s="48"/>
      <c r="AX4696" s="48"/>
      <c r="AY4696" s="48"/>
      <c r="AZ4696" s="48"/>
      <c r="BA4696" s="48"/>
      <c r="BB4696" s="48"/>
      <c r="BC4696" s="48"/>
      <c r="BD4696" s="48"/>
    </row>
    <row r="4697" spans="1:56">
      <c r="A4697" s="48"/>
      <c r="B4697" s="48"/>
      <c r="C4697" s="49"/>
      <c r="D4697" s="48"/>
      <c r="E4697" s="48"/>
      <c r="F4697" s="48"/>
      <c r="G4697" s="48"/>
      <c r="H4697" s="48"/>
      <c r="I4697" s="48"/>
      <c r="J4697" s="86"/>
      <c r="K4697" s="86"/>
      <c r="L4697" s="86"/>
      <c r="M4697" s="86"/>
      <c r="N4697" s="86"/>
      <c r="O4697" s="86"/>
      <c r="P4697" s="86"/>
      <c r="Q4697" s="86"/>
      <c r="R4697" s="86"/>
      <c r="S4697" s="86"/>
      <c r="T4697" s="86"/>
      <c r="U4697" s="86"/>
      <c r="V4697" s="48"/>
      <c r="W4697" s="48"/>
      <c r="X4697" s="48"/>
      <c r="Y4697" s="48"/>
      <c r="Z4697" s="48"/>
      <c r="AA4697" s="48"/>
      <c r="AB4697" s="48"/>
      <c r="AC4697" s="48"/>
      <c r="AD4697" s="48"/>
      <c r="AE4697" s="48"/>
      <c r="AF4697" s="48"/>
      <c r="AG4697" s="48"/>
      <c r="AH4697" s="48"/>
      <c r="AI4697" s="48"/>
      <c r="AJ4697" s="48"/>
      <c r="AK4697" s="48"/>
      <c r="AL4697" s="48"/>
      <c r="AM4697" s="48"/>
      <c r="AN4697" s="48"/>
      <c r="AO4697" s="48"/>
      <c r="AP4697" s="48"/>
      <c r="AQ4697" s="48"/>
      <c r="AR4697" s="48"/>
      <c r="AS4697" s="48"/>
      <c r="AT4697" s="48"/>
      <c r="AU4697" s="48"/>
      <c r="AV4697" s="48"/>
      <c r="AW4697" s="48"/>
      <c r="AX4697" s="48"/>
      <c r="AY4697" s="48"/>
      <c r="AZ4697" s="48"/>
      <c r="BA4697" s="48"/>
      <c r="BB4697" s="48"/>
      <c r="BC4697" s="48"/>
      <c r="BD4697" s="48"/>
    </row>
    <row r="4698" spans="1:56">
      <c r="A4698" s="48"/>
      <c r="B4698" s="48"/>
      <c r="C4698" s="49"/>
      <c r="D4698" s="48"/>
      <c r="E4698" s="48"/>
      <c r="F4698" s="48"/>
      <c r="G4698" s="48"/>
      <c r="H4698" s="48"/>
      <c r="I4698" s="48"/>
      <c r="J4698" s="86"/>
      <c r="K4698" s="86"/>
      <c r="L4698" s="86"/>
      <c r="M4698" s="86"/>
      <c r="N4698" s="86"/>
      <c r="O4698" s="86"/>
      <c r="P4698" s="86"/>
      <c r="Q4698" s="86"/>
      <c r="R4698" s="86"/>
      <c r="S4698" s="86"/>
      <c r="T4698" s="86"/>
      <c r="U4698" s="86"/>
      <c r="V4698" s="48"/>
      <c r="W4698" s="48"/>
      <c r="X4698" s="48"/>
      <c r="Y4698" s="48"/>
      <c r="Z4698" s="48"/>
      <c r="AA4698" s="48"/>
      <c r="AB4698" s="48"/>
      <c r="AC4698" s="48"/>
      <c r="AD4698" s="48"/>
      <c r="AE4698" s="48"/>
      <c r="AF4698" s="48"/>
      <c r="AG4698" s="48"/>
      <c r="AH4698" s="48"/>
      <c r="AI4698" s="48"/>
      <c r="AJ4698" s="48"/>
      <c r="AK4698" s="48"/>
      <c r="AL4698" s="48"/>
      <c r="AM4698" s="48"/>
      <c r="AN4698" s="48"/>
      <c r="AO4698" s="48"/>
      <c r="AP4698" s="48"/>
      <c r="AQ4698" s="48"/>
      <c r="AR4698" s="48"/>
      <c r="AS4698" s="48"/>
      <c r="AT4698" s="48"/>
      <c r="AU4698" s="48"/>
      <c r="AV4698" s="48"/>
      <c r="AW4698" s="48"/>
      <c r="AX4698" s="48"/>
      <c r="AY4698" s="48"/>
      <c r="AZ4698" s="48"/>
      <c r="BA4698" s="48"/>
      <c r="BB4698" s="48"/>
      <c r="BC4698" s="48"/>
      <c r="BD4698" s="48"/>
    </row>
    <row r="4699" spans="1:56">
      <c r="A4699" s="48"/>
      <c r="B4699" s="48"/>
      <c r="C4699" s="49"/>
      <c r="D4699" s="48"/>
      <c r="E4699" s="48"/>
      <c r="F4699" s="48"/>
      <c r="G4699" s="48"/>
      <c r="H4699" s="48"/>
      <c r="I4699" s="48"/>
      <c r="J4699" s="86"/>
      <c r="K4699" s="86"/>
      <c r="L4699" s="86"/>
      <c r="M4699" s="86"/>
      <c r="N4699" s="86"/>
      <c r="O4699" s="86"/>
      <c r="P4699" s="86"/>
      <c r="Q4699" s="86"/>
      <c r="R4699" s="86"/>
      <c r="S4699" s="86"/>
      <c r="T4699" s="86"/>
      <c r="U4699" s="86"/>
      <c r="V4699" s="48"/>
      <c r="W4699" s="48"/>
      <c r="X4699" s="48"/>
      <c r="Y4699" s="48"/>
      <c r="Z4699" s="48"/>
      <c r="AA4699" s="48"/>
      <c r="AB4699" s="48"/>
      <c r="AC4699" s="48"/>
      <c r="AD4699" s="48"/>
      <c r="AE4699" s="48"/>
      <c r="AF4699" s="48"/>
      <c r="AG4699" s="48"/>
      <c r="AH4699" s="48"/>
      <c r="AI4699" s="48"/>
      <c r="AJ4699" s="48"/>
      <c r="AK4699" s="48"/>
      <c r="AL4699" s="48"/>
      <c r="AM4699" s="48"/>
      <c r="AN4699" s="48"/>
      <c r="AO4699" s="48"/>
      <c r="AP4699" s="48"/>
      <c r="AQ4699" s="48"/>
      <c r="AR4699" s="48"/>
      <c r="AS4699" s="48"/>
      <c r="AT4699" s="48"/>
      <c r="AU4699" s="48"/>
      <c r="AV4699" s="48"/>
      <c r="AW4699" s="48"/>
      <c r="AX4699" s="48"/>
      <c r="AY4699" s="48"/>
      <c r="AZ4699" s="48"/>
      <c r="BA4699" s="48"/>
      <c r="BB4699" s="48"/>
      <c r="BC4699" s="48"/>
      <c r="BD4699" s="48"/>
    </row>
    <row r="4700" spans="1:56">
      <c r="A4700" s="48"/>
      <c r="B4700" s="48"/>
      <c r="C4700" s="49"/>
      <c r="D4700" s="48"/>
      <c r="E4700" s="48"/>
      <c r="F4700" s="48"/>
      <c r="G4700" s="48"/>
      <c r="H4700" s="48"/>
      <c r="I4700" s="48"/>
      <c r="J4700" s="86"/>
      <c r="K4700" s="86"/>
      <c r="L4700" s="86"/>
      <c r="M4700" s="86"/>
      <c r="N4700" s="86"/>
      <c r="O4700" s="86"/>
      <c r="P4700" s="86"/>
      <c r="Q4700" s="86"/>
      <c r="R4700" s="86"/>
      <c r="S4700" s="86"/>
      <c r="T4700" s="86"/>
      <c r="U4700" s="86"/>
      <c r="V4700" s="48"/>
      <c r="W4700" s="48"/>
      <c r="X4700" s="48"/>
      <c r="Y4700" s="48"/>
      <c r="Z4700" s="48"/>
      <c r="AA4700" s="48"/>
      <c r="AB4700" s="48"/>
      <c r="AC4700" s="48"/>
      <c r="AD4700" s="48"/>
      <c r="AE4700" s="48"/>
      <c r="AF4700" s="48"/>
      <c r="AG4700" s="48"/>
      <c r="AH4700" s="48"/>
      <c r="AI4700" s="48"/>
      <c r="AJ4700" s="48"/>
      <c r="AK4700" s="48"/>
      <c r="AL4700" s="48"/>
      <c r="AM4700" s="48"/>
      <c r="AN4700" s="48"/>
      <c r="AO4700" s="48"/>
      <c r="AP4700" s="48"/>
      <c r="AQ4700" s="48"/>
      <c r="AR4700" s="48"/>
      <c r="AS4700" s="48"/>
      <c r="AT4700" s="48"/>
      <c r="AU4700" s="48"/>
      <c r="AV4700" s="48"/>
      <c r="AW4700" s="48"/>
      <c r="AX4700" s="48"/>
      <c r="AY4700" s="48"/>
      <c r="AZ4700" s="48"/>
      <c r="BA4700" s="48"/>
      <c r="BB4700" s="48"/>
      <c r="BC4700" s="48"/>
      <c r="BD4700" s="48"/>
    </row>
    <row r="4701" spans="1:56">
      <c r="A4701" s="48"/>
      <c r="B4701" s="48"/>
      <c r="C4701" s="49"/>
      <c r="D4701" s="48"/>
      <c r="E4701" s="48"/>
      <c r="F4701" s="48"/>
      <c r="G4701" s="48"/>
      <c r="H4701" s="48"/>
      <c r="I4701" s="48"/>
      <c r="J4701" s="86"/>
      <c r="K4701" s="86"/>
      <c r="L4701" s="86"/>
      <c r="M4701" s="86"/>
      <c r="N4701" s="86"/>
      <c r="O4701" s="86"/>
      <c r="P4701" s="86"/>
      <c r="Q4701" s="86"/>
      <c r="R4701" s="86"/>
      <c r="S4701" s="86"/>
      <c r="T4701" s="86"/>
      <c r="U4701" s="86"/>
      <c r="V4701" s="48"/>
      <c r="W4701" s="48"/>
      <c r="X4701" s="48"/>
      <c r="Y4701" s="48"/>
      <c r="Z4701" s="48"/>
      <c r="AA4701" s="48"/>
      <c r="AB4701" s="48"/>
      <c r="AC4701" s="48"/>
      <c r="AD4701" s="48"/>
      <c r="AE4701" s="48"/>
      <c r="AF4701" s="48"/>
      <c r="AG4701" s="48"/>
      <c r="AH4701" s="48"/>
      <c r="AI4701" s="48"/>
      <c r="AJ4701" s="48"/>
      <c r="AK4701" s="48"/>
      <c r="AL4701" s="48"/>
      <c r="AM4701" s="48"/>
      <c r="AN4701" s="48"/>
      <c r="AO4701" s="48"/>
      <c r="AP4701" s="48"/>
      <c r="AQ4701" s="48"/>
      <c r="AR4701" s="48"/>
      <c r="AS4701" s="48"/>
      <c r="AT4701" s="48"/>
      <c r="AU4701" s="48"/>
      <c r="AV4701" s="48"/>
      <c r="AW4701" s="48"/>
      <c r="AX4701" s="48"/>
      <c r="AY4701" s="48"/>
      <c r="AZ4701" s="48"/>
      <c r="BA4701" s="48"/>
      <c r="BB4701" s="48"/>
      <c r="BC4701" s="48"/>
      <c r="BD4701" s="48"/>
    </row>
    <row r="4702" spans="1:56">
      <c r="A4702" s="48"/>
      <c r="B4702" s="48"/>
      <c r="C4702" s="49"/>
      <c r="D4702" s="48"/>
      <c r="E4702" s="48"/>
      <c r="F4702" s="48"/>
      <c r="G4702" s="48"/>
      <c r="H4702" s="48"/>
      <c r="I4702" s="48"/>
      <c r="J4702" s="86"/>
      <c r="K4702" s="86"/>
      <c r="L4702" s="86"/>
      <c r="M4702" s="86"/>
      <c r="N4702" s="86"/>
      <c r="O4702" s="86"/>
      <c r="P4702" s="86"/>
      <c r="Q4702" s="86"/>
      <c r="R4702" s="86"/>
      <c r="S4702" s="86"/>
      <c r="T4702" s="86"/>
      <c r="U4702" s="86"/>
      <c r="V4702" s="48"/>
      <c r="W4702" s="48"/>
      <c r="X4702" s="48"/>
      <c r="Y4702" s="48"/>
      <c r="Z4702" s="48"/>
      <c r="AA4702" s="48"/>
      <c r="AB4702" s="48"/>
      <c r="AC4702" s="48"/>
      <c r="AD4702" s="48"/>
      <c r="AE4702" s="48"/>
      <c r="AF4702" s="48"/>
      <c r="AG4702" s="48"/>
      <c r="AH4702" s="48"/>
      <c r="AI4702" s="48"/>
      <c r="AJ4702" s="48"/>
      <c r="AK4702" s="48"/>
      <c r="AL4702" s="48"/>
      <c r="AM4702" s="48"/>
      <c r="AN4702" s="48"/>
      <c r="AO4702" s="48"/>
      <c r="AP4702" s="48"/>
      <c r="AQ4702" s="48"/>
      <c r="AR4702" s="48"/>
      <c r="AS4702" s="48"/>
      <c r="AT4702" s="48"/>
      <c r="AU4702" s="48"/>
      <c r="AV4702" s="48"/>
      <c r="AW4702" s="48"/>
      <c r="AX4702" s="48"/>
      <c r="AY4702" s="48"/>
      <c r="AZ4702" s="48"/>
      <c r="BA4702" s="48"/>
      <c r="BB4702" s="48"/>
      <c r="BC4702" s="48"/>
      <c r="BD4702" s="48"/>
    </row>
    <row r="4703" spans="1:56">
      <c r="A4703" s="48"/>
      <c r="B4703" s="48"/>
      <c r="C4703" s="49"/>
      <c r="D4703" s="48"/>
      <c r="E4703" s="48"/>
      <c r="F4703" s="48"/>
      <c r="G4703" s="48"/>
      <c r="H4703" s="48"/>
      <c r="I4703" s="48"/>
      <c r="J4703" s="86"/>
      <c r="K4703" s="86"/>
      <c r="L4703" s="86"/>
      <c r="M4703" s="86"/>
      <c r="N4703" s="86"/>
      <c r="O4703" s="86"/>
      <c r="P4703" s="86"/>
      <c r="Q4703" s="86"/>
      <c r="R4703" s="86"/>
      <c r="S4703" s="86"/>
      <c r="T4703" s="86"/>
      <c r="U4703" s="86"/>
      <c r="V4703" s="48"/>
      <c r="W4703" s="48"/>
      <c r="X4703" s="48"/>
      <c r="Y4703" s="48"/>
      <c r="Z4703" s="48"/>
      <c r="AA4703" s="48"/>
      <c r="AB4703" s="48"/>
      <c r="AC4703" s="48"/>
      <c r="AD4703" s="48"/>
      <c r="AE4703" s="48"/>
      <c r="AF4703" s="48"/>
      <c r="AG4703" s="48"/>
      <c r="AH4703" s="48"/>
      <c r="AI4703" s="48"/>
      <c r="AJ4703" s="48"/>
      <c r="AK4703" s="48"/>
      <c r="AL4703" s="48"/>
      <c r="AM4703" s="48"/>
      <c r="AN4703" s="48"/>
      <c r="AO4703" s="48"/>
      <c r="AP4703" s="48"/>
      <c r="AQ4703" s="48"/>
      <c r="AR4703" s="48"/>
      <c r="AS4703" s="48"/>
      <c r="AT4703" s="48"/>
      <c r="AU4703" s="48"/>
      <c r="AV4703" s="48"/>
      <c r="AW4703" s="48"/>
      <c r="AX4703" s="48"/>
      <c r="AY4703" s="48"/>
      <c r="AZ4703" s="48"/>
      <c r="BA4703" s="48"/>
      <c r="BB4703" s="48"/>
      <c r="BC4703" s="48"/>
      <c r="BD4703" s="48"/>
    </row>
    <row r="4704" spans="1:56">
      <c r="A4704" s="48"/>
      <c r="B4704" s="48"/>
      <c r="C4704" s="49"/>
      <c r="D4704" s="48"/>
      <c r="E4704" s="48"/>
      <c r="F4704" s="48"/>
      <c r="G4704" s="48"/>
      <c r="H4704" s="48"/>
      <c r="I4704" s="48"/>
      <c r="J4704" s="86"/>
      <c r="K4704" s="86"/>
      <c r="L4704" s="86"/>
      <c r="M4704" s="86"/>
      <c r="N4704" s="86"/>
      <c r="O4704" s="86"/>
      <c r="P4704" s="86"/>
      <c r="Q4704" s="86"/>
      <c r="R4704" s="86"/>
      <c r="S4704" s="86"/>
      <c r="T4704" s="86"/>
      <c r="U4704" s="86"/>
      <c r="V4704" s="48"/>
      <c r="W4704" s="48"/>
      <c r="X4704" s="48"/>
      <c r="Y4704" s="48"/>
      <c r="Z4704" s="48"/>
      <c r="AA4704" s="48"/>
      <c r="AB4704" s="48"/>
      <c r="AC4704" s="48"/>
      <c r="AD4704" s="48"/>
      <c r="AE4704" s="48"/>
      <c r="AF4704" s="48"/>
      <c r="AG4704" s="48"/>
      <c r="AH4704" s="48"/>
      <c r="AI4704" s="48"/>
      <c r="AJ4704" s="48"/>
      <c r="AK4704" s="48"/>
      <c r="AL4704" s="48"/>
      <c r="AM4704" s="48"/>
      <c r="AN4704" s="48"/>
      <c r="AO4704" s="48"/>
      <c r="AP4704" s="48"/>
      <c r="AQ4704" s="48"/>
      <c r="AR4704" s="48"/>
      <c r="AS4704" s="48"/>
      <c r="AT4704" s="48"/>
      <c r="AU4704" s="48"/>
      <c r="AV4704" s="48"/>
      <c r="AW4704" s="48"/>
      <c r="AX4704" s="48"/>
      <c r="AY4704" s="48"/>
      <c r="AZ4704" s="48"/>
      <c r="BA4704" s="48"/>
      <c r="BB4704" s="48"/>
      <c r="BC4704" s="48"/>
      <c r="BD4704" s="48"/>
    </row>
    <row r="4705" spans="1:56">
      <c r="A4705" s="48"/>
      <c r="B4705" s="48"/>
      <c r="C4705" s="49"/>
      <c r="D4705" s="48"/>
      <c r="E4705" s="48"/>
      <c r="F4705" s="48"/>
      <c r="G4705" s="48"/>
      <c r="H4705" s="48"/>
      <c r="I4705" s="48"/>
      <c r="J4705" s="86"/>
      <c r="K4705" s="86"/>
      <c r="L4705" s="86"/>
      <c r="M4705" s="86"/>
      <c r="N4705" s="86"/>
      <c r="O4705" s="86"/>
      <c r="P4705" s="86"/>
      <c r="Q4705" s="86"/>
      <c r="R4705" s="86"/>
      <c r="S4705" s="86"/>
      <c r="T4705" s="86"/>
      <c r="U4705" s="86"/>
      <c r="V4705" s="48"/>
      <c r="W4705" s="48"/>
      <c r="X4705" s="48"/>
      <c r="Y4705" s="48"/>
      <c r="Z4705" s="48"/>
      <c r="AA4705" s="48"/>
      <c r="AB4705" s="48"/>
      <c r="AC4705" s="48"/>
      <c r="AD4705" s="48"/>
      <c r="AE4705" s="48"/>
      <c r="AF4705" s="48"/>
      <c r="AG4705" s="48"/>
      <c r="AH4705" s="48"/>
      <c r="AI4705" s="48"/>
      <c r="AJ4705" s="48"/>
      <c r="AK4705" s="48"/>
      <c r="AL4705" s="48"/>
      <c r="AM4705" s="48"/>
      <c r="AN4705" s="48"/>
      <c r="AO4705" s="48"/>
      <c r="AP4705" s="48"/>
      <c r="AQ4705" s="48"/>
      <c r="AR4705" s="48"/>
      <c r="AS4705" s="48"/>
      <c r="AT4705" s="48"/>
      <c r="AU4705" s="48"/>
      <c r="AV4705" s="48"/>
      <c r="AW4705" s="48"/>
      <c r="AX4705" s="48"/>
      <c r="AY4705" s="48"/>
      <c r="AZ4705" s="48"/>
      <c r="BA4705" s="48"/>
      <c r="BB4705" s="48"/>
      <c r="BC4705" s="48"/>
      <c r="BD4705" s="48"/>
    </row>
    <row r="4706" spans="1:56">
      <c r="A4706" s="48"/>
      <c r="B4706" s="48"/>
      <c r="C4706" s="49"/>
      <c r="D4706" s="48"/>
      <c r="E4706" s="48"/>
      <c r="F4706" s="48"/>
      <c r="G4706" s="48"/>
      <c r="H4706" s="48"/>
      <c r="I4706" s="48"/>
      <c r="J4706" s="86"/>
      <c r="K4706" s="86"/>
      <c r="L4706" s="86"/>
      <c r="M4706" s="86"/>
      <c r="N4706" s="86"/>
      <c r="O4706" s="86"/>
      <c r="P4706" s="86"/>
      <c r="Q4706" s="86"/>
      <c r="R4706" s="86"/>
      <c r="S4706" s="86"/>
      <c r="T4706" s="86"/>
      <c r="U4706" s="86"/>
      <c r="V4706" s="48"/>
      <c r="W4706" s="48"/>
      <c r="X4706" s="48"/>
      <c r="Y4706" s="48"/>
      <c r="Z4706" s="48"/>
      <c r="AA4706" s="48"/>
      <c r="AB4706" s="48"/>
      <c r="AC4706" s="48"/>
      <c r="AD4706" s="48"/>
      <c r="AE4706" s="48"/>
      <c r="AF4706" s="48"/>
      <c r="AG4706" s="48"/>
      <c r="AH4706" s="48"/>
      <c r="AI4706" s="48"/>
      <c r="AJ4706" s="48"/>
      <c r="AK4706" s="48"/>
      <c r="AL4706" s="48"/>
      <c r="AM4706" s="48"/>
      <c r="AN4706" s="48"/>
      <c r="AO4706" s="48"/>
      <c r="AP4706" s="48"/>
      <c r="AQ4706" s="48"/>
      <c r="AR4706" s="48"/>
      <c r="AS4706" s="48"/>
      <c r="AT4706" s="48"/>
      <c r="AU4706" s="48"/>
      <c r="AV4706" s="48"/>
      <c r="AW4706" s="48"/>
      <c r="AX4706" s="48"/>
      <c r="AY4706" s="48"/>
      <c r="AZ4706" s="48"/>
      <c r="BA4706" s="48"/>
      <c r="BB4706" s="48"/>
      <c r="BC4706" s="48"/>
      <c r="BD4706" s="48"/>
    </row>
    <row r="4707" spans="1:56">
      <c r="A4707" s="48"/>
      <c r="B4707" s="48"/>
      <c r="C4707" s="49"/>
      <c r="D4707" s="48"/>
      <c r="E4707" s="48"/>
      <c r="F4707" s="48"/>
      <c r="G4707" s="48"/>
      <c r="H4707" s="48"/>
      <c r="I4707" s="48"/>
      <c r="J4707" s="86"/>
      <c r="K4707" s="86"/>
      <c r="L4707" s="86"/>
      <c r="M4707" s="86"/>
      <c r="N4707" s="86"/>
      <c r="O4707" s="86"/>
      <c r="P4707" s="86"/>
      <c r="Q4707" s="86"/>
      <c r="R4707" s="86"/>
      <c r="S4707" s="86"/>
      <c r="T4707" s="86"/>
      <c r="U4707" s="86"/>
      <c r="V4707" s="48"/>
      <c r="W4707" s="48"/>
      <c r="X4707" s="48"/>
      <c r="Y4707" s="48"/>
      <c r="Z4707" s="48"/>
      <c r="AA4707" s="48"/>
      <c r="AB4707" s="48"/>
      <c r="AC4707" s="48"/>
      <c r="AD4707" s="48"/>
      <c r="AE4707" s="48"/>
      <c r="AF4707" s="48"/>
      <c r="AG4707" s="48"/>
      <c r="AH4707" s="48"/>
      <c r="AI4707" s="48"/>
      <c r="AJ4707" s="48"/>
      <c r="AK4707" s="48"/>
      <c r="AL4707" s="48"/>
      <c r="AM4707" s="48"/>
      <c r="AN4707" s="48"/>
      <c r="AO4707" s="48"/>
      <c r="AP4707" s="48"/>
      <c r="AQ4707" s="48"/>
      <c r="AR4707" s="48"/>
      <c r="AS4707" s="48"/>
      <c r="AT4707" s="48"/>
      <c r="AU4707" s="48"/>
      <c r="AV4707" s="48"/>
      <c r="AW4707" s="48"/>
      <c r="AX4707" s="48"/>
      <c r="AY4707" s="48"/>
      <c r="AZ4707" s="48"/>
      <c r="BA4707" s="48"/>
      <c r="BB4707" s="48"/>
      <c r="BC4707" s="48"/>
      <c r="BD4707" s="48"/>
    </row>
    <row r="4708" spans="1:56">
      <c r="A4708" s="48"/>
      <c r="B4708" s="48"/>
      <c r="C4708" s="49"/>
      <c r="D4708" s="48"/>
      <c r="E4708" s="48"/>
      <c r="F4708" s="48"/>
      <c r="G4708" s="48"/>
      <c r="H4708" s="48"/>
      <c r="I4708" s="48"/>
      <c r="J4708" s="86"/>
      <c r="K4708" s="86"/>
      <c r="L4708" s="86"/>
      <c r="M4708" s="86"/>
      <c r="N4708" s="86"/>
      <c r="O4708" s="86"/>
      <c r="P4708" s="86"/>
      <c r="Q4708" s="86"/>
      <c r="R4708" s="86"/>
      <c r="S4708" s="86"/>
      <c r="T4708" s="86"/>
      <c r="U4708" s="86"/>
      <c r="V4708" s="48"/>
      <c r="W4708" s="48"/>
      <c r="X4708" s="48"/>
      <c r="Y4708" s="48"/>
      <c r="Z4708" s="48"/>
      <c r="AA4708" s="48"/>
      <c r="AB4708" s="48"/>
      <c r="AC4708" s="48"/>
      <c r="AD4708" s="48"/>
      <c r="AE4708" s="48"/>
      <c r="AF4708" s="48"/>
      <c r="AG4708" s="48"/>
      <c r="AH4708" s="48"/>
      <c r="AI4708" s="48"/>
      <c r="AJ4708" s="48"/>
      <c r="AK4708" s="48"/>
      <c r="AL4708" s="48"/>
      <c r="AM4708" s="48"/>
      <c r="AN4708" s="48"/>
      <c r="AO4708" s="48"/>
      <c r="AP4708" s="48"/>
      <c r="AQ4708" s="48"/>
      <c r="AR4708" s="48"/>
      <c r="AS4708" s="48"/>
      <c r="AT4708" s="48"/>
      <c r="AU4708" s="48"/>
      <c r="AV4708" s="48"/>
      <c r="AW4708" s="48"/>
      <c r="AX4708" s="48"/>
      <c r="AY4708" s="48"/>
      <c r="AZ4708" s="48"/>
      <c r="BA4708" s="48"/>
      <c r="BB4708" s="48"/>
      <c r="BC4708" s="48"/>
      <c r="BD4708" s="48"/>
    </row>
    <row r="4709" spans="1:56">
      <c r="A4709" s="48"/>
      <c r="B4709" s="48"/>
      <c r="C4709" s="49"/>
      <c r="D4709" s="48"/>
      <c r="E4709" s="48"/>
      <c r="F4709" s="48"/>
      <c r="G4709" s="48"/>
      <c r="H4709" s="48"/>
      <c r="I4709" s="48"/>
      <c r="J4709" s="86"/>
      <c r="K4709" s="86"/>
      <c r="L4709" s="86"/>
      <c r="M4709" s="86"/>
      <c r="N4709" s="86"/>
      <c r="O4709" s="86"/>
      <c r="P4709" s="86"/>
      <c r="Q4709" s="86"/>
      <c r="R4709" s="86"/>
      <c r="S4709" s="86"/>
      <c r="T4709" s="86"/>
      <c r="U4709" s="86"/>
      <c r="V4709" s="48"/>
      <c r="W4709" s="48"/>
      <c r="X4709" s="48"/>
      <c r="Y4709" s="48"/>
      <c r="Z4709" s="48"/>
      <c r="AA4709" s="48"/>
      <c r="AB4709" s="48"/>
      <c r="AC4709" s="48"/>
      <c r="AD4709" s="48"/>
      <c r="AE4709" s="48"/>
      <c r="AF4709" s="48"/>
      <c r="AG4709" s="48"/>
      <c r="AH4709" s="48"/>
      <c r="AI4709" s="48"/>
      <c r="AJ4709" s="48"/>
      <c r="AK4709" s="48"/>
      <c r="AL4709" s="48"/>
      <c r="AM4709" s="48"/>
      <c r="AN4709" s="48"/>
      <c r="AO4709" s="48"/>
      <c r="AP4709" s="48"/>
      <c r="AQ4709" s="48"/>
      <c r="AR4709" s="48"/>
      <c r="AS4709" s="48"/>
      <c r="AT4709" s="48"/>
      <c r="AU4709" s="48"/>
      <c r="AV4709" s="48"/>
      <c r="AW4709" s="48"/>
      <c r="AX4709" s="48"/>
      <c r="AY4709" s="48"/>
      <c r="AZ4709" s="48"/>
      <c r="BA4709" s="48"/>
      <c r="BB4709" s="48"/>
      <c r="BC4709" s="48"/>
      <c r="BD4709" s="48"/>
    </row>
    <row r="4710" spans="1:56">
      <c r="A4710" s="48"/>
      <c r="B4710" s="48"/>
      <c r="C4710" s="49"/>
      <c r="D4710" s="48"/>
      <c r="E4710" s="48"/>
      <c r="F4710" s="48"/>
      <c r="G4710" s="48"/>
      <c r="H4710" s="48"/>
      <c r="I4710" s="48"/>
      <c r="J4710" s="86"/>
      <c r="K4710" s="86"/>
      <c r="L4710" s="86"/>
      <c r="M4710" s="86"/>
      <c r="N4710" s="86"/>
      <c r="O4710" s="86"/>
      <c r="P4710" s="86"/>
      <c r="Q4710" s="86"/>
      <c r="R4710" s="86"/>
      <c r="S4710" s="86"/>
      <c r="T4710" s="86"/>
      <c r="U4710" s="86"/>
      <c r="V4710" s="48"/>
      <c r="W4710" s="48"/>
      <c r="X4710" s="48"/>
      <c r="Y4710" s="48"/>
      <c r="Z4710" s="48"/>
      <c r="AA4710" s="48"/>
      <c r="AB4710" s="48"/>
      <c r="AC4710" s="48"/>
      <c r="AD4710" s="48"/>
      <c r="AE4710" s="48"/>
      <c r="AF4710" s="48"/>
      <c r="AG4710" s="48"/>
      <c r="AH4710" s="48"/>
      <c r="AI4710" s="48"/>
      <c r="AJ4710" s="48"/>
      <c r="AK4710" s="48"/>
      <c r="AL4710" s="48"/>
      <c r="AM4710" s="48"/>
      <c r="AN4710" s="48"/>
      <c r="AO4710" s="48"/>
      <c r="AP4710" s="48"/>
      <c r="AQ4710" s="48"/>
      <c r="AR4710" s="48"/>
      <c r="AS4710" s="48"/>
      <c r="AT4710" s="48"/>
      <c r="AU4710" s="48"/>
      <c r="AV4710" s="48"/>
      <c r="AW4710" s="48"/>
      <c r="AX4710" s="48"/>
      <c r="AY4710" s="48"/>
      <c r="AZ4710" s="48"/>
      <c r="BA4710" s="48"/>
      <c r="BB4710" s="48"/>
      <c r="BC4710" s="48"/>
      <c r="BD4710" s="48"/>
    </row>
    <row r="4711" spans="1:56">
      <c r="A4711" s="48"/>
      <c r="B4711" s="48"/>
      <c r="C4711" s="49"/>
      <c r="D4711" s="48"/>
      <c r="E4711" s="48"/>
      <c r="F4711" s="48"/>
      <c r="G4711" s="48"/>
      <c r="H4711" s="48"/>
      <c r="I4711" s="48"/>
      <c r="J4711" s="86"/>
      <c r="K4711" s="86"/>
      <c r="L4711" s="86"/>
      <c r="M4711" s="86"/>
      <c r="N4711" s="86"/>
      <c r="O4711" s="86"/>
      <c r="P4711" s="86"/>
      <c r="Q4711" s="86"/>
      <c r="R4711" s="86"/>
      <c r="S4711" s="86"/>
      <c r="T4711" s="86"/>
      <c r="U4711" s="86"/>
      <c r="V4711" s="48"/>
      <c r="W4711" s="48"/>
      <c r="X4711" s="48"/>
      <c r="Y4711" s="48"/>
      <c r="Z4711" s="48"/>
      <c r="AA4711" s="48"/>
      <c r="AB4711" s="48"/>
      <c r="AC4711" s="48"/>
      <c r="AD4711" s="48"/>
      <c r="AE4711" s="48"/>
      <c r="AF4711" s="48"/>
      <c r="AG4711" s="48"/>
      <c r="AH4711" s="48"/>
      <c r="AI4711" s="48"/>
      <c r="AJ4711" s="48"/>
      <c r="AK4711" s="48"/>
      <c r="AL4711" s="48"/>
      <c r="AM4711" s="48"/>
      <c r="AN4711" s="48"/>
      <c r="AO4711" s="48"/>
      <c r="AP4711" s="48"/>
      <c r="AQ4711" s="48"/>
      <c r="AR4711" s="48"/>
      <c r="AS4711" s="48"/>
      <c r="AT4711" s="48"/>
      <c r="AU4711" s="48"/>
      <c r="AV4711" s="48"/>
      <c r="AW4711" s="48"/>
      <c r="AX4711" s="48"/>
      <c r="AY4711" s="48"/>
      <c r="AZ4711" s="48"/>
      <c r="BA4711" s="48"/>
      <c r="BB4711" s="48"/>
      <c r="BC4711" s="48"/>
      <c r="BD4711" s="48"/>
    </row>
    <row r="4712" spans="1:56">
      <c r="A4712" s="48"/>
      <c r="B4712" s="48"/>
      <c r="C4712" s="49"/>
      <c r="D4712" s="48"/>
      <c r="E4712" s="48"/>
      <c r="F4712" s="48"/>
      <c r="G4712" s="48"/>
      <c r="H4712" s="48"/>
      <c r="I4712" s="48"/>
      <c r="J4712" s="86"/>
      <c r="K4712" s="86"/>
      <c r="L4712" s="86"/>
      <c r="M4712" s="86"/>
      <c r="N4712" s="86"/>
      <c r="O4712" s="86"/>
      <c r="P4712" s="86"/>
      <c r="Q4712" s="86"/>
      <c r="R4712" s="86"/>
      <c r="S4712" s="86"/>
      <c r="T4712" s="86"/>
      <c r="U4712" s="86"/>
      <c r="V4712" s="48"/>
      <c r="W4712" s="48"/>
      <c r="X4712" s="48"/>
      <c r="Y4712" s="48"/>
      <c r="Z4712" s="48"/>
      <c r="AA4712" s="48"/>
      <c r="AB4712" s="48"/>
      <c r="AC4712" s="48"/>
      <c r="AD4712" s="48"/>
      <c r="AE4712" s="48"/>
      <c r="AF4712" s="48"/>
      <c r="AG4712" s="48"/>
      <c r="AH4712" s="48"/>
      <c r="AI4712" s="48"/>
      <c r="AJ4712" s="48"/>
      <c r="AK4712" s="48"/>
      <c r="AL4712" s="48"/>
      <c r="AM4712" s="48"/>
      <c r="AN4712" s="48"/>
      <c r="AO4712" s="48"/>
      <c r="AP4712" s="48"/>
      <c r="AQ4712" s="48"/>
      <c r="AR4712" s="48"/>
      <c r="AS4712" s="48"/>
      <c r="AT4712" s="48"/>
      <c r="AU4712" s="48"/>
      <c r="AV4712" s="48"/>
      <c r="AW4712" s="48"/>
      <c r="AX4712" s="48"/>
      <c r="AY4712" s="48"/>
      <c r="AZ4712" s="48"/>
      <c r="BA4712" s="48"/>
      <c r="BB4712" s="48"/>
      <c r="BC4712" s="48"/>
      <c r="BD4712" s="48"/>
    </row>
    <row r="4713" spans="1:56">
      <c r="A4713" s="48"/>
      <c r="B4713" s="48"/>
      <c r="C4713" s="49"/>
      <c r="D4713" s="48"/>
      <c r="E4713" s="48"/>
      <c r="F4713" s="48"/>
      <c r="G4713" s="48"/>
      <c r="H4713" s="48"/>
      <c r="I4713" s="48"/>
      <c r="J4713" s="86"/>
      <c r="K4713" s="86"/>
      <c r="L4713" s="86"/>
      <c r="M4713" s="86"/>
      <c r="N4713" s="86"/>
      <c r="O4713" s="86"/>
      <c r="P4713" s="86"/>
      <c r="Q4713" s="86"/>
      <c r="R4713" s="86"/>
      <c r="S4713" s="86"/>
      <c r="T4713" s="86"/>
      <c r="U4713" s="86"/>
      <c r="V4713" s="48"/>
      <c r="W4713" s="48"/>
      <c r="X4713" s="48"/>
      <c r="Y4713" s="48"/>
      <c r="Z4713" s="48"/>
      <c r="AA4713" s="48"/>
      <c r="AB4713" s="48"/>
      <c r="AC4713" s="48"/>
      <c r="AD4713" s="48"/>
      <c r="AE4713" s="48"/>
      <c r="AF4713" s="48"/>
      <c r="AG4713" s="48"/>
      <c r="AH4713" s="48"/>
      <c r="AI4713" s="48"/>
      <c r="AJ4713" s="48"/>
      <c r="AK4713" s="48"/>
      <c r="AL4713" s="48"/>
      <c r="AM4713" s="48"/>
      <c r="AN4713" s="48"/>
      <c r="AO4713" s="48"/>
      <c r="AP4713" s="48"/>
      <c r="AQ4713" s="48"/>
      <c r="AR4713" s="48"/>
      <c r="AS4713" s="48"/>
      <c r="AT4713" s="48"/>
      <c r="AU4713" s="48"/>
      <c r="AV4713" s="48"/>
      <c r="AW4713" s="48"/>
      <c r="AX4713" s="48"/>
      <c r="AY4713" s="48"/>
      <c r="AZ4713" s="48"/>
      <c r="BA4713" s="48"/>
      <c r="BB4713" s="48"/>
      <c r="BC4713" s="48"/>
      <c r="BD4713" s="48"/>
    </row>
    <row r="4714" spans="1:56">
      <c r="A4714" s="48"/>
      <c r="B4714" s="48"/>
      <c r="C4714" s="49"/>
      <c r="D4714" s="48"/>
      <c r="E4714" s="48"/>
      <c r="F4714" s="48"/>
      <c r="G4714" s="48"/>
      <c r="H4714" s="48"/>
      <c r="I4714" s="48"/>
      <c r="J4714" s="86"/>
      <c r="K4714" s="86"/>
      <c r="L4714" s="86"/>
      <c r="M4714" s="86"/>
      <c r="N4714" s="86"/>
      <c r="O4714" s="86"/>
      <c r="P4714" s="86"/>
      <c r="Q4714" s="86"/>
      <c r="R4714" s="86"/>
      <c r="S4714" s="86"/>
      <c r="T4714" s="86"/>
      <c r="U4714" s="86"/>
      <c r="V4714" s="48"/>
      <c r="W4714" s="48"/>
      <c r="X4714" s="48"/>
      <c r="Y4714" s="48"/>
      <c r="Z4714" s="48"/>
      <c r="AA4714" s="48"/>
      <c r="AB4714" s="48"/>
      <c r="AC4714" s="48"/>
      <c r="AD4714" s="48"/>
      <c r="AE4714" s="48"/>
      <c r="AF4714" s="48"/>
      <c r="AG4714" s="48"/>
      <c r="AH4714" s="48"/>
      <c r="AI4714" s="48"/>
      <c r="AJ4714" s="48"/>
      <c r="AK4714" s="48"/>
      <c r="AL4714" s="48"/>
      <c r="AM4714" s="48"/>
      <c r="AN4714" s="48"/>
      <c r="AO4714" s="48"/>
      <c r="AP4714" s="48"/>
      <c r="AQ4714" s="48"/>
      <c r="AR4714" s="48"/>
      <c r="AS4714" s="48"/>
      <c r="AT4714" s="48"/>
      <c r="AU4714" s="48"/>
      <c r="AV4714" s="48"/>
      <c r="AW4714" s="48"/>
      <c r="AX4714" s="48"/>
      <c r="AY4714" s="48"/>
      <c r="AZ4714" s="48"/>
      <c r="BA4714" s="48"/>
      <c r="BB4714" s="48"/>
      <c r="BC4714" s="48"/>
      <c r="BD4714" s="48"/>
    </row>
    <row r="4715" spans="1:56">
      <c r="A4715" s="48"/>
      <c r="B4715" s="48"/>
      <c r="C4715" s="49"/>
      <c r="D4715" s="48"/>
      <c r="E4715" s="48"/>
      <c r="F4715" s="48"/>
      <c r="G4715" s="48"/>
      <c r="H4715" s="48"/>
      <c r="I4715" s="48"/>
      <c r="J4715" s="86"/>
      <c r="K4715" s="86"/>
      <c r="L4715" s="86"/>
      <c r="M4715" s="86"/>
      <c r="N4715" s="86"/>
      <c r="O4715" s="86"/>
      <c r="P4715" s="86"/>
      <c r="Q4715" s="86"/>
      <c r="R4715" s="86"/>
      <c r="S4715" s="86"/>
      <c r="T4715" s="86"/>
      <c r="U4715" s="86"/>
      <c r="V4715" s="48"/>
      <c r="W4715" s="48"/>
      <c r="X4715" s="48"/>
      <c r="Y4715" s="48"/>
      <c r="Z4715" s="48"/>
      <c r="AA4715" s="48"/>
      <c r="AB4715" s="48"/>
      <c r="AC4715" s="48"/>
      <c r="AD4715" s="48"/>
      <c r="AE4715" s="48"/>
      <c r="AF4715" s="48"/>
      <c r="AG4715" s="48"/>
      <c r="AH4715" s="48"/>
      <c r="AI4715" s="48"/>
      <c r="AJ4715" s="48"/>
      <c r="AK4715" s="48"/>
      <c r="AL4715" s="48"/>
      <c r="AM4715" s="48"/>
      <c r="AN4715" s="48"/>
      <c r="AO4715" s="48"/>
      <c r="AP4715" s="48"/>
      <c r="AQ4715" s="48"/>
      <c r="AR4715" s="48"/>
      <c r="AS4715" s="48"/>
      <c r="AT4715" s="48"/>
      <c r="AU4715" s="48"/>
      <c r="AV4715" s="48"/>
      <c r="AW4715" s="48"/>
      <c r="AX4715" s="48"/>
      <c r="AY4715" s="48"/>
      <c r="AZ4715" s="48"/>
      <c r="BA4715" s="48"/>
      <c r="BB4715" s="48"/>
      <c r="BC4715" s="48"/>
      <c r="BD4715" s="48"/>
    </row>
    <row r="4716" spans="1:56">
      <c r="A4716" s="48"/>
      <c r="B4716" s="48"/>
      <c r="C4716" s="49"/>
      <c r="D4716" s="48"/>
      <c r="E4716" s="48"/>
      <c r="F4716" s="48"/>
      <c r="G4716" s="48"/>
      <c r="H4716" s="48"/>
      <c r="I4716" s="48"/>
      <c r="J4716" s="86"/>
      <c r="K4716" s="86"/>
      <c r="L4716" s="86"/>
      <c r="M4716" s="86"/>
      <c r="N4716" s="86"/>
      <c r="O4716" s="86"/>
      <c r="P4716" s="86"/>
      <c r="Q4716" s="86"/>
      <c r="R4716" s="86"/>
      <c r="S4716" s="86"/>
      <c r="T4716" s="86"/>
      <c r="U4716" s="86"/>
      <c r="V4716" s="48"/>
      <c r="W4716" s="48"/>
      <c r="X4716" s="48"/>
      <c r="Y4716" s="48"/>
      <c r="Z4716" s="48"/>
      <c r="AA4716" s="48"/>
      <c r="AB4716" s="48"/>
      <c r="AC4716" s="48"/>
      <c r="AD4716" s="48"/>
      <c r="AE4716" s="48"/>
      <c r="AF4716" s="48"/>
      <c r="AG4716" s="48"/>
      <c r="AH4716" s="48"/>
      <c r="AI4716" s="48"/>
      <c r="AJ4716" s="48"/>
      <c r="AK4716" s="48"/>
      <c r="AL4716" s="48"/>
      <c r="AM4716" s="48"/>
      <c r="AN4716" s="48"/>
      <c r="AO4716" s="48"/>
      <c r="AP4716" s="48"/>
      <c r="AQ4716" s="48"/>
      <c r="AR4716" s="48"/>
      <c r="AS4716" s="48"/>
      <c r="AT4716" s="48"/>
      <c r="AU4716" s="48"/>
      <c r="AV4716" s="48"/>
      <c r="AW4716" s="48"/>
      <c r="AX4716" s="48"/>
      <c r="AY4716" s="48"/>
      <c r="AZ4716" s="48"/>
      <c r="BA4716" s="48"/>
      <c r="BB4716" s="48"/>
      <c r="BC4716" s="48"/>
      <c r="BD4716" s="48"/>
    </row>
    <row r="4717" spans="1:56">
      <c r="A4717" s="48"/>
      <c r="B4717" s="48"/>
      <c r="C4717" s="49"/>
      <c r="D4717" s="48"/>
      <c r="E4717" s="48"/>
      <c r="F4717" s="48"/>
      <c r="G4717" s="48"/>
      <c r="H4717" s="48"/>
      <c r="I4717" s="48"/>
      <c r="J4717" s="86"/>
      <c r="K4717" s="86"/>
      <c r="L4717" s="86"/>
      <c r="M4717" s="86"/>
      <c r="N4717" s="86"/>
      <c r="O4717" s="86"/>
      <c r="P4717" s="86"/>
      <c r="Q4717" s="86"/>
      <c r="R4717" s="86"/>
      <c r="S4717" s="86"/>
      <c r="T4717" s="86"/>
      <c r="U4717" s="86"/>
      <c r="V4717" s="48"/>
      <c r="W4717" s="48"/>
      <c r="X4717" s="48"/>
      <c r="Y4717" s="48"/>
      <c r="Z4717" s="48"/>
      <c r="AA4717" s="48"/>
      <c r="AB4717" s="48"/>
      <c r="AC4717" s="48"/>
      <c r="AD4717" s="48"/>
      <c r="AE4717" s="48"/>
      <c r="AF4717" s="48"/>
      <c r="AG4717" s="48"/>
      <c r="AH4717" s="48"/>
      <c r="AI4717" s="48"/>
      <c r="AJ4717" s="48"/>
      <c r="AK4717" s="48"/>
      <c r="AL4717" s="48"/>
      <c r="AM4717" s="48"/>
      <c r="AN4717" s="48"/>
      <c r="AO4717" s="48"/>
      <c r="AP4717" s="48"/>
      <c r="AQ4717" s="48"/>
      <c r="AR4717" s="48"/>
      <c r="AS4717" s="48"/>
      <c r="AT4717" s="48"/>
      <c r="AU4717" s="48"/>
      <c r="AV4717" s="48"/>
      <c r="AW4717" s="48"/>
      <c r="AX4717" s="48"/>
      <c r="AY4717" s="48"/>
      <c r="AZ4717" s="48"/>
      <c r="BA4717" s="48"/>
      <c r="BB4717" s="48"/>
      <c r="BC4717" s="48"/>
      <c r="BD4717" s="48"/>
    </row>
    <row r="4718" spans="1:56">
      <c r="A4718" s="48"/>
      <c r="B4718" s="48"/>
      <c r="C4718" s="49"/>
      <c r="D4718" s="48"/>
      <c r="E4718" s="48"/>
      <c r="F4718" s="48"/>
      <c r="G4718" s="48"/>
      <c r="H4718" s="48"/>
      <c r="I4718" s="48"/>
      <c r="J4718" s="86"/>
      <c r="K4718" s="86"/>
      <c r="L4718" s="86"/>
      <c r="M4718" s="86"/>
      <c r="N4718" s="86"/>
      <c r="O4718" s="86"/>
      <c r="P4718" s="86"/>
      <c r="Q4718" s="86"/>
      <c r="R4718" s="86"/>
      <c r="S4718" s="86"/>
      <c r="T4718" s="86"/>
      <c r="U4718" s="86"/>
      <c r="V4718" s="48"/>
      <c r="W4718" s="48"/>
      <c r="X4718" s="48"/>
      <c r="Y4718" s="48"/>
      <c r="Z4718" s="48"/>
      <c r="AA4718" s="48"/>
      <c r="AB4718" s="48"/>
      <c r="AC4718" s="48"/>
      <c r="AD4718" s="48"/>
      <c r="AE4718" s="48"/>
      <c r="AF4718" s="48"/>
      <c r="AG4718" s="48"/>
      <c r="AH4718" s="48"/>
      <c r="AI4718" s="48"/>
      <c r="AJ4718" s="48"/>
      <c r="AK4718" s="48"/>
      <c r="AL4718" s="48"/>
      <c r="AM4718" s="48"/>
      <c r="AN4718" s="48"/>
      <c r="AO4718" s="48"/>
      <c r="AP4718" s="48"/>
      <c r="AQ4718" s="48"/>
      <c r="AR4718" s="48"/>
      <c r="AS4718" s="48"/>
      <c r="AT4718" s="48"/>
      <c r="AU4718" s="48"/>
      <c r="AV4718" s="48"/>
      <c r="AW4718" s="48"/>
      <c r="AX4718" s="48"/>
      <c r="AY4718" s="48"/>
      <c r="AZ4718" s="48"/>
      <c r="BA4718" s="48"/>
      <c r="BB4718" s="48"/>
      <c r="BC4718" s="48"/>
      <c r="BD4718" s="48"/>
    </row>
    <row r="4719" spans="1:56">
      <c r="A4719" s="48"/>
      <c r="B4719" s="48"/>
      <c r="C4719" s="49"/>
      <c r="D4719" s="48"/>
      <c r="E4719" s="48"/>
      <c r="F4719" s="48"/>
      <c r="G4719" s="48"/>
      <c r="H4719" s="48"/>
      <c r="I4719" s="48"/>
      <c r="J4719" s="86"/>
      <c r="K4719" s="86"/>
      <c r="L4719" s="86"/>
      <c r="M4719" s="86"/>
      <c r="N4719" s="86"/>
      <c r="O4719" s="86"/>
      <c r="P4719" s="86"/>
      <c r="Q4719" s="86"/>
      <c r="R4719" s="86"/>
      <c r="S4719" s="86"/>
      <c r="T4719" s="86"/>
      <c r="U4719" s="86"/>
      <c r="V4719" s="48"/>
      <c r="W4719" s="48"/>
      <c r="X4719" s="48"/>
      <c r="Y4719" s="48"/>
      <c r="Z4719" s="48"/>
      <c r="AA4719" s="48"/>
      <c r="AB4719" s="48"/>
      <c r="AC4719" s="48"/>
      <c r="AD4719" s="48"/>
      <c r="AE4719" s="48"/>
      <c r="AF4719" s="48"/>
      <c r="AG4719" s="48"/>
      <c r="AH4719" s="48"/>
      <c r="AI4719" s="48"/>
      <c r="AJ4719" s="48"/>
      <c r="AK4719" s="48"/>
      <c r="AL4719" s="48"/>
      <c r="AM4719" s="48"/>
      <c r="AN4719" s="48"/>
      <c r="AO4719" s="48"/>
      <c r="AP4719" s="48"/>
      <c r="AQ4719" s="48"/>
      <c r="AR4719" s="48"/>
      <c r="AS4719" s="48"/>
      <c r="AT4719" s="48"/>
      <c r="AU4719" s="48"/>
      <c r="AV4719" s="48"/>
      <c r="AW4719" s="48"/>
      <c r="AX4719" s="48"/>
      <c r="AY4719" s="48"/>
      <c r="AZ4719" s="48"/>
      <c r="BA4719" s="48"/>
      <c r="BB4719" s="48"/>
      <c r="BC4719" s="48"/>
      <c r="BD4719" s="48"/>
    </row>
    <row r="4720" spans="1:56">
      <c r="A4720" s="48"/>
      <c r="B4720" s="48"/>
      <c r="C4720" s="49"/>
      <c r="D4720" s="48"/>
      <c r="E4720" s="48"/>
      <c r="F4720" s="48"/>
      <c r="G4720" s="48"/>
      <c r="H4720" s="48"/>
      <c r="I4720" s="48"/>
      <c r="J4720" s="86"/>
      <c r="K4720" s="86"/>
      <c r="L4720" s="86"/>
      <c r="M4720" s="86"/>
      <c r="N4720" s="86"/>
      <c r="O4720" s="86"/>
      <c r="P4720" s="86"/>
      <c r="Q4720" s="86"/>
      <c r="R4720" s="86"/>
      <c r="S4720" s="86"/>
      <c r="T4720" s="86"/>
      <c r="U4720" s="86"/>
      <c r="V4720" s="48"/>
      <c r="W4720" s="48"/>
      <c r="X4720" s="48"/>
      <c r="Y4720" s="48"/>
      <c r="Z4720" s="48"/>
      <c r="AA4720" s="48"/>
      <c r="AB4720" s="48"/>
      <c r="AC4720" s="48"/>
      <c r="AD4720" s="48"/>
      <c r="AE4720" s="48"/>
      <c r="AF4720" s="48"/>
      <c r="AG4720" s="48"/>
      <c r="AH4720" s="48"/>
      <c r="AI4720" s="48"/>
      <c r="AJ4720" s="48"/>
      <c r="AK4720" s="48"/>
      <c r="AL4720" s="48"/>
      <c r="AM4720" s="48"/>
      <c r="AN4720" s="48"/>
      <c r="AO4720" s="48"/>
      <c r="AP4720" s="48"/>
      <c r="AQ4720" s="48"/>
      <c r="AR4720" s="48"/>
      <c r="AS4720" s="48"/>
      <c r="AT4720" s="48"/>
      <c r="AU4720" s="48"/>
      <c r="AV4720" s="48"/>
      <c r="AW4720" s="48"/>
      <c r="AX4720" s="48"/>
      <c r="AY4720" s="48"/>
      <c r="AZ4720" s="48"/>
      <c r="BA4720" s="48"/>
      <c r="BB4720" s="48"/>
      <c r="BC4720" s="48"/>
      <c r="BD4720" s="48"/>
    </row>
    <row r="4721" spans="1:56">
      <c r="A4721" s="48"/>
      <c r="B4721" s="48"/>
      <c r="C4721" s="49"/>
      <c r="D4721" s="48"/>
      <c r="E4721" s="48"/>
      <c r="F4721" s="48"/>
      <c r="G4721" s="48"/>
      <c r="H4721" s="48"/>
      <c r="I4721" s="48"/>
      <c r="J4721" s="86"/>
      <c r="K4721" s="86"/>
      <c r="L4721" s="86"/>
      <c r="M4721" s="86"/>
      <c r="N4721" s="86"/>
      <c r="O4721" s="86"/>
      <c r="P4721" s="86"/>
      <c r="Q4721" s="86"/>
      <c r="R4721" s="86"/>
      <c r="S4721" s="86"/>
      <c r="T4721" s="86"/>
      <c r="U4721" s="86"/>
      <c r="V4721" s="48"/>
      <c r="W4721" s="48"/>
      <c r="X4721" s="48"/>
      <c r="Y4721" s="48"/>
      <c r="Z4721" s="48"/>
      <c r="AA4721" s="48"/>
      <c r="AB4721" s="48"/>
      <c r="AC4721" s="48"/>
      <c r="AD4721" s="48"/>
      <c r="AE4721" s="48"/>
      <c r="AF4721" s="48"/>
      <c r="AG4721" s="48"/>
      <c r="AH4721" s="48"/>
      <c r="AI4721" s="48"/>
      <c r="AJ4721" s="48"/>
      <c r="AK4721" s="48"/>
      <c r="AL4721" s="48"/>
      <c r="AM4721" s="48"/>
      <c r="AN4721" s="48"/>
      <c r="AO4721" s="48"/>
      <c r="AP4721" s="48"/>
      <c r="AQ4721" s="48"/>
      <c r="AR4721" s="48"/>
      <c r="AS4721" s="48"/>
      <c r="AT4721" s="48"/>
      <c r="AU4721" s="48"/>
      <c r="AV4721" s="48"/>
      <c r="AW4721" s="48"/>
      <c r="AX4721" s="48"/>
      <c r="AY4721" s="48"/>
      <c r="AZ4721" s="48"/>
      <c r="BA4721" s="48"/>
      <c r="BB4721" s="48"/>
      <c r="BC4721" s="48"/>
      <c r="BD4721" s="48"/>
    </row>
    <row r="4722" spans="1:56">
      <c r="A4722" s="48"/>
      <c r="B4722" s="48"/>
      <c r="C4722" s="49"/>
      <c r="D4722" s="48"/>
      <c r="E4722" s="48"/>
      <c r="F4722" s="48"/>
      <c r="G4722" s="48"/>
      <c r="H4722" s="48"/>
      <c r="I4722" s="48"/>
      <c r="J4722" s="86"/>
      <c r="K4722" s="86"/>
      <c r="L4722" s="86"/>
      <c r="M4722" s="86"/>
      <c r="N4722" s="86"/>
      <c r="O4722" s="86"/>
      <c r="P4722" s="86"/>
      <c r="Q4722" s="86"/>
      <c r="R4722" s="86"/>
      <c r="S4722" s="86"/>
      <c r="T4722" s="86"/>
      <c r="U4722" s="86"/>
      <c r="V4722" s="48"/>
      <c r="W4722" s="48"/>
      <c r="X4722" s="48"/>
      <c r="Y4722" s="48"/>
      <c r="Z4722" s="48"/>
      <c r="AA4722" s="48"/>
      <c r="AB4722" s="48"/>
      <c r="AC4722" s="48"/>
      <c r="AD4722" s="48"/>
      <c r="AE4722" s="48"/>
      <c r="AF4722" s="48"/>
      <c r="AG4722" s="48"/>
      <c r="AH4722" s="48"/>
      <c r="AI4722" s="48"/>
      <c r="AJ4722" s="48"/>
      <c r="AK4722" s="48"/>
      <c r="AL4722" s="48"/>
      <c r="AM4722" s="48"/>
      <c r="AN4722" s="48"/>
      <c r="AO4722" s="48"/>
      <c r="AP4722" s="48"/>
      <c r="AQ4722" s="48"/>
      <c r="AR4722" s="48"/>
      <c r="AS4722" s="48"/>
      <c r="AT4722" s="48"/>
      <c r="AU4722" s="48"/>
      <c r="AV4722" s="48"/>
      <c r="AW4722" s="48"/>
      <c r="AX4722" s="48"/>
      <c r="AY4722" s="48"/>
      <c r="AZ4722" s="48"/>
      <c r="BA4722" s="48"/>
      <c r="BB4722" s="48"/>
      <c r="BC4722" s="48"/>
      <c r="BD4722" s="48"/>
    </row>
    <row r="4723" spans="1:56">
      <c r="A4723" s="48"/>
      <c r="B4723" s="48"/>
      <c r="C4723" s="49"/>
      <c r="D4723" s="48"/>
      <c r="E4723" s="48"/>
      <c r="F4723" s="48"/>
      <c r="G4723" s="48"/>
      <c r="H4723" s="48"/>
      <c r="I4723" s="48"/>
      <c r="J4723" s="86"/>
      <c r="K4723" s="86"/>
      <c r="L4723" s="86"/>
      <c r="M4723" s="86"/>
      <c r="N4723" s="86"/>
      <c r="O4723" s="86"/>
      <c r="P4723" s="86"/>
      <c r="Q4723" s="86"/>
      <c r="R4723" s="86"/>
      <c r="S4723" s="86"/>
      <c r="T4723" s="86"/>
      <c r="U4723" s="86"/>
      <c r="V4723" s="48"/>
      <c r="W4723" s="48"/>
      <c r="X4723" s="48"/>
      <c r="Y4723" s="48"/>
      <c r="Z4723" s="48"/>
      <c r="AA4723" s="48"/>
      <c r="AB4723" s="48"/>
      <c r="AC4723" s="48"/>
      <c r="AD4723" s="48"/>
      <c r="AE4723" s="48"/>
      <c r="AF4723" s="48"/>
      <c r="AG4723" s="48"/>
      <c r="AH4723" s="48"/>
      <c r="AI4723" s="48"/>
      <c r="AJ4723" s="48"/>
      <c r="AK4723" s="48"/>
      <c r="AL4723" s="48"/>
      <c r="AM4723" s="48"/>
      <c r="AN4723" s="48"/>
      <c r="AO4723" s="48"/>
      <c r="AP4723" s="48"/>
      <c r="AQ4723" s="48"/>
      <c r="AR4723" s="48"/>
      <c r="AS4723" s="48"/>
      <c r="AT4723" s="48"/>
      <c r="AU4723" s="48"/>
      <c r="AV4723" s="48"/>
      <c r="AW4723" s="48"/>
      <c r="AX4723" s="48"/>
      <c r="AY4723" s="48"/>
      <c r="AZ4723" s="48"/>
      <c r="BA4723" s="48"/>
      <c r="BB4723" s="48"/>
      <c r="BC4723" s="48"/>
      <c r="BD4723" s="48"/>
    </row>
    <row r="4724" spans="1:56">
      <c r="A4724" s="48"/>
      <c r="B4724" s="48"/>
      <c r="C4724" s="49"/>
      <c r="D4724" s="48"/>
      <c r="E4724" s="48"/>
      <c r="F4724" s="48"/>
      <c r="G4724" s="48"/>
      <c r="H4724" s="48"/>
      <c r="I4724" s="48"/>
      <c r="J4724" s="86"/>
      <c r="K4724" s="86"/>
      <c r="L4724" s="86"/>
      <c r="M4724" s="86"/>
      <c r="N4724" s="86"/>
      <c r="O4724" s="86"/>
      <c r="P4724" s="86"/>
      <c r="Q4724" s="86"/>
      <c r="R4724" s="86"/>
      <c r="S4724" s="86"/>
      <c r="T4724" s="86"/>
      <c r="U4724" s="86"/>
      <c r="V4724" s="48"/>
      <c r="W4724" s="48"/>
      <c r="X4724" s="48"/>
      <c r="Y4724" s="48"/>
      <c r="Z4724" s="48"/>
      <c r="AA4724" s="48"/>
      <c r="AB4724" s="48"/>
      <c r="AC4724" s="48"/>
      <c r="AD4724" s="48"/>
      <c r="AE4724" s="48"/>
      <c r="AF4724" s="48"/>
      <c r="AG4724" s="48"/>
      <c r="AH4724" s="48"/>
      <c r="AI4724" s="48"/>
      <c r="AJ4724" s="48"/>
      <c r="AK4724" s="48"/>
      <c r="AL4724" s="48"/>
      <c r="AM4724" s="48"/>
      <c r="AN4724" s="48"/>
      <c r="AO4724" s="48"/>
      <c r="AP4724" s="48"/>
      <c r="AQ4724" s="48"/>
      <c r="AR4724" s="48"/>
      <c r="AS4724" s="48"/>
      <c r="AT4724" s="48"/>
      <c r="AU4724" s="48"/>
      <c r="AV4724" s="48"/>
      <c r="AW4724" s="48"/>
      <c r="AX4724" s="48"/>
      <c r="AY4724" s="48"/>
      <c r="AZ4724" s="48"/>
      <c r="BA4724" s="48"/>
      <c r="BB4724" s="48"/>
      <c r="BC4724" s="48"/>
      <c r="BD4724" s="48"/>
    </row>
    <row r="4725" spans="1:56">
      <c r="A4725" s="48"/>
      <c r="B4725" s="48"/>
      <c r="C4725" s="49"/>
      <c r="D4725" s="48"/>
      <c r="E4725" s="48"/>
      <c r="F4725" s="48"/>
      <c r="G4725" s="48"/>
      <c r="H4725" s="48"/>
      <c r="I4725" s="48"/>
      <c r="J4725" s="86"/>
      <c r="K4725" s="86"/>
      <c r="L4725" s="86"/>
      <c r="M4725" s="86"/>
      <c r="N4725" s="86"/>
      <c r="O4725" s="86"/>
      <c r="P4725" s="86"/>
      <c r="Q4725" s="86"/>
      <c r="R4725" s="86"/>
      <c r="S4725" s="86"/>
      <c r="T4725" s="86"/>
      <c r="U4725" s="86"/>
      <c r="V4725" s="48"/>
      <c r="W4725" s="48"/>
      <c r="X4725" s="48"/>
      <c r="Y4725" s="48"/>
      <c r="Z4725" s="48"/>
      <c r="AA4725" s="48"/>
      <c r="AB4725" s="48"/>
      <c r="AC4725" s="48"/>
      <c r="AD4725" s="48"/>
      <c r="AE4725" s="48"/>
      <c r="AF4725" s="48"/>
      <c r="AG4725" s="48"/>
      <c r="AH4725" s="48"/>
      <c r="AI4725" s="48"/>
      <c r="AJ4725" s="48"/>
      <c r="AK4725" s="48"/>
      <c r="AL4725" s="48"/>
      <c r="AM4725" s="48"/>
      <c r="AN4725" s="48"/>
      <c r="AO4725" s="48"/>
      <c r="AP4725" s="48"/>
      <c r="AQ4725" s="48"/>
      <c r="AR4725" s="48"/>
      <c r="AS4725" s="48"/>
      <c r="AT4725" s="48"/>
      <c r="AU4725" s="48"/>
      <c r="AV4725" s="48"/>
      <c r="AW4725" s="48"/>
      <c r="AX4725" s="48"/>
      <c r="AY4725" s="48"/>
      <c r="AZ4725" s="48"/>
      <c r="BA4725" s="48"/>
      <c r="BB4725" s="48"/>
      <c r="BC4725" s="48"/>
      <c r="BD4725" s="48"/>
    </row>
    <row r="4726" spans="1:56">
      <c r="A4726" s="48"/>
      <c r="B4726" s="48"/>
      <c r="C4726" s="49"/>
      <c r="D4726" s="48"/>
      <c r="E4726" s="48"/>
      <c r="F4726" s="48"/>
      <c r="G4726" s="48"/>
      <c r="H4726" s="48"/>
      <c r="I4726" s="48"/>
      <c r="J4726" s="86"/>
      <c r="K4726" s="86"/>
      <c r="L4726" s="86"/>
      <c r="M4726" s="86"/>
      <c r="N4726" s="86"/>
      <c r="O4726" s="86"/>
      <c r="P4726" s="86"/>
      <c r="Q4726" s="86"/>
      <c r="R4726" s="86"/>
      <c r="S4726" s="86"/>
      <c r="T4726" s="86"/>
      <c r="U4726" s="86"/>
      <c r="V4726" s="48"/>
      <c r="W4726" s="48"/>
      <c r="X4726" s="48"/>
      <c r="Y4726" s="48"/>
      <c r="Z4726" s="48"/>
      <c r="AA4726" s="48"/>
      <c r="AB4726" s="48"/>
      <c r="AC4726" s="48"/>
      <c r="AD4726" s="48"/>
      <c r="AE4726" s="48"/>
      <c r="AF4726" s="48"/>
      <c r="AG4726" s="48"/>
      <c r="AH4726" s="48"/>
      <c r="AI4726" s="48"/>
      <c r="AJ4726" s="48"/>
      <c r="AK4726" s="48"/>
      <c r="AL4726" s="48"/>
      <c r="AM4726" s="48"/>
      <c r="AN4726" s="48"/>
      <c r="AO4726" s="48"/>
      <c r="AP4726" s="48"/>
      <c r="AQ4726" s="48"/>
      <c r="AR4726" s="48"/>
      <c r="AS4726" s="48"/>
      <c r="AT4726" s="48"/>
      <c r="AU4726" s="48"/>
      <c r="AV4726" s="48"/>
      <c r="AW4726" s="48"/>
      <c r="AX4726" s="48"/>
      <c r="AY4726" s="48"/>
      <c r="AZ4726" s="48"/>
      <c r="BA4726" s="48"/>
      <c r="BB4726" s="48"/>
      <c r="BC4726" s="48"/>
      <c r="BD4726" s="48"/>
    </row>
    <row r="4727" spans="1:56">
      <c r="A4727" s="48"/>
      <c r="B4727" s="48"/>
      <c r="C4727" s="49"/>
      <c r="D4727" s="48"/>
      <c r="E4727" s="48"/>
      <c r="F4727" s="48"/>
      <c r="G4727" s="48"/>
      <c r="H4727" s="48"/>
      <c r="I4727" s="48"/>
      <c r="J4727" s="86"/>
      <c r="K4727" s="86"/>
      <c r="L4727" s="86"/>
      <c r="M4727" s="86"/>
      <c r="N4727" s="86"/>
      <c r="O4727" s="86"/>
      <c r="P4727" s="86"/>
      <c r="Q4727" s="86"/>
      <c r="R4727" s="86"/>
      <c r="S4727" s="86"/>
      <c r="T4727" s="86"/>
      <c r="U4727" s="86"/>
      <c r="V4727" s="48"/>
      <c r="W4727" s="48"/>
      <c r="X4727" s="48"/>
      <c r="Y4727" s="48"/>
      <c r="Z4727" s="48"/>
      <c r="AA4727" s="48"/>
      <c r="AB4727" s="48"/>
      <c r="AC4727" s="48"/>
      <c r="AD4727" s="48"/>
      <c r="AE4727" s="48"/>
      <c r="AF4727" s="48"/>
      <c r="AG4727" s="48"/>
      <c r="AH4727" s="48"/>
      <c r="AI4727" s="48"/>
      <c r="AJ4727" s="48"/>
      <c r="AK4727" s="48"/>
      <c r="AL4727" s="48"/>
      <c r="AM4727" s="48"/>
      <c r="AN4727" s="48"/>
      <c r="AO4727" s="48"/>
      <c r="AP4727" s="48"/>
      <c r="AQ4727" s="48"/>
      <c r="AR4727" s="48"/>
      <c r="AS4727" s="48"/>
      <c r="AT4727" s="48"/>
      <c r="AU4727" s="48"/>
      <c r="AV4727" s="48"/>
      <c r="AW4727" s="48"/>
      <c r="AX4727" s="48"/>
      <c r="AY4727" s="48"/>
      <c r="AZ4727" s="48"/>
      <c r="BA4727" s="48"/>
      <c r="BB4727" s="48"/>
      <c r="BC4727" s="48"/>
      <c r="BD4727" s="48"/>
    </row>
    <row r="4728" spans="1:56">
      <c r="A4728" s="48"/>
      <c r="B4728" s="48"/>
      <c r="C4728" s="49"/>
      <c r="D4728" s="48"/>
      <c r="E4728" s="48"/>
      <c r="F4728" s="48"/>
      <c r="G4728" s="48"/>
      <c r="H4728" s="48"/>
      <c r="I4728" s="48"/>
      <c r="J4728" s="86"/>
      <c r="K4728" s="86"/>
      <c r="L4728" s="86"/>
      <c r="M4728" s="86"/>
      <c r="N4728" s="86"/>
      <c r="O4728" s="86"/>
      <c r="P4728" s="86"/>
      <c r="Q4728" s="86"/>
      <c r="R4728" s="86"/>
      <c r="S4728" s="86"/>
      <c r="T4728" s="86"/>
      <c r="U4728" s="86"/>
      <c r="V4728" s="48"/>
      <c r="W4728" s="48"/>
      <c r="X4728" s="48"/>
      <c r="Y4728" s="48"/>
      <c r="Z4728" s="48"/>
      <c r="AA4728" s="48"/>
      <c r="AB4728" s="48"/>
      <c r="AC4728" s="48"/>
      <c r="AD4728" s="48"/>
      <c r="AE4728" s="48"/>
      <c r="AF4728" s="48"/>
      <c r="AG4728" s="48"/>
      <c r="AH4728" s="48"/>
      <c r="AI4728" s="48"/>
      <c r="AJ4728" s="48"/>
      <c r="AK4728" s="48"/>
      <c r="AL4728" s="48"/>
      <c r="AM4728" s="48"/>
      <c r="AN4728" s="48"/>
      <c r="AO4728" s="48"/>
      <c r="AP4728" s="48"/>
      <c r="AQ4728" s="48"/>
      <c r="AR4728" s="48"/>
      <c r="AS4728" s="48"/>
      <c r="AT4728" s="48"/>
      <c r="AU4728" s="48"/>
      <c r="AV4728" s="48"/>
      <c r="AW4728" s="48"/>
      <c r="AX4728" s="48"/>
      <c r="AY4728" s="48"/>
      <c r="AZ4728" s="48"/>
      <c r="BA4728" s="48"/>
      <c r="BB4728" s="48"/>
      <c r="BC4728" s="48"/>
      <c r="BD4728" s="48"/>
    </row>
    <row r="4729" spans="1:56">
      <c r="A4729" s="48"/>
      <c r="B4729" s="48"/>
      <c r="C4729" s="49"/>
      <c r="D4729" s="48"/>
      <c r="E4729" s="48"/>
      <c r="F4729" s="48"/>
      <c r="G4729" s="48"/>
      <c r="H4729" s="48"/>
      <c r="I4729" s="48"/>
      <c r="J4729" s="86"/>
      <c r="K4729" s="86"/>
      <c r="L4729" s="86"/>
      <c r="M4729" s="86"/>
      <c r="N4729" s="86"/>
      <c r="O4729" s="86"/>
      <c r="P4729" s="86"/>
      <c r="Q4729" s="86"/>
      <c r="R4729" s="86"/>
      <c r="S4729" s="86"/>
      <c r="T4729" s="86"/>
      <c r="U4729" s="86"/>
      <c r="V4729" s="48"/>
      <c r="W4729" s="48"/>
      <c r="X4729" s="48"/>
      <c r="Y4729" s="48"/>
      <c r="Z4729" s="48"/>
      <c r="AA4729" s="48"/>
      <c r="AB4729" s="48"/>
      <c r="AC4729" s="48"/>
      <c r="AD4729" s="48"/>
      <c r="AE4729" s="48"/>
      <c r="AF4729" s="48"/>
      <c r="AG4729" s="48"/>
      <c r="AH4729" s="48"/>
      <c r="AI4729" s="48"/>
      <c r="AJ4729" s="48"/>
      <c r="AK4729" s="48"/>
      <c r="AL4729" s="48"/>
      <c r="AM4729" s="48"/>
      <c r="AN4729" s="48"/>
      <c r="AO4729" s="48"/>
      <c r="AP4729" s="48"/>
      <c r="AQ4729" s="48"/>
      <c r="AR4729" s="48"/>
      <c r="AS4729" s="48"/>
      <c r="AT4729" s="48"/>
      <c r="AU4729" s="48"/>
      <c r="AV4729" s="48"/>
      <c r="AW4729" s="48"/>
      <c r="AX4729" s="48"/>
      <c r="AY4729" s="48"/>
      <c r="AZ4729" s="48"/>
      <c r="BA4729" s="48"/>
      <c r="BB4729" s="48"/>
      <c r="BC4729" s="48"/>
      <c r="BD4729" s="48"/>
    </row>
    <row r="4730" spans="1:56">
      <c r="A4730" s="48"/>
      <c r="B4730" s="48"/>
      <c r="C4730" s="49"/>
      <c r="D4730" s="48"/>
      <c r="E4730" s="48"/>
      <c r="F4730" s="48"/>
      <c r="G4730" s="48"/>
      <c r="H4730" s="48"/>
      <c r="I4730" s="48"/>
      <c r="J4730" s="86"/>
      <c r="K4730" s="86"/>
      <c r="L4730" s="86"/>
      <c r="M4730" s="86"/>
      <c r="N4730" s="86"/>
      <c r="O4730" s="86"/>
      <c r="P4730" s="86"/>
      <c r="Q4730" s="86"/>
      <c r="R4730" s="86"/>
      <c r="S4730" s="86"/>
      <c r="T4730" s="86"/>
      <c r="U4730" s="86"/>
      <c r="V4730" s="48"/>
      <c r="W4730" s="48"/>
      <c r="X4730" s="48"/>
      <c r="Y4730" s="48"/>
      <c r="Z4730" s="48"/>
      <c r="AA4730" s="48"/>
      <c r="AB4730" s="48"/>
      <c r="AC4730" s="48"/>
      <c r="AD4730" s="48"/>
      <c r="AE4730" s="48"/>
      <c r="AF4730" s="48"/>
      <c r="AG4730" s="48"/>
      <c r="AH4730" s="48"/>
      <c r="AI4730" s="48"/>
      <c r="AJ4730" s="48"/>
      <c r="AK4730" s="48"/>
      <c r="AL4730" s="48"/>
      <c r="AM4730" s="48"/>
      <c r="AN4730" s="48"/>
      <c r="AO4730" s="48"/>
      <c r="AP4730" s="48"/>
      <c r="AQ4730" s="48"/>
      <c r="AR4730" s="48"/>
      <c r="AS4730" s="48"/>
      <c r="AT4730" s="48"/>
      <c r="AU4730" s="48"/>
      <c r="AV4730" s="48"/>
      <c r="AW4730" s="48"/>
      <c r="AX4730" s="48"/>
      <c r="AY4730" s="48"/>
      <c r="AZ4730" s="48"/>
      <c r="BA4730" s="48"/>
      <c r="BB4730" s="48"/>
      <c r="BC4730" s="48"/>
      <c r="BD4730" s="48"/>
    </row>
    <row r="4731" spans="1:56">
      <c r="A4731" s="48"/>
      <c r="B4731" s="48"/>
      <c r="C4731" s="49"/>
      <c r="D4731" s="48"/>
      <c r="E4731" s="48"/>
      <c r="F4731" s="48"/>
      <c r="G4731" s="48"/>
      <c r="H4731" s="48"/>
      <c r="I4731" s="48"/>
      <c r="J4731" s="86"/>
      <c r="K4731" s="86"/>
      <c r="L4731" s="86"/>
      <c r="M4731" s="86"/>
      <c r="N4731" s="86"/>
      <c r="O4731" s="86"/>
      <c r="P4731" s="86"/>
      <c r="Q4731" s="86"/>
      <c r="R4731" s="86"/>
      <c r="S4731" s="86"/>
      <c r="T4731" s="86"/>
      <c r="U4731" s="86"/>
      <c r="V4731" s="48"/>
      <c r="W4731" s="48"/>
      <c r="X4731" s="48"/>
      <c r="Y4731" s="48"/>
      <c r="Z4731" s="48"/>
      <c r="AA4731" s="48"/>
      <c r="AB4731" s="48"/>
      <c r="AC4731" s="48"/>
      <c r="AD4731" s="48"/>
      <c r="AE4731" s="48"/>
      <c r="AF4731" s="48"/>
      <c r="AG4731" s="48"/>
      <c r="AH4731" s="48"/>
      <c r="AI4731" s="48"/>
      <c r="AJ4731" s="48"/>
      <c r="AK4731" s="48"/>
      <c r="AL4731" s="48"/>
      <c r="AM4731" s="48"/>
      <c r="AN4731" s="48"/>
      <c r="AO4731" s="48"/>
      <c r="AP4731" s="48"/>
      <c r="AQ4731" s="48"/>
      <c r="AR4731" s="48"/>
      <c r="AS4731" s="48"/>
      <c r="AT4731" s="48"/>
      <c r="AU4731" s="48"/>
      <c r="AV4731" s="48"/>
      <c r="AW4731" s="48"/>
      <c r="AX4731" s="48"/>
      <c r="AY4731" s="48"/>
      <c r="AZ4731" s="48"/>
      <c r="BA4731" s="48"/>
      <c r="BB4731" s="48"/>
      <c r="BC4731" s="48"/>
      <c r="BD4731" s="48"/>
    </row>
    <row r="4732" spans="1:56">
      <c r="A4732" s="48"/>
      <c r="B4732" s="48"/>
      <c r="C4732" s="49"/>
      <c r="D4732" s="48"/>
      <c r="E4732" s="48"/>
      <c r="F4732" s="48"/>
      <c r="G4732" s="48"/>
      <c r="H4732" s="48"/>
      <c r="I4732" s="48"/>
      <c r="J4732" s="86"/>
      <c r="K4732" s="86"/>
      <c r="L4732" s="86"/>
      <c r="M4732" s="86"/>
      <c r="N4732" s="86"/>
      <c r="O4732" s="86"/>
      <c r="P4732" s="86"/>
      <c r="Q4732" s="86"/>
      <c r="R4732" s="86"/>
      <c r="S4732" s="86"/>
      <c r="T4732" s="86"/>
      <c r="U4732" s="86"/>
      <c r="V4732" s="48"/>
      <c r="W4732" s="48"/>
      <c r="X4732" s="48"/>
      <c r="Y4732" s="48"/>
      <c r="Z4732" s="48"/>
      <c r="AA4732" s="48"/>
      <c r="AB4732" s="48"/>
      <c r="AC4732" s="48"/>
      <c r="AD4732" s="48"/>
      <c r="AE4732" s="48"/>
      <c r="AF4732" s="48"/>
      <c r="AG4732" s="48"/>
      <c r="AH4732" s="48"/>
      <c r="AI4732" s="48"/>
      <c r="AJ4732" s="48"/>
      <c r="AK4732" s="48"/>
      <c r="AL4732" s="48"/>
      <c r="AM4732" s="48"/>
      <c r="AN4732" s="48"/>
      <c r="AO4732" s="48"/>
      <c r="AP4732" s="48"/>
      <c r="AQ4732" s="48"/>
      <c r="AR4732" s="48"/>
      <c r="AS4732" s="48"/>
      <c r="AT4732" s="48"/>
      <c r="AU4732" s="48"/>
      <c r="AV4732" s="48"/>
      <c r="AW4732" s="48"/>
      <c r="AX4732" s="48"/>
      <c r="AY4732" s="48"/>
      <c r="AZ4732" s="48"/>
      <c r="BA4732" s="48"/>
      <c r="BB4732" s="48"/>
      <c r="BC4732" s="48"/>
      <c r="BD4732" s="48"/>
    </row>
    <row r="4733" spans="1:56">
      <c r="A4733" s="48"/>
      <c r="B4733" s="48"/>
      <c r="C4733" s="49"/>
      <c r="D4733" s="48"/>
      <c r="E4733" s="48"/>
      <c r="F4733" s="48"/>
      <c r="G4733" s="48"/>
      <c r="H4733" s="48"/>
      <c r="I4733" s="48"/>
      <c r="J4733" s="86"/>
      <c r="K4733" s="86"/>
      <c r="L4733" s="86"/>
      <c r="M4733" s="86"/>
      <c r="N4733" s="86"/>
      <c r="O4733" s="86"/>
      <c r="P4733" s="86"/>
      <c r="Q4733" s="86"/>
      <c r="R4733" s="86"/>
      <c r="S4733" s="86"/>
      <c r="T4733" s="86"/>
      <c r="U4733" s="86"/>
      <c r="V4733" s="48"/>
      <c r="W4733" s="48"/>
      <c r="X4733" s="48"/>
      <c r="Y4733" s="48"/>
      <c r="Z4733" s="48"/>
      <c r="AA4733" s="48"/>
      <c r="AB4733" s="48"/>
      <c r="AC4733" s="48"/>
      <c r="AD4733" s="48"/>
      <c r="AE4733" s="48"/>
      <c r="AF4733" s="48"/>
      <c r="AG4733" s="48"/>
      <c r="AH4733" s="48"/>
      <c r="AI4733" s="48"/>
      <c r="AJ4733" s="48"/>
      <c r="AK4733" s="48"/>
      <c r="AL4733" s="48"/>
      <c r="AM4733" s="48"/>
      <c r="AN4733" s="48"/>
      <c r="AO4733" s="48"/>
      <c r="AP4733" s="48"/>
      <c r="AQ4733" s="48"/>
      <c r="AR4733" s="48"/>
      <c r="AS4733" s="48"/>
      <c r="AT4733" s="48"/>
      <c r="AU4733" s="48"/>
      <c r="AV4733" s="48"/>
      <c r="AW4733" s="48"/>
      <c r="AX4733" s="48"/>
      <c r="AY4733" s="48"/>
      <c r="AZ4733" s="48"/>
      <c r="BA4733" s="48"/>
      <c r="BB4733" s="48"/>
      <c r="BC4733" s="48"/>
      <c r="BD4733" s="48"/>
    </row>
    <row r="4734" spans="1:56">
      <c r="A4734" s="48"/>
      <c r="B4734" s="48"/>
      <c r="C4734" s="49"/>
      <c r="D4734" s="48"/>
      <c r="E4734" s="48"/>
      <c r="F4734" s="48"/>
      <c r="G4734" s="48"/>
      <c r="H4734" s="48"/>
      <c r="I4734" s="48"/>
      <c r="J4734" s="86"/>
      <c r="K4734" s="86"/>
      <c r="L4734" s="86"/>
      <c r="M4734" s="86"/>
      <c r="N4734" s="86"/>
      <c r="O4734" s="86"/>
      <c r="P4734" s="86"/>
      <c r="Q4734" s="86"/>
      <c r="R4734" s="86"/>
      <c r="S4734" s="86"/>
      <c r="T4734" s="86"/>
      <c r="U4734" s="86"/>
      <c r="V4734" s="48"/>
      <c r="W4734" s="48"/>
      <c r="X4734" s="48"/>
      <c r="Y4734" s="48"/>
      <c r="Z4734" s="48"/>
      <c r="AA4734" s="48"/>
      <c r="AB4734" s="48"/>
      <c r="AC4734" s="48"/>
      <c r="AD4734" s="48"/>
      <c r="AE4734" s="48"/>
      <c r="AF4734" s="48"/>
      <c r="AG4734" s="48"/>
      <c r="AH4734" s="48"/>
      <c r="AI4734" s="48"/>
      <c r="AJ4734" s="48"/>
      <c r="AK4734" s="48"/>
      <c r="AL4734" s="48"/>
      <c r="AM4734" s="48"/>
      <c r="AN4734" s="48"/>
      <c r="AO4734" s="48"/>
      <c r="AP4734" s="48"/>
      <c r="AQ4734" s="48"/>
      <c r="AR4734" s="48"/>
      <c r="AS4734" s="48"/>
      <c r="AT4734" s="48"/>
      <c r="AU4734" s="48"/>
      <c r="AV4734" s="48"/>
      <c r="AW4734" s="48"/>
      <c r="AX4734" s="48"/>
      <c r="AY4734" s="48"/>
      <c r="AZ4734" s="48"/>
      <c r="BA4734" s="48"/>
      <c r="BB4734" s="48"/>
      <c r="BC4734" s="48"/>
      <c r="BD4734" s="48"/>
    </row>
    <row r="4735" spans="1:56">
      <c r="A4735" s="48"/>
      <c r="B4735" s="48"/>
      <c r="C4735" s="49"/>
      <c r="D4735" s="48"/>
      <c r="E4735" s="48"/>
      <c r="F4735" s="48"/>
      <c r="G4735" s="48"/>
      <c r="H4735" s="48"/>
      <c r="I4735" s="48"/>
      <c r="J4735" s="86"/>
      <c r="K4735" s="86"/>
      <c r="L4735" s="86"/>
      <c r="M4735" s="86"/>
      <c r="N4735" s="86"/>
      <c r="O4735" s="86"/>
      <c r="P4735" s="86"/>
      <c r="Q4735" s="86"/>
      <c r="R4735" s="86"/>
      <c r="S4735" s="86"/>
      <c r="T4735" s="86"/>
      <c r="U4735" s="86"/>
      <c r="V4735" s="48"/>
      <c r="W4735" s="48"/>
      <c r="X4735" s="48"/>
      <c r="Y4735" s="48"/>
      <c r="Z4735" s="48"/>
      <c r="AA4735" s="48"/>
      <c r="AB4735" s="48"/>
      <c r="AC4735" s="48"/>
      <c r="AD4735" s="48"/>
      <c r="AE4735" s="48"/>
      <c r="AF4735" s="48"/>
      <c r="AG4735" s="48"/>
      <c r="AH4735" s="48"/>
      <c r="AI4735" s="48"/>
      <c r="AJ4735" s="48"/>
      <c r="AK4735" s="48"/>
      <c r="AL4735" s="48"/>
      <c r="AM4735" s="48"/>
      <c r="AN4735" s="48"/>
      <c r="AO4735" s="48"/>
      <c r="AP4735" s="48"/>
      <c r="AQ4735" s="48"/>
      <c r="AR4735" s="48"/>
      <c r="AS4735" s="48"/>
      <c r="AT4735" s="48"/>
      <c r="AU4735" s="48"/>
      <c r="AV4735" s="48"/>
      <c r="AW4735" s="48"/>
      <c r="AX4735" s="48"/>
      <c r="AY4735" s="48"/>
      <c r="AZ4735" s="48"/>
      <c r="BA4735" s="48"/>
      <c r="BB4735" s="48"/>
      <c r="BC4735" s="48"/>
      <c r="BD4735" s="48"/>
    </row>
    <row r="4736" spans="1:56">
      <c r="A4736" s="48"/>
      <c r="B4736" s="48"/>
      <c r="C4736" s="49"/>
      <c r="D4736" s="48"/>
      <c r="E4736" s="48"/>
      <c r="F4736" s="48"/>
      <c r="G4736" s="48"/>
      <c r="H4736" s="48"/>
      <c r="I4736" s="48"/>
      <c r="J4736" s="86"/>
      <c r="K4736" s="86"/>
      <c r="L4736" s="86"/>
      <c r="M4736" s="86"/>
      <c r="N4736" s="86"/>
      <c r="O4736" s="86"/>
      <c r="P4736" s="86"/>
      <c r="Q4736" s="86"/>
      <c r="R4736" s="86"/>
      <c r="S4736" s="86"/>
      <c r="T4736" s="86"/>
      <c r="U4736" s="86"/>
      <c r="V4736" s="48"/>
      <c r="W4736" s="48"/>
      <c r="X4736" s="48"/>
      <c r="Y4736" s="48"/>
      <c r="Z4736" s="48"/>
      <c r="AA4736" s="48"/>
      <c r="AB4736" s="48"/>
      <c r="AC4736" s="48"/>
      <c r="AD4736" s="48"/>
      <c r="AE4736" s="48"/>
      <c r="AF4736" s="48"/>
      <c r="AG4736" s="48"/>
      <c r="AH4736" s="48"/>
      <c r="AI4736" s="48"/>
      <c r="AJ4736" s="48"/>
      <c r="AK4736" s="48"/>
      <c r="AL4736" s="48"/>
      <c r="AM4736" s="48"/>
      <c r="AN4736" s="48"/>
      <c r="AO4736" s="48"/>
      <c r="AP4736" s="48"/>
      <c r="AQ4736" s="48"/>
      <c r="AR4736" s="48"/>
      <c r="AS4736" s="48"/>
      <c r="AT4736" s="48"/>
      <c r="AU4736" s="48"/>
      <c r="AV4736" s="48"/>
      <c r="AW4736" s="48"/>
      <c r="AX4736" s="48"/>
      <c r="AY4736" s="48"/>
      <c r="AZ4736" s="48"/>
      <c r="BA4736" s="48"/>
      <c r="BB4736" s="48"/>
      <c r="BC4736" s="48"/>
      <c r="BD4736" s="48"/>
    </row>
    <row r="4737" spans="1:56">
      <c r="A4737" s="48"/>
      <c r="B4737" s="48"/>
      <c r="C4737" s="49"/>
      <c r="D4737" s="48"/>
      <c r="E4737" s="48"/>
      <c r="F4737" s="48"/>
      <c r="G4737" s="48"/>
      <c r="H4737" s="48"/>
      <c r="I4737" s="48"/>
      <c r="J4737" s="86"/>
      <c r="K4737" s="86"/>
      <c r="L4737" s="86"/>
      <c r="M4737" s="86"/>
      <c r="N4737" s="86"/>
      <c r="O4737" s="86"/>
      <c r="P4737" s="86"/>
      <c r="Q4737" s="86"/>
      <c r="R4737" s="86"/>
      <c r="S4737" s="86"/>
      <c r="T4737" s="86"/>
      <c r="U4737" s="86"/>
      <c r="V4737" s="48"/>
      <c r="W4737" s="48"/>
      <c r="X4737" s="48"/>
      <c r="Y4737" s="48"/>
      <c r="Z4737" s="48"/>
      <c r="AA4737" s="48"/>
      <c r="AB4737" s="48"/>
      <c r="AC4737" s="48"/>
      <c r="AD4737" s="48"/>
      <c r="AE4737" s="48"/>
      <c r="AF4737" s="48"/>
      <c r="AG4737" s="48"/>
      <c r="AH4737" s="48"/>
      <c r="AI4737" s="48"/>
      <c r="AJ4737" s="48"/>
      <c r="AK4737" s="48"/>
      <c r="AL4737" s="48"/>
      <c r="AM4737" s="48"/>
      <c r="AN4737" s="48"/>
      <c r="AO4737" s="48"/>
      <c r="AP4737" s="48"/>
      <c r="AQ4737" s="48"/>
      <c r="AR4737" s="48"/>
      <c r="AS4737" s="48"/>
      <c r="AT4737" s="48"/>
      <c r="AU4737" s="48"/>
      <c r="AV4737" s="48"/>
      <c r="AW4737" s="48"/>
      <c r="AX4737" s="48"/>
      <c r="AY4737" s="48"/>
      <c r="AZ4737" s="48"/>
      <c r="BA4737" s="48"/>
      <c r="BB4737" s="48"/>
      <c r="BC4737" s="48"/>
      <c r="BD4737" s="48"/>
    </row>
    <row r="4738" spans="1:56">
      <c r="A4738" s="48"/>
      <c r="B4738" s="48"/>
      <c r="C4738" s="49"/>
      <c r="D4738" s="48"/>
      <c r="E4738" s="48"/>
      <c r="F4738" s="48"/>
      <c r="G4738" s="48"/>
      <c r="H4738" s="48"/>
      <c r="I4738" s="48"/>
      <c r="J4738" s="86"/>
      <c r="K4738" s="86"/>
      <c r="L4738" s="86"/>
      <c r="M4738" s="86"/>
      <c r="N4738" s="86"/>
      <c r="O4738" s="86"/>
      <c r="P4738" s="86"/>
      <c r="Q4738" s="86"/>
      <c r="R4738" s="86"/>
      <c r="S4738" s="86"/>
      <c r="T4738" s="86"/>
      <c r="U4738" s="86"/>
      <c r="V4738" s="48"/>
      <c r="W4738" s="48"/>
      <c r="X4738" s="48"/>
      <c r="Y4738" s="48"/>
      <c r="Z4738" s="48"/>
      <c r="AA4738" s="48"/>
      <c r="AB4738" s="48"/>
      <c r="AC4738" s="48"/>
      <c r="AD4738" s="48"/>
      <c r="AE4738" s="48"/>
      <c r="AF4738" s="48"/>
      <c r="AG4738" s="48"/>
      <c r="AH4738" s="48"/>
      <c r="AI4738" s="48"/>
      <c r="AJ4738" s="48"/>
      <c r="AK4738" s="48"/>
      <c r="AL4738" s="48"/>
      <c r="AM4738" s="48"/>
      <c r="AN4738" s="48"/>
      <c r="AO4738" s="48"/>
      <c r="AP4738" s="48"/>
      <c r="AQ4738" s="48"/>
      <c r="AR4738" s="48"/>
      <c r="AS4738" s="48"/>
      <c r="AT4738" s="48"/>
      <c r="AU4738" s="48"/>
      <c r="AV4738" s="48"/>
      <c r="AW4738" s="48"/>
      <c r="AX4738" s="48"/>
      <c r="AY4738" s="48"/>
      <c r="AZ4738" s="48"/>
      <c r="BA4738" s="48"/>
      <c r="BB4738" s="48"/>
      <c r="BC4738" s="48"/>
      <c r="BD4738" s="48"/>
    </row>
    <row r="4739" spans="1:56">
      <c r="A4739" s="48"/>
      <c r="B4739" s="48"/>
      <c r="C4739" s="49"/>
      <c r="D4739" s="48"/>
      <c r="E4739" s="48"/>
      <c r="F4739" s="48"/>
      <c r="G4739" s="48"/>
      <c r="H4739" s="48"/>
      <c r="I4739" s="48"/>
      <c r="J4739" s="86"/>
      <c r="K4739" s="86"/>
      <c r="L4739" s="86"/>
      <c r="M4739" s="86"/>
      <c r="N4739" s="86"/>
      <c r="O4739" s="86"/>
      <c r="P4739" s="86"/>
      <c r="Q4739" s="86"/>
      <c r="R4739" s="86"/>
      <c r="S4739" s="86"/>
      <c r="T4739" s="86"/>
      <c r="U4739" s="86"/>
      <c r="V4739" s="48"/>
      <c r="W4739" s="48"/>
      <c r="X4739" s="48"/>
      <c r="Y4739" s="48"/>
      <c r="Z4739" s="48"/>
      <c r="AA4739" s="48"/>
      <c r="AB4739" s="48"/>
      <c r="AC4739" s="48"/>
      <c r="AD4739" s="48"/>
      <c r="AE4739" s="48"/>
      <c r="AF4739" s="48"/>
      <c r="AG4739" s="48"/>
      <c r="AH4739" s="48"/>
      <c r="AI4739" s="48"/>
      <c r="AJ4739" s="48"/>
      <c r="AK4739" s="48"/>
      <c r="AL4739" s="48"/>
      <c r="AM4739" s="48"/>
      <c r="AN4739" s="48"/>
      <c r="AO4739" s="48"/>
      <c r="AP4739" s="48"/>
      <c r="AQ4739" s="48"/>
      <c r="AR4739" s="48"/>
      <c r="AS4739" s="48"/>
      <c r="AT4739" s="48"/>
      <c r="AU4739" s="48"/>
      <c r="AV4739" s="48"/>
      <c r="AW4739" s="48"/>
      <c r="AX4739" s="48"/>
      <c r="AY4739" s="48"/>
      <c r="AZ4739" s="48"/>
      <c r="BA4739" s="48"/>
      <c r="BB4739" s="48"/>
      <c r="BC4739" s="48"/>
      <c r="BD4739" s="48"/>
    </row>
    <row r="4740" spans="1:56">
      <c r="A4740" s="48"/>
      <c r="B4740" s="48"/>
      <c r="C4740" s="49"/>
      <c r="D4740" s="48"/>
      <c r="E4740" s="48"/>
      <c r="F4740" s="48"/>
      <c r="G4740" s="48"/>
      <c r="H4740" s="48"/>
      <c r="I4740" s="48"/>
      <c r="J4740" s="86"/>
      <c r="K4740" s="86"/>
      <c r="L4740" s="86"/>
      <c r="M4740" s="86"/>
      <c r="N4740" s="86"/>
      <c r="O4740" s="86"/>
      <c r="P4740" s="86"/>
      <c r="Q4740" s="86"/>
      <c r="R4740" s="86"/>
      <c r="S4740" s="86"/>
      <c r="T4740" s="86"/>
      <c r="U4740" s="86"/>
      <c r="V4740" s="48"/>
      <c r="W4740" s="48"/>
      <c r="X4740" s="48"/>
      <c r="Y4740" s="48"/>
      <c r="Z4740" s="48"/>
      <c r="AA4740" s="48"/>
      <c r="AB4740" s="48"/>
      <c r="AC4740" s="48"/>
      <c r="AD4740" s="48"/>
      <c r="AE4740" s="48"/>
      <c r="AF4740" s="48"/>
      <c r="AG4740" s="48"/>
      <c r="AH4740" s="48"/>
      <c r="AI4740" s="48"/>
      <c r="AJ4740" s="48"/>
      <c r="AK4740" s="48"/>
      <c r="AL4740" s="48"/>
      <c r="AM4740" s="48"/>
      <c r="AN4740" s="48"/>
      <c r="AO4740" s="48"/>
      <c r="AP4740" s="48"/>
      <c r="AQ4740" s="48"/>
      <c r="AR4740" s="48"/>
      <c r="AS4740" s="48"/>
      <c r="AT4740" s="48"/>
      <c r="AU4740" s="48"/>
      <c r="AV4740" s="48"/>
      <c r="AW4740" s="48"/>
      <c r="AX4740" s="48"/>
      <c r="AY4740" s="48"/>
      <c r="AZ4740" s="48"/>
      <c r="BA4740" s="48"/>
      <c r="BB4740" s="48"/>
      <c r="BC4740" s="48"/>
      <c r="BD4740" s="48"/>
    </row>
    <row r="4741" spans="1:56">
      <c r="A4741" s="48"/>
      <c r="B4741" s="48"/>
      <c r="C4741" s="49"/>
      <c r="D4741" s="48"/>
      <c r="E4741" s="48"/>
      <c r="F4741" s="48"/>
      <c r="G4741" s="48"/>
      <c r="H4741" s="48"/>
      <c r="I4741" s="48"/>
      <c r="J4741" s="86"/>
      <c r="K4741" s="86"/>
      <c r="L4741" s="86"/>
      <c r="M4741" s="86"/>
      <c r="N4741" s="86"/>
      <c r="O4741" s="86"/>
      <c r="P4741" s="86"/>
      <c r="Q4741" s="86"/>
      <c r="R4741" s="86"/>
      <c r="S4741" s="86"/>
      <c r="T4741" s="86"/>
      <c r="U4741" s="86"/>
      <c r="V4741" s="48"/>
      <c r="W4741" s="48"/>
      <c r="X4741" s="48"/>
      <c r="Y4741" s="48"/>
      <c r="Z4741" s="48"/>
      <c r="AA4741" s="48"/>
      <c r="AB4741" s="48"/>
      <c r="AC4741" s="48"/>
      <c r="AD4741" s="48"/>
      <c r="AE4741" s="48"/>
      <c r="AF4741" s="48"/>
      <c r="AG4741" s="48"/>
      <c r="AH4741" s="48"/>
      <c r="AI4741" s="48"/>
      <c r="AJ4741" s="48"/>
      <c r="AK4741" s="48"/>
      <c r="AL4741" s="48"/>
      <c r="AM4741" s="48"/>
      <c r="AN4741" s="48"/>
      <c r="AO4741" s="48"/>
      <c r="AP4741" s="48"/>
      <c r="AQ4741" s="48"/>
      <c r="AR4741" s="48"/>
      <c r="AS4741" s="48"/>
      <c r="AT4741" s="48"/>
      <c r="AU4741" s="48"/>
      <c r="AV4741" s="48"/>
      <c r="AW4741" s="48"/>
      <c r="AX4741" s="48"/>
      <c r="AY4741" s="48"/>
      <c r="AZ4741" s="48"/>
      <c r="BA4741" s="48"/>
      <c r="BB4741" s="48"/>
      <c r="BC4741" s="48"/>
      <c r="BD4741" s="48"/>
    </row>
    <row r="4742" spans="1:56">
      <c r="A4742" s="48"/>
      <c r="B4742" s="48"/>
      <c r="C4742" s="49"/>
      <c r="D4742" s="48"/>
      <c r="E4742" s="48"/>
      <c r="F4742" s="48"/>
      <c r="G4742" s="48"/>
      <c r="H4742" s="48"/>
      <c r="I4742" s="48"/>
      <c r="J4742" s="86"/>
      <c r="K4742" s="86"/>
      <c r="L4742" s="86"/>
      <c r="M4742" s="86"/>
      <c r="N4742" s="86"/>
      <c r="O4742" s="86"/>
      <c r="P4742" s="86"/>
      <c r="Q4742" s="86"/>
      <c r="R4742" s="86"/>
      <c r="S4742" s="86"/>
      <c r="T4742" s="86"/>
      <c r="U4742" s="86"/>
      <c r="V4742" s="48"/>
      <c r="W4742" s="48"/>
      <c r="X4742" s="48"/>
      <c r="Y4742" s="48"/>
      <c r="Z4742" s="48"/>
      <c r="AA4742" s="48"/>
      <c r="AB4742" s="48"/>
      <c r="AC4742" s="48"/>
      <c r="AD4742" s="48"/>
      <c r="AE4742" s="48"/>
      <c r="AF4742" s="48"/>
      <c r="AG4742" s="48"/>
      <c r="AH4742" s="48"/>
      <c r="AI4742" s="48"/>
      <c r="AJ4742" s="48"/>
      <c r="AK4742" s="48"/>
      <c r="AL4742" s="48"/>
      <c r="AM4742" s="48"/>
      <c r="AN4742" s="48"/>
      <c r="AO4742" s="48"/>
      <c r="AP4742" s="48"/>
      <c r="AQ4742" s="48"/>
      <c r="AR4742" s="48"/>
      <c r="AS4742" s="48"/>
      <c r="AT4742" s="48"/>
      <c r="AU4742" s="48"/>
      <c r="AV4742" s="48"/>
      <c r="AW4742" s="48"/>
      <c r="AX4742" s="48"/>
      <c r="AY4742" s="48"/>
      <c r="AZ4742" s="48"/>
      <c r="BA4742" s="48"/>
      <c r="BB4742" s="48"/>
      <c r="BC4742" s="48"/>
      <c r="BD4742" s="48"/>
    </row>
    <row r="4743" spans="1:56">
      <c r="A4743" s="48"/>
      <c r="B4743" s="48"/>
      <c r="C4743" s="49"/>
      <c r="D4743" s="48"/>
      <c r="E4743" s="48"/>
      <c r="F4743" s="48"/>
      <c r="G4743" s="48"/>
      <c r="H4743" s="48"/>
      <c r="I4743" s="48"/>
      <c r="J4743" s="86"/>
      <c r="K4743" s="86"/>
      <c r="L4743" s="86"/>
      <c r="M4743" s="86"/>
      <c r="N4743" s="86"/>
      <c r="O4743" s="86"/>
      <c r="P4743" s="86"/>
      <c r="Q4743" s="86"/>
      <c r="R4743" s="86"/>
      <c r="S4743" s="86"/>
      <c r="T4743" s="86"/>
      <c r="U4743" s="86"/>
      <c r="V4743" s="48"/>
      <c r="W4743" s="48"/>
      <c r="X4743" s="48"/>
      <c r="Y4743" s="48"/>
      <c r="Z4743" s="48"/>
      <c r="AA4743" s="48"/>
      <c r="AB4743" s="48"/>
      <c r="AC4743" s="48"/>
      <c r="AD4743" s="48"/>
      <c r="AE4743" s="48"/>
      <c r="AF4743" s="48"/>
      <c r="AG4743" s="48"/>
      <c r="AH4743" s="48"/>
      <c r="AI4743" s="48"/>
      <c r="AJ4743" s="48"/>
      <c r="AK4743" s="48"/>
      <c r="AL4743" s="48"/>
      <c r="AM4743" s="48"/>
      <c r="AN4743" s="48"/>
      <c r="AO4743" s="48"/>
      <c r="AP4743" s="48"/>
      <c r="AQ4743" s="48"/>
      <c r="AR4743" s="48"/>
      <c r="AS4743" s="48"/>
      <c r="AT4743" s="48"/>
      <c r="AU4743" s="48"/>
      <c r="AV4743" s="48"/>
      <c r="AW4743" s="48"/>
      <c r="AX4743" s="48"/>
      <c r="AY4743" s="48"/>
      <c r="AZ4743" s="48"/>
      <c r="BA4743" s="48"/>
      <c r="BB4743" s="48"/>
      <c r="BC4743" s="48"/>
      <c r="BD4743" s="48"/>
    </row>
    <row r="4744" spans="1:56">
      <c r="A4744" s="48"/>
      <c r="B4744" s="48"/>
      <c r="C4744" s="49"/>
      <c r="D4744" s="48"/>
      <c r="E4744" s="48"/>
      <c r="F4744" s="48"/>
      <c r="G4744" s="48"/>
      <c r="H4744" s="48"/>
      <c r="I4744" s="48"/>
      <c r="J4744" s="86"/>
      <c r="K4744" s="86"/>
      <c r="L4744" s="86"/>
      <c r="M4744" s="86"/>
      <c r="N4744" s="86"/>
      <c r="O4744" s="86"/>
      <c r="P4744" s="86"/>
      <c r="Q4744" s="86"/>
      <c r="R4744" s="86"/>
      <c r="S4744" s="86"/>
      <c r="T4744" s="86"/>
      <c r="U4744" s="86"/>
      <c r="V4744" s="48"/>
      <c r="W4744" s="48"/>
      <c r="X4744" s="48"/>
      <c r="Y4744" s="48"/>
      <c r="Z4744" s="48"/>
      <c r="AA4744" s="48"/>
      <c r="AB4744" s="48"/>
      <c r="AC4744" s="48"/>
      <c r="AD4744" s="48"/>
      <c r="AE4744" s="48"/>
      <c r="AF4744" s="48"/>
      <c r="AG4744" s="48"/>
      <c r="AH4744" s="48"/>
      <c r="AI4744" s="48"/>
      <c r="AJ4744" s="48"/>
      <c r="AK4744" s="48"/>
      <c r="AL4744" s="48"/>
      <c r="AM4744" s="48"/>
      <c r="AN4744" s="48"/>
      <c r="AO4744" s="48"/>
      <c r="AP4744" s="48"/>
      <c r="AQ4744" s="48"/>
      <c r="AR4744" s="48"/>
      <c r="AS4744" s="48"/>
      <c r="AT4744" s="48"/>
      <c r="AU4744" s="48"/>
      <c r="AV4744" s="48"/>
      <c r="AW4744" s="48"/>
      <c r="AX4744" s="48"/>
      <c r="AY4744" s="48"/>
      <c r="AZ4744" s="48"/>
      <c r="BA4744" s="48"/>
      <c r="BB4744" s="48"/>
      <c r="BC4744" s="48"/>
      <c r="BD4744" s="48"/>
    </row>
    <row r="4745" spans="1:56">
      <c r="A4745" s="48"/>
      <c r="B4745" s="48"/>
      <c r="C4745" s="49"/>
      <c r="D4745" s="48"/>
      <c r="E4745" s="48"/>
      <c r="F4745" s="48"/>
      <c r="G4745" s="48"/>
      <c r="H4745" s="48"/>
      <c r="I4745" s="48"/>
      <c r="J4745" s="86"/>
      <c r="K4745" s="86"/>
      <c r="L4745" s="86"/>
      <c r="M4745" s="86"/>
      <c r="N4745" s="86"/>
      <c r="O4745" s="86"/>
      <c r="P4745" s="86"/>
      <c r="Q4745" s="86"/>
      <c r="R4745" s="86"/>
      <c r="S4745" s="86"/>
      <c r="T4745" s="86"/>
      <c r="U4745" s="86"/>
      <c r="V4745" s="48"/>
      <c r="W4745" s="48"/>
      <c r="X4745" s="48"/>
      <c r="Y4745" s="48"/>
      <c r="Z4745" s="48"/>
      <c r="AA4745" s="48"/>
      <c r="AB4745" s="48"/>
      <c r="AC4745" s="48"/>
      <c r="AD4745" s="48"/>
      <c r="AE4745" s="48"/>
      <c r="AF4745" s="48"/>
      <c r="AG4745" s="48"/>
      <c r="AH4745" s="48"/>
      <c r="AI4745" s="48"/>
      <c r="AJ4745" s="48"/>
      <c r="AK4745" s="48"/>
      <c r="AL4745" s="48"/>
      <c r="AM4745" s="48"/>
      <c r="AN4745" s="48"/>
      <c r="AO4745" s="48"/>
      <c r="AP4745" s="48"/>
      <c r="AQ4745" s="48"/>
      <c r="AR4745" s="48"/>
      <c r="AS4745" s="48"/>
      <c r="AT4745" s="48"/>
      <c r="AU4745" s="48"/>
      <c r="AV4745" s="48"/>
      <c r="AW4745" s="48"/>
      <c r="AX4745" s="48"/>
      <c r="AY4745" s="48"/>
      <c r="AZ4745" s="48"/>
      <c r="BA4745" s="48"/>
      <c r="BB4745" s="48"/>
      <c r="BC4745" s="48"/>
      <c r="BD4745" s="48"/>
    </row>
    <row r="4746" spans="1:56">
      <c r="A4746" s="48"/>
      <c r="B4746" s="48"/>
      <c r="C4746" s="49"/>
      <c r="D4746" s="48"/>
      <c r="E4746" s="48"/>
      <c r="F4746" s="48"/>
      <c r="G4746" s="48"/>
      <c r="H4746" s="48"/>
      <c r="I4746" s="48"/>
      <c r="J4746" s="86"/>
      <c r="K4746" s="86"/>
      <c r="L4746" s="86"/>
      <c r="M4746" s="86"/>
      <c r="N4746" s="86"/>
      <c r="O4746" s="86"/>
      <c r="P4746" s="86"/>
      <c r="Q4746" s="86"/>
      <c r="R4746" s="86"/>
      <c r="S4746" s="86"/>
      <c r="T4746" s="86"/>
      <c r="U4746" s="86"/>
      <c r="V4746" s="48"/>
      <c r="W4746" s="48"/>
      <c r="X4746" s="48"/>
      <c r="Y4746" s="48"/>
      <c r="Z4746" s="48"/>
      <c r="AA4746" s="48"/>
      <c r="AB4746" s="48"/>
      <c r="AC4746" s="48"/>
      <c r="AD4746" s="48"/>
      <c r="AE4746" s="48"/>
      <c r="AF4746" s="48"/>
      <c r="AG4746" s="48"/>
      <c r="AH4746" s="48"/>
      <c r="AI4746" s="48"/>
      <c r="AJ4746" s="48"/>
      <c r="AK4746" s="48"/>
      <c r="AL4746" s="48"/>
      <c r="AM4746" s="48"/>
      <c r="AN4746" s="48"/>
      <c r="AO4746" s="48"/>
      <c r="AP4746" s="48"/>
      <c r="AQ4746" s="48"/>
      <c r="AR4746" s="48"/>
      <c r="AS4746" s="48"/>
      <c r="AT4746" s="48"/>
      <c r="AU4746" s="48"/>
      <c r="AV4746" s="48"/>
      <c r="AW4746" s="48"/>
      <c r="AX4746" s="48"/>
      <c r="AY4746" s="48"/>
      <c r="AZ4746" s="48"/>
      <c r="BA4746" s="48"/>
      <c r="BB4746" s="48"/>
      <c r="BC4746" s="48"/>
      <c r="BD4746" s="48"/>
    </row>
    <row r="4747" spans="1:56">
      <c r="A4747" s="48"/>
      <c r="B4747" s="48"/>
      <c r="C4747" s="49"/>
      <c r="D4747" s="48"/>
      <c r="E4747" s="48"/>
      <c r="F4747" s="48"/>
      <c r="G4747" s="48"/>
      <c r="H4747" s="48"/>
      <c r="I4747" s="48"/>
      <c r="J4747" s="86"/>
      <c r="K4747" s="86"/>
      <c r="L4747" s="86"/>
      <c r="M4747" s="86"/>
      <c r="N4747" s="86"/>
      <c r="O4747" s="86"/>
      <c r="P4747" s="86"/>
      <c r="Q4747" s="86"/>
      <c r="R4747" s="86"/>
      <c r="S4747" s="86"/>
      <c r="T4747" s="86"/>
      <c r="U4747" s="86"/>
      <c r="V4747" s="48"/>
      <c r="W4747" s="48"/>
      <c r="X4747" s="48"/>
      <c r="Y4747" s="48"/>
      <c r="Z4747" s="48"/>
      <c r="AA4747" s="48"/>
      <c r="AB4747" s="48"/>
      <c r="AC4747" s="48"/>
      <c r="AD4747" s="48"/>
      <c r="AE4747" s="48"/>
      <c r="AF4747" s="48"/>
      <c r="AG4747" s="48"/>
      <c r="AH4747" s="48"/>
      <c r="AI4747" s="48"/>
      <c r="AJ4747" s="48"/>
      <c r="AK4747" s="48"/>
      <c r="AL4747" s="48"/>
      <c r="AM4747" s="48"/>
      <c r="AN4747" s="48"/>
      <c r="AO4747" s="48"/>
      <c r="AP4747" s="48"/>
      <c r="AQ4747" s="48"/>
      <c r="AR4747" s="48"/>
      <c r="AS4747" s="48"/>
      <c r="AT4747" s="48"/>
      <c r="AU4747" s="48"/>
      <c r="AV4747" s="48"/>
      <c r="AW4747" s="48"/>
      <c r="AX4747" s="48"/>
      <c r="AY4747" s="48"/>
      <c r="AZ4747" s="48"/>
      <c r="BA4747" s="48"/>
      <c r="BB4747" s="48"/>
      <c r="BC4747" s="48"/>
      <c r="BD4747" s="48"/>
    </row>
    <row r="4748" spans="1:56">
      <c r="A4748" s="48"/>
      <c r="B4748" s="48"/>
      <c r="C4748" s="49"/>
      <c r="D4748" s="48"/>
      <c r="E4748" s="48"/>
      <c r="F4748" s="48"/>
      <c r="G4748" s="48"/>
      <c r="H4748" s="48"/>
      <c r="I4748" s="48"/>
      <c r="J4748" s="86"/>
      <c r="K4748" s="86"/>
      <c r="L4748" s="86"/>
      <c r="M4748" s="86"/>
      <c r="N4748" s="86"/>
      <c r="O4748" s="86"/>
      <c r="P4748" s="86"/>
      <c r="Q4748" s="86"/>
      <c r="R4748" s="86"/>
      <c r="S4748" s="86"/>
      <c r="T4748" s="86"/>
      <c r="U4748" s="86"/>
      <c r="V4748" s="48"/>
      <c r="W4748" s="48"/>
      <c r="X4748" s="48"/>
      <c r="Y4748" s="48"/>
      <c r="Z4748" s="48"/>
      <c r="AA4748" s="48"/>
      <c r="AB4748" s="48"/>
      <c r="AC4748" s="48"/>
      <c r="AD4748" s="48"/>
      <c r="AE4748" s="48"/>
      <c r="AF4748" s="48"/>
      <c r="AG4748" s="48"/>
      <c r="AH4748" s="48"/>
      <c r="AI4748" s="48"/>
      <c r="AJ4748" s="48"/>
      <c r="AK4748" s="48"/>
      <c r="AL4748" s="48"/>
      <c r="AM4748" s="48"/>
      <c r="AN4748" s="48"/>
      <c r="AO4748" s="48"/>
      <c r="AP4748" s="48"/>
      <c r="AQ4748" s="48"/>
      <c r="AR4748" s="48"/>
      <c r="AS4748" s="48"/>
      <c r="AT4748" s="48"/>
      <c r="AU4748" s="48"/>
      <c r="AV4748" s="48"/>
      <c r="AW4748" s="48"/>
      <c r="AX4748" s="48"/>
      <c r="AY4748" s="48"/>
      <c r="AZ4748" s="48"/>
      <c r="BA4748" s="48"/>
      <c r="BB4748" s="48"/>
      <c r="BC4748" s="48"/>
      <c r="BD4748" s="48"/>
    </row>
    <row r="4749" spans="1:56">
      <c r="A4749" s="48"/>
      <c r="B4749" s="48"/>
      <c r="C4749" s="49"/>
      <c r="D4749" s="48"/>
      <c r="E4749" s="48"/>
      <c r="F4749" s="48"/>
      <c r="G4749" s="48"/>
      <c r="H4749" s="48"/>
      <c r="I4749" s="48"/>
      <c r="J4749" s="86"/>
      <c r="K4749" s="86"/>
      <c r="L4749" s="86"/>
      <c r="M4749" s="86"/>
      <c r="N4749" s="86"/>
      <c r="O4749" s="86"/>
      <c r="P4749" s="86"/>
      <c r="Q4749" s="86"/>
      <c r="R4749" s="86"/>
      <c r="S4749" s="86"/>
      <c r="T4749" s="86"/>
      <c r="U4749" s="86"/>
      <c r="V4749" s="48"/>
      <c r="W4749" s="48"/>
      <c r="X4749" s="48"/>
      <c r="Y4749" s="48"/>
      <c r="Z4749" s="48"/>
      <c r="AA4749" s="48"/>
      <c r="AB4749" s="48"/>
      <c r="AC4749" s="48"/>
      <c r="AD4749" s="48"/>
      <c r="AE4749" s="48"/>
      <c r="AF4749" s="48"/>
      <c r="AG4749" s="48"/>
      <c r="AH4749" s="48"/>
      <c r="AI4749" s="48"/>
      <c r="AJ4749" s="48"/>
      <c r="AK4749" s="48"/>
      <c r="AL4749" s="48"/>
      <c r="AM4749" s="48"/>
      <c r="AN4749" s="48"/>
      <c r="AO4749" s="48"/>
      <c r="AP4749" s="48"/>
      <c r="AQ4749" s="48"/>
      <c r="AR4749" s="48"/>
      <c r="AS4749" s="48"/>
      <c r="AT4749" s="48"/>
      <c r="AU4749" s="48"/>
      <c r="AV4749" s="48"/>
      <c r="AW4749" s="48"/>
      <c r="AX4749" s="48"/>
      <c r="AY4749" s="48"/>
      <c r="AZ4749" s="48"/>
      <c r="BA4749" s="48"/>
      <c r="BB4749" s="48"/>
      <c r="BC4749" s="48"/>
      <c r="BD4749" s="48"/>
    </row>
    <row r="4750" spans="1:56">
      <c r="A4750" s="48"/>
      <c r="B4750" s="48"/>
      <c r="C4750" s="49"/>
      <c r="D4750" s="48"/>
      <c r="E4750" s="48"/>
      <c r="F4750" s="48"/>
      <c r="G4750" s="48"/>
      <c r="H4750" s="48"/>
      <c r="I4750" s="48"/>
      <c r="J4750" s="86"/>
      <c r="K4750" s="86"/>
      <c r="L4750" s="86"/>
      <c r="M4750" s="86"/>
      <c r="N4750" s="86"/>
      <c r="O4750" s="86"/>
      <c r="P4750" s="86"/>
      <c r="Q4750" s="86"/>
      <c r="R4750" s="86"/>
      <c r="S4750" s="86"/>
      <c r="T4750" s="86"/>
      <c r="U4750" s="86"/>
      <c r="V4750" s="48"/>
      <c r="W4750" s="48"/>
      <c r="X4750" s="48"/>
      <c r="Y4750" s="48"/>
      <c r="Z4750" s="48"/>
      <c r="AA4750" s="48"/>
      <c r="AB4750" s="48"/>
      <c r="AC4750" s="48"/>
      <c r="AD4750" s="48"/>
      <c r="AE4750" s="48"/>
      <c r="AF4750" s="48"/>
      <c r="AG4750" s="48"/>
      <c r="AH4750" s="48"/>
      <c r="AI4750" s="48"/>
      <c r="AJ4750" s="48"/>
      <c r="AK4750" s="48"/>
      <c r="AL4750" s="48"/>
      <c r="AM4750" s="48"/>
      <c r="AN4750" s="48"/>
      <c r="AO4750" s="48"/>
      <c r="AP4750" s="48"/>
      <c r="AQ4750" s="48"/>
      <c r="AR4750" s="48"/>
      <c r="AS4750" s="48"/>
      <c r="AT4750" s="48"/>
      <c r="AU4750" s="48"/>
      <c r="AV4750" s="48"/>
      <c r="AW4750" s="48"/>
      <c r="AX4750" s="48"/>
      <c r="AY4750" s="48"/>
      <c r="AZ4750" s="48"/>
      <c r="BA4750" s="48"/>
      <c r="BB4750" s="48"/>
      <c r="BC4750" s="48"/>
      <c r="BD4750" s="48"/>
    </row>
    <row r="4751" spans="1:56">
      <c r="A4751" s="48"/>
      <c r="B4751" s="48"/>
      <c r="C4751" s="49"/>
      <c r="D4751" s="48"/>
      <c r="E4751" s="48"/>
      <c r="F4751" s="48"/>
      <c r="G4751" s="48"/>
      <c r="H4751" s="48"/>
      <c r="I4751" s="48"/>
      <c r="J4751" s="86"/>
      <c r="K4751" s="86"/>
      <c r="L4751" s="86"/>
      <c r="M4751" s="86"/>
      <c r="N4751" s="86"/>
      <c r="O4751" s="86"/>
      <c r="P4751" s="86"/>
      <c r="Q4751" s="86"/>
      <c r="R4751" s="86"/>
      <c r="S4751" s="86"/>
      <c r="T4751" s="86"/>
      <c r="U4751" s="86"/>
      <c r="V4751" s="48"/>
      <c r="W4751" s="48"/>
      <c r="X4751" s="48"/>
      <c r="Y4751" s="48"/>
      <c r="Z4751" s="48"/>
      <c r="AA4751" s="48"/>
      <c r="AB4751" s="48"/>
      <c r="AC4751" s="48"/>
      <c r="AD4751" s="48"/>
      <c r="AE4751" s="48"/>
      <c r="AF4751" s="48"/>
      <c r="AG4751" s="48"/>
      <c r="AH4751" s="48"/>
      <c r="AI4751" s="48"/>
      <c r="AJ4751" s="48"/>
      <c r="AK4751" s="48"/>
      <c r="AL4751" s="48"/>
      <c r="AM4751" s="48"/>
      <c r="AN4751" s="48"/>
      <c r="AO4751" s="48"/>
      <c r="AP4751" s="48"/>
      <c r="AQ4751" s="48"/>
      <c r="AR4751" s="48"/>
      <c r="AS4751" s="48"/>
      <c r="AT4751" s="48"/>
      <c r="AU4751" s="48"/>
      <c r="AV4751" s="48"/>
      <c r="AW4751" s="48"/>
      <c r="AX4751" s="48"/>
      <c r="AY4751" s="48"/>
      <c r="AZ4751" s="48"/>
      <c r="BA4751" s="48"/>
      <c r="BB4751" s="48"/>
      <c r="BC4751" s="48"/>
      <c r="BD4751" s="48"/>
    </row>
    <row r="4752" spans="1:56">
      <c r="A4752" s="48"/>
      <c r="B4752" s="48"/>
      <c r="C4752" s="49"/>
      <c r="D4752" s="48"/>
      <c r="E4752" s="48"/>
      <c r="F4752" s="48"/>
      <c r="G4752" s="48"/>
      <c r="H4752" s="48"/>
      <c r="I4752" s="48"/>
      <c r="J4752" s="86"/>
      <c r="K4752" s="86"/>
      <c r="L4752" s="86"/>
      <c r="M4752" s="86"/>
      <c r="N4752" s="86"/>
      <c r="O4752" s="86"/>
      <c r="P4752" s="86"/>
      <c r="Q4752" s="86"/>
      <c r="R4752" s="86"/>
      <c r="S4752" s="86"/>
      <c r="T4752" s="86"/>
      <c r="U4752" s="86"/>
      <c r="V4752" s="48"/>
      <c r="W4752" s="48"/>
      <c r="X4752" s="48"/>
      <c r="Y4752" s="48"/>
      <c r="Z4752" s="48"/>
      <c r="AA4752" s="48"/>
      <c r="AB4752" s="48"/>
      <c r="AC4752" s="48"/>
      <c r="AD4752" s="48"/>
      <c r="AE4752" s="48"/>
      <c r="AF4752" s="48"/>
      <c r="AG4752" s="48"/>
      <c r="AH4752" s="48"/>
      <c r="AI4752" s="48"/>
      <c r="AJ4752" s="48"/>
      <c r="AK4752" s="48"/>
      <c r="AL4752" s="48"/>
      <c r="AM4752" s="48"/>
      <c r="AN4752" s="48"/>
      <c r="AO4752" s="48"/>
      <c r="AP4752" s="48"/>
      <c r="AQ4752" s="48"/>
      <c r="AR4752" s="48"/>
      <c r="AS4752" s="48"/>
      <c r="AT4752" s="48"/>
      <c r="AU4752" s="48"/>
      <c r="AV4752" s="48"/>
      <c r="AW4752" s="48"/>
      <c r="AX4752" s="48"/>
      <c r="AY4752" s="48"/>
      <c r="AZ4752" s="48"/>
      <c r="BA4752" s="48"/>
      <c r="BB4752" s="48"/>
      <c r="BC4752" s="48"/>
      <c r="BD4752" s="48"/>
    </row>
    <row r="4753" spans="1:56">
      <c r="A4753" s="48"/>
      <c r="B4753" s="48"/>
      <c r="C4753" s="49"/>
      <c r="D4753" s="48"/>
      <c r="E4753" s="48"/>
      <c r="F4753" s="48"/>
      <c r="G4753" s="48"/>
      <c r="H4753" s="48"/>
      <c r="I4753" s="48"/>
      <c r="J4753" s="86"/>
      <c r="K4753" s="86"/>
      <c r="L4753" s="86"/>
      <c r="M4753" s="86"/>
      <c r="N4753" s="86"/>
      <c r="O4753" s="86"/>
      <c r="P4753" s="86"/>
      <c r="Q4753" s="86"/>
      <c r="R4753" s="86"/>
      <c r="S4753" s="86"/>
      <c r="T4753" s="86"/>
      <c r="U4753" s="86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48"/>
      <c r="AS4753" s="48"/>
      <c r="AT4753" s="48"/>
      <c r="AU4753" s="48"/>
      <c r="AV4753" s="48"/>
      <c r="AW4753" s="48"/>
      <c r="AX4753" s="48"/>
      <c r="AY4753" s="48"/>
      <c r="AZ4753" s="48"/>
      <c r="BA4753" s="48"/>
      <c r="BB4753" s="48"/>
      <c r="BC4753" s="48"/>
      <c r="BD4753" s="48"/>
    </row>
    <row r="4754" spans="1:56">
      <c r="A4754" s="48"/>
      <c r="B4754" s="48"/>
      <c r="C4754" s="49"/>
      <c r="D4754" s="48"/>
      <c r="E4754" s="48"/>
      <c r="F4754" s="48"/>
      <c r="G4754" s="48"/>
      <c r="H4754" s="48"/>
      <c r="I4754" s="48"/>
      <c r="J4754" s="86"/>
      <c r="K4754" s="86"/>
      <c r="L4754" s="86"/>
      <c r="M4754" s="86"/>
      <c r="N4754" s="86"/>
      <c r="O4754" s="86"/>
      <c r="P4754" s="86"/>
      <c r="Q4754" s="86"/>
      <c r="R4754" s="86"/>
      <c r="S4754" s="86"/>
      <c r="T4754" s="86"/>
      <c r="U4754" s="86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48"/>
      <c r="BB4754" s="48"/>
      <c r="BC4754" s="48"/>
      <c r="BD4754" s="48"/>
    </row>
    <row r="4755" spans="1:56">
      <c r="A4755" s="48"/>
      <c r="B4755" s="48"/>
      <c r="C4755" s="49"/>
      <c r="D4755" s="48"/>
      <c r="E4755" s="48"/>
      <c r="F4755" s="48"/>
      <c r="G4755" s="48"/>
      <c r="H4755" s="48"/>
      <c r="I4755" s="48"/>
      <c r="J4755" s="86"/>
      <c r="K4755" s="86"/>
      <c r="L4755" s="86"/>
      <c r="M4755" s="86"/>
      <c r="N4755" s="86"/>
      <c r="O4755" s="86"/>
      <c r="P4755" s="86"/>
      <c r="Q4755" s="86"/>
      <c r="R4755" s="86"/>
      <c r="S4755" s="86"/>
      <c r="T4755" s="86"/>
      <c r="U4755" s="86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48"/>
      <c r="BB4755" s="48"/>
      <c r="BC4755" s="48"/>
      <c r="BD4755" s="48"/>
    </row>
    <row r="4756" spans="1:56">
      <c r="A4756" s="48"/>
      <c r="B4756" s="48"/>
      <c r="C4756" s="49"/>
      <c r="D4756" s="48"/>
      <c r="E4756" s="48"/>
      <c r="F4756" s="48"/>
      <c r="G4756" s="48"/>
      <c r="H4756" s="48"/>
      <c r="I4756" s="48"/>
      <c r="J4756" s="86"/>
      <c r="K4756" s="86"/>
      <c r="L4756" s="86"/>
      <c r="M4756" s="86"/>
      <c r="N4756" s="86"/>
      <c r="O4756" s="86"/>
      <c r="P4756" s="86"/>
      <c r="Q4756" s="86"/>
      <c r="R4756" s="86"/>
      <c r="S4756" s="86"/>
      <c r="T4756" s="86"/>
      <c r="U4756" s="86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48"/>
      <c r="BB4756" s="48"/>
      <c r="BC4756" s="48"/>
      <c r="BD4756" s="48"/>
    </row>
    <row r="4757" spans="1:56">
      <c r="A4757" s="48"/>
      <c r="B4757" s="48"/>
      <c r="C4757" s="49"/>
      <c r="D4757" s="48"/>
      <c r="E4757" s="48"/>
      <c r="F4757" s="48"/>
      <c r="G4757" s="48"/>
      <c r="H4757" s="48"/>
      <c r="I4757" s="48"/>
      <c r="J4757" s="86"/>
      <c r="K4757" s="86"/>
      <c r="L4757" s="86"/>
      <c r="M4757" s="86"/>
      <c r="N4757" s="86"/>
      <c r="O4757" s="86"/>
      <c r="P4757" s="86"/>
      <c r="Q4757" s="86"/>
      <c r="R4757" s="86"/>
      <c r="S4757" s="86"/>
      <c r="T4757" s="86"/>
      <c r="U4757" s="86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48"/>
      <c r="BB4757" s="48"/>
      <c r="BC4757" s="48"/>
      <c r="BD4757" s="48"/>
    </row>
    <row r="4758" spans="1:56">
      <c r="A4758" s="48"/>
      <c r="B4758" s="48"/>
      <c r="C4758" s="49"/>
      <c r="D4758" s="48"/>
      <c r="E4758" s="48"/>
      <c r="F4758" s="48"/>
      <c r="G4758" s="48"/>
      <c r="H4758" s="48"/>
      <c r="I4758" s="48"/>
      <c r="J4758" s="86"/>
      <c r="K4758" s="86"/>
      <c r="L4758" s="86"/>
      <c r="M4758" s="86"/>
      <c r="N4758" s="86"/>
      <c r="O4758" s="86"/>
      <c r="P4758" s="86"/>
      <c r="Q4758" s="86"/>
      <c r="R4758" s="86"/>
      <c r="S4758" s="86"/>
      <c r="T4758" s="86"/>
      <c r="U4758" s="86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48"/>
      <c r="BB4758" s="48"/>
      <c r="BC4758" s="48"/>
      <c r="BD4758" s="48"/>
    </row>
    <row r="4759" spans="1:56">
      <c r="A4759" s="48"/>
      <c r="B4759" s="48"/>
      <c r="C4759" s="49"/>
      <c r="D4759" s="48"/>
      <c r="E4759" s="48"/>
      <c r="F4759" s="48"/>
      <c r="G4759" s="48"/>
      <c r="H4759" s="48"/>
      <c r="I4759" s="48"/>
      <c r="J4759" s="86"/>
      <c r="K4759" s="86"/>
      <c r="L4759" s="86"/>
      <c r="M4759" s="86"/>
      <c r="N4759" s="86"/>
      <c r="O4759" s="86"/>
      <c r="P4759" s="86"/>
      <c r="Q4759" s="86"/>
      <c r="R4759" s="86"/>
      <c r="S4759" s="86"/>
      <c r="T4759" s="86"/>
      <c r="U4759" s="86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48"/>
      <c r="BB4759" s="48"/>
      <c r="BC4759" s="48"/>
      <c r="BD4759" s="48"/>
    </row>
    <row r="4760" spans="1:56">
      <c r="A4760" s="48"/>
      <c r="B4760" s="48"/>
      <c r="C4760" s="49"/>
      <c r="D4760" s="48"/>
      <c r="E4760" s="48"/>
      <c r="F4760" s="48"/>
      <c r="G4760" s="48"/>
      <c r="H4760" s="48"/>
      <c r="I4760" s="48"/>
      <c r="J4760" s="86"/>
      <c r="K4760" s="86"/>
      <c r="L4760" s="86"/>
      <c r="M4760" s="86"/>
      <c r="N4760" s="86"/>
      <c r="O4760" s="86"/>
      <c r="P4760" s="86"/>
      <c r="Q4760" s="86"/>
      <c r="R4760" s="86"/>
      <c r="S4760" s="86"/>
      <c r="T4760" s="86"/>
      <c r="U4760" s="86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48"/>
      <c r="BB4760" s="48"/>
      <c r="BC4760" s="48"/>
      <c r="BD4760" s="48"/>
    </row>
    <row r="4761" spans="1:56">
      <c r="A4761" s="48"/>
      <c r="B4761" s="48"/>
      <c r="C4761" s="49"/>
      <c r="D4761" s="48"/>
      <c r="E4761" s="48"/>
      <c r="F4761" s="48"/>
      <c r="G4761" s="48"/>
      <c r="H4761" s="48"/>
      <c r="I4761" s="48"/>
      <c r="J4761" s="86"/>
      <c r="K4761" s="86"/>
      <c r="L4761" s="86"/>
      <c r="M4761" s="86"/>
      <c r="N4761" s="86"/>
      <c r="O4761" s="86"/>
      <c r="P4761" s="86"/>
      <c r="Q4761" s="86"/>
      <c r="R4761" s="86"/>
      <c r="S4761" s="86"/>
      <c r="T4761" s="86"/>
      <c r="U4761" s="86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48"/>
      <c r="BB4761" s="48"/>
      <c r="BC4761" s="48"/>
      <c r="BD4761" s="48"/>
    </row>
    <row r="4762" spans="1:56">
      <c r="A4762" s="48"/>
      <c r="B4762" s="48"/>
      <c r="C4762" s="49"/>
      <c r="D4762" s="48"/>
      <c r="E4762" s="48"/>
      <c r="F4762" s="48"/>
      <c r="G4762" s="48"/>
      <c r="H4762" s="48"/>
      <c r="I4762" s="48"/>
      <c r="J4762" s="86"/>
      <c r="K4762" s="86"/>
      <c r="L4762" s="86"/>
      <c r="M4762" s="86"/>
      <c r="N4762" s="86"/>
      <c r="O4762" s="86"/>
      <c r="P4762" s="86"/>
      <c r="Q4762" s="86"/>
      <c r="R4762" s="86"/>
      <c r="S4762" s="86"/>
      <c r="T4762" s="86"/>
      <c r="U4762" s="86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48"/>
      <c r="BB4762" s="48"/>
      <c r="BC4762" s="48"/>
      <c r="BD4762" s="48"/>
    </row>
    <row r="4763" spans="1:56">
      <c r="A4763" s="48"/>
      <c r="B4763" s="48"/>
      <c r="C4763" s="49"/>
      <c r="D4763" s="48"/>
      <c r="E4763" s="48"/>
      <c r="F4763" s="48"/>
      <c r="G4763" s="48"/>
      <c r="H4763" s="48"/>
      <c r="I4763" s="48"/>
      <c r="J4763" s="86"/>
      <c r="K4763" s="86"/>
      <c r="L4763" s="86"/>
      <c r="M4763" s="86"/>
      <c r="N4763" s="86"/>
      <c r="O4763" s="86"/>
      <c r="P4763" s="86"/>
      <c r="Q4763" s="86"/>
      <c r="R4763" s="86"/>
      <c r="S4763" s="86"/>
      <c r="T4763" s="86"/>
      <c r="U4763" s="86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48"/>
      <c r="BB4763" s="48"/>
      <c r="BC4763" s="48"/>
      <c r="BD4763" s="48"/>
    </row>
    <row r="4764" spans="1:56">
      <c r="A4764" s="48"/>
      <c r="B4764" s="48"/>
      <c r="C4764" s="49"/>
      <c r="D4764" s="48"/>
      <c r="E4764" s="48"/>
      <c r="F4764" s="48"/>
      <c r="G4764" s="48"/>
      <c r="H4764" s="48"/>
      <c r="I4764" s="48"/>
      <c r="J4764" s="86"/>
      <c r="K4764" s="86"/>
      <c r="L4764" s="86"/>
      <c r="M4764" s="86"/>
      <c r="N4764" s="86"/>
      <c r="O4764" s="86"/>
      <c r="P4764" s="86"/>
      <c r="Q4764" s="86"/>
      <c r="R4764" s="86"/>
      <c r="S4764" s="86"/>
      <c r="T4764" s="86"/>
      <c r="U4764" s="86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48"/>
      <c r="BB4764" s="48"/>
      <c r="BC4764" s="48"/>
      <c r="BD4764" s="48"/>
    </row>
    <row r="4765" spans="1:56">
      <c r="A4765" s="48"/>
      <c r="B4765" s="48"/>
      <c r="C4765" s="49"/>
      <c r="D4765" s="48"/>
      <c r="E4765" s="48"/>
      <c r="F4765" s="48"/>
      <c r="G4765" s="48"/>
      <c r="H4765" s="48"/>
      <c r="I4765" s="48"/>
      <c r="J4765" s="86"/>
      <c r="K4765" s="86"/>
      <c r="L4765" s="86"/>
      <c r="M4765" s="86"/>
      <c r="N4765" s="86"/>
      <c r="O4765" s="86"/>
      <c r="P4765" s="86"/>
      <c r="Q4765" s="86"/>
      <c r="R4765" s="86"/>
      <c r="S4765" s="86"/>
      <c r="T4765" s="86"/>
      <c r="U4765" s="86"/>
      <c r="V4765" s="48"/>
      <c r="W4765" s="48"/>
      <c r="X4765" s="48"/>
      <c r="Y4765" s="48"/>
      <c r="Z4765" s="48"/>
      <c r="AA4765" s="48"/>
      <c r="AB4765" s="48"/>
      <c r="AC4765" s="48"/>
      <c r="AD4765" s="48"/>
      <c r="AE4765" s="48"/>
      <c r="AF4765" s="48"/>
      <c r="AG4765" s="48"/>
      <c r="AH4765" s="48"/>
      <c r="AI4765" s="48"/>
      <c r="AJ4765" s="48"/>
      <c r="AK4765" s="48"/>
      <c r="AL4765" s="48"/>
      <c r="AM4765" s="48"/>
      <c r="AN4765" s="48"/>
      <c r="AO4765" s="48"/>
      <c r="AP4765" s="48"/>
      <c r="AQ4765" s="48"/>
      <c r="AR4765" s="48"/>
      <c r="AS4765" s="48"/>
      <c r="AT4765" s="48"/>
      <c r="AU4765" s="48"/>
      <c r="AV4765" s="48"/>
      <c r="AW4765" s="48"/>
      <c r="AX4765" s="48"/>
      <c r="AY4765" s="48"/>
      <c r="AZ4765" s="48"/>
      <c r="BA4765" s="48"/>
      <c r="BB4765" s="48"/>
      <c r="BC4765" s="48"/>
      <c r="BD4765" s="48"/>
    </row>
    <row r="4766" spans="1:56">
      <c r="A4766" s="48"/>
      <c r="B4766" s="48"/>
      <c r="C4766" s="49"/>
      <c r="D4766" s="48"/>
      <c r="E4766" s="48"/>
      <c r="F4766" s="48"/>
      <c r="G4766" s="48"/>
      <c r="H4766" s="48"/>
      <c r="I4766" s="48"/>
      <c r="J4766" s="86"/>
      <c r="K4766" s="86"/>
      <c r="L4766" s="86"/>
      <c r="M4766" s="86"/>
      <c r="N4766" s="86"/>
      <c r="O4766" s="86"/>
      <c r="P4766" s="86"/>
      <c r="Q4766" s="86"/>
      <c r="R4766" s="86"/>
      <c r="S4766" s="86"/>
      <c r="T4766" s="86"/>
      <c r="U4766" s="86"/>
      <c r="V4766" s="48"/>
      <c r="W4766" s="48"/>
      <c r="X4766" s="48"/>
      <c r="Y4766" s="48"/>
      <c r="Z4766" s="48"/>
      <c r="AA4766" s="48"/>
      <c r="AB4766" s="48"/>
      <c r="AC4766" s="48"/>
      <c r="AD4766" s="48"/>
      <c r="AE4766" s="48"/>
      <c r="AF4766" s="48"/>
      <c r="AG4766" s="48"/>
      <c r="AH4766" s="48"/>
      <c r="AI4766" s="48"/>
      <c r="AJ4766" s="48"/>
      <c r="AK4766" s="48"/>
      <c r="AL4766" s="48"/>
      <c r="AM4766" s="48"/>
      <c r="AN4766" s="48"/>
      <c r="AO4766" s="48"/>
      <c r="AP4766" s="48"/>
      <c r="AQ4766" s="48"/>
      <c r="AR4766" s="48"/>
      <c r="AS4766" s="48"/>
      <c r="AT4766" s="48"/>
      <c r="AU4766" s="48"/>
      <c r="AV4766" s="48"/>
      <c r="AW4766" s="48"/>
      <c r="AX4766" s="48"/>
      <c r="AY4766" s="48"/>
      <c r="AZ4766" s="48"/>
      <c r="BA4766" s="48"/>
      <c r="BB4766" s="48"/>
      <c r="BC4766" s="48"/>
      <c r="BD4766" s="48"/>
    </row>
    <row r="4767" spans="1:56">
      <c r="A4767" s="48"/>
      <c r="B4767" s="48"/>
      <c r="C4767" s="49"/>
      <c r="D4767" s="48"/>
      <c r="E4767" s="48"/>
      <c r="F4767" s="48"/>
      <c r="G4767" s="48"/>
      <c r="H4767" s="48"/>
      <c r="I4767" s="48"/>
      <c r="J4767" s="86"/>
      <c r="K4767" s="86"/>
      <c r="L4767" s="86"/>
      <c r="M4767" s="86"/>
      <c r="N4767" s="86"/>
      <c r="O4767" s="86"/>
      <c r="P4767" s="86"/>
      <c r="Q4767" s="86"/>
      <c r="R4767" s="86"/>
      <c r="S4767" s="86"/>
      <c r="T4767" s="86"/>
      <c r="U4767" s="86"/>
      <c r="V4767" s="48"/>
      <c r="W4767" s="48"/>
      <c r="X4767" s="48"/>
      <c r="Y4767" s="48"/>
      <c r="Z4767" s="48"/>
      <c r="AA4767" s="48"/>
      <c r="AB4767" s="48"/>
      <c r="AC4767" s="48"/>
      <c r="AD4767" s="48"/>
      <c r="AE4767" s="48"/>
      <c r="AF4767" s="48"/>
      <c r="AG4767" s="48"/>
      <c r="AH4767" s="48"/>
      <c r="AI4767" s="48"/>
      <c r="AJ4767" s="48"/>
      <c r="AK4767" s="48"/>
      <c r="AL4767" s="48"/>
      <c r="AM4767" s="48"/>
      <c r="AN4767" s="48"/>
      <c r="AO4767" s="48"/>
      <c r="AP4767" s="48"/>
      <c r="AQ4767" s="48"/>
      <c r="AR4767" s="48"/>
      <c r="AS4767" s="48"/>
      <c r="AT4767" s="48"/>
      <c r="AU4767" s="48"/>
      <c r="AV4767" s="48"/>
      <c r="AW4767" s="48"/>
      <c r="AX4767" s="48"/>
      <c r="AY4767" s="48"/>
      <c r="AZ4767" s="48"/>
      <c r="BA4767" s="48"/>
      <c r="BB4767" s="48"/>
      <c r="BC4767" s="48"/>
      <c r="BD4767" s="48"/>
    </row>
    <row r="4768" spans="1:56">
      <c r="A4768" s="48"/>
      <c r="B4768" s="48"/>
      <c r="C4768" s="49"/>
      <c r="D4768" s="48"/>
      <c r="E4768" s="48"/>
      <c r="F4768" s="48"/>
      <c r="G4768" s="48"/>
      <c r="H4768" s="48"/>
      <c r="I4768" s="48"/>
      <c r="J4768" s="86"/>
      <c r="K4768" s="86"/>
      <c r="L4768" s="86"/>
      <c r="M4768" s="86"/>
      <c r="N4768" s="86"/>
      <c r="O4768" s="86"/>
      <c r="P4768" s="86"/>
      <c r="Q4768" s="86"/>
      <c r="R4768" s="86"/>
      <c r="S4768" s="86"/>
      <c r="T4768" s="86"/>
      <c r="U4768" s="86"/>
      <c r="V4768" s="48"/>
      <c r="W4768" s="48"/>
      <c r="X4768" s="48"/>
      <c r="Y4768" s="48"/>
      <c r="Z4768" s="48"/>
      <c r="AA4768" s="48"/>
      <c r="AB4768" s="48"/>
      <c r="AC4768" s="48"/>
      <c r="AD4768" s="48"/>
      <c r="AE4768" s="48"/>
      <c r="AF4768" s="48"/>
      <c r="AG4768" s="48"/>
      <c r="AH4768" s="48"/>
      <c r="AI4768" s="48"/>
      <c r="AJ4768" s="48"/>
      <c r="AK4768" s="48"/>
      <c r="AL4768" s="48"/>
      <c r="AM4768" s="48"/>
      <c r="AN4768" s="48"/>
      <c r="AO4768" s="48"/>
      <c r="AP4768" s="48"/>
      <c r="AQ4768" s="48"/>
      <c r="AR4768" s="48"/>
      <c r="AS4768" s="48"/>
      <c r="AT4768" s="48"/>
      <c r="AU4768" s="48"/>
      <c r="AV4768" s="48"/>
      <c r="AW4768" s="48"/>
      <c r="AX4768" s="48"/>
      <c r="AY4768" s="48"/>
      <c r="AZ4768" s="48"/>
      <c r="BA4768" s="48"/>
      <c r="BB4768" s="48"/>
      <c r="BC4768" s="48"/>
      <c r="BD4768" s="48"/>
    </row>
    <row r="4769" spans="1:56">
      <c r="A4769" s="48"/>
      <c r="B4769" s="48"/>
      <c r="C4769" s="49"/>
      <c r="D4769" s="48"/>
      <c r="E4769" s="48"/>
      <c r="F4769" s="48"/>
      <c r="G4769" s="48"/>
      <c r="H4769" s="48"/>
      <c r="I4769" s="48"/>
      <c r="J4769" s="86"/>
      <c r="K4769" s="86"/>
      <c r="L4769" s="86"/>
      <c r="M4769" s="86"/>
      <c r="N4769" s="86"/>
      <c r="O4769" s="86"/>
      <c r="P4769" s="86"/>
      <c r="Q4769" s="86"/>
      <c r="R4769" s="86"/>
      <c r="S4769" s="86"/>
      <c r="T4769" s="86"/>
      <c r="U4769" s="86"/>
      <c r="V4769" s="48"/>
      <c r="W4769" s="48"/>
      <c r="X4769" s="48"/>
      <c r="Y4769" s="48"/>
      <c r="Z4769" s="48"/>
      <c r="AA4769" s="48"/>
      <c r="AB4769" s="48"/>
      <c r="AC4769" s="48"/>
      <c r="AD4769" s="48"/>
      <c r="AE4769" s="48"/>
      <c r="AF4769" s="48"/>
      <c r="AG4769" s="48"/>
      <c r="AH4769" s="48"/>
      <c r="AI4769" s="48"/>
      <c r="AJ4769" s="48"/>
      <c r="AK4769" s="48"/>
      <c r="AL4769" s="48"/>
      <c r="AM4769" s="48"/>
      <c r="AN4769" s="48"/>
      <c r="AO4769" s="48"/>
      <c r="AP4769" s="48"/>
      <c r="AQ4769" s="48"/>
      <c r="AR4769" s="48"/>
      <c r="AS4769" s="48"/>
      <c r="AT4769" s="48"/>
      <c r="AU4769" s="48"/>
      <c r="AV4769" s="48"/>
      <c r="AW4769" s="48"/>
      <c r="AX4769" s="48"/>
      <c r="AY4769" s="48"/>
      <c r="AZ4769" s="48"/>
      <c r="BA4769" s="48"/>
      <c r="BB4769" s="48"/>
      <c r="BC4769" s="48"/>
      <c r="BD4769" s="48"/>
    </row>
    <row r="4770" spans="1:56">
      <c r="A4770" s="48"/>
      <c r="B4770" s="48"/>
      <c r="C4770" s="49"/>
      <c r="D4770" s="48"/>
      <c r="E4770" s="48"/>
      <c r="F4770" s="48"/>
      <c r="G4770" s="48"/>
      <c r="H4770" s="48"/>
      <c r="I4770" s="48"/>
      <c r="J4770" s="86"/>
      <c r="K4770" s="86"/>
      <c r="L4770" s="86"/>
      <c r="M4770" s="86"/>
      <c r="N4770" s="86"/>
      <c r="O4770" s="86"/>
      <c r="P4770" s="86"/>
      <c r="Q4770" s="86"/>
      <c r="R4770" s="86"/>
      <c r="S4770" s="86"/>
      <c r="T4770" s="86"/>
      <c r="U4770" s="86"/>
      <c r="V4770" s="48"/>
      <c r="W4770" s="48"/>
      <c r="X4770" s="48"/>
      <c r="Y4770" s="48"/>
      <c r="Z4770" s="48"/>
      <c r="AA4770" s="48"/>
      <c r="AB4770" s="48"/>
      <c r="AC4770" s="48"/>
      <c r="AD4770" s="48"/>
      <c r="AE4770" s="48"/>
      <c r="AF4770" s="48"/>
      <c r="AG4770" s="48"/>
      <c r="AH4770" s="48"/>
      <c r="AI4770" s="48"/>
      <c r="AJ4770" s="48"/>
      <c r="AK4770" s="48"/>
      <c r="AL4770" s="48"/>
      <c r="AM4770" s="48"/>
      <c r="AN4770" s="48"/>
      <c r="AO4770" s="48"/>
      <c r="AP4770" s="48"/>
      <c r="AQ4770" s="48"/>
      <c r="AR4770" s="48"/>
      <c r="AS4770" s="48"/>
      <c r="AT4770" s="48"/>
      <c r="AU4770" s="48"/>
      <c r="AV4770" s="48"/>
      <c r="AW4770" s="48"/>
      <c r="AX4770" s="48"/>
      <c r="AY4770" s="48"/>
      <c r="AZ4770" s="48"/>
      <c r="BA4770" s="48"/>
      <c r="BB4770" s="48"/>
      <c r="BC4770" s="48"/>
      <c r="BD4770" s="48"/>
    </row>
    <row r="4771" spans="1:56">
      <c r="A4771" s="48"/>
      <c r="B4771" s="48"/>
      <c r="C4771" s="49"/>
      <c r="D4771" s="48"/>
      <c r="E4771" s="48"/>
      <c r="F4771" s="48"/>
      <c r="G4771" s="48"/>
      <c r="H4771" s="48"/>
      <c r="I4771" s="48"/>
      <c r="J4771" s="86"/>
      <c r="K4771" s="86"/>
      <c r="L4771" s="86"/>
      <c r="M4771" s="86"/>
      <c r="N4771" s="86"/>
      <c r="O4771" s="86"/>
      <c r="P4771" s="86"/>
      <c r="Q4771" s="86"/>
      <c r="R4771" s="86"/>
      <c r="S4771" s="86"/>
      <c r="T4771" s="86"/>
      <c r="U4771" s="86"/>
      <c r="V4771" s="48"/>
      <c r="W4771" s="48"/>
      <c r="X4771" s="48"/>
      <c r="Y4771" s="48"/>
      <c r="Z4771" s="48"/>
      <c r="AA4771" s="48"/>
      <c r="AB4771" s="48"/>
      <c r="AC4771" s="48"/>
      <c r="AD4771" s="48"/>
      <c r="AE4771" s="48"/>
      <c r="AF4771" s="48"/>
      <c r="AG4771" s="48"/>
      <c r="AH4771" s="48"/>
      <c r="AI4771" s="48"/>
      <c r="AJ4771" s="48"/>
      <c r="AK4771" s="48"/>
      <c r="AL4771" s="48"/>
      <c r="AM4771" s="48"/>
      <c r="AN4771" s="48"/>
      <c r="AO4771" s="48"/>
      <c r="AP4771" s="48"/>
      <c r="AQ4771" s="48"/>
      <c r="AR4771" s="48"/>
      <c r="AS4771" s="48"/>
      <c r="AT4771" s="48"/>
      <c r="AU4771" s="48"/>
      <c r="AV4771" s="48"/>
      <c r="AW4771" s="48"/>
      <c r="AX4771" s="48"/>
      <c r="AY4771" s="48"/>
      <c r="AZ4771" s="48"/>
      <c r="BA4771" s="48"/>
      <c r="BB4771" s="48"/>
      <c r="BC4771" s="48"/>
      <c r="BD4771" s="48"/>
    </row>
    <row r="4772" spans="1:56">
      <c r="A4772" s="48"/>
      <c r="B4772" s="48"/>
      <c r="C4772" s="49"/>
      <c r="D4772" s="48"/>
      <c r="E4772" s="48"/>
      <c r="F4772" s="48"/>
      <c r="G4772" s="48"/>
      <c r="H4772" s="48"/>
      <c r="I4772" s="48"/>
      <c r="J4772" s="86"/>
      <c r="K4772" s="86"/>
      <c r="L4772" s="86"/>
      <c r="M4772" s="86"/>
      <c r="N4772" s="86"/>
      <c r="O4772" s="86"/>
      <c r="P4772" s="86"/>
      <c r="Q4772" s="86"/>
      <c r="R4772" s="86"/>
      <c r="S4772" s="86"/>
      <c r="T4772" s="86"/>
      <c r="U4772" s="86"/>
      <c r="V4772" s="48"/>
      <c r="W4772" s="48"/>
      <c r="X4772" s="48"/>
      <c r="Y4772" s="48"/>
      <c r="Z4772" s="48"/>
      <c r="AA4772" s="48"/>
      <c r="AB4772" s="48"/>
      <c r="AC4772" s="48"/>
      <c r="AD4772" s="48"/>
      <c r="AE4772" s="48"/>
      <c r="AF4772" s="48"/>
      <c r="AG4772" s="48"/>
      <c r="AH4772" s="48"/>
      <c r="AI4772" s="48"/>
      <c r="AJ4772" s="48"/>
      <c r="AK4772" s="48"/>
      <c r="AL4772" s="48"/>
      <c r="AM4772" s="48"/>
      <c r="AN4772" s="48"/>
      <c r="AO4772" s="48"/>
      <c r="AP4772" s="48"/>
      <c r="AQ4772" s="48"/>
      <c r="AR4772" s="48"/>
      <c r="AS4772" s="48"/>
      <c r="AT4772" s="48"/>
      <c r="AU4772" s="48"/>
      <c r="AV4772" s="48"/>
      <c r="AW4772" s="48"/>
      <c r="AX4772" s="48"/>
      <c r="AY4772" s="48"/>
      <c r="AZ4772" s="48"/>
      <c r="BA4772" s="48"/>
      <c r="BB4772" s="48"/>
      <c r="BC4772" s="48"/>
      <c r="BD4772" s="48"/>
    </row>
    <row r="4773" spans="1:56">
      <c r="A4773" s="48"/>
      <c r="B4773" s="48"/>
      <c r="C4773" s="49"/>
      <c r="D4773" s="48"/>
      <c r="E4773" s="48"/>
      <c r="F4773" s="48"/>
      <c r="G4773" s="48"/>
      <c r="H4773" s="48"/>
      <c r="I4773" s="48"/>
      <c r="J4773" s="86"/>
      <c r="K4773" s="86"/>
      <c r="L4773" s="86"/>
      <c r="M4773" s="86"/>
      <c r="N4773" s="86"/>
      <c r="O4773" s="86"/>
      <c r="P4773" s="86"/>
      <c r="Q4773" s="86"/>
      <c r="R4773" s="86"/>
      <c r="S4773" s="86"/>
      <c r="T4773" s="86"/>
      <c r="U4773" s="86"/>
      <c r="V4773" s="48"/>
      <c r="W4773" s="48"/>
      <c r="X4773" s="48"/>
      <c r="Y4773" s="48"/>
      <c r="Z4773" s="48"/>
      <c r="AA4773" s="48"/>
      <c r="AB4773" s="48"/>
      <c r="AC4773" s="48"/>
      <c r="AD4773" s="48"/>
      <c r="AE4773" s="48"/>
      <c r="AF4773" s="48"/>
      <c r="AG4773" s="48"/>
      <c r="AH4773" s="48"/>
      <c r="AI4773" s="48"/>
      <c r="AJ4773" s="48"/>
      <c r="AK4773" s="48"/>
      <c r="AL4773" s="48"/>
      <c r="AM4773" s="48"/>
      <c r="AN4773" s="48"/>
      <c r="AO4773" s="48"/>
      <c r="AP4773" s="48"/>
      <c r="AQ4773" s="48"/>
      <c r="AR4773" s="48"/>
      <c r="AS4773" s="48"/>
      <c r="AT4773" s="48"/>
      <c r="AU4773" s="48"/>
      <c r="AV4773" s="48"/>
      <c r="AW4773" s="48"/>
      <c r="AX4773" s="48"/>
      <c r="AY4773" s="48"/>
      <c r="AZ4773" s="48"/>
      <c r="BA4773" s="48"/>
      <c r="BB4773" s="48"/>
      <c r="BC4773" s="48"/>
      <c r="BD4773" s="48"/>
    </row>
    <row r="4774" spans="1:56">
      <c r="A4774" s="48"/>
      <c r="B4774" s="48"/>
      <c r="C4774" s="49"/>
      <c r="D4774" s="48"/>
      <c r="E4774" s="48"/>
      <c r="F4774" s="48"/>
      <c r="G4774" s="48"/>
      <c r="H4774" s="48"/>
      <c r="I4774" s="48"/>
      <c r="J4774" s="86"/>
      <c r="K4774" s="86"/>
      <c r="L4774" s="86"/>
      <c r="M4774" s="86"/>
      <c r="N4774" s="86"/>
      <c r="O4774" s="86"/>
      <c r="P4774" s="86"/>
      <c r="Q4774" s="86"/>
      <c r="R4774" s="86"/>
      <c r="S4774" s="86"/>
      <c r="T4774" s="86"/>
      <c r="U4774" s="86"/>
      <c r="V4774" s="48"/>
      <c r="W4774" s="48"/>
      <c r="X4774" s="48"/>
      <c r="Y4774" s="48"/>
      <c r="Z4774" s="48"/>
      <c r="AA4774" s="48"/>
      <c r="AB4774" s="48"/>
      <c r="AC4774" s="48"/>
      <c r="AD4774" s="48"/>
      <c r="AE4774" s="48"/>
      <c r="AF4774" s="48"/>
      <c r="AG4774" s="48"/>
      <c r="AH4774" s="48"/>
      <c r="AI4774" s="48"/>
      <c r="AJ4774" s="48"/>
      <c r="AK4774" s="48"/>
      <c r="AL4774" s="48"/>
      <c r="AM4774" s="48"/>
      <c r="AN4774" s="48"/>
      <c r="AO4774" s="48"/>
      <c r="AP4774" s="48"/>
      <c r="AQ4774" s="48"/>
      <c r="AR4774" s="48"/>
      <c r="AS4774" s="48"/>
      <c r="AT4774" s="48"/>
      <c r="AU4774" s="48"/>
      <c r="AV4774" s="48"/>
      <c r="AW4774" s="48"/>
      <c r="AX4774" s="48"/>
      <c r="AY4774" s="48"/>
      <c r="AZ4774" s="48"/>
      <c r="BA4774" s="48"/>
      <c r="BB4774" s="48"/>
      <c r="BC4774" s="48"/>
      <c r="BD4774" s="48"/>
    </row>
    <row r="4775" spans="1:56">
      <c r="A4775" s="48"/>
      <c r="B4775" s="48"/>
      <c r="C4775" s="49"/>
      <c r="D4775" s="48"/>
      <c r="E4775" s="48"/>
      <c r="F4775" s="48"/>
      <c r="G4775" s="48"/>
      <c r="H4775" s="48"/>
      <c r="I4775" s="48"/>
      <c r="J4775" s="86"/>
      <c r="K4775" s="86"/>
      <c r="L4775" s="86"/>
      <c r="M4775" s="86"/>
      <c r="N4775" s="86"/>
      <c r="O4775" s="86"/>
      <c r="P4775" s="86"/>
      <c r="Q4775" s="86"/>
      <c r="R4775" s="86"/>
      <c r="S4775" s="86"/>
      <c r="T4775" s="86"/>
      <c r="U4775" s="86"/>
      <c r="V4775" s="48"/>
      <c r="W4775" s="48"/>
      <c r="X4775" s="48"/>
      <c r="Y4775" s="48"/>
      <c r="Z4775" s="48"/>
      <c r="AA4775" s="48"/>
      <c r="AB4775" s="48"/>
      <c r="AC4775" s="48"/>
      <c r="AD4775" s="48"/>
      <c r="AE4775" s="48"/>
      <c r="AF4775" s="48"/>
      <c r="AG4775" s="48"/>
      <c r="AH4775" s="48"/>
      <c r="AI4775" s="48"/>
      <c r="AJ4775" s="48"/>
      <c r="AK4775" s="48"/>
      <c r="AL4775" s="48"/>
      <c r="AM4775" s="48"/>
      <c r="AN4775" s="48"/>
      <c r="AO4775" s="48"/>
      <c r="AP4775" s="48"/>
      <c r="AQ4775" s="48"/>
      <c r="AR4775" s="48"/>
      <c r="AS4775" s="48"/>
      <c r="AT4775" s="48"/>
      <c r="AU4775" s="48"/>
      <c r="AV4775" s="48"/>
      <c r="AW4775" s="48"/>
      <c r="AX4775" s="48"/>
      <c r="AY4775" s="48"/>
      <c r="AZ4775" s="48"/>
      <c r="BA4775" s="48"/>
      <c r="BB4775" s="48"/>
      <c r="BC4775" s="48"/>
      <c r="BD4775" s="48"/>
    </row>
    <row r="4776" spans="1:56">
      <c r="A4776" s="48"/>
      <c r="B4776" s="48"/>
      <c r="C4776" s="49"/>
      <c r="D4776" s="48"/>
      <c r="E4776" s="48"/>
      <c r="F4776" s="48"/>
      <c r="G4776" s="48"/>
      <c r="H4776" s="48"/>
      <c r="I4776" s="48"/>
      <c r="J4776" s="86"/>
      <c r="K4776" s="86"/>
      <c r="L4776" s="86"/>
      <c r="M4776" s="86"/>
      <c r="N4776" s="86"/>
      <c r="O4776" s="86"/>
      <c r="P4776" s="86"/>
      <c r="Q4776" s="86"/>
      <c r="R4776" s="86"/>
      <c r="S4776" s="86"/>
      <c r="T4776" s="86"/>
      <c r="U4776" s="86"/>
      <c r="V4776" s="48"/>
      <c r="W4776" s="48"/>
      <c r="X4776" s="48"/>
      <c r="Y4776" s="48"/>
      <c r="Z4776" s="48"/>
      <c r="AA4776" s="48"/>
      <c r="AB4776" s="48"/>
      <c r="AC4776" s="48"/>
      <c r="AD4776" s="48"/>
      <c r="AE4776" s="48"/>
      <c r="AF4776" s="48"/>
      <c r="AG4776" s="48"/>
      <c r="AH4776" s="48"/>
      <c r="AI4776" s="48"/>
      <c r="AJ4776" s="48"/>
      <c r="AK4776" s="48"/>
      <c r="AL4776" s="48"/>
      <c r="AM4776" s="48"/>
      <c r="AN4776" s="48"/>
      <c r="AO4776" s="48"/>
      <c r="AP4776" s="48"/>
      <c r="AQ4776" s="48"/>
      <c r="AR4776" s="48"/>
      <c r="AS4776" s="48"/>
      <c r="AT4776" s="48"/>
      <c r="AU4776" s="48"/>
      <c r="AV4776" s="48"/>
      <c r="AW4776" s="48"/>
      <c r="AX4776" s="48"/>
      <c r="AY4776" s="48"/>
      <c r="AZ4776" s="48"/>
      <c r="BA4776" s="48"/>
      <c r="BB4776" s="48"/>
      <c r="BC4776" s="48"/>
      <c r="BD4776" s="48"/>
    </row>
    <row r="4777" spans="1:56">
      <c r="A4777" s="48"/>
      <c r="B4777" s="48"/>
      <c r="C4777" s="49"/>
      <c r="D4777" s="48"/>
      <c r="E4777" s="48"/>
      <c r="F4777" s="48"/>
      <c r="G4777" s="48"/>
      <c r="H4777" s="48"/>
      <c r="I4777" s="48"/>
      <c r="J4777" s="86"/>
      <c r="K4777" s="86"/>
      <c r="L4777" s="86"/>
      <c r="M4777" s="86"/>
      <c r="N4777" s="86"/>
      <c r="O4777" s="86"/>
      <c r="P4777" s="86"/>
      <c r="Q4777" s="86"/>
      <c r="R4777" s="86"/>
      <c r="S4777" s="86"/>
      <c r="T4777" s="86"/>
      <c r="U4777" s="86"/>
      <c r="V4777" s="48"/>
      <c r="W4777" s="48"/>
      <c r="X4777" s="48"/>
      <c r="Y4777" s="48"/>
      <c r="Z4777" s="48"/>
      <c r="AA4777" s="48"/>
      <c r="AB4777" s="48"/>
      <c r="AC4777" s="48"/>
      <c r="AD4777" s="48"/>
      <c r="AE4777" s="48"/>
      <c r="AF4777" s="48"/>
      <c r="AG4777" s="48"/>
      <c r="AH4777" s="48"/>
      <c r="AI4777" s="48"/>
      <c r="AJ4777" s="48"/>
      <c r="AK4777" s="48"/>
      <c r="AL4777" s="48"/>
      <c r="AM4777" s="48"/>
      <c r="AN4777" s="48"/>
      <c r="AO4777" s="48"/>
      <c r="AP4777" s="48"/>
      <c r="AQ4777" s="48"/>
      <c r="AR4777" s="48"/>
      <c r="AS4777" s="48"/>
      <c r="AT4777" s="48"/>
      <c r="AU4777" s="48"/>
      <c r="AV4777" s="48"/>
      <c r="AW4777" s="48"/>
      <c r="AX4777" s="48"/>
      <c r="AY4777" s="48"/>
      <c r="AZ4777" s="48"/>
      <c r="BA4777" s="48"/>
      <c r="BB4777" s="48"/>
      <c r="BC4777" s="48"/>
      <c r="BD4777" s="48"/>
    </row>
    <row r="4778" spans="1:56">
      <c r="A4778" s="48"/>
      <c r="B4778" s="48"/>
      <c r="C4778" s="49"/>
      <c r="D4778" s="48"/>
      <c r="E4778" s="48"/>
      <c r="F4778" s="48"/>
      <c r="G4778" s="48"/>
      <c r="H4778" s="48"/>
      <c r="I4778" s="48"/>
      <c r="J4778" s="86"/>
      <c r="K4778" s="86"/>
      <c r="L4778" s="86"/>
      <c r="M4778" s="86"/>
      <c r="N4778" s="86"/>
      <c r="O4778" s="86"/>
      <c r="P4778" s="86"/>
      <c r="Q4778" s="86"/>
      <c r="R4778" s="86"/>
      <c r="S4778" s="86"/>
      <c r="T4778" s="86"/>
      <c r="U4778" s="86"/>
      <c r="V4778" s="48"/>
      <c r="W4778" s="48"/>
      <c r="X4778" s="48"/>
      <c r="Y4778" s="48"/>
      <c r="Z4778" s="48"/>
      <c r="AA4778" s="48"/>
      <c r="AB4778" s="48"/>
      <c r="AC4778" s="48"/>
      <c r="AD4778" s="48"/>
      <c r="AE4778" s="48"/>
      <c r="AF4778" s="48"/>
      <c r="AG4778" s="48"/>
      <c r="AH4778" s="48"/>
      <c r="AI4778" s="48"/>
      <c r="AJ4778" s="48"/>
      <c r="AK4778" s="48"/>
      <c r="AL4778" s="48"/>
      <c r="AM4778" s="48"/>
      <c r="AN4778" s="48"/>
      <c r="AO4778" s="48"/>
      <c r="AP4778" s="48"/>
      <c r="AQ4778" s="48"/>
      <c r="AR4778" s="48"/>
      <c r="AS4778" s="48"/>
      <c r="AT4778" s="48"/>
      <c r="AU4778" s="48"/>
      <c r="AV4778" s="48"/>
      <c r="AW4778" s="48"/>
      <c r="AX4778" s="48"/>
      <c r="AY4778" s="48"/>
      <c r="AZ4778" s="48"/>
      <c r="BA4778" s="48"/>
      <c r="BB4778" s="48"/>
      <c r="BC4778" s="48"/>
      <c r="BD4778" s="48"/>
    </row>
    <row r="4779" spans="1:56">
      <c r="A4779" s="48"/>
      <c r="B4779" s="48"/>
      <c r="C4779" s="49"/>
      <c r="D4779" s="48"/>
      <c r="E4779" s="48"/>
      <c r="F4779" s="48"/>
      <c r="G4779" s="48"/>
      <c r="H4779" s="48"/>
      <c r="I4779" s="48"/>
      <c r="J4779" s="86"/>
      <c r="K4779" s="86"/>
      <c r="L4779" s="86"/>
      <c r="M4779" s="86"/>
      <c r="N4779" s="86"/>
      <c r="O4779" s="86"/>
      <c r="P4779" s="86"/>
      <c r="Q4779" s="86"/>
      <c r="R4779" s="86"/>
      <c r="S4779" s="86"/>
      <c r="T4779" s="86"/>
      <c r="U4779" s="86"/>
      <c r="V4779" s="48"/>
      <c r="W4779" s="48"/>
      <c r="X4779" s="48"/>
      <c r="Y4779" s="48"/>
      <c r="Z4779" s="48"/>
      <c r="AA4779" s="48"/>
      <c r="AB4779" s="48"/>
      <c r="AC4779" s="48"/>
      <c r="AD4779" s="48"/>
      <c r="AE4779" s="48"/>
      <c r="AF4779" s="48"/>
      <c r="AG4779" s="48"/>
      <c r="AH4779" s="48"/>
      <c r="AI4779" s="48"/>
      <c r="AJ4779" s="48"/>
      <c r="AK4779" s="48"/>
      <c r="AL4779" s="48"/>
      <c r="AM4779" s="48"/>
      <c r="AN4779" s="48"/>
      <c r="AO4779" s="48"/>
      <c r="AP4779" s="48"/>
      <c r="AQ4779" s="48"/>
      <c r="AR4779" s="48"/>
      <c r="AS4779" s="48"/>
      <c r="AT4779" s="48"/>
      <c r="AU4779" s="48"/>
      <c r="AV4779" s="48"/>
      <c r="AW4779" s="48"/>
      <c r="AX4779" s="48"/>
      <c r="AY4779" s="48"/>
      <c r="AZ4779" s="48"/>
      <c r="BA4779" s="48"/>
      <c r="BB4779" s="48"/>
      <c r="BC4779" s="48"/>
      <c r="BD4779" s="48"/>
    </row>
    <row r="4780" spans="1:56">
      <c r="A4780" s="48"/>
      <c r="B4780" s="48"/>
      <c r="C4780" s="49"/>
      <c r="D4780" s="48"/>
      <c r="E4780" s="48"/>
      <c r="F4780" s="48"/>
      <c r="G4780" s="48"/>
      <c r="H4780" s="48"/>
      <c r="I4780" s="48"/>
      <c r="J4780" s="86"/>
      <c r="K4780" s="86"/>
      <c r="L4780" s="86"/>
      <c r="M4780" s="86"/>
      <c r="N4780" s="86"/>
      <c r="O4780" s="86"/>
      <c r="P4780" s="86"/>
      <c r="Q4780" s="86"/>
      <c r="R4780" s="86"/>
      <c r="S4780" s="86"/>
      <c r="T4780" s="86"/>
      <c r="U4780" s="86"/>
      <c r="V4780" s="48"/>
      <c r="W4780" s="48"/>
      <c r="X4780" s="48"/>
      <c r="Y4780" s="48"/>
      <c r="Z4780" s="48"/>
      <c r="AA4780" s="48"/>
      <c r="AB4780" s="48"/>
      <c r="AC4780" s="48"/>
      <c r="AD4780" s="48"/>
      <c r="AE4780" s="48"/>
      <c r="AF4780" s="48"/>
      <c r="AG4780" s="48"/>
      <c r="AH4780" s="48"/>
      <c r="AI4780" s="48"/>
      <c r="AJ4780" s="48"/>
      <c r="AK4780" s="48"/>
      <c r="AL4780" s="48"/>
      <c r="AM4780" s="48"/>
      <c r="AN4780" s="48"/>
      <c r="AO4780" s="48"/>
      <c r="AP4780" s="48"/>
      <c r="AQ4780" s="48"/>
      <c r="AR4780" s="48"/>
      <c r="AS4780" s="48"/>
      <c r="AT4780" s="48"/>
      <c r="AU4780" s="48"/>
      <c r="AV4780" s="48"/>
      <c r="AW4780" s="48"/>
      <c r="AX4780" s="48"/>
      <c r="AY4780" s="48"/>
      <c r="AZ4780" s="48"/>
      <c r="BA4780" s="48"/>
      <c r="BB4780" s="48"/>
      <c r="BC4780" s="48"/>
      <c r="BD4780" s="48"/>
    </row>
    <row r="4781" spans="1:56">
      <c r="A4781" s="48"/>
      <c r="B4781" s="48"/>
      <c r="C4781" s="49"/>
      <c r="D4781" s="48"/>
      <c r="E4781" s="48"/>
      <c r="F4781" s="48"/>
      <c r="G4781" s="48"/>
      <c r="H4781" s="48"/>
      <c r="I4781" s="48"/>
      <c r="J4781" s="86"/>
      <c r="K4781" s="86"/>
      <c r="L4781" s="86"/>
      <c r="M4781" s="86"/>
      <c r="N4781" s="86"/>
      <c r="O4781" s="86"/>
      <c r="P4781" s="86"/>
      <c r="Q4781" s="86"/>
      <c r="R4781" s="86"/>
      <c r="S4781" s="86"/>
      <c r="T4781" s="86"/>
      <c r="U4781" s="86"/>
      <c r="V4781" s="48"/>
      <c r="W4781" s="48"/>
      <c r="X4781" s="48"/>
      <c r="Y4781" s="48"/>
      <c r="Z4781" s="48"/>
      <c r="AA4781" s="48"/>
      <c r="AB4781" s="48"/>
      <c r="AC4781" s="48"/>
      <c r="AD4781" s="48"/>
      <c r="AE4781" s="48"/>
      <c r="AF4781" s="48"/>
      <c r="AG4781" s="48"/>
      <c r="AH4781" s="48"/>
      <c r="AI4781" s="48"/>
      <c r="AJ4781" s="48"/>
      <c r="AK4781" s="48"/>
      <c r="AL4781" s="48"/>
      <c r="AM4781" s="48"/>
      <c r="AN4781" s="48"/>
      <c r="AO4781" s="48"/>
      <c r="AP4781" s="48"/>
      <c r="AQ4781" s="48"/>
      <c r="AR4781" s="48"/>
      <c r="AS4781" s="48"/>
      <c r="AT4781" s="48"/>
      <c r="AU4781" s="48"/>
      <c r="AV4781" s="48"/>
      <c r="AW4781" s="48"/>
      <c r="AX4781" s="48"/>
      <c r="AY4781" s="48"/>
      <c r="AZ4781" s="48"/>
      <c r="BA4781" s="48"/>
      <c r="BB4781" s="48"/>
      <c r="BC4781" s="48"/>
      <c r="BD4781" s="48"/>
    </row>
    <row r="4782" spans="1:56">
      <c r="A4782" s="48"/>
      <c r="B4782" s="48"/>
      <c r="C4782" s="49"/>
      <c r="D4782" s="48"/>
      <c r="E4782" s="48"/>
      <c r="F4782" s="48"/>
      <c r="G4782" s="48"/>
      <c r="H4782" s="48"/>
      <c r="I4782" s="48"/>
      <c r="J4782" s="86"/>
      <c r="K4782" s="86"/>
      <c r="L4782" s="86"/>
      <c r="M4782" s="86"/>
      <c r="N4782" s="86"/>
      <c r="O4782" s="86"/>
      <c r="P4782" s="86"/>
      <c r="Q4782" s="86"/>
      <c r="R4782" s="86"/>
      <c r="S4782" s="86"/>
      <c r="T4782" s="86"/>
      <c r="U4782" s="86"/>
      <c r="V4782" s="48"/>
      <c r="W4782" s="48"/>
      <c r="X4782" s="48"/>
      <c r="Y4782" s="48"/>
      <c r="Z4782" s="48"/>
      <c r="AA4782" s="48"/>
      <c r="AB4782" s="48"/>
      <c r="AC4782" s="48"/>
      <c r="AD4782" s="48"/>
      <c r="AE4782" s="48"/>
      <c r="AF4782" s="48"/>
      <c r="AG4782" s="48"/>
      <c r="AH4782" s="48"/>
      <c r="AI4782" s="48"/>
      <c r="AJ4782" s="48"/>
      <c r="AK4782" s="48"/>
      <c r="AL4782" s="48"/>
      <c r="AM4782" s="48"/>
      <c r="AN4782" s="48"/>
      <c r="AO4782" s="48"/>
      <c r="AP4782" s="48"/>
      <c r="AQ4782" s="48"/>
      <c r="AR4782" s="48"/>
      <c r="AS4782" s="48"/>
      <c r="AT4782" s="48"/>
      <c r="AU4782" s="48"/>
      <c r="AV4782" s="48"/>
      <c r="AW4782" s="48"/>
      <c r="AX4782" s="48"/>
      <c r="AY4782" s="48"/>
      <c r="AZ4782" s="48"/>
      <c r="BA4782" s="48"/>
      <c r="BB4782" s="48"/>
      <c r="BC4782" s="48"/>
      <c r="BD4782" s="48"/>
    </row>
    <row r="4783" spans="1:56">
      <c r="A4783" s="48"/>
      <c r="B4783" s="48"/>
      <c r="C4783" s="49"/>
      <c r="D4783" s="48"/>
      <c r="E4783" s="48"/>
      <c r="F4783" s="48"/>
      <c r="G4783" s="48"/>
      <c r="H4783" s="48"/>
      <c r="I4783" s="48"/>
      <c r="J4783" s="86"/>
      <c r="K4783" s="86"/>
      <c r="L4783" s="86"/>
      <c r="M4783" s="86"/>
      <c r="N4783" s="86"/>
      <c r="O4783" s="86"/>
      <c r="P4783" s="86"/>
      <c r="Q4783" s="86"/>
      <c r="R4783" s="86"/>
      <c r="S4783" s="86"/>
      <c r="T4783" s="86"/>
      <c r="U4783" s="86"/>
      <c r="V4783" s="48"/>
      <c r="W4783" s="48"/>
      <c r="X4783" s="48"/>
      <c r="Y4783" s="48"/>
      <c r="Z4783" s="48"/>
      <c r="AA4783" s="48"/>
      <c r="AB4783" s="48"/>
      <c r="AC4783" s="48"/>
      <c r="AD4783" s="48"/>
      <c r="AE4783" s="48"/>
      <c r="AF4783" s="48"/>
      <c r="AG4783" s="48"/>
      <c r="AH4783" s="48"/>
      <c r="AI4783" s="48"/>
      <c r="AJ4783" s="48"/>
      <c r="AK4783" s="48"/>
      <c r="AL4783" s="48"/>
      <c r="AM4783" s="48"/>
      <c r="AN4783" s="48"/>
      <c r="AO4783" s="48"/>
      <c r="AP4783" s="48"/>
      <c r="AQ4783" s="48"/>
      <c r="AR4783" s="48"/>
      <c r="AS4783" s="48"/>
      <c r="AT4783" s="48"/>
      <c r="AU4783" s="48"/>
      <c r="AV4783" s="48"/>
      <c r="AW4783" s="48"/>
      <c r="AX4783" s="48"/>
      <c r="AY4783" s="48"/>
      <c r="AZ4783" s="48"/>
      <c r="BA4783" s="48"/>
      <c r="BB4783" s="48"/>
      <c r="BC4783" s="48"/>
      <c r="BD4783" s="48"/>
    </row>
    <row r="4784" spans="1:56">
      <c r="A4784" s="48"/>
      <c r="B4784" s="48"/>
      <c r="C4784" s="49"/>
      <c r="D4784" s="48"/>
      <c r="E4784" s="48"/>
      <c r="F4784" s="48"/>
      <c r="G4784" s="48"/>
      <c r="H4784" s="48"/>
      <c r="I4784" s="48"/>
      <c r="J4784" s="86"/>
      <c r="K4784" s="86"/>
      <c r="L4784" s="86"/>
      <c r="M4784" s="86"/>
      <c r="N4784" s="86"/>
      <c r="O4784" s="86"/>
      <c r="P4784" s="86"/>
      <c r="Q4784" s="86"/>
      <c r="R4784" s="86"/>
      <c r="S4784" s="86"/>
      <c r="T4784" s="86"/>
      <c r="U4784" s="86"/>
      <c r="V4784" s="48"/>
      <c r="W4784" s="48"/>
      <c r="X4784" s="48"/>
      <c r="Y4784" s="48"/>
      <c r="Z4784" s="48"/>
      <c r="AA4784" s="48"/>
      <c r="AB4784" s="48"/>
      <c r="AC4784" s="48"/>
      <c r="AD4784" s="48"/>
      <c r="AE4784" s="48"/>
      <c r="AF4784" s="48"/>
      <c r="AG4784" s="48"/>
      <c r="AH4784" s="48"/>
      <c r="AI4784" s="48"/>
      <c r="AJ4784" s="48"/>
      <c r="AK4784" s="48"/>
      <c r="AL4784" s="48"/>
      <c r="AM4784" s="48"/>
      <c r="AN4784" s="48"/>
      <c r="AO4784" s="48"/>
      <c r="AP4784" s="48"/>
      <c r="AQ4784" s="48"/>
      <c r="AR4784" s="48"/>
      <c r="AS4784" s="48"/>
      <c r="AT4784" s="48"/>
      <c r="AU4784" s="48"/>
      <c r="AV4784" s="48"/>
      <c r="AW4784" s="48"/>
      <c r="AX4784" s="48"/>
      <c r="AY4784" s="48"/>
      <c r="AZ4784" s="48"/>
      <c r="BA4784" s="48"/>
      <c r="BB4784" s="48"/>
      <c r="BC4784" s="48"/>
      <c r="BD4784" s="48"/>
    </row>
    <row r="4785" spans="1:56">
      <c r="A4785" s="48"/>
      <c r="B4785" s="48"/>
      <c r="C4785" s="49"/>
      <c r="D4785" s="48"/>
      <c r="E4785" s="48"/>
      <c r="F4785" s="48"/>
      <c r="G4785" s="48"/>
      <c r="H4785" s="48"/>
      <c r="I4785" s="48"/>
      <c r="J4785" s="86"/>
      <c r="K4785" s="86"/>
      <c r="L4785" s="86"/>
      <c r="M4785" s="86"/>
      <c r="N4785" s="86"/>
      <c r="O4785" s="86"/>
      <c r="P4785" s="86"/>
      <c r="Q4785" s="86"/>
      <c r="R4785" s="86"/>
      <c r="S4785" s="86"/>
      <c r="T4785" s="86"/>
      <c r="U4785" s="86"/>
      <c r="V4785" s="48"/>
      <c r="W4785" s="48"/>
      <c r="X4785" s="48"/>
      <c r="Y4785" s="48"/>
      <c r="Z4785" s="48"/>
      <c r="AA4785" s="48"/>
      <c r="AB4785" s="48"/>
      <c r="AC4785" s="48"/>
      <c r="AD4785" s="48"/>
      <c r="AE4785" s="48"/>
      <c r="AF4785" s="48"/>
      <c r="AG4785" s="48"/>
      <c r="AH4785" s="48"/>
      <c r="AI4785" s="48"/>
      <c r="AJ4785" s="48"/>
      <c r="AK4785" s="48"/>
      <c r="AL4785" s="48"/>
      <c r="AM4785" s="48"/>
      <c r="AN4785" s="48"/>
      <c r="AO4785" s="48"/>
      <c r="AP4785" s="48"/>
      <c r="AQ4785" s="48"/>
      <c r="AR4785" s="48"/>
      <c r="AS4785" s="48"/>
      <c r="AT4785" s="48"/>
      <c r="AU4785" s="48"/>
      <c r="AV4785" s="48"/>
      <c r="AW4785" s="48"/>
      <c r="AX4785" s="48"/>
      <c r="AY4785" s="48"/>
      <c r="AZ4785" s="48"/>
      <c r="BA4785" s="48"/>
      <c r="BB4785" s="48"/>
      <c r="BC4785" s="48"/>
      <c r="BD4785" s="48"/>
    </row>
    <row r="4786" spans="1:56">
      <c r="A4786" s="48"/>
      <c r="B4786" s="48"/>
      <c r="C4786" s="49"/>
      <c r="D4786" s="48"/>
      <c r="E4786" s="48"/>
      <c r="F4786" s="48"/>
      <c r="G4786" s="48"/>
      <c r="H4786" s="48"/>
      <c r="I4786" s="48"/>
      <c r="J4786" s="86"/>
      <c r="K4786" s="86"/>
      <c r="L4786" s="86"/>
      <c r="M4786" s="86"/>
      <c r="N4786" s="86"/>
      <c r="O4786" s="86"/>
      <c r="P4786" s="86"/>
      <c r="Q4786" s="86"/>
      <c r="R4786" s="86"/>
      <c r="S4786" s="86"/>
      <c r="T4786" s="86"/>
      <c r="U4786" s="86"/>
      <c r="V4786" s="48"/>
      <c r="W4786" s="48"/>
      <c r="X4786" s="48"/>
      <c r="Y4786" s="48"/>
      <c r="Z4786" s="48"/>
      <c r="AA4786" s="48"/>
      <c r="AB4786" s="48"/>
      <c r="AC4786" s="48"/>
      <c r="AD4786" s="48"/>
      <c r="AE4786" s="48"/>
      <c r="AF4786" s="48"/>
      <c r="AG4786" s="48"/>
      <c r="AH4786" s="48"/>
      <c r="AI4786" s="48"/>
      <c r="AJ4786" s="48"/>
      <c r="AK4786" s="48"/>
      <c r="AL4786" s="48"/>
      <c r="AM4786" s="48"/>
      <c r="AN4786" s="48"/>
      <c r="AO4786" s="48"/>
      <c r="AP4786" s="48"/>
      <c r="AQ4786" s="48"/>
      <c r="AR4786" s="48"/>
      <c r="AS4786" s="48"/>
      <c r="AT4786" s="48"/>
      <c r="AU4786" s="48"/>
      <c r="AV4786" s="48"/>
      <c r="AW4786" s="48"/>
      <c r="AX4786" s="48"/>
      <c r="AY4786" s="48"/>
      <c r="AZ4786" s="48"/>
      <c r="BA4786" s="48"/>
      <c r="BB4786" s="48"/>
      <c r="BC4786" s="48"/>
      <c r="BD4786" s="48"/>
    </row>
    <row r="4787" spans="1:56">
      <c r="A4787" s="48"/>
      <c r="B4787" s="48"/>
      <c r="C4787" s="49"/>
      <c r="D4787" s="48"/>
      <c r="E4787" s="48"/>
      <c r="F4787" s="48"/>
      <c r="G4787" s="48"/>
      <c r="H4787" s="48"/>
      <c r="I4787" s="48"/>
      <c r="J4787" s="86"/>
      <c r="K4787" s="86"/>
      <c r="L4787" s="86"/>
      <c r="M4787" s="86"/>
      <c r="N4787" s="86"/>
      <c r="O4787" s="86"/>
      <c r="P4787" s="86"/>
      <c r="Q4787" s="86"/>
      <c r="R4787" s="86"/>
      <c r="S4787" s="86"/>
      <c r="T4787" s="86"/>
      <c r="U4787" s="86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48"/>
      <c r="BB4787" s="48"/>
      <c r="BC4787" s="48"/>
      <c r="BD4787" s="48"/>
    </row>
    <row r="4788" spans="1:56">
      <c r="A4788" s="48"/>
      <c r="B4788" s="48"/>
      <c r="C4788" s="49"/>
      <c r="D4788" s="48"/>
      <c r="E4788" s="48"/>
      <c r="F4788" s="48"/>
      <c r="G4788" s="48"/>
      <c r="H4788" s="48"/>
      <c r="I4788" s="48"/>
      <c r="J4788" s="86"/>
      <c r="K4788" s="86"/>
      <c r="L4788" s="86"/>
      <c r="M4788" s="86"/>
      <c r="N4788" s="86"/>
      <c r="O4788" s="86"/>
      <c r="P4788" s="86"/>
      <c r="Q4788" s="86"/>
      <c r="R4788" s="86"/>
      <c r="S4788" s="86"/>
      <c r="T4788" s="86"/>
      <c r="U4788" s="86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48"/>
      <c r="BB4788" s="48"/>
      <c r="BC4788" s="48"/>
      <c r="BD4788" s="48"/>
    </row>
    <row r="4789" spans="1:56">
      <c r="A4789" s="48"/>
      <c r="B4789" s="48"/>
      <c r="C4789" s="49"/>
      <c r="D4789" s="48"/>
      <c r="E4789" s="48"/>
      <c r="F4789" s="48"/>
      <c r="G4789" s="48"/>
      <c r="H4789" s="48"/>
      <c r="I4789" s="48"/>
      <c r="J4789" s="86"/>
      <c r="K4789" s="86"/>
      <c r="L4789" s="86"/>
      <c r="M4789" s="86"/>
      <c r="N4789" s="86"/>
      <c r="O4789" s="86"/>
      <c r="P4789" s="86"/>
      <c r="Q4789" s="86"/>
      <c r="R4789" s="86"/>
      <c r="S4789" s="86"/>
      <c r="T4789" s="86"/>
      <c r="U4789" s="86"/>
      <c r="V4789" s="48"/>
      <c r="W4789" s="48"/>
      <c r="X4789" s="48"/>
      <c r="Y4789" s="48"/>
      <c r="Z4789" s="48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48"/>
      <c r="BB4789" s="48"/>
      <c r="BC4789" s="48"/>
      <c r="BD4789" s="48"/>
    </row>
    <row r="4790" spans="1:56">
      <c r="A4790" s="48"/>
      <c r="B4790" s="48"/>
      <c r="C4790" s="49"/>
      <c r="D4790" s="48"/>
      <c r="E4790" s="48"/>
      <c r="F4790" s="48"/>
      <c r="G4790" s="48"/>
      <c r="H4790" s="48"/>
      <c r="I4790" s="48"/>
      <c r="J4790" s="86"/>
      <c r="K4790" s="86"/>
      <c r="L4790" s="86"/>
      <c r="M4790" s="86"/>
      <c r="N4790" s="86"/>
      <c r="O4790" s="86"/>
      <c r="P4790" s="86"/>
      <c r="Q4790" s="86"/>
      <c r="R4790" s="86"/>
      <c r="S4790" s="86"/>
      <c r="T4790" s="86"/>
      <c r="U4790" s="86"/>
      <c r="V4790" s="48"/>
      <c r="W4790" s="48"/>
      <c r="X4790" s="48"/>
      <c r="Y4790" s="48"/>
      <c r="Z4790" s="48"/>
      <c r="AA4790" s="48"/>
      <c r="AB4790" s="48"/>
      <c r="AC4790" s="48"/>
      <c r="AD4790" s="48"/>
      <c r="AE4790" s="48"/>
      <c r="AF4790" s="48"/>
      <c r="AG4790" s="48"/>
      <c r="AH4790" s="48"/>
      <c r="AI4790" s="48"/>
      <c r="AJ4790" s="48"/>
      <c r="AK4790" s="48"/>
      <c r="AL4790" s="48"/>
      <c r="AM4790" s="48"/>
      <c r="AN4790" s="48"/>
      <c r="AO4790" s="48"/>
      <c r="AP4790" s="48"/>
      <c r="AQ4790" s="48"/>
      <c r="AR4790" s="48"/>
      <c r="AS4790" s="48"/>
      <c r="AT4790" s="48"/>
      <c r="AU4790" s="48"/>
      <c r="AV4790" s="48"/>
      <c r="AW4790" s="48"/>
      <c r="AX4790" s="48"/>
      <c r="AY4790" s="48"/>
      <c r="AZ4790" s="48"/>
      <c r="BA4790" s="48"/>
      <c r="BB4790" s="48"/>
      <c r="BC4790" s="48"/>
      <c r="BD4790" s="48"/>
    </row>
    <row r="4791" spans="1:56">
      <c r="A4791" s="48"/>
      <c r="B4791" s="48"/>
      <c r="C4791" s="49"/>
      <c r="D4791" s="48"/>
      <c r="E4791" s="48"/>
      <c r="F4791" s="48"/>
      <c r="G4791" s="48"/>
      <c r="H4791" s="48"/>
      <c r="I4791" s="48"/>
      <c r="J4791" s="86"/>
      <c r="K4791" s="86"/>
      <c r="L4791" s="86"/>
      <c r="M4791" s="86"/>
      <c r="N4791" s="86"/>
      <c r="O4791" s="86"/>
      <c r="P4791" s="86"/>
      <c r="Q4791" s="86"/>
      <c r="R4791" s="86"/>
      <c r="S4791" s="86"/>
      <c r="T4791" s="86"/>
      <c r="U4791" s="86"/>
      <c r="V4791" s="48"/>
      <c r="W4791" s="48"/>
      <c r="X4791" s="48"/>
      <c r="Y4791" s="48"/>
      <c r="Z4791" s="48"/>
      <c r="AA4791" s="48"/>
      <c r="AB4791" s="48"/>
      <c r="AC4791" s="48"/>
      <c r="AD4791" s="48"/>
      <c r="AE4791" s="48"/>
      <c r="AF4791" s="48"/>
      <c r="AG4791" s="48"/>
      <c r="AH4791" s="48"/>
      <c r="AI4791" s="48"/>
      <c r="AJ4791" s="48"/>
      <c r="AK4791" s="48"/>
      <c r="AL4791" s="48"/>
      <c r="AM4791" s="48"/>
      <c r="AN4791" s="48"/>
      <c r="AO4791" s="48"/>
      <c r="AP4791" s="48"/>
      <c r="AQ4791" s="48"/>
      <c r="AR4791" s="48"/>
      <c r="AS4791" s="48"/>
      <c r="AT4791" s="48"/>
      <c r="AU4791" s="48"/>
      <c r="AV4791" s="48"/>
      <c r="AW4791" s="48"/>
      <c r="AX4791" s="48"/>
      <c r="AY4791" s="48"/>
      <c r="AZ4791" s="48"/>
      <c r="BA4791" s="48"/>
      <c r="BB4791" s="48"/>
      <c r="BC4791" s="48"/>
      <c r="BD4791" s="48"/>
    </row>
    <row r="4792" spans="1:56">
      <c r="A4792" s="48"/>
      <c r="B4792" s="48"/>
      <c r="C4792" s="49"/>
      <c r="D4792" s="48"/>
      <c r="E4792" s="48"/>
      <c r="F4792" s="48"/>
      <c r="G4792" s="48"/>
      <c r="H4792" s="48"/>
      <c r="I4792" s="48"/>
      <c r="J4792" s="86"/>
      <c r="K4792" s="86"/>
      <c r="L4792" s="86"/>
      <c r="M4792" s="86"/>
      <c r="N4792" s="86"/>
      <c r="O4792" s="86"/>
      <c r="P4792" s="86"/>
      <c r="Q4792" s="86"/>
      <c r="R4792" s="86"/>
      <c r="S4792" s="86"/>
      <c r="T4792" s="86"/>
      <c r="U4792" s="86"/>
      <c r="V4792" s="48"/>
      <c r="W4792" s="48"/>
      <c r="X4792" s="48"/>
      <c r="Y4792" s="48"/>
      <c r="Z4792" s="48"/>
      <c r="AA4792" s="48"/>
      <c r="AB4792" s="48"/>
      <c r="AC4792" s="48"/>
      <c r="AD4792" s="48"/>
      <c r="AE4792" s="48"/>
      <c r="AF4792" s="48"/>
      <c r="AG4792" s="48"/>
      <c r="AH4792" s="48"/>
      <c r="AI4792" s="48"/>
      <c r="AJ4792" s="48"/>
      <c r="AK4792" s="48"/>
      <c r="AL4792" s="48"/>
      <c r="AM4792" s="48"/>
      <c r="AN4792" s="48"/>
      <c r="AO4792" s="48"/>
      <c r="AP4792" s="48"/>
      <c r="AQ4792" s="48"/>
      <c r="AR4792" s="48"/>
      <c r="AS4792" s="48"/>
      <c r="AT4792" s="48"/>
      <c r="AU4792" s="48"/>
      <c r="AV4792" s="48"/>
      <c r="AW4792" s="48"/>
      <c r="AX4792" s="48"/>
      <c r="AY4792" s="48"/>
      <c r="AZ4792" s="48"/>
      <c r="BA4792" s="48"/>
      <c r="BB4792" s="48"/>
      <c r="BC4792" s="48"/>
      <c r="BD4792" s="48"/>
    </row>
    <row r="4793" spans="1:56">
      <c r="A4793" s="48"/>
      <c r="B4793" s="48"/>
      <c r="C4793" s="49"/>
      <c r="D4793" s="48"/>
      <c r="E4793" s="48"/>
      <c r="F4793" s="48"/>
      <c r="G4793" s="48"/>
      <c r="H4793" s="48"/>
      <c r="I4793" s="48"/>
      <c r="J4793" s="86"/>
      <c r="K4793" s="86"/>
      <c r="L4793" s="86"/>
      <c r="M4793" s="86"/>
      <c r="N4793" s="86"/>
      <c r="O4793" s="86"/>
      <c r="P4793" s="86"/>
      <c r="Q4793" s="86"/>
      <c r="R4793" s="86"/>
      <c r="S4793" s="86"/>
      <c r="T4793" s="86"/>
      <c r="U4793" s="86"/>
      <c r="V4793" s="48"/>
      <c r="W4793" s="48"/>
      <c r="X4793" s="48"/>
      <c r="Y4793" s="48"/>
      <c r="Z4793" s="48"/>
      <c r="AA4793" s="48"/>
      <c r="AB4793" s="48"/>
      <c r="AC4793" s="48"/>
      <c r="AD4793" s="48"/>
      <c r="AE4793" s="48"/>
      <c r="AF4793" s="48"/>
      <c r="AG4793" s="48"/>
      <c r="AH4793" s="48"/>
      <c r="AI4793" s="48"/>
      <c r="AJ4793" s="48"/>
      <c r="AK4793" s="48"/>
      <c r="AL4793" s="48"/>
      <c r="AM4793" s="48"/>
      <c r="AN4793" s="48"/>
      <c r="AO4793" s="48"/>
      <c r="AP4793" s="48"/>
      <c r="AQ4793" s="48"/>
      <c r="AR4793" s="48"/>
      <c r="AS4793" s="48"/>
      <c r="AT4793" s="48"/>
      <c r="AU4793" s="48"/>
      <c r="AV4793" s="48"/>
      <c r="AW4793" s="48"/>
      <c r="AX4793" s="48"/>
      <c r="AY4793" s="48"/>
      <c r="AZ4793" s="48"/>
      <c r="BA4793" s="48"/>
      <c r="BB4793" s="48"/>
      <c r="BC4793" s="48"/>
      <c r="BD4793" s="48"/>
    </row>
    <row r="4794" spans="1:56">
      <c r="A4794" s="48"/>
      <c r="B4794" s="48"/>
      <c r="C4794" s="49"/>
      <c r="D4794" s="48"/>
      <c r="E4794" s="48"/>
      <c r="F4794" s="48"/>
      <c r="G4794" s="48"/>
      <c r="H4794" s="48"/>
      <c r="I4794" s="48"/>
      <c r="J4794" s="86"/>
      <c r="K4794" s="86"/>
      <c r="L4794" s="86"/>
      <c r="M4794" s="86"/>
      <c r="N4794" s="86"/>
      <c r="O4794" s="86"/>
      <c r="P4794" s="86"/>
      <c r="Q4794" s="86"/>
      <c r="R4794" s="86"/>
      <c r="S4794" s="86"/>
      <c r="T4794" s="86"/>
      <c r="U4794" s="86"/>
      <c r="V4794" s="48"/>
      <c r="W4794" s="48"/>
      <c r="X4794" s="48"/>
      <c r="Y4794" s="48"/>
      <c r="Z4794" s="48"/>
      <c r="AA4794" s="48"/>
      <c r="AB4794" s="48"/>
      <c r="AC4794" s="48"/>
      <c r="AD4794" s="48"/>
      <c r="AE4794" s="48"/>
      <c r="AF4794" s="48"/>
      <c r="AG4794" s="48"/>
      <c r="AH4794" s="48"/>
      <c r="AI4794" s="48"/>
      <c r="AJ4794" s="48"/>
      <c r="AK4794" s="48"/>
      <c r="AL4794" s="48"/>
      <c r="AM4794" s="48"/>
      <c r="AN4794" s="48"/>
      <c r="AO4794" s="48"/>
      <c r="AP4794" s="48"/>
      <c r="AQ4794" s="48"/>
      <c r="AR4794" s="48"/>
      <c r="AS4794" s="48"/>
      <c r="AT4794" s="48"/>
      <c r="AU4794" s="48"/>
      <c r="AV4794" s="48"/>
      <c r="AW4794" s="48"/>
      <c r="AX4794" s="48"/>
      <c r="AY4794" s="48"/>
      <c r="AZ4794" s="48"/>
      <c r="BA4794" s="48"/>
      <c r="BB4794" s="48"/>
      <c r="BC4794" s="48"/>
      <c r="BD4794" s="48"/>
    </row>
    <row r="4795" spans="1:56">
      <c r="A4795" s="48"/>
      <c r="B4795" s="48"/>
      <c r="C4795" s="49"/>
      <c r="D4795" s="48"/>
      <c r="E4795" s="48"/>
      <c r="F4795" s="48"/>
      <c r="G4795" s="48"/>
      <c r="H4795" s="48"/>
      <c r="I4795" s="48"/>
      <c r="J4795" s="86"/>
      <c r="K4795" s="86"/>
      <c r="L4795" s="86"/>
      <c r="M4795" s="86"/>
      <c r="N4795" s="86"/>
      <c r="O4795" s="86"/>
      <c r="P4795" s="86"/>
      <c r="Q4795" s="86"/>
      <c r="R4795" s="86"/>
      <c r="S4795" s="86"/>
      <c r="T4795" s="86"/>
      <c r="U4795" s="86"/>
      <c r="V4795" s="48"/>
      <c r="W4795" s="48"/>
      <c r="X4795" s="48"/>
      <c r="Y4795" s="48"/>
      <c r="Z4795" s="48"/>
      <c r="AA4795" s="48"/>
      <c r="AB4795" s="48"/>
      <c r="AC4795" s="48"/>
      <c r="AD4795" s="48"/>
      <c r="AE4795" s="48"/>
      <c r="AF4795" s="48"/>
      <c r="AG4795" s="48"/>
      <c r="AH4795" s="48"/>
      <c r="AI4795" s="48"/>
      <c r="AJ4795" s="48"/>
      <c r="AK4795" s="48"/>
      <c r="AL4795" s="48"/>
      <c r="AM4795" s="48"/>
      <c r="AN4795" s="48"/>
      <c r="AO4795" s="48"/>
      <c r="AP4795" s="48"/>
      <c r="AQ4795" s="48"/>
      <c r="AR4795" s="48"/>
      <c r="AS4795" s="48"/>
      <c r="AT4795" s="48"/>
      <c r="AU4795" s="48"/>
      <c r="AV4795" s="48"/>
      <c r="AW4795" s="48"/>
      <c r="AX4795" s="48"/>
      <c r="AY4795" s="48"/>
      <c r="AZ4795" s="48"/>
      <c r="BA4795" s="48"/>
      <c r="BB4795" s="48"/>
      <c r="BC4795" s="48"/>
      <c r="BD4795" s="48"/>
    </row>
    <row r="4796" spans="1:56">
      <c r="A4796" s="48"/>
      <c r="B4796" s="48"/>
      <c r="C4796" s="49"/>
      <c r="D4796" s="48"/>
      <c r="E4796" s="48"/>
      <c r="F4796" s="48"/>
      <c r="G4796" s="48"/>
      <c r="H4796" s="48"/>
      <c r="I4796" s="48"/>
      <c r="J4796" s="86"/>
      <c r="K4796" s="86"/>
      <c r="L4796" s="86"/>
      <c r="M4796" s="86"/>
      <c r="N4796" s="86"/>
      <c r="O4796" s="86"/>
      <c r="P4796" s="86"/>
      <c r="Q4796" s="86"/>
      <c r="R4796" s="86"/>
      <c r="S4796" s="86"/>
      <c r="T4796" s="86"/>
      <c r="U4796" s="86"/>
      <c r="V4796" s="48"/>
      <c r="W4796" s="48"/>
      <c r="X4796" s="48"/>
      <c r="Y4796" s="48"/>
      <c r="Z4796" s="48"/>
      <c r="AA4796" s="48"/>
      <c r="AB4796" s="48"/>
      <c r="AC4796" s="48"/>
      <c r="AD4796" s="48"/>
      <c r="AE4796" s="48"/>
      <c r="AF4796" s="48"/>
      <c r="AG4796" s="48"/>
      <c r="AH4796" s="48"/>
      <c r="AI4796" s="48"/>
      <c r="AJ4796" s="48"/>
      <c r="AK4796" s="48"/>
      <c r="AL4796" s="48"/>
      <c r="AM4796" s="48"/>
      <c r="AN4796" s="48"/>
      <c r="AO4796" s="48"/>
      <c r="AP4796" s="48"/>
      <c r="AQ4796" s="48"/>
      <c r="AR4796" s="48"/>
      <c r="AS4796" s="48"/>
      <c r="AT4796" s="48"/>
      <c r="AU4796" s="48"/>
      <c r="AV4796" s="48"/>
      <c r="AW4796" s="48"/>
      <c r="AX4796" s="48"/>
      <c r="AY4796" s="48"/>
      <c r="AZ4796" s="48"/>
      <c r="BA4796" s="48"/>
      <c r="BB4796" s="48"/>
      <c r="BC4796" s="48"/>
      <c r="BD4796" s="48"/>
    </row>
    <row r="4797" spans="1:56">
      <c r="A4797" s="48"/>
      <c r="B4797" s="48"/>
      <c r="C4797" s="49"/>
      <c r="D4797" s="48"/>
      <c r="E4797" s="48"/>
      <c r="F4797" s="48"/>
      <c r="G4797" s="48"/>
      <c r="H4797" s="48"/>
      <c r="I4797" s="48"/>
      <c r="J4797" s="86"/>
      <c r="K4797" s="86"/>
      <c r="L4797" s="86"/>
      <c r="M4797" s="86"/>
      <c r="N4797" s="86"/>
      <c r="O4797" s="86"/>
      <c r="P4797" s="86"/>
      <c r="Q4797" s="86"/>
      <c r="R4797" s="86"/>
      <c r="S4797" s="86"/>
      <c r="T4797" s="86"/>
      <c r="U4797" s="86"/>
      <c r="V4797" s="48"/>
      <c r="W4797" s="48"/>
      <c r="X4797" s="48"/>
      <c r="Y4797" s="48"/>
      <c r="Z4797" s="48"/>
      <c r="AA4797" s="48"/>
      <c r="AB4797" s="48"/>
      <c r="AC4797" s="48"/>
      <c r="AD4797" s="48"/>
      <c r="AE4797" s="48"/>
      <c r="AF4797" s="48"/>
      <c r="AG4797" s="48"/>
      <c r="AH4797" s="48"/>
      <c r="AI4797" s="48"/>
      <c r="AJ4797" s="48"/>
      <c r="AK4797" s="48"/>
      <c r="AL4797" s="48"/>
      <c r="AM4797" s="48"/>
      <c r="AN4797" s="48"/>
      <c r="AO4797" s="48"/>
      <c r="AP4797" s="48"/>
      <c r="AQ4797" s="48"/>
      <c r="AR4797" s="48"/>
      <c r="AS4797" s="48"/>
      <c r="AT4797" s="48"/>
      <c r="AU4797" s="48"/>
      <c r="AV4797" s="48"/>
      <c r="AW4797" s="48"/>
      <c r="AX4797" s="48"/>
      <c r="AY4797" s="48"/>
      <c r="AZ4797" s="48"/>
      <c r="BA4797" s="48"/>
      <c r="BB4797" s="48"/>
      <c r="BC4797" s="48"/>
      <c r="BD4797" s="48"/>
    </row>
    <row r="4798" spans="1:56">
      <c r="A4798" s="48"/>
      <c r="B4798" s="48"/>
      <c r="C4798" s="49"/>
      <c r="D4798" s="48"/>
      <c r="E4798" s="48"/>
      <c r="F4798" s="48"/>
      <c r="G4798" s="48"/>
      <c r="H4798" s="48"/>
      <c r="I4798" s="48"/>
      <c r="J4798" s="86"/>
      <c r="K4798" s="86"/>
      <c r="L4798" s="86"/>
      <c r="M4798" s="86"/>
      <c r="N4798" s="86"/>
      <c r="O4798" s="86"/>
      <c r="P4798" s="86"/>
      <c r="Q4798" s="86"/>
      <c r="R4798" s="86"/>
      <c r="S4798" s="86"/>
      <c r="T4798" s="86"/>
      <c r="U4798" s="86"/>
      <c r="V4798" s="48"/>
      <c r="W4798" s="48"/>
      <c r="X4798" s="48"/>
      <c r="Y4798" s="48"/>
      <c r="Z4798" s="48"/>
      <c r="AA4798" s="48"/>
      <c r="AB4798" s="48"/>
      <c r="AC4798" s="48"/>
      <c r="AD4798" s="48"/>
      <c r="AE4798" s="48"/>
      <c r="AF4798" s="48"/>
      <c r="AG4798" s="48"/>
      <c r="AH4798" s="48"/>
      <c r="AI4798" s="48"/>
      <c r="AJ4798" s="48"/>
      <c r="AK4798" s="48"/>
      <c r="AL4798" s="48"/>
      <c r="AM4798" s="48"/>
      <c r="AN4798" s="48"/>
      <c r="AO4798" s="48"/>
      <c r="AP4798" s="48"/>
      <c r="AQ4798" s="48"/>
      <c r="AR4798" s="48"/>
      <c r="AS4798" s="48"/>
      <c r="AT4798" s="48"/>
      <c r="AU4798" s="48"/>
      <c r="AV4798" s="48"/>
      <c r="AW4798" s="48"/>
      <c r="AX4798" s="48"/>
      <c r="AY4798" s="48"/>
      <c r="AZ4798" s="48"/>
      <c r="BA4798" s="48"/>
      <c r="BB4798" s="48"/>
      <c r="BC4798" s="48"/>
      <c r="BD4798" s="48"/>
    </row>
    <row r="4799" spans="1:56">
      <c r="A4799" s="48"/>
      <c r="B4799" s="48"/>
      <c r="C4799" s="49"/>
      <c r="D4799" s="48"/>
      <c r="E4799" s="48"/>
      <c r="F4799" s="48"/>
      <c r="G4799" s="48"/>
      <c r="H4799" s="48"/>
      <c r="I4799" s="48"/>
      <c r="J4799" s="86"/>
      <c r="K4799" s="86"/>
      <c r="L4799" s="86"/>
      <c r="M4799" s="86"/>
      <c r="N4799" s="86"/>
      <c r="O4799" s="86"/>
      <c r="P4799" s="86"/>
      <c r="Q4799" s="86"/>
      <c r="R4799" s="86"/>
      <c r="S4799" s="86"/>
      <c r="T4799" s="86"/>
      <c r="U4799" s="86"/>
      <c r="V4799" s="48"/>
      <c r="W4799" s="48"/>
      <c r="X4799" s="48"/>
      <c r="Y4799" s="48"/>
      <c r="Z4799" s="48"/>
      <c r="AA4799" s="48"/>
      <c r="AB4799" s="48"/>
      <c r="AC4799" s="48"/>
      <c r="AD4799" s="48"/>
      <c r="AE4799" s="48"/>
      <c r="AF4799" s="48"/>
      <c r="AG4799" s="48"/>
      <c r="AH4799" s="48"/>
      <c r="AI4799" s="48"/>
      <c r="AJ4799" s="48"/>
      <c r="AK4799" s="48"/>
      <c r="AL4799" s="48"/>
      <c r="AM4799" s="48"/>
      <c r="AN4799" s="48"/>
      <c r="AO4799" s="48"/>
      <c r="AP4799" s="48"/>
      <c r="AQ4799" s="48"/>
      <c r="AR4799" s="48"/>
      <c r="AS4799" s="48"/>
      <c r="AT4799" s="48"/>
      <c r="AU4799" s="48"/>
      <c r="AV4799" s="48"/>
      <c r="AW4799" s="48"/>
      <c r="AX4799" s="48"/>
      <c r="AY4799" s="48"/>
      <c r="AZ4799" s="48"/>
      <c r="BA4799" s="48"/>
      <c r="BB4799" s="48"/>
      <c r="BC4799" s="48"/>
      <c r="BD4799" s="48"/>
    </row>
    <row r="4800" spans="1:56">
      <c r="A4800" s="48"/>
      <c r="B4800" s="48"/>
      <c r="C4800" s="49"/>
      <c r="D4800" s="48"/>
      <c r="E4800" s="48"/>
      <c r="F4800" s="48"/>
      <c r="G4800" s="48"/>
      <c r="H4800" s="48"/>
      <c r="I4800" s="48"/>
      <c r="J4800" s="86"/>
      <c r="K4800" s="86"/>
      <c r="L4800" s="86"/>
      <c r="M4800" s="86"/>
      <c r="N4800" s="86"/>
      <c r="O4800" s="86"/>
      <c r="P4800" s="86"/>
      <c r="Q4800" s="86"/>
      <c r="R4800" s="86"/>
      <c r="S4800" s="86"/>
      <c r="T4800" s="86"/>
      <c r="U4800" s="86"/>
      <c r="V4800" s="48"/>
      <c r="W4800" s="48"/>
      <c r="X4800" s="48"/>
      <c r="Y4800" s="48"/>
      <c r="Z4800" s="48"/>
      <c r="AA4800" s="48"/>
      <c r="AB4800" s="48"/>
      <c r="AC4800" s="48"/>
      <c r="AD4800" s="48"/>
      <c r="AE4800" s="48"/>
      <c r="AF4800" s="48"/>
      <c r="AG4800" s="48"/>
      <c r="AH4800" s="48"/>
      <c r="AI4800" s="48"/>
      <c r="AJ4800" s="48"/>
      <c r="AK4800" s="48"/>
      <c r="AL4800" s="48"/>
      <c r="AM4800" s="48"/>
      <c r="AN4800" s="48"/>
      <c r="AO4800" s="48"/>
      <c r="AP4800" s="48"/>
      <c r="AQ4800" s="48"/>
      <c r="AR4800" s="48"/>
      <c r="AS4800" s="48"/>
      <c r="AT4800" s="48"/>
      <c r="AU4800" s="48"/>
      <c r="AV4800" s="48"/>
      <c r="AW4800" s="48"/>
      <c r="AX4800" s="48"/>
      <c r="AY4800" s="48"/>
      <c r="AZ4800" s="48"/>
      <c r="BA4800" s="48"/>
      <c r="BB4800" s="48"/>
      <c r="BC4800" s="48"/>
      <c r="BD4800" s="48"/>
    </row>
    <row r="4801" spans="1:56">
      <c r="A4801" s="48"/>
      <c r="B4801" s="48"/>
      <c r="C4801" s="49"/>
      <c r="D4801" s="48"/>
      <c r="E4801" s="48"/>
      <c r="F4801" s="48"/>
      <c r="G4801" s="48"/>
      <c r="H4801" s="48"/>
      <c r="I4801" s="48"/>
      <c r="J4801" s="86"/>
      <c r="K4801" s="86"/>
      <c r="L4801" s="86"/>
      <c r="M4801" s="86"/>
      <c r="N4801" s="86"/>
      <c r="O4801" s="86"/>
      <c r="P4801" s="86"/>
      <c r="Q4801" s="86"/>
      <c r="R4801" s="86"/>
      <c r="S4801" s="86"/>
      <c r="T4801" s="86"/>
      <c r="U4801" s="86"/>
      <c r="V4801" s="48"/>
      <c r="W4801" s="48"/>
      <c r="X4801" s="48"/>
      <c r="Y4801" s="48"/>
      <c r="Z4801" s="48"/>
      <c r="AA4801" s="48"/>
      <c r="AB4801" s="48"/>
      <c r="AC4801" s="48"/>
      <c r="AD4801" s="48"/>
      <c r="AE4801" s="48"/>
      <c r="AF4801" s="48"/>
      <c r="AG4801" s="48"/>
      <c r="AH4801" s="48"/>
      <c r="AI4801" s="48"/>
      <c r="AJ4801" s="48"/>
      <c r="AK4801" s="48"/>
      <c r="AL4801" s="48"/>
      <c r="AM4801" s="48"/>
      <c r="AN4801" s="48"/>
      <c r="AO4801" s="48"/>
      <c r="AP4801" s="48"/>
      <c r="AQ4801" s="48"/>
      <c r="AR4801" s="48"/>
      <c r="AS4801" s="48"/>
      <c r="AT4801" s="48"/>
      <c r="AU4801" s="48"/>
      <c r="AV4801" s="48"/>
      <c r="AW4801" s="48"/>
      <c r="AX4801" s="48"/>
      <c r="AY4801" s="48"/>
      <c r="AZ4801" s="48"/>
      <c r="BA4801" s="48"/>
      <c r="BB4801" s="48"/>
      <c r="BC4801" s="48"/>
      <c r="BD4801" s="48"/>
    </row>
    <row r="4802" spans="1:56">
      <c r="A4802" s="48"/>
      <c r="B4802" s="48"/>
      <c r="C4802" s="49"/>
      <c r="D4802" s="48"/>
      <c r="E4802" s="48"/>
      <c r="F4802" s="48"/>
      <c r="G4802" s="48"/>
      <c r="H4802" s="48"/>
      <c r="I4802" s="48"/>
      <c r="J4802" s="86"/>
      <c r="K4802" s="86"/>
      <c r="L4802" s="86"/>
      <c r="M4802" s="86"/>
      <c r="N4802" s="86"/>
      <c r="O4802" s="86"/>
      <c r="P4802" s="86"/>
      <c r="Q4802" s="86"/>
      <c r="R4802" s="86"/>
      <c r="S4802" s="86"/>
      <c r="T4802" s="86"/>
      <c r="U4802" s="86"/>
      <c r="V4802" s="48"/>
      <c r="W4802" s="48"/>
      <c r="X4802" s="48"/>
      <c r="Y4802" s="48"/>
      <c r="Z4802" s="48"/>
      <c r="AA4802" s="48"/>
      <c r="AB4802" s="48"/>
      <c r="AC4802" s="48"/>
      <c r="AD4802" s="48"/>
      <c r="AE4802" s="48"/>
      <c r="AF4802" s="48"/>
      <c r="AG4802" s="48"/>
      <c r="AH4802" s="48"/>
      <c r="AI4802" s="48"/>
      <c r="AJ4802" s="48"/>
      <c r="AK4802" s="48"/>
      <c r="AL4802" s="48"/>
      <c r="AM4802" s="48"/>
      <c r="AN4802" s="48"/>
      <c r="AO4802" s="48"/>
      <c r="AP4802" s="48"/>
      <c r="AQ4802" s="48"/>
      <c r="AR4802" s="48"/>
      <c r="AS4802" s="48"/>
      <c r="AT4802" s="48"/>
      <c r="AU4802" s="48"/>
      <c r="AV4802" s="48"/>
      <c r="AW4802" s="48"/>
      <c r="AX4802" s="48"/>
      <c r="AY4802" s="48"/>
      <c r="AZ4802" s="48"/>
      <c r="BA4802" s="48"/>
      <c r="BB4802" s="48"/>
      <c r="BC4802" s="48"/>
      <c r="BD4802" s="48"/>
    </row>
    <row r="4803" spans="1:56">
      <c r="A4803" s="48"/>
      <c r="B4803" s="48"/>
      <c r="C4803" s="49"/>
      <c r="D4803" s="48"/>
      <c r="E4803" s="48"/>
      <c r="F4803" s="48"/>
      <c r="G4803" s="48"/>
      <c r="H4803" s="48"/>
      <c r="I4803" s="48"/>
      <c r="J4803" s="86"/>
      <c r="K4803" s="86"/>
      <c r="L4803" s="86"/>
      <c r="M4803" s="86"/>
      <c r="N4803" s="86"/>
      <c r="O4803" s="86"/>
      <c r="P4803" s="86"/>
      <c r="Q4803" s="86"/>
      <c r="R4803" s="86"/>
      <c r="S4803" s="86"/>
      <c r="T4803" s="86"/>
      <c r="U4803" s="86"/>
      <c r="V4803" s="48"/>
      <c r="W4803" s="48"/>
      <c r="X4803" s="48"/>
      <c r="Y4803" s="48"/>
      <c r="Z4803" s="48"/>
      <c r="AA4803" s="48"/>
      <c r="AB4803" s="48"/>
      <c r="AC4803" s="48"/>
      <c r="AD4803" s="48"/>
      <c r="AE4803" s="48"/>
      <c r="AF4803" s="48"/>
      <c r="AG4803" s="48"/>
      <c r="AH4803" s="48"/>
      <c r="AI4803" s="48"/>
      <c r="AJ4803" s="48"/>
      <c r="AK4803" s="48"/>
      <c r="AL4803" s="48"/>
      <c r="AM4803" s="48"/>
      <c r="AN4803" s="48"/>
      <c r="AO4803" s="48"/>
      <c r="AP4803" s="48"/>
      <c r="AQ4803" s="48"/>
      <c r="AR4803" s="48"/>
      <c r="AS4803" s="48"/>
      <c r="AT4803" s="48"/>
      <c r="AU4803" s="48"/>
      <c r="AV4803" s="48"/>
      <c r="AW4803" s="48"/>
      <c r="AX4803" s="48"/>
      <c r="AY4803" s="48"/>
      <c r="AZ4803" s="48"/>
      <c r="BA4803" s="48"/>
      <c r="BB4803" s="48"/>
      <c r="BC4803" s="48"/>
      <c r="BD4803" s="48"/>
    </row>
    <row r="4804" spans="1:56">
      <c r="A4804" s="48"/>
      <c r="B4804" s="48"/>
      <c r="C4804" s="49"/>
      <c r="D4804" s="48"/>
      <c r="E4804" s="48"/>
      <c r="F4804" s="48"/>
      <c r="G4804" s="48"/>
      <c r="H4804" s="48"/>
      <c r="I4804" s="48"/>
      <c r="J4804" s="86"/>
      <c r="K4804" s="86"/>
      <c r="L4804" s="86"/>
      <c r="M4804" s="86"/>
      <c r="N4804" s="86"/>
      <c r="O4804" s="86"/>
      <c r="P4804" s="86"/>
      <c r="Q4804" s="86"/>
      <c r="R4804" s="86"/>
      <c r="S4804" s="86"/>
      <c r="T4804" s="86"/>
      <c r="U4804" s="86"/>
      <c r="V4804" s="48"/>
      <c r="W4804" s="48"/>
      <c r="X4804" s="48"/>
      <c r="Y4804" s="48"/>
      <c r="Z4804" s="48"/>
      <c r="AA4804" s="48"/>
      <c r="AB4804" s="48"/>
      <c r="AC4804" s="48"/>
      <c r="AD4804" s="48"/>
      <c r="AE4804" s="48"/>
      <c r="AF4804" s="48"/>
      <c r="AG4804" s="48"/>
      <c r="AH4804" s="48"/>
      <c r="AI4804" s="48"/>
      <c r="AJ4804" s="48"/>
      <c r="AK4804" s="48"/>
      <c r="AL4804" s="48"/>
      <c r="AM4804" s="48"/>
      <c r="AN4804" s="48"/>
      <c r="AO4804" s="48"/>
      <c r="AP4804" s="48"/>
      <c r="AQ4804" s="48"/>
      <c r="AR4804" s="48"/>
      <c r="AS4804" s="48"/>
      <c r="AT4804" s="48"/>
      <c r="AU4804" s="48"/>
      <c r="AV4804" s="48"/>
      <c r="AW4804" s="48"/>
      <c r="AX4804" s="48"/>
      <c r="AY4804" s="48"/>
      <c r="AZ4804" s="48"/>
      <c r="BA4804" s="48"/>
      <c r="BB4804" s="48"/>
      <c r="BC4804" s="48"/>
      <c r="BD4804" s="48"/>
    </row>
    <row r="4805" spans="1:56">
      <c r="A4805" s="48"/>
      <c r="B4805" s="48"/>
      <c r="C4805" s="49"/>
      <c r="D4805" s="48"/>
      <c r="E4805" s="48"/>
      <c r="F4805" s="48"/>
      <c r="G4805" s="48"/>
      <c r="H4805" s="48"/>
      <c r="I4805" s="48"/>
      <c r="J4805" s="86"/>
      <c r="K4805" s="86"/>
      <c r="L4805" s="86"/>
      <c r="M4805" s="86"/>
      <c r="N4805" s="86"/>
      <c r="O4805" s="86"/>
      <c r="P4805" s="86"/>
      <c r="Q4805" s="86"/>
      <c r="R4805" s="86"/>
      <c r="S4805" s="86"/>
      <c r="T4805" s="86"/>
      <c r="U4805" s="86"/>
      <c r="V4805" s="48"/>
      <c r="W4805" s="48"/>
      <c r="X4805" s="48"/>
      <c r="Y4805" s="48"/>
      <c r="Z4805" s="48"/>
      <c r="AA4805" s="48"/>
      <c r="AB4805" s="48"/>
      <c r="AC4805" s="48"/>
      <c r="AD4805" s="48"/>
      <c r="AE4805" s="48"/>
      <c r="AF4805" s="48"/>
      <c r="AG4805" s="48"/>
      <c r="AH4805" s="48"/>
      <c r="AI4805" s="48"/>
      <c r="AJ4805" s="48"/>
      <c r="AK4805" s="48"/>
      <c r="AL4805" s="48"/>
      <c r="AM4805" s="48"/>
      <c r="AN4805" s="48"/>
      <c r="AO4805" s="48"/>
      <c r="AP4805" s="48"/>
      <c r="AQ4805" s="48"/>
      <c r="AR4805" s="48"/>
      <c r="AS4805" s="48"/>
      <c r="AT4805" s="48"/>
      <c r="AU4805" s="48"/>
      <c r="AV4805" s="48"/>
      <c r="AW4805" s="48"/>
      <c r="AX4805" s="48"/>
      <c r="AY4805" s="48"/>
      <c r="AZ4805" s="48"/>
      <c r="BA4805" s="48"/>
      <c r="BB4805" s="48"/>
      <c r="BC4805" s="48"/>
      <c r="BD4805" s="48"/>
    </row>
    <row r="4806" spans="1:56">
      <c r="A4806" s="48"/>
      <c r="B4806" s="48"/>
      <c r="C4806" s="49"/>
      <c r="D4806" s="48"/>
      <c r="E4806" s="48"/>
      <c r="F4806" s="48"/>
      <c r="G4806" s="48"/>
      <c r="H4806" s="48"/>
      <c r="I4806" s="48"/>
      <c r="J4806" s="86"/>
      <c r="K4806" s="86"/>
      <c r="L4806" s="86"/>
      <c r="M4806" s="86"/>
      <c r="N4806" s="86"/>
      <c r="O4806" s="86"/>
      <c r="P4806" s="86"/>
      <c r="Q4806" s="86"/>
      <c r="R4806" s="86"/>
      <c r="S4806" s="86"/>
      <c r="T4806" s="86"/>
      <c r="U4806" s="86"/>
      <c r="V4806" s="48"/>
      <c r="W4806" s="48"/>
      <c r="X4806" s="48"/>
      <c r="Y4806" s="48"/>
      <c r="Z4806" s="48"/>
      <c r="AA4806" s="48"/>
      <c r="AB4806" s="48"/>
      <c r="AC4806" s="48"/>
      <c r="AD4806" s="48"/>
      <c r="AE4806" s="48"/>
      <c r="AF4806" s="48"/>
      <c r="AG4806" s="48"/>
      <c r="AH4806" s="48"/>
      <c r="AI4806" s="48"/>
      <c r="AJ4806" s="48"/>
      <c r="AK4806" s="48"/>
      <c r="AL4806" s="48"/>
      <c r="AM4806" s="48"/>
      <c r="AN4806" s="48"/>
      <c r="AO4806" s="48"/>
      <c r="AP4806" s="48"/>
      <c r="AQ4806" s="48"/>
      <c r="AR4806" s="48"/>
      <c r="AS4806" s="48"/>
      <c r="AT4806" s="48"/>
      <c r="AU4806" s="48"/>
      <c r="AV4806" s="48"/>
      <c r="AW4806" s="48"/>
      <c r="AX4806" s="48"/>
      <c r="AY4806" s="48"/>
      <c r="AZ4806" s="48"/>
      <c r="BA4806" s="48"/>
      <c r="BB4806" s="48"/>
      <c r="BC4806" s="48"/>
      <c r="BD4806" s="48"/>
    </row>
    <row r="4807" spans="1:56">
      <c r="A4807" s="48"/>
      <c r="B4807" s="48"/>
      <c r="C4807" s="49"/>
      <c r="D4807" s="48"/>
      <c r="E4807" s="48"/>
      <c r="F4807" s="48"/>
      <c r="G4807" s="48"/>
      <c r="H4807" s="48"/>
      <c r="I4807" s="48"/>
      <c r="J4807" s="86"/>
      <c r="K4807" s="86"/>
      <c r="L4807" s="86"/>
      <c r="M4807" s="86"/>
      <c r="N4807" s="86"/>
      <c r="O4807" s="86"/>
      <c r="P4807" s="86"/>
      <c r="Q4807" s="86"/>
      <c r="R4807" s="86"/>
      <c r="S4807" s="86"/>
      <c r="T4807" s="86"/>
      <c r="U4807" s="86"/>
      <c r="V4807" s="48"/>
      <c r="W4807" s="48"/>
      <c r="X4807" s="48"/>
      <c r="Y4807" s="48"/>
      <c r="Z4807" s="48"/>
      <c r="AA4807" s="48"/>
      <c r="AB4807" s="48"/>
      <c r="AC4807" s="48"/>
      <c r="AD4807" s="48"/>
      <c r="AE4807" s="48"/>
      <c r="AF4807" s="48"/>
      <c r="AG4807" s="48"/>
      <c r="AH4807" s="48"/>
      <c r="AI4807" s="48"/>
      <c r="AJ4807" s="48"/>
      <c r="AK4807" s="48"/>
      <c r="AL4807" s="48"/>
      <c r="AM4807" s="48"/>
      <c r="AN4807" s="48"/>
      <c r="AO4807" s="48"/>
      <c r="AP4807" s="48"/>
      <c r="AQ4807" s="48"/>
      <c r="AR4807" s="48"/>
      <c r="AS4807" s="48"/>
      <c r="AT4807" s="48"/>
      <c r="AU4807" s="48"/>
      <c r="AV4807" s="48"/>
      <c r="AW4807" s="48"/>
      <c r="AX4807" s="48"/>
      <c r="AY4807" s="48"/>
      <c r="AZ4807" s="48"/>
      <c r="BA4807" s="48"/>
      <c r="BB4807" s="48"/>
      <c r="BC4807" s="48"/>
      <c r="BD4807" s="48"/>
    </row>
    <row r="4808" spans="1:56">
      <c r="A4808" s="48"/>
      <c r="B4808" s="48"/>
      <c r="C4808" s="49"/>
      <c r="D4808" s="48"/>
      <c r="E4808" s="48"/>
      <c r="F4808" s="48"/>
      <c r="G4808" s="48"/>
      <c r="H4808" s="48"/>
      <c r="I4808" s="48"/>
      <c r="J4808" s="86"/>
      <c r="K4808" s="86"/>
      <c r="L4808" s="86"/>
      <c r="M4808" s="86"/>
      <c r="N4808" s="86"/>
      <c r="O4808" s="86"/>
      <c r="P4808" s="86"/>
      <c r="Q4808" s="86"/>
      <c r="R4808" s="86"/>
      <c r="S4808" s="86"/>
      <c r="T4808" s="86"/>
      <c r="U4808" s="86"/>
      <c r="V4808" s="48"/>
      <c r="W4808" s="48"/>
      <c r="X4808" s="48"/>
      <c r="Y4808" s="48"/>
      <c r="Z4808" s="48"/>
      <c r="AA4808" s="48"/>
      <c r="AB4808" s="48"/>
      <c r="AC4808" s="48"/>
      <c r="AD4808" s="48"/>
      <c r="AE4808" s="48"/>
      <c r="AF4808" s="48"/>
      <c r="AG4808" s="48"/>
      <c r="AH4808" s="48"/>
      <c r="AI4808" s="48"/>
      <c r="AJ4808" s="48"/>
      <c r="AK4808" s="48"/>
      <c r="AL4808" s="48"/>
      <c r="AM4808" s="48"/>
      <c r="AN4808" s="48"/>
      <c r="AO4808" s="48"/>
      <c r="AP4808" s="48"/>
      <c r="AQ4808" s="48"/>
      <c r="AR4808" s="48"/>
      <c r="AS4808" s="48"/>
      <c r="AT4808" s="48"/>
      <c r="AU4808" s="48"/>
      <c r="AV4808" s="48"/>
      <c r="AW4808" s="48"/>
      <c r="AX4808" s="48"/>
      <c r="AY4808" s="48"/>
      <c r="AZ4808" s="48"/>
      <c r="BA4808" s="48"/>
      <c r="BB4808" s="48"/>
      <c r="BC4808" s="48"/>
      <c r="BD4808" s="48"/>
    </row>
    <row r="4809" spans="1:56">
      <c r="A4809" s="48"/>
      <c r="B4809" s="48"/>
      <c r="C4809" s="49"/>
      <c r="D4809" s="48"/>
      <c r="E4809" s="48"/>
      <c r="F4809" s="48"/>
      <c r="G4809" s="48"/>
      <c r="H4809" s="48"/>
      <c r="I4809" s="48"/>
      <c r="J4809" s="86"/>
      <c r="K4809" s="86"/>
      <c r="L4809" s="86"/>
      <c r="M4809" s="86"/>
      <c r="N4809" s="86"/>
      <c r="O4809" s="86"/>
      <c r="P4809" s="86"/>
      <c r="Q4809" s="86"/>
      <c r="R4809" s="86"/>
      <c r="S4809" s="86"/>
      <c r="T4809" s="86"/>
      <c r="U4809" s="86"/>
      <c r="V4809" s="48"/>
      <c r="W4809" s="48"/>
      <c r="X4809" s="48"/>
      <c r="Y4809" s="48"/>
      <c r="Z4809" s="48"/>
      <c r="AA4809" s="48"/>
      <c r="AB4809" s="48"/>
      <c r="AC4809" s="48"/>
      <c r="AD4809" s="48"/>
      <c r="AE4809" s="48"/>
      <c r="AF4809" s="48"/>
      <c r="AG4809" s="48"/>
      <c r="AH4809" s="48"/>
      <c r="AI4809" s="48"/>
      <c r="AJ4809" s="48"/>
      <c r="AK4809" s="48"/>
      <c r="AL4809" s="48"/>
      <c r="AM4809" s="48"/>
      <c r="AN4809" s="48"/>
      <c r="AO4809" s="48"/>
      <c r="AP4809" s="48"/>
      <c r="AQ4809" s="48"/>
      <c r="AR4809" s="48"/>
      <c r="AS4809" s="48"/>
      <c r="AT4809" s="48"/>
      <c r="AU4809" s="48"/>
      <c r="AV4809" s="48"/>
      <c r="AW4809" s="48"/>
      <c r="AX4809" s="48"/>
      <c r="AY4809" s="48"/>
      <c r="AZ4809" s="48"/>
      <c r="BA4809" s="48"/>
      <c r="BB4809" s="48"/>
      <c r="BC4809" s="48"/>
      <c r="BD4809" s="48"/>
    </row>
    <row r="4810" spans="1:56">
      <c r="A4810" s="48"/>
      <c r="B4810" s="48"/>
      <c r="C4810" s="49"/>
      <c r="D4810" s="48"/>
      <c r="E4810" s="48"/>
      <c r="F4810" s="48"/>
      <c r="G4810" s="48"/>
      <c r="H4810" s="48"/>
      <c r="I4810" s="48"/>
      <c r="J4810" s="86"/>
      <c r="K4810" s="86"/>
      <c r="L4810" s="86"/>
      <c r="M4810" s="86"/>
      <c r="N4810" s="86"/>
      <c r="O4810" s="86"/>
      <c r="P4810" s="86"/>
      <c r="Q4810" s="86"/>
      <c r="R4810" s="86"/>
      <c r="S4810" s="86"/>
      <c r="T4810" s="86"/>
      <c r="U4810" s="86"/>
      <c r="V4810" s="48"/>
      <c r="W4810" s="48"/>
      <c r="X4810" s="48"/>
      <c r="Y4810" s="48"/>
      <c r="Z4810" s="48"/>
      <c r="AA4810" s="48"/>
      <c r="AB4810" s="48"/>
      <c r="AC4810" s="48"/>
      <c r="AD4810" s="48"/>
      <c r="AE4810" s="48"/>
      <c r="AF4810" s="48"/>
      <c r="AG4810" s="48"/>
      <c r="AH4810" s="48"/>
      <c r="AI4810" s="48"/>
      <c r="AJ4810" s="48"/>
      <c r="AK4810" s="48"/>
      <c r="AL4810" s="48"/>
      <c r="AM4810" s="48"/>
      <c r="AN4810" s="48"/>
      <c r="AO4810" s="48"/>
      <c r="AP4810" s="48"/>
      <c r="AQ4810" s="48"/>
      <c r="AR4810" s="48"/>
      <c r="AS4810" s="48"/>
      <c r="AT4810" s="48"/>
      <c r="AU4810" s="48"/>
      <c r="AV4810" s="48"/>
      <c r="AW4810" s="48"/>
      <c r="AX4810" s="48"/>
      <c r="AY4810" s="48"/>
      <c r="AZ4810" s="48"/>
      <c r="BA4810" s="48"/>
      <c r="BB4810" s="48"/>
      <c r="BC4810" s="48"/>
      <c r="BD4810" s="48"/>
    </row>
    <row r="4811" spans="1:56">
      <c r="A4811" s="48"/>
      <c r="B4811" s="48"/>
      <c r="C4811" s="49"/>
      <c r="D4811" s="48"/>
      <c r="E4811" s="48"/>
      <c r="F4811" s="48"/>
      <c r="G4811" s="48"/>
      <c r="H4811" s="48"/>
      <c r="I4811" s="48"/>
      <c r="J4811" s="86"/>
      <c r="K4811" s="86"/>
      <c r="L4811" s="86"/>
      <c r="M4811" s="86"/>
      <c r="N4811" s="86"/>
      <c r="O4811" s="86"/>
      <c r="P4811" s="86"/>
      <c r="Q4811" s="86"/>
      <c r="R4811" s="86"/>
      <c r="S4811" s="86"/>
      <c r="T4811" s="86"/>
      <c r="U4811" s="86"/>
      <c r="V4811" s="48"/>
      <c r="W4811" s="48"/>
      <c r="X4811" s="48"/>
      <c r="Y4811" s="48"/>
      <c r="Z4811" s="48"/>
      <c r="AA4811" s="48"/>
      <c r="AB4811" s="48"/>
      <c r="AC4811" s="48"/>
      <c r="AD4811" s="48"/>
      <c r="AE4811" s="48"/>
      <c r="AF4811" s="48"/>
      <c r="AG4811" s="48"/>
      <c r="AH4811" s="48"/>
      <c r="AI4811" s="48"/>
      <c r="AJ4811" s="48"/>
      <c r="AK4811" s="48"/>
      <c r="AL4811" s="48"/>
      <c r="AM4811" s="48"/>
      <c r="AN4811" s="48"/>
      <c r="AO4811" s="48"/>
      <c r="AP4811" s="48"/>
      <c r="AQ4811" s="48"/>
      <c r="AR4811" s="48"/>
      <c r="AS4811" s="48"/>
      <c r="AT4811" s="48"/>
      <c r="AU4811" s="48"/>
      <c r="AV4811" s="48"/>
      <c r="AW4811" s="48"/>
      <c r="AX4811" s="48"/>
      <c r="AY4811" s="48"/>
      <c r="AZ4811" s="48"/>
      <c r="BA4811" s="48"/>
      <c r="BB4811" s="48"/>
      <c r="BC4811" s="48"/>
      <c r="BD4811" s="48"/>
    </row>
    <row r="4812" spans="1:56">
      <c r="A4812" s="48"/>
      <c r="B4812" s="48"/>
      <c r="C4812" s="49"/>
      <c r="D4812" s="48"/>
      <c r="E4812" s="48"/>
      <c r="F4812" s="48"/>
      <c r="G4812" s="48"/>
      <c r="H4812" s="48"/>
      <c r="I4812" s="48"/>
      <c r="J4812" s="86"/>
      <c r="K4812" s="86"/>
      <c r="L4812" s="86"/>
      <c r="M4812" s="86"/>
      <c r="N4812" s="86"/>
      <c r="O4812" s="86"/>
      <c r="P4812" s="86"/>
      <c r="Q4812" s="86"/>
      <c r="R4812" s="86"/>
      <c r="S4812" s="86"/>
      <c r="T4812" s="86"/>
      <c r="U4812" s="86"/>
      <c r="V4812" s="48"/>
      <c r="W4812" s="48"/>
      <c r="X4812" s="48"/>
      <c r="Y4812" s="48"/>
      <c r="Z4812" s="48"/>
      <c r="AA4812" s="48"/>
      <c r="AB4812" s="48"/>
      <c r="AC4812" s="48"/>
      <c r="AD4812" s="48"/>
      <c r="AE4812" s="48"/>
      <c r="AF4812" s="48"/>
      <c r="AG4812" s="48"/>
      <c r="AH4812" s="48"/>
      <c r="AI4812" s="48"/>
      <c r="AJ4812" s="48"/>
      <c r="AK4812" s="48"/>
      <c r="AL4812" s="48"/>
      <c r="AM4812" s="48"/>
      <c r="AN4812" s="48"/>
      <c r="AO4812" s="48"/>
      <c r="AP4812" s="48"/>
      <c r="AQ4812" s="48"/>
      <c r="AR4812" s="48"/>
      <c r="AS4812" s="48"/>
      <c r="AT4812" s="48"/>
      <c r="AU4812" s="48"/>
      <c r="AV4812" s="48"/>
      <c r="AW4812" s="48"/>
      <c r="AX4812" s="48"/>
      <c r="AY4812" s="48"/>
      <c r="AZ4812" s="48"/>
      <c r="BA4812" s="48"/>
      <c r="BB4812" s="48"/>
      <c r="BC4812" s="48"/>
      <c r="BD4812" s="48"/>
    </row>
    <row r="4813" spans="1:56">
      <c r="A4813" s="48"/>
      <c r="B4813" s="48"/>
      <c r="C4813" s="49"/>
      <c r="D4813" s="48"/>
      <c r="E4813" s="48"/>
      <c r="F4813" s="48"/>
      <c r="G4813" s="48"/>
      <c r="H4813" s="48"/>
      <c r="I4813" s="48"/>
      <c r="J4813" s="86"/>
      <c r="K4813" s="86"/>
      <c r="L4813" s="86"/>
      <c r="M4813" s="86"/>
      <c r="N4813" s="86"/>
      <c r="O4813" s="86"/>
      <c r="P4813" s="86"/>
      <c r="Q4813" s="86"/>
      <c r="R4813" s="86"/>
      <c r="S4813" s="86"/>
      <c r="T4813" s="86"/>
      <c r="U4813" s="86"/>
      <c r="V4813" s="48"/>
      <c r="W4813" s="48"/>
      <c r="X4813" s="48"/>
      <c r="Y4813" s="48"/>
      <c r="Z4813" s="48"/>
      <c r="AA4813" s="48"/>
      <c r="AB4813" s="48"/>
      <c r="AC4813" s="48"/>
      <c r="AD4813" s="48"/>
      <c r="AE4813" s="48"/>
      <c r="AF4813" s="48"/>
      <c r="AG4813" s="48"/>
      <c r="AH4813" s="48"/>
      <c r="AI4813" s="48"/>
      <c r="AJ4813" s="48"/>
      <c r="AK4813" s="48"/>
      <c r="AL4813" s="48"/>
      <c r="AM4813" s="48"/>
      <c r="AN4813" s="48"/>
      <c r="AO4813" s="48"/>
      <c r="AP4813" s="48"/>
      <c r="AQ4813" s="48"/>
      <c r="AR4813" s="48"/>
      <c r="AS4813" s="48"/>
      <c r="AT4813" s="48"/>
      <c r="AU4813" s="48"/>
      <c r="AV4813" s="48"/>
      <c r="AW4813" s="48"/>
      <c r="AX4813" s="48"/>
      <c r="AY4813" s="48"/>
      <c r="AZ4813" s="48"/>
      <c r="BA4813" s="48"/>
      <c r="BB4813" s="48"/>
      <c r="BC4813" s="48"/>
      <c r="BD4813" s="48"/>
    </row>
    <row r="4814" spans="1:56">
      <c r="A4814" s="48"/>
      <c r="B4814" s="48"/>
      <c r="C4814" s="49"/>
      <c r="D4814" s="48"/>
      <c r="E4814" s="48"/>
      <c r="F4814" s="48"/>
      <c r="G4814" s="48"/>
      <c r="H4814" s="48"/>
      <c r="I4814" s="48"/>
      <c r="J4814" s="86"/>
      <c r="K4814" s="86"/>
      <c r="L4814" s="86"/>
      <c r="M4814" s="86"/>
      <c r="N4814" s="86"/>
      <c r="O4814" s="86"/>
      <c r="P4814" s="86"/>
      <c r="Q4814" s="86"/>
      <c r="R4814" s="86"/>
      <c r="S4814" s="86"/>
      <c r="T4814" s="86"/>
      <c r="U4814" s="86"/>
      <c r="V4814" s="48"/>
      <c r="W4814" s="48"/>
      <c r="X4814" s="48"/>
      <c r="Y4814" s="48"/>
      <c r="Z4814" s="48"/>
      <c r="AA4814" s="48"/>
      <c r="AB4814" s="48"/>
      <c r="AC4814" s="48"/>
      <c r="AD4814" s="48"/>
      <c r="AE4814" s="48"/>
      <c r="AF4814" s="48"/>
      <c r="AG4814" s="48"/>
      <c r="AH4814" s="48"/>
      <c r="AI4814" s="48"/>
      <c r="AJ4814" s="48"/>
      <c r="AK4814" s="48"/>
      <c r="AL4814" s="48"/>
      <c r="AM4814" s="48"/>
      <c r="AN4814" s="48"/>
      <c r="AO4814" s="48"/>
      <c r="AP4814" s="48"/>
      <c r="AQ4814" s="48"/>
      <c r="AR4814" s="48"/>
      <c r="AS4814" s="48"/>
      <c r="AT4814" s="48"/>
      <c r="AU4814" s="48"/>
      <c r="AV4814" s="48"/>
      <c r="AW4814" s="48"/>
      <c r="AX4814" s="48"/>
      <c r="AY4814" s="48"/>
      <c r="AZ4814" s="48"/>
      <c r="BA4814" s="48"/>
      <c r="BB4814" s="48"/>
      <c r="BC4814" s="48"/>
      <c r="BD4814" s="48"/>
    </row>
    <row r="4815" spans="1:56">
      <c r="A4815" s="48"/>
      <c r="B4815" s="48"/>
      <c r="C4815" s="49"/>
      <c r="D4815" s="48"/>
      <c r="E4815" s="48"/>
      <c r="F4815" s="48"/>
      <c r="G4815" s="48"/>
      <c r="H4815" s="48"/>
      <c r="I4815" s="48"/>
      <c r="J4815" s="86"/>
      <c r="K4815" s="86"/>
      <c r="L4815" s="86"/>
      <c r="M4815" s="86"/>
      <c r="N4815" s="86"/>
      <c r="O4815" s="86"/>
      <c r="P4815" s="86"/>
      <c r="Q4815" s="86"/>
      <c r="R4815" s="86"/>
      <c r="S4815" s="86"/>
      <c r="T4815" s="86"/>
      <c r="U4815" s="86"/>
      <c r="V4815" s="48"/>
      <c r="W4815" s="48"/>
      <c r="X4815" s="48"/>
      <c r="Y4815" s="48"/>
      <c r="Z4815" s="48"/>
      <c r="AA4815" s="48"/>
      <c r="AB4815" s="48"/>
      <c r="AC4815" s="48"/>
      <c r="AD4815" s="48"/>
      <c r="AE4815" s="48"/>
      <c r="AF4815" s="48"/>
      <c r="AG4815" s="48"/>
      <c r="AH4815" s="48"/>
      <c r="AI4815" s="48"/>
      <c r="AJ4815" s="48"/>
      <c r="AK4815" s="48"/>
      <c r="AL4815" s="48"/>
      <c r="AM4815" s="48"/>
      <c r="AN4815" s="48"/>
      <c r="AO4815" s="48"/>
      <c r="AP4815" s="48"/>
      <c r="AQ4815" s="48"/>
      <c r="AR4815" s="48"/>
      <c r="AS4815" s="48"/>
      <c r="AT4815" s="48"/>
      <c r="AU4815" s="48"/>
      <c r="AV4815" s="48"/>
      <c r="AW4815" s="48"/>
      <c r="AX4815" s="48"/>
      <c r="AY4815" s="48"/>
      <c r="AZ4815" s="48"/>
      <c r="BA4815" s="48"/>
      <c r="BB4815" s="48"/>
      <c r="BC4815" s="48"/>
      <c r="BD4815" s="48"/>
    </row>
    <row r="4816" spans="1:56">
      <c r="A4816" s="48"/>
      <c r="B4816" s="48"/>
      <c r="C4816" s="49"/>
      <c r="D4816" s="48"/>
      <c r="E4816" s="48"/>
      <c r="F4816" s="48"/>
      <c r="G4816" s="48"/>
      <c r="H4816" s="48"/>
      <c r="I4816" s="48"/>
      <c r="J4816" s="86"/>
      <c r="K4816" s="86"/>
      <c r="L4816" s="86"/>
      <c r="M4816" s="86"/>
      <c r="N4816" s="86"/>
      <c r="O4816" s="86"/>
      <c r="P4816" s="86"/>
      <c r="Q4816" s="86"/>
      <c r="R4816" s="86"/>
      <c r="S4816" s="86"/>
      <c r="T4816" s="86"/>
      <c r="U4816" s="86"/>
      <c r="V4816" s="48"/>
      <c r="W4816" s="48"/>
      <c r="X4816" s="48"/>
      <c r="Y4816" s="48"/>
      <c r="Z4816" s="48"/>
      <c r="AA4816" s="48"/>
      <c r="AB4816" s="48"/>
      <c r="AC4816" s="48"/>
      <c r="AD4816" s="48"/>
      <c r="AE4816" s="48"/>
      <c r="AF4816" s="48"/>
      <c r="AG4816" s="48"/>
      <c r="AH4816" s="48"/>
      <c r="AI4816" s="48"/>
      <c r="AJ4816" s="48"/>
      <c r="AK4816" s="48"/>
      <c r="AL4816" s="48"/>
      <c r="AM4816" s="48"/>
      <c r="AN4816" s="48"/>
      <c r="AO4816" s="48"/>
      <c r="AP4816" s="48"/>
      <c r="AQ4816" s="48"/>
      <c r="AR4816" s="48"/>
      <c r="AS4816" s="48"/>
      <c r="AT4816" s="48"/>
      <c r="AU4816" s="48"/>
      <c r="AV4816" s="48"/>
      <c r="AW4816" s="48"/>
      <c r="AX4816" s="48"/>
      <c r="AY4816" s="48"/>
      <c r="AZ4816" s="48"/>
      <c r="BA4816" s="48"/>
      <c r="BB4816" s="48"/>
      <c r="BC4816" s="48"/>
      <c r="BD4816" s="48"/>
    </row>
    <row r="4817" spans="1:56">
      <c r="A4817" s="48"/>
      <c r="B4817" s="48"/>
      <c r="C4817" s="49"/>
      <c r="D4817" s="48"/>
      <c r="E4817" s="48"/>
      <c r="F4817" s="48"/>
      <c r="G4817" s="48"/>
      <c r="H4817" s="48"/>
      <c r="I4817" s="48"/>
      <c r="J4817" s="86"/>
      <c r="K4817" s="86"/>
      <c r="L4817" s="86"/>
      <c r="M4817" s="86"/>
      <c r="N4817" s="86"/>
      <c r="O4817" s="86"/>
      <c r="P4817" s="86"/>
      <c r="Q4817" s="86"/>
      <c r="R4817" s="86"/>
      <c r="S4817" s="86"/>
      <c r="T4817" s="86"/>
      <c r="U4817" s="86"/>
      <c r="V4817" s="48"/>
      <c r="W4817" s="48"/>
      <c r="X4817" s="48"/>
      <c r="Y4817" s="48"/>
      <c r="Z4817" s="48"/>
      <c r="AA4817" s="48"/>
      <c r="AB4817" s="48"/>
      <c r="AC4817" s="48"/>
      <c r="AD4817" s="48"/>
      <c r="AE4817" s="48"/>
      <c r="AF4817" s="48"/>
      <c r="AG4817" s="48"/>
      <c r="AH4817" s="48"/>
      <c r="AI4817" s="48"/>
      <c r="AJ4817" s="48"/>
      <c r="AK4817" s="48"/>
      <c r="AL4817" s="48"/>
      <c r="AM4817" s="48"/>
      <c r="AN4817" s="48"/>
      <c r="AO4817" s="48"/>
      <c r="AP4817" s="48"/>
      <c r="AQ4817" s="48"/>
      <c r="AR4817" s="48"/>
      <c r="AS4817" s="48"/>
      <c r="AT4817" s="48"/>
      <c r="AU4817" s="48"/>
      <c r="AV4817" s="48"/>
      <c r="AW4817" s="48"/>
      <c r="AX4817" s="48"/>
      <c r="AY4817" s="48"/>
      <c r="AZ4817" s="48"/>
      <c r="BA4817" s="48"/>
      <c r="BB4817" s="48"/>
      <c r="BC4817" s="48"/>
      <c r="BD4817" s="48"/>
    </row>
    <row r="4818" spans="1:56">
      <c r="A4818" s="48"/>
      <c r="B4818" s="48"/>
      <c r="C4818" s="49"/>
      <c r="D4818" s="48"/>
      <c r="E4818" s="48"/>
      <c r="F4818" s="48"/>
      <c r="G4818" s="48"/>
      <c r="H4818" s="48"/>
      <c r="I4818" s="48"/>
      <c r="J4818" s="86"/>
      <c r="K4818" s="86"/>
      <c r="L4818" s="86"/>
      <c r="M4818" s="86"/>
      <c r="N4818" s="86"/>
      <c r="O4818" s="86"/>
      <c r="P4818" s="86"/>
      <c r="Q4818" s="86"/>
      <c r="R4818" s="86"/>
      <c r="S4818" s="86"/>
      <c r="T4818" s="86"/>
      <c r="U4818" s="86"/>
      <c r="V4818" s="48"/>
      <c r="W4818" s="48"/>
      <c r="X4818" s="48"/>
      <c r="Y4818" s="48"/>
      <c r="Z4818" s="48"/>
      <c r="AA4818" s="48"/>
      <c r="AB4818" s="48"/>
      <c r="AC4818" s="48"/>
      <c r="AD4818" s="48"/>
      <c r="AE4818" s="48"/>
      <c r="AF4818" s="48"/>
      <c r="AG4818" s="48"/>
      <c r="AH4818" s="48"/>
      <c r="AI4818" s="48"/>
      <c r="AJ4818" s="48"/>
      <c r="AK4818" s="48"/>
      <c r="AL4818" s="48"/>
      <c r="AM4818" s="48"/>
      <c r="AN4818" s="48"/>
      <c r="AO4818" s="48"/>
      <c r="AP4818" s="48"/>
      <c r="AQ4818" s="48"/>
      <c r="AR4818" s="48"/>
      <c r="AS4818" s="48"/>
      <c r="AT4818" s="48"/>
      <c r="AU4818" s="48"/>
      <c r="AV4818" s="48"/>
      <c r="AW4818" s="48"/>
      <c r="AX4818" s="48"/>
      <c r="AY4818" s="48"/>
      <c r="AZ4818" s="48"/>
      <c r="BA4818" s="48"/>
      <c r="BB4818" s="48"/>
      <c r="BC4818" s="48"/>
      <c r="BD4818" s="48"/>
    </row>
    <row r="4819" spans="1:56">
      <c r="A4819" s="48"/>
      <c r="B4819" s="48"/>
      <c r="C4819" s="49"/>
      <c r="D4819" s="48"/>
      <c r="E4819" s="48"/>
      <c r="F4819" s="48"/>
      <c r="G4819" s="48"/>
      <c r="H4819" s="48"/>
      <c r="I4819" s="48"/>
      <c r="J4819" s="86"/>
      <c r="K4819" s="86"/>
      <c r="L4819" s="86"/>
      <c r="M4819" s="86"/>
      <c r="N4819" s="86"/>
      <c r="O4819" s="86"/>
      <c r="P4819" s="86"/>
      <c r="Q4819" s="86"/>
      <c r="R4819" s="86"/>
      <c r="S4819" s="86"/>
      <c r="T4819" s="86"/>
      <c r="U4819" s="86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48"/>
      <c r="BB4819" s="48"/>
      <c r="BC4819" s="48"/>
      <c r="BD4819" s="48"/>
    </row>
    <row r="4820" spans="1:56">
      <c r="A4820" s="48"/>
      <c r="B4820" s="48"/>
      <c r="C4820" s="49"/>
      <c r="D4820" s="48"/>
      <c r="E4820" s="48"/>
      <c r="F4820" s="48"/>
      <c r="G4820" s="48"/>
      <c r="H4820" s="48"/>
      <c r="I4820" s="48"/>
      <c r="J4820" s="86"/>
      <c r="K4820" s="86"/>
      <c r="L4820" s="86"/>
      <c r="M4820" s="86"/>
      <c r="N4820" s="86"/>
      <c r="O4820" s="86"/>
      <c r="P4820" s="86"/>
      <c r="Q4820" s="86"/>
      <c r="R4820" s="86"/>
      <c r="S4820" s="86"/>
      <c r="T4820" s="86"/>
      <c r="U4820" s="86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48"/>
      <c r="BB4820" s="48"/>
      <c r="BC4820" s="48"/>
      <c r="BD4820" s="48"/>
    </row>
    <row r="4821" spans="1:56">
      <c r="A4821" s="48"/>
      <c r="B4821" s="48"/>
      <c r="C4821" s="49"/>
      <c r="D4821" s="48"/>
      <c r="E4821" s="48"/>
      <c r="F4821" s="48"/>
      <c r="G4821" s="48"/>
      <c r="H4821" s="48"/>
      <c r="I4821" s="48"/>
      <c r="J4821" s="86"/>
      <c r="K4821" s="86"/>
      <c r="L4821" s="86"/>
      <c r="M4821" s="86"/>
      <c r="N4821" s="86"/>
      <c r="O4821" s="86"/>
      <c r="P4821" s="86"/>
      <c r="Q4821" s="86"/>
      <c r="R4821" s="86"/>
      <c r="S4821" s="86"/>
      <c r="T4821" s="86"/>
      <c r="U4821" s="86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48"/>
      <c r="BB4821" s="48"/>
      <c r="BC4821" s="48"/>
      <c r="BD4821" s="48"/>
    </row>
    <row r="4822" spans="1:56">
      <c r="A4822" s="48"/>
      <c r="B4822" s="48"/>
      <c r="C4822" s="49"/>
      <c r="D4822" s="48"/>
      <c r="E4822" s="48"/>
      <c r="F4822" s="48"/>
      <c r="G4822" s="48"/>
      <c r="H4822" s="48"/>
      <c r="I4822" s="48"/>
      <c r="J4822" s="86"/>
      <c r="K4822" s="86"/>
      <c r="L4822" s="86"/>
      <c r="M4822" s="86"/>
      <c r="N4822" s="86"/>
      <c r="O4822" s="86"/>
      <c r="P4822" s="86"/>
      <c r="Q4822" s="86"/>
      <c r="R4822" s="86"/>
      <c r="S4822" s="86"/>
      <c r="T4822" s="86"/>
      <c r="U4822" s="86"/>
      <c r="V4822" s="48"/>
      <c r="W4822" s="48"/>
      <c r="X4822" s="48"/>
      <c r="Y4822" s="48"/>
      <c r="Z4822" s="48"/>
      <c r="AA4822" s="48"/>
      <c r="AB4822" s="48"/>
      <c r="AC4822" s="48"/>
      <c r="AD4822" s="48"/>
      <c r="AE4822" s="48"/>
      <c r="AF4822" s="48"/>
      <c r="AG4822" s="48"/>
      <c r="AH4822" s="48"/>
      <c r="AI4822" s="48"/>
      <c r="AJ4822" s="48"/>
      <c r="AK4822" s="48"/>
      <c r="AL4822" s="48"/>
      <c r="AM4822" s="48"/>
      <c r="AN4822" s="48"/>
      <c r="AO4822" s="48"/>
      <c r="AP4822" s="48"/>
      <c r="AQ4822" s="48"/>
      <c r="AR4822" s="48"/>
      <c r="AS4822" s="48"/>
      <c r="AT4822" s="48"/>
      <c r="AU4822" s="48"/>
      <c r="AV4822" s="48"/>
      <c r="AW4822" s="48"/>
      <c r="AX4822" s="48"/>
      <c r="AY4822" s="48"/>
      <c r="AZ4822" s="48"/>
      <c r="BA4822" s="48"/>
      <c r="BB4822" s="48"/>
      <c r="BC4822" s="48"/>
      <c r="BD4822" s="48"/>
    </row>
    <row r="4823" spans="1:56">
      <c r="A4823" s="48"/>
      <c r="B4823" s="48"/>
      <c r="C4823" s="49"/>
      <c r="D4823" s="48"/>
      <c r="E4823" s="48"/>
      <c r="F4823" s="48"/>
      <c r="G4823" s="48"/>
      <c r="H4823" s="48"/>
      <c r="I4823" s="48"/>
      <c r="J4823" s="86"/>
      <c r="K4823" s="86"/>
      <c r="L4823" s="86"/>
      <c r="M4823" s="86"/>
      <c r="N4823" s="86"/>
      <c r="O4823" s="86"/>
      <c r="P4823" s="86"/>
      <c r="Q4823" s="86"/>
      <c r="R4823" s="86"/>
      <c r="S4823" s="86"/>
      <c r="T4823" s="86"/>
      <c r="U4823" s="86"/>
      <c r="V4823" s="48"/>
      <c r="W4823" s="48"/>
      <c r="X4823" s="48"/>
      <c r="Y4823" s="48"/>
      <c r="Z4823" s="48"/>
      <c r="AA4823" s="48"/>
      <c r="AB4823" s="48"/>
      <c r="AC4823" s="48"/>
      <c r="AD4823" s="48"/>
      <c r="AE4823" s="48"/>
      <c r="AF4823" s="48"/>
      <c r="AG4823" s="48"/>
      <c r="AH4823" s="48"/>
      <c r="AI4823" s="48"/>
      <c r="AJ4823" s="48"/>
      <c r="AK4823" s="48"/>
      <c r="AL4823" s="48"/>
      <c r="AM4823" s="48"/>
      <c r="AN4823" s="48"/>
      <c r="AO4823" s="48"/>
      <c r="AP4823" s="48"/>
      <c r="AQ4823" s="48"/>
      <c r="AR4823" s="48"/>
      <c r="AS4823" s="48"/>
      <c r="AT4823" s="48"/>
      <c r="AU4823" s="48"/>
      <c r="AV4823" s="48"/>
      <c r="AW4823" s="48"/>
      <c r="AX4823" s="48"/>
      <c r="AY4823" s="48"/>
      <c r="AZ4823" s="48"/>
      <c r="BA4823" s="48"/>
      <c r="BB4823" s="48"/>
      <c r="BC4823" s="48"/>
      <c r="BD4823" s="48"/>
    </row>
    <row r="4824" spans="1:56">
      <c r="A4824" s="48"/>
      <c r="B4824" s="48"/>
      <c r="C4824" s="49"/>
      <c r="D4824" s="48"/>
      <c r="E4824" s="48"/>
      <c r="F4824" s="48"/>
      <c r="G4824" s="48"/>
      <c r="H4824" s="48"/>
      <c r="I4824" s="48"/>
      <c r="J4824" s="86"/>
      <c r="K4824" s="86"/>
      <c r="L4824" s="86"/>
      <c r="M4824" s="86"/>
      <c r="N4824" s="86"/>
      <c r="O4824" s="86"/>
      <c r="P4824" s="86"/>
      <c r="Q4824" s="86"/>
      <c r="R4824" s="86"/>
      <c r="S4824" s="86"/>
      <c r="T4824" s="86"/>
      <c r="U4824" s="86"/>
      <c r="V4824" s="48"/>
      <c r="W4824" s="48"/>
      <c r="X4824" s="48"/>
      <c r="Y4824" s="48"/>
      <c r="Z4824" s="48"/>
      <c r="AA4824" s="48"/>
      <c r="AB4824" s="48"/>
      <c r="AC4824" s="48"/>
      <c r="AD4824" s="48"/>
      <c r="AE4824" s="48"/>
      <c r="AF4824" s="48"/>
      <c r="AG4824" s="48"/>
      <c r="AH4824" s="48"/>
      <c r="AI4824" s="48"/>
      <c r="AJ4824" s="48"/>
      <c r="AK4824" s="48"/>
      <c r="AL4824" s="48"/>
      <c r="AM4824" s="48"/>
      <c r="AN4824" s="48"/>
      <c r="AO4824" s="48"/>
      <c r="AP4824" s="48"/>
      <c r="AQ4824" s="48"/>
      <c r="AR4824" s="48"/>
      <c r="AS4824" s="48"/>
      <c r="AT4824" s="48"/>
      <c r="AU4824" s="48"/>
      <c r="AV4824" s="48"/>
      <c r="AW4824" s="48"/>
      <c r="AX4824" s="48"/>
      <c r="AY4824" s="48"/>
      <c r="AZ4824" s="48"/>
      <c r="BA4824" s="48"/>
      <c r="BB4824" s="48"/>
      <c r="BC4824" s="48"/>
      <c r="BD4824" s="48"/>
    </row>
    <row r="4825" spans="1:56">
      <c r="A4825" s="48"/>
      <c r="B4825" s="48"/>
      <c r="C4825" s="49"/>
      <c r="D4825" s="48"/>
      <c r="E4825" s="48"/>
      <c r="F4825" s="48"/>
      <c r="G4825" s="48"/>
      <c r="H4825" s="48"/>
      <c r="I4825" s="48"/>
      <c r="J4825" s="86"/>
      <c r="K4825" s="86"/>
      <c r="L4825" s="86"/>
      <c r="M4825" s="86"/>
      <c r="N4825" s="86"/>
      <c r="O4825" s="86"/>
      <c r="P4825" s="86"/>
      <c r="Q4825" s="86"/>
      <c r="R4825" s="86"/>
      <c r="S4825" s="86"/>
      <c r="T4825" s="86"/>
      <c r="U4825" s="86"/>
      <c r="V4825" s="48"/>
      <c r="W4825" s="48"/>
      <c r="X4825" s="48"/>
      <c r="Y4825" s="48"/>
      <c r="Z4825" s="48"/>
      <c r="AA4825" s="48"/>
      <c r="AB4825" s="48"/>
      <c r="AC4825" s="48"/>
      <c r="AD4825" s="48"/>
      <c r="AE4825" s="48"/>
      <c r="AF4825" s="48"/>
      <c r="AG4825" s="48"/>
      <c r="AH4825" s="48"/>
      <c r="AI4825" s="48"/>
      <c r="AJ4825" s="48"/>
      <c r="AK4825" s="48"/>
      <c r="AL4825" s="48"/>
      <c r="AM4825" s="48"/>
      <c r="AN4825" s="48"/>
      <c r="AO4825" s="48"/>
      <c r="AP4825" s="48"/>
      <c r="AQ4825" s="48"/>
      <c r="AR4825" s="48"/>
      <c r="AS4825" s="48"/>
      <c r="AT4825" s="48"/>
      <c r="AU4825" s="48"/>
      <c r="AV4825" s="48"/>
      <c r="AW4825" s="48"/>
      <c r="AX4825" s="48"/>
      <c r="AY4825" s="48"/>
      <c r="AZ4825" s="48"/>
      <c r="BA4825" s="48"/>
      <c r="BB4825" s="48"/>
      <c r="BC4825" s="48"/>
      <c r="BD4825" s="48"/>
    </row>
    <row r="4826" spans="1:56">
      <c r="A4826" s="48"/>
      <c r="B4826" s="48"/>
      <c r="C4826" s="49"/>
      <c r="D4826" s="48"/>
      <c r="E4826" s="48"/>
      <c r="F4826" s="48"/>
      <c r="G4826" s="48"/>
      <c r="H4826" s="48"/>
      <c r="I4826" s="48"/>
      <c r="J4826" s="86"/>
      <c r="K4826" s="86"/>
      <c r="L4826" s="86"/>
      <c r="M4826" s="86"/>
      <c r="N4826" s="86"/>
      <c r="O4826" s="86"/>
      <c r="P4826" s="86"/>
      <c r="Q4826" s="86"/>
      <c r="R4826" s="86"/>
      <c r="S4826" s="86"/>
      <c r="T4826" s="86"/>
      <c r="U4826" s="86"/>
      <c r="V4826" s="48"/>
      <c r="W4826" s="48"/>
      <c r="X4826" s="48"/>
      <c r="Y4826" s="48"/>
      <c r="Z4826" s="48"/>
      <c r="AA4826" s="48"/>
      <c r="AB4826" s="48"/>
      <c r="AC4826" s="48"/>
      <c r="AD4826" s="48"/>
      <c r="AE4826" s="48"/>
      <c r="AF4826" s="48"/>
      <c r="AG4826" s="48"/>
      <c r="AH4826" s="48"/>
      <c r="AI4826" s="48"/>
      <c r="AJ4826" s="48"/>
      <c r="AK4826" s="48"/>
      <c r="AL4826" s="48"/>
      <c r="AM4826" s="48"/>
      <c r="AN4826" s="48"/>
      <c r="AO4826" s="48"/>
      <c r="AP4826" s="48"/>
      <c r="AQ4826" s="48"/>
      <c r="AR4826" s="48"/>
      <c r="AS4826" s="48"/>
      <c r="AT4826" s="48"/>
      <c r="AU4826" s="48"/>
      <c r="AV4826" s="48"/>
      <c r="AW4826" s="48"/>
      <c r="AX4826" s="48"/>
      <c r="AY4826" s="48"/>
      <c r="AZ4826" s="48"/>
      <c r="BA4826" s="48"/>
      <c r="BB4826" s="48"/>
      <c r="BC4826" s="48"/>
      <c r="BD4826" s="48"/>
    </row>
    <row r="4827" spans="1:56">
      <c r="A4827" s="48"/>
      <c r="B4827" s="48"/>
      <c r="C4827" s="49"/>
      <c r="D4827" s="48"/>
      <c r="E4827" s="48"/>
      <c r="F4827" s="48"/>
      <c r="G4827" s="48"/>
      <c r="H4827" s="48"/>
      <c r="I4827" s="48"/>
      <c r="J4827" s="86"/>
      <c r="K4827" s="86"/>
      <c r="L4827" s="86"/>
      <c r="M4827" s="86"/>
      <c r="N4827" s="86"/>
      <c r="O4827" s="86"/>
      <c r="P4827" s="86"/>
      <c r="Q4827" s="86"/>
      <c r="R4827" s="86"/>
      <c r="S4827" s="86"/>
      <c r="T4827" s="86"/>
      <c r="U4827" s="86"/>
      <c r="V4827" s="48"/>
      <c r="W4827" s="48"/>
      <c r="X4827" s="48"/>
      <c r="Y4827" s="48"/>
      <c r="Z4827" s="48"/>
      <c r="AA4827" s="48"/>
      <c r="AB4827" s="48"/>
      <c r="AC4827" s="48"/>
      <c r="AD4827" s="48"/>
      <c r="AE4827" s="48"/>
      <c r="AF4827" s="48"/>
      <c r="AG4827" s="48"/>
      <c r="AH4827" s="48"/>
      <c r="AI4827" s="48"/>
      <c r="AJ4827" s="48"/>
      <c r="AK4827" s="48"/>
      <c r="AL4827" s="48"/>
      <c r="AM4827" s="48"/>
      <c r="AN4827" s="48"/>
      <c r="AO4827" s="48"/>
      <c r="AP4827" s="48"/>
      <c r="AQ4827" s="48"/>
      <c r="AR4827" s="48"/>
      <c r="AS4827" s="48"/>
      <c r="AT4827" s="48"/>
      <c r="AU4827" s="48"/>
      <c r="AV4827" s="48"/>
      <c r="AW4827" s="48"/>
      <c r="AX4827" s="48"/>
      <c r="AY4827" s="48"/>
      <c r="AZ4827" s="48"/>
      <c r="BA4827" s="48"/>
      <c r="BB4827" s="48"/>
      <c r="BC4827" s="48"/>
      <c r="BD4827" s="48"/>
    </row>
    <row r="4828" spans="1:56">
      <c r="A4828" s="48"/>
      <c r="B4828" s="48"/>
      <c r="C4828" s="49"/>
      <c r="D4828" s="48"/>
      <c r="E4828" s="48"/>
      <c r="F4828" s="48"/>
      <c r="G4828" s="48"/>
      <c r="H4828" s="48"/>
      <c r="I4828" s="48"/>
      <c r="J4828" s="86"/>
      <c r="K4828" s="86"/>
      <c r="L4828" s="86"/>
      <c r="M4828" s="86"/>
      <c r="N4828" s="86"/>
      <c r="O4828" s="86"/>
      <c r="P4828" s="86"/>
      <c r="Q4828" s="86"/>
      <c r="R4828" s="86"/>
      <c r="S4828" s="86"/>
      <c r="T4828" s="86"/>
      <c r="U4828" s="86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48"/>
      <c r="BB4828" s="48"/>
      <c r="BC4828" s="48"/>
      <c r="BD4828" s="48"/>
    </row>
    <row r="4829" spans="1:56">
      <c r="A4829" s="48"/>
      <c r="B4829" s="48"/>
      <c r="C4829" s="49"/>
      <c r="D4829" s="48"/>
      <c r="E4829" s="48"/>
      <c r="F4829" s="48"/>
      <c r="G4829" s="48"/>
      <c r="H4829" s="48"/>
      <c r="I4829" s="48"/>
      <c r="J4829" s="86"/>
      <c r="K4829" s="86"/>
      <c r="L4829" s="86"/>
      <c r="M4829" s="86"/>
      <c r="N4829" s="86"/>
      <c r="O4829" s="86"/>
      <c r="P4829" s="86"/>
      <c r="Q4829" s="86"/>
      <c r="R4829" s="86"/>
      <c r="S4829" s="86"/>
      <c r="T4829" s="86"/>
      <c r="U4829" s="86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48"/>
      <c r="BB4829" s="48"/>
      <c r="BC4829" s="48"/>
      <c r="BD4829" s="48"/>
    </row>
    <row r="4830" spans="1:56">
      <c r="A4830" s="48"/>
      <c r="B4830" s="48"/>
      <c r="C4830" s="49"/>
      <c r="D4830" s="48"/>
      <c r="E4830" s="48"/>
      <c r="F4830" s="48"/>
      <c r="G4830" s="48"/>
      <c r="H4830" s="48"/>
      <c r="I4830" s="48"/>
      <c r="J4830" s="86"/>
      <c r="K4830" s="86"/>
      <c r="L4830" s="86"/>
      <c r="M4830" s="86"/>
      <c r="N4830" s="86"/>
      <c r="O4830" s="86"/>
      <c r="P4830" s="86"/>
      <c r="Q4830" s="86"/>
      <c r="R4830" s="86"/>
      <c r="S4830" s="86"/>
      <c r="T4830" s="86"/>
      <c r="U4830" s="86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48"/>
      <c r="BB4830" s="48"/>
      <c r="BC4830" s="48"/>
      <c r="BD4830" s="48"/>
    </row>
    <row r="4831" spans="1:56">
      <c r="A4831" s="48"/>
      <c r="B4831" s="48"/>
      <c r="C4831" s="49"/>
      <c r="D4831" s="48"/>
      <c r="E4831" s="48"/>
      <c r="F4831" s="48"/>
      <c r="G4831" s="48"/>
      <c r="H4831" s="48"/>
      <c r="I4831" s="48"/>
      <c r="J4831" s="86"/>
      <c r="K4831" s="86"/>
      <c r="L4831" s="86"/>
      <c r="M4831" s="86"/>
      <c r="N4831" s="86"/>
      <c r="O4831" s="86"/>
      <c r="P4831" s="86"/>
      <c r="Q4831" s="86"/>
      <c r="R4831" s="86"/>
      <c r="S4831" s="86"/>
      <c r="T4831" s="86"/>
      <c r="U4831" s="86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48"/>
      <c r="BB4831" s="48"/>
      <c r="BC4831" s="48"/>
      <c r="BD4831" s="48"/>
    </row>
    <row r="4832" spans="1:56">
      <c r="A4832" s="48"/>
      <c r="B4832" s="48"/>
      <c r="C4832" s="49"/>
      <c r="D4832" s="48"/>
      <c r="E4832" s="48"/>
      <c r="F4832" s="48"/>
      <c r="G4832" s="48"/>
      <c r="H4832" s="48"/>
      <c r="I4832" s="48"/>
      <c r="J4832" s="86"/>
      <c r="K4832" s="86"/>
      <c r="L4832" s="86"/>
      <c r="M4832" s="86"/>
      <c r="N4832" s="86"/>
      <c r="O4832" s="86"/>
      <c r="P4832" s="86"/>
      <c r="Q4832" s="86"/>
      <c r="R4832" s="86"/>
      <c r="S4832" s="86"/>
      <c r="T4832" s="86"/>
      <c r="U4832" s="86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48"/>
      <c r="BB4832" s="48"/>
      <c r="BC4832" s="48"/>
      <c r="BD4832" s="48"/>
    </row>
    <row r="4833" spans="1:56">
      <c r="A4833" s="48"/>
      <c r="B4833" s="48"/>
      <c r="C4833" s="49"/>
      <c r="D4833" s="48"/>
      <c r="E4833" s="48"/>
      <c r="F4833" s="48"/>
      <c r="G4833" s="48"/>
      <c r="H4833" s="48"/>
      <c r="I4833" s="48"/>
      <c r="J4833" s="86"/>
      <c r="K4833" s="86"/>
      <c r="L4833" s="86"/>
      <c r="M4833" s="86"/>
      <c r="N4833" s="86"/>
      <c r="O4833" s="86"/>
      <c r="P4833" s="86"/>
      <c r="Q4833" s="86"/>
      <c r="R4833" s="86"/>
      <c r="S4833" s="86"/>
      <c r="T4833" s="86"/>
      <c r="U4833" s="86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48"/>
      <c r="BB4833" s="48"/>
      <c r="BC4833" s="48"/>
      <c r="BD4833" s="48"/>
    </row>
    <row r="4834" spans="1:56">
      <c r="A4834" s="48"/>
      <c r="B4834" s="48"/>
      <c r="C4834" s="49"/>
      <c r="D4834" s="48"/>
      <c r="E4834" s="48"/>
      <c r="F4834" s="48"/>
      <c r="G4834" s="48"/>
      <c r="H4834" s="48"/>
      <c r="I4834" s="48"/>
      <c r="J4834" s="86"/>
      <c r="K4834" s="86"/>
      <c r="L4834" s="86"/>
      <c r="M4834" s="86"/>
      <c r="N4834" s="86"/>
      <c r="O4834" s="86"/>
      <c r="P4834" s="86"/>
      <c r="Q4834" s="86"/>
      <c r="R4834" s="86"/>
      <c r="S4834" s="86"/>
      <c r="T4834" s="86"/>
      <c r="U4834" s="86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48"/>
      <c r="BB4834" s="48"/>
      <c r="BC4834" s="48"/>
      <c r="BD4834" s="48"/>
    </row>
    <row r="4835" spans="1:56">
      <c r="A4835" s="48"/>
      <c r="B4835" s="48"/>
      <c r="C4835" s="49"/>
      <c r="D4835" s="48"/>
      <c r="E4835" s="48"/>
      <c r="F4835" s="48"/>
      <c r="G4835" s="48"/>
      <c r="H4835" s="48"/>
      <c r="I4835" s="48"/>
      <c r="J4835" s="86"/>
      <c r="K4835" s="86"/>
      <c r="L4835" s="86"/>
      <c r="M4835" s="86"/>
      <c r="N4835" s="86"/>
      <c r="O4835" s="86"/>
      <c r="P4835" s="86"/>
      <c r="Q4835" s="86"/>
      <c r="R4835" s="86"/>
      <c r="S4835" s="86"/>
      <c r="T4835" s="86"/>
      <c r="U4835" s="86"/>
      <c r="V4835" s="48"/>
      <c r="W4835" s="48"/>
      <c r="X4835" s="48"/>
      <c r="Y4835" s="48"/>
      <c r="Z4835" s="48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48"/>
      <c r="BB4835" s="48"/>
      <c r="BC4835" s="48"/>
      <c r="BD4835" s="48"/>
    </row>
    <row r="4836" spans="1:56">
      <c r="A4836" s="48"/>
      <c r="B4836" s="48"/>
      <c r="C4836" s="49"/>
      <c r="D4836" s="48"/>
      <c r="E4836" s="48"/>
      <c r="F4836" s="48"/>
      <c r="G4836" s="48"/>
      <c r="H4836" s="48"/>
      <c r="I4836" s="48"/>
      <c r="J4836" s="86"/>
      <c r="K4836" s="86"/>
      <c r="L4836" s="86"/>
      <c r="M4836" s="86"/>
      <c r="N4836" s="86"/>
      <c r="O4836" s="86"/>
      <c r="P4836" s="86"/>
      <c r="Q4836" s="86"/>
      <c r="R4836" s="86"/>
      <c r="S4836" s="86"/>
      <c r="T4836" s="86"/>
      <c r="U4836" s="86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48"/>
      <c r="BB4836" s="48"/>
      <c r="BC4836" s="48"/>
      <c r="BD4836" s="48"/>
    </row>
    <row r="4837" spans="1:56">
      <c r="A4837" s="48"/>
      <c r="B4837" s="48"/>
      <c r="C4837" s="49"/>
      <c r="D4837" s="48"/>
      <c r="E4837" s="48"/>
      <c r="F4837" s="48"/>
      <c r="G4837" s="48"/>
      <c r="H4837" s="48"/>
      <c r="I4837" s="48"/>
      <c r="J4837" s="86"/>
      <c r="K4837" s="86"/>
      <c r="L4837" s="86"/>
      <c r="M4837" s="86"/>
      <c r="N4837" s="86"/>
      <c r="O4837" s="86"/>
      <c r="P4837" s="86"/>
      <c r="Q4837" s="86"/>
      <c r="R4837" s="86"/>
      <c r="S4837" s="86"/>
      <c r="T4837" s="86"/>
      <c r="U4837" s="86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48"/>
      <c r="BB4837" s="48"/>
      <c r="BC4837" s="48"/>
      <c r="BD4837" s="48"/>
    </row>
    <row r="4838" spans="1:56">
      <c r="A4838" s="48"/>
      <c r="B4838" s="48"/>
      <c r="C4838" s="49"/>
      <c r="D4838" s="48"/>
      <c r="E4838" s="48"/>
      <c r="F4838" s="48"/>
      <c r="G4838" s="48"/>
      <c r="H4838" s="48"/>
      <c r="I4838" s="48"/>
      <c r="J4838" s="86"/>
      <c r="K4838" s="86"/>
      <c r="L4838" s="86"/>
      <c r="M4838" s="86"/>
      <c r="N4838" s="86"/>
      <c r="O4838" s="86"/>
      <c r="P4838" s="86"/>
      <c r="Q4838" s="86"/>
      <c r="R4838" s="86"/>
      <c r="S4838" s="86"/>
      <c r="T4838" s="86"/>
      <c r="U4838" s="86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48"/>
      <c r="BB4838" s="48"/>
      <c r="BC4838" s="48"/>
      <c r="BD4838" s="48"/>
    </row>
    <row r="4839" spans="1:56">
      <c r="A4839" s="48"/>
      <c r="B4839" s="48"/>
      <c r="C4839" s="49"/>
      <c r="D4839" s="48"/>
      <c r="E4839" s="48"/>
      <c r="F4839" s="48"/>
      <c r="G4839" s="48"/>
      <c r="H4839" s="48"/>
      <c r="I4839" s="48"/>
      <c r="J4839" s="86"/>
      <c r="K4839" s="86"/>
      <c r="L4839" s="86"/>
      <c r="M4839" s="86"/>
      <c r="N4839" s="86"/>
      <c r="O4839" s="86"/>
      <c r="P4839" s="86"/>
      <c r="Q4839" s="86"/>
      <c r="R4839" s="86"/>
      <c r="S4839" s="86"/>
      <c r="T4839" s="86"/>
      <c r="U4839" s="86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48"/>
      <c r="BB4839" s="48"/>
      <c r="BC4839" s="48"/>
      <c r="BD4839" s="48"/>
    </row>
    <row r="4840" spans="1:56">
      <c r="A4840" s="48"/>
      <c r="B4840" s="48"/>
      <c r="C4840" s="49"/>
      <c r="D4840" s="48"/>
      <c r="E4840" s="48"/>
      <c r="F4840" s="48"/>
      <c r="G4840" s="48"/>
      <c r="H4840" s="48"/>
      <c r="I4840" s="48"/>
      <c r="J4840" s="86"/>
      <c r="K4840" s="86"/>
      <c r="L4840" s="86"/>
      <c r="M4840" s="86"/>
      <c r="N4840" s="86"/>
      <c r="O4840" s="86"/>
      <c r="P4840" s="86"/>
      <c r="Q4840" s="86"/>
      <c r="R4840" s="86"/>
      <c r="S4840" s="86"/>
      <c r="T4840" s="86"/>
      <c r="U4840" s="86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48"/>
      <c r="BB4840" s="48"/>
      <c r="BC4840" s="48"/>
      <c r="BD4840" s="48"/>
    </row>
    <row r="4841" spans="1:56">
      <c r="A4841" s="48"/>
      <c r="B4841" s="48"/>
      <c r="C4841" s="49"/>
      <c r="D4841" s="48"/>
      <c r="E4841" s="48"/>
      <c r="F4841" s="48"/>
      <c r="G4841" s="48"/>
      <c r="H4841" s="48"/>
      <c r="I4841" s="48"/>
      <c r="J4841" s="86"/>
      <c r="K4841" s="86"/>
      <c r="L4841" s="86"/>
      <c r="M4841" s="86"/>
      <c r="N4841" s="86"/>
      <c r="O4841" s="86"/>
      <c r="P4841" s="86"/>
      <c r="Q4841" s="86"/>
      <c r="R4841" s="86"/>
      <c r="S4841" s="86"/>
      <c r="T4841" s="86"/>
      <c r="U4841" s="86"/>
      <c r="V4841" s="48"/>
      <c r="W4841" s="48"/>
      <c r="X4841" s="48"/>
      <c r="Y4841" s="48"/>
      <c r="Z4841" s="48"/>
      <c r="AA4841" s="48"/>
      <c r="AB4841" s="48"/>
      <c r="AC4841" s="48"/>
      <c r="AD4841" s="48"/>
      <c r="AE4841" s="48"/>
      <c r="AF4841" s="48"/>
      <c r="AG4841" s="48"/>
      <c r="AH4841" s="48"/>
      <c r="AI4841" s="48"/>
      <c r="AJ4841" s="48"/>
      <c r="AK4841" s="48"/>
      <c r="AL4841" s="48"/>
      <c r="AM4841" s="48"/>
      <c r="AN4841" s="48"/>
      <c r="AO4841" s="48"/>
      <c r="AP4841" s="48"/>
      <c r="AQ4841" s="48"/>
      <c r="AR4841" s="48"/>
      <c r="AS4841" s="48"/>
      <c r="AT4841" s="48"/>
      <c r="AU4841" s="48"/>
      <c r="AV4841" s="48"/>
      <c r="AW4841" s="48"/>
      <c r="AX4841" s="48"/>
      <c r="AY4841" s="48"/>
      <c r="AZ4841" s="48"/>
      <c r="BA4841" s="48"/>
      <c r="BB4841" s="48"/>
      <c r="BC4841" s="48"/>
      <c r="BD4841" s="48"/>
    </row>
    <row r="4842" spans="1:56">
      <c r="A4842" s="48"/>
      <c r="B4842" s="48"/>
      <c r="C4842" s="49"/>
      <c r="D4842" s="48"/>
      <c r="E4842" s="48"/>
      <c r="F4842" s="48"/>
      <c r="G4842" s="48"/>
      <c r="H4842" s="48"/>
      <c r="I4842" s="48"/>
      <c r="J4842" s="86"/>
      <c r="K4842" s="86"/>
      <c r="L4842" s="86"/>
      <c r="M4842" s="86"/>
      <c r="N4842" s="86"/>
      <c r="O4842" s="86"/>
      <c r="P4842" s="86"/>
      <c r="Q4842" s="86"/>
      <c r="R4842" s="86"/>
      <c r="S4842" s="86"/>
      <c r="T4842" s="86"/>
      <c r="U4842" s="86"/>
      <c r="V4842" s="48"/>
      <c r="W4842" s="48"/>
      <c r="X4842" s="48"/>
      <c r="Y4842" s="48"/>
      <c r="Z4842" s="48"/>
      <c r="AA4842" s="48"/>
      <c r="AB4842" s="48"/>
      <c r="AC4842" s="48"/>
      <c r="AD4842" s="48"/>
      <c r="AE4842" s="48"/>
      <c r="AF4842" s="48"/>
      <c r="AG4842" s="48"/>
      <c r="AH4842" s="48"/>
      <c r="AI4842" s="48"/>
      <c r="AJ4842" s="48"/>
      <c r="AK4842" s="48"/>
      <c r="AL4842" s="48"/>
      <c r="AM4842" s="48"/>
      <c r="AN4842" s="48"/>
      <c r="AO4842" s="48"/>
      <c r="AP4842" s="48"/>
      <c r="AQ4842" s="48"/>
      <c r="AR4842" s="48"/>
      <c r="AS4842" s="48"/>
      <c r="AT4842" s="48"/>
      <c r="AU4842" s="48"/>
      <c r="AV4842" s="48"/>
      <c r="AW4842" s="48"/>
      <c r="AX4842" s="48"/>
      <c r="AY4842" s="48"/>
      <c r="AZ4842" s="48"/>
      <c r="BA4842" s="48"/>
      <c r="BB4842" s="48"/>
      <c r="BC4842" s="48"/>
      <c r="BD4842" s="48"/>
    </row>
    <row r="4843" spans="1:56">
      <c r="A4843" s="48"/>
      <c r="B4843" s="48"/>
      <c r="C4843" s="49"/>
      <c r="D4843" s="48"/>
      <c r="E4843" s="48"/>
      <c r="F4843" s="48"/>
      <c r="G4843" s="48"/>
      <c r="H4843" s="48"/>
      <c r="I4843" s="48"/>
      <c r="J4843" s="86"/>
      <c r="K4843" s="86"/>
      <c r="L4843" s="86"/>
      <c r="M4843" s="86"/>
      <c r="N4843" s="86"/>
      <c r="O4843" s="86"/>
      <c r="P4843" s="86"/>
      <c r="Q4843" s="86"/>
      <c r="R4843" s="86"/>
      <c r="S4843" s="86"/>
      <c r="T4843" s="86"/>
      <c r="U4843" s="86"/>
      <c r="V4843" s="48"/>
      <c r="W4843" s="48"/>
      <c r="X4843" s="48"/>
      <c r="Y4843" s="48"/>
      <c r="Z4843" s="48"/>
      <c r="AA4843" s="48"/>
      <c r="AB4843" s="48"/>
      <c r="AC4843" s="48"/>
      <c r="AD4843" s="48"/>
      <c r="AE4843" s="48"/>
      <c r="AF4843" s="48"/>
      <c r="AG4843" s="48"/>
      <c r="AH4843" s="48"/>
      <c r="AI4843" s="48"/>
      <c r="AJ4843" s="48"/>
      <c r="AK4843" s="48"/>
      <c r="AL4843" s="48"/>
      <c r="AM4843" s="48"/>
      <c r="AN4843" s="48"/>
      <c r="AO4843" s="48"/>
      <c r="AP4843" s="48"/>
      <c r="AQ4843" s="48"/>
      <c r="AR4843" s="48"/>
      <c r="AS4843" s="48"/>
      <c r="AT4843" s="48"/>
      <c r="AU4843" s="48"/>
      <c r="AV4843" s="48"/>
      <c r="AW4843" s="48"/>
      <c r="AX4843" s="48"/>
      <c r="AY4843" s="48"/>
      <c r="AZ4843" s="48"/>
      <c r="BA4843" s="48"/>
      <c r="BB4843" s="48"/>
      <c r="BC4843" s="48"/>
      <c r="BD4843" s="48"/>
    </row>
    <row r="4844" spans="1:56">
      <c r="A4844" s="48"/>
      <c r="B4844" s="48"/>
      <c r="C4844" s="49"/>
      <c r="D4844" s="48"/>
      <c r="E4844" s="48"/>
      <c r="F4844" s="48"/>
      <c r="G4844" s="48"/>
      <c r="H4844" s="48"/>
      <c r="I4844" s="48"/>
      <c r="J4844" s="86"/>
      <c r="K4844" s="86"/>
      <c r="L4844" s="86"/>
      <c r="M4844" s="86"/>
      <c r="N4844" s="86"/>
      <c r="O4844" s="86"/>
      <c r="P4844" s="86"/>
      <c r="Q4844" s="86"/>
      <c r="R4844" s="86"/>
      <c r="S4844" s="86"/>
      <c r="T4844" s="86"/>
      <c r="U4844" s="86"/>
      <c r="V4844" s="48"/>
      <c r="W4844" s="48"/>
      <c r="X4844" s="48"/>
      <c r="Y4844" s="48"/>
      <c r="Z4844" s="48"/>
      <c r="AA4844" s="48"/>
      <c r="AB4844" s="48"/>
      <c r="AC4844" s="48"/>
      <c r="AD4844" s="48"/>
      <c r="AE4844" s="48"/>
      <c r="AF4844" s="48"/>
      <c r="AG4844" s="48"/>
      <c r="AH4844" s="48"/>
      <c r="AI4844" s="48"/>
      <c r="AJ4844" s="48"/>
      <c r="AK4844" s="48"/>
      <c r="AL4844" s="48"/>
      <c r="AM4844" s="48"/>
      <c r="AN4844" s="48"/>
      <c r="AO4844" s="48"/>
      <c r="AP4844" s="48"/>
      <c r="AQ4844" s="48"/>
      <c r="AR4844" s="48"/>
      <c r="AS4844" s="48"/>
      <c r="AT4844" s="48"/>
      <c r="AU4844" s="48"/>
      <c r="AV4844" s="48"/>
      <c r="AW4844" s="48"/>
      <c r="AX4844" s="48"/>
      <c r="AY4844" s="48"/>
      <c r="AZ4844" s="48"/>
      <c r="BA4844" s="48"/>
      <c r="BB4844" s="48"/>
      <c r="BC4844" s="48"/>
      <c r="BD4844" s="48"/>
    </row>
    <row r="4845" spans="1:56">
      <c r="A4845" s="48"/>
      <c r="B4845" s="48"/>
      <c r="C4845" s="49"/>
      <c r="D4845" s="48"/>
      <c r="E4845" s="48"/>
      <c r="F4845" s="48"/>
      <c r="G4845" s="48"/>
      <c r="H4845" s="48"/>
      <c r="I4845" s="48"/>
      <c r="J4845" s="86"/>
      <c r="K4845" s="86"/>
      <c r="L4845" s="86"/>
      <c r="M4845" s="86"/>
      <c r="N4845" s="86"/>
      <c r="O4845" s="86"/>
      <c r="P4845" s="86"/>
      <c r="Q4845" s="86"/>
      <c r="R4845" s="86"/>
      <c r="S4845" s="86"/>
      <c r="T4845" s="86"/>
      <c r="U4845" s="86"/>
      <c r="V4845" s="48"/>
      <c r="W4845" s="48"/>
      <c r="X4845" s="48"/>
      <c r="Y4845" s="48"/>
      <c r="Z4845" s="48"/>
      <c r="AA4845" s="48"/>
      <c r="AB4845" s="48"/>
      <c r="AC4845" s="48"/>
      <c r="AD4845" s="48"/>
      <c r="AE4845" s="48"/>
      <c r="AF4845" s="48"/>
      <c r="AG4845" s="48"/>
      <c r="AH4845" s="48"/>
      <c r="AI4845" s="48"/>
      <c r="AJ4845" s="48"/>
      <c r="AK4845" s="48"/>
      <c r="AL4845" s="48"/>
      <c r="AM4845" s="48"/>
      <c r="AN4845" s="48"/>
      <c r="AO4845" s="48"/>
      <c r="AP4845" s="48"/>
      <c r="AQ4845" s="48"/>
      <c r="AR4845" s="48"/>
      <c r="AS4845" s="48"/>
      <c r="AT4845" s="48"/>
      <c r="AU4845" s="48"/>
      <c r="AV4845" s="48"/>
      <c r="AW4845" s="48"/>
      <c r="AX4845" s="48"/>
      <c r="AY4845" s="48"/>
      <c r="AZ4845" s="48"/>
      <c r="BA4845" s="48"/>
      <c r="BB4845" s="48"/>
      <c r="BC4845" s="48"/>
      <c r="BD4845" s="48"/>
    </row>
    <row r="4846" spans="1:56">
      <c r="A4846" s="48"/>
      <c r="B4846" s="48"/>
      <c r="C4846" s="49"/>
      <c r="D4846" s="48"/>
      <c r="E4846" s="48"/>
      <c r="F4846" s="48"/>
      <c r="G4846" s="48"/>
      <c r="H4846" s="48"/>
      <c r="I4846" s="48"/>
      <c r="J4846" s="86"/>
      <c r="K4846" s="86"/>
      <c r="L4846" s="86"/>
      <c r="M4846" s="86"/>
      <c r="N4846" s="86"/>
      <c r="O4846" s="86"/>
      <c r="P4846" s="86"/>
      <c r="Q4846" s="86"/>
      <c r="R4846" s="86"/>
      <c r="S4846" s="86"/>
      <c r="T4846" s="86"/>
      <c r="U4846" s="86"/>
      <c r="V4846" s="48"/>
      <c r="W4846" s="48"/>
      <c r="X4846" s="48"/>
      <c r="Y4846" s="48"/>
      <c r="Z4846" s="48"/>
      <c r="AA4846" s="48"/>
      <c r="AB4846" s="48"/>
      <c r="AC4846" s="48"/>
      <c r="AD4846" s="48"/>
      <c r="AE4846" s="48"/>
      <c r="AF4846" s="48"/>
      <c r="AG4846" s="48"/>
      <c r="AH4846" s="48"/>
      <c r="AI4846" s="48"/>
      <c r="AJ4846" s="48"/>
      <c r="AK4846" s="48"/>
      <c r="AL4846" s="48"/>
      <c r="AM4846" s="48"/>
      <c r="AN4846" s="48"/>
      <c r="AO4846" s="48"/>
      <c r="AP4846" s="48"/>
      <c r="AQ4846" s="48"/>
      <c r="AR4846" s="48"/>
      <c r="AS4846" s="48"/>
      <c r="AT4846" s="48"/>
      <c r="AU4846" s="48"/>
      <c r="AV4846" s="48"/>
      <c r="AW4846" s="48"/>
      <c r="AX4846" s="48"/>
      <c r="AY4846" s="48"/>
      <c r="AZ4846" s="48"/>
      <c r="BA4846" s="48"/>
      <c r="BB4846" s="48"/>
      <c r="BC4846" s="48"/>
      <c r="BD4846" s="48"/>
    </row>
    <row r="4847" spans="1:56">
      <c r="A4847" s="48"/>
      <c r="B4847" s="48"/>
      <c r="C4847" s="49"/>
      <c r="D4847" s="48"/>
      <c r="E4847" s="48"/>
      <c r="F4847" s="48"/>
      <c r="G4847" s="48"/>
      <c r="H4847" s="48"/>
      <c r="I4847" s="48"/>
      <c r="J4847" s="86"/>
      <c r="K4847" s="86"/>
      <c r="L4847" s="86"/>
      <c r="M4847" s="86"/>
      <c r="N4847" s="86"/>
      <c r="O4847" s="86"/>
      <c r="P4847" s="86"/>
      <c r="Q4847" s="86"/>
      <c r="R4847" s="86"/>
      <c r="S4847" s="86"/>
      <c r="T4847" s="86"/>
      <c r="U4847" s="86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L4847" s="48"/>
      <c r="AM4847" s="48"/>
      <c r="AN4847" s="48"/>
      <c r="AO4847" s="48"/>
      <c r="AP4847" s="48"/>
      <c r="AQ4847" s="48"/>
      <c r="AR4847" s="48"/>
      <c r="AS4847" s="48"/>
      <c r="AT4847" s="48"/>
      <c r="AU4847" s="48"/>
      <c r="AV4847" s="48"/>
      <c r="AW4847" s="48"/>
      <c r="AX4847" s="48"/>
      <c r="AY4847" s="48"/>
      <c r="AZ4847" s="48"/>
      <c r="BA4847" s="48"/>
      <c r="BB4847" s="48"/>
      <c r="BC4847" s="48"/>
      <c r="BD4847" s="48"/>
    </row>
    <row r="4848" spans="1:56">
      <c r="A4848" s="48"/>
      <c r="B4848" s="48"/>
      <c r="C4848" s="49"/>
      <c r="D4848" s="48"/>
      <c r="E4848" s="48"/>
      <c r="F4848" s="48"/>
      <c r="G4848" s="48"/>
      <c r="H4848" s="48"/>
      <c r="I4848" s="48"/>
      <c r="J4848" s="86"/>
      <c r="K4848" s="86"/>
      <c r="L4848" s="86"/>
      <c r="M4848" s="86"/>
      <c r="N4848" s="86"/>
      <c r="O4848" s="86"/>
      <c r="P4848" s="86"/>
      <c r="Q4848" s="86"/>
      <c r="R4848" s="86"/>
      <c r="S4848" s="86"/>
      <c r="T4848" s="86"/>
      <c r="U4848" s="86"/>
      <c r="V4848" s="48"/>
      <c r="W4848" s="48"/>
      <c r="X4848" s="48"/>
      <c r="Y4848" s="48"/>
      <c r="Z4848" s="48"/>
      <c r="AA4848" s="48"/>
      <c r="AB4848" s="48"/>
      <c r="AC4848" s="48"/>
      <c r="AD4848" s="48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48"/>
      <c r="BB4848" s="48"/>
      <c r="BC4848" s="48"/>
      <c r="BD4848" s="48"/>
    </row>
    <row r="4849" spans="1:56">
      <c r="A4849" s="48"/>
      <c r="B4849" s="48"/>
      <c r="C4849" s="49"/>
      <c r="D4849" s="48"/>
      <c r="E4849" s="48"/>
      <c r="F4849" s="48"/>
      <c r="G4849" s="48"/>
      <c r="H4849" s="48"/>
      <c r="I4849" s="48"/>
      <c r="J4849" s="86"/>
      <c r="K4849" s="86"/>
      <c r="L4849" s="86"/>
      <c r="M4849" s="86"/>
      <c r="N4849" s="86"/>
      <c r="O4849" s="86"/>
      <c r="P4849" s="86"/>
      <c r="Q4849" s="86"/>
      <c r="R4849" s="86"/>
      <c r="S4849" s="86"/>
      <c r="T4849" s="86"/>
      <c r="U4849" s="86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48"/>
      <c r="BB4849" s="48"/>
      <c r="BC4849" s="48"/>
      <c r="BD4849" s="48"/>
    </row>
    <row r="4850" spans="1:56">
      <c r="A4850" s="48"/>
      <c r="B4850" s="48"/>
      <c r="C4850" s="49"/>
      <c r="D4850" s="48"/>
      <c r="E4850" s="48"/>
      <c r="F4850" s="48"/>
      <c r="G4850" s="48"/>
      <c r="H4850" s="48"/>
      <c r="I4850" s="48"/>
      <c r="J4850" s="86"/>
      <c r="K4850" s="86"/>
      <c r="L4850" s="86"/>
      <c r="M4850" s="86"/>
      <c r="N4850" s="86"/>
      <c r="O4850" s="86"/>
      <c r="P4850" s="86"/>
      <c r="Q4850" s="86"/>
      <c r="R4850" s="86"/>
      <c r="S4850" s="86"/>
      <c r="T4850" s="86"/>
      <c r="U4850" s="86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48"/>
      <c r="BB4850" s="48"/>
      <c r="BC4850" s="48"/>
      <c r="BD4850" s="48"/>
    </row>
    <row r="4851" spans="1:56">
      <c r="A4851" s="48"/>
      <c r="B4851" s="48"/>
      <c r="C4851" s="49"/>
      <c r="D4851" s="48"/>
      <c r="E4851" s="48"/>
      <c r="F4851" s="48"/>
      <c r="G4851" s="48"/>
      <c r="H4851" s="48"/>
      <c r="I4851" s="48"/>
      <c r="J4851" s="86"/>
      <c r="K4851" s="86"/>
      <c r="L4851" s="86"/>
      <c r="M4851" s="86"/>
      <c r="N4851" s="86"/>
      <c r="O4851" s="86"/>
      <c r="P4851" s="86"/>
      <c r="Q4851" s="86"/>
      <c r="R4851" s="86"/>
      <c r="S4851" s="86"/>
      <c r="T4851" s="86"/>
      <c r="U4851" s="86"/>
      <c r="V4851" s="48"/>
      <c r="W4851" s="48"/>
      <c r="X4851" s="48"/>
      <c r="Y4851" s="48"/>
      <c r="Z4851" s="48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48"/>
      <c r="BB4851" s="48"/>
      <c r="BC4851" s="48"/>
      <c r="BD4851" s="48"/>
    </row>
    <row r="4852" spans="1:56">
      <c r="A4852" s="48"/>
      <c r="B4852" s="48"/>
      <c r="C4852" s="49"/>
      <c r="D4852" s="48"/>
      <c r="E4852" s="48"/>
      <c r="F4852" s="48"/>
      <c r="G4852" s="48"/>
      <c r="H4852" s="48"/>
      <c r="I4852" s="48"/>
      <c r="J4852" s="86"/>
      <c r="K4852" s="86"/>
      <c r="L4852" s="86"/>
      <c r="M4852" s="86"/>
      <c r="N4852" s="86"/>
      <c r="O4852" s="86"/>
      <c r="P4852" s="86"/>
      <c r="Q4852" s="86"/>
      <c r="R4852" s="86"/>
      <c r="S4852" s="86"/>
      <c r="T4852" s="86"/>
      <c r="U4852" s="86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48"/>
      <c r="BB4852" s="48"/>
      <c r="BC4852" s="48"/>
      <c r="BD4852" s="48"/>
    </row>
    <row r="4853" spans="1:56">
      <c r="A4853" s="48"/>
      <c r="B4853" s="48"/>
      <c r="C4853" s="49"/>
      <c r="D4853" s="48"/>
      <c r="E4853" s="48"/>
      <c r="F4853" s="48"/>
      <c r="G4853" s="48"/>
      <c r="H4853" s="48"/>
      <c r="I4853" s="48"/>
      <c r="J4853" s="86"/>
      <c r="K4853" s="86"/>
      <c r="L4853" s="86"/>
      <c r="M4853" s="86"/>
      <c r="N4853" s="86"/>
      <c r="O4853" s="86"/>
      <c r="P4853" s="86"/>
      <c r="Q4853" s="86"/>
      <c r="R4853" s="86"/>
      <c r="S4853" s="86"/>
      <c r="T4853" s="86"/>
      <c r="U4853" s="86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48"/>
      <c r="BB4853" s="48"/>
      <c r="BC4853" s="48"/>
      <c r="BD4853" s="48"/>
    </row>
    <row r="4854" spans="1:56">
      <c r="A4854" s="48"/>
      <c r="B4854" s="48"/>
      <c r="C4854" s="49"/>
      <c r="D4854" s="48"/>
      <c r="E4854" s="48"/>
      <c r="F4854" s="48"/>
      <c r="G4854" s="48"/>
      <c r="H4854" s="48"/>
      <c r="I4854" s="48"/>
      <c r="J4854" s="86"/>
      <c r="K4854" s="86"/>
      <c r="L4854" s="86"/>
      <c r="M4854" s="86"/>
      <c r="N4854" s="86"/>
      <c r="O4854" s="86"/>
      <c r="P4854" s="86"/>
      <c r="Q4854" s="86"/>
      <c r="R4854" s="86"/>
      <c r="S4854" s="86"/>
      <c r="T4854" s="86"/>
      <c r="U4854" s="86"/>
      <c r="V4854" s="48"/>
      <c r="W4854" s="48"/>
      <c r="X4854" s="48"/>
      <c r="Y4854" s="48"/>
      <c r="Z4854" s="48"/>
      <c r="AA4854" s="48"/>
      <c r="AB4854" s="48"/>
      <c r="AC4854" s="48"/>
      <c r="AD4854" s="48"/>
      <c r="AE4854" s="48"/>
      <c r="AF4854" s="48"/>
      <c r="AG4854" s="48"/>
      <c r="AH4854" s="48"/>
      <c r="AI4854" s="48"/>
      <c r="AJ4854" s="48"/>
      <c r="AK4854" s="48"/>
      <c r="AL4854" s="48"/>
      <c r="AM4854" s="48"/>
      <c r="AN4854" s="48"/>
      <c r="AO4854" s="48"/>
      <c r="AP4854" s="48"/>
      <c r="AQ4854" s="48"/>
      <c r="AR4854" s="48"/>
      <c r="AS4854" s="48"/>
      <c r="AT4854" s="48"/>
      <c r="AU4854" s="48"/>
      <c r="AV4854" s="48"/>
      <c r="AW4854" s="48"/>
      <c r="AX4854" s="48"/>
      <c r="AY4854" s="48"/>
      <c r="AZ4854" s="48"/>
      <c r="BA4854" s="48"/>
      <c r="BB4854" s="48"/>
      <c r="BC4854" s="48"/>
      <c r="BD4854" s="48"/>
    </row>
    <row r="4855" spans="1:56">
      <c r="A4855" s="48"/>
      <c r="B4855" s="48"/>
      <c r="C4855" s="49"/>
      <c r="D4855" s="48"/>
      <c r="E4855" s="48"/>
      <c r="F4855" s="48"/>
      <c r="G4855" s="48"/>
      <c r="H4855" s="48"/>
      <c r="I4855" s="48"/>
      <c r="J4855" s="86"/>
      <c r="K4855" s="86"/>
      <c r="L4855" s="86"/>
      <c r="M4855" s="86"/>
      <c r="N4855" s="86"/>
      <c r="O4855" s="86"/>
      <c r="P4855" s="86"/>
      <c r="Q4855" s="86"/>
      <c r="R4855" s="86"/>
      <c r="S4855" s="86"/>
      <c r="T4855" s="86"/>
      <c r="U4855" s="86"/>
      <c r="V4855" s="48"/>
      <c r="W4855" s="48"/>
      <c r="X4855" s="48"/>
      <c r="Y4855" s="48"/>
      <c r="Z4855" s="48"/>
      <c r="AA4855" s="48"/>
      <c r="AB4855" s="48"/>
      <c r="AC4855" s="48"/>
      <c r="AD4855" s="48"/>
      <c r="AE4855" s="48"/>
      <c r="AF4855" s="48"/>
      <c r="AG4855" s="48"/>
      <c r="AH4855" s="48"/>
      <c r="AI4855" s="48"/>
      <c r="AJ4855" s="48"/>
      <c r="AK4855" s="48"/>
      <c r="AL4855" s="48"/>
      <c r="AM4855" s="48"/>
      <c r="AN4855" s="48"/>
      <c r="AO4855" s="48"/>
      <c r="AP4855" s="48"/>
      <c r="AQ4855" s="48"/>
      <c r="AR4855" s="48"/>
      <c r="AS4855" s="48"/>
      <c r="AT4855" s="48"/>
      <c r="AU4855" s="48"/>
      <c r="AV4855" s="48"/>
      <c r="AW4855" s="48"/>
      <c r="AX4855" s="48"/>
      <c r="AY4855" s="48"/>
      <c r="AZ4855" s="48"/>
      <c r="BA4855" s="48"/>
      <c r="BB4855" s="48"/>
      <c r="BC4855" s="48"/>
      <c r="BD4855" s="48"/>
    </row>
    <row r="4856" spans="1:56">
      <c r="A4856" s="48"/>
      <c r="B4856" s="48"/>
      <c r="C4856" s="49"/>
      <c r="D4856" s="48"/>
      <c r="E4856" s="48"/>
      <c r="F4856" s="48"/>
      <c r="G4856" s="48"/>
      <c r="H4856" s="48"/>
      <c r="I4856" s="48"/>
      <c r="J4856" s="86"/>
      <c r="K4856" s="86"/>
      <c r="L4856" s="86"/>
      <c r="M4856" s="86"/>
      <c r="N4856" s="86"/>
      <c r="O4856" s="86"/>
      <c r="P4856" s="86"/>
      <c r="Q4856" s="86"/>
      <c r="R4856" s="86"/>
      <c r="S4856" s="86"/>
      <c r="T4856" s="86"/>
      <c r="U4856" s="86"/>
      <c r="V4856" s="48"/>
      <c r="W4856" s="48"/>
      <c r="X4856" s="48"/>
      <c r="Y4856" s="48"/>
      <c r="Z4856" s="48"/>
      <c r="AA4856" s="48"/>
      <c r="AB4856" s="48"/>
      <c r="AC4856" s="48"/>
      <c r="AD4856" s="48"/>
      <c r="AE4856" s="48"/>
      <c r="AF4856" s="48"/>
      <c r="AG4856" s="48"/>
      <c r="AH4856" s="48"/>
      <c r="AI4856" s="48"/>
      <c r="AJ4856" s="48"/>
      <c r="AK4856" s="48"/>
      <c r="AL4856" s="48"/>
      <c r="AM4856" s="48"/>
      <c r="AN4856" s="48"/>
      <c r="AO4856" s="48"/>
      <c r="AP4856" s="48"/>
      <c r="AQ4856" s="48"/>
      <c r="AR4856" s="48"/>
      <c r="AS4856" s="48"/>
      <c r="AT4856" s="48"/>
      <c r="AU4856" s="48"/>
      <c r="AV4856" s="48"/>
      <c r="AW4856" s="48"/>
      <c r="AX4856" s="48"/>
      <c r="AY4856" s="48"/>
      <c r="AZ4856" s="48"/>
      <c r="BA4856" s="48"/>
      <c r="BB4856" s="48"/>
      <c r="BC4856" s="48"/>
      <c r="BD4856" s="48"/>
    </row>
    <row r="4857" spans="1:56">
      <c r="A4857" s="48"/>
      <c r="B4857" s="48"/>
      <c r="C4857" s="49"/>
      <c r="D4857" s="48"/>
      <c r="E4857" s="48"/>
      <c r="F4857" s="48"/>
      <c r="G4857" s="48"/>
      <c r="H4857" s="48"/>
      <c r="I4857" s="48"/>
      <c r="J4857" s="86"/>
      <c r="K4857" s="86"/>
      <c r="L4857" s="86"/>
      <c r="M4857" s="86"/>
      <c r="N4857" s="86"/>
      <c r="O4857" s="86"/>
      <c r="P4857" s="86"/>
      <c r="Q4857" s="86"/>
      <c r="R4857" s="86"/>
      <c r="S4857" s="86"/>
      <c r="T4857" s="86"/>
      <c r="U4857" s="86"/>
      <c r="V4857" s="48"/>
      <c r="W4857" s="48"/>
      <c r="X4857" s="48"/>
      <c r="Y4857" s="48"/>
      <c r="Z4857" s="48"/>
      <c r="AA4857" s="48"/>
      <c r="AB4857" s="48"/>
      <c r="AC4857" s="48"/>
      <c r="AD4857" s="48"/>
      <c r="AE4857" s="48"/>
      <c r="AF4857" s="48"/>
      <c r="AG4857" s="48"/>
      <c r="AH4857" s="48"/>
      <c r="AI4857" s="48"/>
      <c r="AJ4857" s="48"/>
      <c r="AK4857" s="48"/>
      <c r="AL4857" s="48"/>
      <c r="AM4857" s="48"/>
      <c r="AN4857" s="48"/>
      <c r="AO4857" s="48"/>
      <c r="AP4857" s="48"/>
      <c r="AQ4857" s="48"/>
      <c r="AR4857" s="48"/>
      <c r="AS4857" s="48"/>
      <c r="AT4857" s="48"/>
      <c r="AU4857" s="48"/>
      <c r="AV4857" s="48"/>
      <c r="AW4857" s="48"/>
      <c r="AX4857" s="48"/>
      <c r="AY4857" s="48"/>
      <c r="AZ4857" s="48"/>
      <c r="BA4857" s="48"/>
      <c r="BB4857" s="48"/>
      <c r="BC4857" s="48"/>
      <c r="BD4857" s="48"/>
    </row>
    <row r="4858" spans="1:56">
      <c r="A4858" s="48"/>
      <c r="B4858" s="48"/>
      <c r="C4858" s="49"/>
      <c r="D4858" s="48"/>
      <c r="E4858" s="48"/>
      <c r="F4858" s="48"/>
      <c r="G4858" s="48"/>
      <c r="H4858" s="48"/>
      <c r="I4858" s="48"/>
      <c r="J4858" s="86"/>
      <c r="K4858" s="86"/>
      <c r="L4858" s="86"/>
      <c r="M4858" s="86"/>
      <c r="N4858" s="86"/>
      <c r="O4858" s="86"/>
      <c r="P4858" s="86"/>
      <c r="Q4858" s="86"/>
      <c r="R4858" s="86"/>
      <c r="S4858" s="86"/>
      <c r="T4858" s="86"/>
      <c r="U4858" s="86"/>
      <c r="V4858" s="48"/>
      <c r="W4858" s="48"/>
      <c r="X4858" s="48"/>
      <c r="Y4858" s="48"/>
      <c r="Z4858" s="48"/>
      <c r="AA4858" s="48"/>
      <c r="AB4858" s="48"/>
      <c r="AC4858" s="48"/>
      <c r="AD4858" s="48"/>
      <c r="AE4858" s="48"/>
      <c r="AF4858" s="48"/>
      <c r="AG4858" s="48"/>
      <c r="AH4858" s="48"/>
      <c r="AI4858" s="48"/>
      <c r="AJ4858" s="48"/>
      <c r="AK4858" s="48"/>
      <c r="AL4858" s="48"/>
      <c r="AM4858" s="48"/>
      <c r="AN4858" s="48"/>
      <c r="AO4858" s="48"/>
      <c r="AP4858" s="48"/>
      <c r="AQ4858" s="48"/>
      <c r="AR4858" s="48"/>
      <c r="AS4858" s="48"/>
      <c r="AT4858" s="48"/>
      <c r="AU4858" s="48"/>
      <c r="AV4858" s="48"/>
      <c r="AW4858" s="48"/>
      <c r="AX4858" s="48"/>
      <c r="AY4858" s="48"/>
      <c r="AZ4858" s="48"/>
      <c r="BA4858" s="48"/>
      <c r="BB4858" s="48"/>
      <c r="BC4858" s="48"/>
      <c r="BD4858" s="48"/>
    </row>
    <row r="4859" spans="1:56">
      <c r="A4859" s="48"/>
      <c r="B4859" s="48"/>
      <c r="C4859" s="49"/>
      <c r="D4859" s="48"/>
      <c r="E4859" s="48"/>
      <c r="F4859" s="48"/>
      <c r="G4859" s="48"/>
      <c r="H4859" s="48"/>
      <c r="I4859" s="48"/>
      <c r="J4859" s="86"/>
      <c r="K4859" s="86"/>
      <c r="L4859" s="86"/>
      <c r="M4859" s="86"/>
      <c r="N4859" s="86"/>
      <c r="O4859" s="86"/>
      <c r="P4859" s="86"/>
      <c r="Q4859" s="86"/>
      <c r="R4859" s="86"/>
      <c r="S4859" s="86"/>
      <c r="T4859" s="86"/>
      <c r="U4859" s="86"/>
      <c r="V4859" s="48"/>
      <c r="W4859" s="48"/>
      <c r="X4859" s="48"/>
      <c r="Y4859" s="48"/>
      <c r="Z4859" s="48"/>
      <c r="AA4859" s="48"/>
      <c r="AB4859" s="48"/>
      <c r="AC4859" s="48"/>
      <c r="AD4859" s="48"/>
      <c r="AE4859" s="48"/>
      <c r="AF4859" s="48"/>
      <c r="AG4859" s="48"/>
      <c r="AH4859" s="48"/>
      <c r="AI4859" s="48"/>
      <c r="AJ4859" s="48"/>
      <c r="AK4859" s="48"/>
      <c r="AL4859" s="48"/>
      <c r="AM4859" s="48"/>
      <c r="AN4859" s="48"/>
      <c r="AO4859" s="48"/>
      <c r="AP4859" s="48"/>
      <c r="AQ4859" s="48"/>
      <c r="AR4859" s="48"/>
      <c r="AS4859" s="48"/>
      <c r="AT4859" s="48"/>
      <c r="AU4859" s="48"/>
      <c r="AV4859" s="48"/>
      <c r="AW4859" s="48"/>
      <c r="AX4859" s="48"/>
      <c r="AY4859" s="48"/>
      <c r="AZ4859" s="48"/>
      <c r="BA4859" s="48"/>
      <c r="BB4859" s="48"/>
      <c r="BC4859" s="48"/>
      <c r="BD4859" s="48"/>
    </row>
    <row r="4860" spans="1:56">
      <c r="A4860" s="48"/>
      <c r="B4860" s="48"/>
      <c r="C4860" s="49"/>
      <c r="D4860" s="48"/>
      <c r="E4860" s="48"/>
      <c r="F4860" s="48"/>
      <c r="G4860" s="48"/>
      <c r="H4860" s="48"/>
      <c r="I4860" s="48"/>
      <c r="J4860" s="86"/>
      <c r="K4860" s="86"/>
      <c r="L4860" s="86"/>
      <c r="M4860" s="86"/>
      <c r="N4860" s="86"/>
      <c r="O4860" s="86"/>
      <c r="P4860" s="86"/>
      <c r="Q4860" s="86"/>
      <c r="R4860" s="86"/>
      <c r="S4860" s="86"/>
      <c r="T4860" s="86"/>
      <c r="U4860" s="86"/>
      <c r="V4860" s="48"/>
      <c r="W4860" s="48"/>
      <c r="X4860" s="48"/>
      <c r="Y4860" s="48"/>
      <c r="Z4860" s="48"/>
      <c r="AA4860" s="48"/>
      <c r="AB4860" s="48"/>
      <c r="AC4860" s="48"/>
      <c r="AD4860" s="48"/>
      <c r="AE4860" s="48"/>
      <c r="AF4860" s="48"/>
      <c r="AG4860" s="48"/>
      <c r="AH4860" s="48"/>
      <c r="AI4860" s="48"/>
      <c r="AJ4860" s="48"/>
      <c r="AK4860" s="48"/>
      <c r="AL4860" s="48"/>
      <c r="AM4860" s="48"/>
      <c r="AN4860" s="48"/>
      <c r="AO4860" s="48"/>
      <c r="AP4860" s="48"/>
      <c r="AQ4860" s="48"/>
      <c r="AR4860" s="48"/>
      <c r="AS4860" s="48"/>
      <c r="AT4860" s="48"/>
      <c r="AU4860" s="48"/>
      <c r="AV4860" s="48"/>
      <c r="AW4860" s="48"/>
      <c r="AX4860" s="48"/>
      <c r="AY4860" s="48"/>
      <c r="AZ4860" s="48"/>
      <c r="BA4860" s="48"/>
      <c r="BB4860" s="48"/>
      <c r="BC4860" s="48"/>
      <c r="BD4860" s="48"/>
    </row>
    <row r="4861" spans="1:56">
      <c r="A4861" s="48"/>
      <c r="B4861" s="48"/>
      <c r="C4861" s="49"/>
      <c r="D4861" s="48"/>
      <c r="E4861" s="48"/>
      <c r="F4861" s="48"/>
      <c r="G4861" s="48"/>
      <c r="H4861" s="48"/>
      <c r="I4861" s="48"/>
      <c r="J4861" s="86"/>
      <c r="K4861" s="86"/>
      <c r="L4861" s="86"/>
      <c r="M4861" s="86"/>
      <c r="N4861" s="86"/>
      <c r="O4861" s="86"/>
      <c r="P4861" s="86"/>
      <c r="Q4861" s="86"/>
      <c r="R4861" s="86"/>
      <c r="S4861" s="86"/>
      <c r="T4861" s="86"/>
      <c r="U4861" s="86"/>
      <c r="V4861" s="48"/>
      <c r="W4861" s="48"/>
      <c r="X4861" s="48"/>
      <c r="Y4861" s="48"/>
      <c r="Z4861" s="48"/>
      <c r="AA4861" s="48"/>
      <c r="AB4861" s="48"/>
      <c r="AC4861" s="48"/>
      <c r="AD4861" s="48"/>
      <c r="AE4861" s="48"/>
      <c r="AF4861" s="48"/>
      <c r="AG4861" s="48"/>
      <c r="AH4861" s="48"/>
      <c r="AI4861" s="48"/>
      <c r="AJ4861" s="48"/>
      <c r="AK4861" s="48"/>
      <c r="AL4861" s="48"/>
      <c r="AM4861" s="48"/>
      <c r="AN4861" s="48"/>
      <c r="AO4861" s="48"/>
      <c r="AP4861" s="48"/>
      <c r="AQ4861" s="48"/>
      <c r="AR4861" s="48"/>
      <c r="AS4861" s="48"/>
      <c r="AT4861" s="48"/>
      <c r="AU4861" s="48"/>
      <c r="AV4861" s="48"/>
      <c r="AW4861" s="48"/>
      <c r="AX4861" s="48"/>
      <c r="AY4861" s="48"/>
      <c r="AZ4861" s="48"/>
      <c r="BA4861" s="48"/>
      <c r="BB4861" s="48"/>
      <c r="BC4861" s="48"/>
      <c r="BD4861" s="48"/>
    </row>
    <row r="4862" spans="1:56">
      <c r="A4862" s="48"/>
      <c r="B4862" s="48"/>
      <c r="C4862" s="49"/>
      <c r="D4862" s="48"/>
      <c r="E4862" s="48"/>
      <c r="F4862" s="48"/>
      <c r="G4862" s="48"/>
      <c r="H4862" s="48"/>
      <c r="I4862" s="48"/>
      <c r="J4862" s="86"/>
      <c r="K4862" s="86"/>
      <c r="L4862" s="86"/>
      <c r="M4862" s="86"/>
      <c r="N4862" s="86"/>
      <c r="O4862" s="86"/>
      <c r="P4862" s="86"/>
      <c r="Q4862" s="86"/>
      <c r="R4862" s="86"/>
      <c r="S4862" s="86"/>
      <c r="T4862" s="86"/>
      <c r="U4862" s="86"/>
      <c r="V4862" s="48"/>
      <c r="W4862" s="48"/>
      <c r="X4862" s="48"/>
      <c r="Y4862" s="48"/>
      <c r="Z4862" s="48"/>
      <c r="AA4862" s="48"/>
      <c r="AB4862" s="48"/>
      <c r="AC4862" s="48"/>
      <c r="AD4862" s="48"/>
      <c r="AE4862" s="48"/>
      <c r="AF4862" s="48"/>
      <c r="AG4862" s="48"/>
      <c r="AH4862" s="48"/>
      <c r="AI4862" s="48"/>
      <c r="AJ4862" s="48"/>
      <c r="AK4862" s="48"/>
      <c r="AL4862" s="48"/>
      <c r="AM4862" s="48"/>
      <c r="AN4862" s="48"/>
      <c r="AO4862" s="48"/>
      <c r="AP4862" s="48"/>
      <c r="AQ4862" s="48"/>
      <c r="AR4862" s="48"/>
      <c r="AS4862" s="48"/>
      <c r="AT4862" s="48"/>
      <c r="AU4862" s="48"/>
      <c r="AV4862" s="48"/>
      <c r="AW4862" s="48"/>
      <c r="AX4862" s="48"/>
      <c r="AY4862" s="48"/>
      <c r="AZ4862" s="48"/>
      <c r="BA4862" s="48"/>
      <c r="BB4862" s="48"/>
      <c r="BC4862" s="48"/>
      <c r="BD4862" s="48"/>
    </row>
    <row r="4863" spans="1:56">
      <c r="A4863" s="48"/>
      <c r="B4863" s="48"/>
      <c r="C4863" s="49"/>
      <c r="D4863" s="48"/>
      <c r="E4863" s="48"/>
      <c r="F4863" s="48"/>
      <c r="G4863" s="48"/>
      <c r="H4863" s="48"/>
      <c r="I4863" s="48"/>
      <c r="J4863" s="86"/>
      <c r="K4863" s="86"/>
      <c r="L4863" s="86"/>
      <c r="M4863" s="86"/>
      <c r="N4863" s="86"/>
      <c r="O4863" s="86"/>
      <c r="P4863" s="86"/>
      <c r="Q4863" s="86"/>
      <c r="R4863" s="86"/>
      <c r="S4863" s="86"/>
      <c r="T4863" s="86"/>
      <c r="U4863" s="86"/>
      <c r="V4863" s="48"/>
      <c r="W4863" s="48"/>
      <c r="X4863" s="48"/>
      <c r="Y4863" s="48"/>
      <c r="Z4863" s="48"/>
      <c r="AA4863" s="48"/>
      <c r="AB4863" s="48"/>
      <c r="AC4863" s="48"/>
      <c r="AD4863" s="48"/>
      <c r="AE4863" s="48"/>
      <c r="AF4863" s="48"/>
      <c r="AG4863" s="48"/>
      <c r="AH4863" s="48"/>
      <c r="AI4863" s="48"/>
      <c r="AJ4863" s="48"/>
      <c r="AK4863" s="48"/>
      <c r="AL4863" s="48"/>
      <c r="AM4863" s="48"/>
      <c r="AN4863" s="48"/>
      <c r="AO4863" s="48"/>
      <c r="AP4863" s="48"/>
      <c r="AQ4863" s="48"/>
      <c r="AR4863" s="48"/>
      <c r="AS4863" s="48"/>
      <c r="AT4863" s="48"/>
      <c r="AU4863" s="48"/>
      <c r="AV4863" s="48"/>
      <c r="AW4863" s="48"/>
      <c r="AX4863" s="48"/>
      <c r="AY4863" s="48"/>
      <c r="AZ4863" s="48"/>
      <c r="BA4863" s="48"/>
      <c r="BB4863" s="48"/>
      <c r="BC4863" s="48"/>
      <c r="BD4863" s="48"/>
    </row>
    <row r="4864" spans="1:56">
      <c r="A4864" s="48"/>
      <c r="B4864" s="48"/>
      <c r="C4864" s="49"/>
      <c r="D4864" s="48"/>
      <c r="E4864" s="48"/>
      <c r="F4864" s="48"/>
      <c r="G4864" s="48"/>
      <c r="H4864" s="48"/>
      <c r="I4864" s="48"/>
      <c r="J4864" s="86"/>
      <c r="K4864" s="86"/>
      <c r="L4864" s="86"/>
      <c r="M4864" s="86"/>
      <c r="N4864" s="86"/>
      <c r="O4864" s="86"/>
      <c r="P4864" s="86"/>
      <c r="Q4864" s="86"/>
      <c r="R4864" s="86"/>
      <c r="S4864" s="86"/>
      <c r="T4864" s="86"/>
      <c r="U4864" s="86"/>
      <c r="V4864" s="48"/>
      <c r="W4864" s="48"/>
      <c r="X4864" s="48"/>
      <c r="Y4864" s="48"/>
      <c r="Z4864" s="48"/>
      <c r="AA4864" s="48"/>
      <c r="AB4864" s="48"/>
      <c r="AC4864" s="48"/>
      <c r="AD4864" s="48"/>
      <c r="AE4864" s="48"/>
      <c r="AF4864" s="48"/>
      <c r="AG4864" s="48"/>
      <c r="AH4864" s="48"/>
      <c r="AI4864" s="48"/>
      <c r="AJ4864" s="48"/>
      <c r="AK4864" s="48"/>
      <c r="AL4864" s="48"/>
      <c r="AM4864" s="48"/>
      <c r="AN4864" s="48"/>
      <c r="AO4864" s="48"/>
      <c r="AP4864" s="48"/>
      <c r="AQ4864" s="48"/>
      <c r="AR4864" s="48"/>
      <c r="AS4864" s="48"/>
      <c r="AT4864" s="48"/>
      <c r="AU4864" s="48"/>
      <c r="AV4864" s="48"/>
      <c r="AW4864" s="48"/>
      <c r="AX4864" s="48"/>
      <c r="AY4864" s="48"/>
      <c r="AZ4864" s="48"/>
      <c r="BA4864" s="48"/>
      <c r="BB4864" s="48"/>
      <c r="BC4864" s="48"/>
      <c r="BD4864" s="48"/>
    </row>
    <row r="4865" spans="1:56">
      <c r="A4865" s="48"/>
      <c r="B4865" s="48"/>
      <c r="C4865" s="49"/>
      <c r="D4865" s="48"/>
      <c r="E4865" s="48"/>
      <c r="F4865" s="48"/>
      <c r="G4865" s="48"/>
      <c r="H4865" s="48"/>
      <c r="I4865" s="48"/>
      <c r="J4865" s="86"/>
      <c r="K4865" s="86"/>
      <c r="L4865" s="86"/>
      <c r="M4865" s="86"/>
      <c r="N4865" s="86"/>
      <c r="O4865" s="86"/>
      <c r="P4865" s="86"/>
      <c r="Q4865" s="86"/>
      <c r="R4865" s="86"/>
      <c r="S4865" s="86"/>
      <c r="T4865" s="86"/>
      <c r="U4865" s="86"/>
      <c r="V4865" s="48"/>
      <c r="W4865" s="48"/>
      <c r="X4865" s="48"/>
      <c r="Y4865" s="48"/>
      <c r="Z4865" s="48"/>
      <c r="AA4865" s="48"/>
      <c r="AB4865" s="48"/>
      <c r="AC4865" s="48"/>
      <c r="AD4865" s="48"/>
      <c r="AE4865" s="48"/>
      <c r="AF4865" s="48"/>
      <c r="AG4865" s="48"/>
      <c r="AH4865" s="48"/>
      <c r="AI4865" s="48"/>
      <c r="AJ4865" s="48"/>
      <c r="AK4865" s="48"/>
      <c r="AL4865" s="48"/>
      <c r="AM4865" s="48"/>
      <c r="AN4865" s="48"/>
      <c r="AO4865" s="48"/>
      <c r="AP4865" s="48"/>
      <c r="AQ4865" s="48"/>
      <c r="AR4865" s="48"/>
      <c r="AS4865" s="48"/>
      <c r="AT4865" s="48"/>
      <c r="AU4865" s="48"/>
      <c r="AV4865" s="48"/>
      <c r="AW4865" s="48"/>
      <c r="AX4865" s="48"/>
      <c r="AY4865" s="48"/>
      <c r="AZ4865" s="48"/>
      <c r="BA4865" s="48"/>
      <c r="BB4865" s="48"/>
      <c r="BC4865" s="48"/>
      <c r="BD4865" s="48"/>
    </row>
    <row r="4866" spans="1:56">
      <c r="A4866" s="48"/>
      <c r="B4866" s="48"/>
      <c r="C4866" s="49"/>
      <c r="D4866" s="48"/>
      <c r="E4866" s="48"/>
      <c r="F4866" s="48"/>
      <c r="G4866" s="48"/>
      <c r="H4866" s="48"/>
      <c r="I4866" s="48"/>
      <c r="J4866" s="86"/>
      <c r="K4866" s="86"/>
      <c r="L4866" s="86"/>
      <c r="M4866" s="86"/>
      <c r="N4866" s="86"/>
      <c r="O4866" s="86"/>
      <c r="P4866" s="86"/>
      <c r="Q4866" s="86"/>
      <c r="R4866" s="86"/>
      <c r="S4866" s="86"/>
      <c r="T4866" s="86"/>
      <c r="U4866" s="86"/>
      <c r="V4866" s="48"/>
      <c r="W4866" s="48"/>
      <c r="X4866" s="48"/>
      <c r="Y4866" s="48"/>
      <c r="Z4866" s="48"/>
      <c r="AA4866" s="48"/>
      <c r="AB4866" s="48"/>
      <c r="AC4866" s="48"/>
      <c r="AD4866" s="48"/>
      <c r="AE4866" s="48"/>
      <c r="AF4866" s="48"/>
      <c r="AG4866" s="48"/>
      <c r="AH4866" s="48"/>
      <c r="AI4866" s="48"/>
      <c r="AJ4866" s="48"/>
      <c r="AK4866" s="48"/>
      <c r="AL4866" s="48"/>
      <c r="AM4866" s="48"/>
      <c r="AN4866" s="48"/>
      <c r="AO4866" s="48"/>
      <c r="AP4866" s="48"/>
      <c r="AQ4866" s="48"/>
      <c r="AR4866" s="48"/>
      <c r="AS4866" s="48"/>
      <c r="AT4866" s="48"/>
      <c r="AU4866" s="48"/>
      <c r="AV4866" s="48"/>
      <c r="AW4866" s="48"/>
      <c r="AX4866" s="48"/>
      <c r="AY4866" s="48"/>
      <c r="AZ4866" s="48"/>
      <c r="BA4866" s="48"/>
      <c r="BB4866" s="48"/>
      <c r="BC4866" s="48"/>
      <c r="BD4866" s="48"/>
    </row>
    <row r="4867" spans="1:56">
      <c r="A4867" s="48"/>
      <c r="B4867" s="48"/>
      <c r="C4867" s="49"/>
      <c r="D4867" s="48"/>
      <c r="E4867" s="48"/>
      <c r="F4867" s="48"/>
      <c r="G4867" s="48"/>
      <c r="H4867" s="48"/>
      <c r="I4867" s="48"/>
      <c r="J4867" s="86"/>
      <c r="K4867" s="86"/>
      <c r="L4867" s="86"/>
      <c r="M4867" s="86"/>
      <c r="N4867" s="86"/>
      <c r="O4867" s="86"/>
      <c r="P4867" s="86"/>
      <c r="Q4867" s="86"/>
      <c r="R4867" s="86"/>
      <c r="S4867" s="86"/>
      <c r="T4867" s="86"/>
      <c r="U4867" s="86"/>
      <c r="V4867" s="48"/>
      <c r="W4867" s="48"/>
      <c r="X4867" s="48"/>
      <c r="Y4867" s="48"/>
      <c r="Z4867" s="48"/>
      <c r="AA4867" s="48"/>
      <c r="AB4867" s="48"/>
      <c r="AC4867" s="48"/>
      <c r="AD4867" s="48"/>
      <c r="AE4867" s="48"/>
      <c r="AF4867" s="48"/>
      <c r="AG4867" s="48"/>
      <c r="AH4867" s="48"/>
      <c r="AI4867" s="48"/>
      <c r="AJ4867" s="48"/>
      <c r="AK4867" s="48"/>
      <c r="AL4867" s="48"/>
      <c r="AM4867" s="48"/>
      <c r="AN4867" s="48"/>
      <c r="AO4867" s="48"/>
      <c r="AP4867" s="48"/>
      <c r="AQ4867" s="48"/>
      <c r="AR4867" s="48"/>
      <c r="AS4867" s="48"/>
      <c r="AT4867" s="48"/>
      <c r="AU4867" s="48"/>
      <c r="AV4867" s="48"/>
      <c r="AW4867" s="48"/>
      <c r="AX4867" s="48"/>
      <c r="AY4867" s="48"/>
      <c r="AZ4867" s="48"/>
      <c r="BA4867" s="48"/>
      <c r="BB4867" s="48"/>
      <c r="BC4867" s="48"/>
      <c r="BD4867" s="48"/>
    </row>
    <row r="4868" spans="1:56">
      <c r="A4868" s="48"/>
      <c r="B4868" s="48"/>
      <c r="C4868" s="49"/>
      <c r="D4868" s="48"/>
      <c r="E4868" s="48"/>
      <c r="F4868" s="48"/>
      <c r="G4868" s="48"/>
      <c r="H4868" s="48"/>
      <c r="I4868" s="48"/>
      <c r="J4868" s="86"/>
      <c r="K4868" s="86"/>
      <c r="L4868" s="86"/>
      <c r="M4868" s="86"/>
      <c r="N4868" s="86"/>
      <c r="O4868" s="86"/>
      <c r="P4868" s="86"/>
      <c r="Q4868" s="86"/>
      <c r="R4868" s="86"/>
      <c r="S4868" s="86"/>
      <c r="T4868" s="86"/>
      <c r="U4868" s="86"/>
      <c r="V4868" s="48"/>
      <c r="W4868" s="48"/>
      <c r="X4868" s="48"/>
      <c r="Y4868" s="48"/>
      <c r="Z4868" s="48"/>
      <c r="AA4868" s="48"/>
      <c r="AB4868" s="48"/>
      <c r="AC4868" s="48"/>
      <c r="AD4868" s="48"/>
      <c r="AE4868" s="48"/>
      <c r="AF4868" s="48"/>
      <c r="AG4868" s="48"/>
      <c r="AH4868" s="48"/>
      <c r="AI4868" s="48"/>
      <c r="AJ4868" s="48"/>
      <c r="AK4868" s="48"/>
      <c r="AL4868" s="48"/>
      <c r="AM4868" s="48"/>
      <c r="AN4868" s="48"/>
      <c r="AO4868" s="48"/>
      <c r="AP4868" s="48"/>
      <c r="AQ4868" s="48"/>
      <c r="AR4868" s="48"/>
      <c r="AS4868" s="48"/>
      <c r="AT4868" s="48"/>
      <c r="AU4868" s="48"/>
      <c r="AV4868" s="48"/>
      <c r="AW4868" s="48"/>
      <c r="AX4868" s="48"/>
      <c r="AY4868" s="48"/>
      <c r="AZ4868" s="48"/>
      <c r="BA4868" s="48"/>
      <c r="BB4868" s="48"/>
      <c r="BC4868" s="48"/>
      <c r="BD4868" s="48"/>
    </row>
    <row r="4869" spans="1:56">
      <c r="A4869" s="48"/>
      <c r="B4869" s="48"/>
      <c r="C4869" s="49"/>
      <c r="D4869" s="48"/>
      <c r="E4869" s="48"/>
      <c r="F4869" s="48"/>
      <c r="G4869" s="48"/>
      <c r="H4869" s="48"/>
      <c r="I4869" s="48"/>
      <c r="J4869" s="86"/>
      <c r="K4869" s="86"/>
      <c r="L4869" s="86"/>
      <c r="M4869" s="86"/>
      <c r="N4869" s="86"/>
      <c r="O4869" s="86"/>
      <c r="P4869" s="86"/>
      <c r="Q4869" s="86"/>
      <c r="R4869" s="86"/>
      <c r="S4869" s="86"/>
      <c r="T4869" s="86"/>
      <c r="U4869" s="86"/>
      <c r="V4869" s="48"/>
      <c r="W4869" s="48"/>
      <c r="X4869" s="48"/>
      <c r="Y4869" s="48"/>
      <c r="Z4869" s="48"/>
      <c r="AA4869" s="48"/>
      <c r="AB4869" s="48"/>
      <c r="AC4869" s="48"/>
      <c r="AD4869" s="48"/>
      <c r="AE4869" s="48"/>
      <c r="AF4869" s="48"/>
      <c r="AG4869" s="48"/>
      <c r="AH4869" s="48"/>
      <c r="AI4869" s="48"/>
      <c r="AJ4869" s="48"/>
      <c r="AK4869" s="48"/>
      <c r="AL4869" s="48"/>
      <c r="AM4869" s="48"/>
      <c r="AN4869" s="48"/>
      <c r="AO4869" s="48"/>
      <c r="AP4869" s="48"/>
      <c r="AQ4869" s="48"/>
      <c r="AR4869" s="48"/>
      <c r="AS4869" s="48"/>
      <c r="AT4869" s="48"/>
      <c r="AU4869" s="48"/>
      <c r="AV4869" s="48"/>
      <c r="AW4869" s="48"/>
      <c r="AX4869" s="48"/>
      <c r="AY4869" s="48"/>
      <c r="AZ4869" s="48"/>
      <c r="BA4869" s="48"/>
      <c r="BB4869" s="48"/>
      <c r="BC4869" s="48"/>
      <c r="BD4869" s="48"/>
    </row>
    <row r="4870" spans="1:56">
      <c r="A4870" s="48"/>
      <c r="B4870" s="48"/>
      <c r="C4870" s="49"/>
      <c r="D4870" s="48"/>
      <c r="E4870" s="48"/>
      <c r="F4870" s="48"/>
      <c r="G4870" s="48"/>
      <c r="H4870" s="48"/>
      <c r="I4870" s="48"/>
      <c r="J4870" s="86"/>
      <c r="K4870" s="86"/>
      <c r="L4870" s="86"/>
      <c r="M4870" s="86"/>
      <c r="N4870" s="86"/>
      <c r="O4870" s="86"/>
      <c r="P4870" s="86"/>
      <c r="Q4870" s="86"/>
      <c r="R4870" s="86"/>
      <c r="S4870" s="86"/>
      <c r="T4870" s="86"/>
      <c r="U4870" s="86"/>
      <c r="V4870" s="48"/>
      <c r="W4870" s="48"/>
      <c r="X4870" s="48"/>
      <c r="Y4870" s="48"/>
      <c r="Z4870" s="48"/>
      <c r="AA4870" s="48"/>
      <c r="AB4870" s="48"/>
      <c r="AC4870" s="48"/>
      <c r="AD4870" s="48"/>
      <c r="AE4870" s="48"/>
      <c r="AF4870" s="48"/>
      <c r="AG4870" s="48"/>
      <c r="AH4870" s="48"/>
      <c r="AI4870" s="48"/>
      <c r="AJ4870" s="48"/>
      <c r="AK4870" s="48"/>
      <c r="AL4870" s="48"/>
      <c r="AM4870" s="48"/>
      <c r="AN4870" s="48"/>
      <c r="AO4870" s="48"/>
      <c r="AP4870" s="48"/>
      <c r="AQ4870" s="48"/>
      <c r="AR4870" s="48"/>
      <c r="AS4870" s="48"/>
      <c r="AT4870" s="48"/>
      <c r="AU4870" s="48"/>
      <c r="AV4870" s="48"/>
      <c r="AW4870" s="48"/>
      <c r="AX4870" s="48"/>
      <c r="AY4870" s="48"/>
      <c r="AZ4870" s="48"/>
      <c r="BA4870" s="48"/>
      <c r="BB4870" s="48"/>
      <c r="BC4870" s="48"/>
      <c r="BD4870" s="48"/>
    </row>
    <row r="4871" spans="1:56">
      <c r="A4871" s="48"/>
      <c r="B4871" s="48"/>
      <c r="C4871" s="49"/>
      <c r="D4871" s="48"/>
      <c r="E4871" s="48"/>
      <c r="F4871" s="48"/>
      <c r="G4871" s="48"/>
      <c r="H4871" s="48"/>
      <c r="I4871" s="48"/>
      <c r="J4871" s="86"/>
      <c r="K4871" s="86"/>
      <c r="L4871" s="86"/>
      <c r="M4871" s="86"/>
      <c r="N4871" s="86"/>
      <c r="O4871" s="86"/>
      <c r="P4871" s="86"/>
      <c r="Q4871" s="86"/>
      <c r="R4871" s="86"/>
      <c r="S4871" s="86"/>
      <c r="T4871" s="86"/>
      <c r="U4871" s="86"/>
      <c r="V4871" s="48"/>
      <c r="W4871" s="48"/>
      <c r="X4871" s="48"/>
      <c r="Y4871" s="48"/>
      <c r="Z4871" s="48"/>
      <c r="AA4871" s="48"/>
      <c r="AB4871" s="48"/>
      <c r="AC4871" s="48"/>
      <c r="AD4871" s="48"/>
      <c r="AE4871" s="48"/>
      <c r="AF4871" s="48"/>
      <c r="AG4871" s="48"/>
      <c r="AH4871" s="48"/>
      <c r="AI4871" s="48"/>
      <c r="AJ4871" s="48"/>
      <c r="AK4871" s="48"/>
      <c r="AL4871" s="48"/>
      <c r="AM4871" s="48"/>
      <c r="AN4871" s="48"/>
      <c r="AO4871" s="48"/>
      <c r="AP4871" s="48"/>
      <c r="AQ4871" s="48"/>
      <c r="AR4871" s="48"/>
      <c r="AS4871" s="48"/>
      <c r="AT4871" s="48"/>
      <c r="AU4871" s="48"/>
      <c r="AV4871" s="48"/>
      <c r="AW4871" s="48"/>
      <c r="AX4871" s="48"/>
      <c r="AY4871" s="48"/>
      <c r="AZ4871" s="48"/>
      <c r="BA4871" s="48"/>
      <c r="BB4871" s="48"/>
      <c r="BC4871" s="48"/>
      <c r="BD4871" s="48"/>
    </row>
    <row r="4872" spans="1:56">
      <c r="A4872" s="48"/>
      <c r="B4872" s="48"/>
      <c r="C4872" s="49"/>
      <c r="D4872" s="48"/>
      <c r="E4872" s="48"/>
      <c r="F4872" s="48"/>
      <c r="G4872" s="48"/>
      <c r="H4872" s="48"/>
      <c r="I4872" s="48"/>
      <c r="J4872" s="86"/>
      <c r="K4872" s="86"/>
      <c r="L4872" s="86"/>
      <c r="M4872" s="86"/>
      <c r="N4872" s="86"/>
      <c r="O4872" s="86"/>
      <c r="P4872" s="86"/>
      <c r="Q4872" s="86"/>
      <c r="R4872" s="86"/>
      <c r="S4872" s="86"/>
      <c r="T4872" s="86"/>
      <c r="U4872" s="86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48"/>
      <c r="BB4872" s="48"/>
      <c r="BC4872" s="48"/>
      <c r="BD4872" s="48"/>
    </row>
    <row r="4873" spans="1:56">
      <c r="A4873" s="48"/>
      <c r="B4873" s="48"/>
      <c r="C4873" s="49"/>
      <c r="D4873" s="48"/>
      <c r="E4873" s="48"/>
      <c r="F4873" s="48"/>
      <c r="G4873" s="48"/>
      <c r="H4873" s="48"/>
      <c r="I4873" s="48"/>
      <c r="J4873" s="86"/>
      <c r="K4873" s="86"/>
      <c r="L4873" s="86"/>
      <c r="M4873" s="86"/>
      <c r="N4873" s="86"/>
      <c r="O4873" s="86"/>
      <c r="P4873" s="86"/>
      <c r="Q4873" s="86"/>
      <c r="R4873" s="86"/>
      <c r="S4873" s="86"/>
      <c r="T4873" s="86"/>
      <c r="U4873" s="86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48"/>
      <c r="BB4873" s="48"/>
      <c r="BC4873" s="48"/>
      <c r="BD4873" s="48"/>
    </row>
    <row r="4874" spans="1:56">
      <c r="A4874" s="48"/>
      <c r="B4874" s="48"/>
      <c r="C4874" s="49"/>
      <c r="D4874" s="48"/>
      <c r="E4874" s="48"/>
      <c r="F4874" s="48"/>
      <c r="G4874" s="48"/>
      <c r="H4874" s="48"/>
      <c r="I4874" s="48"/>
      <c r="J4874" s="86"/>
      <c r="K4874" s="86"/>
      <c r="L4874" s="86"/>
      <c r="M4874" s="86"/>
      <c r="N4874" s="86"/>
      <c r="O4874" s="86"/>
      <c r="P4874" s="86"/>
      <c r="Q4874" s="86"/>
      <c r="R4874" s="86"/>
      <c r="S4874" s="86"/>
      <c r="T4874" s="86"/>
      <c r="U4874" s="86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48"/>
      <c r="BB4874" s="48"/>
      <c r="BC4874" s="48"/>
      <c r="BD4874" s="48"/>
    </row>
    <row r="4875" spans="1:56">
      <c r="A4875" s="48"/>
      <c r="B4875" s="48"/>
      <c r="C4875" s="49"/>
      <c r="D4875" s="48"/>
      <c r="E4875" s="48"/>
      <c r="F4875" s="48"/>
      <c r="G4875" s="48"/>
      <c r="H4875" s="48"/>
      <c r="I4875" s="48"/>
      <c r="J4875" s="86"/>
      <c r="K4875" s="86"/>
      <c r="L4875" s="86"/>
      <c r="M4875" s="86"/>
      <c r="N4875" s="86"/>
      <c r="O4875" s="86"/>
      <c r="P4875" s="86"/>
      <c r="Q4875" s="86"/>
      <c r="R4875" s="86"/>
      <c r="S4875" s="86"/>
      <c r="T4875" s="86"/>
      <c r="U4875" s="86"/>
      <c r="V4875" s="48"/>
      <c r="W4875" s="48"/>
      <c r="X4875" s="48"/>
      <c r="Y4875" s="48"/>
      <c r="Z4875" s="48"/>
      <c r="AA4875" s="48"/>
      <c r="AB4875" s="48"/>
      <c r="AC4875" s="48"/>
      <c r="AD4875" s="48"/>
      <c r="AE4875" s="48"/>
      <c r="AF4875" s="48"/>
      <c r="AG4875" s="48"/>
      <c r="AH4875" s="48"/>
      <c r="AI4875" s="48"/>
      <c r="AJ4875" s="48"/>
      <c r="AK4875" s="48"/>
      <c r="AL4875" s="48"/>
      <c r="AM4875" s="48"/>
      <c r="AN4875" s="48"/>
      <c r="AO4875" s="48"/>
      <c r="AP4875" s="48"/>
      <c r="AQ4875" s="48"/>
      <c r="AR4875" s="48"/>
      <c r="AS4875" s="48"/>
      <c r="AT4875" s="48"/>
      <c r="AU4875" s="48"/>
      <c r="AV4875" s="48"/>
      <c r="AW4875" s="48"/>
      <c r="AX4875" s="48"/>
      <c r="AY4875" s="48"/>
      <c r="AZ4875" s="48"/>
      <c r="BA4875" s="48"/>
      <c r="BB4875" s="48"/>
      <c r="BC4875" s="48"/>
      <c r="BD4875" s="48"/>
    </row>
    <row r="4876" spans="1:56">
      <c r="A4876" s="48"/>
      <c r="B4876" s="48"/>
      <c r="C4876" s="49"/>
      <c r="D4876" s="48"/>
      <c r="E4876" s="48"/>
      <c r="F4876" s="48"/>
      <c r="G4876" s="48"/>
      <c r="H4876" s="48"/>
      <c r="I4876" s="48"/>
      <c r="J4876" s="86"/>
      <c r="K4876" s="86"/>
      <c r="L4876" s="86"/>
      <c r="M4876" s="86"/>
      <c r="N4876" s="86"/>
      <c r="O4876" s="86"/>
      <c r="P4876" s="86"/>
      <c r="Q4876" s="86"/>
      <c r="R4876" s="86"/>
      <c r="S4876" s="86"/>
      <c r="T4876" s="86"/>
      <c r="U4876" s="86"/>
      <c r="V4876" s="48"/>
      <c r="W4876" s="48"/>
      <c r="X4876" s="48"/>
      <c r="Y4876" s="48"/>
      <c r="Z4876" s="48"/>
      <c r="AA4876" s="48"/>
      <c r="AB4876" s="48"/>
      <c r="AC4876" s="48"/>
      <c r="AD4876" s="48"/>
      <c r="AE4876" s="48"/>
      <c r="AF4876" s="48"/>
      <c r="AG4876" s="48"/>
      <c r="AH4876" s="48"/>
      <c r="AI4876" s="48"/>
      <c r="AJ4876" s="48"/>
      <c r="AK4876" s="48"/>
      <c r="AL4876" s="48"/>
      <c r="AM4876" s="48"/>
      <c r="AN4876" s="48"/>
      <c r="AO4876" s="48"/>
      <c r="AP4876" s="48"/>
      <c r="AQ4876" s="48"/>
      <c r="AR4876" s="48"/>
      <c r="AS4876" s="48"/>
      <c r="AT4876" s="48"/>
      <c r="AU4876" s="48"/>
      <c r="AV4876" s="48"/>
      <c r="AW4876" s="48"/>
      <c r="AX4876" s="48"/>
      <c r="AY4876" s="48"/>
      <c r="AZ4876" s="48"/>
      <c r="BA4876" s="48"/>
      <c r="BB4876" s="48"/>
      <c r="BC4876" s="48"/>
      <c r="BD4876" s="48"/>
    </row>
    <row r="4877" spans="1:56">
      <c r="A4877" s="48"/>
      <c r="B4877" s="48"/>
      <c r="C4877" s="49"/>
      <c r="D4877" s="48"/>
      <c r="E4877" s="48"/>
      <c r="F4877" s="48"/>
      <c r="G4877" s="48"/>
      <c r="H4877" s="48"/>
      <c r="I4877" s="48"/>
      <c r="J4877" s="86"/>
      <c r="K4877" s="86"/>
      <c r="L4877" s="86"/>
      <c r="M4877" s="86"/>
      <c r="N4877" s="86"/>
      <c r="O4877" s="86"/>
      <c r="P4877" s="86"/>
      <c r="Q4877" s="86"/>
      <c r="R4877" s="86"/>
      <c r="S4877" s="86"/>
      <c r="T4877" s="86"/>
      <c r="U4877" s="86"/>
      <c r="V4877" s="48"/>
      <c r="W4877" s="48"/>
      <c r="X4877" s="48"/>
      <c r="Y4877" s="48"/>
      <c r="Z4877" s="48"/>
      <c r="AA4877" s="48"/>
      <c r="AB4877" s="48"/>
      <c r="AC4877" s="48"/>
      <c r="AD4877" s="48"/>
      <c r="AE4877" s="48"/>
      <c r="AF4877" s="48"/>
      <c r="AG4877" s="48"/>
      <c r="AH4877" s="48"/>
      <c r="AI4877" s="48"/>
      <c r="AJ4877" s="48"/>
      <c r="AK4877" s="48"/>
      <c r="AL4877" s="48"/>
      <c r="AM4877" s="48"/>
      <c r="AN4877" s="48"/>
      <c r="AO4877" s="48"/>
      <c r="AP4877" s="48"/>
      <c r="AQ4877" s="48"/>
      <c r="AR4877" s="48"/>
      <c r="AS4877" s="48"/>
      <c r="AT4877" s="48"/>
      <c r="AU4877" s="48"/>
      <c r="AV4877" s="48"/>
      <c r="AW4877" s="48"/>
      <c r="AX4877" s="48"/>
      <c r="AY4877" s="48"/>
      <c r="AZ4877" s="48"/>
      <c r="BA4877" s="48"/>
      <c r="BB4877" s="48"/>
      <c r="BC4877" s="48"/>
      <c r="BD4877" s="48"/>
    </row>
    <row r="4878" spans="1:56">
      <c r="A4878" s="48"/>
      <c r="B4878" s="48"/>
      <c r="C4878" s="49"/>
      <c r="D4878" s="48"/>
      <c r="E4878" s="48"/>
      <c r="F4878" s="48"/>
      <c r="G4878" s="48"/>
      <c r="H4878" s="48"/>
      <c r="I4878" s="48"/>
      <c r="J4878" s="86"/>
      <c r="K4878" s="86"/>
      <c r="L4878" s="86"/>
      <c r="M4878" s="86"/>
      <c r="N4878" s="86"/>
      <c r="O4878" s="86"/>
      <c r="P4878" s="86"/>
      <c r="Q4878" s="86"/>
      <c r="R4878" s="86"/>
      <c r="S4878" s="86"/>
      <c r="T4878" s="86"/>
      <c r="U4878" s="86"/>
      <c r="V4878" s="48"/>
      <c r="W4878" s="48"/>
      <c r="X4878" s="48"/>
      <c r="Y4878" s="48"/>
      <c r="Z4878" s="48"/>
      <c r="AA4878" s="48"/>
      <c r="AB4878" s="48"/>
      <c r="AC4878" s="48"/>
      <c r="AD4878" s="48"/>
      <c r="AE4878" s="48"/>
      <c r="AF4878" s="48"/>
      <c r="AG4878" s="48"/>
      <c r="AH4878" s="48"/>
      <c r="AI4878" s="48"/>
      <c r="AJ4878" s="48"/>
      <c r="AK4878" s="48"/>
      <c r="AL4878" s="48"/>
      <c r="AM4878" s="48"/>
      <c r="AN4878" s="48"/>
      <c r="AO4878" s="48"/>
      <c r="AP4878" s="48"/>
      <c r="AQ4878" s="48"/>
      <c r="AR4878" s="48"/>
      <c r="AS4878" s="48"/>
      <c r="AT4878" s="48"/>
      <c r="AU4878" s="48"/>
      <c r="AV4878" s="48"/>
      <c r="AW4878" s="48"/>
      <c r="AX4878" s="48"/>
      <c r="AY4878" s="48"/>
      <c r="AZ4878" s="48"/>
      <c r="BA4878" s="48"/>
      <c r="BB4878" s="48"/>
      <c r="BC4878" s="48"/>
      <c r="BD4878" s="48"/>
    </row>
    <row r="4879" spans="1:56">
      <c r="A4879" s="48"/>
      <c r="B4879" s="48"/>
      <c r="C4879" s="49"/>
      <c r="D4879" s="48"/>
      <c r="E4879" s="48"/>
      <c r="F4879" s="48"/>
      <c r="G4879" s="48"/>
      <c r="H4879" s="48"/>
      <c r="I4879" s="48"/>
      <c r="J4879" s="86"/>
      <c r="K4879" s="86"/>
      <c r="L4879" s="86"/>
      <c r="M4879" s="86"/>
      <c r="N4879" s="86"/>
      <c r="O4879" s="86"/>
      <c r="P4879" s="86"/>
      <c r="Q4879" s="86"/>
      <c r="R4879" s="86"/>
      <c r="S4879" s="86"/>
      <c r="T4879" s="86"/>
      <c r="U4879" s="86"/>
      <c r="V4879" s="48"/>
      <c r="W4879" s="48"/>
      <c r="X4879" s="48"/>
      <c r="Y4879" s="48"/>
      <c r="Z4879" s="48"/>
      <c r="AA4879" s="48"/>
      <c r="AB4879" s="48"/>
      <c r="AC4879" s="48"/>
      <c r="AD4879" s="48"/>
      <c r="AE4879" s="48"/>
      <c r="AF4879" s="48"/>
      <c r="AG4879" s="48"/>
      <c r="AH4879" s="48"/>
      <c r="AI4879" s="48"/>
      <c r="AJ4879" s="48"/>
      <c r="AK4879" s="48"/>
      <c r="AL4879" s="48"/>
      <c r="AM4879" s="48"/>
      <c r="AN4879" s="48"/>
      <c r="AO4879" s="48"/>
      <c r="AP4879" s="48"/>
      <c r="AQ4879" s="48"/>
      <c r="AR4879" s="48"/>
      <c r="AS4879" s="48"/>
      <c r="AT4879" s="48"/>
      <c r="AU4879" s="48"/>
      <c r="AV4879" s="48"/>
      <c r="AW4879" s="48"/>
      <c r="AX4879" s="48"/>
      <c r="AY4879" s="48"/>
      <c r="AZ4879" s="48"/>
      <c r="BA4879" s="48"/>
      <c r="BB4879" s="48"/>
      <c r="BC4879" s="48"/>
      <c r="BD4879" s="48"/>
    </row>
    <row r="4880" spans="1:56">
      <c r="A4880" s="48"/>
      <c r="B4880" s="48"/>
      <c r="C4880" s="49"/>
      <c r="D4880" s="48"/>
      <c r="E4880" s="48"/>
      <c r="F4880" s="48"/>
      <c r="G4880" s="48"/>
      <c r="H4880" s="48"/>
      <c r="I4880" s="48"/>
      <c r="J4880" s="86"/>
      <c r="K4880" s="86"/>
      <c r="L4880" s="86"/>
      <c r="M4880" s="86"/>
      <c r="N4880" s="86"/>
      <c r="O4880" s="86"/>
      <c r="P4880" s="86"/>
      <c r="Q4880" s="86"/>
      <c r="R4880" s="86"/>
      <c r="S4880" s="86"/>
      <c r="T4880" s="86"/>
      <c r="U4880" s="86"/>
      <c r="V4880" s="48"/>
      <c r="W4880" s="48"/>
      <c r="X4880" s="48"/>
      <c r="Y4880" s="48"/>
      <c r="Z4880" s="48"/>
      <c r="AA4880" s="48"/>
      <c r="AB4880" s="48"/>
      <c r="AC4880" s="48"/>
      <c r="AD4880" s="48"/>
      <c r="AE4880" s="48"/>
      <c r="AF4880" s="48"/>
      <c r="AG4880" s="48"/>
      <c r="AH4880" s="48"/>
      <c r="AI4880" s="48"/>
      <c r="AJ4880" s="48"/>
      <c r="AK4880" s="48"/>
      <c r="AL4880" s="48"/>
      <c r="AM4880" s="48"/>
      <c r="AN4880" s="48"/>
      <c r="AO4880" s="48"/>
      <c r="AP4880" s="48"/>
      <c r="AQ4880" s="48"/>
      <c r="AR4880" s="48"/>
      <c r="AS4880" s="48"/>
      <c r="AT4880" s="48"/>
      <c r="AU4880" s="48"/>
      <c r="AV4880" s="48"/>
      <c r="AW4880" s="48"/>
      <c r="AX4880" s="48"/>
      <c r="AY4880" s="48"/>
      <c r="AZ4880" s="48"/>
      <c r="BA4880" s="48"/>
      <c r="BB4880" s="48"/>
      <c r="BC4880" s="48"/>
      <c r="BD4880" s="48"/>
    </row>
    <row r="4881" spans="1:56">
      <c r="A4881" s="48"/>
      <c r="B4881" s="48"/>
      <c r="C4881" s="49"/>
      <c r="D4881" s="48"/>
      <c r="E4881" s="48"/>
      <c r="F4881" s="48"/>
      <c r="G4881" s="48"/>
      <c r="H4881" s="48"/>
      <c r="I4881" s="48"/>
      <c r="J4881" s="86"/>
      <c r="K4881" s="86"/>
      <c r="L4881" s="86"/>
      <c r="M4881" s="86"/>
      <c r="N4881" s="86"/>
      <c r="O4881" s="86"/>
      <c r="P4881" s="86"/>
      <c r="Q4881" s="86"/>
      <c r="R4881" s="86"/>
      <c r="S4881" s="86"/>
      <c r="T4881" s="86"/>
      <c r="U4881" s="86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48"/>
      <c r="BB4881" s="48"/>
      <c r="BC4881" s="48"/>
      <c r="BD4881" s="48"/>
    </row>
    <row r="4882" spans="1:56">
      <c r="A4882" s="48"/>
      <c r="B4882" s="48"/>
      <c r="C4882" s="49"/>
      <c r="D4882" s="48"/>
      <c r="E4882" s="48"/>
      <c r="F4882" s="48"/>
      <c r="G4882" s="48"/>
      <c r="H4882" s="48"/>
      <c r="I4882" s="48"/>
      <c r="J4882" s="86"/>
      <c r="K4882" s="86"/>
      <c r="L4882" s="86"/>
      <c r="M4882" s="86"/>
      <c r="N4882" s="86"/>
      <c r="O4882" s="86"/>
      <c r="P4882" s="86"/>
      <c r="Q4882" s="86"/>
      <c r="R4882" s="86"/>
      <c r="S4882" s="86"/>
      <c r="T4882" s="86"/>
      <c r="U4882" s="86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48"/>
      <c r="BB4882" s="48"/>
      <c r="BC4882" s="48"/>
      <c r="BD4882" s="48"/>
    </row>
    <row r="4883" spans="1:56">
      <c r="A4883" s="48"/>
      <c r="B4883" s="48"/>
      <c r="C4883" s="49"/>
      <c r="D4883" s="48"/>
      <c r="E4883" s="48"/>
      <c r="F4883" s="48"/>
      <c r="G4883" s="48"/>
      <c r="H4883" s="48"/>
      <c r="I4883" s="48"/>
      <c r="J4883" s="86"/>
      <c r="K4883" s="86"/>
      <c r="L4883" s="86"/>
      <c r="M4883" s="86"/>
      <c r="N4883" s="86"/>
      <c r="O4883" s="86"/>
      <c r="P4883" s="86"/>
      <c r="Q4883" s="86"/>
      <c r="R4883" s="86"/>
      <c r="S4883" s="86"/>
      <c r="T4883" s="86"/>
      <c r="U4883" s="86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48"/>
      <c r="BB4883" s="48"/>
      <c r="BC4883" s="48"/>
      <c r="BD4883" s="48"/>
    </row>
    <row r="4884" spans="1:56">
      <c r="A4884" s="48"/>
      <c r="B4884" s="48"/>
      <c r="C4884" s="49"/>
      <c r="D4884" s="48"/>
      <c r="E4884" s="48"/>
      <c r="F4884" s="48"/>
      <c r="G4884" s="48"/>
      <c r="H4884" s="48"/>
      <c r="I4884" s="48"/>
      <c r="J4884" s="86"/>
      <c r="K4884" s="86"/>
      <c r="L4884" s="86"/>
      <c r="M4884" s="86"/>
      <c r="N4884" s="86"/>
      <c r="O4884" s="86"/>
      <c r="P4884" s="86"/>
      <c r="Q4884" s="86"/>
      <c r="R4884" s="86"/>
      <c r="S4884" s="86"/>
      <c r="T4884" s="86"/>
      <c r="U4884" s="86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48"/>
      <c r="BB4884" s="48"/>
      <c r="BC4884" s="48"/>
      <c r="BD4884" s="48"/>
    </row>
    <row r="4885" spans="1:56">
      <c r="A4885" s="48"/>
      <c r="B4885" s="48"/>
      <c r="C4885" s="49"/>
      <c r="D4885" s="48"/>
      <c r="E4885" s="48"/>
      <c r="F4885" s="48"/>
      <c r="G4885" s="48"/>
      <c r="H4885" s="48"/>
      <c r="I4885" s="48"/>
      <c r="J4885" s="86"/>
      <c r="K4885" s="86"/>
      <c r="L4885" s="86"/>
      <c r="M4885" s="86"/>
      <c r="N4885" s="86"/>
      <c r="O4885" s="86"/>
      <c r="P4885" s="86"/>
      <c r="Q4885" s="86"/>
      <c r="R4885" s="86"/>
      <c r="S4885" s="86"/>
      <c r="T4885" s="86"/>
      <c r="U4885" s="86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48"/>
      <c r="BB4885" s="48"/>
      <c r="BC4885" s="48"/>
      <c r="BD4885" s="48"/>
    </row>
    <row r="4886" spans="1:56">
      <c r="A4886" s="48"/>
      <c r="B4886" s="48"/>
      <c r="C4886" s="49"/>
      <c r="D4886" s="48"/>
      <c r="E4886" s="48"/>
      <c r="F4886" s="48"/>
      <c r="G4886" s="48"/>
      <c r="H4886" s="48"/>
      <c r="I4886" s="48"/>
      <c r="J4886" s="86"/>
      <c r="K4886" s="86"/>
      <c r="L4886" s="86"/>
      <c r="M4886" s="86"/>
      <c r="N4886" s="86"/>
      <c r="O4886" s="86"/>
      <c r="P4886" s="86"/>
      <c r="Q4886" s="86"/>
      <c r="R4886" s="86"/>
      <c r="S4886" s="86"/>
      <c r="T4886" s="86"/>
      <c r="U4886" s="86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48"/>
      <c r="BB4886" s="48"/>
      <c r="BC4886" s="48"/>
      <c r="BD4886" s="48"/>
    </row>
    <row r="4887" spans="1:56">
      <c r="A4887" s="48"/>
      <c r="B4887" s="48"/>
      <c r="C4887" s="49"/>
      <c r="D4887" s="48"/>
      <c r="E4887" s="48"/>
      <c r="F4887" s="48"/>
      <c r="G4887" s="48"/>
      <c r="H4887" s="48"/>
      <c r="I4887" s="48"/>
      <c r="J4887" s="86"/>
      <c r="K4887" s="86"/>
      <c r="L4887" s="86"/>
      <c r="M4887" s="86"/>
      <c r="N4887" s="86"/>
      <c r="O4887" s="86"/>
      <c r="P4887" s="86"/>
      <c r="Q4887" s="86"/>
      <c r="R4887" s="86"/>
      <c r="S4887" s="86"/>
      <c r="T4887" s="86"/>
      <c r="U4887" s="86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48"/>
      <c r="BB4887" s="48"/>
      <c r="BC4887" s="48"/>
      <c r="BD4887" s="48"/>
    </row>
    <row r="4888" spans="1:56">
      <c r="A4888" s="48"/>
      <c r="B4888" s="48"/>
      <c r="C4888" s="49"/>
      <c r="D4888" s="48"/>
      <c r="E4888" s="48"/>
      <c r="F4888" s="48"/>
      <c r="G4888" s="48"/>
      <c r="H4888" s="48"/>
      <c r="I4888" s="48"/>
      <c r="J4888" s="86"/>
      <c r="K4888" s="86"/>
      <c r="L4888" s="86"/>
      <c r="M4888" s="86"/>
      <c r="N4888" s="86"/>
      <c r="O4888" s="86"/>
      <c r="P4888" s="86"/>
      <c r="Q4888" s="86"/>
      <c r="R4888" s="86"/>
      <c r="S4888" s="86"/>
      <c r="T4888" s="86"/>
      <c r="U4888" s="86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48"/>
      <c r="BB4888" s="48"/>
      <c r="BC4888" s="48"/>
      <c r="BD4888" s="48"/>
    </row>
    <row r="4889" spans="1:56">
      <c r="A4889" s="48"/>
      <c r="B4889" s="48"/>
      <c r="C4889" s="49"/>
      <c r="D4889" s="48"/>
      <c r="E4889" s="48"/>
      <c r="F4889" s="48"/>
      <c r="G4889" s="48"/>
      <c r="H4889" s="48"/>
      <c r="I4889" s="48"/>
      <c r="J4889" s="86"/>
      <c r="K4889" s="86"/>
      <c r="L4889" s="86"/>
      <c r="M4889" s="86"/>
      <c r="N4889" s="86"/>
      <c r="O4889" s="86"/>
      <c r="P4889" s="86"/>
      <c r="Q4889" s="86"/>
      <c r="R4889" s="86"/>
      <c r="S4889" s="86"/>
      <c r="T4889" s="86"/>
      <c r="U4889" s="86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48"/>
      <c r="BB4889" s="48"/>
      <c r="BC4889" s="48"/>
      <c r="BD4889" s="48"/>
    </row>
    <row r="4890" spans="1:56">
      <c r="A4890" s="48"/>
      <c r="B4890" s="48"/>
      <c r="C4890" s="49"/>
      <c r="D4890" s="48"/>
      <c r="E4890" s="48"/>
      <c r="F4890" s="48"/>
      <c r="G4890" s="48"/>
      <c r="H4890" s="48"/>
      <c r="I4890" s="48"/>
      <c r="J4890" s="86"/>
      <c r="K4890" s="86"/>
      <c r="L4890" s="86"/>
      <c r="M4890" s="86"/>
      <c r="N4890" s="86"/>
      <c r="O4890" s="86"/>
      <c r="P4890" s="86"/>
      <c r="Q4890" s="86"/>
      <c r="R4890" s="86"/>
      <c r="S4890" s="86"/>
      <c r="T4890" s="86"/>
      <c r="U4890" s="86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48"/>
      <c r="BB4890" s="48"/>
      <c r="BC4890" s="48"/>
      <c r="BD4890" s="48"/>
    </row>
    <row r="4891" spans="1:56">
      <c r="A4891" s="48"/>
      <c r="B4891" s="48"/>
      <c r="C4891" s="49"/>
      <c r="D4891" s="48"/>
      <c r="E4891" s="48"/>
      <c r="F4891" s="48"/>
      <c r="G4891" s="48"/>
      <c r="H4891" s="48"/>
      <c r="I4891" s="48"/>
      <c r="J4891" s="86"/>
      <c r="K4891" s="86"/>
      <c r="L4891" s="86"/>
      <c r="M4891" s="86"/>
      <c r="N4891" s="86"/>
      <c r="O4891" s="86"/>
      <c r="P4891" s="86"/>
      <c r="Q4891" s="86"/>
      <c r="R4891" s="86"/>
      <c r="S4891" s="86"/>
      <c r="T4891" s="86"/>
      <c r="U4891" s="86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48"/>
      <c r="BB4891" s="48"/>
      <c r="BC4891" s="48"/>
      <c r="BD4891" s="48"/>
    </row>
    <row r="4892" spans="1:56">
      <c r="A4892" s="48"/>
      <c r="B4892" s="48"/>
      <c r="C4892" s="49"/>
      <c r="D4892" s="48"/>
      <c r="E4892" s="48"/>
      <c r="F4892" s="48"/>
      <c r="G4892" s="48"/>
      <c r="H4892" s="48"/>
      <c r="I4892" s="48"/>
      <c r="J4892" s="86"/>
      <c r="K4892" s="86"/>
      <c r="L4892" s="86"/>
      <c r="M4892" s="86"/>
      <c r="N4892" s="86"/>
      <c r="O4892" s="86"/>
      <c r="P4892" s="86"/>
      <c r="Q4892" s="86"/>
      <c r="R4892" s="86"/>
      <c r="S4892" s="86"/>
      <c r="T4892" s="86"/>
      <c r="U4892" s="86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48"/>
      <c r="BB4892" s="48"/>
      <c r="BC4892" s="48"/>
      <c r="BD4892" s="48"/>
    </row>
    <row r="4893" spans="1:56">
      <c r="A4893" s="48"/>
      <c r="B4893" s="48"/>
      <c r="C4893" s="49"/>
      <c r="D4893" s="48"/>
      <c r="E4893" s="48"/>
      <c r="F4893" s="48"/>
      <c r="G4893" s="48"/>
      <c r="H4893" s="48"/>
      <c r="I4893" s="48"/>
      <c r="J4893" s="86"/>
      <c r="K4893" s="86"/>
      <c r="L4893" s="86"/>
      <c r="M4893" s="86"/>
      <c r="N4893" s="86"/>
      <c r="O4893" s="86"/>
      <c r="P4893" s="86"/>
      <c r="Q4893" s="86"/>
      <c r="R4893" s="86"/>
      <c r="S4893" s="86"/>
      <c r="T4893" s="86"/>
      <c r="U4893" s="86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48"/>
      <c r="BB4893" s="48"/>
      <c r="BC4893" s="48"/>
      <c r="BD4893" s="48"/>
    </row>
    <row r="4894" spans="1:56">
      <c r="A4894" s="48"/>
      <c r="B4894" s="48"/>
      <c r="C4894" s="49"/>
      <c r="D4894" s="48"/>
      <c r="E4894" s="48"/>
      <c r="F4894" s="48"/>
      <c r="G4894" s="48"/>
      <c r="H4894" s="48"/>
      <c r="I4894" s="48"/>
      <c r="J4894" s="86"/>
      <c r="K4894" s="86"/>
      <c r="L4894" s="86"/>
      <c r="M4894" s="86"/>
      <c r="N4894" s="86"/>
      <c r="O4894" s="86"/>
      <c r="P4894" s="86"/>
      <c r="Q4894" s="86"/>
      <c r="R4894" s="86"/>
      <c r="S4894" s="86"/>
      <c r="T4894" s="86"/>
      <c r="U4894" s="86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48"/>
      <c r="BB4894" s="48"/>
      <c r="BC4894" s="48"/>
      <c r="BD4894" s="48"/>
    </row>
    <row r="4895" spans="1:56">
      <c r="A4895" s="48"/>
      <c r="B4895" s="48"/>
      <c r="C4895" s="49"/>
      <c r="D4895" s="48"/>
      <c r="E4895" s="48"/>
      <c r="F4895" s="48"/>
      <c r="G4895" s="48"/>
      <c r="H4895" s="48"/>
      <c r="I4895" s="48"/>
      <c r="J4895" s="86"/>
      <c r="K4895" s="86"/>
      <c r="L4895" s="86"/>
      <c r="M4895" s="86"/>
      <c r="N4895" s="86"/>
      <c r="O4895" s="86"/>
      <c r="P4895" s="86"/>
      <c r="Q4895" s="86"/>
      <c r="R4895" s="86"/>
      <c r="S4895" s="86"/>
      <c r="T4895" s="86"/>
      <c r="U4895" s="86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48"/>
      <c r="BB4895" s="48"/>
      <c r="BC4895" s="48"/>
      <c r="BD4895" s="48"/>
    </row>
    <row r="4896" spans="1:56">
      <c r="A4896" s="48"/>
      <c r="B4896" s="48"/>
      <c r="C4896" s="49"/>
      <c r="D4896" s="48"/>
      <c r="E4896" s="48"/>
      <c r="F4896" s="48"/>
      <c r="G4896" s="48"/>
      <c r="H4896" s="48"/>
      <c r="I4896" s="48"/>
      <c r="J4896" s="86"/>
      <c r="K4896" s="86"/>
      <c r="L4896" s="86"/>
      <c r="M4896" s="86"/>
      <c r="N4896" s="86"/>
      <c r="O4896" s="86"/>
      <c r="P4896" s="86"/>
      <c r="Q4896" s="86"/>
      <c r="R4896" s="86"/>
      <c r="S4896" s="86"/>
      <c r="T4896" s="86"/>
      <c r="U4896" s="86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48"/>
      <c r="BB4896" s="48"/>
      <c r="BC4896" s="48"/>
      <c r="BD4896" s="48"/>
    </row>
    <row r="4897" spans="1:56">
      <c r="A4897" s="48"/>
      <c r="B4897" s="48"/>
      <c r="C4897" s="49"/>
      <c r="D4897" s="48"/>
      <c r="E4897" s="48"/>
      <c r="F4897" s="48"/>
      <c r="G4897" s="48"/>
      <c r="H4897" s="48"/>
      <c r="I4897" s="48"/>
      <c r="J4897" s="86"/>
      <c r="K4897" s="86"/>
      <c r="L4897" s="86"/>
      <c r="M4897" s="86"/>
      <c r="N4897" s="86"/>
      <c r="O4897" s="86"/>
      <c r="P4897" s="86"/>
      <c r="Q4897" s="86"/>
      <c r="R4897" s="86"/>
      <c r="S4897" s="86"/>
      <c r="T4897" s="86"/>
      <c r="U4897" s="86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48"/>
      <c r="BB4897" s="48"/>
      <c r="BC4897" s="48"/>
      <c r="BD4897" s="48"/>
    </row>
    <row r="4898" spans="1:56">
      <c r="A4898" s="48"/>
      <c r="B4898" s="48"/>
      <c r="C4898" s="49"/>
      <c r="D4898" s="48"/>
      <c r="E4898" s="48"/>
      <c r="F4898" s="48"/>
      <c r="G4898" s="48"/>
      <c r="H4898" s="48"/>
      <c r="I4898" s="48"/>
      <c r="J4898" s="86"/>
      <c r="K4898" s="86"/>
      <c r="L4898" s="86"/>
      <c r="M4898" s="86"/>
      <c r="N4898" s="86"/>
      <c r="O4898" s="86"/>
      <c r="P4898" s="86"/>
      <c r="Q4898" s="86"/>
      <c r="R4898" s="86"/>
      <c r="S4898" s="86"/>
      <c r="T4898" s="86"/>
      <c r="U4898" s="86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48"/>
      <c r="BB4898" s="48"/>
      <c r="BC4898" s="48"/>
      <c r="BD4898" s="48"/>
    </row>
    <row r="4899" spans="1:56">
      <c r="A4899" s="48"/>
      <c r="B4899" s="48"/>
      <c r="C4899" s="49"/>
      <c r="D4899" s="48"/>
      <c r="E4899" s="48"/>
      <c r="F4899" s="48"/>
      <c r="G4899" s="48"/>
      <c r="H4899" s="48"/>
      <c r="I4899" s="48"/>
      <c r="J4899" s="86"/>
      <c r="K4899" s="86"/>
      <c r="L4899" s="86"/>
      <c r="M4899" s="86"/>
      <c r="N4899" s="86"/>
      <c r="O4899" s="86"/>
      <c r="P4899" s="86"/>
      <c r="Q4899" s="86"/>
      <c r="R4899" s="86"/>
      <c r="S4899" s="86"/>
      <c r="T4899" s="86"/>
      <c r="U4899" s="86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48"/>
      <c r="BB4899" s="48"/>
      <c r="BC4899" s="48"/>
      <c r="BD4899" s="48"/>
    </row>
    <row r="4900" spans="1:56">
      <c r="A4900" s="48"/>
      <c r="B4900" s="48"/>
      <c r="C4900" s="49"/>
      <c r="D4900" s="48"/>
      <c r="E4900" s="48"/>
      <c r="F4900" s="48"/>
      <c r="G4900" s="48"/>
      <c r="H4900" s="48"/>
      <c r="I4900" s="48"/>
      <c r="J4900" s="86"/>
      <c r="K4900" s="86"/>
      <c r="L4900" s="86"/>
      <c r="M4900" s="86"/>
      <c r="N4900" s="86"/>
      <c r="O4900" s="86"/>
      <c r="P4900" s="86"/>
      <c r="Q4900" s="86"/>
      <c r="R4900" s="86"/>
      <c r="S4900" s="86"/>
      <c r="T4900" s="86"/>
      <c r="U4900" s="86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48"/>
      <c r="BB4900" s="48"/>
      <c r="BC4900" s="48"/>
      <c r="BD4900" s="48"/>
    </row>
    <row r="4901" spans="1:56">
      <c r="A4901" s="48"/>
      <c r="B4901" s="48"/>
      <c r="C4901" s="49"/>
      <c r="D4901" s="48"/>
      <c r="E4901" s="48"/>
      <c r="F4901" s="48"/>
      <c r="G4901" s="48"/>
      <c r="H4901" s="48"/>
      <c r="I4901" s="48"/>
      <c r="J4901" s="86"/>
      <c r="K4901" s="86"/>
      <c r="L4901" s="86"/>
      <c r="M4901" s="86"/>
      <c r="N4901" s="86"/>
      <c r="O4901" s="86"/>
      <c r="P4901" s="86"/>
      <c r="Q4901" s="86"/>
      <c r="R4901" s="86"/>
      <c r="S4901" s="86"/>
      <c r="T4901" s="86"/>
      <c r="U4901" s="86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48"/>
      <c r="BB4901" s="48"/>
      <c r="BC4901" s="48"/>
      <c r="BD4901" s="48"/>
    </row>
    <row r="4902" spans="1:56">
      <c r="A4902" s="48"/>
      <c r="B4902" s="48"/>
      <c r="C4902" s="49"/>
      <c r="D4902" s="48"/>
      <c r="E4902" s="48"/>
      <c r="F4902" s="48"/>
      <c r="G4902" s="48"/>
      <c r="H4902" s="48"/>
      <c r="I4902" s="48"/>
      <c r="J4902" s="86"/>
      <c r="K4902" s="86"/>
      <c r="L4902" s="86"/>
      <c r="M4902" s="86"/>
      <c r="N4902" s="86"/>
      <c r="O4902" s="86"/>
      <c r="P4902" s="86"/>
      <c r="Q4902" s="86"/>
      <c r="R4902" s="86"/>
      <c r="S4902" s="86"/>
      <c r="T4902" s="86"/>
      <c r="U4902" s="86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48"/>
      <c r="BB4902" s="48"/>
      <c r="BC4902" s="48"/>
      <c r="BD4902" s="48"/>
    </row>
    <row r="4903" spans="1:56">
      <c r="A4903" s="48"/>
      <c r="B4903" s="48"/>
      <c r="C4903" s="49"/>
      <c r="D4903" s="48"/>
      <c r="E4903" s="48"/>
      <c r="F4903" s="48"/>
      <c r="G4903" s="48"/>
      <c r="H4903" s="48"/>
      <c r="I4903" s="48"/>
      <c r="J4903" s="86"/>
      <c r="K4903" s="86"/>
      <c r="L4903" s="86"/>
      <c r="M4903" s="86"/>
      <c r="N4903" s="86"/>
      <c r="O4903" s="86"/>
      <c r="P4903" s="86"/>
      <c r="Q4903" s="86"/>
      <c r="R4903" s="86"/>
      <c r="S4903" s="86"/>
      <c r="T4903" s="86"/>
      <c r="U4903" s="86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48"/>
      <c r="BB4903" s="48"/>
      <c r="BC4903" s="48"/>
      <c r="BD4903" s="48"/>
    </row>
    <row r="4904" spans="1:56">
      <c r="A4904" s="48"/>
      <c r="B4904" s="48"/>
      <c r="C4904" s="49"/>
      <c r="D4904" s="48"/>
      <c r="E4904" s="48"/>
      <c r="F4904" s="48"/>
      <c r="G4904" s="48"/>
      <c r="H4904" s="48"/>
      <c r="I4904" s="48"/>
      <c r="J4904" s="86"/>
      <c r="K4904" s="86"/>
      <c r="L4904" s="86"/>
      <c r="M4904" s="86"/>
      <c r="N4904" s="86"/>
      <c r="O4904" s="86"/>
      <c r="P4904" s="86"/>
      <c r="Q4904" s="86"/>
      <c r="R4904" s="86"/>
      <c r="S4904" s="86"/>
      <c r="T4904" s="86"/>
      <c r="U4904" s="86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48"/>
      <c r="BB4904" s="48"/>
      <c r="BC4904" s="48"/>
      <c r="BD4904" s="48"/>
    </row>
    <row r="4905" spans="1:56">
      <c r="A4905" s="48"/>
      <c r="B4905" s="48"/>
      <c r="C4905" s="49"/>
      <c r="D4905" s="48"/>
      <c r="E4905" s="48"/>
      <c r="F4905" s="48"/>
      <c r="G4905" s="48"/>
      <c r="H4905" s="48"/>
      <c r="I4905" s="48"/>
      <c r="J4905" s="86"/>
      <c r="K4905" s="86"/>
      <c r="L4905" s="86"/>
      <c r="M4905" s="86"/>
      <c r="N4905" s="86"/>
      <c r="O4905" s="86"/>
      <c r="P4905" s="86"/>
      <c r="Q4905" s="86"/>
      <c r="R4905" s="86"/>
      <c r="S4905" s="86"/>
      <c r="T4905" s="86"/>
      <c r="U4905" s="86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48"/>
      <c r="BB4905" s="48"/>
      <c r="BC4905" s="48"/>
      <c r="BD4905" s="48"/>
    </row>
    <row r="4906" spans="1:56">
      <c r="A4906" s="48"/>
      <c r="B4906" s="48"/>
      <c r="C4906" s="49"/>
      <c r="D4906" s="48"/>
      <c r="E4906" s="48"/>
      <c r="F4906" s="48"/>
      <c r="G4906" s="48"/>
      <c r="H4906" s="48"/>
      <c r="I4906" s="48"/>
      <c r="J4906" s="86"/>
      <c r="K4906" s="86"/>
      <c r="L4906" s="86"/>
      <c r="M4906" s="86"/>
      <c r="N4906" s="86"/>
      <c r="O4906" s="86"/>
      <c r="P4906" s="86"/>
      <c r="Q4906" s="86"/>
      <c r="R4906" s="86"/>
      <c r="S4906" s="86"/>
      <c r="T4906" s="86"/>
      <c r="U4906" s="86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48"/>
      <c r="BB4906" s="48"/>
      <c r="BC4906" s="48"/>
      <c r="BD4906" s="48"/>
    </row>
    <row r="4907" spans="1:56">
      <c r="A4907" s="48"/>
      <c r="B4907" s="48"/>
      <c r="C4907" s="49"/>
      <c r="D4907" s="48"/>
      <c r="E4907" s="48"/>
      <c r="F4907" s="48"/>
      <c r="G4907" s="48"/>
      <c r="H4907" s="48"/>
      <c r="I4907" s="48"/>
      <c r="J4907" s="86"/>
      <c r="K4907" s="86"/>
      <c r="L4907" s="86"/>
      <c r="M4907" s="86"/>
      <c r="N4907" s="86"/>
      <c r="O4907" s="86"/>
      <c r="P4907" s="86"/>
      <c r="Q4907" s="86"/>
      <c r="R4907" s="86"/>
      <c r="S4907" s="86"/>
      <c r="T4907" s="86"/>
      <c r="U4907" s="86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48"/>
      <c r="BB4907" s="48"/>
      <c r="BC4907" s="48"/>
      <c r="BD4907" s="48"/>
    </row>
    <row r="4908" spans="1:56">
      <c r="A4908" s="48"/>
      <c r="B4908" s="48"/>
      <c r="C4908" s="49"/>
      <c r="D4908" s="48"/>
      <c r="E4908" s="48"/>
      <c r="F4908" s="48"/>
      <c r="G4908" s="48"/>
      <c r="H4908" s="48"/>
      <c r="I4908" s="48"/>
      <c r="J4908" s="86"/>
      <c r="K4908" s="86"/>
      <c r="L4908" s="86"/>
      <c r="M4908" s="86"/>
      <c r="N4908" s="86"/>
      <c r="O4908" s="86"/>
      <c r="P4908" s="86"/>
      <c r="Q4908" s="86"/>
      <c r="R4908" s="86"/>
      <c r="S4908" s="86"/>
      <c r="T4908" s="86"/>
      <c r="U4908" s="86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48"/>
      <c r="BB4908" s="48"/>
      <c r="BC4908" s="48"/>
      <c r="BD4908" s="48"/>
    </row>
    <row r="4909" spans="1:56">
      <c r="A4909" s="48"/>
      <c r="B4909" s="48"/>
      <c r="C4909" s="49"/>
      <c r="D4909" s="48"/>
      <c r="E4909" s="48"/>
      <c r="F4909" s="48"/>
      <c r="G4909" s="48"/>
      <c r="H4909" s="48"/>
      <c r="I4909" s="48"/>
      <c r="J4909" s="86"/>
      <c r="K4909" s="86"/>
      <c r="L4909" s="86"/>
      <c r="M4909" s="86"/>
      <c r="N4909" s="86"/>
      <c r="O4909" s="86"/>
      <c r="P4909" s="86"/>
      <c r="Q4909" s="86"/>
      <c r="R4909" s="86"/>
      <c r="S4909" s="86"/>
      <c r="T4909" s="86"/>
      <c r="U4909" s="86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48"/>
      <c r="BB4909" s="48"/>
      <c r="BC4909" s="48"/>
      <c r="BD4909" s="48"/>
    </row>
    <row r="4910" spans="1:56">
      <c r="A4910" s="48"/>
      <c r="B4910" s="48"/>
      <c r="C4910" s="49"/>
      <c r="D4910" s="48"/>
      <c r="E4910" s="48"/>
      <c r="F4910" s="48"/>
      <c r="G4910" s="48"/>
      <c r="H4910" s="48"/>
      <c r="I4910" s="48"/>
      <c r="J4910" s="86"/>
      <c r="K4910" s="86"/>
      <c r="L4910" s="86"/>
      <c r="M4910" s="86"/>
      <c r="N4910" s="86"/>
      <c r="O4910" s="86"/>
      <c r="P4910" s="86"/>
      <c r="Q4910" s="86"/>
      <c r="R4910" s="86"/>
      <c r="S4910" s="86"/>
      <c r="T4910" s="86"/>
      <c r="U4910" s="86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48"/>
      <c r="BB4910" s="48"/>
      <c r="BC4910" s="48"/>
      <c r="BD4910" s="48"/>
    </row>
    <row r="4911" spans="1:56">
      <c r="A4911" s="48"/>
      <c r="B4911" s="48"/>
      <c r="C4911" s="49"/>
      <c r="D4911" s="48"/>
      <c r="E4911" s="48"/>
      <c r="F4911" s="48"/>
      <c r="G4911" s="48"/>
      <c r="H4911" s="48"/>
      <c r="I4911" s="48"/>
      <c r="J4911" s="86"/>
      <c r="K4911" s="86"/>
      <c r="L4911" s="86"/>
      <c r="M4911" s="86"/>
      <c r="N4911" s="86"/>
      <c r="O4911" s="86"/>
      <c r="P4911" s="86"/>
      <c r="Q4911" s="86"/>
      <c r="R4911" s="86"/>
      <c r="S4911" s="86"/>
      <c r="T4911" s="86"/>
      <c r="U4911" s="86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48"/>
      <c r="BB4911" s="48"/>
      <c r="BC4911" s="48"/>
      <c r="BD4911" s="48"/>
    </row>
    <row r="4912" spans="1:56">
      <c r="A4912" s="48"/>
      <c r="B4912" s="48"/>
      <c r="C4912" s="49"/>
      <c r="D4912" s="48"/>
      <c r="E4912" s="48"/>
      <c r="F4912" s="48"/>
      <c r="G4912" s="48"/>
      <c r="H4912" s="48"/>
      <c r="I4912" s="48"/>
      <c r="J4912" s="86"/>
      <c r="K4912" s="86"/>
      <c r="L4912" s="86"/>
      <c r="M4912" s="86"/>
      <c r="N4912" s="86"/>
      <c r="O4912" s="86"/>
      <c r="P4912" s="86"/>
      <c r="Q4912" s="86"/>
      <c r="R4912" s="86"/>
      <c r="S4912" s="86"/>
      <c r="T4912" s="86"/>
      <c r="U4912" s="86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48"/>
      <c r="BB4912" s="48"/>
      <c r="BC4912" s="48"/>
      <c r="BD4912" s="48"/>
    </row>
    <row r="4913" spans="1:56">
      <c r="A4913" s="48"/>
      <c r="B4913" s="48"/>
      <c r="C4913" s="49"/>
      <c r="D4913" s="48"/>
      <c r="E4913" s="48"/>
      <c r="F4913" s="48"/>
      <c r="G4913" s="48"/>
      <c r="H4913" s="48"/>
      <c r="I4913" s="48"/>
      <c r="J4913" s="86"/>
      <c r="K4913" s="86"/>
      <c r="L4913" s="86"/>
      <c r="M4913" s="86"/>
      <c r="N4913" s="86"/>
      <c r="O4913" s="86"/>
      <c r="P4913" s="86"/>
      <c r="Q4913" s="86"/>
      <c r="R4913" s="86"/>
      <c r="S4913" s="86"/>
      <c r="T4913" s="86"/>
      <c r="U4913" s="86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48"/>
      <c r="BB4913" s="48"/>
      <c r="BC4913" s="48"/>
      <c r="BD4913" s="48"/>
    </row>
    <row r="4914" spans="1:56">
      <c r="A4914" s="48"/>
      <c r="B4914" s="48"/>
      <c r="C4914" s="49"/>
      <c r="D4914" s="48"/>
      <c r="E4914" s="48"/>
      <c r="F4914" s="48"/>
      <c r="G4914" s="48"/>
      <c r="H4914" s="48"/>
      <c r="I4914" s="48"/>
      <c r="J4914" s="86"/>
      <c r="K4914" s="86"/>
      <c r="L4914" s="86"/>
      <c r="M4914" s="86"/>
      <c r="N4914" s="86"/>
      <c r="O4914" s="86"/>
      <c r="P4914" s="86"/>
      <c r="Q4914" s="86"/>
      <c r="R4914" s="86"/>
      <c r="S4914" s="86"/>
      <c r="T4914" s="86"/>
      <c r="U4914" s="86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48"/>
      <c r="BB4914" s="48"/>
      <c r="BC4914" s="48"/>
      <c r="BD4914" s="48"/>
    </row>
    <row r="4915" spans="1:56">
      <c r="A4915" s="48"/>
      <c r="B4915" s="48"/>
      <c r="C4915" s="49"/>
      <c r="D4915" s="48"/>
      <c r="E4915" s="48"/>
      <c r="F4915" s="48"/>
      <c r="G4915" s="48"/>
      <c r="H4915" s="48"/>
      <c r="I4915" s="48"/>
      <c r="J4915" s="86"/>
      <c r="K4915" s="86"/>
      <c r="L4915" s="86"/>
      <c r="M4915" s="86"/>
      <c r="N4915" s="86"/>
      <c r="O4915" s="86"/>
      <c r="P4915" s="86"/>
      <c r="Q4915" s="86"/>
      <c r="R4915" s="86"/>
      <c r="S4915" s="86"/>
      <c r="T4915" s="86"/>
      <c r="U4915" s="86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48"/>
      <c r="BB4915" s="48"/>
      <c r="BC4915" s="48"/>
      <c r="BD4915" s="48"/>
    </row>
    <row r="4916" spans="1:56">
      <c r="A4916" s="48"/>
      <c r="B4916" s="48"/>
      <c r="C4916" s="49"/>
      <c r="D4916" s="48"/>
      <c r="E4916" s="48"/>
      <c r="F4916" s="48"/>
      <c r="G4916" s="48"/>
      <c r="H4916" s="48"/>
      <c r="I4916" s="48"/>
      <c r="J4916" s="86"/>
      <c r="K4916" s="86"/>
      <c r="L4916" s="86"/>
      <c r="M4916" s="86"/>
      <c r="N4916" s="86"/>
      <c r="O4916" s="86"/>
      <c r="P4916" s="86"/>
      <c r="Q4916" s="86"/>
      <c r="R4916" s="86"/>
      <c r="S4916" s="86"/>
      <c r="T4916" s="86"/>
      <c r="U4916" s="86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48"/>
      <c r="AJ4916" s="48"/>
      <c r="AK4916" s="48"/>
      <c r="AL4916" s="48"/>
      <c r="AM4916" s="48"/>
      <c r="AN4916" s="48"/>
      <c r="AO4916" s="48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48"/>
      <c r="BB4916" s="48"/>
      <c r="BC4916" s="48"/>
      <c r="BD4916" s="48"/>
    </row>
    <row r="4917" spans="1:56">
      <c r="A4917" s="48"/>
      <c r="B4917" s="48"/>
      <c r="C4917" s="49"/>
      <c r="D4917" s="48"/>
      <c r="E4917" s="48"/>
      <c r="F4917" s="48"/>
      <c r="G4917" s="48"/>
      <c r="H4917" s="48"/>
      <c r="I4917" s="48"/>
      <c r="J4917" s="86"/>
      <c r="K4917" s="86"/>
      <c r="L4917" s="86"/>
      <c r="M4917" s="86"/>
      <c r="N4917" s="86"/>
      <c r="O4917" s="86"/>
      <c r="P4917" s="86"/>
      <c r="Q4917" s="86"/>
      <c r="R4917" s="86"/>
      <c r="S4917" s="86"/>
      <c r="T4917" s="86"/>
      <c r="U4917" s="86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48"/>
      <c r="BB4917" s="48"/>
      <c r="BC4917" s="48"/>
      <c r="BD4917" s="48"/>
    </row>
    <row r="4918" spans="1:56">
      <c r="A4918" s="48"/>
      <c r="B4918" s="48"/>
      <c r="C4918" s="49"/>
      <c r="D4918" s="48"/>
      <c r="E4918" s="48"/>
      <c r="F4918" s="48"/>
      <c r="G4918" s="48"/>
      <c r="H4918" s="48"/>
      <c r="I4918" s="48"/>
      <c r="J4918" s="86"/>
      <c r="K4918" s="86"/>
      <c r="L4918" s="86"/>
      <c r="M4918" s="86"/>
      <c r="N4918" s="86"/>
      <c r="O4918" s="86"/>
      <c r="P4918" s="86"/>
      <c r="Q4918" s="86"/>
      <c r="R4918" s="86"/>
      <c r="S4918" s="86"/>
      <c r="T4918" s="86"/>
      <c r="U4918" s="86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48"/>
      <c r="BB4918" s="48"/>
      <c r="BC4918" s="48"/>
      <c r="BD4918" s="48"/>
    </row>
    <row r="4919" spans="1:56">
      <c r="A4919" s="48"/>
      <c r="B4919" s="48"/>
      <c r="C4919" s="49"/>
      <c r="D4919" s="48"/>
      <c r="E4919" s="48"/>
      <c r="F4919" s="48"/>
      <c r="G4919" s="48"/>
      <c r="H4919" s="48"/>
      <c r="I4919" s="48"/>
      <c r="J4919" s="86"/>
      <c r="K4919" s="86"/>
      <c r="L4919" s="86"/>
      <c r="M4919" s="86"/>
      <c r="N4919" s="86"/>
      <c r="O4919" s="86"/>
      <c r="P4919" s="86"/>
      <c r="Q4919" s="86"/>
      <c r="R4919" s="86"/>
      <c r="S4919" s="86"/>
      <c r="T4919" s="86"/>
      <c r="U4919" s="86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48"/>
      <c r="BB4919" s="48"/>
      <c r="BC4919" s="48"/>
      <c r="BD4919" s="48"/>
    </row>
    <row r="4920" spans="1:56">
      <c r="A4920" s="48"/>
      <c r="B4920" s="48"/>
      <c r="C4920" s="49"/>
      <c r="D4920" s="48"/>
      <c r="E4920" s="48"/>
      <c r="F4920" s="48"/>
      <c r="G4920" s="48"/>
      <c r="H4920" s="48"/>
      <c r="I4920" s="48"/>
      <c r="J4920" s="86"/>
      <c r="K4920" s="86"/>
      <c r="L4920" s="86"/>
      <c r="M4920" s="86"/>
      <c r="N4920" s="86"/>
      <c r="O4920" s="86"/>
      <c r="P4920" s="86"/>
      <c r="Q4920" s="86"/>
      <c r="R4920" s="86"/>
      <c r="S4920" s="86"/>
      <c r="T4920" s="86"/>
      <c r="U4920" s="86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48"/>
      <c r="BB4920" s="48"/>
      <c r="BC4920" s="48"/>
      <c r="BD4920" s="48"/>
    </row>
    <row r="4921" spans="1:56">
      <c r="A4921" s="48"/>
      <c r="B4921" s="48"/>
      <c r="C4921" s="49"/>
      <c r="D4921" s="48"/>
      <c r="E4921" s="48"/>
      <c r="F4921" s="48"/>
      <c r="G4921" s="48"/>
      <c r="H4921" s="48"/>
      <c r="I4921" s="48"/>
      <c r="J4921" s="86"/>
      <c r="K4921" s="86"/>
      <c r="L4921" s="86"/>
      <c r="M4921" s="86"/>
      <c r="N4921" s="86"/>
      <c r="O4921" s="86"/>
      <c r="P4921" s="86"/>
      <c r="Q4921" s="86"/>
      <c r="R4921" s="86"/>
      <c r="S4921" s="86"/>
      <c r="T4921" s="86"/>
      <c r="U4921" s="86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48"/>
      <c r="BB4921" s="48"/>
      <c r="BC4921" s="48"/>
      <c r="BD4921" s="48"/>
    </row>
    <row r="4922" spans="1:56">
      <c r="A4922" s="48"/>
      <c r="B4922" s="48"/>
      <c r="C4922" s="49"/>
      <c r="D4922" s="48"/>
      <c r="E4922" s="48"/>
      <c r="F4922" s="48"/>
      <c r="G4922" s="48"/>
      <c r="H4922" s="48"/>
      <c r="I4922" s="48"/>
      <c r="J4922" s="86"/>
      <c r="K4922" s="86"/>
      <c r="L4922" s="86"/>
      <c r="M4922" s="86"/>
      <c r="N4922" s="86"/>
      <c r="O4922" s="86"/>
      <c r="P4922" s="86"/>
      <c r="Q4922" s="86"/>
      <c r="R4922" s="86"/>
      <c r="S4922" s="86"/>
      <c r="T4922" s="86"/>
      <c r="U4922" s="86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48"/>
      <c r="BB4922" s="48"/>
      <c r="BC4922" s="48"/>
      <c r="BD4922" s="48"/>
    </row>
    <row r="4923" spans="1:56">
      <c r="A4923" s="48"/>
      <c r="B4923" s="48"/>
      <c r="C4923" s="49"/>
      <c r="D4923" s="48"/>
      <c r="E4923" s="48"/>
      <c r="F4923" s="48"/>
      <c r="G4923" s="48"/>
      <c r="H4923" s="48"/>
      <c r="I4923" s="48"/>
      <c r="J4923" s="86"/>
      <c r="K4923" s="86"/>
      <c r="L4923" s="86"/>
      <c r="M4923" s="86"/>
      <c r="N4923" s="86"/>
      <c r="O4923" s="86"/>
      <c r="P4923" s="86"/>
      <c r="Q4923" s="86"/>
      <c r="R4923" s="86"/>
      <c r="S4923" s="86"/>
      <c r="T4923" s="86"/>
      <c r="U4923" s="86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48"/>
      <c r="BB4923" s="48"/>
      <c r="BC4923" s="48"/>
      <c r="BD4923" s="48"/>
    </row>
    <row r="4924" spans="1:56">
      <c r="A4924" s="48"/>
      <c r="B4924" s="48"/>
      <c r="C4924" s="49"/>
      <c r="D4924" s="48"/>
      <c r="E4924" s="48"/>
      <c r="F4924" s="48"/>
      <c r="G4924" s="48"/>
      <c r="H4924" s="48"/>
      <c r="I4924" s="48"/>
      <c r="J4924" s="86"/>
      <c r="K4924" s="86"/>
      <c r="L4924" s="86"/>
      <c r="M4924" s="86"/>
      <c r="N4924" s="86"/>
      <c r="O4924" s="86"/>
      <c r="P4924" s="86"/>
      <c r="Q4924" s="86"/>
      <c r="R4924" s="86"/>
      <c r="S4924" s="86"/>
      <c r="T4924" s="86"/>
      <c r="U4924" s="86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48"/>
      <c r="BB4924" s="48"/>
      <c r="BC4924" s="48"/>
      <c r="BD4924" s="48"/>
    </row>
    <row r="4925" spans="1:56">
      <c r="A4925" s="48"/>
      <c r="B4925" s="48"/>
      <c r="C4925" s="49"/>
      <c r="D4925" s="48"/>
      <c r="E4925" s="48"/>
      <c r="F4925" s="48"/>
      <c r="G4925" s="48"/>
      <c r="H4925" s="48"/>
      <c r="I4925" s="48"/>
      <c r="J4925" s="86"/>
      <c r="K4925" s="86"/>
      <c r="L4925" s="86"/>
      <c r="M4925" s="86"/>
      <c r="N4925" s="86"/>
      <c r="O4925" s="86"/>
      <c r="P4925" s="86"/>
      <c r="Q4925" s="86"/>
      <c r="R4925" s="86"/>
      <c r="S4925" s="86"/>
      <c r="T4925" s="86"/>
      <c r="U4925" s="86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48"/>
      <c r="AP4925" s="48"/>
      <c r="AQ4925" s="48"/>
      <c r="AR4925" s="48"/>
      <c r="AS4925" s="48"/>
      <c r="AT4925" s="48"/>
      <c r="AU4925" s="48"/>
      <c r="AV4925" s="48"/>
      <c r="AW4925" s="48"/>
      <c r="AX4925" s="48"/>
      <c r="AY4925" s="48"/>
      <c r="AZ4925" s="48"/>
      <c r="BA4925" s="48"/>
      <c r="BB4925" s="48"/>
      <c r="BC4925" s="48"/>
      <c r="BD4925" s="48"/>
    </row>
    <row r="4926" spans="1:56">
      <c r="A4926" s="48"/>
      <c r="B4926" s="48"/>
      <c r="C4926" s="49"/>
      <c r="D4926" s="48"/>
      <c r="E4926" s="48"/>
      <c r="F4926" s="48"/>
      <c r="G4926" s="48"/>
      <c r="H4926" s="48"/>
      <c r="I4926" s="48"/>
      <c r="J4926" s="86"/>
      <c r="K4926" s="86"/>
      <c r="L4926" s="86"/>
      <c r="M4926" s="86"/>
      <c r="N4926" s="86"/>
      <c r="O4926" s="86"/>
      <c r="P4926" s="86"/>
      <c r="Q4926" s="86"/>
      <c r="R4926" s="86"/>
      <c r="S4926" s="86"/>
      <c r="T4926" s="86"/>
      <c r="U4926" s="86"/>
      <c r="V4926" s="48"/>
      <c r="W4926" s="48"/>
      <c r="X4926" s="48"/>
      <c r="Y4926" s="48"/>
      <c r="Z4926" s="48"/>
      <c r="AA4926" s="48"/>
      <c r="AB4926" s="48"/>
      <c r="AC4926" s="48"/>
      <c r="AD4926" s="48"/>
      <c r="AE4926" s="48"/>
      <c r="AF4926" s="48"/>
      <c r="AG4926" s="48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48"/>
      <c r="BB4926" s="48"/>
      <c r="BC4926" s="48"/>
      <c r="BD4926" s="48"/>
    </row>
    <row r="4927" spans="1:56">
      <c r="A4927" s="48"/>
      <c r="B4927" s="48"/>
      <c r="C4927" s="49"/>
      <c r="D4927" s="48"/>
      <c r="E4927" s="48"/>
      <c r="F4927" s="48"/>
      <c r="G4927" s="48"/>
      <c r="H4927" s="48"/>
      <c r="I4927" s="48"/>
      <c r="J4927" s="86"/>
      <c r="K4927" s="86"/>
      <c r="L4927" s="86"/>
      <c r="M4927" s="86"/>
      <c r="N4927" s="86"/>
      <c r="O4927" s="86"/>
      <c r="P4927" s="86"/>
      <c r="Q4927" s="86"/>
      <c r="R4927" s="86"/>
      <c r="S4927" s="86"/>
      <c r="T4927" s="86"/>
      <c r="U4927" s="86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48"/>
      <c r="BB4927" s="48"/>
      <c r="BC4927" s="48"/>
      <c r="BD4927" s="48"/>
    </row>
    <row r="4928" spans="1:56">
      <c r="A4928" s="48"/>
      <c r="B4928" s="48"/>
      <c r="C4928" s="49"/>
      <c r="D4928" s="48"/>
      <c r="E4928" s="48"/>
      <c r="F4928" s="48"/>
      <c r="G4928" s="48"/>
      <c r="H4928" s="48"/>
      <c r="I4928" s="48"/>
      <c r="J4928" s="86"/>
      <c r="K4928" s="86"/>
      <c r="L4928" s="86"/>
      <c r="M4928" s="86"/>
      <c r="N4928" s="86"/>
      <c r="O4928" s="86"/>
      <c r="P4928" s="86"/>
      <c r="Q4928" s="86"/>
      <c r="R4928" s="86"/>
      <c r="S4928" s="86"/>
      <c r="T4928" s="86"/>
      <c r="U4928" s="86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48"/>
      <c r="BB4928" s="48"/>
      <c r="BC4928" s="48"/>
      <c r="BD4928" s="48"/>
    </row>
    <row r="4929" spans="1:56">
      <c r="A4929" s="48"/>
      <c r="B4929" s="48"/>
      <c r="C4929" s="49"/>
      <c r="D4929" s="48"/>
      <c r="E4929" s="48"/>
      <c r="F4929" s="48"/>
      <c r="G4929" s="48"/>
      <c r="H4929" s="48"/>
      <c r="I4929" s="48"/>
      <c r="J4929" s="86"/>
      <c r="K4929" s="86"/>
      <c r="L4929" s="86"/>
      <c r="M4929" s="86"/>
      <c r="N4929" s="86"/>
      <c r="O4929" s="86"/>
      <c r="P4929" s="86"/>
      <c r="Q4929" s="86"/>
      <c r="R4929" s="86"/>
      <c r="S4929" s="86"/>
      <c r="T4929" s="86"/>
      <c r="U4929" s="86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48"/>
      <c r="BB4929" s="48"/>
      <c r="BC4929" s="48"/>
      <c r="BD4929" s="48"/>
    </row>
    <row r="4930" spans="1:56">
      <c r="A4930" s="48"/>
      <c r="B4930" s="48"/>
      <c r="C4930" s="49"/>
      <c r="D4930" s="48"/>
      <c r="E4930" s="48"/>
      <c r="F4930" s="48"/>
      <c r="G4930" s="48"/>
      <c r="H4930" s="48"/>
      <c r="I4930" s="48"/>
      <c r="J4930" s="86"/>
      <c r="K4930" s="86"/>
      <c r="L4930" s="86"/>
      <c r="M4930" s="86"/>
      <c r="N4930" s="86"/>
      <c r="O4930" s="86"/>
      <c r="P4930" s="86"/>
      <c r="Q4930" s="86"/>
      <c r="R4930" s="86"/>
      <c r="S4930" s="86"/>
      <c r="T4930" s="86"/>
      <c r="U4930" s="86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48"/>
      <c r="BB4930" s="48"/>
      <c r="BC4930" s="48"/>
      <c r="BD4930" s="48"/>
    </row>
    <row r="4931" spans="1:56">
      <c r="A4931" s="48"/>
      <c r="B4931" s="48"/>
      <c r="C4931" s="49"/>
      <c r="D4931" s="48"/>
      <c r="E4931" s="48"/>
      <c r="F4931" s="48"/>
      <c r="G4931" s="48"/>
      <c r="H4931" s="48"/>
      <c r="I4931" s="48"/>
      <c r="J4931" s="86"/>
      <c r="K4931" s="86"/>
      <c r="L4931" s="86"/>
      <c r="M4931" s="86"/>
      <c r="N4931" s="86"/>
      <c r="O4931" s="86"/>
      <c r="P4931" s="86"/>
      <c r="Q4931" s="86"/>
      <c r="R4931" s="86"/>
      <c r="S4931" s="86"/>
      <c r="T4931" s="86"/>
      <c r="U4931" s="86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48"/>
      <c r="BB4931" s="48"/>
      <c r="BC4931" s="48"/>
      <c r="BD4931" s="48"/>
    </row>
    <row r="4932" spans="1:56">
      <c r="A4932" s="48"/>
      <c r="B4932" s="48"/>
      <c r="C4932" s="49"/>
      <c r="D4932" s="48"/>
      <c r="E4932" s="48"/>
      <c r="F4932" s="48"/>
      <c r="G4932" s="48"/>
      <c r="H4932" s="48"/>
      <c r="I4932" s="48"/>
      <c r="J4932" s="86"/>
      <c r="K4932" s="86"/>
      <c r="L4932" s="86"/>
      <c r="M4932" s="86"/>
      <c r="N4932" s="86"/>
      <c r="O4932" s="86"/>
      <c r="P4932" s="86"/>
      <c r="Q4932" s="86"/>
      <c r="R4932" s="86"/>
      <c r="S4932" s="86"/>
      <c r="T4932" s="86"/>
      <c r="U4932" s="86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48"/>
      <c r="AO4932" s="48"/>
      <c r="AP4932" s="48"/>
      <c r="AQ4932" s="48"/>
      <c r="AR4932" s="48"/>
      <c r="AS4932" s="48"/>
      <c r="AT4932" s="48"/>
      <c r="AU4932" s="48"/>
      <c r="AV4932" s="48"/>
      <c r="AW4932" s="48"/>
      <c r="AX4932" s="48"/>
      <c r="AY4932" s="48"/>
      <c r="AZ4932" s="48"/>
      <c r="BA4932" s="48"/>
      <c r="BB4932" s="48"/>
      <c r="BC4932" s="48"/>
      <c r="BD4932" s="48"/>
    </row>
    <row r="4933" spans="1:56">
      <c r="A4933" s="48"/>
      <c r="B4933" s="48"/>
      <c r="C4933" s="49"/>
      <c r="D4933" s="48"/>
      <c r="E4933" s="48"/>
      <c r="F4933" s="48"/>
      <c r="G4933" s="48"/>
      <c r="H4933" s="48"/>
      <c r="I4933" s="48"/>
      <c r="J4933" s="86"/>
      <c r="K4933" s="86"/>
      <c r="L4933" s="86"/>
      <c r="M4933" s="86"/>
      <c r="N4933" s="86"/>
      <c r="O4933" s="86"/>
      <c r="P4933" s="86"/>
      <c r="Q4933" s="86"/>
      <c r="R4933" s="86"/>
      <c r="S4933" s="86"/>
      <c r="T4933" s="86"/>
      <c r="U4933" s="86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48"/>
      <c r="BB4933" s="48"/>
      <c r="BC4933" s="48"/>
      <c r="BD4933" s="48"/>
    </row>
    <row r="4934" spans="1:56">
      <c r="A4934" s="48"/>
      <c r="B4934" s="48"/>
      <c r="C4934" s="49"/>
      <c r="D4934" s="48"/>
      <c r="E4934" s="48"/>
      <c r="F4934" s="48"/>
      <c r="G4934" s="48"/>
      <c r="H4934" s="48"/>
      <c r="I4934" s="48"/>
      <c r="J4934" s="86"/>
      <c r="K4934" s="86"/>
      <c r="L4934" s="86"/>
      <c r="M4934" s="86"/>
      <c r="N4934" s="86"/>
      <c r="O4934" s="86"/>
      <c r="P4934" s="86"/>
      <c r="Q4934" s="86"/>
      <c r="R4934" s="86"/>
      <c r="S4934" s="86"/>
      <c r="T4934" s="86"/>
      <c r="U4934" s="86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48"/>
      <c r="BB4934" s="48"/>
      <c r="BC4934" s="48"/>
      <c r="BD4934" s="48"/>
    </row>
    <row r="4935" spans="1:56">
      <c r="A4935" s="48"/>
      <c r="B4935" s="48"/>
      <c r="C4935" s="49"/>
      <c r="D4935" s="48"/>
      <c r="E4935" s="48"/>
      <c r="F4935" s="48"/>
      <c r="G4935" s="48"/>
      <c r="H4935" s="48"/>
      <c r="I4935" s="48"/>
      <c r="J4935" s="86"/>
      <c r="K4935" s="86"/>
      <c r="L4935" s="86"/>
      <c r="M4935" s="86"/>
      <c r="N4935" s="86"/>
      <c r="O4935" s="86"/>
      <c r="P4935" s="86"/>
      <c r="Q4935" s="86"/>
      <c r="R4935" s="86"/>
      <c r="S4935" s="86"/>
      <c r="T4935" s="86"/>
      <c r="U4935" s="86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48"/>
      <c r="BB4935" s="48"/>
      <c r="BC4935" s="48"/>
      <c r="BD4935" s="48"/>
    </row>
    <row r="4936" spans="1:56">
      <c r="A4936" s="48"/>
      <c r="B4936" s="48"/>
      <c r="C4936" s="49"/>
      <c r="D4936" s="48"/>
      <c r="E4936" s="48"/>
      <c r="F4936" s="48"/>
      <c r="G4936" s="48"/>
      <c r="H4936" s="48"/>
      <c r="I4936" s="48"/>
      <c r="J4936" s="86"/>
      <c r="K4936" s="86"/>
      <c r="L4936" s="86"/>
      <c r="M4936" s="86"/>
      <c r="N4936" s="86"/>
      <c r="O4936" s="86"/>
      <c r="P4936" s="86"/>
      <c r="Q4936" s="86"/>
      <c r="R4936" s="86"/>
      <c r="S4936" s="86"/>
      <c r="T4936" s="86"/>
      <c r="U4936" s="86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48"/>
      <c r="BB4936" s="48"/>
      <c r="BC4936" s="48"/>
      <c r="BD4936" s="48"/>
    </row>
    <row r="4937" spans="1:56">
      <c r="A4937" s="48"/>
      <c r="B4937" s="48"/>
      <c r="C4937" s="49"/>
      <c r="D4937" s="48"/>
      <c r="E4937" s="48"/>
      <c r="F4937" s="48"/>
      <c r="G4937" s="48"/>
      <c r="H4937" s="48"/>
      <c r="I4937" s="48"/>
      <c r="J4937" s="86"/>
      <c r="K4937" s="86"/>
      <c r="L4937" s="86"/>
      <c r="M4937" s="86"/>
      <c r="N4937" s="86"/>
      <c r="O4937" s="86"/>
      <c r="P4937" s="86"/>
      <c r="Q4937" s="86"/>
      <c r="R4937" s="86"/>
      <c r="S4937" s="86"/>
      <c r="T4937" s="86"/>
      <c r="U4937" s="86"/>
      <c r="V4937" s="48"/>
      <c r="W4937" s="48"/>
      <c r="X4937" s="48"/>
      <c r="Y4937" s="48"/>
      <c r="Z4937" s="48"/>
      <c r="AA4937" s="48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48"/>
      <c r="BB4937" s="48"/>
      <c r="BC4937" s="48"/>
      <c r="BD4937" s="48"/>
    </row>
    <row r="4938" spans="1:56">
      <c r="A4938" s="48"/>
      <c r="B4938" s="48"/>
      <c r="C4938" s="49"/>
      <c r="D4938" s="48"/>
      <c r="E4938" s="48"/>
      <c r="F4938" s="48"/>
      <c r="G4938" s="48"/>
      <c r="H4938" s="48"/>
      <c r="I4938" s="48"/>
      <c r="J4938" s="86"/>
      <c r="K4938" s="86"/>
      <c r="L4938" s="86"/>
      <c r="M4938" s="86"/>
      <c r="N4938" s="86"/>
      <c r="O4938" s="86"/>
      <c r="P4938" s="86"/>
      <c r="Q4938" s="86"/>
      <c r="R4938" s="86"/>
      <c r="S4938" s="86"/>
      <c r="T4938" s="86"/>
      <c r="U4938" s="86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48"/>
      <c r="BB4938" s="48"/>
      <c r="BC4938" s="48"/>
      <c r="BD4938" s="48"/>
    </row>
    <row r="4939" spans="1:56">
      <c r="A4939" s="48"/>
      <c r="B4939" s="48"/>
      <c r="C4939" s="49"/>
      <c r="D4939" s="48"/>
      <c r="E4939" s="48"/>
      <c r="F4939" s="48"/>
      <c r="G4939" s="48"/>
      <c r="H4939" s="48"/>
      <c r="I4939" s="48"/>
      <c r="J4939" s="86"/>
      <c r="K4939" s="86"/>
      <c r="L4939" s="86"/>
      <c r="M4939" s="86"/>
      <c r="N4939" s="86"/>
      <c r="O4939" s="86"/>
      <c r="P4939" s="86"/>
      <c r="Q4939" s="86"/>
      <c r="R4939" s="86"/>
      <c r="S4939" s="86"/>
      <c r="T4939" s="86"/>
      <c r="U4939" s="86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48"/>
      <c r="BB4939" s="48"/>
      <c r="BC4939" s="48"/>
      <c r="BD4939" s="48"/>
    </row>
    <row r="4940" spans="1:56">
      <c r="A4940" s="48"/>
      <c r="B4940" s="48"/>
      <c r="C4940" s="49"/>
      <c r="D4940" s="48"/>
      <c r="E4940" s="48"/>
      <c r="F4940" s="48"/>
      <c r="G4940" s="48"/>
      <c r="H4940" s="48"/>
      <c r="I4940" s="48"/>
      <c r="J4940" s="86"/>
      <c r="K4940" s="86"/>
      <c r="L4940" s="86"/>
      <c r="M4940" s="86"/>
      <c r="N4940" s="86"/>
      <c r="O4940" s="86"/>
      <c r="P4940" s="86"/>
      <c r="Q4940" s="86"/>
      <c r="R4940" s="86"/>
      <c r="S4940" s="86"/>
      <c r="T4940" s="86"/>
      <c r="U4940" s="86"/>
      <c r="V4940" s="48"/>
      <c r="W4940" s="48"/>
      <c r="X4940" s="48"/>
      <c r="Y4940" s="48"/>
      <c r="Z4940" s="48"/>
      <c r="AA4940" s="48"/>
      <c r="AB4940" s="48"/>
      <c r="AC4940" s="48"/>
      <c r="AD4940" s="48"/>
      <c r="AE4940" s="48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48"/>
      <c r="BB4940" s="48"/>
      <c r="BC4940" s="48"/>
      <c r="BD4940" s="48"/>
    </row>
    <row r="4941" spans="1:56">
      <c r="A4941" s="48"/>
      <c r="B4941" s="48"/>
      <c r="C4941" s="49"/>
      <c r="D4941" s="48"/>
      <c r="E4941" s="48"/>
      <c r="F4941" s="48"/>
      <c r="G4941" s="48"/>
      <c r="H4941" s="48"/>
      <c r="I4941" s="48"/>
      <c r="J4941" s="86"/>
      <c r="K4941" s="86"/>
      <c r="L4941" s="86"/>
      <c r="M4941" s="86"/>
      <c r="N4941" s="86"/>
      <c r="O4941" s="86"/>
      <c r="P4941" s="86"/>
      <c r="Q4941" s="86"/>
      <c r="R4941" s="86"/>
      <c r="S4941" s="86"/>
      <c r="T4941" s="86"/>
      <c r="U4941" s="86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48"/>
      <c r="BB4941" s="48"/>
      <c r="BC4941" s="48"/>
      <c r="BD4941" s="48"/>
    </row>
    <row r="4942" spans="1:56">
      <c r="A4942" s="48"/>
      <c r="B4942" s="48"/>
      <c r="C4942" s="49"/>
      <c r="D4942" s="48"/>
      <c r="E4942" s="48"/>
      <c r="F4942" s="48"/>
      <c r="G4942" s="48"/>
      <c r="H4942" s="48"/>
      <c r="I4942" s="48"/>
      <c r="J4942" s="86"/>
      <c r="K4942" s="86"/>
      <c r="L4942" s="86"/>
      <c r="M4942" s="86"/>
      <c r="N4942" s="86"/>
      <c r="O4942" s="86"/>
      <c r="P4942" s="86"/>
      <c r="Q4942" s="86"/>
      <c r="R4942" s="86"/>
      <c r="S4942" s="86"/>
      <c r="T4942" s="86"/>
      <c r="U4942" s="86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48"/>
      <c r="BB4942" s="48"/>
      <c r="BC4942" s="48"/>
      <c r="BD4942" s="48"/>
    </row>
    <row r="4943" spans="1:56">
      <c r="A4943" s="48"/>
      <c r="B4943" s="48"/>
      <c r="C4943" s="49"/>
      <c r="D4943" s="48"/>
      <c r="E4943" s="48"/>
      <c r="F4943" s="48"/>
      <c r="G4943" s="48"/>
      <c r="H4943" s="48"/>
      <c r="I4943" s="48"/>
      <c r="J4943" s="86"/>
      <c r="K4943" s="86"/>
      <c r="L4943" s="86"/>
      <c r="M4943" s="86"/>
      <c r="N4943" s="86"/>
      <c r="O4943" s="86"/>
      <c r="P4943" s="86"/>
      <c r="Q4943" s="86"/>
      <c r="R4943" s="86"/>
      <c r="S4943" s="86"/>
      <c r="T4943" s="86"/>
      <c r="U4943" s="86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48"/>
      <c r="BB4943" s="48"/>
      <c r="BC4943" s="48"/>
      <c r="BD4943" s="48"/>
    </row>
    <row r="4944" spans="1:56">
      <c r="A4944" s="48"/>
      <c r="B4944" s="48"/>
      <c r="C4944" s="49"/>
      <c r="D4944" s="48"/>
      <c r="E4944" s="48"/>
      <c r="F4944" s="48"/>
      <c r="G4944" s="48"/>
      <c r="H4944" s="48"/>
      <c r="I4944" s="48"/>
      <c r="J4944" s="86"/>
      <c r="K4944" s="86"/>
      <c r="L4944" s="86"/>
      <c r="M4944" s="86"/>
      <c r="N4944" s="86"/>
      <c r="O4944" s="86"/>
      <c r="P4944" s="86"/>
      <c r="Q4944" s="86"/>
      <c r="R4944" s="86"/>
      <c r="S4944" s="86"/>
      <c r="T4944" s="86"/>
      <c r="U4944" s="86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48"/>
      <c r="BB4944" s="48"/>
      <c r="BC4944" s="48"/>
      <c r="BD4944" s="48"/>
    </row>
    <row r="4945" spans="1:56">
      <c r="A4945" s="48"/>
      <c r="B4945" s="48"/>
      <c r="C4945" s="49"/>
      <c r="D4945" s="48"/>
      <c r="E4945" s="48"/>
      <c r="F4945" s="48"/>
      <c r="G4945" s="48"/>
      <c r="H4945" s="48"/>
      <c r="I4945" s="48"/>
      <c r="J4945" s="86"/>
      <c r="K4945" s="86"/>
      <c r="L4945" s="86"/>
      <c r="M4945" s="86"/>
      <c r="N4945" s="86"/>
      <c r="O4945" s="86"/>
      <c r="P4945" s="86"/>
      <c r="Q4945" s="86"/>
      <c r="R4945" s="86"/>
      <c r="S4945" s="86"/>
      <c r="T4945" s="86"/>
      <c r="U4945" s="86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48"/>
      <c r="BB4945" s="48"/>
      <c r="BC4945" s="48"/>
      <c r="BD4945" s="48"/>
    </row>
    <row r="4946" spans="1:56">
      <c r="A4946" s="48"/>
      <c r="B4946" s="48"/>
      <c r="C4946" s="49"/>
      <c r="D4946" s="48"/>
      <c r="E4946" s="48"/>
      <c r="F4946" s="48"/>
      <c r="G4946" s="48"/>
      <c r="H4946" s="48"/>
      <c r="I4946" s="48"/>
      <c r="J4946" s="86"/>
      <c r="K4946" s="86"/>
      <c r="L4946" s="86"/>
      <c r="M4946" s="86"/>
      <c r="N4946" s="86"/>
      <c r="O4946" s="86"/>
      <c r="P4946" s="86"/>
      <c r="Q4946" s="86"/>
      <c r="R4946" s="86"/>
      <c r="S4946" s="86"/>
      <c r="T4946" s="86"/>
      <c r="U4946" s="86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48"/>
      <c r="BB4946" s="48"/>
      <c r="BC4946" s="48"/>
      <c r="BD4946" s="48"/>
    </row>
    <row r="4947" spans="1:56">
      <c r="A4947" s="48"/>
      <c r="B4947" s="48"/>
      <c r="C4947" s="49"/>
      <c r="D4947" s="48"/>
      <c r="E4947" s="48"/>
      <c r="F4947" s="48"/>
      <c r="G4947" s="48"/>
      <c r="H4947" s="48"/>
      <c r="I4947" s="48"/>
      <c r="J4947" s="86"/>
      <c r="K4947" s="86"/>
      <c r="L4947" s="86"/>
      <c r="M4947" s="86"/>
      <c r="N4947" s="86"/>
      <c r="O4947" s="86"/>
      <c r="P4947" s="86"/>
      <c r="Q4947" s="86"/>
      <c r="R4947" s="86"/>
      <c r="S4947" s="86"/>
      <c r="T4947" s="86"/>
      <c r="U4947" s="86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48"/>
      <c r="BB4947" s="48"/>
      <c r="BC4947" s="48"/>
      <c r="BD4947" s="48"/>
    </row>
    <row r="4948" spans="1:56">
      <c r="A4948" s="48"/>
      <c r="B4948" s="48"/>
      <c r="C4948" s="49"/>
      <c r="D4948" s="48"/>
      <c r="E4948" s="48"/>
      <c r="F4948" s="48"/>
      <c r="G4948" s="48"/>
      <c r="H4948" s="48"/>
      <c r="I4948" s="48"/>
      <c r="J4948" s="86"/>
      <c r="K4948" s="86"/>
      <c r="L4948" s="86"/>
      <c r="M4948" s="86"/>
      <c r="N4948" s="86"/>
      <c r="O4948" s="86"/>
      <c r="P4948" s="86"/>
      <c r="Q4948" s="86"/>
      <c r="R4948" s="86"/>
      <c r="S4948" s="86"/>
      <c r="T4948" s="86"/>
      <c r="U4948" s="86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48"/>
      <c r="BB4948" s="48"/>
      <c r="BC4948" s="48"/>
      <c r="BD4948" s="48"/>
    </row>
    <row r="4949" spans="1:56">
      <c r="A4949" s="48"/>
      <c r="B4949" s="48"/>
      <c r="C4949" s="49"/>
      <c r="D4949" s="48"/>
      <c r="E4949" s="48"/>
      <c r="F4949" s="48"/>
      <c r="G4949" s="48"/>
      <c r="H4949" s="48"/>
      <c r="I4949" s="48"/>
      <c r="J4949" s="86"/>
      <c r="K4949" s="86"/>
      <c r="L4949" s="86"/>
      <c r="M4949" s="86"/>
      <c r="N4949" s="86"/>
      <c r="O4949" s="86"/>
      <c r="P4949" s="86"/>
      <c r="Q4949" s="86"/>
      <c r="R4949" s="86"/>
      <c r="S4949" s="86"/>
      <c r="T4949" s="86"/>
      <c r="U4949" s="86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48"/>
      <c r="BB4949" s="48"/>
      <c r="BC4949" s="48"/>
      <c r="BD4949" s="48"/>
    </row>
    <row r="4950" spans="1:56">
      <c r="A4950" s="48"/>
      <c r="B4950" s="48"/>
      <c r="C4950" s="49"/>
      <c r="D4950" s="48"/>
      <c r="E4950" s="48"/>
      <c r="F4950" s="48"/>
      <c r="G4950" s="48"/>
      <c r="H4950" s="48"/>
      <c r="I4950" s="48"/>
      <c r="J4950" s="86"/>
      <c r="K4950" s="86"/>
      <c r="L4950" s="86"/>
      <c r="M4950" s="86"/>
      <c r="N4950" s="86"/>
      <c r="O4950" s="86"/>
      <c r="P4950" s="86"/>
      <c r="Q4950" s="86"/>
      <c r="R4950" s="86"/>
      <c r="S4950" s="86"/>
      <c r="T4950" s="86"/>
      <c r="U4950" s="86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48"/>
      <c r="BB4950" s="48"/>
      <c r="BC4950" s="48"/>
      <c r="BD4950" s="48"/>
    </row>
    <row r="4951" spans="1:56">
      <c r="A4951" s="48"/>
      <c r="B4951" s="48"/>
      <c r="C4951" s="49"/>
      <c r="D4951" s="48"/>
      <c r="E4951" s="48"/>
      <c r="F4951" s="48"/>
      <c r="G4951" s="48"/>
      <c r="H4951" s="48"/>
      <c r="I4951" s="48"/>
      <c r="J4951" s="86"/>
      <c r="K4951" s="86"/>
      <c r="L4951" s="86"/>
      <c r="M4951" s="86"/>
      <c r="N4951" s="86"/>
      <c r="O4951" s="86"/>
      <c r="P4951" s="86"/>
      <c r="Q4951" s="86"/>
      <c r="R4951" s="86"/>
      <c r="S4951" s="86"/>
      <c r="T4951" s="86"/>
      <c r="U4951" s="86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48"/>
      <c r="BB4951" s="48"/>
      <c r="BC4951" s="48"/>
      <c r="BD4951" s="48"/>
    </row>
    <row r="4952" spans="1:56">
      <c r="A4952" s="48"/>
      <c r="B4952" s="48"/>
      <c r="C4952" s="49"/>
      <c r="D4952" s="48"/>
      <c r="E4952" s="48"/>
      <c r="F4952" s="48"/>
      <c r="G4952" s="48"/>
      <c r="H4952" s="48"/>
      <c r="I4952" s="48"/>
      <c r="J4952" s="86"/>
      <c r="K4952" s="86"/>
      <c r="L4952" s="86"/>
      <c r="M4952" s="86"/>
      <c r="N4952" s="86"/>
      <c r="O4952" s="86"/>
      <c r="P4952" s="86"/>
      <c r="Q4952" s="86"/>
      <c r="R4952" s="86"/>
      <c r="S4952" s="86"/>
      <c r="T4952" s="86"/>
      <c r="U4952" s="86"/>
      <c r="V4952" s="48"/>
      <c r="W4952" s="48"/>
      <c r="X4952" s="48"/>
      <c r="Y4952" s="48"/>
      <c r="Z4952" s="48"/>
      <c r="AA4952" s="48"/>
      <c r="AB4952" s="48"/>
      <c r="AC4952" s="48"/>
      <c r="AD4952" s="48"/>
      <c r="AE4952" s="48"/>
      <c r="AF4952" s="48"/>
      <c r="AG4952" s="48"/>
      <c r="AH4952" s="48"/>
      <c r="AI4952" s="48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48"/>
      <c r="BB4952" s="48"/>
      <c r="BC4952" s="48"/>
      <c r="BD4952" s="48"/>
    </row>
    <row r="4953" spans="1:56">
      <c r="A4953" s="48"/>
      <c r="B4953" s="48"/>
      <c r="C4953" s="49"/>
      <c r="D4953" s="48"/>
      <c r="E4953" s="48"/>
      <c r="F4953" s="48"/>
      <c r="G4953" s="48"/>
      <c r="H4953" s="48"/>
      <c r="I4953" s="48"/>
      <c r="J4953" s="86"/>
      <c r="K4953" s="86"/>
      <c r="L4953" s="86"/>
      <c r="M4953" s="86"/>
      <c r="N4953" s="86"/>
      <c r="O4953" s="86"/>
      <c r="P4953" s="86"/>
      <c r="Q4953" s="86"/>
      <c r="R4953" s="86"/>
      <c r="S4953" s="86"/>
      <c r="T4953" s="86"/>
      <c r="U4953" s="86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48"/>
      <c r="BB4953" s="48"/>
      <c r="BC4953" s="48"/>
      <c r="BD4953" s="48"/>
    </row>
    <row r="4954" spans="1:56">
      <c r="A4954" s="48"/>
      <c r="B4954" s="48"/>
      <c r="C4954" s="49"/>
      <c r="D4954" s="48"/>
      <c r="E4954" s="48"/>
      <c r="F4954" s="48"/>
      <c r="G4954" s="48"/>
      <c r="H4954" s="48"/>
      <c r="I4954" s="48"/>
      <c r="J4954" s="86"/>
      <c r="K4954" s="86"/>
      <c r="L4954" s="86"/>
      <c r="M4954" s="86"/>
      <c r="N4954" s="86"/>
      <c r="O4954" s="86"/>
      <c r="P4954" s="86"/>
      <c r="Q4954" s="86"/>
      <c r="R4954" s="86"/>
      <c r="S4954" s="86"/>
      <c r="T4954" s="86"/>
      <c r="U4954" s="86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48"/>
      <c r="BB4954" s="48"/>
      <c r="BC4954" s="48"/>
      <c r="BD4954" s="48"/>
    </row>
    <row r="4955" spans="1:56">
      <c r="A4955" s="48"/>
      <c r="B4955" s="48"/>
      <c r="C4955" s="49"/>
      <c r="D4955" s="48"/>
      <c r="E4955" s="48"/>
      <c r="F4955" s="48"/>
      <c r="G4955" s="48"/>
      <c r="H4955" s="48"/>
      <c r="I4955" s="48"/>
      <c r="J4955" s="86"/>
      <c r="K4955" s="86"/>
      <c r="L4955" s="86"/>
      <c r="M4955" s="86"/>
      <c r="N4955" s="86"/>
      <c r="O4955" s="86"/>
      <c r="P4955" s="86"/>
      <c r="Q4955" s="86"/>
      <c r="R4955" s="86"/>
      <c r="S4955" s="86"/>
      <c r="T4955" s="86"/>
      <c r="U4955" s="86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48"/>
      <c r="BB4955" s="48"/>
      <c r="BC4955" s="48"/>
      <c r="BD4955" s="48"/>
    </row>
    <row r="4956" spans="1:56">
      <c r="A4956" s="48"/>
      <c r="B4956" s="48"/>
      <c r="C4956" s="49"/>
      <c r="D4956" s="48"/>
      <c r="E4956" s="48"/>
      <c r="F4956" s="48"/>
      <c r="G4956" s="48"/>
      <c r="H4956" s="48"/>
      <c r="I4956" s="48"/>
      <c r="J4956" s="86"/>
      <c r="K4956" s="86"/>
      <c r="L4956" s="86"/>
      <c r="M4956" s="86"/>
      <c r="N4956" s="86"/>
      <c r="O4956" s="86"/>
      <c r="P4956" s="86"/>
      <c r="Q4956" s="86"/>
      <c r="R4956" s="86"/>
      <c r="S4956" s="86"/>
      <c r="T4956" s="86"/>
      <c r="U4956" s="86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48"/>
      <c r="BB4956" s="48"/>
      <c r="BC4956" s="48"/>
      <c r="BD4956" s="48"/>
    </row>
    <row r="4957" spans="1:56">
      <c r="A4957" s="48"/>
      <c r="B4957" s="48"/>
      <c r="C4957" s="49"/>
      <c r="D4957" s="48"/>
      <c r="E4957" s="48"/>
      <c r="F4957" s="48"/>
      <c r="G4957" s="48"/>
      <c r="H4957" s="48"/>
      <c r="I4957" s="48"/>
      <c r="J4957" s="86"/>
      <c r="K4957" s="86"/>
      <c r="L4957" s="86"/>
      <c r="M4957" s="86"/>
      <c r="N4957" s="86"/>
      <c r="O4957" s="86"/>
      <c r="P4957" s="86"/>
      <c r="Q4957" s="86"/>
      <c r="R4957" s="86"/>
      <c r="S4957" s="86"/>
      <c r="T4957" s="86"/>
      <c r="U4957" s="86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48"/>
      <c r="BB4957" s="48"/>
      <c r="BC4957" s="48"/>
      <c r="BD4957" s="48"/>
    </row>
    <row r="4958" spans="1:56">
      <c r="A4958" s="48"/>
      <c r="B4958" s="48"/>
      <c r="C4958" s="49"/>
      <c r="D4958" s="48"/>
      <c r="E4958" s="48"/>
      <c r="F4958" s="48"/>
      <c r="G4958" s="48"/>
      <c r="H4958" s="48"/>
      <c r="I4958" s="48"/>
      <c r="J4958" s="86"/>
      <c r="K4958" s="86"/>
      <c r="L4958" s="86"/>
      <c r="M4958" s="86"/>
      <c r="N4958" s="86"/>
      <c r="O4958" s="86"/>
      <c r="P4958" s="86"/>
      <c r="Q4958" s="86"/>
      <c r="R4958" s="86"/>
      <c r="S4958" s="86"/>
      <c r="T4958" s="86"/>
      <c r="U4958" s="86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48"/>
      <c r="BB4958" s="48"/>
      <c r="BC4958" s="48"/>
      <c r="BD4958" s="48"/>
    </row>
    <row r="4959" spans="1:56">
      <c r="A4959" s="48"/>
      <c r="B4959" s="48"/>
      <c r="C4959" s="49"/>
      <c r="D4959" s="48"/>
      <c r="E4959" s="48"/>
      <c r="F4959" s="48"/>
      <c r="G4959" s="48"/>
      <c r="H4959" s="48"/>
      <c r="I4959" s="48"/>
      <c r="J4959" s="86"/>
      <c r="K4959" s="86"/>
      <c r="L4959" s="86"/>
      <c r="M4959" s="86"/>
      <c r="N4959" s="86"/>
      <c r="O4959" s="86"/>
      <c r="P4959" s="86"/>
      <c r="Q4959" s="86"/>
      <c r="R4959" s="86"/>
      <c r="S4959" s="86"/>
      <c r="T4959" s="86"/>
      <c r="U4959" s="86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48"/>
      <c r="BB4959" s="48"/>
      <c r="BC4959" s="48"/>
      <c r="BD4959" s="48"/>
    </row>
    <row r="4960" spans="1:56">
      <c r="A4960" s="48"/>
      <c r="B4960" s="48"/>
      <c r="C4960" s="49"/>
      <c r="D4960" s="48"/>
      <c r="E4960" s="48"/>
      <c r="F4960" s="48"/>
      <c r="G4960" s="48"/>
      <c r="H4960" s="48"/>
      <c r="I4960" s="48"/>
      <c r="J4960" s="86"/>
      <c r="K4960" s="86"/>
      <c r="L4960" s="86"/>
      <c r="M4960" s="86"/>
      <c r="N4960" s="86"/>
      <c r="O4960" s="86"/>
      <c r="P4960" s="86"/>
      <c r="Q4960" s="86"/>
      <c r="R4960" s="86"/>
      <c r="S4960" s="86"/>
      <c r="T4960" s="86"/>
      <c r="U4960" s="86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48"/>
      <c r="BB4960" s="48"/>
      <c r="BC4960" s="48"/>
      <c r="BD4960" s="48"/>
    </row>
    <row r="4961" spans="1:56">
      <c r="A4961" s="48"/>
      <c r="B4961" s="48"/>
      <c r="C4961" s="49"/>
      <c r="D4961" s="48"/>
      <c r="E4961" s="48"/>
      <c r="F4961" s="48"/>
      <c r="G4961" s="48"/>
      <c r="H4961" s="48"/>
      <c r="I4961" s="48"/>
      <c r="J4961" s="86"/>
      <c r="K4961" s="86"/>
      <c r="L4961" s="86"/>
      <c r="M4961" s="86"/>
      <c r="N4961" s="86"/>
      <c r="O4961" s="86"/>
      <c r="P4961" s="86"/>
      <c r="Q4961" s="86"/>
      <c r="R4961" s="86"/>
      <c r="S4961" s="86"/>
      <c r="T4961" s="86"/>
      <c r="U4961" s="86"/>
      <c r="V4961" s="48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48"/>
      <c r="BB4961" s="48"/>
      <c r="BC4961" s="48"/>
      <c r="BD4961" s="48"/>
    </row>
    <row r="4962" spans="1:56">
      <c r="A4962" s="48"/>
      <c r="B4962" s="48"/>
      <c r="C4962" s="49"/>
      <c r="D4962" s="48"/>
      <c r="E4962" s="48"/>
      <c r="F4962" s="48"/>
      <c r="G4962" s="48"/>
      <c r="H4962" s="48"/>
      <c r="I4962" s="48"/>
      <c r="J4962" s="86"/>
      <c r="K4962" s="86"/>
      <c r="L4962" s="86"/>
      <c r="M4962" s="86"/>
      <c r="N4962" s="86"/>
      <c r="O4962" s="86"/>
      <c r="P4962" s="86"/>
      <c r="Q4962" s="86"/>
      <c r="R4962" s="86"/>
      <c r="S4962" s="86"/>
      <c r="T4962" s="86"/>
      <c r="U4962" s="86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48"/>
      <c r="BB4962" s="48"/>
      <c r="BC4962" s="48"/>
      <c r="BD4962" s="48"/>
    </row>
    <row r="4963" spans="1:56">
      <c r="A4963" s="48"/>
      <c r="B4963" s="48"/>
      <c r="C4963" s="49"/>
      <c r="D4963" s="48"/>
      <c r="E4963" s="48"/>
      <c r="F4963" s="48"/>
      <c r="G4963" s="48"/>
      <c r="H4963" s="48"/>
      <c r="I4963" s="48"/>
      <c r="J4963" s="86"/>
      <c r="K4963" s="86"/>
      <c r="L4963" s="86"/>
      <c r="M4963" s="86"/>
      <c r="N4963" s="86"/>
      <c r="O4963" s="86"/>
      <c r="P4963" s="86"/>
      <c r="Q4963" s="86"/>
      <c r="R4963" s="86"/>
      <c r="S4963" s="86"/>
      <c r="T4963" s="86"/>
      <c r="U4963" s="86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48"/>
      <c r="BB4963" s="48"/>
      <c r="BC4963" s="48"/>
      <c r="BD4963" s="48"/>
    </row>
    <row r="4964" spans="1:56">
      <c r="A4964" s="48"/>
      <c r="B4964" s="48"/>
      <c r="C4964" s="49"/>
      <c r="D4964" s="48"/>
      <c r="E4964" s="48"/>
      <c r="F4964" s="48"/>
      <c r="G4964" s="48"/>
      <c r="H4964" s="48"/>
      <c r="I4964" s="48"/>
      <c r="J4964" s="86"/>
      <c r="K4964" s="86"/>
      <c r="L4964" s="86"/>
      <c r="M4964" s="86"/>
      <c r="N4964" s="86"/>
      <c r="O4964" s="86"/>
      <c r="P4964" s="86"/>
      <c r="Q4964" s="86"/>
      <c r="R4964" s="86"/>
      <c r="S4964" s="86"/>
      <c r="T4964" s="86"/>
      <c r="U4964" s="86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48"/>
      <c r="BB4964" s="48"/>
      <c r="BC4964" s="48"/>
      <c r="BD4964" s="48"/>
    </row>
    <row r="4965" spans="1:56">
      <c r="A4965" s="48"/>
      <c r="B4965" s="48"/>
      <c r="C4965" s="49"/>
      <c r="D4965" s="48"/>
      <c r="E4965" s="48"/>
      <c r="F4965" s="48"/>
      <c r="G4965" s="48"/>
      <c r="H4965" s="48"/>
      <c r="I4965" s="48"/>
      <c r="J4965" s="86"/>
      <c r="K4965" s="86"/>
      <c r="L4965" s="86"/>
      <c r="M4965" s="86"/>
      <c r="N4965" s="86"/>
      <c r="O4965" s="86"/>
      <c r="P4965" s="86"/>
      <c r="Q4965" s="86"/>
      <c r="R4965" s="86"/>
      <c r="S4965" s="86"/>
      <c r="T4965" s="86"/>
      <c r="U4965" s="86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48"/>
      <c r="BB4965" s="48"/>
      <c r="BC4965" s="48"/>
      <c r="BD4965" s="48"/>
    </row>
    <row r="4966" spans="1:56">
      <c r="A4966" s="48"/>
      <c r="B4966" s="48"/>
      <c r="C4966" s="49"/>
      <c r="D4966" s="48"/>
      <c r="E4966" s="48"/>
      <c r="F4966" s="48"/>
      <c r="G4966" s="48"/>
      <c r="H4966" s="48"/>
      <c r="I4966" s="48"/>
      <c r="J4966" s="86"/>
      <c r="K4966" s="86"/>
      <c r="L4966" s="86"/>
      <c r="M4966" s="86"/>
      <c r="N4966" s="86"/>
      <c r="O4966" s="86"/>
      <c r="P4966" s="86"/>
      <c r="Q4966" s="86"/>
      <c r="R4966" s="86"/>
      <c r="S4966" s="86"/>
      <c r="T4966" s="86"/>
      <c r="U4966" s="86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48"/>
      <c r="BB4966" s="48"/>
      <c r="BC4966" s="48"/>
      <c r="BD4966" s="48"/>
    </row>
    <row r="4967" spans="1:56">
      <c r="A4967" s="48"/>
      <c r="B4967" s="48"/>
      <c r="C4967" s="49"/>
      <c r="D4967" s="48"/>
      <c r="E4967" s="48"/>
      <c r="F4967" s="48"/>
      <c r="G4967" s="48"/>
      <c r="H4967" s="48"/>
      <c r="I4967" s="48"/>
      <c r="J4967" s="86"/>
      <c r="K4967" s="86"/>
      <c r="L4967" s="86"/>
      <c r="M4967" s="86"/>
      <c r="N4967" s="86"/>
      <c r="O4967" s="86"/>
      <c r="P4967" s="86"/>
      <c r="Q4967" s="86"/>
      <c r="R4967" s="86"/>
      <c r="S4967" s="86"/>
      <c r="T4967" s="86"/>
      <c r="U4967" s="86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48"/>
      <c r="BB4967" s="48"/>
      <c r="BC4967" s="48"/>
      <c r="BD4967" s="48"/>
    </row>
    <row r="4968" spans="1:56">
      <c r="A4968" s="48"/>
      <c r="B4968" s="48"/>
      <c r="C4968" s="49"/>
      <c r="D4968" s="48"/>
      <c r="E4968" s="48"/>
      <c r="F4968" s="48"/>
      <c r="G4968" s="48"/>
      <c r="H4968" s="48"/>
      <c r="I4968" s="48"/>
      <c r="J4968" s="86"/>
      <c r="K4968" s="86"/>
      <c r="L4968" s="86"/>
      <c r="M4968" s="86"/>
      <c r="N4968" s="86"/>
      <c r="O4968" s="86"/>
      <c r="P4968" s="86"/>
      <c r="Q4968" s="86"/>
      <c r="R4968" s="86"/>
      <c r="S4968" s="86"/>
      <c r="T4968" s="86"/>
      <c r="U4968" s="86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48"/>
      <c r="BB4968" s="48"/>
      <c r="BC4968" s="48"/>
      <c r="BD4968" s="48"/>
    </row>
    <row r="4969" spans="1:56">
      <c r="A4969" s="48"/>
      <c r="B4969" s="48"/>
      <c r="C4969" s="49"/>
      <c r="D4969" s="48"/>
      <c r="E4969" s="48"/>
      <c r="F4969" s="48"/>
      <c r="G4969" s="48"/>
      <c r="H4969" s="48"/>
      <c r="I4969" s="48"/>
      <c r="J4969" s="86"/>
      <c r="K4969" s="86"/>
      <c r="L4969" s="86"/>
      <c r="M4969" s="86"/>
      <c r="N4969" s="86"/>
      <c r="O4969" s="86"/>
      <c r="P4969" s="86"/>
      <c r="Q4969" s="86"/>
      <c r="R4969" s="86"/>
      <c r="S4969" s="86"/>
      <c r="T4969" s="86"/>
      <c r="U4969" s="86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48"/>
      <c r="BB4969" s="48"/>
      <c r="BC4969" s="48"/>
      <c r="BD4969" s="48"/>
    </row>
    <row r="4970" spans="1:56">
      <c r="A4970" s="48"/>
      <c r="B4970" s="48"/>
      <c r="C4970" s="49"/>
      <c r="D4970" s="48"/>
      <c r="E4970" s="48"/>
      <c r="F4970" s="48"/>
      <c r="G4970" s="48"/>
      <c r="H4970" s="48"/>
      <c r="I4970" s="48"/>
      <c r="J4970" s="86"/>
      <c r="K4970" s="86"/>
      <c r="L4970" s="86"/>
      <c r="M4970" s="86"/>
      <c r="N4970" s="86"/>
      <c r="O4970" s="86"/>
      <c r="P4970" s="86"/>
      <c r="Q4970" s="86"/>
      <c r="R4970" s="86"/>
      <c r="S4970" s="86"/>
      <c r="T4970" s="86"/>
      <c r="U4970" s="86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48"/>
      <c r="BB4970" s="48"/>
      <c r="BC4970" s="48"/>
      <c r="BD4970" s="48"/>
    </row>
    <row r="4971" spans="1:56">
      <c r="A4971" s="48"/>
      <c r="B4971" s="48"/>
      <c r="C4971" s="49"/>
      <c r="D4971" s="48"/>
      <c r="E4971" s="48"/>
      <c r="F4971" s="48"/>
      <c r="G4971" s="48"/>
      <c r="H4971" s="48"/>
      <c r="I4971" s="48"/>
      <c r="J4971" s="86"/>
      <c r="K4971" s="86"/>
      <c r="L4971" s="86"/>
      <c r="M4971" s="86"/>
      <c r="N4971" s="86"/>
      <c r="O4971" s="86"/>
      <c r="P4971" s="86"/>
      <c r="Q4971" s="86"/>
      <c r="R4971" s="86"/>
      <c r="S4971" s="86"/>
      <c r="T4971" s="86"/>
      <c r="U4971" s="86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48"/>
      <c r="BB4971" s="48"/>
      <c r="BC4971" s="48"/>
      <c r="BD4971" s="48"/>
    </row>
    <row r="4972" spans="1:56">
      <c r="A4972" s="48"/>
      <c r="B4972" s="48"/>
      <c r="C4972" s="49"/>
      <c r="D4972" s="48"/>
      <c r="E4972" s="48"/>
      <c r="F4972" s="48"/>
      <c r="G4972" s="48"/>
      <c r="H4972" s="48"/>
      <c r="I4972" s="48"/>
      <c r="J4972" s="86"/>
      <c r="K4972" s="86"/>
      <c r="L4972" s="86"/>
      <c r="M4972" s="86"/>
      <c r="N4972" s="86"/>
      <c r="O4972" s="86"/>
      <c r="P4972" s="86"/>
      <c r="Q4972" s="86"/>
      <c r="R4972" s="86"/>
      <c r="S4972" s="86"/>
      <c r="T4972" s="86"/>
      <c r="U4972" s="86"/>
      <c r="V4972" s="48"/>
      <c r="W4972" s="48"/>
      <c r="X4972" s="48"/>
      <c r="Y4972" s="48"/>
      <c r="Z4972" s="48"/>
      <c r="AA4972" s="48"/>
      <c r="AB4972" s="48"/>
      <c r="AC4972" s="48"/>
      <c r="AD4972" s="48"/>
      <c r="AE4972" s="48"/>
      <c r="AF4972" s="48"/>
      <c r="AG4972" s="48"/>
      <c r="AH4972" s="48"/>
      <c r="AI4972" s="48"/>
      <c r="AJ4972" s="48"/>
      <c r="AK4972" s="48"/>
      <c r="AL4972" s="48"/>
      <c r="AM4972" s="48"/>
      <c r="AN4972" s="48"/>
      <c r="AO4972" s="48"/>
      <c r="AP4972" s="48"/>
      <c r="AQ4972" s="48"/>
      <c r="AR4972" s="48"/>
      <c r="AS4972" s="48"/>
      <c r="AT4972" s="48"/>
      <c r="AU4972" s="48"/>
      <c r="AV4972" s="48"/>
      <c r="AW4972" s="48"/>
      <c r="AX4972" s="48"/>
      <c r="AY4972" s="48"/>
      <c r="AZ4972" s="48"/>
      <c r="BA4972" s="48"/>
      <c r="BB4972" s="48"/>
      <c r="BC4972" s="48"/>
      <c r="BD4972" s="48"/>
    </row>
    <row r="4973" spans="1:56">
      <c r="A4973" s="48"/>
      <c r="B4973" s="48"/>
      <c r="C4973" s="49"/>
      <c r="D4973" s="48"/>
      <c r="E4973" s="48"/>
      <c r="F4973" s="48"/>
      <c r="G4973" s="48"/>
      <c r="H4973" s="48"/>
      <c r="I4973" s="48"/>
      <c r="J4973" s="86"/>
      <c r="K4973" s="86"/>
      <c r="L4973" s="86"/>
      <c r="M4973" s="86"/>
      <c r="N4973" s="86"/>
      <c r="O4973" s="86"/>
      <c r="P4973" s="86"/>
      <c r="Q4973" s="86"/>
      <c r="R4973" s="86"/>
      <c r="S4973" s="86"/>
      <c r="T4973" s="86"/>
      <c r="U4973" s="86"/>
      <c r="V4973" s="48"/>
      <c r="W4973" s="48"/>
      <c r="X4973" s="48"/>
      <c r="Y4973" s="48"/>
      <c r="Z4973" s="48"/>
      <c r="AA4973" s="48"/>
      <c r="AB4973" s="48"/>
      <c r="AC4973" s="48"/>
      <c r="AD4973" s="48"/>
      <c r="AE4973" s="48"/>
      <c r="AF4973" s="48"/>
      <c r="AG4973" s="48"/>
      <c r="AH4973" s="48"/>
      <c r="AI4973" s="48"/>
      <c r="AJ4973" s="48"/>
      <c r="AK4973" s="48"/>
      <c r="AL4973" s="48"/>
      <c r="AM4973" s="48"/>
      <c r="AN4973" s="48"/>
      <c r="AO4973" s="48"/>
      <c r="AP4973" s="48"/>
      <c r="AQ4973" s="48"/>
      <c r="AR4973" s="48"/>
      <c r="AS4973" s="48"/>
      <c r="AT4973" s="48"/>
      <c r="AU4973" s="48"/>
      <c r="AV4973" s="48"/>
      <c r="AW4973" s="48"/>
      <c r="AX4973" s="48"/>
      <c r="AY4973" s="48"/>
      <c r="AZ4973" s="48"/>
      <c r="BA4973" s="48"/>
      <c r="BB4973" s="48"/>
      <c r="BC4973" s="48"/>
      <c r="BD4973" s="48"/>
    </row>
    <row r="4974" spans="1:56">
      <c r="A4974" s="48"/>
      <c r="B4974" s="48"/>
      <c r="C4974" s="49"/>
      <c r="D4974" s="48"/>
      <c r="E4974" s="48"/>
      <c r="F4974" s="48"/>
      <c r="G4974" s="48"/>
      <c r="H4974" s="48"/>
      <c r="I4974" s="48"/>
      <c r="J4974" s="86"/>
      <c r="K4974" s="86"/>
      <c r="L4974" s="86"/>
      <c r="M4974" s="86"/>
      <c r="N4974" s="86"/>
      <c r="O4974" s="86"/>
      <c r="P4974" s="86"/>
      <c r="Q4974" s="86"/>
      <c r="R4974" s="86"/>
      <c r="S4974" s="86"/>
      <c r="T4974" s="86"/>
      <c r="U4974" s="86"/>
      <c r="V4974" s="48"/>
      <c r="W4974" s="48"/>
      <c r="X4974" s="48"/>
      <c r="Y4974" s="48"/>
      <c r="Z4974" s="48"/>
      <c r="AA4974" s="48"/>
      <c r="AB4974" s="48"/>
      <c r="AC4974" s="48"/>
      <c r="AD4974" s="48"/>
      <c r="AE4974" s="48"/>
      <c r="AF4974" s="48"/>
      <c r="AG4974" s="48"/>
      <c r="AH4974" s="48"/>
      <c r="AI4974" s="48"/>
      <c r="AJ4974" s="48"/>
      <c r="AK4974" s="48"/>
      <c r="AL4974" s="48"/>
      <c r="AM4974" s="48"/>
      <c r="AN4974" s="48"/>
      <c r="AO4974" s="48"/>
      <c r="AP4974" s="48"/>
      <c r="AQ4974" s="48"/>
      <c r="AR4974" s="48"/>
      <c r="AS4974" s="48"/>
      <c r="AT4974" s="48"/>
      <c r="AU4974" s="48"/>
      <c r="AV4974" s="48"/>
      <c r="AW4974" s="48"/>
      <c r="AX4974" s="48"/>
      <c r="AY4974" s="48"/>
      <c r="AZ4974" s="48"/>
      <c r="BA4974" s="48"/>
      <c r="BB4974" s="48"/>
      <c r="BC4974" s="48"/>
      <c r="BD4974" s="48"/>
    </row>
    <row r="4975" spans="1:56">
      <c r="A4975" s="48"/>
      <c r="B4975" s="48"/>
      <c r="C4975" s="49"/>
      <c r="D4975" s="48"/>
      <c r="E4975" s="48"/>
      <c r="F4975" s="48"/>
      <c r="G4975" s="48"/>
      <c r="H4975" s="48"/>
      <c r="I4975" s="48"/>
      <c r="J4975" s="86"/>
      <c r="K4975" s="86"/>
      <c r="L4975" s="86"/>
      <c r="M4975" s="86"/>
      <c r="N4975" s="86"/>
      <c r="O4975" s="86"/>
      <c r="P4975" s="86"/>
      <c r="Q4975" s="86"/>
      <c r="R4975" s="86"/>
      <c r="S4975" s="86"/>
      <c r="T4975" s="86"/>
      <c r="U4975" s="86"/>
      <c r="V4975" s="48"/>
      <c r="W4975" s="48"/>
      <c r="X4975" s="48"/>
      <c r="Y4975" s="48"/>
      <c r="Z4975" s="48"/>
      <c r="AA4975" s="48"/>
      <c r="AB4975" s="48"/>
      <c r="AC4975" s="48"/>
      <c r="AD4975" s="48"/>
      <c r="AE4975" s="48"/>
      <c r="AF4975" s="48"/>
      <c r="AG4975" s="48"/>
      <c r="AH4975" s="48"/>
      <c r="AI4975" s="48"/>
      <c r="AJ4975" s="48"/>
      <c r="AK4975" s="48"/>
      <c r="AL4975" s="48"/>
      <c r="AM4975" s="48"/>
      <c r="AN4975" s="48"/>
      <c r="AO4975" s="48"/>
      <c r="AP4975" s="48"/>
      <c r="AQ4975" s="48"/>
      <c r="AR4975" s="48"/>
      <c r="AS4975" s="48"/>
      <c r="AT4975" s="48"/>
      <c r="AU4975" s="48"/>
      <c r="AV4975" s="48"/>
      <c r="AW4975" s="48"/>
      <c r="AX4975" s="48"/>
      <c r="AY4975" s="48"/>
      <c r="AZ4975" s="48"/>
      <c r="BA4975" s="48"/>
      <c r="BB4975" s="48"/>
      <c r="BC4975" s="48"/>
      <c r="BD4975" s="48"/>
    </row>
    <row r="4976" spans="1:56">
      <c r="A4976" s="48"/>
      <c r="B4976" s="48"/>
      <c r="C4976" s="49"/>
      <c r="D4976" s="48"/>
      <c r="E4976" s="48"/>
      <c r="F4976" s="48"/>
      <c r="G4976" s="48"/>
      <c r="H4976" s="48"/>
      <c r="I4976" s="48"/>
      <c r="J4976" s="86"/>
      <c r="K4976" s="86"/>
      <c r="L4976" s="86"/>
      <c r="M4976" s="86"/>
      <c r="N4976" s="86"/>
      <c r="O4976" s="86"/>
      <c r="P4976" s="86"/>
      <c r="Q4976" s="86"/>
      <c r="R4976" s="86"/>
      <c r="S4976" s="86"/>
      <c r="T4976" s="86"/>
      <c r="U4976" s="86"/>
      <c r="V4976" s="48"/>
      <c r="W4976" s="48"/>
      <c r="X4976" s="48"/>
      <c r="Y4976" s="48"/>
      <c r="Z4976" s="48"/>
      <c r="AA4976" s="48"/>
      <c r="AB4976" s="48"/>
      <c r="AC4976" s="48"/>
      <c r="AD4976" s="48"/>
      <c r="AE4976" s="48"/>
      <c r="AF4976" s="48"/>
      <c r="AG4976" s="48"/>
      <c r="AH4976" s="48"/>
      <c r="AI4976" s="48"/>
      <c r="AJ4976" s="48"/>
      <c r="AK4976" s="48"/>
      <c r="AL4976" s="48"/>
      <c r="AM4976" s="48"/>
      <c r="AN4976" s="48"/>
      <c r="AO4976" s="48"/>
      <c r="AP4976" s="48"/>
      <c r="AQ4976" s="48"/>
      <c r="AR4976" s="48"/>
      <c r="AS4976" s="48"/>
      <c r="AT4976" s="48"/>
      <c r="AU4976" s="48"/>
      <c r="AV4976" s="48"/>
      <c r="AW4976" s="48"/>
      <c r="AX4976" s="48"/>
      <c r="AY4976" s="48"/>
      <c r="AZ4976" s="48"/>
      <c r="BA4976" s="48"/>
      <c r="BB4976" s="48"/>
      <c r="BC4976" s="48"/>
      <c r="BD4976" s="48"/>
    </row>
    <row r="4977" spans="1:56">
      <c r="A4977" s="48"/>
      <c r="B4977" s="48"/>
      <c r="C4977" s="49"/>
      <c r="D4977" s="48"/>
      <c r="E4977" s="48"/>
      <c r="F4977" s="48"/>
      <c r="G4977" s="48"/>
      <c r="H4977" s="48"/>
      <c r="I4977" s="48"/>
      <c r="J4977" s="86"/>
      <c r="K4977" s="86"/>
      <c r="L4977" s="86"/>
      <c r="M4977" s="86"/>
      <c r="N4977" s="86"/>
      <c r="O4977" s="86"/>
      <c r="P4977" s="86"/>
      <c r="Q4977" s="86"/>
      <c r="R4977" s="86"/>
      <c r="S4977" s="86"/>
      <c r="T4977" s="86"/>
      <c r="U4977" s="86"/>
      <c r="V4977" s="48"/>
      <c r="W4977" s="48"/>
      <c r="X4977" s="48"/>
      <c r="Y4977" s="48"/>
      <c r="Z4977" s="48"/>
      <c r="AA4977" s="48"/>
      <c r="AB4977" s="48"/>
      <c r="AC4977" s="48"/>
      <c r="AD4977" s="48"/>
      <c r="AE4977" s="48"/>
      <c r="AF4977" s="48"/>
      <c r="AG4977" s="48"/>
      <c r="AH4977" s="48"/>
      <c r="AI4977" s="48"/>
      <c r="AJ4977" s="48"/>
      <c r="AK4977" s="48"/>
      <c r="AL4977" s="48"/>
      <c r="AM4977" s="48"/>
      <c r="AN4977" s="48"/>
      <c r="AO4977" s="48"/>
      <c r="AP4977" s="48"/>
      <c r="AQ4977" s="48"/>
      <c r="AR4977" s="48"/>
      <c r="AS4977" s="48"/>
      <c r="AT4977" s="48"/>
      <c r="AU4977" s="48"/>
      <c r="AV4977" s="48"/>
      <c r="AW4977" s="48"/>
      <c r="AX4977" s="48"/>
      <c r="AY4977" s="48"/>
      <c r="AZ4977" s="48"/>
      <c r="BA4977" s="48"/>
      <c r="BB4977" s="48"/>
      <c r="BC4977" s="48"/>
      <c r="BD4977" s="48"/>
    </row>
    <row r="4978" spans="1:56">
      <c r="A4978" s="48"/>
      <c r="B4978" s="48"/>
      <c r="C4978" s="49"/>
      <c r="D4978" s="48"/>
      <c r="E4978" s="48"/>
      <c r="F4978" s="48"/>
      <c r="G4978" s="48"/>
      <c r="H4978" s="48"/>
      <c r="I4978" s="48"/>
      <c r="J4978" s="86"/>
      <c r="K4978" s="86"/>
      <c r="L4978" s="86"/>
      <c r="M4978" s="86"/>
      <c r="N4978" s="86"/>
      <c r="O4978" s="86"/>
      <c r="P4978" s="86"/>
      <c r="Q4978" s="86"/>
      <c r="R4978" s="86"/>
      <c r="S4978" s="86"/>
      <c r="T4978" s="86"/>
      <c r="U4978" s="86"/>
      <c r="V4978" s="48"/>
      <c r="W4978" s="48"/>
      <c r="X4978" s="48"/>
      <c r="Y4978" s="48"/>
      <c r="Z4978" s="48"/>
      <c r="AA4978" s="48"/>
      <c r="AB4978" s="48"/>
      <c r="AC4978" s="48"/>
      <c r="AD4978" s="48"/>
      <c r="AE4978" s="48"/>
      <c r="AF4978" s="48"/>
      <c r="AG4978" s="48"/>
      <c r="AH4978" s="48"/>
      <c r="AI4978" s="48"/>
      <c r="AJ4978" s="48"/>
      <c r="AK4978" s="48"/>
      <c r="AL4978" s="48"/>
      <c r="AM4978" s="48"/>
      <c r="AN4978" s="48"/>
      <c r="AO4978" s="48"/>
      <c r="AP4978" s="48"/>
      <c r="AQ4978" s="48"/>
      <c r="AR4978" s="48"/>
      <c r="AS4978" s="48"/>
      <c r="AT4978" s="48"/>
      <c r="AU4978" s="48"/>
      <c r="AV4978" s="48"/>
      <c r="AW4978" s="48"/>
      <c r="AX4978" s="48"/>
      <c r="AY4978" s="48"/>
      <c r="AZ4978" s="48"/>
      <c r="BA4978" s="48"/>
      <c r="BB4978" s="48"/>
      <c r="BC4978" s="48"/>
      <c r="BD4978" s="48"/>
    </row>
    <row r="4979" spans="1:56">
      <c r="A4979" s="48"/>
      <c r="B4979" s="48"/>
      <c r="C4979" s="49"/>
      <c r="D4979" s="48"/>
      <c r="E4979" s="48"/>
      <c r="F4979" s="48"/>
      <c r="G4979" s="48"/>
      <c r="H4979" s="48"/>
      <c r="I4979" s="48"/>
      <c r="J4979" s="86"/>
      <c r="K4979" s="86"/>
      <c r="L4979" s="86"/>
      <c r="M4979" s="86"/>
      <c r="N4979" s="86"/>
      <c r="O4979" s="86"/>
      <c r="P4979" s="86"/>
      <c r="Q4979" s="86"/>
      <c r="R4979" s="86"/>
      <c r="S4979" s="86"/>
      <c r="T4979" s="86"/>
      <c r="U4979" s="86"/>
      <c r="V4979" s="48"/>
      <c r="W4979" s="48"/>
      <c r="X4979" s="48"/>
      <c r="Y4979" s="48"/>
      <c r="Z4979" s="48"/>
      <c r="AA4979" s="48"/>
      <c r="AB4979" s="48"/>
      <c r="AC4979" s="48"/>
      <c r="AD4979" s="48"/>
      <c r="AE4979" s="48"/>
      <c r="AF4979" s="48"/>
      <c r="AG4979" s="48"/>
      <c r="AH4979" s="48"/>
      <c r="AI4979" s="48"/>
      <c r="AJ4979" s="48"/>
      <c r="AK4979" s="48"/>
      <c r="AL4979" s="48"/>
      <c r="AM4979" s="48"/>
      <c r="AN4979" s="48"/>
      <c r="AO4979" s="48"/>
      <c r="AP4979" s="48"/>
      <c r="AQ4979" s="48"/>
      <c r="AR4979" s="48"/>
      <c r="AS4979" s="48"/>
      <c r="AT4979" s="48"/>
      <c r="AU4979" s="48"/>
      <c r="AV4979" s="48"/>
      <c r="AW4979" s="48"/>
      <c r="AX4979" s="48"/>
      <c r="AY4979" s="48"/>
      <c r="AZ4979" s="48"/>
      <c r="BA4979" s="48"/>
      <c r="BB4979" s="48"/>
      <c r="BC4979" s="48"/>
      <c r="BD4979" s="48"/>
    </row>
    <row r="4980" spans="1:56">
      <c r="A4980" s="48"/>
      <c r="B4980" s="48"/>
      <c r="C4980" s="49"/>
      <c r="D4980" s="48"/>
      <c r="E4980" s="48"/>
      <c r="F4980" s="48"/>
      <c r="G4980" s="48"/>
      <c r="H4980" s="48"/>
      <c r="I4980" s="48"/>
      <c r="J4980" s="86"/>
      <c r="K4980" s="86"/>
      <c r="L4980" s="86"/>
      <c r="M4980" s="86"/>
      <c r="N4980" s="86"/>
      <c r="O4980" s="86"/>
      <c r="P4980" s="86"/>
      <c r="Q4980" s="86"/>
      <c r="R4980" s="86"/>
      <c r="S4980" s="86"/>
      <c r="T4980" s="86"/>
      <c r="U4980" s="86"/>
      <c r="V4980" s="48"/>
      <c r="W4980" s="48"/>
      <c r="X4980" s="48"/>
      <c r="Y4980" s="48"/>
      <c r="Z4980" s="48"/>
      <c r="AA4980" s="48"/>
      <c r="AB4980" s="48"/>
      <c r="AC4980" s="48"/>
      <c r="AD4980" s="48"/>
      <c r="AE4980" s="48"/>
      <c r="AF4980" s="48"/>
      <c r="AG4980" s="48"/>
      <c r="AH4980" s="48"/>
      <c r="AI4980" s="48"/>
      <c r="AJ4980" s="48"/>
      <c r="AK4980" s="48"/>
      <c r="AL4980" s="48"/>
      <c r="AM4980" s="48"/>
      <c r="AN4980" s="48"/>
      <c r="AO4980" s="48"/>
      <c r="AP4980" s="48"/>
      <c r="AQ4980" s="48"/>
      <c r="AR4980" s="48"/>
      <c r="AS4980" s="48"/>
      <c r="AT4980" s="48"/>
      <c r="AU4980" s="48"/>
      <c r="AV4980" s="48"/>
      <c r="AW4980" s="48"/>
      <c r="AX4980" s="48"/>
      <c r="AY4980" s="48"/>
      <c r="AZ4980" s="48"/>
      <c r="BA4980" s="48"/>
      <c r="BB4980" s="48"/>
      <c r="BC4980" s="48"/>
      <c r="BD4980" s="48"/>
    </row>
    <row r="4981" spans="1:56">
      <c r="A4981" s="48"/>
      <c r="B4981" s="48"/>
      <c r="C4981" s="49"/>
      <c r="D4981" s="48"/>
      <c r="E4981" s="48"/>
      <c r="F4981" s="48"/>
      <c r="G4981" s="48"/>
      <c r="H4981" s="48"/>
      <c r="I4981" s="48"/>
      <c r="J4981" s="86"/>
      <c r="K4981" s="86"/>
      <c r="L4981" s="86"/>
      <c r="M4981" s="86"/>
      <c r="N4981" s="86"/>
      <c r="O4981" s="86"/>
      <c r="P4981" s="86"/>
      <c r="Q4981" s="86"/>
      <c r="R4981" s="86"/>
      <c r="S4981" s="86"/>
      <c r="T4981" s="86"/>
      <c r="U4981" s="86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48"/>
      <c r="BB4981" s="48"/>
      <c r="BC4981" s="48"/>
      <c r="BD4981" s="48"/>
    </row>
    <row r="4982" spans="1:56">
      <c r="A4982" s="48"/>
      <c r="B4982" s="48"/>
      <c r="C4982" s="49"/>
      <c r="D4982" s="48"/>
      <c r="E4982" s="48"/>
      <c r="F4982" s="48"/>
      <c r="G4982" s="48"/>
      <c r="H4982" s="48"/>
      <c r="I4982" s="48"/>
      <c r="J4982" s="86"/>
      <c r="K4982" s="86"/>
      <c r="L4982" s="86"/>
      <c r="M4982" s="86"/>
      <c r="N4982" s="86"/>
      <c r="O4982" s="86"/>
      <c r="P4982" s="86"/>
      <c r="Q4982" s="86"/>
      <c r="R4982" s="86"/>
      <c r="S4982" s="86"/>
      <c r="T4982" s="86"/>
      <c r="U4982" s="86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48"/>
      <c r="BB4982" s="48"/>
      <c r="BC4982" s="48"/>
      <c r="BD4982" s="48"/>
    </row>
    <row r="4983" spans="1:56">
      <c r="A4983" s="48"/>
      <c r="B4983" s="48"/>
      <c r="C4983" s="49"/>
      <c r="D4983" s="48"/>
      <c r="E4983" s="48"/>
      <c r="F4983" s="48"/>
      <c r="G4983" s="48"/>
      <c r="H4983" s="48"/>
      <c r="I4983" s="48"/>
      <c r="J4983" s="86"/>
      <c r="K4983" s="86"/>
      <c r="L4983" s="86"/>
      <c r="M4983" s="86"/>
      <c r="N4983" s="86"/>
      <c r="O4983" s="86"/>
      <c r="P4983" s="86"/>
      <c r="Q4983" s="86"/>
      <c r="R4983" s="86"/>
      <c r="S4983" s="86"/>
      <c r="T4983" s="86"/>
      <c r="U4983" s="86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48"/>
      <c r="BB4983" s="48"/>
      <c r="BC4983" s="48"/>
      <c r="BD4983" s="48"/>
    </row>
    <row r="4984" spans="1:56">
      <c r="A4984" s="48"/>
      <c r="B4984" s="48"/>
      <c r="C4984" s="49"/>
      <c r="D4984" s="48"/>
      <c r="E4984" s="48"/>
      <c r="F4984" s="48"/>
      <c r="G4984" s="48"/>
      <c r="H4984" s="48"/>
      <c r="I4984" s="48"/>
      <c r="J4984" s="86"/>
      <c r="K4984" s="86"/>
      <c r="L4984" s="86"/>
      <c r="M4984" s="86"/>
      <c r="N4984" s="86"/>
      <c r="O4984" s="86"/>
      <c r="P4984" s="86"/>
      <c r="Q4984" s="86"/>
      <c r="R4984" s="86"/>
      <c r="S4984" s="86"/>
      <c r="T4984" s="86"/>
      <c r="U4984" s="86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48"/>
      <c r="AJ4984" s="48"/>
      <c r="AK4984" s="48"/>
      <c r="AL4984" s="48"/>
      <c r="AM4984" s="48"/>
      <c r="AN4984" s="48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48"/>
      <c r="BB4984" s="48"/>
      <c r="BC4984" s="48"/>
      <c r="BD4984" s="48"/>
    </row>
    <row r="4985" spans="1:56">
      <c r="A4985" s="48"/>
      <c r="B4985" s="48"/>
      <c r="C4985" s="49"/>
      <c r="D4985" s="48"/>
      <c r="E4985" s="48"/>
      <c r="F4985" s="48"/>
      <c r="G4985" s="48"/>
      <c r="H4985" s="48"/>
      <c r="I4985" s="48"/>
      <c r="J4985" s="86"/>
      <c r="K4985" s="86"/>
      <c r="L4985" s="86"/>
      <c r="M4985" s="86"/>
      <c r="N4985" s="86"/>
      <c r="O4985" s="86"/>
      <c r="P4985" s="86"/>
      <c r="Q4985" s="86"/>
      <c r="R4985" s="86"/>
      <c r="S4985" s="86"/>
      <c r="T4985" s="86"/>
      <c r="U4985" s="86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48"/>
      <c r="BB4985" s="48"/>
      <c r="BC4985" s="48"/>
      <c r="BD4985" s="48"/>
    </row>
    <row r="4986" spans="1:56">
      <c r="A4986" s="48"/>
      <c r="B4986" s="48"/>
      <c r="C4986" s="49"/>
      <c r="D4986" s="48"/>
      <c r="E4986" s="48"/>
      <c r="F4986" s="48"/>
      <c r="G4986" s="48"/>
      <c r="H4986" s="48"/>
      <c r="I4986" s="48"/>
      <c r="J4986" s="86"/>
      <c r="K4986" s="86"/>
      <c r="L4986" s="86"/>
      <c r="M4986" s="86"/>
      <c r="N4986" s="86"/>
      <c r="O4986" s="86"/>
      <c r="P4986" s="86"/>
      <c r="Q4986" s="86"/>
      <c r="R4986" s="86"/>
      <c r="S4986" s="86"/>
      <c r="T4986" s="86"/>
      <c r="U4986" s="86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48"/>
      <c r="BB4986" s="48"/>
      <c r="BC4986" s="48"/>
      <c r="BD4986" s="48"/>
    </row>
    <row r="4987" spans="1:56">
      <c r="A4987" s="48"/>
      <c r="B4987" s="48"/>
      <c r="C4987" s="49"/>
      <c r="D4987" s="48"/>
      <c r="E4987" s="48"/>
      <c r="F4987" s="48"/>
      <c r="G4987" s="48"/>
      <c r="H4987" s="48"/>
      <c r="I4987" s="48"/>
      <c r="J4987" s="86"/>
      <c r="K4987" s="86"/>
      <c r="L4987" s="86"/>
      <c r="M4987" s="86"/>
      <c r="N4987" s="86"/>
      <c r="O4987" s="86"/>
      <c r="P4987" s="86"/>
      <c r="Q4987" s="86"/>
      <c r="R4987" s="86"/>
      <c r="S4987" s="86"/>
      <c r="T4987" s="86"/>
      <c r="U4987" s="86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48"/>
      <c r="BB4987" s="48"/>
      <c r="BC4987" s="48"/>
      <c r="BD4987" s="48"/>
    </row>
    <row r="4988" spans="1:56">
      <c r="A4988" s="48"/>
      <c r="B4988" s="48"/>
      <c r="C4988" s="49"/>
      <c r="D4988" s="48"/>
      <c r="E4988" s="48"/>
      <c r="F4988" s="48"/>
      <c r="G4988" s="48"/>
      <c r="H4988" s="48"/>
      <c r="I4988" s="48"/>
      <c r="J4988" s="86"/>
      <c r="K4988" s="86"/>
      <c r="L4988" s="86"/>
      <c r="M4988" s="86"/>
      <c r="N4988" s="86"/>
      <c r="O4988" s="86"/>
      <c r="P4988" s="86"/>
      <c r="Q4988" s="86"/>
      <c r="R4988" s="86"/>
      <c r="S4988" s="86"/>
      <c r="T4988" s="86"/>
      <c r="U4988" s="86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48"/>
      <c r="BB4988" s="48"/>
      <c r="BC4988" s="48"/>
      <c r="BD4988" s="48"/>
    </row>
    <row r="4989" spans="1:56">
      <c r="A4989" s="48"/>
      <c r="B4989" s="48"/>
      <c r="C4989" s="49"/>
      <c r="D4989" s="48"/>
      <c r="E4989" s="48"/>
      <c r="F4989" s="48"/>
      <c r="G4989" s="48"/>
      <c r="H4989" s="48"/>
      <c r="I4989" s="48"/>
      <c r="J4989" s="86"/>
      <c r="K4989" s="86"/>
      <c r="L4989" s="86"/>
      <c r="M4989" s="86"/>
      <c r="N4989" s="86"/>
      <c r="O4989" s="86"/>
      <c r="P4989" s="86"/>
      <c r="Q4989" s="86"/>
      <c r="R4989" s="86"/>
      <c r="S4989" s="86"/>
      <c r="T4989" s="86"/>
      <c r="U4989" s="86"/>
      <c r="V4989" s="48"/>
      <c r="W4989" s="48"/>
      <c r="X4989" s="48"/>
      <c r="Y4989" s="48"/>
      <c r="Z4989" s="48"/>
      <c r="AA4989" s="48"/>
      <c r="AB4989" s="48"/>
      <c r="AC4989" s="48"/>
      <c r="AD4989" s="48"/>
      <c r="AE4989" s="48"/>
      <c r="AF4989" s="48"/>
      <c r="AG4989" s="48"/>
      <c r="AH4989" s="48"/>
      <c r="AI4989" s="48"/>
      <c r="AJ4989" s="48"/>
      <c r="AK4989" s="48"/>
      <c r="AL4989" s="48"/>
      <c r="AM4989" s="48"/>
      <c r="AN4989" s="48"/>
      <c r="AO4989" s="48"/>
      <c r="AP4989" s="48"/>
      <c r="AQ4989" s="48"/>
      <c r="AR4989" s="48"/>
      <c r="AS4989" s="48"/>
      <c r="AT4989" s="48"/>
      <c r="AU4989" s="48"/>
      <c r="AV4989" s="48"/>
      <c r="AW4989" s="48"/>
      <c r="AX4989" s="48"/>
      <c r="AY4989" s="48"/>
      <c r="AZ4989" s="48"/>
      <c r="BA4989" s="48"/>
      <c r="BB4989" s="48"/>
      <c r="BC4989" s="48"/>
      <c r="BD4989" s="48"/>
    </row>
    <row r="4990" spans="1:56">
      <c r="A4990" s="48"/>
      <c r="B4990" s="48"/>
      <c r="C4990" s="49"/>
      <c r="D4990" s="48"/>
      <c r="E4990" s="48"/>
      <c r="F4990" s="48"/>
      <c r="G4990" s="48"/>
      <c r="H4990" s="48"/>
      <c r="I4990" s="48"/>
      <c r="J4990" s="86"/>
      <c r="K4990" s="86"/>
      <c r="L4990" s="86"/>
      <c r="M4990" s="86"/>
      <c r="N4990" s="86"/>
      <c r="O4990" s="86"/>
      <c r="P4990" s="86"/>
      <c r="Q4990" s="86"/>
      <c r="R4990" s="86"/>
      <c r="S4990" s="86"/>
      <c r="T4990" s="86"/>
      <c r="U4990" s="86"/>
      <c r="V4990" s="48"/>
      <c r="W4990" s="48"/>
      <c r="X4990" s="48"/>
      <c r="Y4990" s="48"/>
      <c r="Z4990" s="48"/>
      <c r="AA4990" s="48"/>
      <c r="AB4990" s="48"/>
      <c r="AC4990" s="48"/>
      <c r="AD4990" s="48"/>
      <c r="AE4990" s="48"/>
      <c r="AF4990" s="48"/>
      <c r="AG4990" s="48"/>
      <c r="AH4990" s="48"/>
      <c r="AI4990" s="48"/>
      <c r="AJ4990" s="48"/>
      <c r="AK4990" s="48"/>
      <c r="AL4990" s="48"/>
      <c r="AM4990" s="48"/>
      <c r="AN4990" s="48"/>
      <c r="AO4990" s="48"/>
      <c r="AP4990" s="48"/>
      <c r="AQ4990" s="48"/>
      <c r="AR4990" s="48"/>
      <c r="AS4990" s="48"/>
      <c r="AT4990" s="48"/>
      <c r="AU4990" s="48"/>
      <c r="AV4990" s="48"/>
      <c r="AW4990" s="48"/>
      <c r="AX4990" s="48"/>
      <c r="AY4990" s="48"/>
      <c r="AZ4990" s="48"/>
      <c r="BA4990" s="48"/>
      <c r="BB4990" s="48"/>
      <c r="BC4990" s="48"/>
      <c r="BD4990" s="48"/>
    </row>
    <row r="4991" spans="1:56">
      <c r="A4991" s="48"/>
      <c r="B4991" s="48"/>
      <c r="C4991" s="49"/>
      <c r="D4991" s="48"/>
      <c r="E4991" s="48"/>
      <c r="F4991" s="48"/>
      <c r="G4991" s="48"/>
      <c r="H4991" s="48"/>
      <c r="I4991" s="48"/>
      <c r="J4991" s="86"/>
      <c r="K4991" s="86"/>
      <c r="L4991" s="86"/>
      <c r="M4991" s="86"/>
      <c r="N4991" s="86"/>
      <c r="O4991" s="86"/>
      <c r="P4991" s="86"/>
      <c r="Q4991" s="86"/>
      <c r="R4991" s="86"/>
      <c r="S4991" s="86"/>
      <c r="T4991" s="86"/>
      <c r="U4991" s="86"/>
      <c r="V4991" s="48"/>
      <c r="W4991" s="48"/>
      <c r="X4991" s="48"/>
      <c r="Y4991" s="48"/>
      <c r="Z4991" s="48"/>
      <c r="AA4991" s="48"/>
      <c r="AB4991" s="48"/>
      <c r="AC4991" s="48"/>
      <c r="AD4991" s="48"/>
      <c r="AE4991" s="48"/>
      <c r="AF4991" s="48"/>
      <c r="AG4991" s="48"/>
      <c r="AH4991" s="48"/>
      <c r="AI4991" s="48"/>
      <c r="AJ4991" s="48"/>
      <c r="AK4991" s="48"/>
      <c r="AL4991" s="48"/>
      <c r="AM4991" s="48"/>
      <c r="AN4991" s="48"/>
      <c r="AO4991" s="48"/>
      <c r="AP4991" s="48"/>
      <c r="AQ4991" s="48"/>
      <c r="AR4991" s="48"/>
      <c r="AS4991" s="48"/>
      <c r="AT4991" s="48"/>
      <c r="AU4991" s="48"/>
      <c r="AV4991" s="48"/>
      <c r="AW4991" s="48"/>
      <c r="AX4991" s="48"/>
      <c r="AY4991" s="48"/>
      <c r="AZ4991" s="48"/>
      <c r="BA4991" s="48"/>
      <c r="BB4991" s="48"/>
      <c r="BC4991" s="48"/>
      <c r="BD4991" s="48"/>
    </row>
    <row r="4992" spans="1:56">
      <c r="A4992" s="48"/>
      <c r="B4992" s="48"/>
      <c r="C4992" s="49"/>
      <c r="D4992" s="48"/>
      <c r="E4992" s="48"/>
      <c r="F4992" s="48"/>
      <c r="G4992" s="48"/>
      <c r="H4992" s="48"/>
      <c r="I4992" s="48"/>
      <c r="J4992" s="86"/>
      <c r="K4992" s="86"/>
      <c r="L4992" s="86"/>
      <c r="M4992" s="86"/>
      <c r="N4992" s="86"/>
      <c r="O4992" s="86"/>
      <c r="P4992" s="86"/>
      <c r="Q4992" s="86"/>
      <c r="R4992" s="86"/>
      <c r="S4992" s="86"/>
      <c r="T4992" s="86"/>
      <c r="U4992" s="86"/>
      <c r="V4992" s="48"/>
      <c r="W4992" s="48"/>
      <c r="X4992" s="48"/>
      <c r="Y4992" s="48"/>
      <c r="Z4992" s="48"/>
      <c r="AA4992" s="48"/>
      <c r="AB4992" s="48"/>
      <c r="AC4992" s="48"/>
      <c r="AD4992" s="48"/>
      <c r="AE4992" s="48"/>
      <c r="AF4992" s="48"/>
      <c r="AG4992" s="48"/>
      <c r="AH4992" s="48"/>
      <c r="AI4992" s="48"/>
      <c r="AJ4992" s="48"/>
      <c r="AK4992" s="48"/>
      <c r="AL4992" s="48"/>
      <c r="AM4992" s="48"/>
      <c r="AN4992" s="48"/>
      <c r="AO4992" s="48"/>
      <c r="AP4992" s="48"/>
      <c r="AQ4992" s="48"/>
      <c r="AR4992" s="48"/>
      <c r="AS4992" s="48"/>
      <c r="AT4992" s="48"/>
      <c r="AU4992" s="48"/>
      <c r="AV4992" s="48"/>
      <c r="AW4992" s="48"/>
      <c r="AX4992" s="48"/>
      <c r="AY4992" s="48"/>
      <c r="AZ4992" s="48"/>
      <c r="BA4992" s="48"/>
      <c r="BB4992" s="48"/>
      <c r="BC4992" s="48"/>
      <c r="BD4992" s="48"/>
    </row>
    <row r="4993" spans="1:56">
      <c r="A4993" s="48"/>
      <c r="B4993" s="48"/>
      <c r="C4993" s="49"/>
      <c r="D4993" s="48"/>
      <c r="E4993" s="48"/>
      <c r="F4993" s="48"/>
      <c r="G4993" s="48"/>
      <c r="H4993" s="48"/>
      <c r="I4993" s="48"/>
      <c r="J4993" s="86"/>
      <c r="K4993" s="86"/>
      <c r="L4993" s="86"/>
      <c r="M4993" s="86"/>
      <c r="N4993" s="86"/>
      <c r="O4993" s="86"/>
      <c r="P4993" s="86"/>
      <c r="Q4993" s="86"/>
      <c r="R4993" s="86"/>
      <c r="S4993" s="86"/>
      <c r="T4993" s="86"/>
      <c r="U4993" s="86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48"/>
      <c r="BB4993" s="48"/>
      <c r="BC4993" s="48"/>
      <c r="BD4993" s="48"/>
    </row>
    <row r="4994" spans="1:56">
      <c r="A4994" s="48"/>
      <c r="B4994" s="48"/>
      <c r="C4994" s="49"/>
      <c r="D4994" s="48"/>
      <c r="E4994" s="48"/>
      <c r="F4994" s="48"/>
      <c r="G4994" s="48"/>
      <c r="H4994" s="48"/>
      <c r="I4994" s="48"/>
      <c r="J4994" s="86"/>
      <c r="K4994" s="86"/>
      <c r="L4994" s="86"/>
      <c r="M4994" s="86"/>
      <c r="N4994" s="86"/>
      <c r="O4994" s="86"/>
      <c r="P4994" s="86"/>
      <c r="Q4994" s="86"/>
      <c r="R4994" s="86"/>
      <c r="S4994" s="86"/>
      <c r="T4994" s="86"/>
      <c r="U4994" s="86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48"/>
      <c r="BB4994" s="48"/>
      <c r="BC4994" s="48"/>
      <c r="BD4994" s="48"/>
    </row>
    <row r="4995" spans="1:56">
      <c r="A4995" s="48"/>
      <c r="B4995" s="48"/>
      <c r="C4995" s="49"/>
      <c r="D4995" s="48"/>
      <c r="E4995" s="48"/>
      <c r="F4995" s="48"/>
      <c r="G4995" s="48"/>
      <c r="H4995" s="48"/>
      <c r="I4995" s="48"/>
      <c r="J4995" s="86"/>
      <c r="K4995" s="86"/>
      <c r="L4995" s="86"/>
      <c r="M4995" s="86"/>
      <c r="N4995" s="86"/>
      <c r="O4995" s="86"/>
      <c r="P4995" s="86"/>
      <c r="Q4995" s="86"/>
      <c r="R4995" s="86"/>
      <c r="S4995" s="86"/>
      <c r="T4995" s="86"/>
      <c r="U4995" s="86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48"/>
      <c r="BB4995" s="48"/>
      <c r="BC4995" s="48"/>
      <c r="BD4995" s="48"/>
    </row>
    <row r="4996" spans="1:56">
      <c r="A4996" s="48"/>
      <c r="B4996" s="48"/>
      <c r="C4996" s="49"/>
      <c r="D4996" s="48"/>
      <c r="E4996" s="48"/>
      <c r="F4996" s="48"/>
      <c r="G4996" s="48"/>
      <c r="H4996" s="48"/>
      <c r="I4996" s="48"/>
      <c r="J4996" s="86"/>
      <c r="K4996" s="86"/>
      <c r="L4996" s="86"/>
      <c r="M4996" s="86"/>
      <c r="N4996" s="86"/>
      <c r="O4996" s="86"/>
      <c r="P4996" s="86"/>
      <c r="Q4996" s="86"/>
      <c r="R4996" s="86"/>
      <c r="S4996" s="86"/>
      <c r="T4996" s="86"/>
      <c r="U4996" s="86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48"/>
      <c r="BB4996" s="48"/>
      <c r="BC4996" s="48"/>
      <c r="BD4996" s="48"/>
    </row>
    <row r="4997" spans="1:56">
      <c r="A4997" s="48"/>
      <c r="B4997" s="48"/>
      <c r="C4997" s="49"/>
      <c r="D4997" s="48"/>
      <c r="E4997" s="48"/>
      <c r="F4997" s="48"/>
      <c r="G4997" s="48"/>
      <c r="H4997" s="48"/>
      <c r="I4997" s="48"/>
      <c r="J4997" s="86"/>
      <c r="K4997" s="86"/>
      <c r="L4997" s="86"/>
      <c r="M4997" s="86"/>
      <c r="N4997" s="86"/>
      <c r="O4997" s="86"/>
      <c r="P4997" s="86"/>
      <c r="Q4997" s="86"/>
      <c r="R4997" s="86"/>
      <c r="S4997" s="86"/>
      <c r="T4997" s="86"/>
      <c r="U4997" s="86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48"/>
      <c r="BB4997" s="48"/>
      <c r="BC4997" s="48"/>
      <c r="BD4997" s="48"/>
    </row>
    <row r="4998" spans="1:56">
      <c r="A4998" s="48"/>
      <c r="B4998" s="48"/>
      <c r="C4998" s="49"/>
      <c r="D4998" s="48"/>
      <c r="E4998" s="48"/>
      <c r="F4998" s="48"/>
      <c r="G4998" s="48"/>
      <c r="H4998" s="48"/>
      <c r="I4998" s="48"/>
      <c r="J4998" s="86"/>
      <c r="K4998" s="86"/>
      <c r="L4998" s="86"/>
      <c r="M4998" s="86"/>
      <c r="N4998" s="86"/>
      <c r="O4998" s="86"/>
      <c r="P4998" s="86"/>
      <c r="Q4998" s="86"/>
      <c r="R4998" s="86"/>
      <c r="S4998" s="86"/>
      <c r="T4998" s="86"/>
      <c r="U4998" s="86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48"/>
      <c r="BB4998" s="48"/>
      <c r="BC4998" s="48"/>
      <c r="BD4998" s="48"/>
    </row>
    <row r="4999" spans="1:56">
      <c r="A4999" s="48"/>
      <c r="B4999" s="48"/>
      <c r="C4999" s="49"/>
      <c r="D4999" s="48"/>
      <c r="E4999" s="48"/>
      <c r="F4999" s="48"/>
      <c r="G4999" s="48"/>
      <c r="H4999" s="48"/>
      <c r="I4999" s="48"/>
      <c r="J4999" s="86"/>
      <c r="K4999" s="86"/>
      <c r="L4999" s="86"/>
      <c r="M4999" s="86"/>
      <c r="N4999" s="86"/>
      <c r="O4999" s="86"/>
      <c r="P4999" s="86"/>
      <c r="Q4999" s="86"/>
      <c r="R4999" s="86"/>
      <c r="S4999" s="86"/>
      <c r="T4999" s="86"/>
      <c r="U4999" s="86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48"/>
      <c r="BB4999" s="48"/>
      <c r="BC4999" s="48"/>
      <c r="BD4999" s="48"/>
    </row>
    <row r="5000" spans="1:56">
      <c r="A5000" s="48"/>
      <c r="B5000" s="48"/>
      <c r="C5000" s="49"/>
      <c r="D5000" s="48"/>
      <c r="E5000" s="48"/>
      <c r="F5000" s="48"/>
      <c r="G5000" s="48"/>
      <c r="H5000" s="48"/>
      <c r="I5000" s="48"/>
      <c r="J5000" s="86"/>
      <c r="K5000" s="86"/>
      <c r="L5000" s="86"/>
      <c r="M5000" s="86"/>
      <c r="N5000" s="86"/>
      <c r="O5000" s="86"/>
      <c r="P5000" s="86"/>
      <c r="Q5000" s="86"/>
      <c r="R5000" s="86"/>
      <c r="S5000" s="86"/>
      <c r="T5000" s="86"/>
      <c r="U5000" s="86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48"/>
      <c r="BB5000" s="48"/>
      <c r="BC5000" s="48"/>
      <c r="BD5000" s="48"/>
    </row>
    <row r="5001" spans="1:56">
      <c r="A5001" s="48"/>
      <c r="B5001" s="48"/>
      <c r="C5001" s="49"/>
      <c r="D5001" s="48"/>
      <c r="E5001" s="48"/>
      <c r="F5001" s="48"/>
      <c r="G5001" s="48"/>
      <c r="H5001" s="48"/>
      <c r="I5001" s="48"/>
      <c r="J5001" s="86"/>
      <c r="K5001" s="86"/>
      <c r="L5001" s="86"/>
      <c r="M5001" s="86"/>
      <c r="N5001" s="86"/>
      <c r="O5001" s="86"/>
      <c r="P5001" s="86"/>
      <c r="Q5001" s="86"/>
      <c r="R5001" s="86"/>
      <c r="S5001" s="86"/>
      <c r="T5001" s="86"/>
      <c r="U5001" s="86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48"/>
      <c r="BB5001" s="48"/>
      <c r="BC5001" s="48"/>
      <c r="BD5001" s="48"/>
    </row>
    <row r="5002" spans="1:56">
      <c r="A5002" s="48"/>
      <c r="B5002" s="48"/>
      <c r="C5002" s="49"/>
      <c r="D5002" s="48"/>
      <c r="E5002" s="48"/>
      <c r="F5002" s="48"/>
      <c r="G5002" s="48"/>
      <c r="H5002" s="48"/>
      <c r="I5002" s="48"/>
      <c r="J5002" s="86"/>
      <c r="K5002" s="86"/>
      <c r="L5002" s="86"/>
      <c r="M5002" s="86"/>
      <c r="N5002" s="86"/>
      <c r="O5002" s="86"/>
      <c r="P5002" s="86"/>
      <c r="Q5002" s="86"/>
      <c r="R5002" s="86"/>
      <c r="S5002" s="86"/>
      <c r="T5002" s="86"/>
      <c r="U5002" s="86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48"/>
      <c r="BB5002" s="48"/>
      <c r="BC5002" s="48"/>
      <c r="BD5002" s="48"/>
    </row>
    <row r="5003" spans="1:56">
      <c r="A5003" s="48"/>
      <c r="B5003" s="48"/>
      <c r="C5003" s="49"/>
      <c r="D5003" s="48"/>
      <c r="E5003" s="48"/>
      <c r="F5003" s="48"/>
      <c r="G5003" s="48"/>
      <c r="H5003" s="48"/>
      <c r="I5003" s="48"/>
      <c r="J5003" s="86"/>
      <c r="K5003" s="86"/>
      <c r="L5003" s="86"/>
      <c r="M5003" s="86"/>
      <c r="N5003" s="86"/>
      <c r="O5003" s="86"/>
      <c r="P5003" s="86"/>
      <c r="Q5003" s="86"/>
      <c r="R5003" s="86"/>
      <c r="S5003" s="86"/>
      <c r="T5003" s="86"/>
      <c r="U5003" s="86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48"/>
      <c r="BB5003" s="48"/>
      <c r="BC5003" s="48"/>
      <c r="BD5003" s="48"/>
    </row>
    <row r="5004" spans="1:56">
      <c r="A5004" s="48"/>
      <c r="B5004" s="48"/>
      <c r="C5004" s="49"/>
      <c r="D5004" s="48"/>
      <c r="E5004" s="48"/>
      <c r="F5004" s="48"/>
      <c r="G5004" s="48"/>
      <c r="H5004" s="48"/>
      <c r="I5004" s="48"/>
      <c r="J5004" s="86"/>
      <c r="K5004" s="86"/>
      <c r="L5004" s="86"/>
      <c r="M5004" s="86"/>
      <c r="N5004" s="86"/>
      <c r="O5004" s="86"/>
      <c r="P5004" s="86"/>
      <c r="Q5004" s="86"/>
      <c r="R5004" s="86"/>
      <c r="S5004" s="86"/>
      <c r="T5004" s="86"/>
      <c r="U5004" s="86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48"/>
      <c r="BB5004" s="48"/>
      <c r="BC5004" s="48"/>
      <c r="BD5004" s="48"/>
    </row>
    <row r="5005" spans="1:56">
      <c r="A5005" s="48"/>
      <c r="B5005" s="48"/>
      <c r="C5005" s="49"/>
      <c r="D5005" s="48"/>
      <c r="E5005" s="48"/>
      <c r="F5005" s="48"/>
      <c r="G5005" s="48"/>
      <c r="H5005" s="48"/>
      <c r="I5005" s="48"/>
      <c r="J5005" s="86"/>
      <c r="K5005" s="86"/>
      <c r="L5005" s="86"/>
      <c r="M5005" s="86"/>
      <c r="N5005" s="86"/>
      <c r="O5005" s="86"/>
      <c r="P5005" s="86"/>
      <c r="Q5005" s="86"/>
      <c r="R5005" s="86"/>
      <c r="S5005" s="86"/>
      <c r="T5005" s="86"/>
      <c r="U5005" s="86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48"/>
      <c r="BB5005" s="48"/>
      <c r="BC5005" s="48"/>
      <c r="BD5005" s="48"/>
    </row>
    <row r="5006" spans="1:56">
      <c r="A5006" s="48"/>
      <c r="B5006" s="48"/>
      <c r="C5006" s="49"/>
      <c r="D5006" s="48"/>
      <c r="E5006" s="48"/>
      <c r="F5006" s="48"/>
      <c r="G5006" s="48"/>
      <c r="H5006" s="48"/>
      <c r="I5006" s="48"/>
      <c r="J5006" s="86"/>
      <c r="K5006" s="86"/>
      <c r="L5006" s="86"/>
      <c r="M5006" s="86"/>
      <c r="N5006" s="86"/>
      <c r="O5006" s="86"/>
      <c r="P5006" s="86"/>
      <c r="Q5006" s="86"/>
      <c r="R5006" s="86"/>
      <c r="S5006" s="86"/>
      <c r="T5006" s="86"/>
      <c r="U5006" s="86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48"/>
      <c r="BB5006" s="48"/>
      <c r="BC5006" s="48"/>
      <c r="BD5006" s="48"/>
    </row>
    <row r="5007" spans="1:56">
      <c r="A5007" s="48"/>
      <c r="B5007" s="48"/>
      <c r="C5007" s="49"/>
      <c r="D5007" s="48"/>
      <c r="E5007" s="48"/>
      <c r="F5007" s="48"/>
      <c r="G5007" s="48"/>
      <c r="H5007" s="48"/>
      <c r="I5007" s="48"/>
      <c r="J5007" s="86"/>
      <c r="K5007" s="86"/>
      <c r="L5007" s="86"/>
      <c r="M5007" s="86"/>
      <c r="N5007" s="86"/>
      <c r="O5007" s="86"/>
      <c r="P5007" s="86"/>
      <c r="Q5007" s="86"/>
      <c r="R5007" s="86"/>
      <c r="S5007" s="86"/>
      <c r="T5007" s="86"/>
      <c r="U5007" s="86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48"/>
      <c r="BB5007" s="48"/>
      <c r="BC5007" s="48"/>
      <c r="BD5007" s="48"/>
    </row>
    <row r="5008" spans="1:56">
      <c r="A5008" s="48"/>
      <c r="B5008" s="48"/>
      <c r="C5008" s="49"/>
      <c r="D5008" s="48"/>
      <c r="E5008" s="48"/>
      <c r="F5008" s="48"/>
      <c r="G5008" s="48"/>
      <c r="H5008" s="48"/>
      <c r="I5008" s="48"/>
      <c r="J5008" s="86"/>
      <c r="K5008" s="86"/>
      <c r="L5008" s="86"/>
      <c r="M5008" s="86"/>
      <c r="N5008" s="86"/>
      <c r="O5008" s="86"/>
      <c r="P5008" s="86"/>
      <c r="Q5008" s="86"/>
      <c r="R5008" s="86"/>
      <c r="S5008" s="86"/>
      <c r="T5008" s="86"/>
      <c r="U5008" s="86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48"/>
      <c r="BB5008" s="48"/>
      <c r="BC5008" s="48"/>
      <c r="BD5008" s="48"/>
    </row>
    <row r="5009" spans="1:56">
      <c r="A5009" s="48"/>
      <c r="B5009" s="48"/>
      <c r="C5009" s="49"/>
      <c r="D5009" s="48"/>
      <c r="E5009" s="48"/>
      <c r="F5009" s="48"/>
      <c r="G5009" s="48"/>
      <c r="H5009" s="48"/>
      <c r="I5009" s="48"/>
      <c r="J5009" s="86"/>
      <c r="K5009" s="86"/>
      <c r="L5009" s="86"/>
      <c r="M5009" s="86"/>
      <c r="N5009" s="86"/>
      <c r="O5009" s="86"/>
      <c r="P5009" s="86"/>
      <c r="Q5009" s="86"/>
      <c r="R5009" s="86"/>
      <c r="S5009" s="86"/>
      <c r="T5009" s="86"/>
      <c r="U5009" s="86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48"/>
      <c r="BB5009" s="48"/>
      <c r="BC5009" s="48"/>
      <c r="BD5009" s="48"/>
    </row>
    <row r="5010" spans="1:56">
      <c r="A5010" s="48"/>
      <c r="B5010" s="48"/>
      <c r="C5010" s="49"/>
      <c r="D5010" s="48"/>
      <c r="E5010" s="48"/>
      <c r="F5010" s="48"/>
      <c r="G5010" s="48"/>
      <c r="H5010" s="48"/>
      <c r="I5010" s="48"/>
      <c r="J5010" s="86"/>
      <c r="K5010" s="86"/>
      <c r="L5010" s="86"/>
      <c r="M5010" s="86"/>
      <c r="N5010" s="86"/>
      <c r="O5010" s="86"/>
      <c r="P5010" s="86"/>
      <c r="Q5010" s="86"/>
      <c r="R5010" s="86"/>
      <c r="S5010" s="86"/>
      <c r="T5010" s="86"/>
      <c r="U5010" s="86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48"/>
      <c r="BB5010" s="48"/>
      <c r="BC5010" s="48"/>
      <c r="BD5010" s="48"/>
    </row>
    <row r="5011" spans="1:56">
      <c r="A5011" s="48"/>
      <c r="B5011" s="48"/>
      <c r="C5011" s="49"/>
      <c r="D5011" s="48"/>
      <c r="E5011" s="48"/>
      <c r="F5011" s="48"/>
      <c r="G5011" s="48"/>
      <c r="H5011" s="48"/>
      <c r="I5011" s="48"/>
      <c r="J5011" s="86"/>
      <c r="K5011" s="86"/>
      <c r="L5011" s="86"/>
      <c r="M5011" s="86"/>
      <c r="N5011" s="86"/>
      <c r="O5011" s="86"/>
      <c r="P5011" s="86"/>
      <c r="Q5011" s="86"/>
      <c r="R5011" s="86"/>
      <c r="S5011" s="86"/>
      <c r="T5011" s="86"/>
      <c r="U5011" s="86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48"/>
      <c r="BB5011" s="48"/>
      <c r="BC5011" s="48"/>
      <c r="BD5011" s="48"/>
    </row>
    <row r="5012" spans="1:56">
      <c r="A5012" s="48"/>
      <c r="B5012" s="48"/>
      <c r="C5012" s="49"/>
      <c r="D5012" s="48"/>
      <c r="E5012" s="48"/>
      <c r="F5012" s="48"/>
      <c r="G5012" s="48"/>
      <c r="H5012" s="48"/>
      <c r="I5012" s="48"/>
      <c r="J5012" s="86"/>
      <c r="K5012" s="86"/>
      <c r="L5012" s="86"/>
      <c r="M5012" s="86"/>
      <c r="N5012" s="86"/>
      <c r="O5012" s="86"/>
      <c r="P5012" s="86"/>
      <c r="Q5012" s="86"/>
      <c r="R5012" s="86"/>
      <c r="S5012" s="86"/>
      <c r="T5012" s="86"/>
      <c r="U5012" s="86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48"/>
      <c r="BB5012" s="48"/>
      <c r="BC5012" s="48"/>
      <c r="BD5012" s="48"/>
    </row>
    <row r="5013" spans="1:56">
      <c r="A5013" s="48"/>
      <c r="B5013" s="48"/>
      <c r="C5013" s="49"/>
      <c r="D5013" s="48"/>
      <c r="E5013" s="48"/>
      <c r="F5013" s="48"/>
      <c r="G5013" s="48"/>
      <c r="H5013" s="48"/>
      <c r="I5013" s="48"/>
      <c r="J5013" s="86"/>
      <c r="K5013" s="86"/>
      <c r="L5013" s="86"/>
      <c r="M5013" s="86"/>
      <c r="N5013" s="86"/>
      <c r="O5013" s="86"/>
      <c r="P5013" s="86"/>
      <c r="Q5013" s="86"/>
      <c r="R5013" s="86"/>
      <c r="S5013" s="86"/>
      <c r="T5013" s="86"/>
      <c r="U5013" s="86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48"/>
      <c r="BB5013" s="48"/>
      <c r="BC5013" s="48"/>
      <c r="BD5013" s="48"/>
    </row>
    <row r="5014" spans="1:56">
      <c r="A5014" s="48"/>
      <c r="B5014" s="48"/>
      <c r="C5014" s="49"/>
      <c r="D5014" s="48"/>
      <c r="E5014" s="48"/>
      <c r="F5014" s="48"/>
      <c r="G5014" s="48"/>
      <c r="H5014" s="48"/>
      <c r="I5014" s="48"/>
      <c r="J5014" s="86"/>
      <c r="K5014" s="86"/>
      <c r="L5014" s="86"/>
      <c r="M5014" s="86"/>
      <c r="N5014" s="86"/>
      <c r="O5014" s="86"/>
      <c r="P5014" s="86"/>
      <c r="Q5014" s="86"/>
      <c r="R5014" s="86"/>
      <c r="S5014" s="86"/>
      <c r="T5014" s="86"/>
      <c r="U5014" s="86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48"/>
      <c r="BB5014" s="48"/>
      <c r="BC5014" s="48"/>
      <c r="BD5014" s="48"/>
    </row>
    <row r="5015" spans="1:56">
      <c r="A5015" s="48"/>
      <c r="B5015" s="48"/>
      <c r="C5015" s="49"/>
      <c r="D5015" s="48"/>
      <c r="E5015" s="48"/>
      <c r="F5015" s="48"/>
      <c r="G5015" s="48"/>
      <c r="H5015" s="48"/>
      <c r="I5015" s="48"/>
      <c r="J5015" s="86"/>
      <c r="K5015" s="86"/>
      <c r="L5015" s="86"/>
      <c r="M5015" s="86"/>
      <c r="N5015" s="86"/>
      <c r="O5015" s="86"/>
      <c r="P5015" s="86"/>
      <c r="Q5015" s="86"/>
      <c r="R5015" s="86"/>
      <c r="S5015" s="86"/>
      <c r="T5015" s="86"/>
      <c r="U5015" s="86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48"/>
      <c r="BB5015" s="48"/>
      <c r="BC5015" s="48"/>
      <c r="BD5015" s="48"/>
    </row>
    <row r="5016" spans="1:56">
      <c r="A5016" s="48"/>
      <c r="B5016" s="48"/>
      <c r="C5016" s="49"/>
      <c r="D5016" s="48"/>
      <c r="E5016" s="48"/>
      <c r="F5016" s="48"/>
      <c r="G5016" s="48"/>
      <c r="H5016" s="48"/>
      <c r="I5016" s="48"/>
      <c r="J5016" s="86"/>
      <c r="K5016" s="86"/>
      <c r="L5016" s="86"/>
      <c r="M5016" s="86"/>
      <c r="N5016" s="86"/>
      <c r="O5016" s="86"/>
      <c r="P5016" s="86"/>
      <c r="Q5016" s="86"/>
      <c r="R5016" s="86"/>
      <c r="S5016" s="86"/>
      <c r="T5016" s="86"/>
      <c r="U5016" s="86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48"/>
      <c r="BB5016" s="48"/>
      <c r="BC5016" s="48"/>
      <c r="BD5016" s="48"/>
    </row>
    <row r="5017" spans="1:56">
      <c r="A5017" s="48"/>
      <c r="B5017" s="48"/>
      <c r="C5017" s="49"/>
      <c r="D5017" s="48"/>
      <c r="E5017" s="48"/>
      <c r="F5017" s="48"/>
      <c r="G5017" s="48"/>
      <c r="H5017" s="48"/>
      <c r="I5017" s="48"/>
      <c r="J5017" s="86"/>
      <c r="K5017" s="86"/>
      <c r="L5017" s="86"/>
      <c r="M5017" s="86"/>
      <c r="N5017" s="86"/>
      <c r="O5017" s="86"/>
      <c r="P5017" s="86"/>
      <c r="Q5017" s="86"/>
      <c r="R5017" s="86"/>
      <c r="S5017" s="86"/>
      <c r="T5017" s="86"/>
      <c r="U5017" s="86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48"/>
      <c r="BB5017" s="48"/>
      <c r="BC5017" s="48"/>
      <c r="BD5017" s="48"/>
    </row>
    <row r="5018" spans="1:56">
      <c r="A5018" s="48"/>
      <c r="B5018" s="48"/>
      <c r="C5018" s="49"/>
      <c r="D5018" s="48"/>
      <c r="E5018" s="48"/>
      <c r="F5018" s="48"/>
      <c r="G5018" s="48"/>
      <c r="H5018" s="48"/>
      <c r="I5018" s="48"/>
      <c r="J5018" s="86"/>
      <c r="K5018" s="86"/>
      <c r="L5018" s="86"/>
      <c r="M5018" s="86"/>
      <c r="N5018" s="86"/>
      <c r="O5018" s="86"/>
      <c r="P5018" s="86"/>
      <c r="Q5018" s="86"/>
      <c r="R5018" s="86"/>
      <c r="S5018" s="86"/>
      <c r="T5018" s="86"/>
      <c r="U5018" s="86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48"/>
      <c r="BB5018" s="48"/>
      <c r="BC5018" s="48"/>
      <c r="BD5018" s="48"/>
    </row>
    <row r="5019" spans="1:56">
      <c r="A5019" s="48"/>
      <c r="B5019" s="48"/>
      <c r="C5019" s="49"/>
      <c r="D5019" s="48"/>
      <c r="E5019" s="48"/>
      <c r="F5019" s="48"/>
      <c r="G5019" s="48"/>
      <c r="H5019" s="48"/>
      <c r="I5019" s="48"/>
      <c r="J5019" s="86"/>
      <c r="K5019" s="86"/>
      <c r="L5019" s="86"/>
      <c r="M5019" s="86"/>
      <c r="N5019" s="86"/>
      <c r="O5019" s="86"/>
      <c r="P5019" s="86"/>
      <c r="Q5019" s="86"/>
      <c r="R5019" s="86"/>
      <c r="S5019" s="86"/>
      <c r="T5019" s="86"/>
      <c r="U5019" s="86"/>
      <c r="V5019" s="48"/>
      <c r="W5019" s="48"/>
      <c r="X5019" s="48"/>
      <c r="Y5019" s="48"/>
      <c r="Z5019" s="48"/>
      <c r="AA5019" s="48"/>
      <c r="AB5019" s="48"/>
      <c r="AC5019" s="48"/>
      <c r="AD5019" s="48"/>
      <c r="AE5019" s="48"/>
      <c r="AF5019" s="48"/>
      <c r="AG5019" s="48"/>
      <c r="AH5019" s="48"/>
      <c r="AI5019" s="48"/>
      <c r="AJ5019" s="48"/>
      <c r="AK5019" s="48"/>
      <c r="AL5019" s="48"/>
      <c r="AM5019" s="48"/>
      <c r="AN5019" s="48"/>
      <c r="AO5019" s="48"/>
      <c r="AP5019" s="48"/>
      <c r="AQ5019" s="48"/>
      <c r="AR5019" s="48"/>
      <c r="AS5019" s="48"/>
      <c r="AT5019" s="48"/>
      <c r="AU5019" s="48"/>
      <c r="AV5019" s="48"/>
      <c r="AW5019" s="48"/>
      <c r="AX5019" s="48"/>
      <c r="AY5019" s="48"/>
      <c r="AZ5019" s="48"/>
      <c r="BA5019" s="48"/>
      <c r="BB5019" s="48"/>
      <c r="BC5019" s="48"/>
      <c r="BD5019" s="48"/>
    </row>
    <row r="5020" spans="1:56">
      <c r="A5020" s="48"/>
      <c r="B5020" s="48"/>
      <c r="C5020" s="49"/>
      <c r="D5020" s="48"/>
      <c r="E5020" s="48"/>
      <c r="F5020" s="48"/>
      <c r="G5020" s="48"/>
      <c r="H5020" s="48"/>
      <c r="I5020" s="48"/>
      <c r="J5020" s="86"/>
      <c r="K5020" s="86"/>
      <c r="L5020" s="86"/>
      <c r="M5020" s="86"/>
      <c r="N5020" s="86"/>
      <c r="O5020" s="86"/>
      <c r="P5020" s="86"/>
      <c r="Q5020" s="86"/>
      <c r="R5020" s="86"/>
      <c r="S5020" s="86"/>
      <c r="T5020" s="86"/>
      <c r="U5020" s="86"/>
      <c r="V5020" s="48"/>
      <c r="W5020" s="48"/>
      <c r="X5020" s="48"/>
      <c r="Y5020" s="48"/>
      <c r="Z5020" s="48"/>
      <c r="AA5020" s="48"/>
      <c r="AB5020" s="48"/>
      <c r="AC5020" s="48"/>
      <c r="AD5020" s="48"/>
      <c r="AE5020" s="48"/>
      <c r="AF5020" s="48"/>
      <c r="AG5020" s="48"/>
      <c r="AH5020" s="48"/>
      <c r="AI5020" s="48"/>
      <c r="AJ5020" s="48"/>
      <c r="AK5020" s="48"/>
      <c r="AL5020" s="48"/>
      <c r="AM5020" s="48"/>
      <c r="AN5020" s="48"/>
      <c r="AO5020" s="48"/>
      <c r="AP5020" s="48"/>
      <c r="AQ5020" s="48"/>
      <c r="AR5020" s="48"/>
      <c r="AS5020" s="48"/>
      <c r="AT5020" s="48"/>
      <c r="AU5020" s="48"/>
      <c r="AV5020" s="48"/>
      <c r="AW5020" s="48"/>
      <c r="AX5020" s="48"/>
      <c r="AY5020" s="48"/>
      <c r="AZ5020" s="48"/>
      <c r="BA5020" s="48"/>
      <c r="BB5020" s="48"/>
      <c r="BC5020" s="48"/>
      <c r="BD5020" s="48"/>
    </row>
    <row r="5021" spans="1:56">
      <c r="A5021" s="48"/>
      <c r="B5021" s="48"/>
      <c r="C5021" s="49"/>
      <c r="D5021" s="48"/>
      <c r="E5021" s="48"/>
      <c r="F5021" s="48"/>
      <c r="G5021" s="48"/>
      <c r="H5021" s="48"/>
      <c r="I5021" s="48"/>
      <c r="J5021" s="86"/>
      <c r="K5021" s="86"/>
      <c r="L5021" s="86"/>
      <c r="M5021" s="86"/>
      <c r="N5021" s="86"/>
      <c r="O5021" s="86"/>
      <c r="P5021" s="86"/>
      <c r="Q5021" s="86"/>
      <c r="R5021" s="86"/>
      <c r="S5021" s="86"/>
      <c r="T5021" s="86"/>
      <c r="U5021" s="86"/>
      <c r="V5021" s="48"/>
      <c r="W5021" s="48"/>
      <c r="X5021" s="48"/>
      <c r="Y5021" s="48"/>
      <c r="Z5021" s="48"/>
      <c r="AA5021" s="48"/>
      <c r="AB5021" s="48"/>
      <c r="AC5021" s="48"/>
      <c r="AD5021" s="48"/>
      <c r="AE5021" s="48"/>
      <c r="AF5021" s="48"/>
      <c r="AG5021" s="48"/>
      <c r="AH5021" s="48"/>
      <c r="AI5021" s="48"/>
      <c r="AJ5021" s="48"/>
      <c r="AK5021" s="48"/>
      <c r="AL5021" s="48"/>
      <c r="AM5021" s="48"/>
      <c r="AN5021" s="48"/>
      <c r="AO5021" s="48"/>
      <c r="AP5021" s="48"/>
      <c r="AQ5021" s="48"/>
      <c r="AR5021" s="48"/>
      <c r="AS5021" s="48"/>
      <c r="AT5021" s="48"/>
      <c r="AU5021" s="48"/>
      <c r="AV5021" s="48"/>
      <c r="AW5021" s="48"/>
      <c r="AX5021" s="48"/>
      <c r="AY5021" s="48"/>
      <c r="AZ5021" s="48"/>
      <c r="BA5021" s="48"/>
      <c r="BB5021" s="48"/>
      <c r="BC5021" s="48"/>
      <c r="BD5021" s="48"/>
    </row>
    <row r="5022" spans="1:56">
      <c r="A5022" s="48"/>
      <c r="B5022" s="48"/>
      <c r="C5022" s="49"/>
      <c r="D5022" s="48"/>
      <c r="E5022" s="48"/>
      <c r="F5022" s="48"/>
      <c r="G5022" s="48"/>
      <c r="H5022" s="48"/>
      <c r="I5022" s="48"/>
      <c r="J5022" s="86"/>
      <c r="K5022" s="86"/>
      <c r="L5022" s="86"/>
      <c r="M5022" s="86"/>
      <c r="N5022" s="86"/>
      <c r="O5022" s="86"/>
      <c r="P5022" s="86"/>
      <c r="Q5022" s="86"/>
      <c r="R5022" s="86"/>
      <c r="S5022" s="86"/>
      <c r="T5022" s="86"/>
      <c r="U5022" s="86"/>
      <c r="V5022" s="48"/>
      <c r="W5022" s="48"/>
      <c r="X5022" s="48"/>
      <c r="Y5022" s="48"/>
      <c r="Z5022" s="48"/>
      <c r="AA5022" s="48"/>
      <c r="AB5022" s="48"/>
      <c r="AC5022" s="48"/>
      <c r="AD5022" s="48"/>
      <c r="AE5022" s="48"/>
      <c r="AF5022" s="48"/>
      <c r="AG5022" s="48"/>
      <c r="AH5022" s="48"/>
      <c r="AI5022" s="48"/>
      <c r="AJ5022" s="48"/>
      <c r="AK5022" s="48"/>
      <c r="AL5022" s="48"/>
      <c r="AM5022" s="48"/>
      <c r="AN5022" s="48"/>
      <c r="AO5022" s="48"/>
      <c r="AP5022" s="48"/>
      <c r="AQ5022" s="48"/>
      <c r="AR5022" s="48"/>
      <c r="AS5022" s="48"/>
      <c r="AT5022" s="48"/>
      <c r="AU5022" s="48"/>
      <c r="AV5022" s="48"/>
      <c r="AW5022" s="48"/>
      <c r="AX5022" s="48"/>
      <c r="AY5022" s="48"/>
      <c r="AZ5022" s="48"/>
      <c r="BA5022" s="48"/>
      <c r="BB5022" s="48"/>
      <c r="BC5022" s="48"/>
      <c r="BD5022" s="48"/>
    </row>
    <row r="5023" spans="1:56">
      <c r="A5023" s="48"/>
      <c r="B5023" s="48"/>
      <c r="C5023" s="49"/>
      <c r="D5023" s="48"/>
      <c r="E5023" s="48"/>
      <c r="F5023" s="48"/>
      <c r="G5023" s="48"/>
      <c r="H5023" s="48"/>
      <c r="I5023" s="48"/>
      <c r="J5023" s="86"/>
      <c r="K5023" s="86"/>
      <c r="L5023" s="86"/>
      <c r="M5023" s="86"/>
      <c r="N5023" s="86"/>
      <c r="O5023" s="86"/>
      <c r="P5023" s="86"/>
      <c r="Q5023" s="86"/>
      <c r="R5023" s="86"/>
      <c r="S5023" s="86"/>
      <c r="T5023" s="86"/>
      <c r="U5023" s="86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48"/>
      <c r="BB5023" s="48"/>
      <c r="BC5023" s="48"/>
      <c r="BD5023" s="48"/>
    </row>
    <row r="5024" spans="1:56">
      <c r="A5024" s="48"/>
      <c r="B5024" s="48"/>
      <c r="C5024" s="49"/>
      <c r="D5024" s="48"/>
      <c r="E5024" s="48"/>
      <c r="F5024" s="48"/>
      <c r="G5024" s="48"/>
      <c r="H5024" s="48"/>
      <c r="I5024" s="48"/>
      <c r="J5024" s="86"/>
      <c r="K5024" s="86"/>
      <c r="L5024" s="86"/>
      <c r="M5024" s="86"/>
      <c r="N5024" s="86"/>
      <c r="O5024" s="86"/>
      <c r="P5024" s="86"/>
      <c r="Q5024" s="86"/>
      <c r="R5024" s="86"/>
      <c r="S5024" s="86"/>
      <c r="T5024" s="86"/>
      <c r="U5024" s="86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48"/>
      <c r="AH5024" s="48"/>
      <c r="AI5024" s="48"/>
      <c r="AJ5024" s="48"/>
      <c r="AK5024" s="48"/>
      <c r="AL5024" s="48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48"/>
      <c r="BB5024" s="48"/>
      <c r="BC5024" s="48"/>
      <c r="BD5024" s="48"/>
    </row>
    <row r="5025" spans="1:56">
      <c r="A5025" s="48"/>
      <c r="B5025" s="48"/>
      <c r="C5025" s="49"/>
      <c r="D5025" s="48"/>
      <c r="E5025" s="48"/>
      <c r="F5025" s="48"/>
      <c r="G5025" s="48"/>
      <c r="H5025" s="48"/>
      <c r="I5025" s="48"/>
      <c r="J5025" s="86"/>
      <c r="K5025" s="86"/>
      <c r="L5025" s="86"/>
      <c r="M5025" s="86"/>
      <c r="N5025" s="86"/>
      <c r="O5025" s="86"/>
      <c r="P5025" s="86"/>
      <c r="Q5025" s="86"/>
      <c r="R5025" s="86"/>
      <c r="S5025" s="86"/>
      <c r="T5025" s="86"/>
      <c r="U5025" s="86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48"/>
      <c r="BB5025" s="48"/>
      <c r="BC5025" s="48"/>
      <c r="BD5025" s="48"/>
    </row>
    <row r="5026" spans="1:56">
      <c r="A5026" s="48"/>
      <c r="B5026" s="48"/>
      <c r="C5026" s="49"/>
      <c r="D5026" s="48"/>
      <c r="E5026" s="48"/>
      <c r="F5026" s="48"/>
      <c r="G5026" s="48"/>
      <c r="H5026" s="48"/>
      <c r="I5026" s="48"/>
      <c r="J5026" s="86"/>
      <c r="K5026" s="86"/>
      <c r="L5026" s="86"/>
      <c r="M5026" s="86"/>
      <c r="N5026" s="86"/>
      <c r="O5026" s="86"/>
      <c r="P5026" s="86"/>
      <c r="Q5026" s="86"/>
      <c r="R5026" s="86"/>
      <c r="S5026" s="86"/>
      <c r="T5026" s="86"/>
      <c r="U5026" s="86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48"/>
      <c r="BB5026" s="48"/>
      <c r="BC5026" s="48"/>
      <c r="BD5026" s="48"/>
    </row>
    <row r="5027" spans="1:56">
      <c r="A5027" s="48"/>
      <c r="B5027" s="48"/>
      <c r="C5027" s="49"/>
      <c r="D5027" s="48"/>
      <c r="E5027" s="48"/>
      <c r="F5027" s="48"/>
      <c r="G5027" s="48"/>
      <c r="H5027" s="48"/>
      <c r="I5027" s="48"/>
      <c r="J5027" s="86"/>
      <c r="K5027" s="86"/>
      <c r="L5027" s="86"/>
      <c r="M5027" s="86"/>
      <c r="N5027" s="86"/>
      <c r="O5027" s="86"/>
      <c r="P5027" s="86"/>
      <c r="Q5027" s="86"/>
      <c r="R5027" s="86"/>
      <c r="S5027" s="86"/>
      <c r="T5027" s="86"/>
      <c r="U5027" s="86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48"/>
      <c r="BB5027" s="48"/>
      <c r="BC5027" s="48"/>
      <c r="BD5027" s="48"/>
    </row>
    <row r="5028" spans="1:56">
      <c r="A5028" s="48"/>
      <c r="B5028" s="48"/>
      <c r="C5028" s="49"/>
      <c r="D5028" s="48"/>
      <c r="E5028" s="48"/>
      <c r="F5028" s="48"/>
      <c r="G5028" s="48"/>
      <c r="H5028" s="48"/>
      <c r="I5028" s="48"/>
      <c r="J5028" s="86"/>
      <c r="K5028" s="86"/>
      <c r="L5028" s="86"/>
      <c r="M5028" s="86"/>
      <c r="N5028" s="86"/>
      <c r="O5028" s="86"/>
      <c r="P5028" s="86"/>
      <c r="Q5028" s="86"/>
      <c r="R5028" s="86"/>
      <c r="S5028" s="86"/>
      <c r="T5028" s="86"/>
      <c r="U5028" s="86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48"/>
      <c r="BB5028" s="48"/>
      <c r="BC5028" s="48"/>
      <c r="BD5028" s="48"/>
    </row>
    <row r="5029" spans="1:56">
      <c r="A5029" s="48"/>
      <c r="B5029" s="48"/>
      <c r="C5029" s="49"/>
      <c r="D5029" s="48"/>
      <c r="E5029" s="48"/>
      <c r="F5029" s="48"/>
      <c r="G5029" s="48"/>
      <c r="H5029" s="48"/>
      <c r="I5029" s="48"/>
      <c r="J5029" s="86"/>
      <c r="K5029" s="86"/>
      <c r="L5029" s="86"/>
      <c r="M5029" s="86"/>
      <c r="N5029" s="86"/>
      <c r="O5029" s="86"/>
      <c r="P5029" s="86"/>
      <c r="Q5029" s="86"/>
      <c r="R5029" s="86"/>
      <c r="S5029" s="86"/>
      <c r="T5029" s="86"/>
      <c r="U5029" s="86"/>
      <c r="V5029" s="48"/>
      <c r="W5029" s="48"/>
      <c r="X5029" s="48"/>
      <c r="Y5029" s="48"/>
      <c r="Z5029" s="48"/>
      <c r="AA5029" s="48"/>
      <c r="AB5029" s="48"/>
      <c r="AC5029" s="48"/>
      <c r="AD5029" s="48"/>
      <c r="AE5029" s="48"/>
      <c r="AF5029" s="48"/>
      <c r="AG5029" s="48"/>
      <c r="AH5029" s="48"/>
      <c r="AI5029" s="48"/>
      <c r="AJ5029" s="48"/>
      <c r="AK5029" s="48"/>
      <c r="AL5029" s="48"/>
      <c r="AM5029" s="48"/>
      <c r="AN5029" s="48"/>
      <c r="AO5029" s="48"/>
      <c r="AP5029" s="48"/>
      <c r="AQ5029" s="48"/>
      <c r="AR5029" s="48"/>
      <c r="AS5029" s="48"/>
      <c r="AT5029" s="48"/>
      <c r="AU5029" s="48"/>
      <c r="AV5029" s="48"/>
      <c r="AW5029" s="48"/>
      <c r="AX5029" s="48"/>
      <c r="AY5029" s="48"/>
      <c r="AZ5029" s="48"/>
      <c r="BA5029" s="48"/>
      <c r="BB5029" s="48"/>
      <c r="BC5029" s="48"/>
      <c r="BD5029" s="48"/>
    </row>
    <row r="5030" spans="1:56">
      <c r="A5030" s="48"/>
      <c r="B5030" s="48"/>
      <c r="C5030" s="49"/>
      <c r="D5030" s="48"/>
      <c r="E5030" s="48"/>
      <c r="F5030" s="48"/>
      <c r="G5030" s="48"/>
      <c r="H5030" s="48"/>
      <c r="I5030" s="48"/>
      <c r="J5030" s="86"/>
      <c r="K5030" s="86"/>
      <c r="L5030" s="86"/>
      <c r="M5030" s="86"/>
      <c r="N5030" s="86"/>
      <c r="O5030" s="86"/>
      <c r="P5030" s="86"/>
      <c r="Q5030" s="86"/>
      <c r="R5030" s="86"/>
      <c r="S5030" s="86"/>
      <c r="T5030" s="86"/>
      <c r="U5030" s="86"/>
      <c r="V5030" s="48"/>
      <c r="W5030" s="48"/>
      <c r="X5030" s="48"/>
      <c r="Y5030" s="48"/>
      <c r="Z5030" s="48"/>
      <c r="AA5030" s="48"/>
      <c r="AB5030" s="48"/>
      <c r="AC5030" s="48"/>
      <c r="AD5030" s="48"/>
      <c r="AE5030" s="48"/>
      <c r="AF5030" s="48"/>
      <c r="AG5030" s="48"/>
      <c r="AH5030" s="48"/>
      <c r="AI5030" s="48"/>
      <c r="AJ5030" s="48"/>
      <c r="AK5030" s="48"/>
      <c r="AL5030" s="48"/>
      <c r="AM5030" s="48"/>
      <c r="AN5030" s="48"/>
      <c r="AO5030" s="48"/>
      <c r="AP5030" s="48"/>
      <c r="AQ5030" s="48"/>
      <c r="AR5030" s="48"/>
      <c r="AS5030" s="48"/>
      <c r="AT5030" s="48"/>
      <c r="AU5030" s="48"/>
      <c r="AV5030" s="48"/>
      <c r="AW5030" s="48"/>
      <c r="AX5030" s="48"/>
      <c r="AY5030" s="48"/>
      <c r="AZ5030" s="48"/>
      <c r="BA5030" s="48"/>
      <c r="BB5030" s="48"/>
      <c r="BC5030" s="48"/>
      <c r="BD5030" s="48"/>
    </row>
    <row r="5031" spans="1:56">
      <c r="A5031" s="48"/>
      <c r="B5031" s="48"/>
      <c r="C5031" s="49"/>
      <c r="D5031" s="48"/>
      <c r="E5031" s="48"/>
      <c r="F5031" s="48"/>
      <c r="G5031" s="48"/>
      <c r="H5031" s="48"/>
      <c r="I5031" s="48"/>
      <c r="J5031" s="86"/>
      <c r="K5031" s="86"/>
      <c r="L5031" s="86"/>
      <c r="M5031" s="86"/>
      <c r="N5031" s="86"/>
      <c r="O5031" s="86"/>
      <c r="P5031" s="86"/>
      <c r="Q5031" s="86"/>
      <c r="R5031" s="86"/>
      <c r="S5031" s="86"/>
      <c r="T5031" s="86"/>
      <c r="U5031" s="86"/>
      <c r="V5031" s="48"/>
      <c r="W5031" s="48"/>
      <c r="X5031" s="48"/>
      <c r="Y5031" s="48"/>
      <c r="Z5031" s="48"/>
      <c r="AA5031" s="48"/>
      <c r="AB5031" s="48"/>
      <c r="AC5031" s="48"/>
      <c r="AD5031" s="48"/>
      <c r="AE5031" s="48"/>
      <c r="AF5031" s="48"/>
      <c r="AG5031" s="48"/>
      <c r="AH5031" s="48"/>
      <c r="AI5031" s="48"/>
      <c r="AJ5031" s="48"/>
      <c r="AK5031" s="48"/>
      <c r="AL5031" s="48"/>
      <c r="AM5031" s="48"/>
      <c r="AN5031" s="48"/>
      <c r="AO5031" s="48"/>
      <c r="AP5031" s="48"/>
      <c r="AQ5031" s="48"/>
      <c r="AR5031" s="48"/>
      <c r="AS5031" s="48"/>
      <c r="AT5031" s="48"/>
      <c r="AU5031" s="48"/>
      <c r="AV5031" s="48"/>
      <c r="AW5031" s="48"/>
      <c r="AX5031" s="48"/>
      <c r="AY5031" s="48"/>
      <c r="AZ5031" s="48"/>
      <c r="BA5031" s="48"/>
      <c r="BB5031" s="48"/>
      <c r="BC5031" s="48"/>
      <c r="BD5031" s="48"/>
    </row>
    <row r="5032" spans="1:56">
      <c r="A5032" s="48"/>
      <c r="B5032" s="48"/>
      <c r="C5032" s="49"/>
      <c r="D5032" s="48"/>
      <c r="E5032" s="48"/>
      <c r="F5032" s="48"/>
      <c r="G5032" s="48"/>
      <c r="H5032" s="48"/>
      <c r="I5032" s="48"/>
      <c r="J5032" s="86"/>
      <c r="K5032" s="86"/>
      <c r="L5032" s="86"/>
      <c r="M5032" s="86"/>
      <c r="N5032" s="86"/>
      <c r="O5032" s="86"/>
      <c r="P5032" s="86"/>
      <c r="Q5032" s="86"/>
      <c r="R5032" s="86"/>
      <c r="S5032" s="86"/>
      <c r="T5032" s="86"/>
      <c r="U5032" s="86"/>
      <c r="V5032" s="48"/>
      <c r="W5032" s="48"/>
      <c r="X5032" s="48"/>
      <c r="Y5032" s="48"/>
      <c r="Z5032" s="48"/>
      <c r="AA5032" s="48"/>
      <c r="AB5032" s="48"/>
      <c r="AC5032" s="48"/>
      <c r="AD5032" s="48"/>
      <c r="AE5032" s="48"/>
      <c r="AF5032" s="48"/>
      <c r="AG5032" s="48"/>
      <c r="AH5032" s="48"/>
      <c r="AI5032" s="48"/>
      <c r="AJ5032" s="48"/>
      <c r="AK5032" s="48"/>
      <c r="AL5032" s="48"/>
      <c r="AM5032" s="48"/>
      <c r="AN5032" s="48"/>
      <c r="AO5032" s="48"/>
      <c r="AP5032" s="48"/>
      <c r="AQ5032" s="48"/>
      <c r="AR5032" s="48"/>
      <c r="AS5032" s="48"/>
      <c r="AT5032" s="48"/>
      <c r="AU5032" s="48"/>
      <c r="AV5032" s="48"/>
      <c r="AW5032" s="48"/>
      <c r="AX5032" s="48"/>
      <c r="AY5032" s="48"/>
      <c r="AZ5032" s="48"/>
      <c r="BA5032" s="48"/>
      <c r="BB5032" s="48"/>
      <c r="BC5032" s="48"/>
      <c r="BD5032" s="48"/>
    </row>
    <row r="5033" spans="1:56">
      <c r="A5033" s="48"/>
      <c r="B5033" s="48"/>
      <c r="C5033" s="49"/>
      <c r="D5033" s="48"/>
      <c r="E5033" s="48"/>
      <c r="F5033" s="48"/>
      <c r="G5033" s="48"/>
      <c r="H5033" s="48"/>
      <c r="I5033" s="48"/>
      <c r="J5033" s="86"/>
      <c r="K5033" s="86"/>
      <c r="L5033" s="86"/>
      <c r="M5033" s="86"/>
      <c r="N5033" s="86"/>
      <c r="O5033" s="86"/>
      <c r="P5033" s="86"/>
      <c r="Q5033" s="86"/>
      <c r="R5033" s="86"/>
      <c r="S5033" s="86"/>
      <c r="T5033" s="86"/>
      <c r="U5033" s="86"/>
      <c r="V5033" s="48"/>
      <c r="W5033" s="48"/>
      <c r="X5033" s="48"/>
      <c r="Y5033" s="48"/>
      <c r="Z5033" s="48"/>
      <c r="AA5033" s="48"/>
      <c r="AB5033" s="48"/>
      <c r="AC5033" s="48"/>
      <c r="AD5033" s="48"/>
      <c r="AE5033" s="48"/>
      <c r="AF5033" s="48"/>
      <c r="AG5033" s="48"/>
      <c r="AH5033" s="48"/>
      <c r="AI5033" s="48"/>
      <c r="AJ5033" s="48"/>
      <c r="AK5033" s="48"/>
      <c r="AL5033" s="48"/>
      <c r="AM5033" s="48"/>
      <c r="AN5033" s="48"/>
      <c r="AO5033" s="48"/>
      <c r="AP5033" s="48"/>
      <c r="AQ5033" s="48"/>
      <c r="AR5033" s="48"/>
      <c r="AS5033" s="48"/>
      <c r="AT5033" s="48"/>
      <c r="AU5033" s="48"/>
      <c r="AV5033" s="48"/>
      <c r="AW5033" s="48"/>
      <c r="AX5033" s="48"/>
      <c r="AY5033" s="48"/>
      <c r="AZ5033" s="48"/>
      <c r="BA5033" s="48"/>
      <c r="BB5033" s="48"/>
      <c r="BC5033" s="48"/>
      <c r="BD5033" s="48"/>
    </row>
    <row r="5034" spans="1:56">
      <c r="A5034" s="48"/>
      <c r="B5034" s="48"/>
      <c r="C5034" s="49"/>
      <c r="D5034" s="48"/>
      <c r="E5034" s="48"/>
      <c r="F5034" s="48"/>
      <c r="G5034" s="48"/>
      <c r="H5034" s="48"/>
      <c r="I5034" s="48"/>
      <c r="J5034" s="86"/>
      <c r="K5034" s="86"/>
      <c r="L5034" s="86"/>
      <c r="M5034" s="86"/>
      <c r="N5034" s="86"/>
      <c r="O5034" s="86"/>
      <c r="P5034" s="86"/>
      <c r="Q5034" s="86"/>
      <c r="R5034" s="86"/>
      <c r="S5034" s="86"/>
      <c r="T5034" s="86"/>
      <c r="U5034" s="86"/>
      <c r="V5034" s="48"/>
      <c r="W5034" s="48"/>
      <c r="X5034" s="48"/>
      <c r="Y5034" s="48"/>
      <c r="Z5034" s="48"/>
      <c r="AA5034" s="48"/>
      <c r="AB5034" s="48"/>
      <c r="AC5034" s="48"/>
      <c r="AD5034" s="48"/>
      <c r="AE5034" s="48"/>
      <c r="AF5034" s="48"/>
      <c r="AG5034" s="48"/>
      <c r="AH5034" s="48"/>
      <c r="AI5034" s="48"/>
      <c r="AJ5034" s="48"/>
      <c r="AK5034" s="48"/>
      <c r="AL5034" s="48"/>
      <c r="AM5034" s="48"/>
      <c r="AN5034" s="48"/>
      <c r="AO5034" s="48"/>
      <c r="AP5034" s="48"/>
      <c r="AQ5034" s="48"/>
      <c r="AR5034" s="48"/>
      <c r="AS5034" s="48"/>
      <c r="AT5034" s="48"/>
      <c r="AU5034" s="48"/>
      <c r="AV5034" s="48"/>
      <c r="AW5034" s="48"/>
      <c r="AX5034" s="48"/>
      <c r="AY5034" s="48"/>
      <c r="AZ5034" s="48"/>
      <c r="BA5034" s="48"/>
      <c r="BB5034" s="48"/>
      <c r="BC5034" s="48"/>
      <c r="BD5034" s="48"/>
    </row>
    <row r="5035" spans="1:56">
      <c r="A5035" s="48"/>
      <c r="B5035" s="48"/>
      <c r="C5035" s="49"/>
      <c r="D5035" s="48"/>
      <c r="E5035" s="48"/>
      <c r="F5035" s="48"/>
      <c r="G5035" s="48"/>
      <c r="H5035" s="48"/>
      <c r="I5035" s="48"/>
      <c r="J5035" s="86"/>
      <c r="K5035" s="86"/>
      <c r="L5035" s="86"/>
      <c r="M5035" s="86"/>
      <c r="N5035" s="86"/>
      <c r="O5035" s="86"/>
      <c r="P5035" s="86"/>
      <c r="Q5035" s="86"/>
      <c r="R5035" s="86"/>
      <c r="S5035" s="86"/>
      <c r="T5035" s="86"/>
      <c r="U5035" s="86"/>
      <c r="V5035" s="48"/>
      <c r="W5035" s="48"/>
      <c r="X5035" s="48"/>
      <c r="Y5035" s="48"/>
      <c r="Z5035" s="48"/>
      <c r="AA5035" s="48"/>
      <c r="AB5035" s="48"/>
      <c r="AC5035" s="48"/>
      <c r="AD5035" s="48"/>
      <c r="AE5035" s="48"/>
      <c r="AF5035" s="48"/>
      <c r="AG5035" s="48"/>
      <c r="AH5035" s="48"/>
      <c r="AI5035" s="48"/>
      <c r="AJ5035" s="48"/>
      <c r="AK5035" s="48"/>
      <c r="AL5035" s="48"/>
      <c r="AM5035" s="48"/>
      <c r="AN5035" s="48"/>
      <c r="AO5035" s="48"/>
      <c r="AP5035" s="48"/>
      <c r="AQ5035" s="48"/>
      <c r="AR5035" s="48"/>
      <c r="AS5035" s="48"/>
      <c r="AT5035" s="48"/>
      <c r="AU5035" s="48"/>
      <c r="AV5035" s="48"/>
      <c r="AW5035" s="48"/>
      <c r="AX5035" s="48"/>
      <c r="AY5035" s="48"/>
      <c r="AZ5035" s="48"/>
      <c r="BA5035" s="48"/>
      <c r="BB5035" s="48"/>
      <c r="BC5035" s="48"/>
      <c r="BD5035" s="48"/>
    </row>
    <row r="5036" spans="1:56">
      <c r="A5036" s="48"/>
      <c r="B5036" s="48"/>
      <c r="C5036" s="49"/>
      <c r="D5036" s="48"/>
      <c r="E5036" s="48"/>
      <c r="F5036" s="48"/>
      <c r="G5036" s="48"/>
      <c r="H5036" s="48"/>
      <c r="I5036" s="48"/>
      <c r="J5036" s="86"/>
      <c r="K5036" s="86"/>
      <c r="L5036" s="86"/>
      <c r="M5036" s="86"/>
      <c r="N5036" s="86"/>
      <c r="O5036" s="86"/>
      <c r="P5036" s="86"/>
      <c r="Q5036" s="86"/>
      <c r="R5036" s="86"/>
      <c r="S5036" s="86"/>
      <c r="T5036" s="86"/>
      <c r="U5036" s="86"/>
      <c r="V5036" s="48"/>
      <c r="W5036" s="48"/>
      <c r="X5036" s="48"/>
      <c r="Y5036" s="48"/>
      <c r="Z5036" s="48"/>
      <c r="AA5036" s="48"/>
      <c r="AB5036" s="48"/>
      <c r="AC5036" s="48"/>
      <c r="AD5036" s="48"/>
      <c r="AE5036" s="48"/>
      <c r="AF5036" s="48"/>
      <c r="AG5036" s="48"/>
      <c r="AH5036" s="48"/>
      <c r="AI5036" s="48"/>
      <c r="AJ5036" s="48"/>
      <c r="AK5036" s="48"/>
      <c r="AL5036" s="48"/>
      <c r="AM5036" s="48"/>
      <c r="AN5036" s="48"/>
      <c r="AO5036" s="48"/>
      <c r="AP5036" s="48"/>
      <c r="AQ5036" s="48"/>
      <c r="AR5036" s="48"/>
      <c r="AS5036" s="48"/>
      <c r="AT5036" s="48"/>
      <c r="AU5036" s="48"/>
      <c r="AV5036" s="48"/>
      <c r="AW5036" s="48"/>
      <c r="AX5036" s="48"/>
      <c r="AY5036" s="48"/>
      <c r="AZ5036" s="48"/>
      <c r="BA5036" s="48"/>
      <c r="BB5036" s="48"/>
      <c r="BC5036" s="48"/>
      <c r="BD5036" s="48"/>
    </row>
    <row r="5037" spans="1:56">
      <c r="A5037" s="48"/>
      <c r="B5037" s="48"/>
      <c r="C5037" s="49"/>
      <c r="D5037" s="48"/>
      <c r="E5037" s="48"/>
      <c r="F5037" s="48"/>
      <c r="G5037" s="48"/>
      <c r="H5037" s="48"/>
      <c r="I5037" s="48"/>
      <c r="J5037" s="86"/>
      <c r="K5037" s="86"/>
      <c r="L5037" s="86"/>
      <c r="M5037" s="86"/>
      <c r="N5037" s="86"/>
      <c r="O5037" s="86"/>
      <c r="P5037" s="86"/>
      <c r="Q5037" s="86"/>
      <c r="R5037" s="86"/>
      <c r="S5037" s="86"/>
      <c r="T5037" s="86"/>
      <c r="U5037" s="86"/>
      <c r="V5037" s="48"/>
      <c r="W5037" s="48"/>
      <c r="X5037" s="48"/>
      <c r="Y5037" s="48"/>
      <c r="Z5037" s="48"/>
      <c r="AA5037" s="48"/>
      <c r="AB5037" s="48"/>
      <c r="AC5037" s="48"/>
      <c r="AD5037" s="48"/>
      <c r="AE5037" s="48"/>
      <c r="AF5037" s="48"/>
      <c r="AG5037" s="48"/>
      <c r="AH5037" s="48"/>
      <c r="AI5037" s="48"/>
      <c r="AJ5037" s="48"/>
      <c r="AK5037" s="48"/>
      <c r="AL5037" s="48"/>
      <c r="AM5037" s="48"/>
      <c r="AN5037" s="48"/>
      <c r="AO5037" s="48"/>
      <c r="AP5037" s="48"/>
      <c r="AQ5037" s="48"/>
      <c r="AR5037" s="48"/>
      <c r="AS5037" s="48"/>
      <c r="AT5037" s="48"/>
      <c r="AU5037" s="48"/>
      <c r="AV5037" s="48"/>
      <c r="AW5037" s="48"/>
      <c r="AX5037" s="48"/>
      <c r="AY5037" s="48"/>
      <c r="AZ5037" s="48"/>
      <c r="BA5037" s="48"/>
      <c r="BB5037" s="48"/>
      <c r="BC5037" s="48"/>
      <c r="BD5037" s="48"/>
    </row>
    <row r="5038" spans="1:56">
      <c r="A5038" s="48"/>
      <c r="B5038" s="48"/>
      <c r="C5038" s="49"/>
      <c r="D5038" s="48"/>
      <c r="E5038" s="48"/>
      <c r="F5038" s="48"/>
      <c r="G5038" s="48"/>
      <c r="H5038" s="48"/>
      <c r="I5038" s="48"/>
      <c r="J5038" s="86"/>
      <c r="K5038" s="86"/>
      <c r="L5038" s="86"/>
      <c r="M5038" s="86"/>
      <c r="N5038" s="86"/>
      <c r="O5038" s="86"/>
      <c r="P5038" s="86"/>
      <c r="Q5038" s="86"/>
      <c r="R5038" s="86"/>
      <c r="S5038" s="86"/>
      <c r="T5038" s="86"/>
      <c r="U5038" s="86"/>
      <c r="V5038" s="48"/>
      <c r="W5038" s="48"/>
      <c r="X5038" s="48"/>
      <c r="Y5038" s="48"/>
      <c r="Z5038" s="48"/>
      <c r="AA5038" s="48"/>
      <c r="AB5038" s="48"/>
      <c r="AC5038" s="48"/>
      <c r="AD5038" s="48"/>
      <c r="AE5038" s="48"/>
      <c r="AF5038" s="48"/>
      <c r="AG5038" s="48"/>
      <c r="AH5038" s="48"/>
      <c r="AI5038" s="48"/>
      <c r="AJ5038" s="48"/>
      <c r="AK5038" s="48"/>
      <c r="AL5038" s="48"/>
      <c r="AM5038" s="48"/>
      <c r="AN5038" s="48"/>
      <c r="AO5038" s="48"/>
      <c r="AP5038" s="48"/>
      <c r="AQ5038" s="48"/>
      <c r="AR5038" s="48"/>
      <c r="AS5038" s="48"/>
      <c r="AT5038" s="48"/>
      <c r="AU5038" s="48"/>
      <c r="AV5038" s="48"/>
      <c r="AW5038" s="48"/>
      <c r="AX5038" s="48"/>
      <c r="AY5038" s="48"/>
      <c r="AZ5038" s="48"/>
      <c r="BA5038" s="48"/>
      <c r="BB5038" s="48"/>
      <c r="BC5038" s="48"/>
      <c r="BD5038" s="48"/>
    </row>
    <row r="5039" spans="1:56">
      <c r="A5039" s="48"/>
      <c r="B5039" s="48"/>
      <c r="C5039" s="49"/>
      <c r="D5039" s="48"/>
      <c r="E5039" s="48"/>
      <c r="F5039" s="48"/>
      <c r="G5039" s="48"/>
      <c r="H5039" s="48"/>
      <c r="I5039" s="48"/>
      <c r="J5039" s="86"/>
      <c r="K5039" s="86"/>
      <c r="L5039" s="86"/>
      <c r="M5039" s="86"/>
      <c r="N5039" s="86"/>
      <c r="O5039" s="86"/>
      <c r="P5039" s="86"/>
      <c r="Q5039" s="86"/>
      <c r="R5039" s="86"/>
      <c r="S5039" s="86"/>
      <c r="T5039" s="86"/>
      <c r="U5039" s="86"/>
      <c r="V5039" s="48"/>
      <c r="W5039" s="48"/>
      <c r="X5039" s="48"/>
      <c r="Y5039" s="48"/>
      <c r="Z5039" s="48"/>
      <c r="AA5039" s="48"/>
      <c r="AB5039" s="48"/>
      <c r="AC5039" s="48"/>
      <c r="AD5039" s="48"/>
      <c r="AE5039" s="48"/>
      <c r="AF5039" s="48"/>
      <c r="AG5039" s="48"/>
      <c r="AH5039" s="48"/>
      <c r="AI5039" s="48"/>
      <c r="AJ5039" s="48"/>
      <c r="AK5039" s="48"/>
      <c r="AL5039" s="48"/>
      <c r="AM5039" s="48"/>
      <c r="AN5039" s="48"/>
      <c r="AO5039" s="48"/>
      <c r="AP5039" s="48"/>
      <c r="AQ5039" s="48"/>
      <c r="AR5039" s="48"/>
      <c r="AS5039" s="48"/>
      <c r="AT5039" s="48"/>
      <c r="AU5039" s="48"/>
      <c r="AV5039" s="48"/>
      <c r="AW5039" s="48"/>
      <c r="AX5039" s="48"/>
      <c r="AY5039" s="48"/>
      <c r="AZ5039" s="48"/>
      <c r="BA5039" s="48"/>
      <c r="BB5039" s="48"/>
      <c r="BC5039" s="48"/>
      <c r="BD5039" s="48"/>
    </row>
    <row r="5040" spans="1:56">
      <c r="A5040" s="48"/>
      <c r="B5040" s="48"/>
      <c r="C5040" s="49"/>
      <c r="D5040" s="48"/>
      <c r="E5040" s="48"/>
      <c r="F5040" s="48"/>
      <c r="G5040" s="48"/>
      <c r="H5040" s="48"/>
      <c r="I5040" s="48"/>
      <c r="J5040" s="86"/>
      <c r="K5040" s="86"/>
      <c r="L5040" s="86"/>
      <c r="M5040" s="86"/>
      <c r="N5040" s="86"/>
      <c r="O5040" s="86"/>
      <c r="P5040" s="86"/>
      <c r="Q5040" s="86"/>
      <c r="R5040" s="86"/>
      <c r="S5040" s="86"/>
      <c r="T5040" s="86"/>
      <c r="U5040" s="86"/>
      <c r="V5040" s="48"/>
      <c r="W5040" s="48"/>
      <c r="X5040" s="48"/>
      <c r="Y5040" s="48"/>
      <c r="Z5040" s="48"/>
      <c r="AA5040" s="48"/>
      <c r="AB5040" s="48"/>
      <c r="AC5040" s="48"/>
      <c r="AD5040" s="48"/>
      <c r="AE5040" s="48"/>
      <c r="AF5040" s="48"/>
      <c r="AG5040" s="48"/>
      <c r="AH5040" s="48"/>
      <c r="AI5040" s="48"/>
      <c r="AJ5040" s="48"/>
      <c r="AK5040" s="48"/>
      <c r="AL5040" s="48"/>
      <c r="AM5040" s="48"/>
      <c r="AN5040" s="48"/>
      <c r="AO5040" s="48"/>
      <c r="AP5040" s="48"/>
      <c r="AQ5040" s="48"/>
      <c r="AR5040" s="48"/>
      <c r="AS5040" s="48"/>
      <c r="AT5040" s="48"/>
      <c r="AU5040" s="48"/>
      <c r="AV5040" s="48"/>
      <c r="AW5040" s="48"/>
      <c r="AX5040" s="48"/>
      <c r="AY5040" s="48"/>
      <c r="AZ5040" s="48"/>
      <c r="BA5040" s="48"/>
      <c r="BB5040" s="48"/>
      <c r="BC5040" s="48"/>
      <c r="BD5040" s="48"/>
    </row>
    <row r="5041" spans="1:56">
      <c r="A5041" s="48"/>
      <c r="B5041" s="48"/>
      <c r="C5041" s="49"/>
      <c r="D5041" s="48"/>
      <c r="E5041" s="48"/>
      <c r="F5041" s="48"/>
      <c r="G5041" s="48"/>
      <c r="H5041" s="48"/>
      <c r="I5041" s="48"/>
      <c r="J5041" s="86"/>
      <c r="K5041" s="86"/>
      <c r="L5041" s="86"/>
      <c r="M5041" s="86"/>
      <c r="N5041" s="86"/>
      <c r="O5041" s="86"/>
      <c r="P5041" s="86"/>
      <c r="Q5041" s="86"/>
      <c r="R5041" s="86"/>
      <c r="S5041" s="86"/>
      <c r="T5041" s="86"/>
      <c r="U5041" s="86"/>
      <c r="V5041" s="48"/>
      <c r="W5041" s="48"/>
      <c r="X5041" s="48"/>
      <c r="Y5041" s="48"/>
      <c r="Z5041" s="48"/>
      <c r="AA5041" s="48"/>
      <c r="AB5041" s="48"/>
      <c r="AC5041" s="48"/>
      <c r="AD5041" s="48"/>
      <c r="AE5041" s="48"/>
      <c r="AF5041" s="48"/>
      <c r="AG5041" s="48"/>
      <c r="AH5041" s="48"/>
      <c r="AI5041" s="48"/>
      <c r="AJ5041" s="48"/>
      <c r="AK5041" s="48"/>
      <c r="AL5041" s="48"/>
      <c r="AM5041" s="48"/>
      <c r="AN5041" s="48"/>
      <c r="AO5041" s="48"/>
      <c r="AP5041" s="48"/>
      <c r="AQ5041" s="48"/>
      <c r="AR5041" s="48"/>
      <c r="AS5041" s="48"/>
      <c r="AT5041" s="48"/>
      <c r="AU5041" s="48"/>
      <c r="AV5041" s="48"/>
      <c r="AW5041" s="48"/>
      <c r="AX5041" s="48"/>
      <c r="AY5041" s="48"/>
      <c r="AZ5041" s="48"/>
      <c r="BA5041" s="48"/>
      <c r="BB5041" s="48"/>
      <c r="BC5041" s="48"/>
      <c r="BD5041" s="48"/>
    </row>
    <row r="5042" spans="1:56">
      <c r="A5042" s="48"/>
      <c r="B5042" s="48"/>
      <c r="C5042" s="49"/>
      <c r="D5042" s="48"/>
      <c r="E5042" s="48"/>
      <c r="F5042" s="48"/>
      <c r="G5042" s="48"/>
      <c r="H5042" s="48"/>
      <c r="I5042" s="48"/>
      <c r="J5042" s="86"/>
      <c r="K5042" s="86"/>
      <c r="L5042" s="86"/>
      <c r="M5042" s="86"/>
      <c r="N5042" s="86"/>
      <c r="O5042" s="86"/>
      <c r="P5042" s="86"/>
      <c r="Q5042" s="86"/>
      <c r="R5042" s="86"/>
      <c r="S5042" s="86"/>
      <c r="T5042" s="86"/>
      <c r="U5042" s="86"/>
      <c r="V5042" s="48"/>
      <c r="W5042" s="48"/>
      <c r="X5042" s="48"/>
      <c r="Y5042" s="48"/>
      <c r="Z5042" s="48"/>
      <c r="AA5042" s="48"/>
      <c r="AB5042" s="48"/>
      <c r="AC5042" s="48"/>
      <c r="AD5042" s="48"/>
      <c r="AE5042" s="48"/>
      <c r="AF5042" s="48"/>
      <c r="AG5042" s="48"/>
      <c r="AH5042" s="48"/>
      <c r="AI5042" s="48"/>
      <c r="AJ5042" s="48"/>
      <c r="AK5042" s="48"/>
      <c r="AL5042" s="48"/>
      <c r="AM5042" s="48"/>
      <c r="AN5042" s="48"/>
      <c r="AO5042" s="48"/>
      <c r="AP5042" s="48"/>
      <c r="AQ5042" s="48"/>
      <c r="AR5042" s="48"/>
      <c r="AS5042" s="48"/>
      <c r="AT5042" s="48"/>
      <c r="AU5042" s="48"/>
      <c r="AV5042" s="48"/>
      <c r="AW5042" s="48"/>
      <c r="AX5042" s="48"/>
      <c r="AY5042" s="48"/>
      <c r="AZ5042" s="48"/>
      <c r="BA5042" s="48"/>
      <c r="BB5042" s="48"/>
      <c r="BC5042" s="48"/>
      <c r="BD5042" s="48"/>
    </row>
    <row r="5043" spans="1:56">
      <c r="A5043" s="48"/>
      <c r="B5043" s="48"/>
      <c r="C5043" s="49"/>
      <c r="D5043" s="48"/>
      <c r="E5043" s="48"/>
      <c r="F5043" s="48"/>
      <c r="G5043" s="48"/>
      <c r="H5043" s="48"/>
      <c r="I5043" s="48"/>
      <c r="J5043" s="86"/>
      <c r="K5043" s="86"/>
      <c r="L5043" s="86"/>
      <c r="M5043" s="86"/>
      <c r="N5043" s="86"/>
      <c r="O5043" s="86"/>
      <c r="P5043" s="86"/>
      <c r="Q5043" s="86"/>
      <c r="R5043" s="86"/>
      <c r="S5043" s="86"/>
      <c r="T5043" s="86"/>
      <c r="U5043" s="86"/>
      <c r="V5043" s="48"/>
      <c r="W5043" s="48"/>
      <c r="X5043" s="48"/>
      <c r="Y5043" s="48"/>
      <c r="Z5043" s="48"/>
      <c r="AA5043" s="48"/>
      <c r="AB5043" s="48"/>
      <c r="AC5043" s="48"/>
      <c r="AD5043" s="48"/>
      <c r="AE5043" s="48"/>
      <c r="AF5043" s="48"/>
      <c r="AG5043" s="48"/>
      <c r="AH5043" s="48"/>
      <c r="AI5043" s="48"/>
      <c r="AJ5043" s="48"/>
      <c r="AK5043" s="48"/>
      <c r="AL5043" s="48"/>
      <c r="AM5043" s="48"/>
      <c r="AN5043" s="48"/>
      <c r="AO5043" s="48"/>
      <c r="AP5043" s="48"/>
      <c r="AQ5043" s="48"/>
      <c r="AR5043" s="48"/>
      <c r="AS5043" s="48"/>
      <c r="AT5043" s="48"/>
      <c r="AU5043" s="48"/>
      <c r="AV5043" s="48"/>
      <c r="AW5043" s="48"/>
      <c r="AX5043" s="48"/>
      <c r="AY5043" s="48"/>
      <c r="AZ5043" s="48"/>
      <c r="BA5043" s="48"/>
      <c r="BB5043" s="48"/>
      <c r="BC5043" s="48"/>
      <c r="BD5043" s="48"/>
    </row>
    <row r="5044" spans="1:56">
      <c r="A5044" s="48"/>
      <c r="B5044" s="48"/>
      <c r="C5044" s="49"/>
      <c r="D5044" s="48"/>
      <c r="E5044" s="48"/>
      <c r="F5044" s="48"/>
      <c r="G5044" s="48"/>
      <c r="H5044" s="48"/>
      <c r="I5044" s="48"/>
      <c r="J5044" s="86"/>
      <c r="K5044" s="86"/>
      <c r="L5044" s="86"/>
      <c r="M5044" s="86"/>
      <c r="N5044" s="86"/>
      <c r="O5044" s="86"/>
      <c r="P5044" s="86"/>
      <c r="Q5044" s="86"/>
      <c r="R5044" s="86"/>
      <c r="S5044" s="86"/>
      <c r="T5044" s="86"/>
      <c r="U5044" s="86"/>
      <c r="V5044" s="48"/>
      <c r="W5044" s="48"/>
      <c r="X5044" s="48"/>
      <c r="Y5044" s="48"/>
      <c r="Z5044" s="48"/>
      <c r="AA5044" s="48"/>
      <c r="AB5044" s="48"/>
      <c r="AC5044" s="48"/>
      <c r="AD5044" s="48"/>
      <c r="AE5044" s="48"/>
      <c r="AF5044" s="48"/>
      <c r="AG5044" s="48"/>
      <c r="AH5044" s="48"/>
      <c r="AI5044" s="48"/>
      <c r="AJ5044" s="48"/>
      <c r="AK5044" s="48"/>
      <c r="AL5044" s="48"/>
      <c r="AM5044" s="48"/>
      <c r="AN5044" s="48"/>
      <c r="AO5044" s="48"/>
      <c r="AP5044" s="48"/>
      <c r="AQ5044" s="48"/>
      <c r="AR5044" s="48"/>
      <c r="AS5044" s="48"/>
      <c r="AT5044" s="48"/>
      <c r="AU5044" s="48"/>
      <c r="AV5044" s="48"/>
      <c r="AW5044" s="48"/>
      <c r="AX5044" s="48"/>
      <c r="AY5044" s="48"/>
      <c r="AZ5044" s="48"/>
      <c r="BA5044" s="48"/>
      <c r="BB5044" s="48"/>
      <c r="BC5044" s="48"/>
      <c r="BD5044" s="48"/>
    </row>
    <row r="5045" spans="1:56">
      <c r="A5045" s="48"/>
      <c r="B5045" s="48"/>
      <c r="C5045" s="49"/>
      <c r="D5045" s="48"/>
      <c r="E5045" s="48"/>
      <c r="F5045" s="48"/>
      <c r="G5045" s="48"/>
      <c r="H5045" s="48"/>
      <c r="I5045" s="48"/>
      <c r="J5045" s="86"/>
      <c r="K5045" s="86"/>
      <c r="L5045" s="86"/>
      <c r="M5045" s="86"/>
      <c r="N5045" s="86"/>
      <c r="O5045" s="86"/>
      <c r="P5045" s="86"/>
      <c r="Q5045" s="86"/>
      <c r="R5045" s="86"/>
      <c r="S5045" s="86"/>
      <c r="T5045" s="86"/>
      <c r="U5045" s="86"/>
      <c r="V5045" s="48"/>
      <c r="W5045" s="48"/>
      <c r="X5045" s="48"/>
      <c r="Y5045" s="48"/>
      <c r="Z5045" s="48"/>
      <c r="AA5045" s="48"/>
      <c r="AB5045" s="48"/>
      <c r="AC5045" s="48"/>
      <c r="AD5045" s="48"/>
      <c r="AE5045" s="48"/>
      <c r="AF5045" s="48"/>
      <c r="AG5045" s="48"/>
      <c r="AH5045" s="48"/>
      <c r="AI5045" s="48"/>
      <c r="AJ5045" s="48"/>
      <c r="AK5045" s="48"/>
      <c r="AL5045" s="48"/>
      <c r="AM5045" s="48"/>
      <c r="AN5045" s="48"/>
      <c r="AO5045" s="48"/>
      <c r="AP5045" s="48"/>
      <c r="AQ5045" s="48"/>
      <c r="AR5045" s="48"/>
      <c r="AS5045" s="48"/>
      <c r="AT5045" s="48"/>
      <c r="AU5045" s="48"/>
      <c r="AV5045" s="48"/>
      <c r="AW5045" s="48"/>
      <c r="AX5045" s="48"/>
      <c r="AY5045" s="48"/>
      <c r="AZ5045" s="48"/>
      <c r="BA5045" s="48"/>
      <c r="BB5045" s="48"/>
      <c r="BC5045" s="48"/>
      <c r="BD5045" s="48"/>
    </row>
    <row r="5046" spans="1:56">
      <c r="A5046" s="48"/>
      <c r="B5046" s="48"/>
      <c r="C5046" s="49"/>
      <c r="D5046" s="48"/>
      <c r="E5046" s="48"/>
      <c r="F5046" s="48"/>
      <c r="G5046" s="48"/>
      <c r="H5046" s="48"/>
      <c r="I5046" s="48"/>
      <c r="J5046" s="86"/>
      <c r="K5046" s="86"/>
      <c r="L5046" s="86"/>
      <c r="M5046" s="86"/>
      <c r="N5046" s="86"/>
      <c r="O5046" s="86"/>
      <c r="P5046" s="86"/>
      <c r="Q5046" s="86"/>
      <c r="R5046" s="86"/>
      <c r="S5046" s="86"/>
      <c r="T5046" s="86"/>
      <c r="U5046" s="86"/>
      <c r="V5046" s="48"/>
      <c r="W5046" s="48"/>
      <c r="X5046" s="48"/>
      <c r="Y5046" s="48"/>
      <c r="Z5046" s="48"/>
      <c r="AA5046" s="48"/>
      <c r="AB5046" s="48"/>
      <c r="AC5046" s="48"/>
      <c r="AD5046" s="48"/>
      <c r="AE5046" s="48"/>
      <c r="AF5046" s="48"/>
      <c r="AG5046" s="48"/>
      <c r="AH5046" s="48"/>
      <c r="AI5046" s="48"/>
      <c r="AJ5046" s="48"/>
      <c r="AK5046" s="48"/>
      <c r="AL5046" s="48"/>
      <c r="AM5046" s="48"/>
      <c r="AN5046" s="48"/>
      <c r="AO5046" s="48"/>
      <c r="AP5046" s="48"/>
      <c r="AQ5046" s="48"/>
      <c r="AR5046" s="48"/>
      <c r="AS5046" s="48"/>
      <c r="AT5046" s="48"/>
      <c r="AU5046" s="48"/>
      <c r="AV5046" s="48"/>
      <c r="AW5046" s="48"/>
      <c r="AX5046" s="48"/>
      <c r="AY5046" s="48"/>
      <c r="AZ5046" s="48"/>
      <c r="BA5046" s="48"/>
      <c r="BB5046" s="48"/>
      <c r="BC5046" s="48"/>
      <c r="BD5046" s="48"/>
    </row>
    <row r="5047" spans="1:56">
      <c r="A5047" s="48"/>
      <c r="B5047" s="48"/>
      <c r="C5047" s="49"/>
      <c r="D5047" s="48"/>
      <c r="E5047" s="48"/>
      <c r="F5047" s="48"/>
      <c r="G5047" s="48"/>
      <c r="H5047" s="48"/>
      <c r="I5047" s="48"/>
      <c r="J5047" s="86"/>
      <c r="K5047" s="86"/>
      <c r="L5047" s="86"/>
      <c r="M5047" s="86"/>
      <c r="N5047" s="86"/>
      <c r="O5047" s="86"/>
      <c r="P5047" s="86"/>
      <c r="Q5047" s="86"/>
      <c r="R5047" s="86"/>
      <c r="S5047" s="86"/>
      <c r="T5047" s="86"/>
      <c r="U5047" s="86"/>
      <c r="V5047" s="48"/>
      <c r="W5047" s="48"/>
      <c r="X5047" s="48"/>
      <c r="Y5047" s="48"/>
      <c r="Z5047" s="48"/>
      <c r="AA5047" s="48"/>
      <c r="AB5047" s="48"/>
      <c r="AC5047" s="48"/>
      <c r="AD5047" s="48"/>
      <c r="AE5047" s="48"/>
      <c r="AF5047" s="48"/>
      <c r="AG5047" s="48"/>
      <c r="AH5047" s="48"/>
      <c r="AI5047" s="48"/>
      <c r="AJ5047" s="48"/>
      <c r="AK5047" s="48"/>
      <c r="AL5047" s="48"/>
      <c r="AM5047" s="48"/>
      <c r="AN5047" s="48"/>
      <c r="AO5047" s="48"/>
      <c r="AP5047" s="48"/>
      <c r="AQ5047" s="48"/>
      <c r="AR5047" s="48"/>
      <c r="AS5047" s="48"/>
      <c r="AT5047" s="48"/>
      <c r="AU5047" s="48"/>
      <c r="AV5047" s="48"/>
      <c r="AW5047" s="48"/>
      <c r="AX5047" s="48"/>
      <c r="AY5047" s="48"/>
      <c r="AZ5047" s="48"/>
      <c r="BA5047" s="48"/>
      <c r="BB5047" s="48"/>
      <c r="BC5047" s="48"/>
      <c r="BD5047" s="48"/>
    </row>
    <row r="5048" spans="1:56">
      <c r="A5048" s="48"/>
      <c r="B5048" s="48"/>
      <c r="C5048" s="49"/>
      <c r="D5048" s="48"/>
      <c r="E5048" s="48"/>
      <c r="F5048" s="48"/>
      <c r="G5048" s="48"/>
      <c r="H5048" s="48"/>
      <c r="I5048" s="48"/>
      <c r="J5048" s="86"/>
      <c r="K5048" s="86"/>
      <c r="L5048" s="86"/>
      <c r="M5048" s="86"/>
      <c r="N5048" s="86"/>
      <c r="O5048" s="86"/>
      <c r="P5048" s="86"/>
      <c r="Q5048" s="86"/>
      <c r="R5048" s="86"/>
      <c r="S5048" s="86"/>
      <c r="T5048" s="86"/>
      <c r="U5048" s="86"/>
      <c r="V5048" s="48"/>
      <c r="W5048" s="48"/>
      <c r="X5048" s="48"/>
      <c r="Y5048" s="48"/>
      <c r="Z5048" s="48"/>
      <c r="AA5048" s="48"/>
      <c r="AB5048" s="48"/>
      <c r="AC5048" s="48"/>
      <c r="AD5048" s="48"/>
      <c r="AE5048" s="48"/>
      <c r="AF5048" s="48"/>
      <c r="AG5048" s="48"/>
      <c r="AH5048" s="48"/>
      <c r="AI5048" s="48"/>
      <c r="AJ5048" s="48"/>
      <c r="AK5048" s="48"/>
      <c r="AL5048" s="48"/>
      <c r="AM5048" s="48"/>
      <c r="AN5048" s="48"/>
      <c r="AO5048" s="48"/>
      <c r="AP5048" s="48"/>
      <c r="AQ5048" s="48"/>
      <c r="AR5048" s="48"/>
      <c r="AS5048" s="48"/>
      <c r="AT5048" s="48"/>
      <c r="AU5048" s="48"/>
      <c r="AV5048" s="48"/>
      <c r="AW5048" s="48"/>
      <c r="AX5048" s="48"/>
      <c r="AY5048" s="48"/>
      <c r="AZ5048" s="48"/>
      <c r="BA5048" s="48"/>
      <c r="BB5048" s="48"/>
      <c r="BC5048" s="48"/>
      <c r="BD5048" s="48"/>
    </row>
    <row r="5049" spans="1:56">
      <c r="A5049" s="48"/>
      <c r="B5049" s="48"/>
      <c r="C5049" s="49"/>
      <c r="D5049" s="48"/>
      <c r="E5049" s="48"/>
      <c r="F5049" s="48"/>
      <c r="G5049" s="48"/>
      <c r="H5049" s="48"/>
      <c r="I5049" s="48"/>
      <c r="J5049" s="86"/>
      <c r="K5049" s="86"/>
      <c r="L5049" s="86"/>
      <c r="M5049" s="86"/>
      <c r="N5049" s="86"/>
      <c r="O5049" s="86"/>
      <c r="P5049" s="86"/>
      <c r="Q5049" s="86"/>
      <c r="R5049" s="86"/>
      <c r="S5049" s="86"/>
      <c r="T5049" s="86"/>
      <c r="U5049" s="86"/>
      <c r="V5049" s="48"/>
      <c r="W5049" s="48"/>
      <c r="X5049" s="48"/>
      <c r="Y5049" s="48"/>
      <c r="Z5049" s="48"/>
      <c r="AA5049" s="48"/>
      <c r="AB5049" s="48"/>
      <c r="AC5049" s="48"/>
      <c r="AD5049" s="48"/>
      <c r="AE5049" s="48"/>
      <c r="AF5049" s="48"/>
      <c r="AG5049" s="48"/>
      <c r="AH5049" s="48"/>
      <c r="AI5049" s="48"/>
      <c r="AJ5049" s="48"/>
      <c r="AK5049" s="48"/>
      <c r="AL5049" s="48"/>
      <c r="AM5049" s="48"/>
      <c r="AN5049" s="48"/>
      <c r="AO5049" s="48"/>
      <c r="AP5049" s="48"/>
      <c r="AQ5049" s="48"/>
      <c r="AR5049" s="48"/>
      <c r="AS5049" s="48"/>
      <c r="AT5049" s="48"/>
      <c r="AU5049" s="48"/>
      <c r="AV5049" s="48"/>
      <c r="AW5049" s="48"/>
      <c r="AX5049" s="48"/>
      <c r="AY5049" s="48"/>
      <c r="AZ5049" s="48"/>
      <c r="BA5049" s="48"/>
      <c r="BB5049" s="48"/>
      <c r="BC5049" s="48"/>
      <c r="BD5049" s="48"/>
    </row>
    <row r="5050" spans="1:56">
      <c r="A5050" s="48"/>
      <c r="B5050" s="48"/>
      <c r="C5050" s="49"/>
      <c r="D5050" s="48"/>
      <c r="E5050" s="48"/>
      <c r="F5050" s="48"/>
      <c r="G5050" s="48"/>
      <c r="H5050" s="48"/>
      <c r="I5050" s="48"/>
      <c r="J5050" s="86"/>
      <c r="K5050" s="86"/>
      <c r="L5050" s="86"/>
      <c r="M5050" s="86"/>
      <c r="N5050" s="86"/>
      <c r="O5050" s="86"/>
      <c r="P5050" s="86"/>
      <c r="Q5050" s="86"/>
      <c r="R5050" s="86"/>
      <c r="S5050" s="86"/>
      <c r="T5050" s="86"/>
      <c r="U5050" s="86"/>
      <c r="V5050" s="48"/>
      <c r="W5050" s="48"/>
      <c r="X5050" s="48"/>
      <c r="Y5050" s="48"/>
      <c r="Z5050" s="48"/>
      <c r="AA5050" s="48"/>
      <c r="AB5050" s="48"/>
      <c r="AC5050" s="48"/>
      <c r="AD5050" s="48"/>
      <c r="AE5050" s="48"/>
      <c r="AF5050" s="48"/>
      <c r="AG5050" s="48"/>
      <c r="AH5050" s="48"/>
      <c r="AI5050" s="48"/>
      <c r="AJ5050" s="48"/>
      <c r="AK5050" s="48"/>
      <c r="AL5050" s="48"/>
      <c r="AM5050" s="48"/>
      <c r="AN5050" s="48"/>
      <c r="AO5050" s="48"/>
      <c r="AP5050" s="48"/>
      <c r="AQ5050" s="48"/>
      <c r="AR5050" s="48"/>
      <c r="AS5050" s="48"/>
      <c r="AT5050" s="48"/>
      <c r="AU5050" s="48"/>
      <c r="AV5050" s="48"/>
      <c r="AW5050" s="48"/>
      <c r="AX5050" s="48"/>
      <c r="AY5050" s="48"/>
      <c r="AZ5050" s="48"/>
      <c r="BA5050" s="48"/>
      <c r="BB5050" s="48"/>
      <c r="BC5050" s="48"/>
      <c r="BD5050" s="48"/>
    </row>
    <row r="5051" spans="1:56">
      <c r="A5051" s="48"/>
      <c r="B5051" s="48"/>
      <c r="C5051" s="49"/>
      <c r="D5051" s="48"/>
      <c r="E5051" s="48"/>
      <c r="F5051" s="48"/>
      <c r="G5051" s="48"/>
      <c r="H5051" s="48"/>
      <c r="I5051" s="48"/>
      <c r="J5051" s="86"/>
      <c r="K5051" s="86"/>
      <c r="L5051" s="86"/>
      <c r="M5051" s="86"/>
      <c r="N5051" s="86"/>
      <c r="O5051" s="86"/>
      <c r="P5051" s="86"/>
      <c r="Q5051" s="86"/>
      <c r="R5051" s="86"/>
      <c r="S5051" s="86"/>
      <c r="T5051" s="86"/>
      <c r="U5051" s="86"/>
      <c r="V5051" s="48"/>
      <c r="W5051" s="48"/>
      <c r="X5051" s="48"/>
      <c r="Y5051" s="48"/>
      <c r="Z5051" s="48"/>
      <c r="AA5051" s="48"/>
      <c r="AB5051" s="48"/>
      <c r="AC5051" s="48"/>
      <c r="AD5051" s="48"/>
      <c r="AE5051" s="48"/>
      <c r="AF5051" s="48"/>
      <c r="AG5051" s="48"/>
      <c r="AH5051" s="48"/>
      <c r="AI5051" s="48"/>
      <c r="AJ5051" s="48"/>
      <c r="AK5051" s="48"/>
      <c r="AL5051" s="48"/>
      <c r="AM5051" s="48"/>
      <c r="AN5051" s="48"/>
      <c r="AO5051" s="48"/>
      <c r="AP5051" s="48"/>
      <c r="AQ5051" s="48"/>
      <c r="AR5051" s="48"/>
      <c r="AS5051" s="48"/>
      <c r="AT5051" s="48"/>
      <c r="AU5051" s="48"/>
      <c r="AV5051" s="48"/>
      <c r="AW5051" s="48"/>
      <c r="AX5051" s="48"/>
      <c r="AY5051" s="48"/>
      <c r="AZ5051" s="48"/>
      <c r="BA5051" s="48"/>
      <c r="BB5051" s="48"/>
      <c r="BC5051" s="48"/>
      <c r="BD5051" s="48"/>
    </row>
    <row r="5052" spans="1:56">
      <c r="A5052" s="48"/>
      <c r="B5052" s="48"/>
      <c r="C5052" s="49"/>
      <c r="D5052" s="48"/>
      <c r="E5052" s="48"/>
      <c r="F5052" s="48"/>
      <c r="G5052" s="48"/>
      <c r="H5052" s="48"/>
      <c r="I5052" s="48"/>
      <c r="J5052" s="86"/>
      <c r="K5052" s="86"/>
      <c r="L5052" s="86"/>
      <c r="M5052" s="86"/>
      <c r="N5052" s="86"/>
      <c r="O5052" s="86"/>
      <c r="P5052" s="86"/>
      <c r="Q5052" s="86"/>
      <c r="R5052" s="86"/>
      <c r="S5052" s="86"/>
      <c r="T5052" s="86"/>
      <c r="U5052" s="86"/>
      <c r="V5052" s="48"/>
      <c r="W5052" s="48"/>
      <c r="X5052" s="48"/>
      <c r="Y5052" s="48"/>
      <c r="Z5052" s="48"/>
      <c r="AA5052" s="48"/>
      <c r="AB5052" s="48"/>
      <c r="AC5052" s="48"/>
      <c r="AD5052" s="48"/>
      <c r="AE5052" s="48"/>
      <c r="AF5052" s="48"/>
      <c r="AG5052" s="48"/>
      <c r="AH5052" s="48"/>
      <c r="AI5052" s="48"/>
      <c r="AJ5052" s="48"/>
      <c r="AK5052" s="48"/>
      <c r="AL5052" s="48"/>
      <c r="AM5052" s="48"/>
      <c r="AN5052" s="48"/>
      <c r="AO5052" s="48"/>
      <c r="AP5052" s="48"/>
      <c r="AQ5052" s="48"/>
      <c r="AR5052" s="48"/>
      <c r="AS5052" s="48"/>
      <c r="AT5052" s="48"/>
      <c r="AU5052" s="48"/>
      <c r="AV5052" s="48"/>
      <c r="AW5052" s="48"/>
      <c r="AX5052" s="48"/>
      <c r="AY5052" s="48"/>
      <c r="AZ5052" s="48"/>
      <c r="BA5052" s="48"/>
      <c r="BB5052" s="48"/>
      <c r="BC5052" s="48"/>
      <c r="BD5052" s="48"/>
    </row>
    <row r="5053" spans="1:56">
      <c r="A5053" s="48"/>
      <c r="B5053" s="48"/>
      <c r="C5053" s="49"/>
      <c r="D5053" s="48"/>
      <c r="E5053" s="48"/>
      <c r="F5053" s="48"/>
      <c r="G5053" s="48"/>
      <c r="H5053" s="48"/>
      <c r="I5053" s="48"/>
      <c r="J5053" s="86"/>
      <c r="K5053" s="86"/>
      <c r="L5053" s="86"/>
      <c r="M5053" s="86"/>
      <c r="N5053" s="86"/>
      <c r="O5053" s="86"/>
      <c r="P5053" s="86"/>
      <c r="Q5053" s="86"/>
      <c r="R5053" s="86"/>
      <c r="S5053" s="86"/>
      <c r="T5053" s="86"/>
      <c r="U5053" s="86"/>
      <c r="V5053" s="48"/>
      <c r="W5053" s="48"/>
      <c r="X5053" s="48"/>
      <c r="Y5053" s="48"/>
      <c r="Z5053" s="48"/>
      <c r="AA5053" s="48"/>
      <c r="AB5053" s="48"/>
      <c r="AC5053" s="48"/>
      <c r="AD5053" s="48"/>
      <c r="AE5053" s="48"/>
      <c r="AF5053" s="48"/>
      <c r="AG5053" s="48"/>
      <c r="AH5053" s="48"/>
      <c r="AI5053" s="48"/>
      <c r="AJ5053" s="48"/>
      <c r="AK5053" s="48"/>
      <c r="AL5053" s="48"/>
      <c r="AM5053" s="48"/>
      <c r="AN5053" s="48"/>
      <c r="AO5053" s="48"/>
      <c r="AP5053" s="48"/>
      <c r="AQ5053" s="48"/>
      <c r="AR5053" s="48"/>
      <c r="AS5053" s="48"/>
      <c r="AT5053" s="48"/>
      <c r="AU5053" s="48"/>
      <c r="AV5053" s="48"/>
      <c r="AW5053" s="48"/>
      <c r="AX5053" s="48"/>
      <c r="AY5053" s="48"/>
      <c r="AZ5053" s="48"/>
      <c r="BA5053" s="48"/>
      <c r="BB5053" s="48"/>
      <c r="BC5053" s="48"/>
      <c r="BD5053" s="48"/>
    </row>
    <row r="5054" spans="1:56">
      <c r="A5054" s="48"/>
      <c r="B5054" s="48"/>
      <c r="C5054" s="49"/>
      <c r="D5054" s="48"/>
      <c r="E5054" s="48"/>
      <c r="F5054" s="48"/>
      <c r="G5054" s="48"/>
      <c r="H5054" s="48"/>
      <c r="I5054" s="48"/>
      <c r="J5054" s="86"/>
      <c r="K5054" s="86"/>
      <c r="L5054" s="86"/>
      <c r="M5054" s="86"/>
      <c r="N5054" s="86"/>
      <c r="O5054" s="86"/>
      <c r="P5054" s="86"/>
      <c r="Q5054" s="86"/>
      <c r="R5054" s="86"/>
      <c r="S5054" s="86"/>
      <c r="T5054" s="86"/>
      <c r="U5054" s="86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48"/>
      <c r="BB5054" s="48"/>
      <c r="BC5054" s="48"/>
      <c r="BD5054" s="48"/>
    </row>
    <row r="5055" spans="1:56">
      <c r="A5055" s="48"/>
      <c r="B5055" s="48"/>
      <c r="C5055" s="49"/>
      <c r="D5055" s="48"/>
      <c r="E5055" s="48"/>
      <c r="F5055" s="48"/>
      <c r="G5055" s="48"/>
      <c r="H5055" s="48"/>
      <c r="I5055" s="48"/>
      <c r="J5055" s="86"/>
      <c r="K5055" s="86"/>
      <c r="L5055" s="86"/>
      <c r="M5055" s="86"/>
      <c r="N5055" s="86"/>
      <c r="O5055" s="86"/>
      <c r="P5055" s="86"/>
      <c r="Q5055" s="86"/>
      <c r="R5055" s="86"/>
      <c r="S5055" s="86"/>
      <c r="T5055" s="86"/>
      <c r="U5055" s="86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48"/>
      <c r="BB5055" s="48"/>
      <c r="BC5055" s="48"/>
      <c r="BD5055" s="48"/>
    </row>
    <row r="5056" spans="1:56">
      <c r="A5056" s="48"/>
      <c r="B5056" s="48"/>
      <c r="C5056" s="49"/>
      <c r="D5056" s="48"/>
      <c r="E5056" s="48"/>
      <c r="F5056" s="48"/>
      <c r="G5056" s="48"/>
      <c r="H5056" s="48"/>
      <c r="I5056" s="48"/>
      <c r="J5056" s="86"/>
      <c r="K5056" s="86"/>
      <c r="L5056" s="86"/>
      <c r="M5056" s="86"/>
      <c r="N5056" s="86"/>
      <c r="O5056" s="86"/>
      <c r="P5056" s="86"/>
      <c r="Q5056" s="86"/>
      <c r="R5056" s="86"/>
      <c r="S5056" s="86"/>
      <c r="T5056" s="86"/>
      <c r="U5056" s="86"/>
      <c r="V5056" s="48"/>
      <c r="W5056" s="48"/>
      <c r="X5056" s="48"/>
      <c r="Y5056" s="48"/>
      <c r="Z5056" s="48"/>
      <c r="AA5056" s="48"/>
      <c r="AB5056" s="48"/>
      <c r="AC5056" s="48"/>
      <c r="AD5056" s="48"/>
      <c r="AE5056" s="48"/>
      <c r="AF5056" s="48"/>
      <c r="AG5056" s="48"/>
      <c r="AH5056" s="48"/>
      <c r="AI5056" s="48"/>
      <c r="AJ5056" s="48"/>
      <c r="AK5056" s="48"/>
      <c r="AL5056" s="48"/>
      <c r="AM5056" s="48"/>
      <c r="AN5056" s="48"/>
      <c r="AO5056" s="48"/>
      <c r="AP5056" s="48"/>
      <c r="AQ5056" s="48"/>
      <c r="AR5056" s="48"/>
      <c r="AS5056" s="48"/>
      <c r="AT5056" s="48"/>
      <c r="AU5056" s="48"/>
      <c r="AV5056" s="48"/>
      <c r="AW5056" s="48"/>
      <c r="AX5056" s="48"/>
      <c r="AY5056" s="48"/>
      <c r="AZ5056" s="48"/>
      <c r="BA5056" s="48"/>
      <c r="BB5056" s="48"/>
      <c r="BC5056" s="48"/>
      <c r="BD5056" s="48"/>
    </row>
    <row r="5057" spans="1:56">
      <c r="A5057" s="48"/>
      <c r="B5057" s="48"/>
      <c r="C5057" s="49"/>
      <c r="D5057" s="48"/>
      <c r="E5057" s="48"/>
      <c r="F5057" s="48"/>
      <c r="G5057" s="48"/>
      <c r="H5057" s="48"/>
      <c r="I5057" s="48"/>
      <c r="J5057" s="86"/>
      <c r="K5057" s="86"/>
      <c r="L5057" s="86"/>
      <c r="M5057" s="86"/>
      <c r="N5057" s="86"/>
      <c r="O5057" s="86"/>
      <c r="P5057" s="86"/>
      <c r="Q5057" s="86"/>
      <c r="R5057" s="86"/>
      <c r="S5057" s="86"/>
      <c r="T5057" s="86"/>
      <c r="U5057" s="86"/>
      <c r="V5057" s="48"/>
      <c r="W5057" s="48"/>
      <c r="X5057" s="48"/>
      <c r="Y5057" s="48"/>
      <c r="Z5057" s="48"/>
      <c r="AA5057" s="48"/>
      <c r="AB5057" s="48"/>
      <c r="AC5057" s="48"/>
      <c r="AD5057" s="48"/>
      <c r="AE5057" s="48"/>
      <c r="AF5057" s="48"/>
      <c r="AG5057" s="48"/>
      <c r="AH5057" s="48"/>
      <c r="AI5057" s="48"/>
      <c r="AJ5057" s="48"/>
      <c r="AK5057" s="48"/>
      <c r="AL5057" s="48"/>
      <c r="AM5057" s="48"/>
      <c r="AN5057" s="48"/>
      <c r="AO5057" s="48"/>
      <c r="AP5057" s="48"/>
      <c r="AQ5057" s="48"/>
      <c r="AR5057" s="48"/>
      <c r="AS5057" s="48"/>
      <c r="AT5057" s="48"/>
      <c r="AU5057" s="48"/>
      <c r="AV5057" s="48"/>
      <c r="AW5057" s="48"/>
      <c r="AX5057" s="48"/>
      <c r="AY5057" s="48"/>
      <c r="AZ5057" s="48"/>
      <c r="BA5057" s="48"/>
      <c r="BB5057" s="48"/>
      <c r="BC5057" s="48"/>
      <c r="BD5057" s="48"/>
    </row>
    <row r="5058" spans="1:56">
      <c r="A5058" s="48"/>
      <c r="B5058" s="48"/>
      <c r="C5058" s="49"/>
      <c r="D5058" s="48"/>
      <c r="E5058" s="48"/>
      <c r="F5058" s="48"/>
      <c r="G5058" s="48"/>
      <c r="H5058" s="48"/>
      <c r="I5058" s="48"/>
      <c r="J5058" s="86"/>
      <c r="K5058" s="86"/>
      <c r="L5058" s="86"/>
      <c r="M5058" s="86"/>
      <c r="N5058" s="86"/>
      <c r="O5058" s="86"/>
      <c r="P5058" s="86"/>
      <c r="Q5058" s="86"/>
      <c r="R5058" s="86"/>
      <c r="S5058" s="86"/>
      <c r="T5058" s="86"/>
      <c r="U5058" s="86"/>
      <c r="V5058" s="48"/>
      <c r="W5058" s="48"/>
      <c r="X5058" s="48"/>
      <c r="Y5058" s="48"/>
      <c r="Z5058" s="48"/>
      <c r="AA5058" s="48"/>
      <c r="AB5058" s="48"/>
      <c r="AC5058" s="48"/>
      <c r="AD5058" s="48"/>
      <c r="AE5058" s="48"/>
      <c r="AF5058" s="48"/>
      <c r="AG5058" s="48"/>
      <c r="AH5058" s="48"/>
      <c r="AI5058" s="48"/>
      <c r="AJ5058" s="48"/>
      <c r="AK5058" s="48"/>
      <c r="AL5058" s="48"/>
      <c r="AM5058" s="48"/>
      <c r="AN5058" s="48"/>
      <c r="AO5058" s="48"/>
      <c r="AP5058" s="48"/>
      <c r="AQ5058" s="48"/>
      <c r="AR5058" s="48"/>
      <c r="AS5058" s="48"/>
      <c r="AT5058" s="48"/>
      <c r="AU5058" s="48"/>
      <c r="AV5058" s="48"/>
      <c r="AW5058" s="48"/>
      <c r="AX5058" s="48"/>
      <c r="AY5058" s="48"/>
      <c r="AZ5058" s="48"/>
      <c r="BA5058" s="48"/>
      <c r="BB5058" s="48"/>
      <c r="BC5058" s="48"/>
      <c r="BD5058" s="48"/>
    </row>
    <row r="5059" spans="1:56">
      <c r="A5059" s="48"/>
      <c r="B5059" s="48"/>
      <c r="C5059" s="49"/>
      <c r="D5059" s="48"/>
      <c r="E5059" s="48"/>
      <c r="F5059" s="48"/>
      <c r="G5059" s="48"/>
      <c r="H5059" s="48"/>
      <c r="I5059" s="48"/>
      <c r="J5059" s="86"/>
      <c r="K5059" s="86"/>
      <c r="L5059" s="86"/>
      <c r="M5059" s="86"/>
      <c r="N5059" s="86"/>
      <c r="O5059" s="86"/>
      <c r="P5059" s="86"/>
      <c r="Q5059" s="86"/>
      <c r="R5059" s="86"/>
      <c r="S5059" s="86"/>
      <c r="T5059" s="86"/>
      <c r="U5059" s="86"/>
      <c r="V5059" s="48"/>
      <c r="W5059" s="48"/>
      <c r="X5059" s="48"/>
      <c r="Y5059" s="48"/>
      <c r="Z5059" s="48"/>
      <c r="AA5059" s="48"/>
      <c r="AB5059" s="48"/>
      <c r="AC5059" s="48"/>
      <c r="AD5059" s="48"/>
      <c r="AE5059" s="48"/>
      <c r="AF5059" s="48"/>
      <c r="AG5059" s="48"/>
      <c r="AH5059" s="48"/>
      <c r="AI5059" s="48"/>
      <c r="AJ5059" s="48"/>
      <c r="AK5059" s="48"/>
      <c r="AL5059" s="48"/>
      <c r="AM5059" s="48"/>
      <c r="AN5059" s="48"/>
      <c r="AO5059" s="48"/>
      <c r="AP5059" s="48"/>
      <c r="AQ5059" s="48"/>
      <c r="AR5059" s="48"/>
      <c r="AS5059" s="48"/>
      <c r="AT5059" s="48"/>
      <c r="AU5059" s="48"/>
      <c r="AV5059" s="48"/>
      <c r="AW5059" s="48"/>
      <c r="AX5059" s="48"/>
      <c r="AY5059" s="48"/>
      <c r="AZ5059" s="48"/>
      <c r="BA5059" s="48"/>
      <c r="BB5059" s="48"/>
      <c r="BC5059" s="48"/>
      <c r="BD5059" s="48"/>
    </row>
    <row r="5060" spans="1:56">
      <c r="A5060" s="48"/>
      <c r="B5060" s="48"/>
      <c r="C5060" s="49"/>
      <c r="D5060" s="48"/>
      <c r="E5060" s="48"/>
      <c r="F5060" s="48"/>
      <c r="G5060" s="48"/>
      <c r="H5060" s="48"/>
      <c r="I5060" s="48"/>
      <c r="J5060" s="86"/>
      <c r="K5060" s="86"/>
      <c r="L5060" s="86"/>
      <c r="M5060" s="86"/>
      <c r="N5060" s="86"/>
      <c r="O5060" s="86"/>
      <c r="P5060" s="86"/>
      <c r="Q5060" s="86"/>
      <c r="R5060" s="86"/>
      <c r="S5060" s="86"/>
      <c r="T5060" s="86"/>
      <c r="U5060" s="86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48"/>
      <c r="BB5060" s="48"/>
      <c r="BC5060" s="48"/>
      <c r="BD5060" s="48"/>
    </row>
    <row r="5061" spans="1:56">
      <c r="A5061" s="48"/>
      <c r="B5061" s="48"/>
      <c r="C5061" s="49"/>
      <c r="D5061" s="48"/>
      <c r="E5061" s="48"/>
      <c r="F5061" s="48"/>
      <c r="G5061" s="48"/>
      <c r="H5061" s="48"/>
      <c r="I5061" s="48"/>
      <c r="J5061" s="86"/>
      <c r="K5061" s="86"/>
      <c r="L5061" s="86"/>
      <c r="M5061" s="86"/>
      <c r="N5061" s="86"/>
      <c r="O5061" s="86"/>
      <c r="P5061" s="86"/>
      <c r="Q5061" s="86"/>
      <c r="R5061" s="86"/>
      <c r="S5061" s="86"/>
      <c r="T5061" s="86"/>
      <c r="U5061" s="86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48"/>
      <c r="BB5061" s="48"/>
      <c r="BC5061" s="48"/>
      <c r="BD5061" s="48"/>
    </row>
    <row r="5062" spans="1:56">
      <c r="A5062" s="48"/>
      <c r="B5062" s="48"/>
      <c r="C5062" s="49"/>
      <c r="D5062" s="48"/>
      <c r="E5062" s="48"/>
      <c r="F5062" s="48"/>
      <c r="G5062" s="48"/>
      <c r="H5062" s="48"/>
      <c r="I5062" s="48"/>
      <c r="J5062" s="86"/>
      <c r="K5062" s="86"/>
      <c r="L5062" s="86"/>
      <c r="M5062" s="86"/>
      <c r="N5062" s="86"/>
      <c r="O5062" s="86"/>
      <c r="P5062" s="86"/>
      <c r="Q5062" s="86"/>
      <c r="R5062" s="86"/>
      <c r="S5062" s="86"/>
      <c r="T5062" s="86"/>
      <c r="U5062" s="86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48"/>
      <c r="BB5062" s="48"/>
      <c r="BC5062" s="48"/>
      <c r="BD5062" s="48"/>
    </row>
    <row r="5063" spans="1:56">
      <c r="A5063" s="48"/>
      <c r="B5063" s="48"/>
      <c r="C5063" s="49"/>
      <c r="D5063" s="48"/>
      <c r="E5063" s="48"/>
      <c r="F5063" s="48"/>
      <c r="G5063" s="48"/>
      <c r="H5063" s="48"/>
      <c r="I5063" s="48"/>
      <c r="J5063" s="86"/>
      <c r="K5063" s="86"/>
      <c r="L5063" s="86"/>
      <c r="M5063" s="86"/>
      <c r="N5063" s="86"/>
      <c r="O5063" s="86"/>
      <c r="P5063" s="86"/>
      <c r="Q5063" s="86"/>
      <c r="R5063" s="86"/>
      <c r="S5063" s="86"/>
      <c r="T5063" s="86"/>
      <c r="U5063" s="86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48"/>
      <c r="BB5063" s="48"/>
      <c r="BC5063" s="48"/>
      <c r="BD5063" s="48"/>
    </row>
    <row r="5064" spans="1:56">
      <c r="A5064" s="48"/>
      <c r="B5064" s="48"/>
      <c r="C5064" s="49"/>
      <c r="D5064" s="48"/>
      <c r="E5064" s="48"/>
      <c r="F5064" s="48"/>
      <c r="G5064" s="48"/>
      <c r="H5064" s="48"/>
      <c r="I5064" s="48"/>
      <c r="J5064" s="86"/>
      <c r="K5064" s="86"/>
      <c r="L5064" s="86"/>
      <c r="M5064" s="86"/>
      <c r="N5064" s="86"/>
      <c r="O5064" s="86"/>
      <c r="P5064" s="86"/>
      <c r="Q5064" s="86"/>
      <c r="R5064" s="86"/>
      <c r="S5064" s="86"/>
      <c r="T5064" s="86"/>
      <c r="U5064" s="86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48"/>
      <c r="BB5064" s="48"/>
      <c r="BC5064" s="48"/>
      <c r="BD5064" s="48"/>
    </row>
    <row r="5065" spans="1:56">
      <c r="A5065" s="48"/>
      <c r="B5065" s="48"/>
      <c r="C5065" s="49"/>
      <c r="D5065" s="48"/>
      <c r="E5065" s="48"/>
      <c r="F5065" s="48"/>
      <c r="G5065" s="48"/>
      <c r="H5065" s="48"/>
      <c r="I5065" s="48"/>
      <c r="J5065" s="86"/>
      <c r="K5065" s="86"/>
      <c r="L5065" s="86"/>
      <c r="M5065" s="86"/>
      <c r="N5065" s="86"/>
      <c r="O5065" s="86"/>
      <c r="P5065" s="86"/>
      <c r="Q5065" s="86"/>
      <c r="R5065" s="86"/>
      <c r="S5065" s="86"/>
      <c r="T5065" s="86"/>
      <c r="U5065" s="86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48"/>
      <c r="BB5065" s="48"/>
      <c r="BC5065" s="48"/>
      <c r="BD5065" s="48"/>
    </row>
    <row r="5066" spans="1:56">
      <c r="A5066" s="48"/>
      <c r="B5066" s="48"/>
      <c r="C5066" s="49"/>
      <c r="D5066" s="48"/>
      <c r="E5066" s="48"/>
      <c r="F5066" s="48"/>
      <c r="G5066" s="48"/>
      <c r="H5066" s="48"/>
      <c r="I5066" s="48"/>
      <c r="J5066" s="86"/>
      <c r="K5066" s="86"/>
      <c r="L5066" s="86"/>
      <c r="M5066" s="86"/>
      <c r="N5066" s="86"/>
      <c r="O5066" s="86"/>
      <c r="P5066" s="86"/>
      <c r="Q5066" s="86"/>
      <c r="R5066" s="86"/>
      <c r="S5066" s="86"/>
      <c r="T5066" s="86"/>
      <c r="U5066" s="86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48"/>
      <c r="BB5066" s="48"/>
      <c r="BC5066" s="48"/>
      <c r="BD5066" s="48"/>
    </row>
    <row r="5067" spans="1:56">
      <c r="A5067" s="48"/>
      <c r="B5067" s="48"/>
      <c r="C5067" s="49"/>
      <c r="D5067" s="48"/>
      <c r="E5067" s="48"/>
      <c r="F5067" s="48"/>
      <c r="G5067" s="48"/>
      <c r="H5067" s="48"/>
      <c r="I5067" s="48"/>
      <c r="J5067" s="86"/>
      <c r="K5067" s="86"/>
      <c r="L5067" s="86"/>
      <c r="M5067" s="86"/>
      <c r="N5067" s="86"/>
      <c r="O5067" s="86"/>
      <c r="P5067" s="86"/>
      <c r="Q5067" s="86"/>
      <c r="R5067" s="86"/>
      <c r="S5067" s="86"/>
      <c r="T5067" s="86"/>
      <c r="U5067" s="86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48"/>
      <c r="BB5067" s="48"/>
      <c r="BC5067" s="48"/>
      <c r="BD5067" s="48"/>
    </row>
    <row r="5068" spans="1:56">
      <c r="A5068" s="48"/>
      <c r="B5068" s="48"/>
      <c r="C5068" s="49"/>
      <c r="D5068" s="48"/>
      <c r="E5068" s="48"/>
      <c r="F5068" s="48"/>
      <c r="G5068" s="48"/>
      <c r="H5068" s="48"/>
      <c r="I5068" s="48"/>
      <c r="J5068" s="86"/>
      <c r="K5068" s="86"/>
      <c r="L5068" s="86"/>
      <c r="M5068" s="86"/>
      <c r="N5068" s="86"/>
      <c r="O5068" s="86"/>
      <c r="P5068" s="86"/>
      <c r="Q5068" s="86"/>
      <c r="R5068" s="86"/>
      <c r="S5068" s="86"/>
      <c r="T5068" s="86"/>
      <c r="U5068" s="86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48"/>
      <c r="BB5068" s="48"/>
      <c r="BC5068" s="48"/>
      <c r="BD5068" s="48"/>
    </row>
    <row r="5069" spans="1:56">
      <c r="A5069" s="48"/>
      <c r="B5069" s="48"/>
      <c r="C5069" s="49"/>
      <c r="D5069" s="48"/>
      <c r="E5069" s="48"/>
      <c r="F5069" s="48"/>
      <c r="G5069" s="48"/>
      <c r="H5069" s="48"/>
      <c r="I5069" s="48"/>
      <c r="J5069" s="86"/>
      <c r="K5069" s="86"/>
      <c r="L5069" s="86"/>
      <c r="M5069" s="86"/>
      <c r="N5069" s="86"/>
      <c r="O5069" s="86"/>
      <c r="P5069" s="86"/>
      <c r="Q5069" s="86"/>
      <c r="R5069" s="86"/>
      <c r="S5069" s="86"/>
      <c r="T5069" s="86"/>
      <c r="U5069" s="86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48"/>
      <c r="BB5069" s="48"/>
      <c r="BC5069" s="48"/>
      <c r="BD5069" s="48"/>
    </row>
    <row r="5070" spans="1:56">
      <c r="A5070" s="48"/>
      <c r="B5070" s="48"/>
      <c r="C5070" s="49"/>
      <c r="D5070" s="48"/>
      <c r="E5070" s="48"/>
      <c r="F5070" s="48"/>
      <c r="G5070" s="48"/>
      <c r="H5070" s="48"/>
      <c r="I5070" s="48"/>
      <c r="J5070" s="86"/>
      <c r="K5070" s="86"/>
      <c r="L5070" s="86"/>
      <c r="M5070" s="86"/>
      <c r="N5070" s="86"/>
      <c r="O5070" s="86"/>
      <c r="P5070" s="86"/>
      <c r="Q5070" s="86"/>
      <c r="R5070" s="86"/>
      <c r="S5070" s="86"/>
      <c r="T5070" s="86"/>
      <c r="U5070" s="86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48"/>
      <c r="BB5070" s="48"/>
      <c r="BC5070" s="48"/>
      <c r="BD5070" s="48"/>
    </row>
    <row r="5071" spans="1:56">
      <c r="A5071" s="48"/>
      <c r="B5071" s="48"/>
      <c r="C5071" s="49"/>
      <c r="D5071" s="48"/>
      <c r="E5071" s="48"/>
      <c r="F5071" s="48"/>
      <c r="G5071" s="48"/>
      <c r="H5071" s="48"/>
      <c r="I5071" s="48"/>
      <c r="J5071" s="86"/>
      <c r="K5071" s="86"/>
      <c r="L5071" s="86"/>
      <c r="M5071" s="86"/>
      <c r="N5071" s="86"/>
      <c r="O5071" s="86"/>
      <c r="P5071" s="86"/>
      <c r="Q5071" s="86"/>
      <c r="R5071" s="86"/>
      <c r="S5071" s="86"/>
      <c r="T5071" s="86"/>
      <c r="U5071" s="86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48"/>
      <c r="BB5071" s="48"/>
      <c r="BC5071" s="48"/>
      <c r="BD5071" s="48"/>
    </row>
    <row r="5072" spans="1:56">
      <c r="A5072" s="48"/>
      <c r="B5072" s="48"/>
      <c r="C5072" s="49"/>
      <c r="D5072" s="48"/>
      <c r="E5072" s="48"/>
      <c r="F5072" s="48"/>
      <c r="G5072" s="48"/>
      <c r="H5072" s="48"/>
      <c r="I5072" s="48"/>
      <c r="J5072" s="86"/>
      <c r="K5072" s="86"/>
      <c r="L5072" s="86"/>
      <c r="M5072" s="86"/>
      <c r="N5072" s="86"/>
      <c r="O5072" s="86"/>
      <c r="P5072" s="86"/>
      <c r="Q5072" s="86"/>
      <c r="R5072" s="86"/>
      <c r="S5072" s="86"/>
      <c r="T5072" s="86"/>
      <c r="U5072" s="86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48"/>
      <c r="BB5072" s="48"/>
      <c r="BC5072" s="48"/>
      <c r="BD5072" s="48"/>
    </row>
    <row r="5073" spans="1:56">
      <c r="A5073" s="48"/>
      <c r="B5073" s="48"/>
      <c r="C5073" s="49"/>
      <c r="D5073" s="48"/>
      <c r="E5073" s="48"/>
      <c r="F5073" s="48"/>
      <c r="G5073" s="48"/>
      <c r="H5073" s="48"/>
      <c r="I5073" s="48"/>
      <c r="J5073" s="86"/>
      <c r="K5073" s="86"/>
      <c r="L5073" s="86"/>
      <c r="M5073" s="86"/>
      <c r="N5073" s="86"/>
      <c r="O5073" s="86"/>
      <c r="P5073" s="86"/>
      <c r="Q5073" s="86"/>
      <c r="R5073" s="86"/>
      <c r="S5073" s="86"/>
      <c r="T5073" s="86"/>
      <c r="U5073" s="86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48"/>
      <c r="BB5073" s="48"/>
      <c r="BC5073" s="48"/>
      <c r="BD5073" s="48"/>
    </row>
    <row r="5074" spans="1:56">
      <c r="A5074" s="48"/>
      <c r="B5074" s="48"/>
      <c r="C5074" s="49"/>
      <c r="D5074" s="48"/>
      <c r="E5074" s="48"/>
      <c r="F5074" s="48"/>
      <c r="G5074" s="48"/>
      <c r="H5074" s="48"/>
      <c r="I5074" s="48"/>
      <c r="J5074" s="86"/>
      <c r="K5074" s="86"/>
      <c r="L5074" s="86"/>
      <c r="M5074" s="86"/>
      <c r="N5074" s="86"/>
      <c r="O5074" s="86"/>
      <c r="P5074" s="86"/>
      <c r="Q5074" s="86"/>
      <c r="R5074" s="86"/>
      <c r="S5074" s="86"/>
      <c r="T5074" s="86"/>
      <c r="U5074" s="86"/>
      <c r="V5074" s="48"/>
      <c r="W5074" s="48"/>
      <c r="X5074" s="48"/>
      <c r="Y5074" s="48"/>
      <c r="Z5074" s="48"/>
      <c r="AA5074" s="48"/>
      <c r="AB5074" s="48"/>
      <c r="AC5074" s="48"/>
      <c r="AD5074" s="48"/>
      <c r="AE5074" s="48"/>
      <c r="AF5074" s="48"/>
      <c r="AG5074" s="48"/>
      <c r="AH5074" s="48"/>
      <c r="AI5074" s="48"/>
      <c r="AJ5074" s="48"/>
      <c r="AK5074" s="48"/>
      <c r="AL5074" s="48"/>
      <c r="AM5074" s="48"/>
      <c r="AN5074" s="48"/>
      <c r="AO5074" s="48"/>
      <c r="AP5074" s="48"/>
      <c r="AQ5074" s="48"/>
      <c r="AR5074" s="48"/>
      <c r="AS5074" s="48"/>
      <c r="AT5074" s="48"/>
      <c r="AU5074" s="48"/>
      <c r="AV5074" s="48"/>
      <c r="AW5074" s="48"/>
      <c r="AX5074" s="48"/>
      <c r="AY5074" s="48"/>
      <c r="AZ5074" s="48"/>
      <c r="BA5074" s="48"/>
      <c r="BB5074" s="48"/>
      <c r="BC5074" s="48"/>
      <c r="BD5074" s="48"/>
    </row>
    <row r="5075" spans="1:56">
      <c r="A5075" s="48"/>
      <c r="B5075" s="48"/>
      <c r="C5075" s="49"/>
      <c r="D5075" s="48"/>
      <c r="E5075" s="48"/>
      <c r="F5075" s="48"/>
      <c r="G5075" s="48"/>
      <c r="H5075" s="48"/>
      <c r="I5075" s="48"/>
      <c r="J5075" s="86"/>
      <c r="K5075" s="86"/>
      <c r="L5075" s="86"/>
      <c r="M5075" s="86"/>
      <c r="N5075" s="86"/>
      <c r="O5075" s="86"/>
      <c r="P5075" s="86"/>
      <c r="Q5075" s="86"/>
      <c r="R5075" s="86"/>
      <c r="S5075" s="86"/>
      <c r="T5075" s="86"/>
      <c r="U5075" s="86"/>
      <c r="V5075" s="48"/>
      <c r="W5075" s="48"/>
      <c r="X5075" s="48"/>
      <c r="Y5075" s="48"/>
      <c r="Z5075" s="48"/>
      <c r="AA5075" s="48"/>
      <c r="AB5075" s="48"/>
      <c r="AC5075" s="48"/>
      <c r="AD5075" s="48"/>
      <c r="AE5075" s="48"/>
      <c r="AF5075" s="48"/>
      <c r="AG5075" s="48"/>
      <c r="AH5075" s="48"/>
      <c r="AI5075" s="48"/>
      <c r="AJ5075" s="48"/>
      <c r="AK5075" s="48"/>
      <c r="AL5075" s="48"/>
      <c r="AM5075" s="48"/>
      <c r="AN5075" s="48"/>
      <c r="AO5075" s="48"/>
      <c r="AP5075" s="48"/>
      <c r="AQ5075" s="48"/>
      <c r="AR5075" s="48"/>
      <c r="AS5075" s="48"/>
      <c r="AT5075" s="48"/>
      <c r="AU5075" s="48"/>
      <c r="AV5075" s="48"/>
      <c r="AW5075" s="48"/>
      <c r="AX5075" s="48"/>
      <c r="AY5075" s="48"/>
      <c r="AZ5075" s="48"/>
      <c r="BA5075" s="48"/>
      <c r="BB5075" s="48"/>
      <c r="BC5075" s="48"/>
      <c r="BD5075" s="48"/>
    </row>
    <row r="5076" spans="1:56">
      <c r="A5076" s="48"/>
      <c r="B5076" s="48"/>
      <c r="C5076" s="49"/>
      <c r="D5076" s="48"/>
      <c r="E5076" s="48"/>
      <c r="F5076" s="48"/>
      <c r="G5076" s="48"/>
      <c r="H5076" s="48"/>
      <c r="I5076" s="48"/>
      <c r="J5076" s="86"/>
      <c r="K5076" s="86"/>
      <c r="L5076" s="86"/>
      <c r="M5076" s="86"/>
      <c r="N5076" s="86"/>
      <c r="O5076" s="86"/>
      <c r="P5076" s="86"/>
      <c r="Q5076" s="86"/>
      <c r="R5076" s="86"/>
      <c r="S5076" s="86"/>
      <c r="T5076" s="86"/>
      <c r="U5076" s="86"/>
      <c r="V5076" s="48"/>
      <c r="W5076" s="48"/>
      <c r="X5076" s="48"/>
      <c r="Y5076" s="48"/>
      <c r="Z5076" s="48"/>
      <c r="AA5076" s="48"/>
      <c r="AB5076" s="48"/>
      <c r="AC5076" s="48"/>
      <c r="AD5076" s="48"/>
      <c r="AE5076" s="48"/>
      <c r="AF5076" s="48"/>
      <c r="AG5076" s="48"/>
      <c r="AH5076" s="48"/>
      <c r="AI5076" s="48"/>
      <c r="AJ5076" s="48"/>
      <c r="AK5076" s="48"/>
      <c r="AL5076" s="48"/>
      <c r="AM5076" s="48"/>
      <c r="AN5076" s="48"/>
      <c r="AO5076" s="48"/>
      <c r="AP5076" s="48"/>
      <c r="AQ5076" s="48"/>
      <c r="AR5076" s="48"/>
      <c r="AS5076" s="48"/>
      <c r="AT5076" s="48"/>
      <c r="AU5076" s="48"/>
      <c r="AV5076" s="48"/>
      <c r="AW5076" s="48"/>
      <c r="AX5076" s="48"/>
      <c r="AY5076" s="48"/>
      <c r="AZ5076" s="48"/>
      <c r="BA5076" s="48"/>
      <c r="BB5076" s="48"/>
      <c r="BC5076" s="48"/>
      <c r="BD5076" s="48"/>
    </row>
    <row r="5077" spans="1:56">
      <c r="A5077" s="48"/>
      <c r="B5077" s="48"/>
      <c r="C5077" s="49"/>
      <c r="D5077" s="48"/>
      <c r="E5077" s="48"/>
      <c r="F5077" s="48"/>
      <c r="G5077" s="48"/>
      <c r="H5077" s="48"/>
      <c r="I5077" s="48"/>
      <c r="J5077" s="86"/>
      <c r="K5077" s="86"/>
      <c r="L5077" s="86"/>
      <c r="M5077" s="86"/>
      <c r="N5077" s="86"/>
      <c r="O5077" s="86"/>
      <c r="P5077" s="86"/>
      <c r="Q5077" s="86"/>
      <c r="R5077" s="86"/>
      <c r="S5077" s="86"/>
      <c r="T5077" s="86"/>
      <c r="U5077" s="86"/>
      <c r="V5077" s="48"/>
      <c r="W5077" s="48"/>
      <c r="X5077" s="48"/>
      <c r="Y5077" s="48"/>
      <c r="Z5077" s="48"/>
      <c r="AA5077" s="48"/>
      <c r="AB5077" s="48"/>
      <c r="AC5077" s="48"/>
      <c r="AD5077" s="48"/>
      <c r="AE5077" s="48"/>
      <c r="AF5077" s="48"/>
      <c r="AG5077" s="48"/>
      <c r="AH5077" s="48"/>
      <c r="AI5077" s="48"/>
      <c r="AJ5077" s="48"/>
      <c r="AK5077" s="48"/>
      <c r="AL5077" s="48"/>
      <c r="AM5077" s="48"/>
      <c r="AN5077" s="48"/>
      <c r="AO5077" s="48"/>
      <c r="AP5077" s="48"/>
      <c r="AQ5077" s="48"/>
      <c r="AR5077" s="48"/>
      <c r="AS5077" s="48"/>
      <c r="AT5077" s="48"/>
      <c r="AU5077" s="48"/>
      <c r="AV5077" s="48"/>
      <c r="AW5077" s="48"/>
      <c r="AX5077" s="48"/>
      <c r="AY5077" s="48"/>
      <c r="AZ5077" s="48"/>
      <c r="BA5077" s="48"/>
      <c r="BB5077" s="48"/>
      <c r="BC5077" s="48"/>
      <c r="BD5077" s="48"/>
    </row>
    <row r="5078" spans="1:56">
      <c r="A5078" s="48"/>
      <c r="B5078" s="48"/>
      <c r="C5078" s="49"/>
      <c r="D5078" s="48"/>
      <c r="E5078" s="48"/>
      <c r="F5078" s="48"/>
      <c r="G5078" s="48"/>
      <c r="H5078" s="48"/>
      <c r="I5078" s="48"/>
      <c r="J5078" s="86"/>
      <c r="K5078" s="86"/>
      <c r="L5078" s="86"/>
      <c r="M5078" s="86"/>
      <c r="N5078" s="86"/>
      <c r="O5078" s="86"/>
      <c r="P5078" s="86"/>
      <c r="Q5078" s="86"/>
      <c r="R5078" s="86"/>
      <c r="S5078" s="86"/>
      <c r="T5078" s="86"/>
      <c r="U5078" s="86"/>
      <c r="V5078" s="48"/>
      <c r="W5078" s="48"/>
      <c r="X5078" s="48"/>
      <c r="Y5078" s="48"/>
      <c r="Z5078" s="48"/>
      <c r="AA5078" s="48"/>
      <c r="AB5078" s="48"/>
      <c r="AC5078" s="48"/>
      <c r="AD5078" s="48"/>
      <c r="AE5078" s="48"/>
      <c r="AF5078" s="48"/>
      <c r="AG5078" s="48"/>
      <c r="AH5078" s="48"/>
      <c r="AI5078" s="48"/>
      <c r="AJ5078" s="48"/>
      <c r="AK5078" s="48"/>
      <c r="AL5078" s="48"/>
      <c r="AM5078" s="48"/>
      <c r="AN5078" s="48"/>
      <c r="AO5078" s="48"/>
      <c r="AP5078" s="48"/>
      <c r="AQ5078" s="48"/>
      <c r="AR5078" s="48"/>
      <c r="AS5078" s="48"/>
      <c r="AT5078" s="48"/>
      <c r="AU5078" s="48"/>
      <c r="AV5078" s="48"/>
      <c r="AW5078" s="48"/>
      <c r="AX5078" s="48"/>
      <c r="AY5078" s="48"/>
      <c r="AZ5078" s="48"/>
      <c r="BA5078" s="48"/>
      <c r="BB5078" s="48"/>
      <c r="BC5078" s="48"/>
      <c r="BD5078" s="48"/>
    </row>
    <row r="5079" spans="1:56">
      <c r="A5079" s="48"/>
      <c r="B5079" s="48"/>
      <c r="C5079" s="49"/>
      <c r="D5079" s="48"/>
      <c r="E5079" s="48"/>
      <c r="F5079" s="48"/>
      <c r="G5079" s="48"/>
      <c r="H5079" s="48"/>
      <c r="I5079" s="48"/>
      <c r="J5079" s="86"/>
      <c r="K5079" s="86"/>
      <c r="L5079" s="86"/>
      <c r="M5079" s="86"/>
      <c r="N5079" s="86"/>
      <c r="O5079" s="86"/>
      <c r="P5079" s="86"/>
      <c r="Q5079" s="86"/>
      <c r="R5079" s="86"/>
      <c r="S5079" s="86"/>
      <c r="T5079" s="86"/>
      <c r="U5079" s="86"/>
      <c r="V5079" s="48"/>
      <c r="W5079" s="48"/>
      <c r="X5079" s="48"/>
      <c r="Y5079" s="48"/>
      <c r="Z5079" s="48"/>
      <c r="AA5079" s="48"/>
      <c r="AB5079" s="48"/>
      <c r="AC5079" s="48"/>
      <c r="AD5079" s="48"/>
      <c r="AE5079" s="48"/>
      <c r="AF5079" s="48"/>
      <c r="AG5079" s="48"/>
      <c r="AH5079" s="48"/>
      <c r="AI5079" s="48"/>
      <c r="AJ5079" s="48"/>
      <c r="AK5079" s="48"/>
      <c r="AL5079" s="48"/>
      <c r="AM5079" s="48"/>
      <c r="AN5079" s="48"/>
      <c r="AO5079" s="48"/>
      <c r="AP5079" s="48"/>
      <c r="AQ5079" s="48"/>
      <c r="AR5079" s="48"/>
      <c r="AS5079" s="48"/>
      <c r="AT5079" s="48"/>
      <c r="AU5079" s="48"/>
      <c r="AV5079" s="48"/>
      <c r="AW5079" s="48"/>
      <c r="AX5079" s="48"/>
      <c r="AY5079" s="48"/>
      <c r="AZ5079" s="48"/>
      <c r="BA5079" s="48"/>
      <c r="BB5079" s="48"/>
      <c r="BC5079" s="48"/>
      <c r="BD5079" s="48"/>
    </row>
    <row r="5080" spans="1:56">
      <c r="A5080" s="48"/>
      <c r="B5080" s="48"/>
      <c r="C5080" s="49"/>
      <c r="D5080" s="48"/>
      <c r="E5080" s="48"/>
      <c r="F5080" s="48"/>
      <c r="G5080" s="48"/>
      <c r="H5080" s="48"/>
      <c r="I5080" s="48"/>
      <c r="J5080" s="86"/>
      <c r="K5080" s="86"/>
      <c r="L5080" s="86"/>
      <c r="M5080" s="86"/>
      <c r="N5080" s="86"/>
      <c r="O5080" s="86"/>
      <c r="P5080" s="86"/>
      <c r="Q5080" s="86"/>
      <c r="R5080" s="86"/>
      <c r="S5080" s="86"/>
      <c r="T5080" s="86"/>
      <c r="U5080" s="86"/>
      <c r="V5080" s="48"/>
      <c r="W5080" s="48"/>
      <c r="X5080" s="48"/>
      <c r="Y5080" s="48"/>
      <c r="Z5080" s="48"/>
      <c r="AA5080" s="48"/>
      <c r="AB5080" s="48"/>
      <c r="AC5080" s="48"/>
      <c r="AD5080" s="48"/>
      <c r="AE5080" s="48"/>
      <c r="AF5080" s="48"/>
      <c r="AG5080" s="48"/>
      <c r="AH5080" s="48"/>
      <c r="AI5080" s="48"/>
      <c r="AJ5080" s="48"/>
      <c r="AK5080" s="48"/>
      <c r="AL5080" s="48"/>
      <c r="AM5080" s="48"/>
      <c r="AN5080" s="48"/>
      <c r="AO5080" s="48"/>
      <c r="AP5080" s="48"/>
      <c r="AQ5080" s="48"/>
      <c r="AR5080" s="48"/>
      <c r="AS5080" s="48"/>
      <c r="AT5080" s="48"/>
      <c r="AU5080" s="48"/>
      <c r="AV5080" s="48"/>
      <c r="AW5080" s="48"/>
      <c r="AX5080" s="48"/>
      <c r="AY5080" s="48"/>
      <c r="AZ5080" s="48"/>
      <c r="BA5080" s="48"/>
      <c r="BB5080" s="48"/>
      <c r="BC5080" s="48"/>
      <c r="BD5080" s="48"/>
    </row>
    <row r="5081" spans="1:56">
      <c r="A5081" s="48"/>
      <c r="B5081" s="48"/>
      <c r="C5081" s="49"/>
      <c r="D5081" s="48"/>
      <c r="E5081" s="48"/>
      <c r="F5081" s="48"/>
      <c r="G5081" s="48"/>
      <c r="H5081" s="48"/>
      <c r="I5081" s="48"/>
      <c r="J5081" s="86"/>
      <c r="K5081" s="86"/>
      <c r="L5081" s="86"/>
      <c r="M5081" s="86"/>
      <c r="N5081" s="86"/>
      <c r="O5081" s="86"/>
      <c r="P5081" s="86"/>
      <c r="Q5081" s="86"/>
      <c r="R5081" s="86"/>
      <c r="S5081" s="86"/>
      <c r="T5081" s="86"/>
      <c r="U5081" s="86"/>
      <c r="V5081" s="48"/>
      <c r="W5081" s="48"/>
      <c r="X5081" s="48"/>
      <c r="Y5081" s="48"/>
      <c r="Z5081" s="48"/>
      <c r="AA5081" s="48"/>
      <c r="AB5081" s="48"/>
      <c r="AC5081" s="48"/>
      <c r="AD5081" s="48"/>
      <c r="AE5081" s="48"/>
      <c r="AF5081" s="48"/>
      <c r="AG5081" s="48"/>
      <c r="AH5081" s="48"/>
      <c r="AI5081" s="48"/>
      <c r="AJ5081" s="48"/>
      <c r="AK5081" s="48"/>
      <c r="AL5081" s="48"/>
      <c r="AM5081" s="48"/>
      <c r="AN5081" s="48"/>
      <c r="AO5081" s="48"/>
      <c r="AP5081" s="48"/>
      <c r="AQ5081" s="48"/>
      <c r="AR5081" s="48"/>
      <c r="AS5081" s="48"/>
      <c r="AT5081" s="48"/>
      <c r="AU5081" s="48"/>
      <c r="AV5081" s="48"/>
      <c r="AW5081" s="48"/>
      <c r="AX5081" s="48"/>
      <c r="AY5081" s="48"/>
      <c r="AZ5081" s="48"/>
      <c r="BA5081" s="48"/>
      <c r="BB5081" s="48"/>
      <c r="BC5081" s="48"/>
      <c r="BD5081" s="48"/>
    </row>
    <row r="5082" spans="1:56">
      <c r="A5082" s="48"/>
      <c r="B5082" s="48"/>
      <c r="C5082" s="49"/>
      <c r="D5082" s="48"/>
      <c r="E5082" s="48"/>
      <c r="F5082" s="48"/>
      <c r="G5082" s="48"/>
      <c r="H5082" s="48"/>
      <c r="I5082" s="48"/>
      <c r="J5082" s="86"/>
      <c r="K5082" s="86"/>
      <c r="L5082" s="86"/>
      <c r="M5082" s="86"/>
      <c r="N5082" s="86"/>
      <c r="O5082" s="86"/>
      <c r="P5082" s="86"/>
      <c r="Q5082" s="86"/>
      <c r="R5082" s="86"/>
      <c r="S5082" s="86"/>
      <c r="T5082" s="86"/>
      <c r="U5082" s="86"/>
      <c r="V5082" s="48"/>
      <c r="W5082" s="48"/>
      <c r="X5082" s="48"/>
      <c r="Y5082" s="48"/>
      <c r="Z5082" s="48"/>
      <c r="AA5082" s="48"/>
      <c r="AB5082" s="48"/>
      <c r="AC5082" s="48"/>
      <c r="AD5082" s="48"/>
      <c r="AE5082" s="48"/>
      <c r="AF5082" s="48"/>
      <c r="AG5082" s="48"/>
      <c r="AH5082" s="48"/>
      <c r="AI5082" s="48"/>
      <c r="AJ5082" s="48"/>
      <c r="AK5082" s="48"/>
      <c r="AL5082" s="48"/>
      <c r="AM5082" s="48"/>
      <c r="AN5082" s="48"/>
      <c r="AO5082" s="48"/>
      <c r="AP5082" s="48"/>
      <c r="AQ5082" s="48"/>
      <c r="AR5082" s="48"/>
      <c r="AS5082" s="48"/>
      <c r="AT5082" s="48"/>
      <c r="AU5082" s="48"/>
      <c r="AV5082" s="48"/>
      <c r="AW5082" s="48"/>
      <c r="AX5082" s="48"/>
      <c r="AY5082" s="48"/>
      <c r="AZ5082" s="48"/>
      <c r="BA5082" s="48"/>
      <c r="BB5082" s="48"/>
      <c r="BC5082" s="48"/>
      <c r="BD5082" s="48"/>
    </row>
    <row r="5083" spans="1:56">
      <c r="A5083" s="48"/>
      <c r="B5083" s="48"/>
      <c r="C5083" s="49"/>
      <c r="D5083" s="48"/>
      <c r="E5083" s="48"/>
      <c r="F5083" s="48"/>
      <c r="G5083" s="48"/>
      <c r="H5083" s="48"/>
      <c r="I5083" s="48"/>
      <c r="J5083" s="86"/>
      <c r="K5083" s="86"/>
      <c r="L5083" s="86"/>
      <c r="M5083" s="86"/>
      <c r="N5083" s="86"/>
      <c r="O5083" s="86"/>
      <c r="P5083" s="86"/>
      <c r="Q5083" s="86"/>
      <c r="R5083" s="86"/>
      <c r="S5083" s="86"/>
      <c r="T5083" s="86"/>
      <c r="U5083" s="86"/>
      <c r="V5083" s="48"/>
      <c r="W5083" s="48"/>
      <c r="X5083" s="48"/>
      <c r="Y5083" s="48"/>
      <c r="Z5083" s="48"/>
      <c r="AA5083" s="48"/>
      <c r="AB5083" s="48"/>
      <c r="AC5083" s="48"/>
      <c r="AD5083" s="48"/>
      <c r="AE5083" s="48"/>
      <c r="AF5083" s="48"/>
      <c r="AG5083" s="48"/>
      <c r="AH5083" s="48"/>
      <c r="AI5083" s="48"/>
      <c r="AJ5083" s="48"/>
      <c r="AK5083" s="48"/>
      <c r="AL5083" s="48"/>
      <c r="AM5083" s="48"/>
      <c r="AN5083" s="48"/>
      <c r="AO5083" s="48"/>
      <c r="AP5083" s="48"/>
      <c r="AQ5083" s="48"/>
      <c r="AR5083" s="48"/>
      <c r="AS5083" s="48"/>
      <c r="AT5083" s="48"/>
      <c r="AU5083" s="48"/>
      <c r="AV5083" s="48"/>
      <c r="AW5083" s="48"/>
      <c r="AX5083" s="48"/>
      <c r="AY5083" s="48"/>
      <c r="AZ5083" s="48"/>
      <c r="BA5083" s="48"/>
      <c r="BB5083" s="48"/>
      <c r="BC5083" s="48"/>
      <c r="BD5083" s="48"/>
    </row>
    <row r="5084" spans="1:56">
      <c r="A5084" s="48"/>
      <c r="B5084" s="48"/>
      <c r="C5084" s="49"/>
      <c r="D5084" s="48"/>
      <c r="E5084" s="48"/>
      <c r="F5084" s="48"/>
      <c r="G5084" s="48"/>
      <c r="H5084" s="48"/>
      <c r="I5084" s="48"/>
      <c r="J5084" s="86"/>
      <c r="K5084" s="86"/>
      <c r="L5084" s="86"/>
      <c r="M5084" s="86"/>
      <c r="N5084" s="86"/>
      <c r="O5084" s="86"/>
      <c r="P5084" s="86"/>
      <c r="Q5084" s="86"/>
      <c r="R5084" s="86"/>
      <c r="S5084" s="86"/>
      <c r="T5084" s="86"/>
      <c r="U5084" s="86"/>
      <c r="V5084" s="48"/>
      <c r="W5084" s="48"/>
      <c r="X5084" s="48"/>
      <c r="Y5084" s="48"/>
      <c r="Z5084" s="48"/>
      <c r="AA5084" s="48"/>
      <c r="AB5084" s="48"/>
      <c r="AC5084" s="48"/>
      <c r="AD5084" s="48"/>
      <c r="AE5084" s="48"/>
      <c r="AF5084" s="48"/>
      <c r="AG5084" s="48"/>
      <c r="AH5084" s="48"/>
      <c r="AI5084" s="48"/>
      <c r="AJ5084" s="48"/>
      <c r="AK5084" s="48"/>
      <c r="AL5084" s="48"/>
      <c r="AM5084" s="48"/>
      <c r="AN5084" s="48"/>
      <c r="AO5084" s="48"/>
      <c r="AP5084" s="48"/>
      <c r="AQ5084" s="48"/>
      <c r="AR5084" s="48"/>
      <c r="AS5084" s="48"/>
      <c r="AT5084" s="48"/>
      <c r="AU5084" s="48"/>
      <c r="AV5084" s="48"/>
      <c r="AW5084" s="48"/>
      <c r="AX5084" s="48"/>
      <c r="AY5084" s="48"/>
      <c r="AZ5084" s="48"/>
      <c r="BA5084" s="48"/>
      <c r="BB5084" s="48"/>
      <c r="BC5084" s="48"/>
      <c r="BD5084" s="48"/>
    </row>
    <row r="5085" spans="1:56">
      <c r="A5085" s="48"/>
      <c r="B5085" s="48"/>
      <c r="C5085" s="49"/>
      <c r="D5085" s="48"/>
      <c r="E5085" s="48"/>
      <c r="F5085" s="48"/>
      <c r="G5085" s="48"/>
      <c r="H5085" s="48"/>
      <c r="I5085" s="48"/>
      <c r="J5085" s="86"/>
      <c r="K5085" s="86"/>
      <c r="L5085" s="86"/>
      <c r="M5085" s="86"/>
      <c r="N5085" s="86"/>
      <c r="O5085" s="86"/>
      <c r="P5085" s="86"/>
      <c r="Q5085" s="86"/>
      <c r="R5085" s="86"/>
      <c r="S5085" s="86"/>
      <c r="T5085" s="86"/>
      <c r="U5085" s="86"/>
      <c r="V5085" s="48"/>
      <c r="W5085" s="48"/>
      <c r="X5085" s="48"/>
      <c r="Y5085" s="48"/>
      <c r="Z5085" s="48"/>
      <c r="AA5085" s="48"/>
      <c r="AB5085" s="48"/>
      <c r="AC5085" s="48"/>
      <c r="AD5085" s="48"/>
      <c r="AE5085" s="48"/>
      <c r="AF5085" s="48"/>
      <c r="AG5085" s="48"/>
      <c r="AH5085" s="48"/>
      <c r="AI5085" s="48"/>
      <c r="AJ5085" s="48"/>
      <c r="AK5085" s="48"/>
      <c r="AL5085" s="48"/>
      <c r="AM5085" s="48"/>
      <c r="AN5085" s="48"/>
      <c r="AO5085" s="48"/>
      <c r="AP5085" s="48"/>
      <c r="AQ5085" s="48"/>
      <c r="AR5085" s="48"/>
      <c r="AS5085" s="48"/>
      <c r="AT5085" s="48"/>
      <c r="AU5085" s="48"/>
      <c r="AV5085" s="48"/>
      <c r="AW5085" s="48"/>
      <c r="AX5085" s="48"/>
      <c r="AY5085" s="48"/>
      <c r="AZ5085" s="48"/>
      <c r="BA5085" s="48"/>
      <c r="BB5085" s="48"/>
      <c r="BC5085" s="48"/>
      <c r="BD5085" s="48"/>
    </row>
    <row r="5086" spans="1:56">
      <c r="A5086" s="48"/>
      <c r="B5086" s="48"/>
      <c r="C5086" s="49"/>
      <c r="D5086" s="48"/>
      <c r="E5086" s="48"/>
      <c r="F5086" s="48"/>
      <c r="G5086" s="48"/>
      <c r="H5086" s="48"/>
      <c r="I5086" s="48"/>
      <c r="J5086" s="86"/>
      <c r="K5086" s="86"/>
      <c r="L5086" s="86"/>
      <c r="M5086" s="86"/>
      <c r="N5086" s="86"/>
      <c r="O5086" s="86"/>
      <c r="P5086" s="86"/>
      <c r="Q5086" s="86"/>
      <c r="R5086" s="86"/>
      <c r="S5086" s="86"/>
      <c r="T5086" s="86"/>
      <c r="U5086" s="86"/>
      <c r="V5086" s="48"/>
      <c r="W5086" s="48"/>
      <c r="X5086" s="48"/>
      <c r="Y5086" s="48"/>
      <c r="Z5086" s="48"/>
      <c r="AA5086" s="48"/>
      <c r="AB5086" s="48"/>
      <c r="AC5086" s="48"/>
      <c r="AD5086" s="48"/>
      <c r="AE5086" s="48"/>
      <c r="AF5086" s="48"/>
      <c r="AG5086" s="48"/>
      <c r="AH5086" s="48"/>
      <c r="AI5086" s="48"/>
      <c r="AJ5086" s="48"/>
      <c r="AK5086" s="48"/>
      <c r="AL5086" s="48"/>
      <c r="AM5086" s="48"/>
      <c r="AN5086" s="48"/>
      <c r="AO5086" s="48"/>
      <c r="AP5086" s="48"/>
      <c r="AQ5086" s="48"/>
      <c r="AR5086" s="48"/>
      <c r="AS5086" s="48"/>
      <c r="AT5086" s="48"/>
      <c r="AU5086" s="48"/>
      <c r="AV5086" s="48"/>
      <c r="AW5086" s="48"/>
      <c r="AX5086" s="48"/>
      <c r="AY5086" s="48"/>
      <c r="AZ5086" s="48"/>
      <c r="BA5086" s="48"/>
      <c r="BB5086" s="48"/>
      <c r="BC5086" s="48"/>
      <c r="BD5086" s="48"/>
    </row>
    <row r="5087" spans="1:56">
      <c r="A5087" s="48"/>
      <c r="B5087" s="48"/>
      <c r="C5087" s="49"/>
      <c r="D5087" s="48"/>
      <c r="E5087" s="48"/>
      <c r="F5087" s="48"/>
      <c r="G5087" s="48"/>
      <c r="H5087" s="48"/>
      <c r="I5087" s="48"/>
      <c r="J5087" s="86"/>
      <c r="K5087" s="86"/>
      <c r="L5087" s="86"/>
      <c r="M5087" s="86"/>
      <c r="N5087" s="86"/>
      <c r="O5087" s="86"/>
      <c r="P5087" s="86"/>
      <c r="Q5087" s="86"/>
      <c r="R5087" s="86"/>
      <c r="S5087" s="86"/>
      <c r="T5087" s="86"/>
      <c r="U5087" s="86"/>
      <c r="V5087" s="48"/>
      <c r="W5087" s="48"/>
      <c r="X5087" s="48"/>
      <c r="Y5087" s="48"/>
      <c r="Z5087" s="48"/>
      <c r="AA5087" s="48"/>
      <c r="AB5087" s="48"/>
      <c r="AC5087" s="48"/>
      <c r="AD5087" s="48"/>
      <c r="AE5087" s="48"/>
      <c r="AF5087" s="48"/>
      <c r="AG5087" s="48"/>
      <c r="AH5087" s="48"/>
      <c r="AI5087" s="48"/>
      <c r="AJ5087" s="48"/>
      <c r="AK5087" s="48"/>
      <c r="AL5087" s="48"/>
      <c r="AM5087" s="48"/>
      <c r="AN5087" s="48"/>
      <c r="AO5087" s="48"/>
      <c r="AP5087" s="48"/>
      <c r="AQ5087" s="48"/>
      <c r="AR5087" s="48"/>
      <c r="AS5087" s="48"/>
      <c r="AT5087" s="48"/>
      <c r="AU5087" s="48"/>
      <c r="AV5087" s="48"/>
      <c r="AW5087" s="48"/>
      <c r="AX5087" s="48"/>
      <c r="AY5087" s="48"/>
      <c r="AZ5087" s="48"/>
      <c r="BA5087" s="48"/>
      <c r="BB5087" s="48"/>
      <c r="BC5087" s="48"/>
      <c r="BD5087" s="48"/>
    </row>
    <row r="5088" spans="1:56">
      <c r="A5088" s="48"/>
      <c r="B5088" s="48"/>
      <c r="C5088" s="49"/>
      <c r="D5088" s="48"/>
      <c r="E5088" s="48"/>
      <c r="F5088" s="48"/>
      <c r="G5088" s="48"/>
      <c r="H5088" s="48"/>
      <c r="I5088" s="48"/>
      <c r="J5088" s="86"/>
      <c r="K5088" s="86"/>
      <c r="L5088" s="86"/>
      <c r="M5088" s="86"/>
      <c r="N5088" s="86"/>
      <c r="O5088" s="86"/>
      <c r="P5088" s="86"/>
      <c r="Q5088" s="86"/>
      <c r="R5088" s="86"/>
      <c r="S5088" s="86"/>
      <c r="T5088" s="86"/>
      <c r="U5088" s="86"/>
      <c r="V5088" s="48"/>
      <c r="W5088" s="48"/>
      <c r="X5088" s="48"/>
      <c r="Y5088" s="48"/>
      <c r="Z5088" s="48"/>
      <c r="AA5088" s="48"/>
      <c r="AB5088" s="48"/>
      <c r="AC5088" s="48"/>
      <c r="AD5088" s="48"/>
      <c r="AE5088" s="48"/>
      <c r="AF5088" s="48"/>
      <c r="AG5088" s="48"/>
      <c r="AH5088" s="48"/>
      <c r="AI5088" s="48"/>
      <c r="AJ5088" s="48"/>
      <c r="AK5088" s="48"/>
      <c r="AL5088" s="48"/>
      <c r="AM5088" s="48"/>
      <c r="AN5088" s="48"/>
      <c r="AO5088" s="48"/>
      <c r="AP5088" s="48"/>
      <c r="AQ5088" s="48"/>
      <c r="AR5088" s="48"/>
      <c r="AS5088" s="48"/>
      <c r="AT5088" s="48"/>
      <c r="AU5088" s="48"/>
      <c r="AV5088" s="48"/>
      <c r="AW5088" s="48"/>
      <c r="AX5088" s="48"/>
      <c r="AY5088" s="48"/>
      <c r="AZ5088" s="48"/>
      <c r="BA5088" s="48"/>
      <c r="BB5088" s="48"/>
      <c r="BC5088" s="48"/>
      <c r="BD5088" s="48"/>
    </row>
    <row r="5089" spans="1:56">
      <c r="A5089" s="48"/>
      <c r="B5089" s="48"/>
      <c r="C5089" s="49"/>
      <c r="D5089" s="48"/>
      <c r="E5089" s="48"/>
      <c r="F5089" s="48"/>
      <c r="G5089" s="48"/>
      <c r="H5089" s="48"/>
      <c r="I5089" s="48"/>
      <c r="J5089" s="86"/>
      <c r="K5089" s="86"/>
      <c r="L5089" s="86"/>
      <c r="M5089" s="86"/>
      <c r="N5089" s="86"/>
      <c r="O5089" s="86"/>
      <c r="P5089" s="86"/>
      <c r="Q5089" s="86"/>
      <c r="R5089" s="86"/>
      <c r="S5089" s="86"/>
      <c r="T5089" s="86"/>
      <c r="U5089" s="86"/>
      <c r="V5089" s="48"/>
      <c r="W5089" s="48"/>
      <c r="X5089" s="48"/>
      <c r="Y5089" s="48"/>
      <c r="Z5089" s="48"/>
      <c r="AA5089" s="48"/>
      <c r="AB5089" s="48"/>
      <c r="AC5089" s="48"/>
      <c r="AD5089" s="48"/>
      <c r="AE5089" s="48"/>
      <c r="AF5089" s="48"/>
      <c r="AG5089" s="48"/>
      <c r="AH5089" s="48"/>
      <c r="AI5089" s="48"/>
      <c r="AJ5089" s="48"/>
      <c r="AK5089" s="48"/>
      <c r="AL5089" s="48"/>
      <c r="AM5089" s="48"/>
      <c r="AN5089" s="48"/>
      <c r="AO5089" s="48"/>
      <c r="AP5089" s="48"/>
      <c r="AQ5089" s="48"/>
      <c r="AR5089" s="48"/>
      <c r="AS5089" s="48"/>
      <c r="AT5089" s="48"/>
      <c r="AU5089" s="48"/>
      <c r="AV5089" s="48"/>
      <c r="AW5089" s="48"/>
      <c r="AX5089" s="48"/>
      <c r="AY5089" s="48"/>
      <c r="AZ5089" s="48"/>
      <c r="BA5089" s="48"/>
      <c r="BB5089" s="48"/>
      <c r="BC5089" s="48"/>
      <c r="BD5089" s="48"/>
    </row>
    <row r="5090" spans="1:56">
      <c r="A5090" s="48"/>
      <c r="B5090" s="48"/>
      <c r="C5090" s="49"/>
      <c r="D5090" s="48"/>
      <c r="E5090" s="48"/>
      <c r="F5090" s="48"/>
      <c r="G5090" s="48"/>
      <c r="H5090" s="48"/>
      <c r="I5090" s="48"/>
      <c r="J5090" s="86"/>
      <c r="K5090" s="86"/>
      <c r="L5090" s="86"/>
      <c r="M5090" s="86"/>
      <c r="N5090" s="86"/>
      <c r="O5090" s="86"/>
      <c r="P5090" s="86"/>
      <c r="Q5090" s="86"/>
      <c r="R5090" s="86"/>
      <c r="S5090" s="86"/>
      <c r="T5090" s="86"/>
      <c r="U5090" s="86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48"/>
      <c r="BB5090" s="48"/>
      <c r="BC5090" s="48"/>
      <c r="BD5090" s="48"/>
    </row>
    <row r="5091" spans="1:56">
      <c r="A5091" s="48"/>
      <c r="B5091" s="48"/>
      <c r="C5091" s="49"/>
      <c r="D5091" s="48"/>
      <c r="E5091" s="48"/>
      <c r="F5091" s="48"/>
      <c r="G5091" s="48"/>
      <c r="H5091" s="48"/>
      <c r="I5091" s="48"/>
      <c r="J5091" s="86"/>
      <c r="K5091" s="86"/>
      <c r="L5091" s="86"/>
      <c r="M5091" s="86"/>
      <c r="N5091" s="86"/>
      <c r="O5091" s="86"/>
      <c r="P5091" s="86"/>
      <c r="Q5091" s="86"/>
      <c r="R5091" s="86"/>
      <c r="S5091" s="86"/>
      <c r="T5091" s="86"/>
      <c r="U5091" s="86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48"/>
      <c r="BB5091" s="48"/>
      <c r="BC5091" s="48"/>
      <c r="BD5091" s="48"/>
    </row>
    <row r="5092" spans="1:56">
      <c r="A5092" s="48"/>
      <c r="B5092" s="48"/>
      <c r="C5092" s="49"/>
      <c r="D5092" s="48"/>
      <c r="E5092" s="48"/>
      <c r="F5092" s="48"/>
      <c r="G5092" s="48"/>
      <c r="H5092" s="48"/>
      <c r="I5092" s="48"/>
      <c r="J5092" s="86"/>
      <c r="K5092" s="86"/>
      <c r="L5092" s="86"/>
      <c r="M5092" s="86"/>
      <c r="N5092" s="86"/>
      <c r="O5092" s="86"/>
      <c r="P5092" s="86"/>
      <c r="Q5092" s="86"/>
      <c r="R5092" s="86"/>
      <c r="S5092" s="86"/>
      <c r="T5092" s="86"/>
      <c r="U5092" s="86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48"/>
      <c r="BB5092" s="48"/>
      <c r="BC5092" s="48"/>
      <c r="BD5092" s="48"/>
    </row>
    <row r="5093" spans="1:56">
      <c r="A5093" s="48"/>
      <c r="B5093" s="48"/>
      <c r="C5093" s="49"/>
      <c r="D5093" s="48"/>
      <c r="E5093" s="48"/>
      <c r="F5093" s="48"/>
      <c r="G5093" s="48"/>
      <c r="H5093" s="48"/>
      <c r="I5093" s="48"/>
      <c r="J5093" s="86"/>
      <c r="K5093" s="86"/>
      <c r="L5093" s="86"/>
      <c r="M5093" s="86"/>
      <c r="N5093" s="86"/>
      <c r="O5093" s="86"/>
      <c r="P5093" s="86"/>
      <c r="Q5093" s="86"/>
      <c r="R5093" s="86"/>
      <c r="S5093" s="86"/>
      <c r="T5093" s="86"/>
      <c r="U5093" s="86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48"/>
      <c r="BB5093" s="48"/>
      <c r="BC5093" s="48"/>
      <c r="BD5093" s="48"/>
    </row>
    <row r="5094" spans="1:56">
      <c r="A5094" s="48"/>
      <c r="B5094" s="48"/>
      <c r="C5094" s="49"/>
      <c r="D5094" s="48"/>
      <c r="E5094" s="48"/>
      <c r="F5094" s="48"/>
      <c r="G5094" s="48"/>
      <c r="H5094" s="48"/>
      <c r="I5094" s="48"/>
      <c r="J5094" s="86"/>
      <c r="K5094" s="86"/>
      <c r="L5094" s="86"/>
      <c r="M5094" s="86"/>
      <c r="N5094" s="86"/>
      <c r="O5094" s="86"/>
      <c r="P5094" s="86"/>
      <c r="Q5094" s="86"/>
      <c r="R5094" s="86"/>
      <c r="S5094" s="86"/>
      <c r="T5094" s="86"/>
      <c r="U5094" s="86"/>
      <c r="V5094" s="48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48"/>
      <c r="AQ5094" s="48"/>
      <c r="AR5094" s="48"/>
      <c r="AS5094" s="48"/>
      <c r="AT5094" s="48"/>
      <c r="AU5094" s="48"/>
      <c r="AV5094" s="48"/>
      <c r="AW5094" s="48"/>
      <c r="AX5094" s="48"/>
      <c r="AY5094" s="48"/>
      <c r="AZ5094" s="48"/>
      <c r="BA5094" s="48"/>
      <c r="BB5094" s="48"/>
      <c r="BC5094" s="48"/>
      <c r="BD5094" s="48"/>
    </row>
    <row r="5095" spans="1:56">
      <c r="A5095" s="48"/>
      <c r="B5095" s="48"/>
      <c r="C5095" s="49"/>
      <c r="D5095" s="48"/>
      <c r="E5095" s="48"/>
      <c r="F5095" s="48"/>
      <c r="G5095" s="48"/>
      <c r="H5095" s="48"/>
      <c r="I5095" s="48"/>
      <c r="J5095" s="86"/>
      <c r="K5095" s="86"/>
      <c r="L5095" s="86"/>
      <c r="M5095" s="86"/>
      <c r="N5095" s="86"/>
      <c r="O5095" s="86"/>
      <c r="P5095" s="86"/>
      <c r="Q5095" s="86"/>
      <c r="R5095" s="86"/>
      <c r="S5095" s="86"/>
      <c r="T5095" s="86"/>
      <c r="U5095" s="86"/>
      <c r="V5095" s="48"/>
      <c r="W5095" s="48"/>
      <c r="X5095" s="48"/>
      <c r="Y5095" s="48"/>
      <c r="Z5095" s="48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48"/>
      <c r="BB5095" s="48"/>
      <c r="BC5095" s="48"/>
      <c r="BD5095" s="48"/>
    </row>
    <row r="5096" spans="1:56">
      <c r="A5096" s="48"/>
      <c r="B5096" s="48"/>
      <c r="C5096" s="49"/>
      <c r="D5096" s="48"/>
      <c r="E5096" s="48"/>
      <c r="F5096" s="48"/>
      <c r="G5096" s="48"/>
      <c r="H5096" s="48"/>
      <c r="I5096" s="48"/>
      <c r="J5096" s="86"/>
      <c r="K5096" s="86"/>
      <c r="L5096" s="86"/>
      <c r="M5096" s="86"/>
      <c r="N5096" s="86"/>
      <c r="O5096" s="86"/>
      <c r="P5096" s="86"/>
      <c r="Q5096" s="86"/>
      <c r="R5096" s="86"/>
      <c r="S5096" s="86"/>
      <c r="T5096" s="86"/>
      <c r="U5096" s="86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48"/>
      <c r="BB5096" s="48"/>
      <c r="BC5096" s="48"/>
      <c r="BD5096" s="48"/>
    </row>
    <row r="5097" spans="1:56">
      <c r="A5097" s="48"/>
      <c r="B5097" s="48"/>
      <c r="C5097" s="49"/>
      <c r="D5097" s="48"/>
      <c r="E5097" s="48"/>
      <c r="F5097" s="48"/>
      <c r="G5097" s="48"/>
      <c r="H5097" s="48"/>
      <c r="I5097" s="48"/>
      <c r="J5097" s="86"/>
      <c r="K5097" s="86"/>
      <c r="L5097" s="86"/>
      <c r="M5097" s="86"/>
      <c r="N5097" s="86"/>
      <c r="O5097" s="86"/>
      <c r="P5097" s="86"/>
      <c r="Q5097" s="86"/>
      <c r="R5097" s="86"/>
      <c r="S5097" s="86"/>
      <c r="T5097" s="86"/>
      <c r="U5097" s="86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48"/>
      <c r="BB5097" s="48"/>
      <c r="BC5097" s="48"/>
      <c r="BD5097" s="48"/>
    </row>
    <row r="5098" spans="1:56">
      <c r="A5098" s="48"/>
      <c r="B5098" s="48"/>
      <c r="C5098" s="49"/>
      <c r="D5098" s="48"/>
      <c r="E5098" s="48"/>
      <c r="F5098" s="48"/>
      <c r="G5098" s="48"/>
      <c r="H5098" s="48"/>
      <c r="I5098" s="48"/>
      <c r="J5098" s="86"/>
      <c r="K5098" s="86"/>
      <c r="L5098" s="86"/>
      <c r="M5098" s="86"/>
      <c r="N5098" s="86"/>
      <c r="O5098" s="86"/>
      <c r="P5098" s="86"/>
      <c r="Q5098" s="86"/>
      <c r="R5098" s="86"/>
      <c r="S5098" s="86"/>
      <c r="T5098" s="86"/>
      <c r="U5098" s="86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48"/>
      <c r="BB5098" s="48"/>
      <c r="BC5098" s="48"/>
      <c r="BD5098" s="48"/>
    </row>
    <row r="5099" spans="1:56">
      <c r="A5099" s="48"/>
      <c r="B5099" s="48"/>
      <c r="C5099" s="49"/>
      <c r="D5099" s="48"/>
      <c r="E5099" s="48"/>
      <c r="F5099" s="48"/>
      <c r="G5099" s="48"/>
      <c r="H5099" s="48"/>
      <c r="I5099" s="48"/>
      <c r="J5099" s="86"/>
      <c r="K5099" s="86"/>
      <c r="L5099" s="86"/>
      <c r="M5099" s="86"/>
      <c r="N5099" s="86"/>
      <c r="O5099" s="86"/>
      <c r="P5099" s="86"/>
      <c r="Q5099" s="86"/>
      <c r="R5099" s="86"/>
      <c r="S5099" s="86"/>
      <c r="T5099" s="86"/>
      <c r="U5099" s="86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48"/>
      <c r="BB5099" s="48"/>
      <c r="BC5099" s="48"/>
      <c r="BD5099" s="48"/>
    </row>
    <row r="5100" spans="1:56">
      <c r="A5100" s="48"/>
      <c r="B5100" s="48"/>
      <c r="C5100" s="49"/>
      <c r="D5100" s="48"/>
      <c r="E5100" s="48"/>
      <c r="F5100" s="48"/>
      <c r="G5100" s="48"/>
      <c r="H5100" s="48"/>
      <c r="I5100" s="48"/>
      <c r="J5100" s="86"/>
      <c r="K5100" s="86"/>
      <c r="L5100" s="86"/>
      <c r="M5100" s="86"/>
      <c r="N5100" s="86"/>
      <c r="O5100" s="86"/>
      <c r="P5100" s="86"/>
      <c r="Q5100" s="86"/>
      <c r="R5100" s="86"/>
      <c r="S5100" s="86"/>
      <c r="T5100" s="86"/>
      <c r="U5100" s="86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48"/>
      <c r="AI5100" s="48"/>
      <c r="AJ5100" s="48"/>
      <c r="AK5100" s="48"/>
      <c r="AL5100" s="48"/>
      <c r="AM5100" s="48"/>
      <c r="AN5100" s="48"/>
      <c r="AO5100" s="48"/>
      <c r="AP5100" s="48"/>
      <c r="AQ5100" s="48"/>
      <c r="AR5100" s="48"/>
      <c r="AS5100" s="48"/>
      <c r="AT5100" s="48"/>
      <c r="AU5100" s="48"/>
      <c r="AV5100" s="48"/>
      <c r="AW5100" s="48"/>
      <c r="AX5100" s="48"/>
      <c r="AY5100" s="48"/>
      <c r="AZ5100" s="48"/>
      <c r="BA5100" s="48"/>
      <c r="BB5100" s="48"/>
      <c r="BC5100" s="48"/>
      <c r="BD5100" s="48"/>
    </row>
    <row r="5101" spans="1:56">
      <c r="A5101" s="48"/>
      <c r="B5101" s="48"/>
      <c r="C5101" s="49"/>
      <c r="D5101" s="48"/>
      <c r="E5101" s="48"/>
      <c r="F5101" s="48"/>
      <c r="G5101" s="48"/>
      <c r="H5101" s="48"/>
      <c r="I5101" s="48"/>
      <c r="J5101" s="86"/>
      <c r="K5101" s="86"/>
      <c r="L5101" s="86"/>
      <c r="M5101" s="86"/>
      <c r="N5101" s="86"/>
      <c r="O5101" s="86"/>
      <c r="P5101" s="86"/>
      <c r="Q5101" s="86"/>
      <c r="R5101" s="86"/>
      <c r="S5101" s="86"/>
      <c r="T5101" s="86"/>
      <c r="U5101" s="86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48"/>
      <c r="BB5101" s="48"/>
      <c r="BC5101" s="48"/>
      <c r="BD5101" s="48"/>
    </row>
    <row r="5102" spans="1:56">
      <c r="A5102" s="48"/>
      <c r="B5102" s="48"/>
      <c r="C5102" s="49"/>
      <c r="D5102" s="48"/>
      <c r="E5102" s="48"/>
      <c r="F5102" s="48"/>
      <c r="G5102" s="48"/>
      <c r="H5102" s="48"/>
      <c r="I5102" s="48"/>
      <c r="J5102" s="86"/>
      <c r="K5102" s="86"/>
      <c r="L5102" s="86"/>
      <c r="M5102" s="86"/>
      <c r="N5102" s="86"/>
      <c r="O5102" s="86"/>
      <c r="P5102" s="86"/>
      <c r="Q5102" s="86"/>
      <c r="R5102" s="86"/>
      <c r="S5102" s="86"/>
      <c r="T5102" s="86"/>
      <c r="U5102" s="86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48"/>
      <c r="BB5102" s="48"/>
      <c r="BC5102" s="48"/>
      <c r="BD5102" s="48"/>
    </row>
    <row r="5103" spans="1:56">
      <c r="A5103" s="48"/>
      <c r="B5103" s="48"/>
      <c r="C5103" s="49"/>
      <c r="D5103" s="48"/>
      <c r="E5103" s="48"/>
      <c r="F5103" s="48"/>
      <c r="G5103" s="48"/>
      <c r="H5103" s="48"/>
      <c r="I5103" s="48"/>
      <c r="J5103" s="86"/>
      <c r="K5103" s="86"/>
      <c r="L5103" s="86"/>
      <c r="M5103" s="86"/>
      <c r="N5103" s="86"/>
      <c r="O5103" s="86"/>
      <c r="P5103" s="86"/>
      <c r="Q5103" s="86"/>
      <c r="R5103" s="86"/>
      <c r="S5103" s="86"/>
      <c r="T5103" s="86"/>
      <c r="U5103" s="86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48"/>
      <c r="BB5103" s="48"/>
      <c r="BC5103" s="48"/>
      <c r="BD5103" s="48"/>
    </row>
    <row r="5104" spans="1:56">
      <c r="A5104" s="48"/>
      <c r="B5104" s="48"/>
      <c r="C5104" s="49"/>
      <c r="D5104" s="48"/>
      <c r="E5104" s="48"/>
      <c r="F5104" s="48"/>
      <c r="G5104" s="48"/>
      <c r="H5104" s="48"/>
      <c r="I5104" s="48"/>
      <c r="J5104" s="86"/>
      <c r="K5104" s="86"/>
      <c r="L5104" s="86"/>
      <c r="M5104" s="86"/>
      <c r="N5104" s="86"/>
      <c r="O5104" s="86"/>
      <c r="P5104" s="86"/>
      <c r="Q5104" s="86"/>
      <c r="R5104" s="86"/>
      <c r="S5104" s="86"/>
      <c r="T5104" s="86"/>
      <c r="U5104" s="86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48"/>
      <c r="BB5104" s="48"/>
      <c r="BC5104" s="48"/>
      <c r="BD5104" s="48"/>
    </row>
    <row r="5105" spans="1:56">
      <c r="A5105" s="48"/>
      <c r="B5105" s="48"/>
      <c r="C5105" s="49"/>
      <c r="D5105" s="48"/>
      <c r="E5105" s="48"/>
      <c r="F5105" s="48"/>
      <c r="G5105" s="48"/>
      <c r="H5105" s="48"/>
      <c r="I5105" s="48"/>
      <c r="J5105" s="86"/>
      <c r="K5105" s="86"/>
      <c r="L5105" s="86"/>
      <c r="M5105" s="86"/>
      <c r="N5105" s="86"/>
      <c r="O5105" s="86"/>
      <c r="P5105" s="86"/>
      <c r="Q5105" s="86"/>
      <c r="R5105" s="86"/>
      <c r="S5105" s="86"/>
      <c r="T5105" s="86"/>
      <c r="U5105" s="86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48"/>
      <c r="BB5105" s="48"/>
      <c r="BC5105" s="48"/>
      <c r="BD5105" s="48"/>
    </row>
    <row r="5106" spans="1:56">
      <c r="A5106" s="48"/>
      <c r="B5106" s="48"/>
      <c r="C5106" s="49"/>
      <c r="D5106" s="48"/>
      <c r="E5106" s="48"/>
      <c r="F5106" s="48"/>
      <c r="G5106" s="48"/>
      <c r="H5106" s="48"/>
      <c r="I5106" s="48"/>
      <c r="J5106" s="86"/>
      <c r="K5106" s="86"/>
      <c r="L5106" s="86"/>
      <c r="M5106" s="86"/>
      <c r="N5106" s="86"/>
      <c r="O5106" s="86"/>
      <c r="P5106" s="86"/>
      <c r="Q5106" s="86"/>
      <c r="R5106" s="86"/>
      <c r="S5106" s="86"/>
      <c r="T5106" s="86"/>
      <c r="U5106" s="86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48"/>
      <c r="BB5106" s="48"/>
      <c r="BC5106" s="48"/>
      <c r="BD5106" s="48"/>
    </row>
    <row r="5107" spans="1:56">
      <c r="A5107" s="48"/>
      <c r="B5107" s="48"/>
      <c r="C5107" s="49"/>
      <c r="D5107" s="48"/>
      <c r="E5107" s="48"/>
      <c r="F5107" s="48"/>
      <c r="G5107" s="48"/>
      <c r="H5107" s="48"/>
      <c r="I5107" s="48"/>
      <c r="J5107" s="86"/>
      <c r="K5107" s="86"/>
      <c r="L5107" s="86"/>
      <c r="M5107" s="86"/>
      <c r="N5107" s="86"/>
      <c r="O5107" s="86"/>
      <c r="P5107" s="86"/>
      <c r="Q5107" s="86"/>
      <c r="R5107" s="86"/>
      <c r="S5107" s="86"/>
      <c r="T5107" s="86"/>
      <c r="U5107" s="86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48"/>
      <c r="BB5107" s="48"/>
      <c r="BC5107" s="48"/>
      <c r="BD5107" s="48"/>
    </row>
    <row r="5108" spans="1:56">
      <c r="A5108" s="48"/>
      <c r="B5108" s="48"/>
      <c r="C5108" s="49"/>
      <c r="D5108" s="48"/>
      <c r="E5108" s="48"/>
      <c r="F5108" s="48"/>
      <c r="G5108" s="48"/>
      <c r="H5108" s="48"/>
      <c r="I5108" s="48"/>
      <c r="J5108" s="86"/>
      <c r="K5108" s="86"/>
      <c r="L5108" s="86"/>
      <c r="M5108" s="86"/>
      <c r="N5108" s="86"/>
      <c r="O5108" s="86"/>
      <c r="P5108" s="86"/>
      <c r="Q5108" s="86"/>
      <c r="R5108" s="86"/>
      <c r="S5108" s="86"/>
      <c r="T5108" s="86"/>
      <c r="U5108" s="86"/>
      <c r="V5108" s="48"/>
      <c r="W5108" s="48"/>
      <c r="X5108" s="48"/>
      <c r="Y5108" s="48"/>
      <c r="Z5108" s="48"/>
      <c r="AA5108" s="48"/>
      <c r="AB5108" s="48"/>
      <c r="AC5108" s="48"/>
      <c r="AD5108" s="48"/>
      <c r="AE5108" s="48"/>
      <c r="AF5108" s="48"/>
      <c r="AG5108" s="48"/>
      <c r="AH5108" s="48"/>
      <c r="AI5108" s="48"/>
      <c r="AJ5108" s="48"/>
      <c r="AK5108" s="48"/>
      <c r="AL5108" s="48"/>
      <c r="AM5108" s="48"/>
      <c r="AN5108" s="48"/>
      <c r="AO5108" s="48"/>
      <c r="AP5108" s="48"/>
      <c r="AQ5108" s="48"/>
      <c r="AR5108" s="48"/>
      <c r="AS5108" s="48"/>
      <c r="AT5108" s="48"/>
      <c r="AU5108" s="48"/>
      <c r="AV5108" s="48"/>
      <c r="AW5108" s="48"/>
      <c r="AX5108" s="48"/>
      <c r="AY5108" s="48"/>
      <c r="AZ5108" s="48"/>
      <c r="BA5108" s="48"/>
      <c r="BB5108" s="48"/>
      <c r="BC5108" s="48"/>
      <c r="BD5108" s="48"/>
    </row>
    <row r="5109" spans="1:56">
      <c r="A5109" s="48"/>
      <c r="B5109" s="48"/>
      <c r="C5109" s="49"/>
      <c r="D5109" s="48"/>
      <c r="E5109" s="48"/>
      <c r="F5109" s="48"/>
      <c r="G5109" s="48"/>
      <c r="H5109" s="48"/>
      <c r="I5109" s="48"/>
      <c r="J5109" s="86"/>
      <c r="K5109" s="86"/>
      <c r="L5109" s="86"/>
      <c r="M5109" s="86"/>
      <c r="N5109" s="86"/>
      <c r="O5109" s="86"/>
      <c r="P5109" s="86"/>
      <c r="Q5109" s="86"/>
      <c r="R5109" s="86"/>
      <c r="S5109" s="86"/>
      <c r="T5109" s="86"/>
      <c r="U5109" s="86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48"/>
      <c r="BB5109" s="48"/>
      <c r="BC5109" s="48"/>
      <c r="BD5109" s="48"/>
    </row>
    <row r="5110" spans="1:56">
      <c r="A5110" s="48"/>
      <c r="B5110" s="48"/>
      <c r="C5110" s="49"/>
      <c r="D5110" s="48"/>
      <c r="E5110" s="48"/>
      <c r="F5110" s="48"/>
      <c r="G5110" s="48"/>
      <c r="H5110" s="48"/>
      <c r="I5110" s="48"/>
      <c r="J5110" s="86"/>
      <c r="K5110" s="86"/>
      <c r="L5110" s="86"/>
      <c r="M5110" s="86"/>
      <c r="N5110" s="86"/>
      <c r="O5110" s="86"/>
      <c r="P5110" s="86"/>
      <c r="Q5110" s="86"/>
      <c r="R5110" s="86"/>
      <c r="S5110" s="86"/>
      <c r="T5110" s="86"/>
      <c r="U5110" s="86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48"/>
      <c r="BB5110" s="48"/>
      <c r="BC5110" s="48"/>
      <c r="BD5110" s="48"/>
    </row>
    <row r="5111" spans="1:56">
      <c r="A5111" s="48"/>
      <c r="B5111" s="48"/>
      <c r="C5111" s="49"/>
      <c r="D5111" s="48"/>
      <c r="E5111" s="48"/>
      <c r="F5111" s="48"/>
      <c r="G5111" s="48"/>
      <c r="H5111" s="48"/>
      <c r="I5111" s="48"/>
      <c r="J5111" s="86"/>
      <c r="K5111" s="86"/>
      <c r="L5111" s="86"/>
      <c r="M5111" s="86"/>
      <c r="N5111" s="86"/>
      <c r="O5111" s="86"/>
      <c r="P5111" s="86"/>
      <c r="Q5111" s="86"/>
      <c r="R5111" s="86"/>
      <c r="S5111" s="86"/>
      <c r="T5111" s="86"/>
      <c r="U5111" s="86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48"/>
      <c r="BB5111" s="48"/>
      <c r="BC5111" s="48"/>
      <c r="BD5111" s="48"/>
    </row>
    <row r="5112" spans="1:56">
      <c r="A5112" s="48"/>
      <c r="B5112" s="48"/>
      <c r="C5112" s="49"/>
      <c r="D5112" s="48"/>
      <c r="E5112" s="48"/>
      <c r="F5112" s="48"/>
      <c r="G5112" s="48"/>
      <c r="H5112" s="48"/>
      <c r="I5112" s="48"/>
      <c r="J5112" s="86"/>
      <c r="K5112" s="86"/>
      <c r="L5112" s="86"/>
      <c r="M5112" s="86"/>
      <c r="N5112" s="86"/>
      <c r="O5112" s="86"/>
      <c r="P5112" s="86"/>
      <c r="Q5112" s="86"/>
      <c r="R5112" s="86"/>
      <c r="S5112" s="86"/>
      <c r="T5112" s="86"/>
      <c r="U5112" s="86"/>
      <c r="V5112" s="48"/>
      <c r="W5112" s="48"/>
      <c r="X5112" s="48"/>
      <c r="Y5112" s="48"/>
      <c r="Z5112" s="48"/>
      <c r="AA5112" s="48"/>
      <c r="AB5112" s="48"/>
      <c r="AC5112" s="48"/>
      <c r="AD5112" s="48"/>
      <c r="AE5112" s="48"/>
      <c r="AF5112" s="48"/>
      <c r="AG5112" s="48"/>
      <c r="AH5112" s="48"/>
      <c r="AI5112" s="48"/>
      <c r="AJ5112" s="48"/>
      <c r="AK5112" s="48"/>
      <c r="AL5112" s="48"/>
      <c r="AM5112" s="48"/>
      <c r="AN5112" s="48"/>
      <c r="AO5112" s="48"/>
      <c r="AP5112" s="48"/>
      <c r="AQ5112" s="48"/>
      <c r="AR5112" s="48"/>
      <c r="AS5112" s="48"/>
      <c r="AT5112" s="48"/>
      <c r="AU5112" s="48"/>
      <c r="AV5112" s="48"/>
      <c r="AW5112" s="48"/>
      <c r="AX5112" s="48"/>
      <c r="AY5112" s="48"/>
      <c r="AZ5112" s="48"/>
      <c r="BA5112" s="48"/>
      <c r="BB5112" s="48"/>
      <c r="BC5112" s="48"/>
      <c r="BD5112" s="48"/>
    </row>
    <row r="5113" spans="1:56">
      <c r="A5113" s="48"/>
      <c r="B5113" s="48"/>
      <c r="C5113" s="49"/>
      <c r="D5113" s="48"/>
      <c r="E5113" s="48"/>
      <c r="F5113" s="48"/>
      <c r="G5113" s="48"/>
      <c r="H5113" s="48"/>
      <c r="I5113" s="48"/>
      <c r="J5113" s="86"/>
      <c r="K5113" s="86"/>
      <c r="L5113" s="86"/>
      <c r="M5113" s="86"/>
      <c r="N5113" s="86"/>
      <c r="O5113" s="86"/>
      <c r="P5113" s="86"/>
      <c r="Q5113" s="86"/>
      <c r="R5113" s="86"/>
      <c r="S5113" s="86"/>
      <c r="T5113" s="86"/>
      <c r="U5113" s="86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48"/>
      <c r="BB5113" s="48"/>
      <c r="BC5113" s="48"/>
      <c r="BD5113" s="48"/>
    </row>
    <row r="5114" spans="1:56">
      <c r="A5114" s="48"/>
      <c r="B5114" s="48"/>
      <c r="C5114" s="49"/>
      <c r="D5114" s="48"/>
      <c r="E5114" s="48"/>
      <c r="F5114" s="48"/>
      <c r="G5114" s="48"/>
      <c r="H5114" s="48"/>
      <c r="I5114" s="48"/>
      <c r="J5114" s="86"/>
      <c r="K5114" s="86"/>
      <c r="L5114" s="86"/>
      <c r="M5114" s="86"/>
      <c r="N5114" s="86"/>
      <c r="O5114" s="86"/>
      <c r="P5114" s="86"/>
      <c r="Q5114" s="86"/>
      <c r="R5114" s="86"/>
      <c r="S5114" s="86"/>
      <c r="T5114" s="86"/>
      <c r="U5114" s="86"/>
      <c r="V5114" s="48"/>
      <c r="W5114" s="48"/>
      <c r="X5114" s="48"/>
      <c r="Y5114" s="48"/>
      <c r="Z5114" s="48"/>
      <c r="AA5114" s="48"/>
      <c r="AB5114" s="48"/>
      <c r="AC5114" s="48"/>
      <c r="AD5114" s="48"/>
      <c r="AE5114" s="48"/>
      <c r="AF5114" s="48"/>
      <c r="AG5114" s="48"/>
      <c r="AH5114" s="48"/>
      <c r="AI5114" s="48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48"/>
      <c r="BB5114" s="48"/>
      <c r="BC5114" s="48"/>
      <c r="BD5114" s="48"/>
    </row>
    <row r="5115" spans="1:56">
      <c r="A5115" s="48"/>
      <c r="B5115" s="48"/>
      <c r="C5115" s="49"/>
      <c r="D5115" s="48"/>
      <c r="E5115" s="48"/>
      <c r="F5115" s="48"/>
      <c r="G5115" s="48"/>
      <c r="H5115" s="48"/>
      <c r="I5115" s="48"/>
      <c r="J5115" s="86"/>
      <c r="K5115" s="86"/>
      <c r="L5115" s="86"/>
      <c r="M5115" s="86"/>
      <c r="N5115" s="86"/>
      <c r="O5115" s="86"/>
      <c r="P5115" s="86"/>
      <c r="Q5115" s="86"/>
      <c r="R5115" s="86"/>
      <c r="S5115" s="86"/>
      <c r="T5115" s="86"/>
      <c r="U5115" s="86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48"/>
      <c r="BB5115" s="48"/>
      <c r="BC5115" s="48"/>
      <c r="BD5115" s="48"/>
    </row>
    <row r="5116" spans="1:56">
      <c r="A5116" s="48"/>
      <c r="B5116" s="48"/>
      <c r="C5116" s="49"/>
      <c r="D5116" s="48"/>
      <c r="E5116" s="48"/>
      <c r="F5116" s="48"/>
      <c r="G5116" s="48"/>
      <c r="H5116" s="48"/>
      <c r="I5116" s="48"/>
      <c r="J5116" s="86"/>
      <c r="K5116" s="86"/>
      <c r="L5116" s="86"/>
      <c r="M5116" s="86"/>
      <c r="N5116" s="86"/>
      <c r="O5116" s="86"/>
      <c r="P5116" s="86"/>
      <c r="Q5116" s="86"/>
      <c r="R5116" s="86"/>
      <c r="S5116" s="86"/>
      <c r="T5116" s="86"/>
      <c r="U5116" s="86"/>
      <c r="V5116" s="48"/>
      <c r="W5116" s="48"/>
      <c r="X5116" s="48"/>
      <c r="Y5116" s="48"/>
      <c r="Z5116" s="48"/>
      <c r="AA5116" s="48"/>
      <c r="AB5116" s="48"/>
      <c r="AC5116" s="48"/>
      <c r="AD5116" s="48"/>
      <c r="AE5116" s="48"/>
      <c r="AF5116" s="48"/>
      <c r="AG5116" s="48"/>
      <c r="AH5116" s="48"/>
      <c r="AI5116" s="48"/>
      <c r="AJ5116" s="48"/>
      <c r="AK5116" s="48"/>
      <c r="AL5116" s="48"/>
      <c r="AM5116" s="48"/>
      <c r="AN5116" s="48"/>
      <c r="AO5116" s="48"/>
      <c r="AP5116" s="48"/>
      <c r="AQ5116" s="48"/>
      <c r="AR5116" s="48"/>
      <c r="AS5116" s="48"/>
      <c r="AT5116" s="48"/>
      <c r="AU5116" s="48"/>
      <c r="AV5116" s="48"/>
      <c r="AW5116" s="48"/>
      <c r="AX5116" s="48"/>
      <c r="AY5116" s="48"/>
      <c r="AZ5116" s="48"/>
      <c r="BA5116" s="48"/>
      <c r="BB5116" s="48"/>
      <c r="BC5116" s="48"/>
      <c r="BD5116" s="48"/>
    </row>
    <row r="5117" spans="1:56">
      <c r="A5117" s="48"/>
      <c r="B5117" s="48"/>
      <c r="C5117" s="49"/>
      <c r="D5117" s="48"/>
      <c r="E5117" s="48"/>
      <c r="F5117" s="48"/>
      <c r="G5117" s="48"/>
      <c r="H5117" s="48"/>
      <c r="I5117" s="48"/>
      <c r="J5117" s="86"/>
      <c r="K5117" s="86"/>
      <c r="L5117" s="86"/>
      <c r="M5117" s="86"/>
      <c r="N5117" s="86"/>
      <c r="O5117" s="86"/>
      <c r="P5117" s="86"/>
      <c r="Q5117" s="86"/>
      <c r="R5117" s="86"/>
      <c r="S5117" s="86"/>
      <c r="T5117" s="86"/>
      <c r="U5117" s="86"/>
      <c r="V5117" s="48"/>
      <c r="W5117" s="48"/>
      <c r="X5117" s="48"/>
      <c r="Y5117" s="48"/>
      <c r="Z5117" s="48"/>
      <c r="AA5117" s="48"/>
      <c r="AB5117" s="48"/>
      <c r="AC5117" s="48"/>
      <c r="AD5117" s="48"/>
      <c r="AE5117" s="48"/>
      <c r="AF5117" s="48"/>
      <c r="AG5117" s="48"/>
      <c r="AH5117" s="48"/>
      <c r="AI5117" s="48"/>
      <c r="AJ5117" s="48"/>
      <c r="AK5117" s="48"/>
      <c r="AL5117" s="48"/>
      <c r="AM5117" s="48"/>
      <c r="AN5117" s="48"/>
      <c r="AO5117" s="48"/>
      <c r="AP5117" s="48"/>
      <c r="AQ5117" s="48"/>
      <c r="AR5117" s="48"/>
      <c r="AS5117" s="48"/>
      <c r="AT5117" s="48"/>
      <c r="AU5117" s="48"/>
      <c r="AV5117" s="48"/>
      <c r="AW5117" s="48"/>
      <c r="AX5117" s="48"/>
      <c r="AY5117" s="48"/>
      <c r="AZ5117" s="48"/>
      <c r="BA5117" s="48"/>
      <c r="BB5117" s="48"/>
      <c r="BC5117" s="48"/>
      <c r="BD5117" s="48"/>
    </row>
    <row r="5118" spans="1:56">
      <c r="A5118" s="48"/>
      <c r="B5118" s="48"/>
      <c r="C5118" s="49"/>
      <c r="D5118" s="48"/>
      <c r="E5118" s="48"/>
      <c r="F5118" s="48"/>
      <c r="G5118" s="48"/>
      <c r="H5118" s="48"/>
      <c r="I5118" s="48"/>
      <c r="J5118" s="86"/>
      <c r="K5118" s="86"/>
      <c r="L5118" s="86"/>
      <c r="M5118" s="86"/>
      <c r="N5118" s="86"/>
      <c r="O5118" s="86"/>
      <c r="P5118" s="86"/>
      <c r="Q5118" s="86"/>
      <c r="R5118" s="86"/>
      <c r="S5118" s="86"/>
      <c r="T5118" s="86"/>
      <c r="U5118" s="86"/>
      <c r="V5118" s="48"/>
      <c r="W5118" s="48"/>
      <c r="X5118" s="48"/>
      <c r="Y5118" s="48"/>
      <c r="Z5118" s="48"/>
      <c r="AA5118" s="48"/>
      <c r="AB5118" s="48"/>
      <c r="AC5118" s="48"/>
      <c r="AD5118" s="48"/>
      <c r="AE5118" s="48"/>
      <c r="AF5118" s="48"/>
      <c r="AG5118" s="48"/>
      <c r="AH5118" s="48"/>
      <c r="AI5118" s="48"/>
      <c r="AJ5118" s="48"/>
      <c r="AK5118" s="48"/>
      <c r="AL5118" s="48"/>
      <c r="AM5118" s="48"/>
      <c r="AN5118" s="48"/>
      <c r="AO5118" s="48"/>
      <c r="AP5118" s="48"/>
      <c r="AQ5118" s="48"/>
      <c r="AR5118" s="48"/>
      <c r="AS5118" s="48"/>
      <c r="AT5118" s="48"/>
      <c r="AU5118" s="48"/>
      <c r="AV5118" s="48"/>
      <c r="AW5118" s="48"/>
      <c r="AX5118" s="48"/>
      <c r="AY5118" s="48"/>
      <c r="AZ5118" s="48"/>
      <c r="BA5118" s="48"/>
      <c r="BB5118" s="48"/>
      <c r="BC5118" s="48"/>
      <c r="BD5118" s="48"/>
    </row>
    <row r="5119" spans="1:56">
      <c r="A5119" s="48"/>
      <c r="B5119" s="48"/>
      <c r="C5119" s="49"/>
      <c r="D5119" s="48"/>
      <c r="E5119" s="48"/>
      <c r="F5119" s="48"/>
      <c r="G5119" s="48"/>
      <c r="H5119" s="48"/>
      <c r="I5119" s="48"/>
      <c r="J5119" s="86"/>
      <c r="K5119" s="86"/>
      <c r="L5119" s="86"/>
      <c r="M5119" s="86"/>
      <c r="N5119" s="86"/>
      <c r="O5119" s="86"/>
      <c r="P5119" s="86"/>
      <c r="Q5119" s="86"/>
      <c r="R5119" s="86"/>
      <c r="S5119" s="86"/>
      <c r="T5119" s="86"/>
      <c r="U5119" s="86"/>
      <c r="V5119" s="48"/>
      <c r="W5119" s="48"/>
      <c r="X5119" s="48"/>
      <c r="Y5119" s="48"/>
      <c r="Z5119" s="48"/>
      <c r="AA5119" s="48"/>
      <c r="AB5119" s="48"/>
      <c r="AC5119" s="48"/>
      <c r="AD5119" s="48"/>
      <c r="AE5119" s="48"/>
      <c r="AF5119" s="48"/>
      <c r="AG5119" s="48"/>
      <c r="AH5119" s="48"/>
      <c r="AI5119" s="48"/>
      <c r="AJ5119" s="48"/>
      <c r="AK5119" s="48"/>
      <c r="AL5119" s="48"/>
      <c r="AM5119" s="48"/>
      <c r="AN5119" s="48"/>
      <c r="AO5119" s="48"/>
      <c r="AP5119" s="48"/>
      <c r="AQ5119" s="48"/>
      <c r="AR5119" s="48"/>
      <c r="AS5119" s="48"/>
      <c r="AT5119" s="48"/>
      <c r="AU5119" s="48"/>
      <c r="AV5119" s="48"/>
      <c r="AW5119" s="48"/>
      <c r="AX5119" s="48"/>
      <c r="AY5119" s="48"/>
      <c r="AZ5119" s="48"/>
      <c r="BA5119" s="48"/>
      <c r="BB5119" s="48"/>
      <c r="BC5119" s="48"/>
      <c r="BD5119" s="48"/>
    </row>
    <row r="5120" spans="1:56">
      <c r="A5120" s="48"/>
      <c r="B5120" s="48"/>
      <c r="C5120" s="49"/>
      <c r="D5120" s="48"/>
      <c r="E5120" s="48"/>
      <c r="F5120" s="48"/>
      <c r="G5120" s="48"/>
      <c r="H5120" s="48"/>
      <c r="I5120" s="48"/>
      <c r="J5120" s="86"/>
      <c r="K5120" s="86"/>
      <c r="L5120" s="86"/>
      <c r="M5120" s="86"/>
      <c r="N5120" s="86"/>
      <c r="O5120" s="86"/>
      <c r="P5120" s="86"/>
      <c r="Q5120" s="86"/>
      <c r="R5120" s="86"/>
      <c r="S5120" s="86"/>
      <c r="T5120" s="86"/>
      <c r="U5120" s="86"/>
      <c r="V5120" s="48"/>
      <c r="W5120" s="48"/>
      <c r="X5120" s="48"/>
      <c r="Y5120" s="48"/>
      <c r="Z5120" s="48"/>
      <c r="AA5120" s="48"/>
      <c r="AB5120" s="48"/>
      <c r="AC5120" s="48"/>
      <c r="AD5120" s="48"/>
      <c r="AE5120" s="48"/>
      <c r="AF5120" s="48"/>
      <c r="AG5120" s="48"/>
      <c r="AH5120" s="48"/>
      <c r="AI5120" s="48"/>
      <c r="AJ5120" s="48"/>
      <c r="AK5120" s="48"/>
      <c r="AL5120" s="48"/>
      <c r="AM5120" s="48"/>
      <c r="AN5120" s="48"/>
      <c r="AO5120" s="48"/>
      <c r="AP5120" s="48"/>
      <c r="AQ5120" s="48"/>
      <c r="AR5120" s="48"/>
      <c r="AS5120" s="48"/>
      <c r="AT5120" s="48"/>
      <c r="AU5120" s="48"/>
      <c r="AV5120" s="48"/>
      <c r="AW5120" s="48"/>
      <c r="AX5120" s="48"/>
      <c r="AY5120" s="48"/>
      <c r="AZ5120" s="48"/>
      <c r="BA5120" s="48"/>
      <c r="BB5120" s="48"/>
      <c r="BC5120" s="48"/>
      <c r="BD5120" s="48"/>
    </row>
    <row r="5121" spans="1:56">
      <c r="A5121" s="48"/>
      <c r="B5121" s="48"/>
      <c r="C5121" s="49"/>
      <c r="D5121" s="48"/>
      <c r="E5121" s="48"/>
      <c r="F5121" s="48"/>
      <c r="G5121" s="48"/>
      <c r="H5121" s="48"/>
      <c r="I5121" s="48"/>
      <c r="J5121" s="86"/>
      <c r="K5121" s="86"/>
      <c r="L5121" s="86"/>
      <c r="M5121" s="86"/>
      <c r="N5121" s="86"/>
      <c r="O5121" s="86"/>
      <c r="P5121" s="86"/>
      <c r="Q5121" s="86"/>
      <c r="R5121" s="86"/>
      <c r="S5121" s="86"/>
      <c r="T5121" s="86"/>
      <c r="U5121" s="86"/>
      <c r="V5121" s="48"/>
      <c r="W5121" s="48"/>
      <c r="X5121" s="48"/>
      <c r="Y5121" s="48"/>
      <c r="Z5121" s="48"/>
      <c r="AA5121" s="48"/>
      <c r="AB5121" s="48"/>
      <c r="AC5121" s="48"/>
      <c r="AD5121" s="48"/>
      <c r="AE5121" s="48"/>
      <c r="AF5121" s="48"/>
      <c r="AG5121" s="48"/>
      <c r="AH5121" s="48"/>
      <c r="AI5121" s="48"/>
      <c r="AJ5121" s="48"/>
      <c r="AK5121" s="48"/>
      <c r="AL5121" s="48"/>
      <c r="AM5121" s="48"/>
      <c r="AN5121" s="48"/>
      <c r="AO5121" s="48"/>
      <c r="AP5121" s="48"/>
      <c r="AQ5121" s="48"/>
      <c r="AR5121" s="48"/>
      <c r="AS5121" s="48"/>
      <c r="AT5121" s="48"/>
      <c r="AU5121" s="48"/>
      <c r="AV5121" s="48"/>
      <c r="AW5121" s="48"/>
      <c r="AX5121" s="48"/>
      <c r="AY5121" s="48"/>
      <c r="AZ5121" s="48"/>
      <c r="BA5121" s="48"/>
      <c r="BB5121" s="48"/>
      <c r="BC5121" s="48"/>
      <c r="BD5121" s="48"/>
    </row>
    <row r="5122" spans="1:56">
      <c r="A5122" s="48"/>
      <c r="B5122" s="48"/>
      <c r="C5122" s="49"/>
      <c r="D5122" s="48"/>
      <c r="E5122" s="48"/>
      <c r="F5122" s="48"/>
      <c r="G5122" s="48"/>
      <c r="H5122" s="48"/>
      <c r="I5122" s="48"/>
      <c r="J5122" s="86"/>
      <c r="K5122" s="86"/>
      <c r="L5122" s="86"/>
      <c r="M5122" s="86"/>
      <c r="N5122" s="86"/>
      <c r="O5122" s="86"/>
      <c r="P5122" s="86"/>
      <c r="Q5122" s="86"/>
      <c r="R5122" s="86"/>
      <c r="S5122" s="86"/>
      <c r="T5122" s="86"/>
      <c r="U5122" s="86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48"/>
      <c r="BB5122" s="48"/>
      <c r="BC5122" s="48"/>
      <c r="BD5122" s="48"/>
    </row>
    <row r="5123" spans="1:56">
      <c r="A5123" s="48"/>
      <c r="B5123" s="48"/>
      <c r="C5123" s="49"/>
      <c r="D5123" s="48"/>
      <c r="E5123" s="48"/>
      <c r="F5123" s="48"/>
      <c r="G5123" s="48"/>
      <c r="H5123" s="48"/>
      <c r="I5123" s="48"/>
      <c r="J5123" s="86"/>
      <c r="K5123" s="86"/>
      <c r="L5123" s="86"/>
      <c r="M5123" s="86"/>
      <c r="N5123" s="86"/>
      <c r="O5123" s="86"/>
      <c r="P5123" s="86"/>
      <c r="Q5123" s="86"/>
      <c r="R5123" s="86"/>
      <c r="S5123" s="86"/>
      <c r="T5123" s="86"/>
      <c r="U5123" s="86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48"/>
      <c r="BB5123" s="48"/>
      <c r="BC5123" s="48"/>
      <c r="BD5123" s="48"/>
    </row>
    <row r="5124" spans="1:56">
      <c r="A5124" s="48"/>
      <c r="B5124" s="48"/>
      <c r="C5124" s="49"/>
      <c r="D5124" s="48"/>
      <c r="E5124" s="48"/>
      <c r="F5124" s="48"/>
      <c r="G5124" s="48"/>
      <c r="H5124" s="48"/>
      <c r="I5124" s="48"/>
      <c r="J5124" s="86"/>
      <c r="K5124" s="86"/>
      <c r="L5124" s="86"/>
      <c r="M5124" s="86"/>
      <c r="N5124" s="86"/>
      <c r="O5124" s="86"/>
      <c r="P5124" s="86"/>
      <c r="Q5124" s="86"/>
      <c r="R5124" s="86"/>
      <c r="S5124" s="86"/>
      <c r="T5124" s="86"/>
      <c r="U5124" s="86"/>
      <c r="V5124" s="48"/>
      <c r="W5124" s="48"/>
      <c r="X5124" s="48"/>
      <c r="Y5124" s="48"/>
      <c r="Z5124" s="48"/>
      <c r="AA5124" s="48"/>
      <c r="AB5124" s="48"/>
      <c r="AC5124" s="48"/>
      <c r="AD5124" s="48"/>
      <c r="AE5124" s="48"/>
      <c r="AF5124" s="48"/>
      <c r="AG5124" s="48"/>
      <c r="AH5124" s="48"/>
      <c r="AI5124" s="48"/>
      <c r="AJ5124" s="48"/>
      <c r="AK5124" s="48"/>
      <c r="AL5124" s="48"/>
      <c r="AM5124" s="48"/>
      <c r="AN5124" s="48"/>
      <c r="AO5124" s="48"/>
      <c r="AP5124" s="48"/>
      <c r="AQ5124" s="48"/>
      <c r="AR5124" s="48"/>
      <c r="AS5124" s="48"/>
      <c r="AT5124" s="48"/>
      <c r="AU5124" s="48"/>
      <c r="AV5124" s="48"/>
      <c r="AW5124" s="48"/>
      <c r="AX5124" s="48"/>
      <c r="AY5124" s="48"/>
      <c r="AZ5124" s="48"/>
      <c r="BA5124" s="48"/>
      <c r="BB5124" s="48"/>
      <c r="BC5124" s="48"/>
      <c r="BD5124" s="48"/>
    </row>
    <row r="5125" spans="1:56">
      <c r="A5125" s="48"/>
      <c r="B5125" s="48"/>
      <c r="C5125" s="49"/>
      <c r="D5125" s="48"/>
      <c r="E5125" s="48"/>
      <c r="F5125" s="48"/>
      <c r="G5125" s="48"/>
      <c r="H5125" s="48"/>
      <c r="I5125" s="48"/>
      <c r="J5125" s="86"/>
      <c r="K5125" s="86"/>
      <c r="L5125" s="86"/>
      <c r="M5125" s="86"/>
      <c r="N5125" s="86"/>
      <c r="O5125" s="86"/>
      <c r="P5125" s="86"/>
      <c r="Q5125" s="86"/>
      <c r="R5125" s="86"/>
      <c r="S5125" s="86"/>
      <c r="T5125" s="86"/>
      <c r="U5125" s="86"/>
      <c r="V5125" s="48"/>
      <c r="W5125" s="48"/>
      <c r="X5125" s="48"/>
      <c r="Y5125" s="48"/>
      <c r="Z5125" s="48"/>
      <c r="AA5125" s="48"/>
      <c r="AB5125" s="48"/>
      <c r="AC5125" s="48"/>
      <c r="AD5125" s="48"/>
      <c r="AE5125" s="48"/>
      <c r="AF5125" s="48"/>
      <c r="AG5125" s="48"/>
      <c r="AH5125" s="48"/>
      <c r="AI5125" s="48"/>
      <c r="AJ5125" s="48"/>
      <c r="AK5125" s="48"/>
      <c r="AL5125" s="48"/>
      <c r="AM5125" s="48"/>
      <c r="AN5125" s="48"/>
      <c r="AO5125" s="48"/>
      <c r="AP5125" s="48"/>
      <c r="AQ5125" s="48"/>
      <c r="AR5125" s="48"/>
      <c r="AS5125" s="48"/>
      <c r="AT5125" s="48"/>
      <c r="AU5125" s="48"/>
      <c r="AV5125" s="48"/>
      <c r="AW5125" s="48"/>
      <c r="AX5125" s="48"/>
      <c r="AY5125" s="48"/>
      <c r="AZ5125" s="48"/>
      <c r="BA5125" s="48"/>
      <c r="BB5125" s="48"/>
      <c r="BC5125" s="48"/>
      <c r="BD5125" s="48"/>
    </row>
    <row r="5126" spans="1:56">
      <c r="A5126" s="48"/>
      <c r="B5126" s="48"/>
      <c r="C5126" s="49"/>
      <c r="D5126" s="48"/>
      <c r="E5126" s="48"/>
      <c r="F5126" s="48"/>
      <c r="G5126" s="48"/>
      <c r="H5126" s="48"/>
      <c r="I5126" s="48"/>
      <c r="J5126" s="86"/>
      <c r="K5126" s="86"/>
      <c r="L5126" s="86"/>
      <c r="M5126" s="86"/>
      <c r="N5126" s="86"/>
      <c r="O5126" s="86"/>
      <c r="P5126" s="86"/>
      <c r="Q5126" s="86"/>
      <c r="R5126" s="86"/>
      <c r="S5126" s="86"/>
      <c r="T5126" s="86"/>
      <c r="U5126" s="86"/>
      <c r="V5126" s="48"/>
      <c r="W5126" s="48"/>
      <c r="X5126" s="48"/>
      <c r="Y5126" s="48"/>
      <c r="Z5126" s="48"/>
      <c r="AA5126" s="48"/>
      <c r="AB5126" s="48"/>
      <c r="AC5126" s="48"/>
      <c r="AD5126" s="48"/>
      <c r="AE5126" s="48"/>
      <c r="AF5126" s="48"/>
      <c r="AG5126" s="48"/>
      <c r="AH5126" s="48"/>
      <c r="AI5126" s="48"/>
      <c r="AJ5126" s="48"/>
      <c r="AK5126" s="48"/>
      <c r="AL5126" s="48"/>
      <c r="AM5126" s="48"/>
      <c r="AN5126" s="48"/>
      <c r="AO5126" s="48"/>
      <c r="AP5126" s="48"/>
      <c r="AQ5126" s="48"/>
      <c r="AR5126" s="48"/>
      <c r="AS5126" s="48"/>
      <c r="AT5126" s="48"/>
      <c r="AU5126" s="48"/>
      <c r="AV5126" s="48"/>
      <c r="AW5126" s="48"/>
      <c r="AX5126" s="48"/>
      <c r="AY5126" s="48"/>
      <c r="AZ5126" s="48"/>
      <c r="BA5126" s="48"/>
      <c r="BB5126" s="48"/>
      <c r="BC5126" s="48"/>
      <c r="BD5126" s="48"/>
    </row>
    <row r="5127" spans="1:56">
      <c r="A5127" s="48"/>
      <c r="B5127" s="48"/>
      <c r="C5127" s="49"/>
      <c r="D5127" s="48"/>
      <c r="E5127" s="48"/>
      <c r="F5127" s="48"/>
      <c r="G5127" s="48"/>
      <c r="H5127" s="48"/>
      <c r="I5127" s="48"/>
      <c r="J5127" s="86"/>
      <c r="K5127" s="86"/>
      <c r="L5127" s="86"/>
      <c r="M5127" s="86"/>
      <c r="N5127" s="86"/>
      <c r="O5127" s="86"/>
      <c r="P5127" s="86"/>
      <c r="Q5127" s="86"/>
      <c r="R5127" s="86"/>
      <c r="S5127" s="86"/>
      <c r="T5127" s="86"/>
      <c r="U5127" s="86"/>
      <c r="V5127" s="48"/>
      <c r="W5127" s="48"/>
      <c r="X5127" s="48"/>
      <c r="Y5127" s="48"/>
      <c r="Z5127" s="48"/>
      <c r="AA5127" s="48"/>
      <c r="AB5127" s="48"/>
      <c r="AC5127" s="48"/>
      <c r="AD5127" s="48"/>
      <c r="AE5127" s="48"/>
      <c r="AF5127" s="48"/>
      <c r="AG5127" s="48"/>
      <c r="AH5127" s="48"/>
      <c r="AI5127" s="48"/>
      <c r="AJ5127" s="48"/>
      <c r="AK5127" s="48"/>
      <c r="AL5127" s="48"/>
      <c r="AM5127" s="48"/>
      <c r="AN5127" s="48"/>
      <c r="AO5127" s="48"/>
      <c r="AP5127" s="48"/>
      <c r="AQ5127" s="48"/>
      <c r="AR5127" s="48"/>
      <c r="AS5127" s="48"/>
      <c r="AT5127" s="48"/>
      <c r="AU5127" s="48"/>
      <c r="AV5127" s="48"/>
      <c r="AW5127" s="48"/>
      <c r="AX5127" s="48"/>
      <c r="AY5127" s="48"/>
      <c r="AZ5127" s="48"/>
      <c r="BA5127" s="48"/>
      <c r="BB5127" s="48"/>
      <c r="BC5127" s="48"/>
      <c r="BD5127" s="48"/>
    </row>
    <row r="5128" spans="1:56">
      <c r="A5128" s="48"/>
      <c r="B5128" s="48"/>
      <c r="C5128" s="49"/>
      <c r="D5128" s="48"/>
      <c r="E5128" s="48"/>
      <c r="F5128" s="48"/>
      <c r="G5128" s="48"/>
      <c r="H5128" s="48"/>
      <c r="I5128" s="48"/>
      <c r="J5128" s="86"/>
      <c r="K5128" s="86"/>
      <c r="L5128" s="86"/>
      <c r="M5128" s="86"/>
      <c r="N5128" s="86"/>
      <c r="O5128" s="86"/>
      <c r="P5128" s="86"/>
      <c r="Q5128" s="86"/>
      <c r="R5128" s="86"/>
      <c r="S5128" s="86"/>
      <c r="T5128" s="86"/>
      <c r="U5128" s="86"/>
      <c r="V5128" s="48"/>
      <c r="W5128" s="48"/>
      <c r="X5128" s="48"/>
      <c r="Y5128" s="48"/>
      <c r="Z5128" s="48"/>
      <c r="AA5128" s="48"/>
      <c r="AB5128" s="48"/>
      <c r="AC5128" s="48"/>
      <c r="AD5128" s="48"/>
      <c r="AE5128" s="48"/>
      <c r="AF5128" s="48"/>
      <c r="AG5128" s="48"/>
      <c r="AH5128" s="48"/>
      <c r="AI5128" s="48"/>
      <c r="AJ5128" s="48"/>
      <c r="AK5128" s="48"/>
      <c r="AL5128" s="48"/>
      <c r="AM5128" s="48"/>
      <c r="AN5128" s="48"/>
      <c r="AO5128" s="48"/>
      <c r="AP5128" s="48"/>
      <c r="AQ5128" s="48"/>
      <c r="AR5128" s="48"/>
      <c r="AS5128" s="48"/>
      <c r="AT5128" s="48"/>
      <c r="AU5128" s="48"/>
      <c r="AV5128" s="48"/>
      <c r="AW5128" s="48"/>
      <c r="AX5128" s="48"/>
      <c r="AY5128" s="48"/>
      <c r="AZ5128" s="48"/>
      <c r="BA5128" s="48"/>
      <c r="BB5128" s="48"/>
      <c r="BC5128" s="48"/>
      <c r="BD5128" s="48"/>
    </row>
    <row r="5129" spans="1:56">
      <c r="A5129" s="48"/>
      <c r="B5129" s="48"/>
      <c r="C5129" s="49"/>
      <c r="D5129" s="48"/>
      <c r="E5129" s="48"/>
      <c r="F5129" s="48"/>
      <c r="G5129" s="48"/>
      <c r="H5129" s="48"/>
      <c r="I5129" s="48"/>
      <c r="J5129" s="86"/>
      <c r="K5129" s="86"/>
      <c r="L5129" s="86"/>
      <c r="M5129" s="86"/>
      <c r="N5129" s="86"/>
      <c r="O5129" s="86"/>
      <c r="P5129" s="86"/>
      <c r="Q5129" s="86"/>
      <c r="R5129" s="86"/>
      <c r="S5129" s="86"/>
      <c r="T5129" s="86"/>
      <c r="U5129" s="86"/>
      <c r="V5129" s="48"/>
      <c r="W5129" s="48"/>
      <c r="X5129" s="48"/>
      <c r="Y5129" s="48"/>
      <c r="Z5129" s="48"/>
      <c r="AA5129" s="48"/>
      <c r="AB5129" s="48"/>
      <c r="AC5129" s="48"/>
      <c r="AD5129" s="48"/>
      <c r="AE5129" s="48"/>
      <c r="AF5129" s="48"/>
      <c r="AG5129" s="48"/>
      <c r="AH5129" s="48"/>
      <c r="AI5129" s="48"/>
      <c r="AJ5129" s="48"/>
      <c r="AK5129" s="48"/>
      <c r="AL5129" s="48"/>
      <c r="AM5129" s="48"/>
      <c r="AN5129" s="48"/>
      <c r="AO5129" s="48"/>
      <c r="AP5129" s="48"/>
      <c r="AQ5129" s="48"/>
      <c r="AR5129" s="48"/>
      <c r="AS5129" s="48"/>
      <c r="AT5129" s="48"/>
      <c r="AU5129" s="48"/>
      <c r="AV5129" s="48"/>
      <c r="AW5129" s="48"/>
      <c r="AX5129" s="48"/>
      <c r="AY5129" s="48"/>
      <c r="AZ5129" s="48"/>
      <c r="BA5129" s="48"/>
      <c r="BB5129" s="48"/>
      <c r="BC5129" s="48"/>
      <c r="BD5129" s="48"/>
    </row>
    <row r="5130" spans="1:56">
      <c r="A5130" s="48"/>
      <c r="B5130" s="48"/>
      <c r="C5130" s="49"/>
      <c r="D5130" s="48"/>
      <c r="E5130" s="48"/>
      <c r="F5130" s="48"/>
      <c r="G5130" s="48"/>
      <c r="H5130" s="48"/>
      <c r="I5130" s="48"/>
      <c r="J5130" s="86"/>
      <c r="K5130" s="86"/>
      <c r="L5130" s="86"/>
      <c r="M5130" s="86"/>
      <c r="N5130" s="86"/>
      <c r="O5130" s="86"/>
      <c r="P5130" s="86"/>
      <c r="Q5130" s="86"/>
      <c r="R5130" s="86"/>
      <c r="S5130" s="86"/>
      <c r="T5130" s="86"/>
      <c r="U5130" s="86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48"/>
      <c r="BB5130" s="48"/>
      <c r="BC5130" s="48"/>
      <c r="BD5130" s="48"/>
    </row>
    <row r="5131" spans="1:56">
      <c r="A5131" s="48"/>
      <c r="B5131" s="48"/>
      <c r="C5131" s="49"/>
      <c r="D5131" s="48"/>
      <c r="E5131" s="48"/>
      <c r="F5131" s="48"/>
      <c r="G5131" s="48"/>
      <c r="H5131" s="48"/>
      <c r="I5131" s="48"/>
      <c r="J5131" s="86"/>
      <c r="K5131" s="86"/>
      <c r="L5131" s="86"/>
      <c r="M5131" s="86"/>
      <c r="N5131" s="86"/>
      <c r="O5131" s="86"/>
      <c r="P5131" s="86"/>
      <c r="Q5131" s="86"/>
      <c r="R5131" s="86"/>
      <c r="S5131" s="86"/>
      <c r="T5131" s="86"/>
      <c r="U5131" s="86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48"/>
      <c r="BB5131" s="48"/>
      <c r="BC5131" s="48"/>
      <c r="BD5131" s="48"/>
    </row>
    <row r="5132" spans="1:56">
      <c r="A5132" s="48"/>
      <c r="B5132" s="48"/>
      <c r="C5132" s="49"/>
      <c r="D5132" s="48"/>
      <c r="E5132" s="48"/>
      <c r="F5132" s="48"/>
      <c r="G5132" s="48"/>
      <c r="H5132" s="48"/>
      <c r="I5132" s="48"/>
      <c r="J5132" s="86"/>
      <c r="K5132" s="86"/>
      <c r="L5132" s="86"/>
      <c r="M5132" s="86"/>
      <c r="N5132" s="86"/>
      <c r="O5132" s="86"/>
      <c r="P5132" s="86"/>
      <c r="Q5132" s="86"/>
      <c r="R5132" s="86"/>
      <c r="S5132" s="86"/>
      <c r="T5132" s="86"/>
      <c r="U5132" s="86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48"/>
      <c r="BB5132" s="48"/>
      <c r="BC5132" s="48"/>
      <c r="BD5132" s="48"/>
    </row>
    <row r="5133" spans="1:56">
      <c r="A5133" s="48"/>
      <c r="B5133" s="48"/>
      <c r="C5133" s="49"/>
      <c r="D5133" s="48"/>
      <c r="E5133" s="48"/>
      <c r="F5133" s="48"/>
      <c r="G5133" s="48"/>
      <c r="H5133" s="48"/>
      <c r="I5133" s="48"/>
      <c r="J5133" s="86"/>
      <c r="K5133" s="86"/>
      <c r="L5133" s="86"/>
      <c r="M5133" s="86"/>
      <c r="N5133" s="86"/>
      <c r="O5133" s="86"/>
      <c r="P5133" s="86"/>
      <c r="Q5133" s="86"/>
      <c r="R5133" s="86"/>
      <c r="S5133" s="86"/>
      <c r="T5133" s="86"/>
      <c r="U5133" s="86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48"/>
      <c r="BB5133" s="48"/>
      <c r="BC5133" s="48"/>
      <c r="BD5133" s="48"/>
    </row>
    <row r="5134" spans="1:56">
      <c r="A5134" s="48"/>
      <c r="B5134" s="48"/>
      <c r="C5134" s="49"/>
      <c r="D5134" s="48"/>
      <c r="E5134" s="48"/>
      <c r="F5134" s="48"/>
      <c r="G5134" s="48"/>
      <c r="H5134" s="48"/>
      <c r="I5134" s="48"/>
      <c r="J5134" s="86"/>
      <c r="K5134" s="86"/>
      <c r="L5134" s="86"/>
      <c r="M5134" s="86"/>
      <c r="N5134" s="86"/>
      <c r="O5134" s="86"/>
      <c r="P5134" s="86"/>
      <c r="Q5134" s="86"/>
      <c r="R5134" s="86"/>
      <c r="S5134" s="86"/>
      <c r="T5134" s="86"/>
      <c r="U5134" s="86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48"/>
      <c r="BB5134" s="48"/>
      <c r="BC5134" s="48"/>
      <c r="BD5134" s="48"/>
    </row>
    <row r="5135" spans="1:56">
      <c r="A5135" s="48"/>
      <c r="B5135" s="48"/>
      <c r="C5135" s="49"/>
      <c r="D5135" s="48"/>
      <c r="E5135" s="48"/>
      <c r="F5135" s="48"/>
      <c r="G5135" s="48"/>
      <c r="H5135" s="48"/>
      <c r="I5135" s="48"/>
      <c r="J5135" s="86"/>
      <c r="K5135" s="86"/>
      <c r="L5135" s="86"/>
      <c r="M5135" s="86"/>
      <c r="N5135" s="86"/>
      <c r="O5135" s="86"/>
      <c r="P5135" s="86"/>
      <c r="Q5135" s="86"/>
      <c r="R5135" s="86"/>
      <c r="S5135" s="86"/>
      <c r="T5135" s="86"/>
      <c r="U5135" s="86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48"/>
      <c r="BA5135" s="48"/>
      <c r="BB5135" s="48"/>
      <c r="BC5135" s="48"/>
      <c r="BD5135" s="48"/>
    </row>
    <row r="5136" spans="1:56">
      <c r="A5136" s="48"/>
      <c r="B5136" s="48"/>
      <c r="C5136" s="49"/>
      <c r="D5136" s="48"/>
      <c r="E5136" s="48"/>
      <c r="F5136" s="48"/>
      <c r="G5136" s="48"/>
      <c r="H5136" s="48"/>
      <c r="I5136" s="48"/>
      <c r="J5136" s="86"/>
      <c r="K5136" s="86"/>
      <c r="L5136" s="86"/>
      <c r="M5136" s="86"/>
      <c r="N5136" s="86"/>
      <c r="O5136" s="86"/>
      <c r="P5136" s="86"/>
      <c r="Q5136" s="86"/>
      <c r="R5136" s="86"/>
      <c r="S5136" s="86"/>
      <c r="T5136" s="86"/>
      <c r="U5136" s="86"/>
      <c r="V5136" s="48"/>
      <c r="W5136" s="48"/>
      <c r="X5136" s="48"/>
      <c r="Y5136" s="48"/>
      <c r="Z5136" s="48"/>
      <c r="AA5136" s="48"/>
      <c r="AB5136" s="48"/>
      <c r="AC5136" s="48"/>
      <c r="AD5136" s="48"/>
      <c r="AE5136" s="48"/>
      <c r="AF5136" s="48"/>
      <c r="AG5136" s="48"/>
      <c r="AH5136" s="48"/>
      <c r="AI5136" s="48"/>
      <c r="AJ5136" s="48"/>
      <c r="AK5136" s="48"/>
      <c r="AL5136" s="48"/>
      <c r="AM5136" s="48"/>
      <c r="AN5136" s="48"/>
      <c r="AO5136" s="48"/>
      <c r="AP5136" s="48"/>
      <c r="AQ5136" s="48"/>
      <c r="AR5136" s="48"/>
      <c r="AS5136" s="48"/>
      <c r="AT5136" s="48"/>
      <c r="AU5136" s="48"/>
      <c r="AV5136" s="48"/>
      <c r="AW5136" s="48"/>
      <c r="AX5136" s="48"/>
      <c r="AY5136" s="48"/>
      <c r="AZ5136" s="48"/>
      <c r="BA5136" s="48"/>
      <c r="BB5136" s="48"/>
      <c r="BC5136" s="48"/>
      <c r="BD5136" s="48"/>
    </row>
    <row r="5137" spans="1:56">
      <c r="A5137" s="48"/>
      <c r="B5137" s="48"/>
      <c r="C5137" s="49"/>
      <c r="D5137" s="48"/>
      <c r="E5137" s="48"/>
      <c r="F5137" s="48"/>
      <c r="G5137" s="48"/>
      <c r="H5137" s="48"/>
      <c r="I5137" s="48"/>
      <c r="J5137" s="86"/>
      <c r="K5137" s="86"/>
      <c r="L5137" s="86"/>
      <c r="M5137" s="86"/>
      <c r="N5137" s="86"/>
      <c r="O5137" s="86"/>
      <c r="P5137" s="86"/>
      <c r="Q5137" s="86"/>
      <c r="R5137" s="86"/>
      <c r="S5137" s="86"/>
      <c r="T5137" s="86"/>
      <c r="U5137" s="86"/>
      <c r="V5137" s="48"/>
      <c r="W5137" s="48"/>
      <c r="X5137" s="48"/>
      <c r="Y5137" s="48"/>
      <c r="Z5137" s="48"/>
      <c r="AA5137" s="48"/>
      <c r="AB5137" s="48"/>
      <c r="AC5137" s="48"/>
      <c r="AD5137" s="48"/>
      <c r="AE5137" s="48"/>
      <c r="AF5137" s="48"/>
      <c r="AG5137" s="48"/>
      <c r="AH5137" s="48"/>
      <c r="AI5137" s="48"/>
      <c r="AJ5137" s="48"/>
      <c r="AK5137" s="48"/>
      <c r="AL5137" s="48"/>
      <c r="AM5137" s="48"/>
      <c r="AN5137" s="48"/>
      <c r="AO5137" s="48"/>
      <c r="AP5137" s="48"/>
      <c r="AQ5137" s="48"/>
      <c r="AR5137" s="48"/>
      <c r="AS5137" s="48"/>
      <c r="AT5137" s="48"/>
      <c r="AU5137" s="48"/>
      <c r="AV5137" s="48"/>
      <c r="AW5137" s="48"/>
      <c r="AX5137" s="48"/>
      <c r="AY5137" s="48"/>
      <c r="AZ5137" s="48"/>
      <c r="BA5137" s="48"/>
      <c r="BB5137" s="48"/>
      <c r="BC5137" s="48"/>
      <c r="BD5137" s="48"/>
    </row>
    <row r="5138" spans="1:56">
      <c r="A5138" s="48"/>
      <c r="B5138" s="48"/>
      <c r="C5138" s="49"/>
      <c r="D5138" s="48"/>
      <c r="E5138" s="48"/>
      <c r="F5138" s="48"/>
      <c r="G5138" s="48"/>
      <c r="H5138" s="48"/>
      <c r="I5138" s="48"/>
      <c r="J5138" s="86"/>
      <c r="K5138" s="86"/>
      <c r="L5138" s="86"/>
      <c r="M5138" s="86"/>
      <c r="N5138" s="86"/>
      <c r="O5138" s="86"/>
      <c r="P5138" s="86"/>
      <c r="Q5138" s="86"/>
      <c r="R5138" s="86"/>
      <c r="S5138" s="86"/>
      <c r="T5138" s="86"/>
      <c r="U5138" s="86"/>
      <c r="V5138" s="48"/>
      <c r="W5138" s="48"/>
      <c r="X5138" s="48"/>
      <c r="Y5138" s="48"/>
      <c r="Z5138" s="48"/>
      <c r="AA5138" s="48"/>
      <c r="AB5138" s="48"/>
      <c r="AC5138" s="48"/>
      <c r="AD5138" s="48"/>
      <c r="AE5138" s="48"/>
      <c r="AF5138" s="48"/>
      <c r="AG5138" s="48"/>
      <c r="AH5138" s="48"/>
      <c r="AI5138" s="48"/>
      <c r="AJ5138" s="48"/>
      <c r="AK5138" s="48"/>
      <c r="AL5138" s="48"/>
      <c r="AM5138" s="48"/>
      <c r="AN5138" s="48"/>
      <c r="AO5138" s="48"/>
      <c r="AP5138" s="48"/>
      <c r="AQ5138" s="48"/>
      <c r="AR5138" s="48"/>
      <c r="AS5138" s="48"/>
      <c r="AT5138" s="48"/>
      <c r="AU5138" s="48"/>
      <c r="AV5138" s="48"/>
      <c r="AW5138" s="48"/>
      <c r="AX5138" s="48"/>
      <c r="AY5138" s="48"/>
      <c r="AZ5138" s="48"/>
      <c r="BA5138" s="48"/>
      <c r="BB5138" s="48"/>
      <c r="BC5138" s="48"/>
      <c r="BD5138" s="48"/>
    </row>
    <row r="5139" spans="1:56">
      <c r="A5139" s="48"/>
      <c r="B5139" s="48"/>
      <c r="C5139" s="49"/>
      <c r="D5139" s="48"/>
      <c r="E5139" s="48"/>
      <c r="F5139" s="48"/>
      <c r="G5139" s="48"/>
      <c r="H5139" s="48"/>
      <c r="I5139" s="48"/>
      <c r="J5139" s="86"/>
      <c r="K5139" s="86"/>
      <c r="L5139" s="86"/>
      <c r="M5139" s="86"/>
      <c r="N5139" s="86"/>
      <c r="O5139" s="86"/>
      <c r="P5139" s="86"/>
      <c r="Q5139" s="86"/>
      <c r="R5139" s="86"/>
      <c r="S5139" s="86"/>
      <c r="T5139" s="86"/>
      <c r="U5139" s="86"/>
      <c r="V5139" s="48"/>
      <c r="W5139" s="48"/>
      <c r="X5139" s="48"/>
      <c r="Y5139" s="48"/>
      <c r="Z5139" s="48"/>
      <c r="AA5139" s="48"/>
      <c r="AB5139" s="48"/>
      <c r="AC5139" s="48"/>
      <c r="AD5139" s="48"/>
      <c r="AE5139" s="48"/>
      <c r="AF5139" s="48"/>
      <c r="AG5139" s="48"/>
      <c r="AH5139" s="48"/>
      <c r="AI5139" s="48"/>
      <c r="AJ5139" s="48"/>
      <c r="AK5139" s="48"/>
      <c r="AL5139" s="48"/>
      <c r="AM5139" s="48"/>
      <c r="AN5139" s="48"/>
      <c r="AO5139" s="48"/>
      <c r="AP5139" s="48"/>
      <c r="AQ5139" s="48"/>
      <c r="AR5139" s="48"/>
      <c r="AS5139" s="48"/>
      <c r="AT5139" s="48"/>
      <c r="AU5139" s="48"/>
      <c r="AV5139" s="48"/>
      <c r="AW5139" s="48"/>
      <c r="AX5139" s="48"/>
      <c r="AY5139" s="48"/>
      <c r="AZ5139" s="48"/>
      <c r="BA5139" s="48"/>
      <c r="BB5139" s="48"/>
      <c r="BC5139" s="48"/>
      <c r="BD5139" s="48"/>
    </row>
    <row r="5140" spans="1:56">
      <c r="A5140" s="48"/>
      <c r="B5140" s="48"/>
      <c r="C5140" s="49"/>
      <c r="D5140" s="48"/>
      <c r="E5140" s="48"/>
      <c r="F5140" s="48"/>
      <c r="G5140" s="48"/>
      <c r="H5140" s="48"/>
      <c r="I5140" s="48"/>
      <c r="J5140" s="86"/>
      <c r="K5140" s="86"/>
      <c r="L5140" s="86"/>
      <c r="M5140" s="86"/>
      <c r="N5140" s="86"/>
      <c r="O5140" s="86"/>
      <c r="P5140" s="86"/>
      <c r="Q5140" s="86"/>
      <c r="R5140" s="86"/>
      <c r="S5140" s="86"/>
      <c r="T5140" s="86"/>
      <c r="U5140" s="86"/>
      <c r="V5140" s="48"/>
      <c r="W5140" s="48"/>
      <c r="X5140" s="48"/>
      <c r="Y5140" s="48"/>
      <c r="Z5140" s="48"/>
      <c r="AA5140" s="48"/>
      <c r="AB5140" s="48"/>
      <c r="AC5140" s="48"/>
      <c r="AD5140" s="48"/>
      <c r="AE5140" s="48"/>
      <c r="AF5140" s="48"/>
      <c r="AG5140" s="48"/>
      <c r="AH5140" s="48"/>
      <c r="AI5140" s="48"/>
      <c r="AJ5140" s="48"/>
      <c r="AK5140" s="48"/>
      <c r="AL5140" s="48"/>
      <c r="AM5140" s="48"/>
      <c r="AN5140" s="48"/>
      <c r="AO5140" s="48"/>
      <c r="AP5140" s="48"/>
      <c r="AQ5140" s="48"/>
      <c r="AR5140" s="48"/>
      <c r="AS5140" s="48"/>
      <c r="AT5140" s="48"/>
      <c r="AU5140" s="48"/>
      <c r="AV5140" s="48"/>
      <c r="AW5140" s="48"/>
      <c r="AX5140" s="48"/>
      <c r="AY5140" s="48"/>
      <c r="AZ5140" s="48"/>
      <c r="BA5140" s="48"/>
      <c r="BB5140" s="48"/>
      <c r="BC5140" s="48"/>
      <c r="BD5140" s="48"/>
    </row>
    <row r="5141" spans="1:56">
      <c r="A5141" s="48"/>
      <c r="B5141" s="48"/>
      <c r="C5141" s="49"/>
      <c r="D5141" s="48"/>
      <c r="E5141" s="48"/>
      <c r="F5141" s="48"/>
      <c r="G5141" s="48"/>
      <c r="H5141" s="48"/>
      <c r="I5141" s="48"/>
      <c r="J5141" s="86"/>
      <c r="K5141" s="86"/>
      <c r="L5141" s="86"/>
      <c r="M5141" s="86"/>
      <c r="N5141" s="86"/>
      <c r="O5141" s="86"/>
      <c r="P5141" s="86"/>
      <c r="Q5141" s="86"/>
      <c r="R5141" s="86"/>
      <c r="S5141" s="86"/>
      <c r="T5141" s="86"/>
      <c r="U5141" s="86"/>
      <c r="V5141" s="48"/>
      <c r="W5141" s="48"/>
      <c r="X5141" s="48"/>
      <c r="Y5141" s="48"/>
      <c r="Z5141" s="48"/>
      <c r="AA5141" s="48"/>
      <c r="AB5141" s="48"/>
      <c r="AC5141" s="48"/>
      <c r="AD5141" s="48"/>
      <c r="AE5141" s="48"/>
      <c r="AF5141" s="48"/>
      <c r="AG5141" s="48"/>
      <c r="AH5141" s="48"/>
      <c r="AI5141" s="48"/>
      <c r="AJ5141" s="48"/>
      <c r="AK5141" s="48"/>
      <c r="AL5141" s="48"/>
      <c r="AM5141" s="48"/>
      <c r="AN5141" s="48"/>
      <c r="AO5141" s="48"/>
      <c r="AP5141" s="48"/>
      <c r="AQ5141" s="48"/>
      <c r="AR5141" s="48"/>
      <c r="AS5141" s="48"/>
      <c r="AT5141" s="48"/>
      <c r="AU5141" s="48"/>
      <c r="AV5141" s="48"/>
      <c r="AW5141" s="48"/>
      <c r="AX5141" s="48"/>
      <c r="AY5141" s="48"/>
      <c r="AZ5141" s="48"/>
      <c r="BA5141" s="48"/>
      <c r="BB5141" s="48"/>
      <c r="BC5141" s="48"/>
      <c r="BD5141" s="48"/>
    </row>
    <row r="5142" spans="1:56">
      <c r="A5142" s="48"/>
      <c r="B5142" s="48"/>
      <c r="C5142" s="49"/>
      <c r="D5142" s="48"/>
      <c r="E5142" s="48"/>
      <c r="F5142" s="48"/>
      <c r="G5142" s="48"/>
      <c r="H5142" s="48"/>
      <c r="I5142" s="48"/>
      <c r="J5142" s="86"/>
      <c r="K5142" s="86"/>
      <c r="L5142" s="86"/>
      <c r="M5142" s="86"/>
      <c r="N5142" s="86"/>
      <c r="O5142" s="86"/>
      <c r="P5142" s="86"/>
      <c r="Q5142" s="86"/>
      <c r="R5142" s="86"/>
      <c r="S5142" s="86"/>
      <c r="T5142" s="86"/>
      <c r="U5142" s="86"/>
      <c r="V5142" s="48"/>
      <c r="W5142" s="48"/>
      <c r="X5142" s="48"/>
      <c r="Y5142" s="48"/>
      <c r="Z5142" s="48"/>
      <c r="AA5142" s="48"/>
      <c r="AB5142" s="48"/>
      <c r="AC5142" s="48"/>
      <c r="AD5142" s="48"/>
      <c r="AE5142" s="48"/>
      <c r="AF5142" s="48"/>
      <c r="AG5142" s="48"/>
      <c r="AH5142" s="48"/>
      <c r="AI5142" s="48"/>
      <c r="AJ5142" s="48"/>
      <c r="AK5142" s="48"/>
      <c r="AL5142" s="48"/>
      <c r="AM5142" s="48"/>
      <c r="AN5142" s="48"/>
      <c r="AO5142" s="48"/>
      <c r="AP5142" s="48"/>
      <c r="AQ5142" s="48"/>
      <c r="AR5142" s="48"/>
      <c r="AS5142" s="48"/>
      <c r="AT5142" s="48"/>
      <c r="AU5142" s="48"/>
      <c r="AV5142" s="48"/>
      <c r="AW5142" s="48"/>
      <c r="AX5142" s="48"/>
      <c r="AY5142" s="48"/>
      <c r="AZ5142" s="48"/>
      <c r="BA5142" s="48"/>
      <c r="BB5142" s="48"/>
      <c r="BC5142" s="48"/>
      <c r="BD5142" s="48"/>
    </row>
    <row r="5143" spans="1:56">
      <c r="A5143" s="48"/>
      <c r="B5143" s="48"/>
      <c r="C5143" s="49"/>
      <c r="D5143" s="48"/>
      <c r="E5143" s="48"/>
      <c r="F5143" s="48"/>
      <c r="G5143" s="48"/>
      <c r="H5143" s="48"/>
      <c r="I5143" s="48"/>
      <c r="J5143" s="86"/>
      <c r="K5143" s="86"/>
      <c r="L5143" s="86"/>
      <c r="M5143" s="86"/>
      <c r="N5143" s="86"/>
      <c r="O5143" s="86"/>
      <c r="P5143" s="86"/>
      <c r="Q5143" s="86"/>
      <c r="R5143" s="86"/>
      <c r="S5143" s="86"/>
      <c r="T5143" s="86"/>
      <c r="U5143" s="86"/>
      <c r="V5143" s="48"/>
      <c r="W5143" s="48"/>
      <c r="X5143" s="48"/>
      <c r="Y5143" s="48"/>
      <c r="Z5143" s="48"/>
      <c r="AA5143" s="48"/>
      <c r="AB5143" s="48"/>
      <c r="AC5143" s="48"/>
      <c r="AD5143" s="48"/>
      <c r="AE5143" s="48"/>
      <c r="AF5143" s="48"/>
      <c r="AG5143" s="48"/>
      <c r="AH5143" s="48"/>
      <c r="AI5143" s="48"/>
      <c r="AJ5143" s="48"/>
      <c r="AK5143" s="48"/>
      <c r="AL5143" s="48"/>
      <c r="AM5143" s="48"/>
      <c r="AN5143" s="48"/>
      <c r="AO5143" s="48"/>
      <c r="AP5143" s="48"/>
      <c r="AQ5143" s="48"/>
      <c r="AR5143" s="48"/>
      <c r="AS5143" s="48"/>
      <c r="AT5143" s="48"/>
      <c r="AU5143" s="48"/>
      <c r="AV5143" s="48"/>
      <c r="AW5143" s="48"/>
      <c r="AX5143" s="48"/>
      <c r="AY5143" s="48"/>
      <c r="AZ5143" s="48"/>
      <c r="BA5143" s="48"/>
      <c r="BB5143" s="48"/>
      <c r="BC5143" s="48"/>
      <c r="BD5143" s="48"/>
    </row>
    <row r="5144" spans="1:56">
      <c r="A5144" s="48"/>
      <c r="B5144" s="48"/>
      <c r="C5144" s="49"/>
      <c r="D5144" s="48"/>
      <c r="E5144" s="48"/>
      <c r="F5144" s="48"/>
      <c r="G5144" s="48"/>
      <c r="H5144" s="48"/>
      <c r="I5144" s="48"/>
      <c r="J5144" s="86"/>
      <c r="K5144" s="86"/>
      <c r="L5144" s="86"/>
      <c r="M5144" s="86"/>
      <c r="N5144" s="86"/>
      <c r="O5144" s="86"/>
      <c r="P5144" s="86"/>
      <c r="Q5144" s="86"/>
      <c r="R5144" s="86"/>
      <c r="S5144" s="86"/>
      <c r="T5144" s="86"/>
      <c r="U5144" s="86"/>
      <c r="V5144" s="48"/>
      <c r="W5144" s="48"/>
      <c r="X5144" s="48"/>
      <c r="Y5144" s="48"/>
      <c r="Z5144" s="48"/>
      <c r="AA5144" s="48"/>
      <c r="AB5144" s="48"/>
      <c r="AC5144" s="48"/>
      <c r="AD5144" s="48"/>
      <c r="AE5144" s="48"/>
      <c r="AF5144" s="48"/>
      <c r="AG5144" s="48"/>
      <c r="AH5144" s="48"/>
      <c r="AI5144" s="48"/>
      <c r="AJ5144" s="48"/>
      <c r="AK5144" s="48"/>
      <c r="AL5144" s="48"/>
      <c r="AM5144" s="48"/>
      <c r="AN5144" s="48"/>
      <c r="AO5144" s="48"/>
      <c r="AP5144" s="48"/>
      <c r="AQ5144" s="48"/>
      <c r="AR5144" s="48"/>
      <c r="AS5144" s="48"/>
      <c r="AT5144" s="48"/>
      <c r="AU5144" s="48"/>
      <c r="AV5144" s="48"/>
      <c r="AW5144" s="48"/>
      <c r="AX5144" s="48"/>
      <c r="AY5144" s="48"/>
      <c r="AZ5144" s="48"/>
      <c r="BA5144" s="48"/>
      <c r="BB5144" s="48"/>
      <c r="BC5144" s="48"/>
      <c r="BD5144" s="48"/>
    </row>
    <row r="5145" spans="1:56">
      <c r="A5145" s="48"/>
      <c r="B5145" s="48"/>
      <c r="C5145" s="49"/>
      <c r="D5145" s="48"/>
      <c r="E5145" s="48"/>
      <c r="F5145" s="48"/>
      <c r="G5145" s="48"/>
      <c r="H5145" s="48"/>
      <c r="I5145" s="48"/>
      <c r="J5145" s="86"/>
      <c r="K5145" s="86"/>
      <c r="L5145" s="86"/>
      <c r="M5145" s="86"/>
      <c r="N5145" s="86"/>
      <c r="O5145" s="86"/>
      <c r="P5145" s="86"/>
      <c r="Q5145" s="86"/>
      <c r="R5145" s="86"/>
      <c r="S5145" s="86"/>
      <c r="T5145" s="86"/>
      <c r="U5145" s="86"/>
      <c r="V5145" s="48"/>
      <c r="W5145" s="48"/>
      <c r="X5145" s="48"/>
      <c r="Y5145" s="48"/>
      <c r="Z5145" s="48"/>
      <c r="AA5145" s="48"/>
      <c r="AB5145" s="48"/>
      <c r="AC5145" s="48"/>
      <c r="AD5145" s="48"/>
      <c r="AE5145" s="48"/>
      <c r="AF5145" s="48"/>
      <c r="AG5145" s="48"/>
      <c r="AH5145" s="48"/>
      <c r="AI5145" s="48"/>
      <c r="AJ5145" s="48"/>
      <c r="AK5145" s="48"/>
      <c r="AL5145" s="48"/>
      <c r="AM5145" s="48"/>
      <c r="AN5145" s="48"/>
      <c r="AO5145" s="48"/>
      <c r="AP5145" s="48"/>
      <c r="AQ5145" s="48"/>
      <c r="AR5145" s="48"/>
      <c r="AS5145" s="48"/>
      <c r="AT5145" s="48"/>
      <c r="AU5145" s="48"/>
      <c r="AV5145" s="48"/>
      <c r="AW5145" s="48"/>
      <c r="AX5145" s="48"/>
      <c r="AY5145" s="48"/>
      <c r="AZ5145" s="48"/>
      <c r="BA5145" s="48"/>
      <c r="BB5145" s="48"/>
      <c r="BC5145" s="48"/>
      <c r="BD5145" s="48"/>
    </row>
    <row r="5146" spans="1:56">
      <c r="A5146" s="48"/>
      <c r="B5146" s="48"/>
      <c r="C5146" s="49"/>
      <c r="D5146" s="48"/>
      <c r="E5146" s="48"/>
      <c r="F5146" s="48"/>
      <c r="G5146" s="48"/>
      <c r="H5146" s="48"/>
      <c r="I5146" s="48"/>
      <c r="J5146" s="86"/>
      <c r="K5146" s="86"/>
      <c r="L5146" s="86"/>
      <c r="M5146" s="86"/>
      <c r="N5146" s="86"/>
      <c r="O5146" s="86"/>
      <c r="P5146" s="86"/>
      <c r="Q5146" s="86"/>
      <c r="R5146" s="86"/>
      <c r="S5146" s="86"/>
      <c r="T5146" s="86"/>
      <c r="U5146" s="86"/>
      <c r="V5146" s="48"/>
      <c r="W5146" s="48"/>
      <c r="X5146" s="48"/>
      <c r="Y5146" s="48"/>
      <c r="Z5146" s="48"/>
      <c r="AA5146" s="48"/>
      <c r="AB5146" s="48"/>
      <c r="AC5146" s="48"/>
      <c r="AD5146" s="48"/>
      <c r="AE5146" s="48"/>
      <c r="AF5146" s="48"/>
      <c r="AG5146" s="48"/>
      <c r="AH5146" s="48"/>
      <c r="AI5146" s="48"/>
      <c r="AJ5146" s="48"/>
      <c r="AK5146" s="48"/>
      <c r="AL5146" s="48"/>
      <c r="AM5146" s="48"/>
      <c r="AN5146" s="48"/>
      <c r="AO5146" s="48"/>
      <c r="AP5146" s="48"/>
      <c r="AQ5146" s="48"/>
      <c r="AR5146" s="48"/>
      <c r="AS5146" s="48"/>
      <c r="AT5146" s="48"/>
      <c r="AU5146" s="48"/>
      <c r="AV5146" s="48"/>
      <c r="AW5146" s="48"/>
      <c r="AX5146" s="48"/>
      <c r="AY5146" s="48"/>
      <c r="AZ5146" s="48"/>
      <c r="BA5146" s="48"/>
      <c r="BB5146" s="48"/>
      <c r="BC5146" s="48"/>
      <c r="BD5146" s="48"/>
    </row>
    <row r="5147" spans="1:56">
      <c r="A5147" s="48"/>
      <c r="B5147" s="48"/>
      <c r="C5147" s="49"/>
      <c r="D5147" s="48"/>
      <c r="E5147" s="48"/>
      <c r="F5147" s="48"/>
      <c r="G5147" s="48"/>
      <c r="H5147" s="48"/>
      <c r="I5147" s="48"/>
      <c r="J5147" s="86"/>
      <c r="K5147" s="86"/>
      <c r="L5147" s="86"/>
      <c r="M5147" s="86"/>
      <c r="N5147" s="86"/>
      <c r="O5147" s="86"/>
      <c r="P5147" s="86"/>
      <c r="Q5147" s="86"/>
      <c r="R5147" s="86"/>
      <c r="S5147" s="86"/>
      <c r="T5147" s="86"/>
      <c r="U5147" s="86"/>
      <c r="V5147" s="48"/>
      <c r="W5147" s="48"/>
      <c r="X5147" s="48"/>
      <c r="Y5147" s="48"/>
      <c r="Z5147" s="48"/>
      <c r="AA5147" s="48"/>
      <c r="AB5147" s="48"/>
      <c r="AC5147" s="48"/>
      <c r="AD5147" s="48"/>
      <c r="AE5147" s="48"/>
      <c r="AF5147" s="48"/>
      <c r="AG5147" s="48"/>
      <c r="AH5147" s="48"/>
      <c r="AI5147" s="48"/>
      <c r="AJ5147" s="48"/>
      <c r="AK5147" s="48"/>
      <c r="AL5147" s="48"/>
      <c r="AM5147" s="48"/>
      <c r="AN5147" s="48"/>
      <c r="AO5147" s="48"/>
      <c r="AP5147" s="48"/>
      <c r="AQ5147" s="48"/>
      <c r="AR5147" s="48"/>
      <c r="AS5147" s="48"/>
      <c r="AT5147" s="48"/>
      <c r="AU5147" s="48"/>
      <c r="AV5147" s="48"/>
      <c r="AW5147" s="48"/>
      <c r="AX5147" s="48"/>
      <c r="AY5147" s="48"/>
      <c r="AZ5147" s="48"/>
      <c r="BA5147" s="48"/>
      <c r="BB5147" s="48"/>
      <c r="BC5147" s="48"/>
      <c r="BD5147" s="48"/>
    </row>
    <row r="5148" spans="1:56">
      <c r="A5148" s="48"/>
      <c r="B5148" s="48"/>
      <c r="C5148" s="49"/>
      <c r="D5148" s="48"/>
      <c r="E5148" s="48"/>
      <c r="F5148" s="48"/>
      <c r="G5148" s="48"/>
      <c r="H5148" s="48"/>
      <c r="I5148" s="48"/>
      <c r="J5148" s="86"/>
      <c r="K5148" s="86"/>
      <c r="L5148" s="86"/>
      <c r="M5148" s="86"/>
      <c r="N5148" s="86"/>
      <c r="O5148" s="86"/>
      <c r="P5148" s="86"/>
      <c r="Q5148" s="86"/>
      <c r="R5148" s="86"/>
      <c r="S5148" s="86"/>
      <c r="T5148" s="86"/>
      <c r="U5148" s="86"/>
      <c r="V5148" s="48"/>
      <c r="W5148" s="48"/>
      <c r="X5148" s="48"/>
      <c r="Y5148" s="48"/>
      <c r="Z5148" s="48"/>
      <c r="AA5148" s="48"/>
      <c r="AB5148" s="48"/>
      <c r="AC5148" s="48"/>
      <c r="AD5148" s="48"/>
      <c r="AE5148" s="48"/>
      <c r="AF5148" s="48"/>
      <c r="AG5148" s="48"/>
      <c r="AH5148" s="48"/>
      <c r="AI5148" s="48"/>
      <c r="AJ5148" s="48"/>
      <c r="AK5148" s="48"/>
      <c r="AL5148" s="48"/>
      <c r="AM5148" s="48"/>
      <c r="AN5148" s="48"/>
      <c r="AO5148" s="48"/>
      <c r="AP5148" s="48"/>
      <c r="AQ5148" s="48"/>
      <c r="AR5148" s="48"/>
      <c r="AS5148" s="48"/>
      <c r="AT5148" s="48"/>
      <c r="AU5148" s="48"/>
      <c r="AV5148" s="48"/>
      <c r="AW5148" s="48"/>
      <c r="AX5148" s="48"/>
      <c r="AY5148" s="48"/>
      <c r="AZ5148" s="48"/>
      <c r="BA5148" s="48"/>
      <c r="BB5148" s="48"/>
      <c r="BC5148" s="48"/>
      <c r="BD5148" s="48"/>
    </row>
    <row r="5149" spans="1:56">
      <c r="A5149" s="48"/>
      <c r="B5149" s="48"/>
      <c r="C5149" s="49"/>
      <c r="D5149" s="48"/>
      <c r="E5149" s="48"/>
      <c r="F5149" s="48"/>
      <c r="G5149" s="48"/>
      <c r="H5149" s="48"/>
      <c r="I5149" s="48"/>
      <c r="J5149" s="86"/>
      <c r="K5149" s="86"/>
      <c r="L5149" s="86"/>
      <c r="M5149" s="86"/>
      <c r="N5149" s="86"/>
      <c r="O5149" s="86"/>
      <c r="P5149" s="86"/>
      <c r="Q5149" s="86"/>
      <c r="R5149" s="86"/>
      <c r="S5149" s="86"/>
      <c r="T5149" s="86"/>
      <c r="U5149" s="86"/>
      <c r="V5149" s="48"/>
      <c r="W5149" s="48"/>
      <c r="X5149" s="48"/>
      <c r="Y5149" s="48"/>
      <c r="Z5149" s="48"/>
      <c r="AA5149" s="48"/>
      <c r="AB5149" s="48"/>
      <c r="AC5149" s="48"/>
      <c r="AD5149" s="48"/>
      <c r="AE5149" s="48"/>
      <c r="AF5149" s="48"/>
      <c r="AG5149" s="48"/>
      <c r="AH5149" s="48"/>
      <c r="AI5149" s="48"/>
      <c r="AJ5149" s="48"/>
      <c r="AK5149" s="48"/>
      <c r="AL5149" s="48"/>
      <c r="AM5149" s="48"/>
      <c r="AN5149" s="48"/>
      <c r="AO5149" s="48"/>
      <c r="AP5149" s="48"/>
      <c r="AQ5149" s="48"/>
      <c r="AR5149" s="48"/>
      <c r="AS5149" s="48"/>
      <c r="AT5149" s="48"/>
      <c r="AU5149" s="48"/>
      <c r="AV5149" s="48"/>
      <c r="AW5149" s="48"/>
      <c r="AX5149" s="48"/>
      <c r="AY5149" s="48"/>
      <c r="AZ5149" s="48"/>
      <c r="BA5149" s="48"/>
      <c r="BB5149" s="48"/>
      <c r="BC5149" s="48"/>
      <c r="BD5149" s="48"/>
    </row>
    <row r="5150" spans="1:56">
      <c r="A5150" s="48"/>
      <c r="B5150" s="48"/>
      <c r="C5150" s="49"/>
      <c r="D5150" s="48"/>
      <c r="E5150" s="48"/>
      <c r="F5150" s="48"/>
      <c r="G5150" s="48"/>
      <c r="H5150" s="48"/>
      <c r="I5150" s="48"/>
      <c r="J5150" s="86"/>
      <c r="K5150" s="86"/>
      <c r="L5150" s="86"/>
      <c r="M5150" s="86"/>
      <c r="N5150" s="86"/>
      <c r="O5150" s="86"/>
      <c r="P5150" s="86"/>
      <c r="Q5150" s="86"/>
      <c r="R5150" s="86"/>
      <c r="S5150" s="86"/>
      <c r="T5150" s="86"/>
      <c r="U5150" s="86"/>
      <c r="V5150" s="48"/>
      <c r="W5150" s="48"/>
      <c r="X5150" s="48"/>
      <c r="Y5150" s="48"/>
      <c r="Z5150" s="48"/>
      <c r="AA5150" s="48"/>
      <c r="AB5150" s="48"/>
      <c r="AC5150" s="48"/>
      <c r="AD5150" s="48"/>
      <c r="AE5150" s="48"/>
      <c r="AF5150" s="48"/>
      <c r="AG5150" s="48"/>
      <c r="AH5150" s="48"/>
      <c r="AI5150" s="48"/>
      <c r="AJ5150" s="48"/>
      <c r="AK5150" s="48"/>
      <c r="AL5150" s="48"/>
      <c r="AM5150" s="48"/>
      <c r="AN5150" s="48"/>
      <c r="AO5150" s="48"/>
      <c r="AP5150" s="48"/>
      <c r="AQ5150" s="48"/>
      <c r="AR5150" s="48"/>
      <c r="AS5150" s="48"/>
      <c r="AT5150" s="48"/>
      <c r="AU5150" s="48"/>
      <c r="AV5150" s="48"/>
      <c r="AW5150" s="48"/>
      <c r="AX5150" s="48"/>
      <c r="AY5150" s="48"/>
      <c r="AZ5150" s="48"/>
      <c r="BA5150" s="48"/>
      <c r="BB5150" s="48"/>
      <c r="BC5150" s="48"/>
      <c r="BD5150" s="48"/>
    </row>
    <row r="5151" spans="1:56">
      <c r="A5151" s="48"/>
      <c r="B5151" s="48"/>
      <c r="C5151" s="49"/>
      <c r="D5151" s="48"/>
      <c r="E5151" s="48"/>
      <c r="F5151" s="48"/>
      <c r="G5151" s="48"/>
      <c r="H5151" s="48"/>
      <c r="I5151" s="48"/>
      <c r="J5151" s="86"/>
      <c r="K5151" s="86"/>
      <c r="L5151" s="86"/>
      <c r="M5151" s="86"/>
      <c r="N5151" s="86"/>
      <c r="O5151" s="86"/>
      <c r="P5151" s="86"/>
      <c r="Q5151" s="86"/>
      <c r="R5151" s="86"/>
      <c r="S5151" s="86"/>
      <c r="T5151" s="86"/>
      <c r="U5151" s="86"/>
      <c r="V5151" s="48"/>
      <c r="W5151" s="48"/>
      <c r="X5151" s="48"/>
      <c r="Y5151" s="48"/>
      <c r="Z5151" s="48"/>
      <c r="AA5151" s="48"/>
      <c r="AB5151" s="48"/>
      <c r="AC5151" s="48"/>
      <c r="AD5151" s="48"/>
      <c r="AE5151" s="48"/>
      <c r="AF5151" s="48"/>
      <c r="AG5151" s="48"/>
      <c r="AH5151" s="48"/>
      <c r="AI5151" s="48"/>
      <c r="AJ5151" s="48"/>
      <c r="AK5151" s="48"/>
      <c r="AL5151" s="48"/>
      <c r="AM5151" s="48"/>
      <c r="AN5151" s="48"/>
      <c r="AO5151" s="48"/>
      <c r="AP5151" s="48"/>
      <c r="AQ5151" s="48"/>
      <c r="AR5151" s="48"/>
      <c r="AS5151" s="48"/>
      <c r="AT5151" s="48"/>
      <c r="AU5151" s="48"/>
      <c r="AV5151" s="48"/>
      <c r="AW5151" s="48"/>
      <c r="AX5151" s="48"/>
      <c r="AY5151" s="48"/>
      <c r="AZ5151" s="48"/>
      <c r="BA5151" s="48"/>
      <c r="BB5151" s="48"/>
      <c r="BC5151" s="48"/>
      <c r="BD5151" s="48"/>
    </row>
    <row r="5152" spans="1:56">
      <c r="A5152" s="48"/>
      <c r="B5152" s="48"/>
      <c r="C5152" s="49"/>
      <c r="D5152" s="48"/>
      <c r="E5152" s="48"/>
      <c r="F5152" s="48"/>
      <c r="G5152" s="48"/>
      <c r="H5152" s="48"/>
      <c r="I5152" s="48"/>
      <c r="J5152" s="86"/>
      <c r="K5152" s="86"/>
      <c r="L5152" s="86"/>
      <c r="M5152" s="86"/>
      <c r="N5152" s="86"/>
      <c r="O5152" s="86"/>
      <c r="P5152" s="86"/>
      <c r="Q5152" s="86"/>
      <c r="R5152" s="86"/>
      <c r="S5152" s="86"/>
      <c r="T5152" s="86"/>
      <c r="U5152" s="86"/>
      <c r="V5152" s="48"/>
      <c r="W5152" s="48"/>
      <c r="X5152" s="48"/>
      <c r="Y5152" s="48"/>
      <c r="Z5152" s="48"/>
      <c r="AA5152" s="48"/>
      <c r="AB5152" s="48"/>
      <c r="AC5152" s="48"/>
      <c r="AD5152" s="48"/>
      <c r="AE5152" s="48"/>
      <c r="AF5152" s="48"/>
      <c r="AG5152" s="48"/>
      <c r="AH5152" s="48"/>
      <c r="AI5152" s="48"/>
      <c r="AJ5152" s="48"/>
      <c r="AK5152" s="48"/>
      <c r="AL5152" s="48"/>
      <c r="AM5152" s="48"/>
      <c r="AN5152" s="48"/>
      <c r="AO5152" s="48"/>
      <c r="AP5152" s="48"/>
      <c r="AQ5152" s="48"/>
      <c r="AR5152" s="48"/>
      <c r="AS5152" s="48"/>
      <c r="AT5152" s="48"/>
      <c r="AU5152" s="48"/>
      <c r="AV5152" s="48"/>
      <c r="AW5152" s="48"/>
      <c r="AX5152" s="48"/>
      <c r="AY5152" s="48"/>
      <c r="AZ5152" s="48"/>
      <c r="BA5152" s="48"/>
      <c r="BB5152" s="48"/>
      <c r="BC5152" s="48"/>
      <c r="BD5152" s="48"/>
    </row>
    <row r="5153" spans="1:56">
      <c r="A5153" s="48"/>
      <c r="B5153" s="48"/>
      <c r="C5153" s="49"/>
      <c r="D5153" s="48"/>
      <c r="E5153" s="48"/>
      <c r="F5153" s="48"/>
      <c r="G5153" s="48"/>
      <c r="H5153" s="48"/>
      <c r="I5153" s="48"/>
      <c r="J5153" s="86"/>
      <c r="K5153" s="86"/>
      <c r="L5153" s="86"/>
      <c r="M5153" s="86"/>
      <c r="N5153" s="86"/>
      <c r="O5153" s="86"/>
      <c r="P5153" s="86"/>
      <c r="Q5153" s="86"/>
      <c r="R5153" s="86"/>
      <c r="S5153" s="86"/>
      <c r="T5153" s="86"/>
      <c r="U5153" s="86"/>
      <c r="V5153" s="48"/>
      <c r="W5153" s="48"/>
      <c r="X5153" s="48"/>
      <c r="Y5153" s="48"/>
      <c r="Z5153" s="48"/>
      <c r="AA5153" s="48"/>
      <c r="AB5153" s="48"/>
      <c r="AC5153" s="48"/>
      <c r="AD5153" s="48"/>
      <c r="AE5153" s="48"/>
      <c r="AF5153" s="48"/>
      <c r="AG5153" s="48"/>
      <c r="AH5153" s="48"/>
      <c r="AI5153" s="48"/>
      <c r="AJ5153" s="48"/>
      <c r="AK5153" s="48"/>
      <c r="AL5153" s="48"/>
      <c r="AM5153" s="48"/>
      <c r="AN5153" s="48"/>
      <c r="AO5153" s="48"/>
      <c r="AP5153" s="48"/>
      <c r="AQ5153" s="48"/>
      <c r="AR5153" s="48"/>
      <c r="AS5153" s="48"/>
      <c r="AT5153" s="48"/>
      <c r="AU5153" s="48"/>
      <c r="AV5153" s="48"/>
      <c r="AW5153" s="48"/>
      <c r="AX5153" s="48"/>
      <c r="AY5153" s="48"/>
      <c r="AZ5153" s="48"/>
      <c r="BA5153" s="48"/>
      <c r="BB5153" s="48"/>
      <c r="BC5153" s="48"/>
      <c r="BD5153" s="48"/>
    </row>
    <row r="5154" spans="1:56">
      <c r="A5154" s="48"/>
      <c r="B5154" s="48"/>
      <c r="C5154" s="49"/>
      <c r="D5154" s="48"/>
      <c r="E5154" s="48"/>
      <c r="F5154" s="48"/>
      <c r="G5154" s="48"/>
      <c r="H5154" s="48"/>
      <c r="I5154" s="48"/>
      <c r="J5154" s="86"/>
      <c r="K5154" s="86"/>
      <c r="L5154" s="86"/>
      <c r="M5154" s="86"/>
      <c r="N5154" s="86"/>
      <c r="O5154" s="86"/>
      <c r="P5154" s="86"/>
      <c r="Q5154" s="86"/>
      <c r="R5154" s="86"/>
      <c r="S5154" s="86"/>
      <c r="T5154" s="86"/>
      <c r="U5154" s="86"/>
      <c r="V5154" s="48"/>
      <c r="W5154" s="48"/>
      <c r="X5154" s="48"/>
      <c r="Y5154" s="48"/>
      <c r="Z5154" s="48"/>
      <c r="AA5154" s="48"/>
      <c r="AB5154" s="48"/>
      <c r="AC5154" s="48"/>
      <c r="AD5154" s="48"/>
      <c r="AE5154" s="48"/>
      <c r="AF5154" s="48"/>
      <c r="AG5154" s="48"/>
      <c r="AH5154" s="48"/>
      <c r="AI5154" s="48"/>
      <c r="AJ5154" s="48"/>
      <c r="AK5154" s="48"/>
      <c r="AL5154" s="48"/>
      <c r="AM5154" s="48"/>
      <c r="AN5154" s="48"/>
      <c r="AO5154" s="48"/>
      <c r="AP5154" s="48"/>
      <c r="AQ5154" s="48"/>
      <c r="AR5154" s="48"/>
      <c r="AS5154" s="48"/>
      <c r="AT5154" s="48"/>
      <c r="AU5154" s="48"/>
      <c r="AV5154" s="48"/>
      <c r="AW5154" s="48"/>
      <c r="AX5154" s="48"/>
      <c r="AY5154" s="48"/>
      <c r="AZ5154" s="48"/>
      <c r="BA5154" s="48"/>
      <c r="BB5154" s="48"/>
      <c r="BC5154" s="48"/>
      <c r="BD5154" s="48"/>
    </row>
    <row r="5155" spans="1:56">
      <c r="A5155" s="48"/>
      <c r="B5155" s="48"/>
      <c r="C5155" s="49"/>
      <c r="D5155" s="48"/>
      <c r="E5155" s="48"/>
      <c r="F5155" s="48"/>
      <c r="G5155" s="48"/>
      <c r="H5155" s="48"/>
      <c r="I5155" s="48"/>
      <c r="J5155" s="86"/>
      <c r="K5155" s="86"/>
      <c r="L5155" s="86"/>
      <c r="M5155" s="86"/>
      <c r="N5155" s="86"/>
      <c r="O5155" s="86"/>
      <c r="P5155" s="86"/>
      <c r="Q5155" s="86"/>
      <c r="R5155" s="86"/>
      <c r="S5155" s="86"/>
      <c r="T5155" s="86"/>
      <c r="U5155" s="86"/>
      <c r="V5155" s="48"/>
      <c r="W5155" s="48"/>
      <c r="X5155" s="48"/>
      <c r="Y5155" s="48"/>
      <c r="Z5155" s="48"/>
      <c r="AA5155" s="48"/>
      <c r="AB5155" s="48"/>
      <c r="AC5155" s="48"/>
      <c r="AD5155" s="48"/>
      <c r="AE5155" s="48"/>
      <c r="AF5155" s="48"/>
      <c r="AG5155" s="48"/>
      <c r="AH5155" s="48"/>
      <c r="AI5155" s="48"/>
      <c r="AJ5155" s="48"/>
      <c r="AK5155" s="48"/>
      <c r="AL5155" s="48"/>
      <c r="AM5155" s="48"/>
      <c r="AN5155" s="48"/>
      <c r="AO5155" s="48"/>
      <c r="AP5155" s="48"/>
      <c r="AQ5155" s="48"/>
      <c r="AR5155" s="48"/>
      <c r="AS5155" s="48"/>
      <c r="AT5155" s="48"/>
      <c r="AU5155" s="48"/>
      <c r="AV5155" s="48"/>
      <c r="AW5155" s="48"/>
      <c r="AX5155" s="48"/>
      <c r="AY5155" s="48"/>
      <c r="AZ5155" s="48"/>
      <c r="BA5155" s="48"/>
      <c r="BB5155" s="48"/>
      <c r="BC5155" s="48"/>
      <c r="BD5155" s="48"/>
    </row>
    <row r="5156" spans="1:56">
      <c r="A5156" s="48"/>
      <c r="B5156" s="48"/>
      <c r="C5156" s="49"/>
      <c r="D5156" s="48"/>
      <c r="E5156" s="48"/>
      <c r="F5156" s="48"/>
      <c r="G5156" s="48"/>
      <c r="H5156" s="48"/>
      <c r="I5156" s="48"/>
      <c r="J5156" s="86"/>
      <c r="K5156" s="86"/>
      <c r="L5156" s="86"/>
      <c r="M5156" s="86"/>
      <c r="N5156" s="86"/>
      <c r="O5156" s="86"/>
      <c r="P5156" s="86"/>
      <c r="Q5156" s="86"/>
      <c r="R5156" s="86"/>
      <c r="S5156" s="86"/>
      <c r="T5156" s="86"/>
      <c r="U5156" s="86"/>
      <c r="V5156" s="48"/>
      <c r="W5156" s="48"/>
      <c r="X5156" s="48"/>
      <c r="Y5156" s="48"/>
      <c r="Z5156" s="48"/>
      <c r="AA5156" s="48"/>
      <c r="AB5156" s="48"/>
      <c r="AC5156" s="48"/>
      <c r="AD5156" s="48"/>
      <c r="AE5156" s="48"/>
      <c r="AF5156" s="48"/>
      <c r="AG5156" s="48"/>
      <c r="AH5156" s="48"/>
      <c r="AI5156" s="48"/>
      <c r="AJ5156" s="48"/>
      <c r="AK5156" s="48"/>
      <c r="AL5156" s="48"/>
      <c r="AM5156" s="48"/>
      <c r="AN5156" s="48"/>
      <c r="AO5156" s="48"/>
      <c r="AP5156" s="48"/>
      <c r="AQ5156" s="48"/>
      <c r="AR5156" s="48"/>
      <c r="AS5156" s="48"/>
      <c r="AT5156" s="48"/>
      <c r="AU5156" s="48"/>
      <c r="AV5156" s="48"/>
      <c r="AW5156" s="48"/>
      <c r="AX5156" s="48"/>
      <c r="AY5156" s="48"/>
      <c r="AZ5156" s="48"/>
      <c r="BA5156" s="48"/>
      <c r="BB5156" s="48"/>
      <c r="BC5156" s="48"/>
      <c r="BD5156" s="48"/>
    </row>
    <row r="5157" spans="1:56">
      <c r="A5157" s="48"/>
      <c r="B5157" s="48"/>
      <c r="C5157" s="49"/>
      <c r="D5157" s="48"/>
      <c r="E5157" s="48"/>
      <c r="F5157" s="48"/>
      <c r="G5157" s="48"/>
      <c r="H5157" s="48"/>
      <c r="I5157" s="48"/>
      <c r="J5157" s="86"/>
      <c r="K5157" s="86"/>
      <c r="L5157" s="86"/>
      <c r="M5157" s="86"/>
      <c r="N5157" s="86"/>
      <c r="O5157" s="86"/>
      <c r="P5157" s="86"/>
      <c r="Q5157" s="86"/>
      <c r="R5157" s="86"/>
      <c r="S5157" s="86"/>
      <c r="T5157" s="86"/>
      <c r="U5157" s="86"/>
      <c r="V5157" s="48"/>
      <c r="W5157" s="48"/>
      <c r="X5157" s="48"/>
      <c r="Y5157" s="48"/>
      <c r="Z5157" s="48"/>
      <c r="AA5157" s="48"/>
      <c r="AB5157" s="48"/>
      <c r="AC5157" s="48"/>
      <c r="AD5157" s="48"/>
      <c r="AE5157" s="48"/>
      <c r="AF5157" s="48"/>
      <c r="AG5157" s="48"/>
      <c r="AH5157" s="48"/>
      <c r="AI5157" s="48"/>
      <c r="AJ5157" s="48"/>
      <c r="AK5157" s="48"/>
      <c r="AL5157" s="48"/>
      <c r="AM5157" s="48"/>
      <c r="AN5157" s="48"/>
      <c r="AO5157" s="48"/>
      <c r="AP5157" s="48"/>
      <c r="AQ5157" s="48"/>
      <c r="AR5157" s="48"/>
      <c r="AS5157" s="48"/>
      <c r="AT5157" s="48"/>
      <c r="AU5157" s="48"/>
      <c r="AV5157" s="48"/>
      <c r="AW5157" s="48"/>
      <c r="AX5157" s="48"/>
      <c r="AY5157" s="48"/>
      <c r="AZ5157" s="48"/>
      <c r="BA5157" s="48"/>
      <c r="BB5157" s="48"/>
      <c r="BC5157" s="48"/>
      <c r="BD5157" s="48"/>
    </row>
    <row r="5158" spans="1:56">
      <c r="A5158" s="48"/>
      <c r="B5158" s="48"/>
      <c r="C5158" s="49"/>
      <c r="D5158" s="48"/>
      <c r="E5158" s="48"/>
      <c r="F5158" s="48"/>
      <c r="G5158" s="48"/>
      <c r="H5158" s="48"/>
      <c r="I5158" s="48"/>
      <c r="J5158" s="86"/>
      <c r="K5158" s="86"/>
      <c r="L5158" s="86"/>
      <c r="M5158" s="86"/>
      <c r="N5158" s="86"/>
      <c r="O5158" s="86"/>
      <c r="P5158" s="86"/>
      <c r="Q5158" s="86"/>
      <c r="R5158" s="86"/>
      <c r="S5158" s="86"/>
      <c r="T5158" s="86"/>
      <c r="U5158" s="86"/>
      <c r="V5158" s="48"/>
      <c r="W5158" s="48"/>
      <c r="X5158" s="48"/>
      <c r="Y5158" s="48"/>
      <c r="Z5158" s="48"/>
      <c r="AA5158" s="48"/>
      <c r="AB5158" s="48"/>
      <c r="AC5158" s="48"/>
      <c r="AD5158" s="48"/>
      <c r="AE5158" s="48"/>
      <c r="AF5158" s="48"/>
      <c r="AG5158" s="48"/>
      <c r="AH5158" s="48"/>
      <c r="AI5158" s="48"/>
      <c r="AJ5158" s="48"/>
      <c r="AK5158" s="48"/>
      <c r="AL5158" s="48"/>
      <c r="AM5158" s="48"/>
      <c r="AN5158" s="48"/>
      <c r="AO5158" s="48"/>
      <c r="AP5158" s="48"/>
      <c r="AQ5158" s="48"/>
      <c r="AR5158" s="48"/>
      <c r="AS5158" s="48"/>
      <c r="AT5158" s="48"/>
      <c r="AU5158" s="48"/>
      <c r="AV5158" s="48"/>
      <c r="AW5158" s="48"/>
      <c r="AX5158" s="48"/>
      <c r="AY5158" s="48"/>
      <c r="AZ5158" s="48"/>
      <c r="BA5158" s="48"/>
      <c r="BB5158" s="48"/>
      <c r="BC5158" s="48"/>
      <c r="BD5158" s="48"/>
    </row>
    <row r="5159" spans="1:56">
      <c r="A5159" s="48"/>
      <c r="B5159" s="48"/>
      <c r="C5159" s="49"/>
      <c r="D5159" s="48"/>
      <c r="E5159" s="48"/>
      <c r="F5159" s="48"/>
      <c r="G5159" s="48"/>
      <c r="H5159" s="48"/>
      <c r="I5159" s="48"/>
      <c r="J5159" s="86"/>
      <c r="K5159" s="86"/>
      <c r="L5159" s="86"/>
      <c r="M5159" s="86"/>
      <c r="N5159" s="86"/>
      <c r="O5159" s="86"/>
      <c r="P5159" s="86"/>
      <c r="Q5159" s="86"/>
      <c r="R5159" s="86"/>
      <c r="S5159" s="86"/>
      <c r="T5159" s="86"/>
      <c r="U5159" s="86"/>
      <c r="V5159" s="48"/>
      <c r="W5159" s="48"/>
      <c r="X5159" s="48"/>
      <c r="Y5159" s="48"/>
      <c r="Z5159" s="48"/>
      <c r="AA5159" s="48"/>
      <c r="AB5159" s="48"/>
      <c r="AC5159" s="48"/>
      <c r="AD5159" s="48"/>
      <c r="AE5159" s="48"/>
      <c r="AF5159" s="48"/>
      <c r="AG5159" s="48"/>
      <c r="AH5159" s="48"/>
      <c r="AI5159" s="48"/>
      <c r="AJ5159" s="48"/>
      <c r="AK5159" s="48"/>
      <c r="AL5159" s="48"/>
      <c r="AM5159" s="48"/>
      <c r="AN5159" s="48"/>
      <c r="AO5159" s="48"/>
      <c r="AP5159" s="48"/>
      <c r="AQ5159" s="48"/>
      <c r="AR5159" s="48"/>
      <c r="AS5159" s="48"/>
      <c r="AT5159" s="48"/>
      <c r="AU5159" s="48"/>
      <c r="AV5159" s="48"/>
      <c r="AW5159" s="48"/>
      <c r="AX5159" s="48"/>
      <c r="AY5159" s="48"/>
      <c r="AZ5159" s="48"/>
      <c r="BA5159" s="48"/>
      <c r="BB5159" s="48"/>
      <c r="BC5159" s="48"/>
      <c r="BD5159" s="48"/>
    </row>
    <row r="5160" spans="1:56">
      <c r="A5160" s="48"/>
      <c r="B5160" s="48"/>
      <c r="C5160" s="49"/>
      <c r="D5160" s="48"/>
      <c r="E5160" s="48"/>
      <c r="F5160" s="48"/>
      <c r="G5160" s="48"/>
      <c r="H5160" s="48"/>
      <c r="I5160" s="48"/>
      <c r="J5160" s="86"/>
      <c r="K5160" s="86"/>
      <c r="L5160" s="86"/>
      <c r="M5160" s="86"/>
      <c r="N5160" s="86"/>
      <c r="O5160" s="86"/>
      <c r="P5160" s="86"/>
      <c r="Q5160" s="86"/>
      <c r="R5160" s="86"/>
      <c r="S5160" s="86"/>
      <c r="T5160" s="86"/>
      <c r="U5160" s="86"/>
      <c r="V5160" s="48"/>
      <c r="W5160" s="48"/>
      <c r="X5160" s="48"/>
      <c r="Y5160" s="48"/>
      <c r="Z5160" s="48"/>
      <c r="AA5160" s="48"/>
      <c r="AB5160" s="48"/>
      <c r="AC5160" s="48"/>
      <c r="AD5160" s="48"/>
      <c r="AE5160" s="48"/>
      <c r="AF5160" s="48"/>
      <c r="AG5160" s="48"/>
      <c r="AH5160" s="48"/>
      <c r="AI5160" s="48"/>
      <c r="AJ5160" s="48"/>
      <c r="AK5160" s="48"/>
      <c r="AL5160" s="48"/>
      <c r="AM5160" s="48"/>
      <c r="AN5160" s="48"/>
      <c r="AO5160" s="48"/>
      <c r="AP5160" s="48"/>
      <c r="AQ5160" s="48"/>
      <c r="AR5160" s="48"/>
      <c r="AS5160" s="48"/>
      <c r="AT5160" s="48"/>
      <c r="AU5160" s="48"/>
      <c r="AV5160" s="48"/>
      <c r="AW5160" s="48"/>
      <c r="AX5160" s="48"/>
      <c r="AY5160" s="48"/>
      <c r="AZ5160" s="48"/>
      <c r="BA5160" s="48"/>
      <c r="BB5160" s="48"/>
      <c r="BC5160" s="48"/>
      <c r="BD5160" s="48"/>
    </row>
    <row r="5161" spans="1:56">
      <c r="A5161" s="48"/>
      <c r="B5161" s="48"/>
      <c r="C5161" s="49"/>
      <c r="D5161" s="48"/>
      <c r="E5161" s="48"/>
      <c r="F5161" s="48"/>
      <c r="G5161" s="48"/>
      <c r="H5161" s="48"/>
      <c r="I5161" s="48"/>
      <c r="J5161" s="86"/>
      <c r="K5161" s="86"/>
      <c r="L5161" s="86"/>
      <c r="M5161" s="86"/>
      <c r="N5161" s="86"/>
      <c r="O5161" s="86"/>
      <c r="P5161" s="86"/>
      <c r="Q5161" s="86"/>
      <c r="R5161" s="86"/>
      <c r="S5161" s="86"/>
      <c r="T5161" s="86"/>
      <c r="U5161" s="86"/>
      <c r="V5161" s="48"/>
      <c r="W5161" s="48"/>
      <c r="X5161" s="48"/>
      <c r="Y5161" s="48"/>
      <c r="Z5161" s="48"/>
      <c r="AA5161" s="48"/>
      <c r="AB5161" s="48"/>
      <c r="AC5161" s="48"/>
      <c r="AD5161" s="48"/>
      <c r="AE5161" s="48"/>
      <c r="AF5161" s="48"/>
      <c r="AG5161" s="48"/>
      <c r="AH5161" s="48"/>
      <c r="AI5161" s="48"/>
      <c r="AJ5161" s="48"/>
      <c r="AK5161" s="48"/>
      <c r="AL5161" s="48"/>
      <c r="AM5161" s="48"/>
      <c r="AN5161" s="48"/>
      <c r="AO5161" s="48"/>
      <c r="AP5161" s="48"/>
      <c r="AQ5161" s="48"/>
      <c r="AR5161" s="48"/>
      <c r="AS5161" s="48"/>
      <c r="AT5161" s="48"/>
      <c r="AU5161" s="48"/>
      <c r="AV5161" s="48"/>
      <c r="AW5161" s="48"/>
      <c r="AX5161" s="48"/>
      <c r="AY5161" s="48"/>
      <c r="AZ5161" s="48"/>
      <c r="BA5161" s="48"/>
      <c r="BB5161" s="48"/>
      <c r="BC5161" s="48"/>
      <c r="BD5161" s="48"/>
    </row>
    <row r="5162" spans="1:56">
      <c r="A5162" s="48"/>
      <c r="B5162" s="48"/>
      <c r="C5162" s="49"/>
      <c r="D5162" s="48"/>
      <c r="E5162" s="48"/>
      <c r="F5162" s="48"/>
      <c r="G5162" s="48"/>
      <c r="H5162" s="48"/>
      <c r="I5162" s="48"/>
      <c r="J5162" s="86"/>
      <c r="K5162" s="86"/>
      <c r="L5162" s="86"/>
      <c r="M5162" s="86"/>
      <c r="N5162" s="86"/>
      <c r="O5162" s="86"/>
      <c r="P5162" s="86"/>
      <c r="Q5162" s="86"/>
      <c r="R5162" s="86"/>
      <c r="S5162" s="86"/>
      <c r="T5162" s="86"/>
      <c r="U5162" s="86"/>
      <c r="V5162" s="48"/>
      <c r="W5162" s="48"/>
      <c r="X5162" s="48"/>
      <c r="Y5162" s="48"/>
      <c r="Z5162" s="48"/>
      <c r="AA5162" s="48"/>
      <c r="AB5162" s="48"/>
      <c r="AC5162" s="48"/>
      <c r="AD5162" s="48"/>
      <c r="AE5162" s="48"/>
      <c r="AF5162" s="48"/>
      <c r="AG5162" s="48"/>
      <c r="AH5162" s="48"/>
      <c r="AI5162" s="48"/>
      <c r="AJ5162" s="48"/>
      <c r="AK5162" s="48"/>
      <c r="AL5162" s="48"/>
      <c r="AM5162" s="48"/>
      <c r="AN5162" s="48"/>
      <c r="AO5162" s="48"/>
      <c r="AP5162" s="48"/>
      <c r="AQ5162" s="48"/>
      <c r="AR5162" s="48"/>
      <c r="AS5162" s="48"/>
      <c r="AT5162" s="48"/>
      <c r="AU5162" s="48"/>
      <c r="AV5162" s="48"/>
      <c r="AW5162" s="48"/>
      <c r="AX5162" s="48"/>
      <c r="AY5162" s="48"/>
      <c r="AZ5162" s="48"/>
      <c r="BA5162" s="48"/>
      <c r="BB5162" s="48"/>
      <c r="BC5162" s="48"/>
      <c r="BD5162" s="48"/>
    </row>
    <row r="5163" spans="1:56">
      <c r="A5163" s="48"/>
      <c r="B5163" s="48"/>
      <c r="C5163" s="49"/>
      <c r="D5163" s="48"/>
      <c r="E5163" s="48"/>
      <c r="F5163" s="48"/>
      <c r="G5163" s="48"/>
      <c r="H5163" s="48"/>
      <c r="I5163" s="48"/>
      <c r="J5163" s="86"/>
      <c r="K5163" s="86"/>
      <c r="L5163" s="86"/>
      <c r="M5163" s="86"/>
      <c r="N5163" s="86"/>
      <c r="O5163" s="86"/>
      <c r="P5163" s="86"/>
      <c r="Q5163" s="86"/>
      <c r="R5163" s="86"/>
      <c r="S5163" s="86"/>
      <c r="T5163" s="86"/>
      <c r="U5163" s="86"/>
      <c r="V5163" s="48"/>
      <c r="W5163" s="48"/>
      <c r="X5163" s="48"/>
      <c r="Y5163" s="48"/>
      <c r="Z5163" s="48"/>
      <c r="AA5163" s="48"/>
      <c r="AB5163" s="48"/>
      <c r="AC5163" s="48"/>
      <c r="AD5163" s="48"/>
      <c r="AE5163" s="48"/>
      <c r="AF5163" s="48"/>
      <c r="AG5163" s="48"/>
      <c r="AH5163" s="48"/>
      <c r="AI5163" s="48"/>
      <c r="AJ5163" s="48"/>
      <c r="AK5163" s="48"/>
      <c r="AL5163" s="48"/>
      <c r="AM5163" s="48"/>
      <c r="AN5163" s="48"/>
      <c r="AO5163" s="48"/>
      <c r="AP5163" s="48"/>
      <c r="AQ5163" s="48"/>
      <c r="AR5163" s="48"/>
      <c r="AS5163" s="48"/>
      <c r="AT5163" s="48"/>
      <c r="AU5163" s="48"/>
      <c r="AV5163" s="48"/>
      <c r="AW5163" s="48"/>
      <c r="AX5163" s="48"/>
      <c r="AY5163" s="48"/>
      <c r="AZ5163" s="48"/>
      <c r="BA5163" s="48"/>
      <c r="BB5163" s="48"/>
      <c r="BC5163" s="48"/>
      <c r="BD5163" s="48"/>
    </row>
    <row r="5164" spans="1:56">
      <c r="A5164" s="48"/>
      <c r="B5164" s="48"/>
      <c r="C5164" s="49"/>
      <c r="D5164" s="48"/>
      <c r="E5164" s="48"/>
      <c r="F5164" s="48"/>
      <c r="G5164" s="48"/>
      <c r="H5164" s="48"/>
      <c r="I5164" s="48"/>
      <c r="J5164" s="86"/>
      <c r="K5164" s="86"/>
      <c r="L5164" s="86"/>
      <c r="M5164" s="86"/>
      <c r="N5164" s="86"/>
      <c r="O5164" s="86"/>
      <c r="P5164" s="86"/>
      <c r="Q5164" s="86"/>
      <c r="R5164" s="86"/>
      <c r="S5164" s="86"/>
      <c r="T5164" s="86"/>
      <c r="U5164" s="86"/>
      <c r="V5164" s="48"/>
      <c r="W5164" s="48"/>
      <c r="X5164" s="48"/>
      <c r="Y5164" s="48"/>
      <c r="Z5164" s="48"/>
      <c r="AA5164" s="48"/>
      <c r="AB5164" s="48"/>
      <c r="AC5164" s="48"/>
      <c r="AD5164" s="48"/>
      <c r="AE5164" s="48"/>
      <c r="AF5164" s="48"/>
      <c r="AG5164" s="48"/>
      <c r="AH5164" s="48"/>
      <c r="AI5164" s="48"/>
      <c r="AJ5164" s="48"/>
      <c r="AK5164" s="48"/>
      <c r="AL5164" s="48"/>
      <c r="AM5164" s="48"/>
      <c r="AN5164" s="48"/>
      <c r="AO5164" s="48"/>
      <c r="AP5164" s="48"/>
      <c r="AQ5164" s="48"/>
      <c r="AR5164" s="48"/>
      <c r="AS5164" s="48"/>
      <c r="AT5164" s="48"/>
      <c r="AU5164" s="48"/>
      <c r="AV5164" s="48"/>
      <c r="AW5164" s="48"/>
      <c r="AX5164" s="48"/>
      <c r="AY5164" s="48"/>
      <c r="AZ5164" s="48"/>
      <c r="BA5164" s="48"/>
      <c r="BB5164" s="48"/>
      <c r="BC5164" s="48"/>
      <c r="BD5164" s="48"/>
    </row>
    <row r="5165" spans="1:56">
      <c r="A5165" s="48"/>
      <c r="B5165" s="48"/>
      <c r="C5165" s="49"/>
      <c r="D5165" s="48"/>
      <c r="E5165" s="48"/>
      <c r="F5165" s="48"/>
      <c r="G5165" s="48"/>
      <c r="H5165" s="48"/>
      <c r="I5165" s="48"/>
      <c r="J5165" s="86"/>
      <c r="K5165" s="86"/>
      <c r="L5165" s="86"/>
      <c r="M5165" s="86"/>
      <c r="N5165" s="86"/>
      <c r="O5165" s="86"/>
      <c r="P5165" s="86"/>
      <c r="Q5165" s="86"/>
      <c r="R5165" s="86"/>
      <c r="S5165" s="86"/>
      <c r="T5165" s="86"/>
      <c r="U5165" s="86"/>
      <c r="V5165" s="48"/>
      <c r="W5165" s="48"/>
      <c r="X5165" s="48"/>
      <c r="Y5165" s="48"/>
      <c r="Z5165" s="48"/>
      <c r="AA5165" s="48"/>
      <c r="AB5165" s="48"/>
      <c r="AC5165" s="48"/>
      <c r="AD5165" s="48"/>
      <c r="AE5165" s="48"/>
      <c r="AF5165" s="48"/>
      <c r="AG5165" s="48"/>
      <c r="AH5165" s="48"/>
      <c r="AI5165" s="48"/>
      <c r="AJ5165" s="48"/>
      <c r="AK5165" s="48"/>
      <c r="AL5165" s="48"/>
      <c r="AM5165" s="48"/>
      <c r="AN5165" s="48"/>
      <c r="AO5165" s="48"/>
      <c r="AP5165" s="48"/>
      <c r="AQ5165" s="48"/>
      <c r="AR5165" s="48"/>
      <c r="AS5165" s="48"/>
      <c r="AT5165" s="48"/>
      <c r="AU5165" s="48"/>
      <c r="AV5165" s="48"/>
      <c r="AW5165" s="48"/>
      <c r="AX5165" s="48"/>
      <c r="AY5165" s="48"/>
      <c r="AZ5165" s="48"/>
      <c r="BA5165" s="48"/>
      <c r="BB5165" s="48"/>
      <c r="BC5165" s="48"/>
      <c r="BD5165" s="48"/>
    </row>
    <row r="5166" spans="1:56">
      <c r="A5166" s="48"/>
      <c r="B5166" s="48"/>
      <c r="C5166" s="49"/>
      <c r="D5166" s="48"/>
      <c r="E5166" s="48"/>
      <c r="F5166" s="48"/>
      <c r="G5166" s="48"/>
      <c r="H5166" s="48"/>
      <c r="I5166" s="48"/>
      <c r="J5166" s="86"/>
      <c r="K5166" s="86"/>
      <c r="L5166" s="86"/>
      <c r="M5166" s="86"/>
      <c r="N5166" s="86"/>
      <c r="O5166" s="86"/>
      <c r="P5166" s="86"/>
      <c r="Q5166" s="86"/>
      <c r="R5166" s="86"/>
      <c r="S5166" s="86"/>
      <c r="T5166" s="86"/>
      <c r="U5166" s="86"/>
      <c r="V5166" s="48"/>
      <c r="W5166" s="48"/>
      <c r="X5166" s="48"/>
      <c r="Y5166" s="48"/>
      <c r="Z5166" s="48"/>
      <c r="AA5166" s="48"/>
      <c r="AB5166" s="48"/>
      <c r="AC5166" s="48"/>
      <c r="AD5166" s="48"/>
      <c r="AE5166" s="48"/>
      <c r="AF5166" s="48"/>
      <c r="AG5166" s="48"/>
      <c r="AH5166" s="48"/>
      <c r="AI5166" s="48"/>
      <c r="AJ5166" s="48"/>
      <c r="AK5166" s="48"/>
      <c r="AL5166" s="48"/>
      <c r="AM5166" s="48"/>
      <c r="AN5166" s="48"/>
      <c r="AO5166" s="48"/>
      <c r="AP5166" s="48"/>
      <c r="AQ5166" s="48"/>
      <c r="AR5166" s="48"/>
      <c r="AS5166" s="48"/>
      <c r="AT5166" s="48"/>
      <c r="AU5166" s="48"/>
      <c r="AV5166" s="48"/>
      <c r="AW5166" s="48"/>
      <c r="AX5166" s="48"/>
      <c r="AY5166" s="48"/>
      <c r="AZ5166" s="48"/>
      <c r="BA5166" s="48"/>
      <c r="BB5166" s="48"/>
      <c r="BC5166" s="48"/>
      <c r="BD5166" s="48"/>
    </row>
    <row r="5167" spans="1:56">
      <c r="A5167" s="48"/>
      <c r="B5167" s="48"/>
      <c r="C5167" s="49"/>
      <c r="D5167" s="48"/>
      <c r="E5167" s="48"/>
      <c r="F5167" s="48"/>
      <c r="G5167" s="48"/>
      <c r="H5167" s="48"/>
      <c r="I5167" s="48"/>
      <c r="J5167" s="86"/>
      <c r="K5167" s="86"/>
      <c r="L5167" s="86"/>
      <c r="M5167" s="86"/>
      <c r="N5167" s="86"/>
      <c r="O5167" s="86"/>
      <c r="P5167" s="86"/>
      <c r="Q5167" s="86"/>
      <c r="R5167" s="86"/>
      <c r="S5167" s="86"/>
      <c r="T5167" s="86"/>
      <c r="U5167" s="86"/>
      <c r="V5167" s="48"/>
      <c r="W5167" s="48"/>
      <c r="X5167" s="48"/>
      <c r="Y5167" s="48"/>
      <c r="Z5167" s="48"/>
      <c r="AA5167" s="48"/>
      <c r="AB5167" s="48"/>
      <c r="AC5167" s="48"/>
      <c r="AD5167" s="48"/>
      <c r="AE5167" s="48"/>
      <c r="AF5167" s="48"/>
      <c r="AG5167" s="48"/>
      <c r="AH5167" s="48"/>
      <c r="AI5167" s="48"/>
      <c r="AJ5167" s="48"/>
      <c r="AK5167" s="48"/>
      <c r="AL5167" s="48"/>
      <c r="AM5167" s="48"/>
      <c r="AN5167" s="48"/>
      <c r="AO5167" s="48"/>
      <c r="AP5167" s="48"/>
      <c r="AQ5167" s="48"/>
      <c r="AR5167" s="48"/>
      <c r="AS5167" s="48"/>
      <c r="AT5167" s="48"/>
      <c r="AU5167" s="48"/>
      <c r="AV5167" s="48"/>
      <c r="AW5167" s="48"/>
      <c r="AX5167" s="48"/>
      <c r="AY5167" s="48"/>
      <c r="AZ5167" s="48"/>
      <c r="BA5167" s="48"/>
      <c r="BB5167" s="48"/>
      <c r="BC5167" s="48"/>
      <c r="BD5167" s="48"/>
    </row>
    <row r="5168" spans="1:56">
      <c r="A5168" s="48"/>
      <c r="B5168" s="48"/>
      <c r="C5168" s="49"/>
      <c r="D5168" s="48"/>
      <c r="E5168" s="48"/>
      <c r="F5168" s="48"/>
      <c r="G5168" s="48"/>
      <c r="H5168" s="48"/>
      <c r="I5168" s="48"/>
      <c r="J5168" s="86"/>
      <c r="K5168" s="86"/>
      <c r="L5168" s="86"/>
      <c r="M5168" s="86"/>
      <c r="N5168" s="86"/>
      <c r="O5168" s="86"/>
      <c r="P5168" s="86"/>
      <c r="Q5168" s="86"/>
      <c r="R5168" s="86"/>
      <c r="S5168" s="86"/>
      <c r="T5168" s="86"/>
      <c r="U5168" s="86"/>
      <c r="V5168" s="48"/>
      <c r="W5168" s="48"/>
      <c r="X5168" s="48"/>
      <c r="Y5168" s="48"/>
      <c r="Z5168" s="48"/>
      <c r="AA5168" s="48"/>
      <c r="AB5168" s="48"/>
      <c r="AC5168" s="48"/>
      <c r="AD5168" s="48"/>
      <c r="AE5168" s="48"/>
      <c r="AF5168" s="48"/>
      <c r="AG5168" s="48"/>
      <c r="AH5168" s="48"/>
      <c r="AI5168" s="48"/>
      <c r="AJ5168" s="48"/>
      <c r="AK5168" s="48"/>
      <c r="AL5168" s="48"/>
      <c r="AM5168" s="48"/>
      <c r="AN5168" s="48"/>
      <c r="AO5168" s="48"/>
      <c r="AP5168" s="48"/>
      <c r="AQ5168" s="48"/>
      <c r="AR5168" s="48"/>
      <c r="AS5168" s="48"/>
      <c r="AT5168" s="48"/>
      <c r="AU5168" s="48"/>
      <c r="AV5168" s="48"/>
      <c r="AW5168" s="48"/>
      <c r="AX5168" s="48"/>
      <c r="AY5168" s="48"/>
      <c r="AZ5168" s="48"/>
      <c r="BA5168" s="48"/>
      <c r="BB5168" s="48"/>
      <c r="BC5168" s="48"/>
      <c r="BD5168" s="48"/>
    </row>
    <row r="5169" spans="1:56">
      <c r="A5169" s="48"/>
      <c r="B5169" s="48"/>
      <c r="C5169" s="49"/>
      <c r="D5169" s="48"/>
      <c r="E5169" s="48"/>
      <c r="F5169" s="48"/>
      <c r="G5169" s="48"/>
      <c r="H5169" s="48"/>
      <c r="I5169" s="48"/>
      <c r="J5169" s="86"/>
      <c r="K5169" s="86"/>
      <c r="L5169" s="86"/>
      <c r="M5169" s="86"/>
      <c r="N5169" s="86"/>
      <c r="O5169" s="86"/>
      <c r="P5169" s="86"/>
      <c r="Q5169" s="86"/>
      <c r="R5169" s="86"/>
      <c r="S5169" s="86"/>
      <c r="T5169" s="86"/>
      <c r="U5169" s="86"/>
      <c r="V5169" s="48"/>
      <c r="W5169" s="48"/>
      <c r="X5169" s="48"/>
      <c r="Y5169" s="48"/>
      <c r="Z5169" s="48"/>
      <c r="AA5169" s="48"/>
      <c r="AB5169" s="48"/>
      <c r="AC5169" s="48"/>
      <c r="AD5169" s="48"/>
      <c r="AE5169" s="48"/>
      <c r="AF5169" s="48"/>
      <c r="AG5169" s="48"/>
      <c r="AH5169" s="48"/>
      <c r="AI5169" s="48"/>
      <c r="AJ5169" s="48"/>
      <c r="AK5169" s="48"/>
      <c r="AL5169" s="48"/>
      <c r="AM5169" s="48"/>
      <c r="AN5169" s="48"/>
      <c r="AO5169" s="48"/>
      <c r="AP5169" s="48"/>
      <c r="AQ5169" s="48"/>
      <c r="AR5169" s="48"/>
      <c r="AS5169" s="48"/>
      <c r="AT5169" s="48"/>
      <c r="AU5169" s="48"/>
      <c r="AV5169" s="48"/>
      <c r="AW5169" s="48"/>
      <c r="AX5169" s="48"/>
      <c r="AY5169" s="48"/>
      <c r="AZ5169" s="48"/>
      <c r="BA5169" s="48"/>
      <c r="BB5169" s="48"/>
      <c r="BC5169" s="48"/>
      <c r="BD5169" s="48"/>
    </row>
    <row r="5170" spans="1:56">
      <c r="A5170" s="48"/>
      <c r="B5170" s="48"/>
      <c r="C5170" s="49"/>
      <c r="D5170" s="48"/>
      <c r="E5170" s="48"/>
      <c r="F5170" s="48"/>
      <c r="G5170" s="48"/>
      <c r="H5170" s="48"/>
      <c r="I5170" s="48"/>
      <c r="J5170" s="86"/>
      <c r="K5170" s="86"/>
      <c r="L5170" s="86"/>
      <c r="M5170" s="86"/>
      <c r="N5170" s="86"/>
      <c r="O5170" s="86"/>
      <c r="P5170" s="86"/>
      <c r="Q5170" s="86"/>
      <c r="R5170" s="86"/>
      <c r="S5170" s="86"/>
      <c r="T5170" s="86"/>
      <c r="U5170" s="86"/>
      <c r="V5170" s="48"/>
      <c r="W5170" s="48"/>
      <c r="X5170" s="48"/>
      <c r="Y5170" s="48"/>
      <c r="Z5170" s="48"/>
      <c r="AA5170" s="48"/>
      <c r="AB5170" s="48"/>
      <c r="AC5170" s="48"/>
      <c r="AD5170" s="48"/>
      <c r="AE5170" s="48"/>
      <c r="AF5170" s="48"/>
      <c r="AG5170" s="48"/>
      <c r="AH5170" s="48"/>
      <c r="AI5170" s="48"/>
      <c r="AJ5170" s="48"/>
      <c r="AK5170" s="48"/>
      <c r="AL5170" s="48"/>
      <c r="AM5170" s="48"/>
      <c r="AN5170" s="48"/>
      <c r="AO5170" s="48"/>
      <c r="AP5170" s="48"/>
      <c r="AQ5170" s="48"/>
      <c r="AR5170" s="48"/>
      <c r="AS5170" s="48"/>
      <c r="AT5170" s="48"/>
      <c r="AU5170" s="48"/>
      <c r="AV5170" s="48"/>
      <c r="AW5170" s="48"/>
      <c r="AX5170" s="48"/>
      <c r="AY5170" s="48"/>
      <c r="AZ5170" s="48"/>
      <c r="BA5170" s="48"/>
      <c r="BB5170" s="48"/>
      <c r="BC5170" s="48"/>
      <c r="BD5170" s="48"/>
    </row>
    <row r="5171" spans="1:56">
      <c r="A5171" s="48"/>
      <c r="B5171" s="48"/>
      <c r="C5171" s="49"/>
      <c r="D5171" s="48"/>
      <c r="E5171" s="48"/>
      <c r="F5171" s="48"/>
      <c r="G5171" s="48"/>
      <c r="H5171" s="48"/>
      <c r="I5171" s="48"/>
      <c r="J5171" s="86"/>
      <c r="K5171" s="86"/>
      <c r="L5171" s="86"/>
      <c r="M5171" s="86"/>
      <c r="N5171" s="86"/>
      <c r="O5171" s="86"/>
      <c r="P5171" s="86"/>
      <c r="Q5171" s="86"/>
      <c r="R5171" s="86"/>
      <c r="S5171" s="86"/>
      <c r="T5171" s="86"/>
      <c r="U5171" s="86"/>
      <c r="V5171" s="48"/>
      <c r="W5171" s="48"/>
      <c r="X5171" s="48"/>
      <c r="Y5171" s="48"/>
      <c r="Z5171" s="48"/>
      <c r="AA5171" s="48"/>
      <c r="AB5171" s="48"/>
      <c r="AC5171" s="48"/>
      <c r="AD5171" s="48"/>
      <c r="AE5171" s="48"/>
      <c r="AF5171" s="48"/>
      <c r="AG5171" s="48"/>
      <c r="AH5171" s="48"/>
      <c r="AI5171" s="48"/>
      <c r="AJ5171" s="48"/>
      <c r="AK5171" s="48"/>
      <c r="AL5171" s="48"/>
      <c r="AM5171" s="48"/>
      <c r="AN5171" s="48"/>
      <c r="AO5171" s="48"/>
      <c r="AP5171" s="48"/>
      <c r="AQ5171" s="48"/>
      <c r="AR5171" s="48"/>
      <c r="AS5171" s="48"/>
      <c r="AT5171" s="48"/>
      <c r="AU5171" s="48"/>
      <c r="AV5171" s="48"/>
      <c r="AW5171" s="48"/>
      <c r="AX5171" s="48"/>
      <c r="AY5171" s="48"/>
      <c r="AZ5171" s="48"/>
      <c r="BA5171" s="48"/>
      <c r="BB5171" s="48"/>
      <c r="BC5171" s="48"/>
      <c r="BD5171" s="48"/>
    </row>
    <row r="5172" spans="1:56">
      <c r="A5172" s="48"/>
      <c r="B5172" s="48"/>
      <c r="C5172" s="49"/>
      <c r="D5172" s="48"/>
      <c r="E5172" s="48"/>
      <c r="F5172" s="48"/>
      <c r="G5172" s="48"/>
      <c r="H5172" s="48"/>
      <c r="I5172" s="48"/>
      <c r="J5172" s="86"/>
      <c r="K5172" s="86"/>
      <c r="L5172" s="86"/>
      <c r="M5172" s="86"/>
      <c r="N5172" s="86"/>
      <c r="O5172" s="86"/>
      <c r="P5172" s="86"/>
      <c r="Q5172" s="86"/>
      <c r="R5172" s="86"/>
      <c r="S5172" s="86"/>
      <c r="T5172" s="86"/>
      <c r="U5172" s="86"/>
      <c r="V5172" s="48"/>
      <c r="W5172" s="48"/>
      <c r="X5172" s="48"/>
      <c r="Y5172" s="48"/>
      <c r="Z5172" s="48"/>
      <c r="AA5172" s="48"/>
      <c r="AB5172" s="48"/>
      <c r="AC5172" s="48"/>
      <c r="AD5172" s="48"/>
      <c r="AE5172" s="48"/>
      <c r="AF5172" s="48"/>
      <c r="AG5172" s="48"/>
      <c r="AH5172" s="48"/>
      <c r="AI5172" s="48"/>
      <c r="AJ5172" s="48"/>
      <c r="AK5172" s="48"/>
      <c r="AL5172" s="48"/>
      <c r="AM5172" s="48"/>
      <c r="AN5172" s="48"/>
      <c r="AO5172" s="48"/>
      <c r="AP5172" s="48"/>
      <c r="AQ5172" s="48"/>
      <c r="AR5172" s="48"/>
      <c r="AS5172" s="48"/>
      <c r="AT5172" s="48"/>
      <c r="AU5172" s="48"/>
      <c r="AV5172" s="48"/>
      <c r="AW5172" s="48"/>
      <c r="AX5172" s="48"/>
      <c r="AY5172" s="48"/>
      <c r="AZ5172" s="48"/>
      <c r="BA5172" s="48"/>
      <c r="BB5172" s="48"/>
      <c r="BC5172" s="48"/>
      <c r="BD5172" s="48"/>
    </row>
    <row r="5173" spans="1:56">
      <c r="A5173" s="48"/>
      <c r="B5173" s="48"/>
      <c r="C5173" s="49"/>
      <c r="D5173" s="48"/>
      <c r="E5173" s="48"/>
      <c r="F5173" s="48"/>
      <c r="G5173" s="48"/>
      <c r="H5173" s="48"/>
      <c r="I5173" s="48"/>
      <c r="J5173" s="86"/>
      <c r="K5173" s="86"/>
      <c r="L5173" s="86"/>
      <c r="M5173" s="86"/>
      <c r="N5173" s="86"/>
      <c r="O5173" s="86"/>
      <c r="P5173" s="86"/>
      <c r="Q5173" s="86"/>
      <c r="R5173" s="86"/>
      <c r="S5173" s="86"/>
      <c r="T5173" s="86"/>
      <c r="U5173" s="86"/>
      <c r="V5173" s="48"/>
      <c r="W5173" s="48"/>
      <c r="X5173" s="48"/>
      <c r="Y5173" s="48"/>
      <c r="Z5173" s="48"/>
      <c r="AA5173" s="48"/>
      <c r="AB5173" s="48"/>
      <c r="AC5173" s="48"/>
      <c r="AD5173" s="48"/>
      <c r="AE5173" s="48"/>
      <c r="AF5173" s="48"/>
      <c r="AG5173" s="48"/>
      <c r="AH5173" s="48"/>
      <c r="AI5173" s="48"/>
      <c r="AJ5173" s="48"/>
      <c r="AK5173" s="48"/>
      <c r="AL5173" s="48"/>
      <c r="AM5173" s="48"/>
      <c r="AN5173" s="48"/>
      <c r="AO5173" s="48"/>
      <c r="AP5173" s="48"/>
      <c r="AQ5173" s="48"/>
      <c r="AR5173" s="48"/>
      <c r="AS5173" s="48"/>
      <c r="AT5173" s="48"/>
      <c r="AU5173" s="48"/>
      <c r="AV5173" s="48"/>
      <c r="AW5173" s="48"/>
      <c r="AX5173" s="48"/>
      <c r="AY5173" s="48"/>
      <c r="AZ5173" s="48"/>
      <c r="BA5173" s="48"/>
      <c r="BB5173" s="48"/>
      <c r="BC5173" s="48"/>
      <c r="BD5173" s="48"/>
    </row>
    <row r="5174" spans="1:56">
      <c r="A5174" s="48"/>
      <c r="B5174" s="48"/>
      <c r="C5174" s="49"/>
      <c r="D5174" s="48"/>
      <c r="E5174" s="48"/>
      <c r="F5174" s="48"/>
      <c r="G5174" s="48"/>
      <c r="H5174" s="48"/>
      <c r="I5174" s="48"/>
      <c r="J5174" s="86"/>
      <c r="K5174" s="86"/>
      <c r="L5174" s="86"/>
      <c r="M5174" s="86"/>
      <c r="N5174" s="86"/>
      <c r="O5174" s="86"/>
      <c r="P5174" s="86"/>
      <c r="Q5174" s="86"/>
      <c r="R5174" s="86"/>
      <c r="S5174" s="86"/>
      <c r="T5174" s="86"/>
      <c r="U5174" s="86"/>
      <c r="V5174" s="48"/>
      <c r="W5174" s="48"/>
      <c r="X5174" s="48"/>
      <c r="Y5174" s="48"/>
      <c r="Z5174" s="48"/>
      <c r="AA5174" s="48"/>
      <c r="AB5174" s="48"/>
      <c r="AC5174" s="48"/>
      <c r="AD5174" s="48"/>
      <c r="AE5174" s="48"/>
      <c r="AF5174" s="48"/>
      <c r="AG5174" s="48"/>
      <c r="AH5174" s="48"/>
      <c r="AI5174" s="48"/>
      <c r="AJ5174" s="48"/>
      <c r="AK5174" s="48"/>
      <c r="AL5174" s="48"/>
      <c r="AM5174" s="48"/>
      <c r="AN5174" s="48"/>
      <c r="AO5174" s="48"/>
      <c r="AP5174" s="48"/>
      <c r="AQ5174" s="48"/>
      <c r="AR5174" s="48"/>
      <c r="AS5174" s="48"/>
      <c r="AT5174" s="48"/>
      <c r="AU5174" s="48"/>
      <c r="AV5174" s="48"/>
      <c r="AW5174" s="48"/>
      <c r="AX5174" s="48"/>
      <c r="AY5174" s="48"/>
      <c r="AZ5174" s="48"/>
      <c r="BA5174" s="48"/>
      <c r="BB5174" s="48"/>
      <c r="BC5174" s="48"/>
      <c r="BD5174" s="48"/>
    </row>
    <row r="5175" spans="1:56">
      <c r="A5175" s="48"/>
      <c r="B5175" s="48"/>
      <c r="C5175" s="49"/>
      <c r="D5175" s="48"/>
      <c r="E5175" s="48"/>
      <c r="F5175" s="48"/>
      <c r="G5175" s="48"/>
      <c r="H5175" s="48"/>
      <c r="I5175" s="48"/>
      <c r="J5175" s="86"/>
      <c r="K5175" s="86"/>
      <c r="L5175" s="86"/>
      <c r="M5175" s="86"/>
      <c r="N5175" s="86"/>
      <c r="O5175" s="86"/>
      <c r="P5175" s="86"/>
      <c r="Q5175" s="86"/>
      <c r="R5175" s="86"/>
      <c r="S5175" s="86"/>
      <c r="T5175" s="86"/>
      <c r="U5175" s="86"/>
      <c r="V5175" s="48"/>
      <c r="W5175" s="48"/>
      <c r="X5175" s="48"/>
      <c r="Y5175" s="48"/>
      <c r="Z5175" s="48"/>
      <c r="AA5175" s="48"/>
      <c r="AB5175" s="48"/>
      <c r="AC5175" s="48"/>
      <c r="AD5175" s="48"/>
      <c r="AE5175" s="48"/>
      <c r="AF5175" s="48"/>
      <c r="AG5175" s="48"/>
      <c r="AH5175" s="48"/>
      <c r="AI5175" s="48"/>
      <c r="AJ5175" s="48"/>
      <c r="AK5175" s="48"/>
      <c r="AL5175" s="48"/>
      <c r="AM5175" s="48"/>
      <c r="AN5175" s="48"/>
      <c r="AO5175" s="48"/>
      <c r="AP5175" s="48"/>
      <c r="AQ5175" s="48"/>
      <c r="AR5175" s="48"/>
      <c r="AS5175" s="48"/>
      <c r="AT5175" s="48"/>
      <c r="AU5175" s="48"/>
      <c r="AV5175" s="48"/>
      <c r="AW5175" s="48"/>
      <c r="AX5175" s="48"/>
      <c r="AY5175" s="48"/>
      <c r="AZ5175" s="48"/>
      <c r="BA5175" s="48"/>
      <c r="BB5175" s="48"/>
      <c r="BC5175" s="48"/>
      <c r="BD5175" s="48"/>
    </row>
    <row r="5176" spans="1:56">
      <c r="A5176" s="48"/>
      <c r="B5176" s="48"/>
      <c r="C5176" s="49"/>
      <c r="D5176" s="48"/>
      <c r="E5176" s="48"/>
      <c r="F5176" s="48"/>
      <c r="G5176" s="48"/>
      <c r="H5176" s="48"/>
      <c r="I5176" s="48"/>
      <c r="J5176" s="86"/>
      <c r="K5176" s="86"/>
      <c r="L5176" s="86"/>
      <c r="M5176" s="86"/>
      <c r="N5176" s="86"/>
      <c r="O5176" s="86"/>
      <c r="P5176" s="86"/>
      <c r="Q5176" s="86"/>
      <c r="R5176" s="86"/>
      <c r="S5176" s="86"/>
      <c r="T5176" s="86"/>
      <c r="U5176" s="86"/>
      <c r="V5176" s="48"/>
      <c r="W5176" s="48"/>
      <c r="X5176" s="48"/>
      <c r="Y5176" s="48"/>
      <c r="Z5176" s="48"/>
      <c r="AA5176" s="48"/>
      <c r="AB5176" s="48"/>
      <c r="AC5176" s="48"/>
      <c r="AD5176" s="48"/>
      <c r="AE5176" s="48"/>
      <c r="AF5176" s="48"/>
      <c r="AG5176" s="48"/>
      <c r="AH5176" s="48"/>
      <c r="AI5176" s="48"/>
      <c r="AJ5176" s="48"/>
      <c r="AK5176" s="48"/>
      <c r="AL5176" s="48"/>
      <c r="AM5176" s="48"/>
      <c r="AN5176" s="48"/>
      <c r="AO5176" s="48"/>
      <c r="AP5176" s="48"/>
      <c r="AQ5176" s="48"/>
      <c r="AR5176" s="48"/>
      <c r="AS5176" s="48"/>
      <c r="AT5176" s="48"/>
      <c r="AU5176" s="48"/>
      <c r="AV5176" s="48"/>
      <c r="AW5176" s="48"/>
      <c r="AX5176" s="48"/>
      <c r="AY5176" s="48"/>
      <c r="AZ5176" s="48"/>
      <c r="BA5176" s="48"/>
      <c r="BB5176" s="48"/>
      <c r="BC5176" s="48"/>
      <c r="BD5176" s="48"/>
    </row>
    <row r="5177" spans="1:56">
      <c r="A5177" s="48"/>
      <c r="B5177" s="48"/>
      <c r="C5177" s="49"/>
      <c r="D5177" s="48"/>
      <c r="E5177" s="48"/>
      <c r="F5177" s="48"/>
      <c r="G5177" s="48"/>
      <c r="H5177" s="48"/>
      <c r="I5177" s="48"/>
      <c r="J5177" s="86"/>
      <c r="K5177" s="86"/>
      <c r="L5177" s="86"/>
      <c r="M5177" s="86"/>
      <c r="N5177" s="86"/>
      <c r="O5177" s="86"/>
      <c r="P5177" s="86"/>
      <c r="Q5177" s="86"/>
      <c r="R5177" s="86"/>
      <c r="S5177" s="86"/>
      <c r="T5177" s="86"/>
      <c r="U5177" s="86"/>
      <c r="V5177" s="48"/>
      <c r="W5177" s="48"/>
      <c r="X5177" s="48"/>
      <c r="Y5177" s="48"/>
      <c r="Z5177" s="48"/>
      <c r="AA5177" s="48"/>
      <c r="AB5177" s="48"/>
      <c r="AC5177" s="48"/>
      <c r="AD5177" s="48"/>
      <c r="AE5177" s="48"/>
      <c r="AF5177" s="48"/>
      <c r="AG5177" s="48"/>
      <c r="AH5177" s="48"/>
      <c r="AI5177" s="48"/>
      <c r="AJ5177" s="48"/>
      <c r="AK5177" s="48"/>
      <c r="AL5177" s="48"/>
      <c r="AM5177" s="48"/>
      <c r="AN5177" s="48"/>
      <c r="AO5177" s="48"/>
      <c r="AP5177" s="48"/>
      <c r="AQ5177" s="48"/>
      <c r="AR5177" s="48"/>
      <c r="AS5177" s="48"/>
      <c r="AT5177" s="48"/>
      <c r="AU5177" s="48"/>
      <c r="AV5177" s="48"/>
      <c r="AW5177" s="48"/>
      <c r="AX5177" s="48"/>
      <c r="AY5177" s="48"/>
      <c r="AZ5177" s="48"/>
      <c r="BA5177" s="48"/>
      <c r="BB5177" s="48"/>
      <c r="BC5177" s="48"/>
      <c r="BD5177" s="48"/>
    </row>
    <row r="5178" spans="1:56">
      <c r="A5178" s="48"/>
      <c r="B5178" s="48"/>
      <c r="C5178" s="49"/>
      <c r="D5178" s="48"/>
      <c r="E5178" s="48"/>
      <c r="F5178" s="48"/>
      <c r="G5178" s="48"/>
      <c r="H5178" s="48"/>
      <c r="I5178" s="48"/>
      <c r="J5178" s="86"/>
      <c r="K5178" s="86"/>
      <c r="L5178" s="86"/>
      <c r="M5178" s="86"/>
      <c r="N5178" s="86"/>
      <c r="O5178" s="86"/>
      <c r="P5178" s="86"/>
      <c r="Q5178" s="86"/>
      <c r="R5178" s="86"/>
      <c r="S5178" s="86"/>
      <c r="T5178" s="86"/>
      <c r="U5178" s="86"/>
      <c r="V5178" s="48"/>
      <c r="W5178" s="48"/>
      <c r="X5178" s="48"/>
      <c r="Y5178" s="48"/>
      <c r="Z5178" s="48"/>
      <c r="AA5178" s="48"/>
      <c r="AB5178" s="48"/>
      <c r="AC5178" s="48"/>
      <c r="AD5178" s="48"/>
      <c r="AE5178" s="48"/>
      <c r="AF5178" s="48"/>
      <c r="AG5178" s="48"/>
      <c r="AH5178" s="48"/>
      <c r="AI5178" s="48"/>
      <c r="AJ5178" s="48"/>
      <c r="AK5178" s="48"/>
      <c r="AL5178" s="48"/>
      <c r="AM5178" s="48"/>
      <c r="AN5178" s="48"/>
      <c r="AO5178" s="48"/>
      <c r="AP5178" s="48"/>
      <c r="AQ5178" s="48"/>
      <c r="AR5178" s="48"/>
      <c r="AS5178" s="48"/>
      <c r="AT5178" s="48"/>
      <c r="AU5178" s="48"/>
      <c r="AV5178" s="48"/>
      <c r="AW5178" s="48"/>
      <c r="AX5178" s="48"/>
      <c r="AY5178" s="48"/>
      <c r="AZ5178" s="48"/>
      <c r="BA5178" s="48"/>
      <c r="BB5178" s="48"/>
      <c r="BC5178" s="48"/>
      <c r="BD5178" s="48"/>
    </row>
    <row r="5179" spans="1:56">
      <c r="A5179" s="48"/>
      <c r="B5179" s="48"/>
      <c r="C5179" s="49"/>
      <c r="D5179" s="48"/>
      <c r="E5179" s="48"/>
      <c r="F5179" s="48"/>
      <c r="G5179" s="48"/>
      <c r="H5179" s="48"/>
      <c r="I5179" s="48"/>
      <c r="J5179" s="86"/>
      <c r="K5179" s="86"/>
      <c r="L5179" s="86"/>
      <c r="M5179" s="86"/>
      <c r="N5179" s="86"/>
      <c r="O5179" s="86"/>
      <c r="P5179" s="86"/>
      <c r="Q5179" s="86"/>
      <c r="R5179" s="86"/>
      <c r="S5179" s="86"/>
      <c r="T5179" s="86"/>
      <c r="U5179" s="86"/>
      <c r="V5179" s="48"/>
      <c r="W5179" s="48"/>
      <c r="X5179" s="48"/>
      <c r="Y5179" s="48"/>
      <c r="Z5179" s="48"/>
      <c r="AA5179" s="48"/>
      <c r="AB5179" s="48"/>
      <c r="AC5179" s="48"/>
      <c r="AD5179" s="48"/>
      <c r="AE5179" s="48"/>
      <c r="AF5179" s="48"/>
      <c r="AG5179" s="48"/>
      <c r="AH5179" s="48"/>
      <c r="AI5179" s="48"/>
      <c r="AJ5179" s="48"/>
      <c r="AK5179" s="48"/>
      <c r="AL5179" s="48"/>
      <c r="AM5179" s="48"/>
      <c r="AN5179" s="48"/>
      <c r="AO5179" s="48"/>
      <c r="AP5179" s="48"/>
      <c r="AQ5179" s="48"/>
      <c r="AR5179" s="48"/>
      <c r="AS5179" s="48"/>
      <c r="AT5179" s="48"/>
      <c r="AU5179" s="48"/>
      <c r="AV5179" s="48"/>
      <c r="AW5179" s="48"/>
      <c r="AX5179" s="48"/>
      <c r="AY5179" s="48"/>
      <c r="AZ5179" s="48"/>
      <c r="BA5179" s="48"/>
      <c r="BB5179" s="48"/>
      <c r="BC5179" s="48"/>
      <c r="BD5179" s="48"/>
    </row>
    <row r="5180" spans="1:56">
      <c r="A5180" s="48"/>
      <c r="B5180" s="48"/>
      <c r="C5180" s="49"/>
      <c r="D5180" s="48"/>
      <c r="E5180" s="48"/>
      <c r="F5180" s="48"/>
      <c r="G5180" s="48"/>
      <c r="H5180" s="48"/>
      <c r="I5180" s="48"/>
      <c r="J5180" s="86"/>
      <c r="K5180" s="86"/>
      <c r="L5180" s="86"/>
      <c r="M5180" s="86"/>
      <c r="N5180" s="86"/>
      <c r="O5180" s="86"/>
      <c r="P5180" s="86"/>
      <c r="Q5180" s="86"/>
      <c r="R5180" s="86"/>
      <c r="S5180" s="86"/>
      <c r="T5180" s="86"/>
      <c r="U5180" s="86"/>
      <c r="V5180" s="48"/>
      <c r="W5180" s="48"/>
      <c r="X5180" s="48"/>
      <c r="Y5180" s="48"/>
      <c r="Z5180" s="48"/>
      <c r="AA5180" s="48"/>
      <c r="AB5180" s="48"/>
      <c r="AC5180" s="48"/>
      <c r="AD5180" s="48"/>
      <c r="AE5180" s="48"/>
      <c r="AF5180" s="48"/>
      <c r="AG5180" s="48"/>
      <c r="AH5180" s="48"/>
      <c r="AI5180" s="48"/>
      <c r="AJ5180" s="48"/>
      <c r="AK5180" s="48"/>
      <c r="AL5180" s="48"/>
      <c r="AM5180" s="48"/>
      <c r="AN5180" s="48"/>
      <c r="AO5180" s="48"/>
      <c r="AP5180" s="48"/>
      <c r="AQ5180" s="48"/>
      <c r="AR5180" s="48"/>
      <c r="AS5180" s="48"/>
      <c r="AT5180" s="48"/>
      <c r="AU5180" s="48"/>
      <c r="AV5180" s="48"/>
      <c r="AW5180" s="48"/>
      <c r="AX5180" s="48"/>
      <c r="AY5180" s="48"/>
      <c r="AZ5180" s="48"/>
      <c r="BA5180" s="48"/>
      <c r="BB5180" s="48"/>
      <c r="BC5180" s="48"/>
      <c r="BD5180" s="48"/>
    </row>
    <row r="5181" spans="1:56">
      <c r="A5181" s="48"/>
      <c r="B5181" s="48"/>
      <c r="C5181" s="49"/>
      <c r="D5181" s="48"/>
      <c r="E5181" s="48"/>
      <c r="F5181" s="48"/>
      <c r="G5181" s="48"/>
      <c r="H5181" s="48"/>
      <c r="I5181" s="48"/>
      <c r="J5181" s="86"/>
      <c r="K5181" s="86"/>
      <c r="L5181" s="86"/>
      <c r="M5181" s="86"/>
      <c r="N5181" s="86"/>
      <c r="O5181" s="86"/>
      <c r="P5181" s="86"/>
      <c r="Q5181" s="86"/>
      <c r="R5181" s="86"/>
      <c r="S5181" s="86"/>
      <c r="T5181" s="86"/>
      <c r="U5181" s="86"/>
      <c r="V5181" s="48"/>
      <c r="W5181" s="48"/>
      <c r="X5181" s="48"/>
      <c r="Y5181" s="48"/>
      <c r="Z5181" s="48"/>
      <c r="AA5181" s="48"/>
      <c r="AB5181" s="48"/>
      <c r="AC5181" s="48"/>
      <c r="AD5181" s="48"/>
      <c r="AE5181" s="48"/>
      <c r="AF5181" s="48"/>
      <c r="AG5181" s="48"/>
      <c r="AH5181" s="48"/>
      <c r="AI5181" s="48"/>
      <c r="AJ5181" s="48"/>
      <c r="AK5181" s="48"/>
      <c r="AL5181" s="48"/>
      <c r="AM5181" s="48"/>
      <c r="AN5181" s="48"/>
      <c r="AO5181" s="48"/>
      <c r="AP5181" s="48"/>
      <c r="AQ5181" s="48"/>
      <c r="AR5181" s="48"/>
      <c r="AS5181" s="48"/>
      <c r="AT5181" s="48"/>
      <c r="AU5181" s="48"/>
      <c r="AV5181" s="48"/>
      <c r="AW5181" s="48"/>
      <c r="AX5181" s="48"/>
      <c r="AY5181" s="48"/>
      <c r="AZ5181" s="48"/>
      <c r="BA5181" s="48"/>
      <c r="BB5181" s="48"/>
      <c r="BC5181" s="48"/>
      <c r="BD5181" s="48"/>
    </row>
    <row r="5182" spans="1:56">
      <c r="A5182" s="48"/>
      <c r="B5182" s="48"/>
      <c r="C5182" s="49"/>
      <c r="D5182" s="48"/>
      <c r="E5182" s="48"/>
      <c r="F5182" s="48"/>
      <c r="G5182" s="48"/>
      <c r="H5182" s="48"/>
      <c r="I5182" s="48"/>
      <c r="J5182" s="86"/>
      <c r="K5182" s="86"/>
      <c r="L5182" s="86"/>
      <c r="M5182" s="86"/>
      <c r="N5182" s="86"/>
      <c r="O5182" s="86"/>
      <c r="P5182" s="86"/>
      <c r="Q5182" s="86"/>
      <c r="R5182" s="86"/>
      <c r="S5182" s="86"/>
      <c r="T5182" s="86"/>
      <c r="U5182" s="86"/>
      <c r="V5182" s="48"/>
      <c r="W5182" s="48"/>
      <c r="X5182" s="48"/>
      <c r="Y5182" s="48"/>
      <c r="Z5182" s="48"/>
      <c r="AA5182" s="48"/>
      <c r="AB5182" s="48"/>
      <c r="AC5182" s="48"/>
      <c r="AD5182" s="48"/>
      <c r="AE5182" s="48"/>
      <c r="AF5182" s="48"/>
      <c r="AG5182" s="48"/>
      <c r="AH5182" s="48"/>
      <c r="AI5182" s="48"/>
      <c r="AJ5182" s="48"/>
      <c r="AK5182" s="48"/>
      <c r="AL5182" s="48"/>
      <c r="AM5182" s="48"/>
      <c r="AN5182" s="48"/>
      <c r="AO5182" s="48"/>
      <c r="AP5182" s="48"/>
      <c r="AQ5182" s="48"/>
      <c r="AR5182" s="48"/>
      <c r="AS5182" s="48"/>
      <c r="AT5182" s="48"/>
      <c r="AU5182" s="48"/>
      <c r="AV5182" s="48"/>
      <c r="AW5182" s="48"/>
      <c r="AX5182" s="48"/>
      <c r="AY5182" s="48"/>
      <c r="AZ5182" s="48"/>
      <c r="BA5182" s="48"/>
      <c r="BB5182" s="48"/>
      <c r="BC5182" s="48"/>
      <c r="BD5182" s="48"/>
    </row>
    <row r="5183" spans="1:56">
      <c r="A5183" s="48"/>
      <c r="B5183" s="48"/>
      <c r="C5183" s="49"/>
      <c r="D5183" s="48"/>
      <c r="E5183" s="48"/>
      <c r="F5183" s="48"/>
      <c r="G5183" s="48"/>
      <c r="H5183" s="48"/>
      <c r="I5183" s="48"/>
      <c r="J5183" s="86"/>
      <c r="K5183" s="86"/>
      <c r="L5183" s="86"/>
      <c r="M5183" s="86"/>
      <c r="N5183" s="86"/>
      <c r="O5183" s="86"/>
      <c r="P5183" s="86"/>
      <c r="Q5183" s="86"/>
      <c r="R5183" s="86"/>
      <c r="S5183" s="86"/>
      <c r="T5183" s="86"/>
      <c r="U5183" s="86"/>
      <c r="V5183" s="48"/>
      <c r="W5183" s="48"/>
      <c r="X5183" s="48"/>
      <c r="Y5183" s="48"/>
      <c r="Z5183" s="48"/>
      <c r="AA5183" s="48"/>
      <c r="AB5183" s="48"/>
      <c r="AC5183" s="48"/>
      <c r="AD5183" s="48"/>
      <c r="AE5183" s="48"/>
      <c r="AF5183" s="48"/>
      <c r="AG5183" s="48"/>
      <c r="AH5183" s="48"/>
      <c r="AI5183" s="48"/>
      <c r="AJ5183" s="48"/>
      <c r="AK5183" s="48"/>
      <c r="AL5183" s="48"/>
      <c r="AM5183" s="48"/>
      <c r="AN5183" s="48"/>
      <c r="AO5183" s="48"/>
      <c r="AP5183" s="48"/>
      <c r="AQ5183" s="48"/>
      <c r="AR5183" s="48"/>
      <c r="AS5183" s="48"/>
      <c r="AT5183" s="48"/>
      <c r="AU5183" s="48"/>
      <c r="AV5183" s="48"/>
      <c r="AW5183" s="48"/>
      <c r="AX5183" s="48"/>
      <c r="AY5183" s="48"/>
      <c r="AZ5183" s="48"/>
      <c r="BA5183" s="48"/>
      <c r="BB5183" s="48"/>
      <c r="BC5183" s="48"/>
      <c r="BD5183" s="48"/>
    </row>
    <row r="5184" spans="1:56">
      <c r="A5184" s="48"/>
      <c r="B5184" s="48"/>
      <c r="C5184" s="49"/>
      <c r="D5184" s="48"/>
      <c r="E5184" s="48"/>
      <c r="F5184" s="48"/>
      <c r="G5184" s="48"/>
      <c r="H5184" s="48"/>
      <c r="I5184" s="48"/>
      <c r="J5184" s="86"/>
      <c r="K5184" s="86"/>
      <c r="L5184" s="86"/>
      <c r="M5184" s="86"/>
      <c r="N5184" s="86"/>
      <c r="O5184" s="86"/>
      <c r="P5184" s="86"/>
      <c r="Q5184" s="86"/>
      <c r="R5184" s="86"/>
      <c r="S5184" s="86"/>
      <c r="T5184" s="86"/>
      <c r="U5184" s="86"/>
      <c r="V5184" s="48"/>
      <c r="W5184" s="48"/>
      <c r="X5184" s="48"/>
      <c r="Y5184" s="48"/>
      <c r="Z5184" s="48"/>
      <c r="AA5184" s="48"/>
      <c r="AB5184" s="48"/>
      <c r="AC5184" s="48"/>
      <c r="AD5184" s="48"/>
      <c r="AE5184" s="48"/>
      <c r="AF5184" s="48"/>
      <c r="AG5184" s="48"/>
      <c r="AH5184" s="48"/>
      <c r="AI5184" s="48"/>
      <c r="AJ5184" s="48"/>
      <c r="AK5184" s="48"/>
      <c r="AL5184" s="48"/>
      <c r="AM5184" s="48"/>
      <c r="AN5184" s="48"/>
      <c r="AO5184" s="48"/>
      <c r="AP5184" s="48"/>
      <c r="AQ5184" s="48"/>
      <c r="AR5184" s="48"/>
      <c r="AS5184" s="48"/>
      <c r="AT5184" s="48"/>
      <c r="AU5184" s="48"/>
      <c r="AV5184" s="48"/>
      <c r="AW5184" s="48"/>
      <c r="AX5184" s="48"/>
      <c r="AY5184" s="48"/>
      <c r="AZ5184" s="48"/>
      <c r="BA5184" s="48"/>
      <c r="BB5184" s="48"/>
      <c r="BC5184" s="48"/>
      <c r="BD5184" s="48"/>
    </row>
    <row r="5185" spans="1:56">
      <c r="A5185" s="48"/>
      <c r="B5185" s="48"/>
      <c r="C5185" s="49"/>
      <c r="D5185" s="48"/>
      <c r="E5185" s="48"/>
      <c r="F5185" s="48"/>
      <c r="G5185" s="48"/>
      <c r="H5185" s="48"/>
      <c r="I5185" s="48"/>
      <c r="J5185" s="86"/>
      <c r="K5185" s="86"/>
      <c r="L5185" s="86"/>
      <c r="M5185" s="86"/>
      <c r="N5185" s="86"/>
      <c r="O5185" s="86"/>
      <c r="P5185" s="86"/>
      <c r="Q5185" s="86"/>
      <c r="R5185" s="86"/>
      <c r="S5185" s="86"/>
      <c r="T5185" s="86"/>
      <c r="U5185" s="86"/>
      <c r="V5185" s="48"/>
      <c r="W5185" s="48"/>
      <c r="X5185" s="48"/>
      <c r="Y5185" s="48"/>
      <c r="Z5185" s="48"/>
      <c r="AA5185" s="48"/>
      <c r="AB5185" s="48"/>
      <c r="AC5185" s="48"/>
      <c r="AD5185" s="48"/>
      <c r="AE5185" s="48"/>
      <c r="AF5185" s="48"/>
      <c r="AG5185" s="48"/>
      <c r="AH5185" s="48"/>
      <c r="AI5185" s="48"/>
      <c r="AJ5185" s="48"/>
      <c r="AK5185" s="48"/>
      <c r="AL5185" s="48"/>
      <c r="AM5185" s="48"/>
      <c r="AN5185" s="48"/>
      <c r="AO5185" s="48"/>
      <c r="AP5185" s="48"/>
      <c r="AQ5185" s="48"/>
      <c r="AR5185" s="48"/>
      <c r="AS5185" s="48"/>
      <c r="AT5185" s="48"/>
      <c r="AU5185" s="48"/>
      <c r="AV5185" s="48"/>
      <c r="AW5185" s="48"/>
      <c r="AX5185" s="48"/>
      <c r="AY5185" s="48"/>
      <c r="AZ5185" s="48"/>
      <c r="BA5185" s="48"/>
      <c r="BB5185" s="48"/>
      <c r="BC5185" s="48"/>
      <c r="BD5185" s="48"/>
    </row>
    <row r="5186" spans="1:56">
      <c r="A5186" s="48"/>
      <c r="B5186" s="48"/>
      <c r="C5186" s="49"/>
      <c r="D5186" s="48"/>
      <c r="E5186" s="48"/>
      <c r="F5186" s="48"/>
      <c r="G5186" s="48"/>
      <c r="H5186" s="48"/>
      <c r="I5186" s="48"/>
      <c r="J5186" s="86"/>
      <c r="K5186" s="86"/>
      <c r="L5186" s="86"/>
      <c r="M5186" s="86"/>
      <c r="N5186" s="86"/>
      <c r="O5186" s="86"/>
      <c r="P5186" s="86"/>
      <c r="Q5186" s="86"/>
      <c r="R5186" s="86"/>
      <c r="S5186" s="86"/>
      <c r="T5186" s="86"/>
      <c r="U5186" s="86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48"/>
      <c r="BB5186" s="48"/>
      <c r="BC5186" s="48"/>
      <c r="BD5186" s="48"/>
    </row>
    <row r="5187" spans="1:56">
      <c r="A5187" s="48"/>
      <c r="B5187" s="48"/>
      <c r="C5187" s="49"/>
      <c r="D5187" s="48"/>
      <c r="E5187" s="48"/>
      <c r="F5187" s="48"/>
      <c r="G5187" s="48"/>
      <c r="H5187" s="48"/>
      <c r="I5187" s="48"/>
      <c r="J5187" s="86"/>
      <c r="K5187" s="86"/>
      <c r="L5187" s="86"/>
      <c r="M5187" s="86"/>
      <c r="N5187" s="86"/>
      <c r="O5187" s="86"/>
      <c r="P5187" s="86"/>
      <c r="Q5187" s="86"/>
      <c r="R5187" s="86"/>
      <c r="S5187" s="86"/>
      <c r="T5187" s="86"/>
      <c r="U5187" s="86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48"/>
      <c r="BB5187" s="48"/>
      <c r="BC5187" s="48"/>
      <c r="BD5187" s="48"/>
    </row>
    <row r="5188" spans="1:56">
      <c r="A5188" s="48"/>
      <c r="B5188" s="48"/>
      <c r="C5188" s="49"/>
      <c r="D5188" s="48"/>
      <c r="E5188" s="48"/>
      <c r="F5188" s="48"/>
      <c r="G5188" s="48"/>
      <c r="H5188" s="48"/>
      <c r="I5188" s="48"/>
      <c r="J5188" s="86"/>
      <c r="K5188" s="86"/>
      <c r="L5188" s="86"/>
      <c r="M5188" s="86"/>
      <c r="N5188" s="86"/>
      <c r="O5188" s="86"/>
      <c r="P5188" s="86"/>
      <c r="Q5188" s="86"/>
      <c r="R5188" s="86"/>
      <c r="S5188" s="86"/>
      <c r="T5188" s="86"/>
      <c r="U5188" s="86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48"/>
      <c r="BB5188" s="48"/>
      <c r="BC5188" s="48"/>
      <c r="BD5188" s="48"/>
    </row>
    <row r="5189" spans="1:56">
      <c r="A5189" s="48"/>
      <c r="B5189" s="48"/>
      <c r="C5189" s="49"/>
      <c r="D5189" s="48"/>
      <c r="E5189" s="48"/>
      <c r="F5189" s="48"/>
      <c r="G5189" s="48"/>
      <c r="H5189" s="48"/>
      <c r="I5189" s="48"/>
      <c r="J5189" s="86"/>
      <c r="K5189" s="86"/>
      <c r="L5189" s="86"/>
      <c r="M5189" s="86"/>
      <c r="N5189" s="86"/>
      <c r="O5189" s="86"/>
      <c r="P5189" s="86"/>
      <c r="Q5189" s="86"/>
      <c r="R5189" s="86"/>
      <c r="S5189" s="86"/>
      <c r="T5189" s="86"/>
      <c r="U5189" s="86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48"/>
      <c r="BB5189" s="48"/>
      <c r="BC5189" s="48"/>
      <c r="BD5189" s="48"/>
    </row>
    <row r="5190" spans="1:56">
      <c r="A5190" s="48"/>
      <c r="B5190" s="48"/>
      <c r="C5190" s="49"/>
      <c r="D5190" s="48"/>
      <c r="E5190" s="48"/>
      <c r="F5190" s="48"/>
      <c r="G5190" s="48"/>
      <c r="H5190" s="48"/>
      <c r="I5190" s="48"/>
      <c r="J5190" s="86"/>
      <c r="K5190" s="86"/>
      <c r="L5190" s="86"/>
      <c r="M5190" s="86"/>
      <c r="N5190" s="86"/>
      <c r="O5190" s="86"/>
      <c r="P5190" s="86"/>
      <c r="Q5190" s="86"/>
      <c r="R5190" s="86"/>
      <c r="S5190" s="86"/>
      <c r="T5190" s="86"/>
      <c r="U5190" s="86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48"/>
      <c r="BB5190" s="48"/>
      <c r="BC5190" s="48"/>
      <c r="BD5190" s="48"/>
    </row>
    <row r="5191" spans="1:56">
      <c r="A5191" s="48"/>
      <c r="B5191" s="48"/>
      <c r="C5191" s="49"/>
      <c r="D5191" s="48"/>
      <c r="E5191" s="48"/>
      <c r="F5191" s="48"/>
      <c r="G5191" s="48"/>
      <c r="H5191" s="48"/>
      <c r="I5191" s="48"/>
      <c r="J5191" s="86"/>
      <c r="K5191" s="86"/>
      <c r="L5191" s="86"/>
      <c r="M5191" s="86"/>
      <c r="N5191" s="86"/>
      <c r="O5191" s="86"/>
      <c r="P5191" s="86"/>
      <c r="Q5191" s="86"/>
      <c r="R5191" s="86"/>
      <c r="S5191" s="86"/>
      <c r="T5191" s="86"/>
      <c r="U5191" s="86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48"/>
      <c r="BB5191" s="48"/>
      <c r="BC5191" s="48"/>
      <c r="BD5191" s="48"/>
    </row>
    <row r="5192" spans="1:56">
      <c r="A5192" s="48"/>
      <c r="B5192" s="48"/>
      <c r="C5192" s="49"/>
      <c r="D5192" s="48"/>
      <c r="E5192" s="48"/>
      <c r="F5192" s="48"/>
      <c r="G5192" s="48"/>
      <c r="H5192" s="48"/>
      <c r="I5192" s="48"/>
      <c r="J5192" s="86"/>
      <c r="K5192" s="86"/>
      <c r="L5192" s="86"/>
      <c r="M5192" s="86"/>
      <c r="N5192" s="86"/>
      <c r="O5192" s="86"/>
      <c r="P5192" s="86"/>
      <c r="Q5192" s="86"/>
      <c r="R5192" s="86"/>
      <c r="S5192" s="86"/>
      <c r="T5192" s="86"/>
      <c r="U5192" s="86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48"/>
      <c r="BB5192" s="48"/>
      <c r="BC5192" s="48"/>
      <c r="BD5192" s="48"/>
    </row>
    <row r="5193" spans="1:56">
      <c r="A5193" s="48"/>
      <c r="B5193" s="48"/>
      <c r="C5193" s="49"/>
      <c r="D5193" s="48"/>
      <c r="E5193" s="48"/>
      <c r="F5193" s="48"/>
      <c r="G5193" s="48"/>
      <c r="H5193" s="48"/>
      <c r="I5193" s="48"/>
      <c r="J5193" s="86"/>
      <c r="K5193" s="86"/>
      <c r="L5193" s="86"/>
      <c r="M5193" s="86"/>
      <c r="N5193" s="86"/>
      <c r="O5193" s="86"/>
      <c r="P5193" s="86"/>
      <c r="Q5193" s="86"/>
      <c r="R5193" s="86"/>
      <c r="S5193" s="86"/>
      <c r="T5193" s="86"/>
      <c r="U5193" s="86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48"/>
      <c r="BB5193" s="48"/>
      <c r="BC5193" s="48"/>
      <c r="BD5193" s="48"/>
    </row>
    <row r="5194" spans="1:56">
      <c r="A5194" s="48"/>
      <c r="B5194" s="48"/>
      <c r="C5194" s="49"/>
      <c r="D5194" s="48"/>
      <c r="E5194" s="48"/>
      <c r="F5194" s="48"/>
      <c r="G5194" s="48"/>
      <c r="H5194" s="48"/>
      <c r="I5194" s="48"/>
      <c r="J5194" s="86"/>
      <c r="K5194" s="86"/>
      <c r="L5194" s="86"/>
      <c r="M5194" s="86"/>
      <c r="N5194" s="86"/>
      <c r="O5194" s="86"/>
      <c r="P5194" s="86"/>
      <c r="Q5194" s="86"/>
      <c r="R5194" s="86"/>
      <c r="S5194" s="86"/>
      <c r="T5194" s="86"/>
      <c r="U5194" s="86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48"/>
      <c r="BB5194" s="48"/>
      <c r="BC5194" s="48"/>
      <c r="BD5194" s="48"/>
    </row>
    <row r="5195" spans="1:56">
      <c r="A5195" s="48"/>
      <c r="B5195" s="48"/>
      <c r="C5195" s="49"/>
      <c r="D5195" s="48"/>
      <c r="E5195" s="48"/>
      <c r="F5195" s="48"/>
      <c r="G5195" s="48"/>
      <c r="H5195" s="48"/>
      <c r="I5195" s="48"/>
      <c r="J5195" s="86"/>
      <c r="K5195" s="86"/>
      <c r="L5195" s="86"/>
      <c r="M5195" s="86"/>
      <c r="N5195" s="86"/>
      <c r="O5195" s="86"/>
      <c r="P5195" s="86"/>
      <c r="Q5195" s="86"/>
      <c r="R5195" s="86"/>
      <c r="S5195" s="86"/>
      <c r="T5195" s="86"/>
      <c r="U5195" s="86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48"/>
      <c r="BB5195" s="48"/>
      <c r="BC5195" s="48"/>
      <c r="BD5195" s="48"/>
    </row>
    <row r="5196" spans="1:56">
      <c r="A5196" s="48"/>
      <c r="B5196" s="48"/>
      <c r="C5196" s="49"/>
      <c r="D5196" s="48"/>
      <c r="E5196" s="48"/>
      <c r="F5196" s="48"/>
      <c r="G5196" s="48"/>
      <c r="H5196" s="48"/>
      <c r="I5196" s="48"/>
      <c r="J5196" s="86"/>
      <c r="K5196" s="86"/>
      <c r="L5196" s="86"/>
      <c r="M5196" s="86"/>
      <c r="N5196" s="86"/>
      <c r="O5196" s="86"/>
      <c r="P5196" s="86"/>
      <c r="Q5196" s="86"/>
      <c r="R5196" s="86"/>
      <c r="S5196" s="86"/>
      <c r="T5196" s="86"/>
      <c r="U5196" s="86"/>
      <c r="V5196" s="48"/>
      <c r="W5196" s="48"/>
      <c r="X5196" s="48"/>
      <c r="Y5196" s="48"/>
      <c r="Z5196" s="48"/>
      <c r="AA5196" s="48"/>
      <c r="AB5196" s="48"/>
      <c r="AC5196" s="48"/>
      <c r="AD5196" s="48"/>
      <c r="AE5196" s="48"/>
      <c r="AF5196" s="48"/>
      <c r="AG5196" s="48"/>
      <c r="AH5196" s="48"/>
      <c r="AI5196" s="48"/>
      <c r="AJ5196" s="48"/>
      <c r="AK5196" s="48"/>
      <c r="AL5196" s="48"/>
      <c r="AM5196" s="48"/>
      <c r="AN5196" s="48"/>
      <c r="AO5196" s="48"/>
      <c r="AP5196" s="48"/>
      <c r="AQ5196" s="48"/>
      <c r="AR5196" s="48"/>
      <c r="AS5196" s="48"/>
      <c r="AT5196" s="48"/>
      <c r="AU5196" s="48"/>
      <c r="AV5196" s="48"/>
      <c r="AW5196" s="48"/>
      <c r="AX5196" s="48"/>
      <c r="AY5196" s="48"/>
      <c r="AZ5196" s="48"/>
      <c r="BA5196" s="48"/>
      <c r="BB5196" s="48"/>
      <c r="BC5196" s="48"/>
      <c r="BD5196" s="48"/>
    </row>
    <row r="5197" spans="1:56">
      <c r="A5197" s="48"/>
      <c r="B5197" s="48"/>
      <c r="C5197" s="49"/>
      <c r="D5197" s="48"/>
      <c r="E5197" s="48"/>
      <c r="F5197" s="48"/>
      <c r="G5197" s="48"/>
      <c r="H5197" s="48"/>
      <c r="I5197" s="48"/>
      <c r="J5197" s="86"/>
      <c r="K5197" s="86"/>
      <c r="L5197" s="86"/>
      <c r="M5197" s="86"/>
      <c r="N5197" s="86"/>
      <c r="O5197" s="86"/>
      <c r="P5197" s="86"/>
      <c r="Q5197" s="86"/>
      <c r="R5197" s="86"/>
      <c r="S5197" s="86"/>
      <c r="T5197" s="86"/>
      <c r="U5197" s="86"/>
      <c r="V5197" s="48"/>
      <c r="W5197" s="48"/>
      <c r="X5197" s="48"/>
      <c r="Y5197" s="48"/>
      <c r="Z5197" s="48"/>
      <c r="AA5197" s="48"/>
      <c r="AB5197" s="48"/>
      <c r="AC5197" s="48"/>
      <c r="AD5197" s="48"/>
      <c r="AE5197" s="48"/>
      <c r="AF5197" s="48"/>
      <c r="AG5197" s="48"/>
      <c r="AH5197" s="48"/>
      <c r="AI5197" s="48"/>
      <c r="AJ5197" s="48"/>
      <c r="AK5197" s="48"/>
      <c r="AL5197" s="48"/>
      <c r="AM5197" s="48"/>
      <c r="AN5197" s="48"/>
      <c r="AO5197" s="48"/>
      <c r="AP5197" s="48"/>
      <c r="AQ5197" s="48"/>
      <c r="AR5197" s="48"/>
      <c r="AS5197" s="48"/>
      <c r="AT5197" s="48"/>
      <c r="AU5197" s="48"/>
      <c r="AV5197" s="48"/>
      <c r="AW5197" s="48"/>
      <c r="AX5197" s="48"/>
      <c r="AY5197" s="48"/>
      <c r="AZ5197" s="48"/>
      <c r="BA5197" s="48"/>
      <c r="BB5197" s="48"/>
      <c r="BC5197" s="48"/>
      <c r="BD5197" s="48"/>
    </row>
    <row r="5198" spans="1:56">
      <c r="A5198" s="48"/>
      <c r="B5198" s="48"/>
      <c r="C5198" s="49"/>
      <c r="D5198" s="48"/>
      <c r="E5198" s="48"/>
      <c r="F5198" s="48"/>
      <c r="G5198" s="48"/>
      <c r="H5198" s="48"/>
      <c r="I5198" s="48"/>
      <c r="J5198" s="86"/>
      <c r="K5198" s="86"/>
      <c r="L5198" s="86"/>
      <c r="M5198" s="86"/>
      <c r="N5198" s="86"/>
      <c r="O5198" s="86"/>
      <c r="P5198" s="86"/>
      <c r="Q5198" s="86"/>
      <c r="R5198" s="86"/>
      <c r="S5198" s="86"/>
      <c r="T5198" s="86"/>
      <c r="U5198" s="86"/>
      <c r="V5198" s="48"/>
      <c r="W5198" s="48"/>
      <c r="X5198" s="48"/>
      <c r="Y5198" s="48"/>
      <c r="Z5198" s="48"/>
      <c r="AA5198" s="48"/>
      <c r="AB5198" s="48"/>
      <c r="AC5198" s="48"/>
      <c r="AD5198" s="48"/>
      <c r="AE5198" s="48"/>
      <c r="AF5198" s="48"/>
      <c r="AG5198" s="48"/>
      <c r="AH5198" s="48"/>
      <c r="AI5198" s="48"/>
      <c r="AJ5198" s="48"/>
      <c r="AK5198" s="48"/>
      <c r="AL5198" s="48"/>
      <c r="AM5198" s="48"/>
      <c r="AN5198" s="48"/>
      <c r="AO5198" s="48"/>
      <c r="AP5198" s="48"/>
      <c r="AQ5198" s="48"/>
      <c r="AR5198" s="48"/>
      <c r="AS5198" s="48"/>
      <c r="AT5198" s="48"/>
      <c r="AU5198" s="48"/>
      <c r="AV5198" s="48"/>
      <c r="AW5198" s="48"/>
      <c r="AX5198" s="48"/>
      <c r="AY5198" s="48"/>
      <c r="AZ5198" s="48"/>
      <c r="BA5198" s="48"/>
      <c r="BB5198" s="48"/>
      <c r="BC5198" s="48"/>
      <c r="BD5198" s="48"/>
    </row>
    <row r="5199" spans="1:56">
      <c r="A5199" s="48"/>
      <c r="B5199" s="48"/>
      <c r="C5199" s="49"/>
      <c r="D5199" s="48"/>
      <c r="E5199" s="48"/>
      <c r="F5199" s="48"/>
      <c r="G5199" s="48"/>
      <c r="H5199" s="48"/>
      <c r="I5199" s="48"/>
      <c r="J5199" s="86"/>
      <c r="K5199" s="86"/>
      <c r="L5199" s="86"/>
      <c r="M5199" s="86"/>
      <c r="N5199" s="86"/>
      <c r="O5199" s="86"/>
      <c r="P5199" s="86"/>
      <c r="Q5199" s="86"/>
      <c r="R5199" s="86"/>
      <c r="S5199" s="86"/>
      <c r="T5199" s="86"/>
      <c r="U5199" s="86"/>
      <c r="V5199" s="48"/>
      <c r="W5199" s="48"/>
      <c r="X5199" s="48"/>
      <c r="Y5199" s="48"/>
      <c r="Z5199" s="48"/>
      <c r="AA5199" s="48"/>
      <c r="AB5199" s="48"/>
      <c r="AC5199" s="48"/>
      <c r="AD5199" s="48"/>
      <c r="AE5199" s="48"/>
      <c r="AF5199" s="48"/>
      <c r="AG5199" s="48"/>
      <c r="AH5199" s="48"/>
      <c r="AI5199" s="48"/>
      <c r="AJ5199" s="48"/>
      <c r="AK5199" s="48"/>
      <c r="AL5199" s="48"/>
      <c r="AM5199" s="48"/>
      <c r="AN5199" s="48"/>
      <c r="AO5199" s="48"/>
      <c r="AP5199" s="48"/>
      <c r="AQ5199" s="48"/>
      <c r="AR5199" s="48"/>
      <c r="AS5199" s="48"/>
      <c r="AT5199" s="48"/>
      <c r="AU5199" s="48"/>
      <c r="AV5199" s="48"/>
      <c r="AW5199" s="48"/>
      <c r="AX5199" s="48"/>
      <c r="AY5199" s="48"/>
      <c r="AZ5199" s="48"/>
      <c r="BA5199" s="48"/>
      <c r="BB5199" s="48"/>
      <c r="BC5199" s="48"/>
      <c r="BD5199" s="48"/>
    </row>
    <row r="5200" spans="1:56">
      <c r="A5200" s="48"/>
      <c r="B5200" s="48"/>
      <c r="C5200" s="49"/>
      <c r="D5200" s="48"/>
      <c r="E5200" s="48"/>
      <c r="F5200" s="48"/>
      <c r="G5200" s="48"/>
      <c r="H5200" s="48"/>
      <c r="I5200" s="48"/>
      <c r="J5200" s="86"/>
      <c r="K5200" s="86"/>
      <c r="L5200" s="86"/>
      <c r="M5200" s="86"/>
      <c r="N5200" s="86"/>
      <c r="O5200" s="86"/>
      <c r="P5200" s="86"/>
      <c r="Q5200" s="86"/>
      <c r="R5200" s="86"/>
      <c r="S5200" s="86"/>
      <c r="T5200" s="86"/>
      <c r="U5200" s="86"/>
      <c r="V5200" s="48"/>
      <c r="W5200" s="48"/>
      <c r="X5200" s="48"/>
      <c r="Y5200" s="48"/>
      <c r="Z5200" s="48"/>
      <c r="AA5200" s="48"/>
      <c r="AB5200" s="48"/>
      <c r="AC5200" s="48"/>
      <c r="AD5200" s="48"/>
      <c r="AE5200" s="48"/>
      <c r="AF5200" s="48"/>
      <c r="AG5200" s="48"/>
      <c r="AH5200" s="48"/>
      <c r="AI5200" s="48"/>
      <c r="AJ5200" s="48"/>
      <c r="AK5200" s="48"/>
      <c r="AL5200" s="48"/>
      <c r="AM5200" s="48"/>
      <c r="AN5200" s="48"/>
      <c r="AO5200" s="48"/>
      <c r="AP5200" s="48"/>
      <c r="AQ5200" s="48"/>
      <c r="AR5200" s="48"/>
      <c r="AS5200" s="48"/>
      <c r="AT5200" s="48"/>
      <c r="AU5200" s="48"/>
      <c r="AV5200" s="48"/>
      <c r="AW5200" s="48"/>
      <c r="AX5200" s="48"/>
      <c r="AY5200" s="48"/>
      <c r="AZ5200" s="48"/>
      <c r="BA5200" s="48"/>
      <c r="BB5200" s="48"/>
      <c r="BC5200" s="48"/>
      <c r="BD5200" s="48"/>
    </row>
    <row r="5201" spans="1:56">
      <c r="A5201" s="48"/>
      <c r="B5201" s="48"/>
      <c r="C5201" s="49"/>
      <c r="D5201" s="48"/>
      <c r="E5201" s="48"/>
      <c r="F5201" s="48"/>
      <c r="G5201" s="48"/>
      <c r="H5201" s="48"/>
      <c r="I5201" s="48"/>
      <c r="J5201" s="86"/>
      <c r="K5201" s="86"/>
      <c r="L5201" s="86"/>
      <c r="M5201" s="86"/>
      <c r="N5201" s="86"/>
      <c r="O5201" s="86"/>
      <c r="P5201" s="86"/>
      <c r="Q5201" s="86"/>
      <c r="R5201" s="86"/>
      <c r="S5201" s="86"/>
      <c r="T5201" s="86"/>
      <c r="U5201" s="86"/>
      <c r="V5201" s="48"/>
      <c r="W5201" s="48"/>
      <c r="X5201" s="48"/>
      <c r="Y5201" s="48"/>
      <c r="Z5201" s="48"/>
      <c r="AA5201" s="48"/>
      <c r="AB5201" s="48"/>
      <c r="AC5201" s="48"/>
      <c r="AD5201" s="48"/>
      <c r="AE5201" s="48"/>
      <c r="AF5201" s="48"/>
      <c r="AG5201" s="48"/>
      <c r="AH5201" s="48"/>
      <c r="AI5201" s="48"/>
      <c r="AJ5201" s="48"/>
      <c r="AK5201" s="48"/>
      <c r="AL5201" s="48"/>
      <c r="AM5201" s="48"/>
      <c r="AN5201" s="48"/>
      <c r="AO5201" s="48"/>
      <c r="AP5201" s="48"/>
      <c r="AQ5201" s="48"/>
      <c r="AR5201" s="48"/>
      <c r="AS5201" s="48"/>
      <c r="AT5201" s="48"/>
      <c r="AU5201" s="48"/>
      <c r="AV5201" s="48"/>
      <c r="AW5201" s="48"/>
      <c r="AX5201" s="48"/>
      <c r="AY5201" s="48"/>
      <c r="AZ5201" s="48"/>
      <c r="BA5201" s="48"/>
      <c r="BB5201" s="48"/>
      <c r="BC5201" s="48"/>
      <c r="BD5201" s="48"/>
    </row>
    <row r="5202" spans="1:56">
      <c r="A5202" s="48"/>
      <c r="B5202" s="48"/>
      <c r="C5202" s="49"/>
      <c r="D5202" s="48"/>
      <c r="E5202" s="48"/>
      <c r="F5202" s="48"/>
      <c r="G5202" s="48"/>
      <c r="H5202" s="48"/>
      <c r="I5202" s="48"/>
      <c r="J5202" s="86"/>
      <c r="K5202" s="86"/>
      <c r="L5202" s="86"/>
      <c r="M5202" s="86"/>
      <c r="N5202" s="86"/>
      <c r="O5202" s="86"/>
      <c r="P5202" s="86"/>
      <c r="Q5202" s="86"/>
      <c r="R5202" s="86"/>
      <c r="S5202" s="86"/>
      <c r="T5202" s="86"/>
      <c r="U5202" s="86"/>
      <c r="V5202" s="48"/>
      <c r="W5202" s="48"/>
      <c r="X5202" s="48"/>
      <c r="Y5202" s="48"/>
      <c r="Z5202" s="48"/>
      <c r="AA5202" s="48"/>
      <c r="AB5202" s="48"/>
      <c r="AC5202" s="48"/>
      <c r="AD5202" s="48"/>
      <c r="AE5202" s="48"/>
      <c r="AF5202" s="48"/>
      <c r="AG5202" s="48"/>
      <c r="AH5202" s="48"/>
      <c r="AI5202" s="48"/>
      <c r="AJ5202" s="48"/>
      <c r="AK5202" s="48"/>
      <c r="AL5202" s="48"/>
      <c r="AM5202" s="48"/>
      <c r="AN5202" s="48"/>
      <c r="AO5202" s="48"/>
      <c r="AP5202" s="48"/>
      <c r="AQ5202" s="48"/>
      <c r="AR5202" s="48"/>
      <c r="AS5202" s="48"/>
      <c r="AT5202" s="48"/>
      <c r="AU5202" s="48"/>
      <c r="AV5202" s="48"/>
      <c r="AW5202" s="48"/>
      <c r="AX5202" s="48"/>
      <c r="AY5202" s="48"/>
      <c r="AZ5202" s="48"/>
      <c r="BA5202" s="48"/>
      <c r="BB5202" s="48"/>
      <c r="BC5202" s="48"/>
      <c r="BD5202" s="48"/>
    </row>
    <row r="5203" spans="1:56">
      <c r="A5203" s="48"/>
      <c r="B5203" s="48"/>
      <c r="C5203" s="49"/>
      <c r="D5203" s="48"/>
      <c r="E5203" s="48"/>
      <c r="F5203" s="48"/>
      <c r="G5203" s="48"/>
      <c r="H5203" s="48"/>
      <c r="I5203" s="48"/>
      <c r="J5203" s="86"/>
      <c r="K5203" s="86"/>
      <c r="L5203" s="86"/>
      <c r="M5203" s="86"/>
      <c r="N5203" s="86"/>
      <c r="O5203" s="86"/>
      <c r="P5203" s="86"/>
      <c r="Q5203" s="86"/>
      <c r="R5203" s="86"/>
      <c r="S5203" s="86"/>
      <c r="T5203" s="86"/>
      <c r="U5203" s="86"/>
      <c r="V5203" s="48"/>
      <c r="W5203" s="48"/>
      <c r="X5203" s="48"/>
      <c r="Y5203" s="48"/>
      <c r="Z5203" s="48"/>
      <c r="AA5203" s="48"/>
      <c r="AB5203" s="48"/>
      <c r="AC5203" s="48"/>
      <c r="AD5203" s="48"/>
      <c r="AE5203" s="48"/>
      <c r="AF5203" s="48"/>
      <c r="AG5203" s="48"/>
      <c r="AH5203" s="48"/>
      <c r="AI5203" s="48"/>
      <c r="AJ5203" s="48"/>
      <c r="AK5203" s="48"/>
      <c r="AL5203" s="48"/>
      <c r="AM5203" s="48"/>
      <c r="AN5203" s="48"/>
      <c r="AO5203" s="48"/>
      <c r="AP5203" s="48"/>
      <c r="AQ5203" s="48"/>
      <c r="AR5203" s="48"/>
      <c r="AS5203" s="48"/>
      <c r="AT5203" s="48"/>
      <c r="AU5203" s="48"/>
      <c r="AV5203" s="48"/>
      <c r="AW5203" s="48"/>
      <c r="AX5203" s="48"/>
      <c r="AY5203" s="48"/>
      <c r="AZ5203" s="48"/>
      <c r="BA5203" s="48"/>
      <c r="BB5203" s="48"/>
      <c r="BC5203" s="48"/>
      <c r="BD5203" s="48"/>
    </row>
    <row r="5204" spans="1:56">
      <c r="A5204" s="48"/>
      <c r="B5204" s="48"/>
      <c r="C5204" s="49"/>
      <c r="D5204" s="48"/>
      <c r="E5204" s="48"/>
      <c r="F5204" s="48"/>
      <c r="G5204" s="48"/>
      <c r="H5204" s="48"/>
      <c r="I5204" s="48"/>
      <c r="J5204" s="86"/>
      <c r="K5204" s="86"/>
      <c r="L5204" s="86"/>
      <c r="M5204" s="86"/>
      <c r="N5204" s="86"/>
      <c r="O5204" s="86"/>
      <c r="P5204" s="86"/>
      <c r="Q5204" s="86"/>
      <c r="R5204" s="86"/>
      <c r="S5204" s="86"/>
      <c r="T5204" s="86"/>
      <c r="U5204" s="86"/>
      <c r="V5204" s="48"/>
      <c r="W5204" s="48"/>
      <c r="X5204" s="48"/>
      <c r="Y5204" s="48"/>
      <c r="Z5204" s="48"/>
      <c r="AA5204" s="48"/>
      <c r="AB5204" s="48"/>
      <c r="AC5204" s="48"/>
      <c r="AD5204" s="48"/>
      <c r="AE5204" s="48"/>
      <c r="AF5204" s="48"/>
      <c r="AG5204" s="48"/>
      <c r="AH5204" s="48"/>
      <c r="AI5204" s="48"/>
      <c r="AJ5204" s="48"/>
      <c r="AK5204" s="48"/>
      <c r="AL5204" s="48"/>
      <c r="AM5204" s="48"/>
      <c r="AN5204" s="48"/>
      <c r="AO5204" s="48"/>
      <c r="AP5204" s="48"/>
      <c r="AQ5204" s="48"/>
      <c r="AR5204" s="48"/>
      <c r="AS5204" s="48"/>
      <c r="AT5204" s="48"/>
      <c r="AU5204" s="48"/>
      <c r="AV5204" s="48"/>
      <c r="AW5204" s="48"/>
      <c r="AX5204" s="48"/>
      <c r="AY5204" s="48"/>
      <c r="AZ5204" s="48"/>
      <c r="BA5204" s="48"/>
      <c r="BB5204" s="48"/>
      <c r="BC5204" s="48"/>
      <c r="BD5204" s="48"/>
    </row>
    <row r="5205" spans="1:56">
      <c r="A5205" s="48"/>
      <c r="B5205" s="48"/>
      <c r="C5205" s="49"/>
      <c r="D5205" s="48"/>
      <c r="E5205" s="48"/>
      <c r="F5205" s="48"/>
      <c r="G5205" s="48"/>
      <c r="H5205" s="48"/>
      <c r="I5205" s="48"/>
      <c r="J5205" s="86"/>
      <c r="K5205" s="86"/>
      <c r="L5205" s="86"/>
      <c r="M5205" s="86"/>
      <c r="N5205" s="86"/>
      <c r="O5205" s="86"/>
      <c r="P5205" s="86"/>
      <c r="Q5205" s="86"/>
      <c r="R5205" s="86"/>
      <c r="S5205" s="86"/>
      <c r="T5205" s="86"/>
      <c r="U5205" s="86"/>
      <c r="V5205" s="48"/>
      <c r="W5205" s="48"/>
      <c r="X5205" s="48"/>
      <c r="Y5205" s="48"/>
      <c r="Z5205" s="48"/>
      <c r="AA5205" s="48"/>
      <c r="AB5205" s="48"/>
      <c r="AC5205" s="48"/>
      <c r="AD5205" s="48"/>
      <c r="AE5205" s="48"/>
      <c r="AF5205" s="48"/>
      <c r="AG5205" s="48"/>
      <c r="AH5205" s="48"/>
      <c r="AI5205" s="48"/>
      <c r="AJ5205" s="48"/>
      <c r="AK5205" s="48"/>
      <c r="AL5205" s="48"/>
      <c r="AM5205" s="48"/>
      <c r="AN5205" s="48"/>
      <c r="AO5205" s="48"/>
      <c r="AP5205" s="48"/>
      <c r="AQ5205" s="48"/>
      <c r="AR5205" s="48"/>
      <c r="AS5205" s="48"/>
      <c r="AT5205" s="48"/>
      <c r="AU5205" s="48"/>
      <c r="AV5205" s="48"/>
      <c r="AW5205" s="48"/>
      <c r="AX5205" s="48"/>
      <c r="AY5205" s="48"/>
      <c r="AZ5205" s="48"/>
      <c r="BA5205" s="48"/>
      <c r="BB5205" s="48"/>
      <c r="BC5205" s="48"/>
      <c r="BD5205" s="48"/>
    </row>
    <row r="5206" spans="1:56">
      <c r="A5206" s="48"/>
      <c r="B5206" s="48"/>
      <c r="C5206" s="49"/>
      <c r="D5206" s="48"/>
      <c r="E5206" s="48"/>
      <c r="F5206" s="48"/>
      <c r="G5206" s="48"/>
      <c r="H5206" s="48"/>
      <c r="I5206" s="48"/>
      <c r="J5206" s="86"/>
      <c r="K5206" s="86"/>
      <c r="L5206" s="86"/>
      <c r="M5206" s="86"/>
      <c r="N5206" s="86"/>
      <c r="O5206" s="86"/>
      <c r="P5206" s="86"/>
      <c r="Q5206" s="86"/>
      <c r="R5206" s="86"/>
      <c r="S5206" s="86"/>
      <c r="T5206" s="86"/>
      <c r="U5206" s="86"/>
      <c r="V5206" s="48"/>
      <c r="W5206" s="48"/>
      <c r="X5206" s="48"/>
      <c r="Y5206" s="48"/>
      <c r="Z5206" s="48"/>
      <c r="AA5206" s="48"/>
      <c r="AB5206" s="48"/>
      <c r="AC5206" s="48"/>
      <c r="AD5206" s="48"/>
      <c r="AE5206" s="48"/>
      <c r="AF5206" s="48"/>
      <c r="AG5206" s="48"/>
      <c r="AH5206" s="48"/>
      <c r="AI5206" s="48"/>
      <c r="AJ5206" s="48"/>
      <c r="AK5206" s="48"/>
      <c r="AL5206" s="48"/>
      <c r="AM5206" s="48"/>
      <c r="AN5206" s="48"/>
      <c r="AO5206" s="48"/>
      <c r="AP5206" s="48"/>
      <c r="AQ5206" s="48"/>
      <c r="AR5206" s="48"/>
      <c r="AS5206" s="48"/>
      <c r="AT5206" s="48"/>
      <c r="AU5206" s="48"/>
      <c r="AV5206" s="48"/>
      <c r="AW5206" s="48"/>
      <c r="AX5206" s="48"/>
      <c r="AY5206" s="48"/>
      <c r="AZ5206" s="48"/>
      <c r="BA5206" s="48"/>
      <c r="BB5206" s="48"/>
      <c r="BC5206" s="48"/>
      <c r="BD5206" s="48"/>
    </row>
    <row r="5207" spans="1:56">
      <c r="A5207" s="48"/>
      <c r="B5207" s="48"/>
      <c r="C5207" s="49"/>
      <c r="D5207" s="48"/>
      <c r="E5207" s="48"/>
      <c r="F5207" s="48"/>
      <c r="G5207" s="48"/>
      <c r="H5207" s="48"/>
      <c r="I5207" s="48"/>
      <c r="J5207" s="86"/>
      <c r="K5207" s="86"/>
      <c r="L5207" s="86"/>
      <c r="M5207" s="86"/>
      <c r="N5207" s="86"/>
      <c r="O5207" s="86"/>
      <c r="P5207" s="86"/>
      <c r="Q5207" s="86"/>
      <c r="R5207" s="86"/>
      <c r="S5207" s="86"/>
      <c r="T5207" s="86"/>
      <c r="U5207" s="86"/>
      <c r="V5207" s="48"/>
      <c r="W5207" s="48"/>
      <c r="X5207" s="48"/>
      <c r="Y5207" s="48"/>
      <c r="Z5207" s="48"/>
      <c r="AA5207" s="48"/>
      <c r="AB5207" s="48"/>
      <c r="AC5207" s="48"/>
      <c r="AD5207" s="48"/>
      <c r="AE5207" s="48"/>
      <c r="AF5207" s="48"/>
      <c r="AG5207" s="48"/>
      <c r="AH5207" s="48"/>
      <c r="AI5207" s="48"/>
      <c r="AJ5207" s="48"/>
      <c r="AK5207" s="48"/>
      <c r="AL5207" s="48"/>
      <c r="AM5207" s="48"/>
      <c r="AN5207" s="48"/>
      <c r="AO5207" s="48"/>
      <c r="AP5207" s="48"/>
      <c r="AQ5207" s="48"/>
      <c r="AR5207" s="48"/>
      <c r="AS5207" s="48"/>
      <c r="AT5207" s="48"/>
      <c r="AU5207" s="48"/>
      <c r="AV5207" s="48"/>
      <c r="AW5207" s="48"/>
      <c r="AX5207" s="48"/>
      <c r="AY5207" s="48"/>
      <c r="AZ5207" s="48"/>
      <c r="BA5207" s="48"/>
      <c r="BB5207" s="48"/>
      <c r="BC5207" s="48"/>
      <c r="BD5207" s="48"/>
    </row>
    <row r="5208" spans="1:56">
      <c r="A5208" s="48"/>
      <c r="B5208" s="48"/>
      <c r="C5208" s="49"/>
      <c r="D5208" s="48"/>
      <c r="E5208" s="48"/>
      <c r="F5208" s="48"/>
      <c r="G5208" s="48"/>
      <c r="H5208" s="48"/>
      <c r="I5208" s="48"/>
      <c r="J5208" s="86"/>
      <c r="K5208" s="86"/>
      <c r="L5208" s="86"/>
      <c r="M5208" s="86"/>
      <c r="N5208" s="86"/>
      <c r="O5208" s="86"/>
      <c r="P5208" s="86"/>
      <c r="Q5208" s="86"/>
      <c r="R5208" s="86"/>
      <c r="S5208" s="86"/>
      <c r="T5208" s="86"/>
      <c r="U5208" s="86"/>
      <c r="V5208" s="48"/>
      <c r="W5208" s="48"/>
      <c r="X5208" s="48"/>
      <c r="Y5208" s="48"/>
      <c r="Z5208" s="48"/>
      <c r="AA5208" s="48"/>
      <c r="AB5208" s="48"/>
      <c r="AC5208" s="48"/>
      <c r="AD5208" s="48"/>
      <c r="AE5208" s="48"/>
      <c r="AF5208" s="48"/>
      <c r="AG5208" s="48"/>
      <c r="AH5208" s="48"/>
      <c r="AI5208" s="48"/>
      <c r="AJ5208" s="48"/>
      <c r="AK5208" s="48"/>
      <c r="AL5208" s="48"/>
      <c r="AM5208" s="48"/>
      <c r="AN5208" s="48"/>
      <c r="AO5208" s="48"/>
      <c r="AP5208" s="48"/>
      <c r="AQ5208" s="48"/>
      <c r="AR5208" s="48"/>
      <c r="AS5208" s="48"/>
      <c r="AT5208" s="48"/>
      <c r="AU5208" s="48"/>
      <c r="AV5208" s="48"/>
      <c r="AW5208" s="48"/>
      <c r="AX5208" s="48"/>
      <c r="AY5208" s="48"/>
      <c r="AZ5208" s="48"/>
      <c r="BA5208" s="48"/>
      <c r="BB5208" s="48"/>
      <c r="BC5208" s="48"/>
      <c r="BD5208" s="48"/>
    </row>
    <row r="5209" spans="1:56">
      <c r="A5209" s="48"/>
      <c r="B5209" s="48"/>
      <c r="C5209" s="49"/>
      <c r="D5209" s="48"/>
      <c r="E5209" s="48"/>
      <c r="F5209" s="48"/>
      <c r="G5209" s="48"/>
      <c r="H5209" s="48"/>
      <c r="I5209" s="48"/>
      <c r="J5209" s="86"/>
      <c r="K5209" s="86"/>
      <c r="L5209" s="86"/>
      <c r="M5209" s="86"/>
      <c r="N5209" s="86"/>
      <c r="O5209" s="86"/>
      <c r="P5209" s="86"/>
      <c r="Q5209" s="86"/>
      <c r="R5209" s="86"/>
      <c r="S5209" s="86"/>
      <c r="T5209" s="86"/>
      <c r="U5209" s="86"/>
      <c r="V5209" s="48"/>
      <c r="W5209" s="48"/>
      <c r="X5209" s="48"/>
      <c r="Y5209" s="48"/>
      <c r="Z5209" s="48"/>
      <c r="AA5209" s="48"/>
      <c r="AB5209" s="48"/>
      <c r="AC5209" s="48"/>
      <c r="AD5209" s="48"/>
      <c r="AE5209" s="48"/>
      <c r="AF5209" s="48"/>
      <c r="AG5209" s="48"/>
      <c r="AH5209" s="48"/>
      <c r="AI5209" s="48"/>
      <c r="AJ5209" s="48"/>
      <c r="AK5209" s="48"/>
      <c r="AL5209" s="48"/>
      <c r="AM5209" s="48"/>
      <c r="AN5209" s="48"/>
      <c r="AO5209" s="48"/>
      <c r="AP5209" s="48"/>
      <c r="AQ5209" s="48"/>
      <c r="AR5209" s="48"/>
      <c r="AS5209" s="48"/>
      <c r="AT5209" s="48"/>
      <c r="AU5209" s="48"/>
      <c r="AV5209" s="48"/>
      <c r="AW5209" s="48"/>
      <c r="AX5209" s="48"/>
      <c r="AY5209" s="48"/>
      <c r="AZ5209" s="48"/>
      <c r="BA5209" s="48"/>
      <c r="BB5209" s="48"/>
      <c r="BC5209" s="48"/>
      <c r="BD5209" s="48"/>
    </row>
    <row r="5210" spans="1:56">
      <c r="A5210" s="48"/>
      <c r="B5210" s="48"/>
      <c r="C5210" s="49"/>
      <c r="D5210" s="48"/>
      <c r="E5210" s="48"/>
      <c r="F5210" s="48"/>
      <c r="G5210" s="48"/>
      <c r="H5210" s="48"/>
      <c r="I5210" s="48"/>
      <c r="J5210" s="86"/>
      <c r="K5210" s="86"/>
      <c r="L5210" s="86"/>
      <c r="M5210" s="86"/>
      <c r="N5210" s="86"/>
      <c r="O5210" s="86"/>
      <c r="P5210" s="86"/>
      <c r="Q5210" s="86"/>
      <c r="R5210" s="86"/>
      <c r="S5210" s="86"/>
      <c r="T5210" s="86"/>
      <c r="U5210" s="86"/>
      <c r="V5210" s="48"/>
      <c r="W5210" s="48"/>
      <c r="X5210" s="48"/>
      <c r="Y5210" s="48"/>
      <c r="Z5210" s="48"/>
      <c r="AA5210" s="48"/>
      <c r="AB5210" s="48"/>
      <c r="AC5210" s="48"/>
      <c r="AD5210" s="48"/>
      <c r="AE5210" s="48"/>
      <c r="AF5210" s="48"/>
      <c r="AG5210" s="48"/>
      <c r="AH5210" s="48"/>
      <c r="AI5210" s="48"/>
      <c r="AJ5210" s="48"/>
      <c r="AK5210" s="48"/>
      <c r="AL5210" s="48"/>
      <c r="AM5210" s="48"/>
      <c r="AN5210" s="48"/>
      <c r="AO5210" s="48"/>
      <c r="AP5210" s="48"/>
      <c r="AQ5210" s="48"/>
      <c r="AR5210" s="48"/>
      <c r="AS5210" s="48"/>
      <c r="AT5210" s="48"/>
      <c r="AU5210" s="48"/>
      <c r="AV5210" s="48"/>
      <c r="AW5210" s="48"/>
      <c r="AX5210" s="48"/>
      <c r="AY5210" s="48"/>
      <c r="AZ5210" s="48"/>
      <c r="BA5210" s="48"/>
      <c r="BB5210" s="48"/>
      <c r="BC5210" s="48"/>
      <c r="BD5210" s="48"/>
    </row>
    <row r="5211" spans="1:56">
      <c r="A5211" s="48"/>
      <c r="B5211" s="48"/>
      <c r="C5211" s="49"/>
      <c r="D5211" s="48"/>
      <c r="E5211" s="48"/>
      <c r="F5211" s="48"/>
      <c r="G5211" s="48"/>
      <c r="H5211" s="48"/>
      <c r="I5211" s="48"/>
      <c r="J5211" s="86"/>
      <c r="K5211" s="86"/>
      <c r="L5211" s="86"/>
      <c r="M5211" s="86"/>
      <c r="N5211" s="86"/>
      <c r="O5211" s="86"/>
      <c r="P5211" s="86"/>
      <c r="Q5211" s="86"/>
      <c r="R5211" s="86"/>
      <c r="S5211" s="86"/>
      <c r="T5211" s="86"/>
      <c r="U5211" s="86"/>
      <c r="V5211" s="48"/>
      <c r="W5211" s="48"/>
      <c r="X5211" s="48"/>
      <c r="Y5211" s="48"/>
      <c r="Z5211" s="48"/>
      <c r="AA5211" s="48"/>
      <c r="AB5211" s="48"/>
      <c r="AC5211" s="48"/>
      <c r="AD5211" s="48"/>
      <c r="AE5211" s="48"/>
      <c r="AF5211" s="48"/>
      <c r="AG5211" s="48"/>
      <c r="AH5211" s="48"/>
      <c r="AI5211" s="48"/>
      <c r="AJ5211" s="48"/>
      <c r="AK5211" s="48"/>
      <c r="AL5211" s="48"/>
      <c r="AM5211" s="48"/>
      <c r="AN5211" s="48"/>
      <c r="AO5211" s="48"/>
      <c r="AP5211" s="48"/>
      <c r="AQ5211" s="48"/>
      <c r="AR5211" s="48"/>
      <c r="AS5211" s="48"/>
      <c r="AT5211" s="48"/>
      <c r="AU5211" s="48"/>
      <c r="AV5211" s="48"/>
      <c r="AW5211" s="48"/>
      <c r="AX5211" s="48"/>
      <c r="AY5211" s="48"/>
      <c r="AZ5211" s="48"/>
      <c r="BA5211" s="48"/>
      <c r="BB5211" s="48"/>
      <c r="BC5211" s="48"/>
      <c r="BD5211" s="48"/>
    </row>
    <row r="5212" spans="1:56">
      <c r="A5212" s="48"/>
      <c r="B5212" s="48"/>
      <c r="C5212" s="49"/>
      <c r="D5212" s="48"/>
      <c r="E5212" s="48"/>
      <c r="F5212" s="48"/>
      <c r="G5212" s="48"/>
      <c r="H5212" s="48"/>
      <c r="I5212" s="48"/>
      <c r="J5212" s="86"/>
      <c r="K5212" s="86"/>
      <c r="L5212" s="86"/>
      <c r="M5212" s="86"/>
      <c r="N5212" s="86"/>
      <c r="O5212" s="86"/>
      <c r="P5212" s="86"/>
      <c r="Q5212" s="86"/>
      <c r="R5212" s="86"/>
      <c r="S5212" s="86"/>
      <c r="T5212" s="86"/>
      <c r="U5212" s="86"/>
      <c r="V5212" s="48"/>
      <c r="W5212" s="48"/>
      <c r="X5212" s="48"/>
      <c r="Y5212" s="48"/>
      <c r="Z5212" s="48"/>
      <c r="AA5212" s="48"/>
      <c r="AB5212" s="48"/>
      <c r="AC5212" s="48"/>
      <c r="AD5212" s="48"/>
      <c r="AE5212" s="48"/>
      <c r="AF5212" s="48"/>
      <c r="AG5212" s="48"/>
      <c r="AH5212" s="48"/>
      <c r="AI5212" s="48"/>
      <c r="AJ5212" s="48"/>
      <c r="AK5212" s="48"/>
      <c r="AL5212" s="48"/>
      <c r="AM5212" s="48"/>
      <c r="AN5212" s="48"/>
      <c r="AO5212" s="48"/>
      <c r="AP5212" s="48"/>
      <c r="AQ5212" s="48"/>
      <c r="AR5212" s="48"/>
      <c r="AS5212" s="48"/>
      <c r="AT5212" s="48"/>
      <c r="AU5212" s="48"/>
      <c r="AV5212" s="48"/>
      <c r="AW5212" s="48"/>
      <c r="AX5212" s="48"/>
      <c r="AY5212" s="48"/>
      <c r="AZ5212" s="48"/>
      <c r="BA5212" s="48"/>
      <c r="BB5212" s="48"/>
      <c r="BC5212" s="48"/>
      <c r="BD5212" s="48"/>
    </row>
    <row r="5213" spans="1:56">
      <c r="A5213" s="48"/>
      <c r="B5213" s="48"/>
      <c r="C5213" s="49"/>
      <c r="D5213" s="48"/>
      <c r="E5213" s="48"/>
      <c r="F5213" s="48"/>
      <c r="G5213" s="48"/>
      <c r="H5213" s="48"/>
      <c r="I5213" s="48"/>
      <c r="J5213" s="86"/>
      <c r="K5213" s="86"/>
      <c r="L5213" s="86"/>
      <c r="M5213" s="86"/>
      <c r="N5213" s="86"/>
      <c r="O5213" s="86"/>
      <c r="P5213" s="86"/>
      <c r="Q5213" s="86"/>
      <c r="R5213" s="86"/>
      <c r="S5213" s="86"/>
      <c r="T5213" s="86"/>
      <c r="U5213" s="86"/>
      <c r="V5213" s="48"/>
      <c r="W5213" s="48"/>
      <c r="X5213" s="48"/>
      <c r="Y5213" s="48"/>
      <c r="Z5213" s="48"/>
      <c r="AA5213" s="48"/>
      <c r="AB5213" s="48"/>
      <c r="AC5213" s="48"/>
      <c r="AD5213" s="48"/>
      <c r="AE5213" s="48"/>
      <c r="AF5213" s="48"/>
      <c r="AG5213" s="48"/>
      <c r="AH5213" s="48"/>
      <c r="AI5213" s="48"/>
      <c r="AJ5213" s="48"/>
      <c r="AK5213" s="48"/>
      <c r="AL5213" s="48"/>
      <c r="AM5213" s="48"/>
      <c r="AN5213" s="48"/>
      <c r="AO5213" s="48"/>
      <c r="AP5213" s="48"/>
      <c r="AQ5213" s="48"/>
      <c r="AR5213" s="48"/>
      <c r="AS5213" s="48"/>
      <c r="AT5213" s="48"/>
      <c r="AU5213" s="48"/>
      <c r="AV5213" s="48"/>
      <c r="AW5213" s="48"/>
      <c r="AX5213" s="48"/>
      <c r="AY5213" s="48"/>
      <c r="AZ5213" s="48"/>
      <c r="BA5213" s="48"/>
      <c r="BB5213" s="48"/>
      <c r="BC5213" s="48"/>
      <c r="BD5213" s="48"/>
    </row>
    <row r="5214" spans="1:56">
      <c r="A5214" s="48"/>
      <c r="B5214" s="48"/>
      <c r="C5214" s="49"/>
      <c r="D5214" s="48"/>
      <c r="E5214" s="48"/>
      <c r="F5214" s="48"/>
      <c r="G5214" s="48"/>
      <c r="H5214" s="48"/>
      <c r="I5214" s="48"/>
      <c r="J5214" s="86"/>
      <c r="K5214" s="86"/>
      <c r="L5214" s="86"/>
      <c r="M5214" s="86"/>
      <c r="N5214" s="86"/>
      <c r="O5214" s="86"/>
      <c r="P5214" s="86"/>
      <c r="Q5214" s="86"/>
      <c r="R5214" s="86"/>
      <c r="S5214" s="86"/>
      <c r="T5214" s="86"/>
      <c r="U5214" s="86"/>
      <c r="V5214" s="48"/>
      <c r="W5214" s="48"/>
      <c r="X5214" s="48"/>
      <c r="Y5214" s="48"/>
      <c r="Z5214" s="48"/>
      <c r="AA5214" s="48"/>
      <c r="AB5214" s="48"/>
      <c r="AC5214" s="48"/>
      <c r="AD5214" s="48"/>
      <c r="AE5214" s="48"/>
      <c r="AF5214" s="48"/>
      <c r="AG5214" s="48"/>
      <c r="AH5214" s="48"/>
      <c r="AI5214" s="48"/>
      <c r="AJ5214" s="48"/>
      <c r="AK5214" s="48"/>
      <c r="AL5214" s="48"/>
      <c r="AM5214" s="48"/>
      <c r="AN5214" s="48"/>
      <c r="AO5214" s="48"/>
      <c r="AP5214" s="48"/>
      <c r="AQ5214" s="48"/>
      <c r="AR5214" s="48"/>
      <c r="AS5214" s="48"/>
      <c r="AT5214" s="48"/>
      <c r="AU5214" s="48"/>
      <c r="AV5214" s="48"/>
      <c r="AW5214" s="48"/>
      <c r="AX5214" s="48"/>
      <c r="AY5214" s="48"/>
      <c r="AZ5214" s="48"/>
      <c r="BA5214" s="48"/>
      <c r="BB5214" s="48"/>
      <c r="BC5214" s="48"/>
      <c r="BD5214" s="48"/>
    </row>
    <row r="5215" spans="1:56">
      <c r="A5215" s="48"/>
      <c r="B5215" s="48"/>
      <c r="C5215" s="49"/>
      <c r="D5215" s="48"/>
      <c r="E5215" s="48"/>
      <c r="F5215" s="48"/>
      <c r="G5215" s="48"/>
      <c r="H5215" s="48"/>
      <c r="I5215" s="48"/>
      <c r="J5215" s="86"/>
      <c r="K5215" s="86"/>
      <c r="L5215" s="86"/>
      <c r="M5215" s="86"/>
      <c r="N5215" s="86"/>
      <c r="O5215" s="86"/>
      <c r="P5215" s="86"/>
      <c r="Q5215" s="86"/>
      <c r="R5215" s="86"/>
      <c r="S5215" s="86"/>
      <c r="T5215" s="86"/>
      <c r="U5215" s="86"/>
      <c r="V5215" s="48"/>
      <c r="W5215" s="48"/>
      <c r="X5215" s="48"/>
      <c r="Y5215" s="48"/>
      <c r="Z5215" s="48"/>
      <c r="AA5215" s="48"/>
      <c r="AB5215" s="48"/>
      <c r="AC5215" s="48"/>
      <c r="AD5215" s="48"/>
      <c r="AE5215" s="48"/>
      <c r="AF5215" s="48"/>
      <c r="AG5215" s="48"/>
      <c r="AH5215" s="48"/>
      <c r="AI5215" s="48"/>
      <c r="AJ5215" s="48"/>
      <c r="AK5215" s="48"/>
      <c r="AL5215" s="48"/>
      <c r="AM5215" s="48"/>
      <c r="AN5215" s="48"/>
      <c r="AO5215" s="48"/>
      <c r="AP5215" s="48"/>
      <c r="AQ5215" s="48"/>
      <c r="AR5215" s="48"/>
      <c r="AS5215" s="48"/>
      <c r="AT5215" s="48"/>
      <c r="AU5215" s="48"/>
      <c r="AV5215" s="48"/>
      <c r="AW5215" s="48"/>
      <c r="AX5215" s="48"/>
      <c r="AY5215" s="48"/>
      <c r="AZ5215" s="48"/>
      <c r="BA5215" s="48"/>
      <c r="BB5215" s="48"/>
      <c r="BC5215" s="48"/>
      <c r="BD5215" s="48"/>
    </row>
    <row r="5216" spans="1:56">
      <c r="A5216" s="48"/>
      <c r="B5216" s="48"/>
      <c r="C5216" s="49"/>
      <c r="D5216" s="48"/>
      <c r="E5216" s="48"/>
      <c r="F5216" s="48"/>
      <c r="G5216" s="48"/>
      <c r="H5216" s="48"/>
      <c r="I5216" s="48"/>
      <c r="J5216" s="86"/>
      <c r="K5216" s="86"/>
      <c r="L5216" s="86"/>
      <c r="M5216" s="86"/>
      <c r="N5216" s="86"/>
      <c r="O5216" s="86"/>
      <c r="P5216" s="86"/>
      <c r="Q5216" s="86"/>
      <c r="R5216" s="86"/>
      <c r="S5216" s="86"/>
      <c r="T5216" s="86"/>
      <c r="U5216" s="86"/>
      <c r="V5216" s="48"/>
      <c r="W5216" s="48"/>
      <c r="X5216" s="48"/>
      <c r="Y5216" s="48"/>
      <c r="Z5216" s="48"/>
      <c r="AA5216" s="48"/>
      <c r="AB5216" s="48"/>
      <c r="AC5216" s="48"/>
      <c r="AD5216" s="48"/>
      <c r="AE5216" s="48"/>
      <c r="AF5216" s="48"/>
      <c r="AG5216" s="48"/>
      <c r="AH5216" s="48"/>
      <c r="AI5216" s="48"/>
      <c r="AJ5216" s="48"/>
      <c r="AK5216" s="48"/>
      <c r="AL5216" s="48"/>
      <c r="AM5216" s="48"/>
      <c r="AN5216" s="48"/>
      <c r="AO5216" s="48"/>
      <c r="AP5216" s="48"/>
      <c r="AQ5216" s="48"/>
      <c r="AR5216" s="48"/>
      <c r="AS5216" s="48"/>
      <c r="AT5216" s="48"/>
      <c r="AU5216" s="48"/>
      <c r="AV5216" s="48"/>
      <c r="AW5216" s="48"/>
      <c r="AX5216" s="48"/>
      <c r="AY5216" s="48"/>
      <c r="AZ5216" s="48"/>
      <c r="BA5216" s="48"/>
      <c r="BB5216" s="48"/>
      <c r="BC5216" s="48"/>
      <c r="BD5216" s="48"/>
    </row>
    <row r="5217" spans="1:56">
      <c r="A5217" s="48"/>
      <c r="B5217" s="48"/>
      <c r="C5217" s="49"/>
      <c r="D5217" s="48"/>
      <c r="E5217" s="48"/>
      <c r="F5217" s="48"/>
      <c r="G5217" s="48"/>
      <c r="H5217" s="48"/>
      <c r="I5217" s="48"/>
      <c r="J5217" s="86"/>
      <c r="K5217" s="86"/>
      <c r="L5217" s="86"/>
      <c r="M5217" s="86"/>
      <c r="N5217" s="86"/>
      <c r="O5217" s="86"/>
      <c r="P5217" s="86"/>
      <c r="Q5217" s="86"/>
      <c r="R5217" s="86"/>
      <c r="S5217" s="86"/>
      <c r="T5217" s="86"/>
      <c r="U5217" s="86"/>
      <c r="V5217" s="48"/>
      <c r="W5217" s="48"/>
      <c r="X5217" s="48"/>
      <c r="Y5217" s="48"/>
      <c r="Z5217" s="48"/>
      <c r="AA5217" s="48"/>
      <c r="AB5217" s="48"/>
      <c r="AC5217" s="48"/>
      <c r="AD5217" s="48"/>
      <c r="AE5217" s="48"/>
      <c r="AF5217" s="48"/>
      <c r="AG5217" s="48"/>
      <c r="AH5217" s="48"/>
      <c r="AI5217" s="48"/>
      <c r="AJ5217" s="48"/>
      <c r="AK5217" s="48"/>
      <c r="AL5217" s="48"/>
      <c r="AM5217" s="48"/>
      <c r="AN5217" s="48"/>
      <c r="AO5217" s="48"/>
      <c r="AP5217" s="48"/>
      <c r="AQ5217" s="48"/>
      <c r="AR5217" s="48"/>
      <c r="AS5217" s="48"/>
      <c r="AT5217" s="48"/>
      <c r="AU5217" s="48"/>
      <c r="AV5217" s="48"/>
      <c r="AW5217" s="48"/>
      <c r="AX5217" s="48"/>
      <c r="AY5217" s="48"/>
      <c r="AZ5217" s="48"/>
      <c r="BA5217" s="48"/>
      <c r="BB5217" s="48"/>
      <c r="BC5217" s="48"/>
      <c r="BD5217" s="48"/>
    </row>
    <row r="5218" spans="1:56">
      <c r="A5218" s="48"/>
      <c r="B5218" s="48"/>
      <c r="C5218" s="49"/>
      <c r="D5218" s="48"/>
      <c r="E5218" s="48"/>
      <c r="F5218" s="48"/>
      <c r="G5218" s="48"/>
      <c r="H5218" s="48"/>
      <c r="I5218" s="48"/>
      <c r="J5218" s="86"/>
      <c r="K5218" s="86"/>
      <c r="L5218" s="86"/>
      <c r="M5218" s="86"/>
      <c r="N5218" s="86"/>
      <c r="O5218" s="86"/>
      <c r="P5218" s="86"/>
      <c r="Q5218" s="86"/>
      <c r="R5218" s="86"/>
      <c r="S5218" s="86"/>
      <c r="T5218" s="86"/>
      <c r="U5218" s="86"/>
      <c r="V5218" s="48"/>
      <c r="W5218" s="48"/>
      <c r="X5218" s="48"/>
      <c r="Y5218" s="48"/>
      <c r="Z5218" s="48"/>
      <c r="AA5218" s="48"/>
      <c r="AB5218" s="48"/>
      <c r="AC5218" s="48"/>
      <c r="AD5218" s="48"/>
      <c r="AE5218" s="48"/>
      <c r="AF5218" s="48"/>
      <c r="AG5218" s="48"/>
      <c r="AH5218" s="48"/>
      <c r="AI5218" s="48"/>
      <c r="AJ5218" s="48"/>
      <c r="AK5218" s="48"/>
      <c r="AL5218" s="48"/>
      <c r="AM5218" s="48"/>
      <c r="AN5218" s="48"/>
      <c r="AO5218" s="48"/>
      <c r="AP5218" s="48"/>
      <c r="AQ5218" s="48"/>
      <c r="AR5218" s="48"/>
      <c r="AS5218" s="48"/>
      <c r="AT5218" s="48"/>
      <c r="AU5218" s="48"/>
      <c r="AV5218" s="48"/>
      <c r="AW5218" s="48"/>
      <c r="AX5218" s="48"/>
      <c r="AY5218" s="48"/>
      <c r="AZ5218" s="48"/>
      <c r="BA5218" s="48"/>
      <c r="BB5218" s="48"/>
      <c r="BC5218" s="48"/>
      <c r="BD5218" s="48"/>
    </row>
    <row r="5219" spans="1:56">
      <c r="A5219" s="48"/>
      <c r="B5219" s="48"/>
      <c r="C5219" s="49"/>
      <c r="D5219" s="48"/>
      <c r="E5219" s="48"/>
      <c r="F5219" s="48"/>
      <c r="G5219" s="48"/>
      <c r="H5219" s="48"/>
      <c r="I5219" s="48"/>
      <c r="J5219" s="86"/>
      <c r="K5219" s="86"/>
      <c r="L5219" s="86"/>
      <c r="M5219" s="86"/>
      <c r="N5219" s="86"/>
      <c r="O5219" s="86"/>
      <c r="P5219" s="86"/>
      <c r="Q5219" s="86"/>
      <c r="R5219" s="86"/>
      <c r="S5219" s="86"/>
      <c r="T5219" s="86"/>
      <c r="U5219" s="86"/>
      <c r="V5219" s="48"/>
      <c r="W5219" s="48"/>
      <c r="X5219" s="48"/>
      <c r="Y5219" s="48"/>
      <c r="Z5219" s="48"/>
      <c r="AA5219" s="48"/>
      <c r="AB5219" s="48"/>
      <c r="AC5219" s="48"/>
      <c r="AD5219" s="48"/>
      <c r="AE5219" s="48"/>
      <c r="AF5219" s="48"/>
      <c r="AG5219" s="48"/>
      <c r="AH5219" s="48"/>
      <c r="AI5219" s="48"/>
      <c r="AJ5219" s="48"/>
      <c r="AK5219" s="48"/>
      <c r="AL5219" s="48"/>
      <c r="AM5219" s="48"/>
      <c r="AN5219" s="48"/>
      <c r="AO5219" s="48"/>
      <c r="AP5219" s="48"/>
      <c r="AQ5219" s="48"/>
      <c r="AR5219" s="48"/>
      <c r="AS5219" s="48"/>
      <c r="AT5219" s="48"/>
      <c r="AU5219" s="48"/>
      <c r="AV5219" s="48"/>
      <c r="AW5219" s="48"/>
      <c r="AX5219" s="48"/>
      <c r="AY5219" s="48"/>
      <c r="AZ5219" s="48"/>
      <c r="BA5219" s="48"/>
      <c r="BB5219" s="48"/>
      <c r="BC5219" s="48"/>
      <c r="BD5219" s="48"/>
    </row>
    <row r="5220" spans="1:56">
      <c r="A5220" s="48"/>
      <c r="B5220" s="48"/>
      <c r="C5220" s="49"/>
      <c r="D5220" s="48"/>
      <c r="E5220" s="48"/>
      <c r="F5220" s="48"/>
      <c r="G5220" s="48"/>
      <c r="H5220" s="48"/>
      <c r="I5220" s="48"/>
      <c r="J5220" s="86"/>
      <c r="K5220" s="86"/>
      <c r="L5220" s="86"/>
      <c r="M5220" s="86"/>
      <c r="N5220" s="86"/>
      <c r="O5220" s="86"/>
      <c r="P5220" s="86"/>
      <c r="Q5220" s="86"/>
      <c r="R5220" s="86"/>
      <c r="S5220" s="86"/>
      <c r="T5220" s="86"/>
      <c r="U5220" s="86"/>
      <c r="V5220" s="48"/>
      <c r="W5220" s="48"/>
      <c r="X5220" s="48"/>
      <c r="Y5220" s="48"/>
      <c r="Z5220" s="48"/>
      <c r="AA5220" s="48"/>
      <c r="AB5220" s="48"/>
      <c r="AC5220" s="48"/>
      <c r="AD5220" s="48"/>
      <c r="AE5220" s="48"/>
      <c r="AF5220" s="48"/>
      <c r="AG5220" s="48"/>
      <c r="AH5220" s="48"/>
      <c r="AI5220" s="48"/>
      <c r="AJ5220" s="48"/>
      <c r="AK5220" s="48"/>
      <c r="AL5220" s="48"/>
      <c r="AM5220" s="48"/>
      <c r="AN5220" s="48"/>
      <c r="AO5220" s="48"/>
      <c r="AP5220" s="48"/>
      <c r="AQ5220" s="48"/>
      <c r="AR5220" s="48"/>
      <c r="AS5220" s="48"/>
      <c r="AT5220" s="48"/>
      <c r="AU5220" s="48"/>
      <c r="AV5220" s="48"/>
      <c r="AW5220" s="48"/>
      <c r="AX5220" s="48"/>
      <c r="AY5220" s="48"/>
      <c r="AZ5220" s="48"/>
      <c r="BA5220" s="48"/>
      <c r="BB5220" s="48"/>
      <c r="BC5220" s="48"/>
      <c r="BD5220" s="48"/>
    </row>
    <row r="5221" spans="1:56">
      <c r="A5221" s="48"/>
      <c r="B5221" s="48"/>
      <c r="C5221" s="49"/>
      <c r="D5221" s="48"/>
      <c r="E5221" s="48"/>
      <c r="F5221" s="48"/>
      <c r="G5221" s="48"/>
      <c r="H5221" s="48"/>
      <c r="I5221" s="48"/>
      <c r="J5221" s="86"/>
      <c r="K5221" s="86"/>
      <c r="L5221" s="86"/>
      <c r="M5221" s="86"/>
      <c r="N5221" s="86"/>
      <c r="O5221" s="86"/>
      <c r="P5221" s="86"/>
      <c r="Q5221" s="86"/>
      <c r="R5221" s="86"/>
      <c r="S5221" s="86"/>
      <c r="T5221" s="86"/>
      <c r="U5221" s="86"/>
      <c r="V5221" s="48"/>
      <c r="W5221" s="48"/>
      <c r="X5221" s="48"/>
      <c r="Y5221" s="48"/>
      <c r="Z5221" s="48"/>
      <c r="AA5221" s="48"/>
      <c r="AB5221" s="48"/>
      <c r="AC5221" s="48"/>
      <c r="AD5221" s="48"/>
      <c r="AE5221" s="48"/>
      <c r="AF5221" s="48"/>
      <c r="AG5221" s="48"/>
      <c r="AH5221" s="48"/>
      <c r="AI5221" s="48"/>
      <c r="AJ5221" s="48"/>
      <c r="AK5221" s="48"/>
      <c r="AL5221" s="48"/>
      <c r="AM5221" s="48"/>
      <c r="AN5221" s="48"/>
      <c r="AO5221" s="48"/>
      <c r="AP5221" s="48"/>
      <c r="AQ5221" s="48"/>
      <c r="AR5221" s="48"/>
      <c r="AS5221" s="48"/>
      <c r="AT5221" s="48"/>
      <c r="AU5221" s="48"/>
      <c r="AV5221" s="48"/>
      <c r="AW5221" s="48"/>
      <c r="AX5221" s="48"/>
      <c r="AY5221" s="48"/>
      <c r="AZ5221" s="48"/>
      <c r="BA5221" s="48"/>
      <c r="BB5221" s="48"/>
      <c r="BC5221" s="48"/>
      <c r="BD5221" s="48"/>
    </row>
    <row r="5222" spans="1:56">
      <c r="A5222" s="48"/>
      <c r="B5222" s="48"/>
      <c r="C5222" s="49"/>
      <c r="D5222" s="48"/>
      <c r="E5222" s="48"/>
      <c r="F5222" s="48"/>
      <c r="G5222" s="48"/>
      <c r="H5222" s="48"/>
      <c r="I5222" s="48"/>
      <c r="J5222" s="86"/>
      <c r="K5222" s="86"/>
      <c r="L5222" s="86"/>
      <c r="M5222" s="86"/>
      <c r="N5222" s="86"/>
      <c r="O5222" s="86"/>
      <c r="P5222" s="86"/>
      <c r="Q5222" s="86"/>
      <c r="R5222" s="86"/>
      <c r="S5222" s="86"/>
      <c r="T5222" s="86"/>
      <c r="U5222" s="86"/>
      <c r="V5222" s="48"/>
      <c r="W5222" s="48"/>
      <c r="X5222" s="48"/>
      <c r="Y5222" s="48"/>
      <c r="Z5222" s="48"/>
      <c r="AA5222" s="48"/>
      <c r="AB5222" s="48"/>
      <c r="AC5222" s="48"/>
      <c r="AD5222" s="48"/>
      <c r="AE5222" s="48"/>
      <c r="AF5222" s="48"/>
      <c r="AG5222" s="48"/>
      <c r="AH5222" s="48"/>
      <c r="AI5222" s="48"/>
      <c r="AJ5222" s="48"/>
      <c r="AK5222" s="48"/>
      <c r="AL5222" s="48"/>
      <c r="AM5222" s="48"/>
      <c r="AN5222" s="48"/>
      <c r="AO5222" s="48"/>
      <c r="AP5222" s="48"/>
      <c r="AQ5222" s="48"/>
      <c r="AR5222" s="48"/>
      <c r="AS5222" s="48"/>
      <c r="AT5222" s="48"/>
      <c r="AU5222" s="48"/>
      <c r="AV5222" s="48"/>
      <c r="AW5222" s="48"/>
      <c r="AX5222" s="48"/>
      <c r="AY5222" s="48"/>
      <c r="AZ5222" s="48"/>
      <c r="BA5222" s="48"/>
      <c r="BB5222" s="48"/>
      <c r="BC5222" s="48"/>
      <c r="BD5222" s="48"/>
    </row>
    <row r="5223" spans="1:56">
      <c r="A5223" s="48"/>
      <c r="B5223" s="48"/>
      <c r="C5223" s="49"/>
      <c r="D5223" s="48"/>
      <c r="E5223" s="48"/>
      <c r="F5223" s="48"/>
      <c r="G5223" s="48"/>
      <c r="H5223" s="48"/>
      <c r="I5223" s="48"/>
      <c r="J5223" s="86"/>
      <c r="K5223" s="86"/>
      <c r="L5223" s="86"/>
      <c r="M5223" s="86"/>
      <c r="N5223" s="86"/>
      <c r="O5223" s="86"/>
      <c r="P5223" s="86"/>
      <c r="Q5223" s="86"/>
      <c r="R5223" s="86"/>
      <c r="S5223" s="86"/>
      <c r="T5223" s="86"/>
      <c r="U5223" s="86"/>
      <c r="V5223" s="48"/>
      <c r="W5223" s="48"/>
      <c r="X5223" s="48"/>
      <c r="Y5223" s="48"/>
      <c r="Z5223" s="48"/>
      <c r="AA5223" s="48"/>
      <c r="AB5223" s="48"/>
      <c r="AC5223" s="48"/>
      <c r="AD5223" s="48"/>
      <c r="AE5223" s="48"/>
      <c r="AF5223" s="48"/>
      <c r="AG5223" s="48"/>
      <c r="AH5223" s="48"/>
      <c r="AI5223" s="48"/>
      <c r="AJ5223" s="48"/>
      <c r="AK5223" s="48"/>
      <c r="AL5223" s="48"/>
      <c r="AM5223" s="48"/>
      <c r="AN5223" s="48"/>
      <c r="AO5223" s="48"/>
      <c r="AP5223" s="48"/>
      <c r="AQ5223" s="48"/>
      <c r="AR5223" s="48"/>
      <c r="AS5223" s="48"/>
      <c r="AT5223" s="48"/>
      <c r="AU5223" s="48"/>
      <c r="AV5223" s="48"/>
      <c r="AW5223" s="48"/>
      <c r="AX5223" s="48"/>
      <c r="AY5223" s="48"/>
      <c r="AZ5223" s="48"/>
      <c r="BA5223" s="48"/>
      <c r="BB5223" s="48"/>
      <c r="BC5223" s="48"/>
      <c r="BD5223" s="48"/>
    </row>
    <row r="5224" spans="1:56">
      <c r="A5224" s="48"/>
      <c r="B5224" s="48"/>
      <c r="C5224" s="49"/>
      <c r="D5224" s="48"/>
      <c r="E5224" s="48"/>
      <c r="F5224" s="48"/>
      <c r="G5224" s="48"/>
      <c r="H5224" s="48"/>
      <c r="I5224" s="48"/>
      <c r="J5224" s="86"/>
      <c r="K5224" s="86"/>
      <c r="L5224" s="86"/>
      <c r="M5224" s="86"/>
      <c r="N5224" s="86"/>
      <c r="O5224" s="86"/>
      <c r="P5224" s="86"/>
      <c r="Q5224" s="86"/>
      <c r="R5224" s="86"/>
      <c r="S5224" s="86"/>
      <c r="T5224" s="86"/>
      <c r="U5224" s="86"/>
      <c r="V5224" s="48"/>
      <c r="W5224" s="48"/>
      <c r="X5224" s="48"/>
      <c r="Y5224" s="48"/>
      <c r="Z5224" s="48"/>
      <c r="AA5224" s="48"/>
      <c r="AB5224" s="48"/>
      <c r="AC5224" s="48"/>
      <c r="AD5224" s="48"/>
      <c r="AE5224" s="48"/>
      <c r="AF5224" s="48"/>
      <c r="AG5224" s="48"/>
      <c r="AH5224" s="48"/>
      <c r="AI5224" s="48"/>
      <c r="AJ5224" s="48"/>
      <c r="AK5224" s="48"/>
      <c r="AL5224" s="48"/>
      <c r="AM5224" s="48"/>
      <c r="AN5224" s="48"/>
      <c r="AO5224" s="48"/>
      <c r="AP5224" s="48"/>
      <c r="AQ5224" s="48"/>
      <c r="AR5224" s="48"/>
      <c r="AS5224" s="48"/>
      <c r="AT5224" s="48"/>
      <c r="AU5224" s="48"/>
      <c r="AV5224" s="48"/>
      <c r="AW5224" s="48"/>
      <c r="AX5224" s="48"/>
      <c r="AY5224" s="48"/>
      <c r="AZ5224" s="48"/>
      <c r="BA5224" s="48"/>
      <c r="BB5224" s="48"/>
      <c r="BC5224" s="48"/>
      <c r="BD5224" s="48"/>
    </row>
    <row r="5225" spans="1:56">
      <c r="A5225" s="48"/>
      <c r="B5225" s="48"/>
      <c r="C5225" s="49"/>
      <c r="D5225" s="48"/>
      <c r="E5225" s="48"/>
      <c r="F5225" s="48"/>
      <c r="G5225" s="48"/>
      <c r="H5225" s="48"/>
      <c r="I5225" s="48"/>
      <c r="J5225" s="86"/>
      <c r="K5225" s="86"/>
      <c r="L5225" s="86"/>
      <c r="M5225" s="86"/>
      <c r="N5225" s="86"/>
      <c r="O5225" s="86"/>
      <c r="P5225" s="86"/>
      <c r="Q5225" s="86"/>
      <c r="R5225" s="86"/>
      <c r="S5225" s="86"/>
      <c r="T5225" s="86"/>
      <c r="U5225" s="86"/>
      <c r="V5225" s="48"/>
      <c r="W5225" s="48"/>
      <c r="X5225" s="48"/>
      <c r="Y5225" s="48"/>
      <c r="Z5225" s="48"/>
      <c r="AA5225" s="48"/>
      <c r="AB5225" s="48"/>
      <c r="AC5225" s="48"/>
      <c r="AD5225" s="48"/>
      <c r="AE5225" s="48"/>
      <c r="AF5225" s="48"/>
      <c r="AG5225" s="48"/>
      <c r="AH5225" s="48"/>
      <c r="AI5225" s="48"/>
      <c r="AJ5225" s="48"/>
      <c r="AK5225" s="48"/>
      <c r="AL5225" s="48"/>
      <c r="AM5225" s="48"/>
      <c r="AN5225" s="48"/>
      <c r="AO5225" s="48"/>
      <c r="AP5225" s="48"/>
      <c r="AQ5225" s="48"/>
      <c r="AR5225" s="48"/>
      <c r="AS5225" s="48"/>
      <c r="AT5225" s="48"/>
      <c r="AU5225" s="48"/>
      <c r="AV5225" s="48"/>
      <c r="AW5225" s="48"/>
      <c r="AX5225" s="48"/>
      <c r="AY5225" s="48"/>
      <c r="AZ5225" s="48"/>
      <c r="BA5225" s="48"/>
      <c r="BB5225" s="48"/>
      <c r="BC5225" s="48"/>
      <c r="BD5225" s="48"/>
    </row>
    <row r="5226" spans="1:56">
      <c r="A5226" s="48"/>
      <c r="B5226" s="48"/>
      <c r="C5226" s="49"/>
      <c r="D5226" s="48"/>
      <c r="E5226" s="48"/>
      <c r="F5226" s="48"/>
      <c r="G5226" s="48"/>
      <c r="H5226" s="48"/>
      <c r="I5226" s="48"/>
      <c r="J5226" s="86"/>
      <c r="K5226" s="86"/>
      <c r="L5226" s="86"/>
      <c r="M5226" s="86"/>
      <c r="N5226" s="86"/>
      <c r="O5226" s="86"/>
      <c r="P5226" s="86"/>
      <c r="Q5226" s="86"/>
      <c r="R5226" s="86"/>
      <c r="S5226" s="86"/>
      <c r="T5226" s="86"/>
      <c r="U5226" s="86"/>
      <c r="V5226" s="48"/>
      <c r="W5226" s="48"/>
      <c r="X5226" s="48"/>
      <c r="Y5226" s="48"/>
      <c r="Z5226" s="48"/>
      <c r="AA5226" s="48"/>
      <c r="AB5226" s="48"/>
      <c r="AC5226" s="48"/>
      <c r="AD5226" s="48"/>
      <c r="AE5226" s="48"/>
      <c r="AF5226" s="48"/>
      <c r="AG5226" s="48"/>
      <c r="AH5226" s="48"/>
      <c r="AI5226" s="48"/>
      <c r="AJ5226" s="48"/>
      <c r="AK5226" s="48"/>
      <c r="AL5226" s="48"/>
      <c r="AM5226" s="48"/>
      <c r="AN5226" s="48"/>
      <c r="AO5226" s="48"/>
      <c r="AP5226" s="48"/>
      <c r="AQ5226" s="48"/>
      <c r="AR5226" s="48"/>
      <c r="AS5226" s="48"/>
      <c r="AT5226" s="48"/>
      <c r="AU5226" s="48"/>
      <c r="AV5226" s="48"/>
      <c r="AW5226" s="48"/>
      <c r="AX5226" s="48"/>
      <c r="AY5226" s="48"/>
      <c r="AZ5226" s="48"/>
      <c r="BA5226" s="48"/>
      <c r="BB5226" s="48"/>
      <c r="BC5226" s="48"/>
      <c r="BD5226" s="48"/>
    </row>
    <row r="5227" spans="1:56">
      <c r="A5227" s="48"/>
      <c r="B5227" s="48"/>
      <c r="C5227" s="49"/>
      <c r="D5227" s="48"/>
      <c r="E5227" s="48"/>
      <c r="F5227" s="48"/>
      <c r="G5227" s="48"/>
      <c r="H5227" s="48"/>
      <c r="I5227" s="48"/>
      <c r="J5227" s="86"/>
      <c r="K5227" s="86"/>
      <c r="L5227" s="86"/>
      <c r="M5227" s="86"/>
      <c r="N5227" s="86"/>
      <c r="O5227" s="86"/>
      <c r="P5227" s="86"/>
      <c r="Q5227" s="86"/>
      <c r="R5227" s="86"/>
      <c r="S5227" s="86"/>
      <c r="T5227" s="86"/>
      <c r="U5227" s="86"/>
      <c r="V5227" s="48"/>
      <c r="W5227" s="48"/>
      <c r="X5227" s="48"/>
      <c r="Y5227" s="48"/>
      <c r="Z5227" s="48"/>
      <c r="AA5227" s="48"/>
      <c r="AB5227" s="48"/>
      <c r="AC5227" s="48"/>
      <c r="AD5227" s="48"/>
      <c r="AE5227" s="48"/>
      <c r="AF5227" s="48"/>
      <c r="AG5227" s="48"/>
      <c r="AH5227" s="48"/>
      <c r="AI5227" s="48"/>
      <c r="AJ5227" s="48"/>
      <c r="AK5227" s="48"/>
      <c r="AL5227" s="48"/>
      <c r="AM5227" s="48"/>
      <c r="AN5227" s="48"/>
      <c r="AO5227" s="48"/>
      <c r="AP5227" s="48"/>
      <c r="AQ5227" s="48"/>
      <c r="AR5227" s="48"/>
      <c r="AS5227" s="48"/>
      <c r="AT5227" s="48"/>
      <c r="AU5227" s="48"/>
      <c r="AV5227" s="48"/>
      <c r="AW5227" s="48"/>
      <c r="AX5227" s="48"/>
      <c r="AY5227" s="48"/>
      <c r="AZ5227" s="48"/>
      <c r="BA5227" s="48"/>
      <c r="BB5227" s="48"/>
      <c r="BC5227" s="48"/>
      <c r="BD5227" s="48"/>
    </row>
    <row r="5228" spans="1:56">
      <c r="A5228" s="48"/>
      <c r="B5228" s="48"/>
      <c r="C5228" s="49"/>
      <c r="D5228" s="48"/>
      <c r="E5228" s="48"/>
      <c r="F5228" s="48"/>
      <c r="G5228" s="48"/>
      <c r="H5228" s="48"/>
      <c r="I5228" s="48"/>
      <c r="J5228" s="86"/>
      <c r="K5228" s="86"/>
      <c r="L5228" s="86"/>
      <c r="M5228" s="86"/>
      <c r="N5228" s="86"/>
      <c r="O5228" s="86"/>
      <c r="P5228" s="86"/>
      <c r="Q5228" s="86"/>
      <c r="R5228" s="86"/>
      <c r="S5228" s="86"/>
      <c r="T5228" s="86"/>
      <c r="U5228" s="86"/>
      <c r="V5228" s="48"/>
      <c r="W5228" s="48"/>
      <c r="X5228" s="48"/>
      <c r="Y5228" s="48"/>
      <c r="Z5228" s="48"/>
      <c r="AA5228" s="48"/>
      <c r="AB5228" s="48"/>
      <c r="AC5228" s="48"/>
      <c r="AD5228" s="48"/>
      <c r="AE5228" s="48"/>
      <c r="AF5228" s="48"/>
      <c r="AG5228" s="48"/>
      <c r="AH5228" s="48"/>
      <c r="AI5228" s="48"/>
      <c r="AJ5228" s="48"/>
      <c r="AK5228" s="48"/>
      <c r="AL5228" s="48"/>
      <c r="AM5228" s="48"/>
      <c r="AN5228" s="48"/>
      <c r="AO5228" s="48"/>
      <c r="AP5228" s="48"/>
      <c r="AQ5228" s="48"/>
      <c r="AR5228" s="48"/>
      <c r="AS5228" s="48"/>
      <c r="AT5228" s="48"/>
      <c r="AU5228" s="48"/>
      <c r="AV5228" s="48"/>
      <c r="AW5228" s="48"/>
      <c r="AX5228" s="48"/>
      <c r="AY5228" s="48"/>
      <c r="AZ5228" s="48"/>
      <c r="BA5228" s="48"/>
      <c r="BB5228" s="48"/>
      <c r="BC5228" s="48"/>
      <c r="BD5228" s="48"/>
    </row>
    <row r="5229" spans="1:56">
      <c r="A5229" s="48"/>
      <c r="B5229" s="48"/>
      <c r="C5229" s="49"/>
      <c r="D5229" s="48"/>
      <c r="E5229" s="48"/>
      <c r="F5229" s="48"/>
      <c r="G5229" s="48"/>
      <c r="H5229" s="48"/>
      <c r="I5229" s="48"/>
      <c r="J5229" s="86"/>
      <c r="K5229" s="86"/>
      <c r="L5229" s="86"/>
      <c r="M5229" s="86"/>
      <c r="N5229" s="86"/>
      <c r="O5229" s="86"/>
      <c r="P5229" s="86"/>
      <c r="Q5229" s="86"/>
      <c r="R5229" s="86"/>
      <c r="S5229" s="86"/>
      <c r="T5229" s="86"/>
      <c r="U5229" s="86"/>
      <c r="V5229" s="48"/>
      <c r="W5229" s="48"/>
      <c r="X5229" s="48"/>
      <c r="Y5229" s="48"/>
      <c r="Z5229" s="48"/>
      <c r="AA5229" s="48"/>
      <c r="AB5229" s="48"/>
      <c r="AC5229" s="48"/>
      <c r="AD5229" s="48"/>
      <c r="AE5229" s="48"/>
      <c r="AF5229" s="48"/>
      <c r="AG5229" s="48"/>
      <c r="AH5229" s="48"/>
      <c r="AI5229" s="48"/>
      <c r="AJ5229" s="48"/>
      <c r="AK5229" s="48"/>
      <c r="AL5229" s="48"/>
      <c r="AM5229" s="48"/>
      <c r="AN5229" s="48"/>
      <c r="AO5229" s="48"/>
      <c r="AP5229" s="48"/>
      <c r="AQ5229" s="48"/>
      <c r="AR5229" s="48"/>
      <c r="AS5229" s="48"/>
      <c r="AT5229" s="48"/>
      <c r="AU5229" s="48"/>
      <c r="AV5229" s="48"/>
      <c r="AW5229" s="48"/>
      <c r="AX5229" s="48"/>
      <c r="AY5229" s="48"/>
      <c r="AZ5229" s="48"/>
      <c r="BA5229" s="48"/>
      <c r="BB5229" s="48"/>
      <c r="BC5229" s="48"/>
      <c r="BD5229" s="48"/>
    </row>
    <row r="5230" spans="1:56">
      <c r="A5230" s="48"/>
      <c r="B5230" s="48"/>
      <c r="C5230" s="49"/>
      <c r="D5230" s="48"/>
      <c r="E5230" s="48"/>
      <c r="F5230" s="48"/>
      <c r="G5230" s="48"/>
      <c r="H5230" s="48"/>
      <c r="I5230" s="48"/>
      <c r="J5230" s="86"/>
      <c r="K5230" s="86"/>
      <c r="L5230" s="86"/>
      <c r="M5230" s="86"/>
      <c r="N5230" s="86"/>
      <c r="O5230" s="86"/>
      <c r="P5230" s="86"/>
      <c r="Q5230" s="86"/>
      <c r="R5230" s="86"/>
      <c r="S5230" s="86"/>
      <c r="T5230" s="86"/>
      <c r="U5230" s="86"/>
      <c r="V5230" s="48"/>
      <c r="W5230" s="48"/>
      <c r="X5230" s="48"/>
      <c r="Y5230" s="48"/>
      <c r="Z5230" s="48"/>
      <c r="AA5230" s="48"/>
      <c r="AB5230" s="48"/>
      <c r="AC5230" s="48"/>
      <c r="AD5230" s="48"/>
      <c r="AE5230" s="48"/>
      <c r="AF5230" s="48"/>
      <c r="AG5230" s="48"/>
      <c r="AH5230" s="48"/>
      <c r="AI5230" s="48"/>
      <c r="AJ5230" s="48"/>
      <c r="AK5230" s="48"/>
      <c r="AL5230" s="48"/>
      <c r="AM5230" s="48"/>
      <c r="AN5230" s="48"/>
      <c r="AO5230" s="48"/>
      <c r="AP5230" s="48"/>
      <c r="AQ5230" s="48"/>
      <c r="AR5230" s="48"/>
      <c r="AS5230" s="48"/>
      <c r="AT5230" s="48"/>
      <c r="AU5230" s="48"/>
      <c r="AV5230" s="48"/>
      <c r="AW5230" s="48"/>
      <c r="AX5230" s="48"/>
      <c r="AY5230" s="48"/>
      <c r="AZ5230" s="48"/>
      <c r="BA5230" s="48"/>
      <c r="BB5230" s="48"/>
      <c r="BC5230" s="48"/>
      <c r="BD5230" s="48"/>
    </row>
    <row r="5231" spans="1:56">
      <c r="A5231" s="48"/>
      <c r="B5231" s="48"/>
      <c r="C5231" s="49"/>
      <c r="D5231" s="48"/>
      <c r="E5231" s="48"/>
      <c r="F5231" s="48"/>
      <c r="G5231" s="48"/>
      <c r="H5231" s="48"/>
      <c r="I5231" s="48"/>
      <c r="J5231" s="86"/>
      <c r="K5231" s="86"/>
      <c r="L5231" s="86"/>
      <c r="M5231" s="86"/>
      <c r="N5231" s="86"/>
      <c r="O5231" s="86"/>
      <c r="P5231" s="86"/>
      <c r="Q5231" s="86"/>
      <c r="R5231" s="86"/>
      <c r="S5231" s="86"/>
      <c r="T5231" s="86"/>
      <c r="U5231" s="86"/>
      <c r="V5231" s="48"/>
      <c r="W5231" s="48"/>
      <c r="X5231" s="48"/>
      <c r="Y5231" s="48"/>
      <c r="Z5231" s="48"/>
      <c r="AA5231" s="48"/>
      <c r="AB5231" s="48"/>
      <c r="AC5231" s="48"/>
      <c r="AD5231" s="48"/>
      <c r="AE5231" s="48"/>
      <c r="AF5231" s="48"/>
      <c r="AG5231" s="48"/>
      <c r="AH5231" s="48"/>
      <c r="AI5231" s="48"/>
      <c r="AJ5231" s="48"/>
      <c r="AK5231" s="48"/>
      <c r="AL5231" s="48"/>
      <c r="AM5231" s="48"/>
      <c r="AN5231" s="48"/>
      <c r="AO5231" s="48"/>
      <c r="AP5231" s="48"/>
      <c r="AQ5231" s="48"/>
      <c r="AR5231" s="48"/>
      <c r="AS5231" s="48"/>
      <c r="AT5231" s="48"/>
      <c r="AU5231" s="48"/>
      <c r="AV5231" s="48"/>
      <c r="AW5231" s="48"/>
      <c r="AX5231" s="48"/>
      <c r="AY5231" s="48"/>
      <c r="AZ5231" s="48"/>
      <c r="BA5231" s="48"/>
      <c r="BB5231" s="48"/>
      <c r="BC5231" s="48"/>
      <c r="BD5231" s="48"/>
    </row>
    <row r="5232" spans="1:56">
      <c r="A5232" s="48"/>
      <c r="B5232" s="48"/>
      <c r="C5232" s="49"/>
      <c r="D5232" s="48"/>
      <c r="E5232" s="48"/>
      <c r="F5232" s="48"/>
      <c r="G5232" s="48"/>
      <c r="H5232" s="48"/>
      <c r="I5232" s="48"/>
      <c r="J5232" s="86"/>
      <c r="K5232" s="86"/>
      <c r="L5232" s="86"/>
      <c r="M5232" s="86"/>
      <c r="N5232" s="86"/>
      <c r="O5232" s="86"/>
      <c r="P5232" s="86"/>
      <c r="Q5232" s="86"/>
      <c r="R5232" s="86"/>
      <c r="S5232" s="86"/>
      <c r="T5232" s="86"/>
      <c r="U5232" s="86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48"/>
      <c r="BB5232" s="48"/>
      <c r="BC5232" s="48"/>
      <c r="BD5232" s="48"/>
    </row>
    <row r="5233" spans="1:56">
      <c r="A5233" s="48"/>
      <c r="B5233" s="48"/>
      <c r="C5233" s="49"/>
      <c r="D5233" s="48"/>
      <c r="E5233" s="48"/>
      <c r="F5233" s="48"/>
      <c r="G5233" s="48"/>
      <c r="H5233" s="48"/>
      <c r="I5233" s="48"/>
      <c r="J5233" s="86"/>
      <c r="K5233" s="86"/>
      <c r="L5233" s="86"/>
      <c r="M5233" s="86"/>
      <c r="N5233" s="86"/>
      <c r="O5233" s="86"/>
      <c r="P5233" s="86"/>
      <c r="Q5233" s="86"/>
      <c r="R5233" s="86"/>
      <c r="S5233" s="86"/>
      <c r="T5233" s="86"/>
      <c r="U5233" s="86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48"/>
      <c r="BB5233" s="48"/>
      <c r="BC5233" s="48"/>
      <c r="BD5233" s="48"/>
    </row>
    <row r="5234" spans="1:56">
      <c r="A5234" s="48"/>
      <c r="B5234" s="48"/>
      <c r="C5234" s="49"/>
      <c r="D5234" s="48"/>
      <c r="E5234" s="48"/>
      <c r="F5234" s="48"/>
      <c r="G5234" s="48"/>
      <c r="H5234" s="48"/>
      <c r="I5234" s="48"/>
      <c r="J5234" s="86"/>
      <c r="K5234" s="86"/>
      <c r="L5234" s="86"/>
      <c r="M5234" s="86"/>
      <c r="N5234" s="86"/>
      <c r="O5234" s="86"/>
      <c r="P5234" s="86"/>
      <c r="Q5234" s="86"/>
      <c r="R5234" s="86"/>
      <c r="S5234" s="86"/>
      <c r="T5234" s="86"/>
      <c r="U5234" s="86"/>
      <c r="V5234" s="48"/>
      <c r="W5234" s="48"/>
      <c r="X5234" s="48"/>
      <c r="Y5234" s="48"/>
      <c r="Z5234" s="48"/>
      <c r="AA5234" s="48"/>
      <c r="AB5234" s="48"/>
      <c r="AC5234" s="48"/>
      <c r="AD5234" s="48"/>
      <c r="AE5234" s="48"/>
      <c r="AF5234" s="48"/>
      <c r="AG5234" s="48"/>
      <c r="AH5234" s="48"/>
      <c r="AI5234" s="48"/>
      <c r="AJ5234" s="48"/>
      <c r="AK5234" s="48"/>
      <c r="AL5234" s="48"/>
      <c r="AM5234" s="48"/>
      <c r="AN5234" s="48"/>
      <c r="AO5234" s="48"/>
      <c r="AP5234" s="48"/>
      <c r="AQ5234" s="48"/>
      <c r="AR5234" s="48"/>
      <c r="AS5234" s="48"/>
      <c r="AT5234" s="48"/>
      <c r="AU5234" s="48"/>
      <c r="AV5234" s="48"/>
      <c r="AW5234" s="48"/>
      <c r="AX5234" s="48"/>
      <c r="AY5234" s="48"/>
      <c r="AZ5234" s="48"/>
      <c r="BA5234" s="48"/>
      <c r="BB5234" s="48"/>
      <c r="BC5234" s="48"/>
      <c r="BD5234" s="48"/>
    </row>
    <row r="5235" spans="1:56">
      <c r="A5235" s="48"/>
      <c r="B5235" s="48"/>
      <c r="C5235" s="49"/>
      <c r="D5235" s="48"/>
      <c r="E5235" s="48"/>
      <c r="F5235" s="48"/>
      <c r="G5235" s="48"/>
      <c r="H5235" s="48"/>
      <c r="I5235" s="48"/>
      <c r="J5235" s="86"/>
      <c r="K5235" s="86"/>
      <c r="L5235" s="86"/>
      <c r="M5235" s="86"/>
      <c r="N5235" s="86"/>
      <c r="O5235" s="86"/>
      <c r="P5235" s="86"/>
      <c r="Q5235" s="86"/>
      <c r="R5235" s="86"/>
      <c r="S5235" s="86"/>
      <c r="T5235" s="86"/>
      <c r="U5235" s="86"/>
      <c r="V5235" s="48"/>
      <c r="W5235" s="48"/>
      <c r="X5235" s="48"/>
      <c r="Y5235" s="48"/>
      <c r="Z5235" s="48"/>
      <c r="AA5235" s="48"/>
      <c r="AB5235" s="48"/>
      <c r="AC5235" s="48"/>
      <c r="AD5235" s="48"/>
      <c r="AE5235" s="48"/>
      <c r="AF5235" s="48"/>
      <c r="AG5235" s="48"/>
      <c r="AH5235" s="48"/>
      <c r="AI5235" s="48"/>
      <c r="AJ5235" s="48"/>
      <c r="AK5235" s="48"/>
      <c r="AL5235" s="48"/>
      <c r="AM5235" s="48"/>
      <c r="AN5235" s="48"/>
      <c r="AO5235" s="48"/>
      <c r="AP5235" s="48"/>
      <c r="AQ5235" s="48"/>
      <c r="AR5235" s="48"/>
      <c r="AS5235" s="48"/>
      <c r="AT5235" s="48"/>
      <c r="AU5235" s="48"/>
      <c r="AV5235" s="48"/>
      <c r="AW5235" s="48"/>
      <c r="AX5235" s="48"/>
      <c r="AY5235" s="48"/>
      <c r="AZ5235" s="48"/>
      <c r="BA5235" s="48"/>
      <c r="BB5235" s="48"/>
      <c r="BC5235" s="48"/>
      <c r="BD5235" s="48"/>
    </row>
    <row r="5236" spans="1:56">
      <c r="A5236" s="48"/>
      <c r="B5236" s="48"/>
      <c r="C5236" s="49"/>
      <c r="D5236" s="48"/>
      <c r="E5236" s="48"/>
      <c r="F5236" s="48"/>
      <c r="G5236" s="48"/>
      <c r="H5236" s="48"/>
      <c r="I5236" s="48"/>
      <c r="J5236" s="86"/>
      <c r="K5236" s="86"/>
      <c r="L5236" s="86"/>
      <c r="M5236" s="86"/>
      <c r="N5236" s="86"/>
      <c r="O5236" s="86"/>
      <c r="P5236" s="86"/>
      <c r="Q5236" s="86"/>
      <c r="R5236" s="86"/>
      <c r="S5236" s="86"/>
      <c r="T5236" s="86"/>
      <c r="U5236" s="86"/>
      <c r="V5236" s="48"/>
      <c r="W5236" s="48"/>
      <c r="X5236" s="48"/>
      <c r="Y5236" s="48"/>
      <c r="Z5236" s="48"/>
      <c r="AA5236" s="48"/>
      <c r="AB5236" s="48"/>
      <c r="AC5236" s="48"/>
      <c r="AD5236" s="48"/>
      <c r="AE5236" s="48"/>
      <c r="AF5236" s="48"/>
      <c r="AG5236" s="48"/>
      <c r="AH5236" s="48"/>
      <c r="AI5236" s="48"/>
      <c r="AJ5236" s="48"/>
      <c r="AK5236" s="48"/>
      <c r="AL5236" s="48"/>
      <c r="AM5236" s="48"/>
      <c r="AN5236" s="48"/>
      <c r="AO5236" s="48"/>
      <c r="AP5236" s="48"/>
      <c r="AQ5236" s="48"/>
      <c r="AR5236" s="48"/>
      <c r="AS5236" s="48"/>
      <c r="AT5236" s="48"/>
      <c r="AU5236" s="48"/>
      <c r="AV5236" s="48"/>
      <c r="AW5236" s="48"/>
      <c r="AX5236" s="48"/>
      <c r="AY5236" s="48"/>
      <c r="AZ5236" s="48"/>
      <c r="BA5236" s="48"/>
      <c r="BB5236" s="48"/>
      <c r="BC5236" s="48"/>
      <c r="BD5236" s="48"/>
    </row>
    <row r="5237" spans="1:56">
      <c r="A5237" s="48"/>
      <c r="B5237" s="48"/>
      <c r="C5237" s="49"/>
      <c r="D5237" s="48"/>
      <c r="E5237" s="48"/>
      <c r="F5237" s="48"/>
      <c r="G5237" s="48"/>
      <c r="H5237" s="48"/>
      <c r="I5237" s="48"/>
      <c r="J5237" s="86"/>
      <c r="K5237" s="86"/>
      <c r="L5237" s="86"/>
      <c r="M5237" s="86"/>
      <c r="N5237" s="86"/>
      <c r="O5237" s="86"/>
      <c r="P5237" s="86"/>
      <c r="Q5237" s="86"/>
      <c r="R5237" s="86"/>
      <c r="S5237" s="86"/>
      <c r="T5237" s="86"/>
      <c r="U5237" s="86"/>
      <c r="V5237" s="48"/>
      <c r="W5237" s="48"/>
      <c r="X5237" s="48"/>
      <c r="Y5237" s="48"/>
      <c r="Z5237" s="48"/>
      <c r="AA5237" s="48"/>
      <c r="AB5237" s="48"/>
      <c r="AC5237" s="48"/>
      <c r="AD5237" s="48"/>
      <c r="AE5237" s="48"/>
      <c r="AF5237" s="48"/>
      <c r="AG5237" s="48"/>
      <c r="AH5237" s="48"/>
      <c r="AI5237" s="48"/>
      <c r="AJ5237" s="48"/>
      <c r="AK5237" s="48"/>
      <c r="AL5237" s="48"/>
      <c r="AM5237" s="48"/>
      <c r="AN5237" s="48"/>
      <c r="AO5237" s="48"/>
      <c r="AP5237" s="48"/>
      <c r="AQ5237" s="48"/>
      <c r="AR5237" s="48"/>
      <c r="AS5237" s="48"/>
      <c r="AT5237" s="48"/>
      <c r="AU5237" s="48"/>
      <c r="AV5237" s="48"/>
      <c r="AW5237" s="48"/>
      <c r="AX5237" s="48"/>
      <c r="AY5237" s="48"/>
      <c r="AZ5237" s="48"/>
      <c r="BA5237" s="48"/>
      <c r="BB5237" s="48"/>
      <c r="BC5237" s="48"/>
      <c r="BD5237" s="48"/>
    </row>
    <row r="5238" spans="1:56">
      <c r="A5238" s="48"/>
      <c r="B5238" s="48"/>
      <c r="C5238" s="49"/>
      <c r="D5238" s="48"/>
      <c r="E5238" s="48"/>
      <c r="F5238" s="48"/>
      <c r="G5238" s="48"/>
      <c r="H5238" s="48"/>
      <c r="I5238" s="48"/>
      <c r="J5238" s="86"/>
      <c r="K5238" s="86"/>
      <c r="L5238" s="86"/>
      <c r="M5238" s="86"/>
      <c r="N5238" s="86"/>
      <c r="O5238" s="86"/>
      <c r="P5238" s="86"/>
      <c r="Q5238" s="86"/>
      <c r="R5238" s="86"/>
      <c r="S5238" s="86"/>
      <c r="T5238" s="86"/>
      <c r="U5238" s="86"/>
      <c r="V5238" s="48"/>
      <c r="W5238" s="48"/>
      <c r="X5238" s="48"/>
      <c r="Y5238" s="48"/>
      <c r="Z5238" s="48"/>
      <c r="AA5238" s="48"/>
      <c r="AB5238" s="48"/>
      <c r="AC5238" s="48"/>
      <c r="AD5238" s="48"/>
      <c r="AE5238" s="48"/>
      <c r="AF5238" s="48"/>
      <c r="AG5238" s="48"/>
      <c r="AH5238" s="48"/>
      <c r="AI5238" s="48"/>
      <c r="AJ5238" s="48"/>
      <c r="AK5238" s="48"/>
      <c r="AL5238" s="48"/>
      <c r="AM5238" s="48"/>
      <c r="AN5238" s="48"/>
      <c r="AO5238" s="48"/>
      <c r="AP5238" s="48"/>
      <c r="AQ5238" s="48"/>
      <c r="AR5238" s="48"/>
      <c r="AS5238" s="48"/>
      <c r="AT5238" s="48"/>
      <c r="AU5238" s="48"/>
      <c r="AV5238" s="48"/>
      <c r="AW5238" s="48"/>
      <c r="AX5238" s="48"/>
      <c r="AY5238" s="48"/>
      <c r="AZ5238" s="48"/>
      <c r="BA5238" s="48"/>
      <c r="BB5238" s="48"/>
      <c r="BC5238" s="48"/>
      <c r="BD5238" s="48"/>
    </row>
    <row r="5239" spans="1:56">
      <c r="A5239" s="48"/>
      <c r="B5239" s="48"/>
      <c r="C5239" s="49"/>
      <c r="D5239" s="48"/>
      <c r="E5239" s="48"/>
      <c r="F5239" s="48"/>
      <c r="G5239" s="48"/>
      <c r="H5239" s="48"/>
      <c r="I5239" s="48"/>
      <c r="J5239" s="86"/>
      <c r="K5239" s="86"/>
      <c r="L5239" s="86"/>
      <c r="M5239" s="86"/>
      <c r="N5239" s="86"/>
      <c r="O5239" s="86"/>
      <c r="P5239" s="86"/>
      <c r="Q5239" s="86"/>
      <c r="R5239" s="86"/>
      <c r="S5239" s="86"/>
      <c r="T5239" s="86"/>
      <c r="U5239" s="86"/>
      <c r="V5239" s="48"/>
      <c r="W5239" s="48"/>
      <c r="X5239" s="48"/>
      <c r="Y5239" s="48"/>
      <c r="Z5239" s="48"/>
      <c r="AA5239" s="48"/>
      <c r="AB5239" s="48"/>
      <c r="AC5239" s="48"/>
      <c r="AD5239" s="48"/>
      <c r="AE5239" s="48"/>
      <c r="AF5239" s="48"/>
      <c r="AG5239" s="48"/>
      <c r="AH5239" s="48"/>
      <c r="AI5239" s="48"/>
      <c r="AJ5239" s="48"/>
      <c r="AK5239" s="48"/>
      <c r="AL5239" s="48"/>
      <c r="AM5239" s="48"/>
      <c r="AN5239" s="48"/>
      <c r="AO5239" s="48"/>
      <c r="AP5239" s="48"/>
      <c r="AQ5239" s="48"/>
      <c r="AR5239" s="48"/>
      <c r="AS5239" s="48"/>
      <c r="AT5239" s="48"/>
      <c r="AU5239" s="48"/>
      <c r="AV5239" s="48"/>
      <c r="AW5239" s="48"/>
      <c r="AX5239" s="48"/>
      <c r="AY5239" s="48"/>
      <c r="AZ5239" s="48"/>
      <c r="BA5239" s="48"/>
      <c r="BB5239" s="48"/>
      <c r="BC5239" s="48"/>
      <c r="BD5239" s="48"/>
    </row>
    <row r="5240" spans="1:56">
      <c r="A5240" s="48"/>
      <c r="B5240" s="48"/>
      <c r="C5240" s="49"/>
      <c r="D5240" s="48"/>
      <c r="E5240" s="48"/>
      <c r="F5240" s="48"/>
      <c r="G5240" s="48"/>
      <c r="H5240" s="48"/>
      <c r="I5240" s="48"/>
      <c r="J5240" s="86"/>
      <c r="K5240" s="86"/>
      <c r="L5240" s="86"/>
      <c r="M5240" s="86"/>
      <c r="N5240" s="86"/>
      <c r="O5240" s="86"/>
      <c r="P5240" s="86"/>
      <c r="Q5240" s="86"/>
      <c r="R5240" s="86"/>
      <c r="S5240" s="86"/>
      <c r="T5240" s="86"/>
      <c r="U5240" s="86"/>
      <c r="V5240" s="48"/>
      <c r="W5240" s="48"/>
      <c r="X5240" s="48"/>
      <c r="Y5240" s="48"/>
      <c r="Z5240" s="48"/>
      <c r="AA5240" s="48"/>
      <c r="AB5240" s="48"/>
      <c r="AC5240" s="48"/>
      <c r="AD5240" s="48"/>
      <c r="AE5240" s="48"/>
      <c r="AF5240" s="48"/>
      <c r="AG5240" s="48"/>
      <c r="AH5240" s="48"/>
      <c r="AI5240" s="48"/>
      <c r="AJ5240" s="48"/>
      <c r="AK5240" s="48"/>
      <c r="AL5240" s="48"/>
      <c r="AM5240" s="48"/>
      <c r="AN5240" s="48"/>
      <c r="AO5240" s="48"/>
      <c r="AP5240" s="48"/>
      <c r="AQ5240" s="48"/>
      <c r="AR5240" s="48"/>
      <c r="AS5240" s="48"/>
      <c r="AT5240" s="48"/>
      <c r="AU5240" s="48"/>
      <c r="AV5240" s="48"/>
      <c r="AW5240" s="48"/>
      <c r="AX5240" s="48"/>
      <c r="AY5240" s="48"/>
      <c r="AZ5240" s="48"/>
      <c r="BA5240" s="48"/>
      <c r="BB5240" s="48"/>
      <c r="BC5240" s="48"/>
      <c r="BD5240" s="48"/>
    </row>
    <row r="5241" spans="1:56">
      <c r="A5241" s="48"/>
      <c r="B5241" s="48"/>
      <c r="C5241" s="49"/>
      <c r="D5241" s="48"/>
      <c r="E5241" s="48"/>
      <c r="F5241" s="48"/>
      <c r="G5241" s="48"/>
      <c r="H5241" s="48"/>
      <c r="I5241" s="48"/>
      <c r="J5241" s="86"/>
      <c r="K5241" s="86"/>
      <c r="L5241" s="86"/>
      <c r="M5241" s="86"/>
      <c r="N5241" s="86"/>
      <c r="O5241" s="86"/>
      <c r="P5241" s="86"/>
      <c r="Q5241" s="86"/>
      <c r="R5241" s="86"/>
      <c r="S5241" s="86"/>
      <c r="T5241" s="86"/>
      <c r="U5241" s="86"/>
      <c r="V5241" s="48"/>
      <c r="W5241" s="48"/>
      <c r="X5241" s="48"/>
      <c r="Y5241" s="48"/>
      <c r="Z5241" s="48"/>
      <c r="AA5241" s="48"/>
      <c r="AB5241" s="48"/>
      <c r="AC5241" s="48"/>
      <c r="AD5241" s="48"/>
      <c r="AE5241" s="48"/>
      <c r="AF5241" s="48"/>
      <c r="AG5241" s="48"/>
      <c r="AH5241" s="48"/>
      <c r="AI5241" s="48"/>
      <c r="AJ5241" s="48"/>
      <c r="AK5241" s="48"/>
      <c r="AL5241" s="48"/>
      <c r="AM5241" s="48"/>
      <c r="AN5241" s="48"/>
      <c r="AO5241" s="48"/>
      <c r="AP5241" s="48"/>
      <c r="AQ5241" s="48"/>
      <c r="AR5241" s="48"/>
      <c r="AS5241" s="48"/>
      <c r="AT5241" s="48"/>
      <c r="AU5241" s="48"/>
      <c r="AV5241" s="48"/>
      <c r="AW5241" s="48"/>
      <c r="AX5241" s="48"/>
      <c r="AY5241" s="48"/>
      <c r="AZ5241" s="48"/>
      <c r="BA5241" s="48"/>
      <c r="BB5241" s="48"/>
      <c r="BC5241" s="48"/>
      <c r="BD5241" s="48"/>
    </row>
    <row r="5242" spans="1:56">
      <c r="A5242" s="48"/>
      <c r="B5242" s="48"/>
      <c r="C5242" s="49"/>
      <c r="D5242" s="48"/>
      <c r="E5242" s="48"/>
      <c r="F5242" s="48"/>
      <c r="G5242" s="48"/>
      <c r="H5242" s="48"/>
      <c r="I5242" s="48"/>
      <c r="J5242" s="86"/>
      <c r="K5242" s="86"/>
      <c r="L5242" s="86"/>
      <c r="M5242" s="86"/>
      <c r="N5242" s="86"/>
      <c r="O5242" s="86"/>
      <c r="P5242" s="86"/>
      <c r="Q5242" s="86"/>
      <c r="R5242" s="86"/>
      <c r="S5242" s="86"/>
      <c r="T5242" s="86"/>
      <c r="U5242" s="86"/>
      <c r="V5242" s="48"/>
      <c r="W5242" s="48"/>
      <c r="X5242" s="48"/>
      <c r="Y5242" s="48"/>
      <c r="Z5242" s="48"/>
      <c r="AA5242" s="48"/>
      <c r="AB5242" s="48"/>
      <c r="AC5242" s="48"/>
      <c r="AD5242" s="48"/>
      <c r="AE5242" s="48"/>
      <c r="AF5242" s="48"/>
      <c r="AG5242" s="48"/>
      <c r="AH5242" s="48"/>
      <c r="AI5242" s="48"/>
      <c r="AJ5242" s="48"/>
      <c r="AK5242" s="48"/>
      <c r="AL5242" s="48"/>
      <c r="AM5242" s="48"/>
      <c r="AN5242" s="48"/>
      <c r="AO5242" s="48"/>
      <c r="AP5242" s="48"/>
      <c r="AQ5242" s="48"/>
      <c r="AR5242" s="48"/>
      <c r="AS5242" s="48"/>
      <c r="AT5242" s="48"/>
      <c r="AU5242" s="48"/>
      <c r="AV5242" s="48"/>
      <c r="AW5242" s="48"/>
      <c r="AX5242" s="48"/>
      <c r="AY5242" s="48"/>
      <c r="AZ5242" s="48"/>
      <c r="BA5242" s="48"/>
      <c r="BB5242" s="48"/>
      <c r="BC5242" s="48"/>
      <c r="BD5242" s="48"/>
    </row>
    <row r="5243" spans="1:56">
      <c r="A5243" s="48"/>
      <c r="B5243" s="48"/>
      <c r="C5243" s="49"/>
      <c r="D5243" s="48"/>
      <c r="E5243" s="48"/>
      <c r="F5243" s="48"/>
      <c r="G5243" s="48"/>
      <c r="H5243" s="48"/>
      <c r="I5243" s="48"/>
      <c r="J5243" s="86"/>
      <c r="K5243" s="86"/>
      <c r="L5243" s="86"/>
      <c r="M5243" s="86"/>
      <c r="N5243" s="86"/>
      <c r="O5243" s="86"/>
      <c r="P5243" s="86"/>
      <c r="Q5243" s="86"/>
      <c r="R5243" s="86"/>
      <c r="S5243" s="86"/>
      <c r="T5243" s="86"/>
      <c r="U5243" s="86"/>
      <c r="V5243" s="48"/>
      <c r="W5243" s="48"/>
      <c r="X5243" s="48"/>
      <c r="Y5243" s="48"/>
      <c r="Z5243" s="48"/>
      <c r="AA5243" s="48"/>
      <c r="AB5243" s="48"/>
      <c r="AC5243" s="48"/>
      <c r="AD5243" s="48"/>
      <c r="AE5243" s="48"/>
      <c r="AF5243" s="48"/>
      <c r="AG5243" s="48"/>
      <c r="AH5243" s="48"/>
      <c r="AI5243" s="48"/>
      <c r="AJ5243" s="48"/>
      <c r="AK5243" s="48"/>
      <c r="AL5243" s="48"/>
      <c r="AM5243" s="48"/>
      <c r="AN5243" s="48"/>
      <c r="AO5243" s="48"/>
      <c r="AP5243" s="48"/>
      <c r="AQ5243" s="48"/>
      <c r="AR5243" s="48"/>
      <c r="AS5243" s="48"/>
      <c r="AT5243" s="48"/>
      <c r="AU5243" s="48"/>
      <c r="AV5243" s="48"/>
      <c r="AW5243" s="48"/>
      <c r="AX5243" s="48"/>
      <c r="AY5243" s="48"/>
      <c r="AZ5243" s="48"/>
      <c r="BA5243" s="48"/>
      <c r="BB5243" s="48"/>
      <c r="BC5243" s="48"/>
      <c r="BD5243" s="48"/>
    </row>
    <row r="5244" spans="1:56">
      <c r="A5244" s="48"/>
      <c r="B5244" s="48"/>
      <c r="C5244" s="49"/>
      <c r="D5244" s="48"/>
      <c r="E5244" s="48"/>
      <c r="F5244" s="48"/>
      <c r="G5244" s="48"/>
      <c r="H5244" s="48"/>
      <c r="I5244" s="48"/>
      <c r="J5244" s="86"/>
      <c r="K5244" s="86"/>
      <c r="L5244" s="86"/>
      <c r="M5244" s="86"/>
      <c r="N5244" s="86"/>
      <c r="O5244" s="86"/>
      <c r="P5244" s="86"/>
      <c r="Q5244" s="86"/>
      <c r="R5244" s="86"/>
      <c r="S5244" s="86"/>
      <c r="T5244" s="86"/>
      <c r="U5244" s="86"/>
      <c r="V5244" s="48"/>
      <c r="W5244" s="48"/>
      <c r="X5244" s="48"/>
      <c r="Y5244" s="48"/>
      <c r="Z5244" s="48"/>
      <c r="AA5244" s="48"/>
      <c r="AB5244" s="48"/>
      <c r="AC5244" s="48"/>
      <c r="AD5244" s="48"/>
      <c r="AE5244" s="48"/>
      <c r="AF5244" s="48"/>
      <c r="AG5244" s="48"/>
      <c r="AH5244" s="48"/>
      <c r="AI5244" s="48"/>
      <c r="AJ5244" s="48"/>
      <c r="AK5244" s="48"/>
      <c r="AL5244" s="48"/>
      <c r="AM5244" s="48"/>
      <c r="AN5244" s="48"/>
      <c r="AO5244" s="48"/>
      <c r="AP5244" s="48"/>
      <c r="AQ5244" s="48"/>
      <c r="AR5244" s="48"/>
      <c r="AS5244" s="48"/>
      <c r="AT5244" s="48"/>
      <c r="AU5244" s="48"/>
      <c r="AV5244" s="48"/>
      <c r="AW5244" s="48"/>
      <c r="AX5244" s="48"/>
      <c r="AY5244" s="48"/>
      <c r="AZ5244" s="48"/>
      <c r="BA5244" s="48"/>
      <c r="BB5244" s="48"/>
      <c r="BC5244" s="48"/>
      <c r="BD5244" s="48"/>
    </row>
    <row r="5245" spans="1:56">
      <c r="A5245" s="48"/>
      <c r="B5245" s="48"/>
      <c r="C5245" s="49"/>
      <c r="D5245" s="48"/>
      <c r="E5245" s="48"/>
      <c r="F5245" s="48"/>
      <c r="G5245" s="48"/>
      <c r="H5245" s="48"/>
      <c r="I5245" s="48"/>
      <c r="J5245" s="86"/>
      <c r="K5245" s="86"/>
      <c r="L5245" s="86"/>
      <c r="M5245" s="86"/>
      <c r="N5245" s="86"/>
      <c r="O5245" s="86"/>
      <c r="P5245" s="86"/>
      <c r="Q5245" s="86"/>
      <c r="R5245" s="86"/>
      <c r="S5245" s="86"/>
      <c r="T5245" s="86"/>
      <c r="U5245" s="86"/>
      <c r="V5245" s="48"/>
      <c r="W5245" s="48"/>
      <c r="X5245" s="48"/>
      <c r="Y5245" s="48"/>
      <c r="Z5245" s="48"/>
      <c r="AA5245" s="48"/>
      <c r="AB5245" s="48"/>
      <c r="AC5245" s="48"/>
      <c r="AD5245" s="48"/>
      <c r="AE5245" s="48"/>
      <c r="AF5245" s="48"/>
      <c r="AG5245" s="48"/>
      <c r="AH5245" s="48"/>
      <c r="AI5245" s="48"/>
      <c r="AJ5245" s="48"/>
      <c r="AK5245" s="48"/>
      <c r="AL5245" s="48"/>
      <c r="AM5245" s="48"/>
      <c r="AN5245" s="48"/>
      <c r="AO5245" s="48"/>
      <c r="AP5245" s="48"/>
      <c r="AQ5245" s="48"/>
      <c r="AR5245" s="48"/>
      <c r="AS5245" s="48"/>
      <c r="AT5245" s="48"/>
      <c r="AU5245" s="48"/>
      <c r="AV5245" s="48"/>
      <c r="AW5245" s="48"/>
      <c r="AX5245" s="48"/>
      <c r="AY5245" s="48"/>
      <c r="AZ5245" s="48"/>
      <c r="BA5245" s="48"/>
      <c r="BB5245" s="48"/>
      <c r="BC5245" s="48"/>
      <c r="BD5245" s="48"/>
    </row>
    <row r="5246" spans="1:56">
      <c r="A5246" s="48"/>
      <c r="B5246" s="48"/>
      <c r="C5246" s="49"/>
      <c r="D5246" s="48"/>
      <c r="E5246" s="48"/>
      <c r="F5246" s="48"/>
      <c r="G5246" s="48"/>
      <c r="H5246" s="48"/>
      <c r="I5246" s="48"/>
      <c r="J5246" s="86"/>
      <c r="K5246" s="86"/>
      <c r="L5246" s="86"/>
      <c r="M5246" s="86"/>
      <c r="N5246" s="86"/>
      <c r="O5246" s="86"/>
      <c r="P5246" s="86"/>
      <c r="Q5246" s="86"/>
      <c r="R5246" s="86"/>
      <c r="S5246" s="86"/>
      <c r="T5246" s="86"/>
      <c r="U5246" s="86"/>
      <c r="V5246" s="48"/>
      <c r="W5246" s="48"/>
      <c r="X5246" s="48"/>
      <c r="Y5246" s="48"/>
      <c r="Z5246" s="48"/>
      <c r="AA5246" s="48"/>
      <c r="AB5246" s="48"/>
      <c r="AC5246" s="48"/>
      <c r="AD5246" s="48"/>
      <c r="AE5246" s="48"/>
      <c r="AF5246" s="48"/>
      <c r="AG5246" s="48"/>
      <c r="AH5246" s="48"/>
      <c r="AI5246" s="48"/>
      <c r="AJ5246" s="48"/>
      <c r="AK5246" s="48"/>
      <c r="AL5246" s="48"/>
      <c r="AM5246" s="48"/>
      <c r="AN5246" s="48"/>
      <c r="AO5246" s="48"/>
      <c r="AP5246" s="48"/>
      <c r="AQ5246" s="48"/>
      <c r="AR5246" s="48"/>
      <c r="AS5246" s="48"/>
      <c r="AT5246" s="48"/>
      <c r="AU5246" s="48"/>
      <c r="AV5246" s="48"/>
      <c r="AW5246" s="48"/>
      <c r="AX5246" s="48"/>
      <c r="AY5246" s="48"/>
      <c r="AZ5246" s="48"/>
      <c r="BA5246" s="48"/>
      <c r="BB5246" s="48"/>
      <c r="BC5246" s="48"/>
      <c r="BD5246" s="48"/>
    </row>
    <row r="5247" spans="1:56">
      <c r="A5247" s="48"/>
      <c r="B5247" s="48"/>
      <c r="C5247" s="49"/>
      <c r="D5247" s="48"/>
      <c r="E5247" s="48"/>
      <c r="F5247" s="48"/>
      <c r="G5247" s="48"/>
      <c r="H5247" s="48"/>
      <c r="I5247" s="48"/>
      <c r="J5247" s="86"/>
      <c r="K5247" s="86"/>
      <c r="L5247" s="86"/>
      <c r="M5247" s="86"/>
      <c r="N5247" s="86"/>
      <c r="O5247" s="86"/>
      <c r="P5247" s="86"/>
      <c r="Q5247" s="86"/>
      <c r="R5247" s="86"/>
      <c r="S5247" s="86"/>
      <c r="T5247" s="86"/>
      <c r="U5247" s="86"/>
      <c r="V5247" s="48"/>
      <c r="W5247" s="48"/>
      <c r="X5247" s="48"/>
      <c r="Y5247" s="48"/>
      <c r="Z5247" s="48"/>
      <c r="AA5247" s="48"/>
      <c r="AB5247" s="48"/>
      <c r="AC5247" s="48"/>
      <c r="AD5247" s="48"/>
      <c r="AE5247" s="48"/>
      <c r="AF5247" s="48"/>
      <c r="AG5247" s="48"/>
      <c r="AH5247" s="48"/>
      <c r="AI5247" s="48"/>
      <c r="AJ5247" s="48"/>
      <c r="AK5247" s="48"/>
      <c r="AL5247" s="48"/>
      <c r="AM5247" s="48"/>
      <c r="AN5247" s="48"/>
      <c r="AO5247" s="48"/>
      <c r="AP5247" s="48"/>
      <c r="AQ5247" s="48"/>
      <c r="AR5247" s="48"/>
      <c r="AS5247" s="48"/>
      <c r="AT5247" s="48"/>
      <c r="AU5247" s="48"/>
      <c r="AV5247" s="48"/>
      <c r="AW5247" s="48"/>
      <c r="AX5247" s="48"/>
      <c r="AY5247" s="48"/>
      <c r="AZ5247" s="48"/>
      <c r="BA5247" s="48"/>
      <c r="BB5247" s="48"/>
      <c r="BC5247" s="48"/>
      <c r="BD5247" s="48"/>
    </row>
    <row r="5248" spans="1:56">
      <c r="A5248" s="48"/>
      <c r="B5248" s="48"/>
      <c r="C5248" s="49"/>
      <c r="D5248" s="48"/>
      <c r="E5248" s="48"/>
      <c r="F5248" s="48"/>
      <c r="G5248" s="48"/>
      <c r="H5248" s="48"/>
      <c r="I5248" s="48"/>
      <c r="J5248" s="86"/>
      <c r="K5248" s="86"/>
      <c r="L5248" s="86"/>
      <c r="M5248" s="86"/>
      <c r="N5248" s="86"/>
      <c r="O5248" s="86"/>
      <c r="P5248" s="86"/>
      <c r="Q5248" s="86"/>
      <c r="R5248" s="86"/>
      <c r="S5248" s="86"/>
      <c r="T5248" s="86"/>
      <c r="U5248" s="86"/>
      <c r="V5248" s="48"/>
      <c r="W5248" s="48"/>
      <c r="X5248" s="48"/>
      <c r="Y5248" s="48"/>
      <c r="Z5248" s="48"/>
      <c r="AA5248" s="48"/>
      <c r="AB5248" s="48"/>
      <c r="AC5248" s="48"/>
      <c r="AD5248" s="48"/>
      <c r="AE5248" s="48"/>
      <c r="AF5248" s="48"/>
      <c r="AG5248" s="48"/>
      <c r="AH5248" s="48"/>
      <c r="AI5248" s="48"/>
      <c r="AJ5248" s="48"/>
      <c r="AK5248" s="48"/>
      <c r="AL5248" s="48"/>
      <c r="AM5248" s="48"/>
      <c r="AN5248" s="48"/>
      <c r="AO5248" s="48"/>
      <c r="AP5248" s="48"/>
      <c r="AQ5248" s="48"/>
      <c r="AR5248" s="48"/>
      <c r="AS5248" s="48"/>
      <c r="AT5248" s="48"/>
      <c r="AU5248" s="48"/>
      <c r="AV5248" s="48"/>
      <c r="AW5248" s="48"/>
      <c r="AX5248" s="48"/>
      <c r="AY5248" s="48"/>
      <c r="AZ5248" s="48"/>
      <c r="BA5248" s="48"/>
      <c r="BB5248" s="48"/>
      <c r="BC5248" s="48"/>
      <c r="BD5248" s="48"/>
    </row>
    <row r="5249" spans="1:56">
      <c r="A5249" s="48"/>
      <c r="B5249" s="48"/>
      <c r="C5249" s="49"/>
      <c r="D5249" s="48"/>
      <c r="E5249" s="48"/>
      <c r="F5249" s="48"/>
      <c r="G5249" s="48"/>
      <c r="H5249" s="48"/>
      <c r="I5249" s="48"/>
      <c r="J5249" s="86"/>
      <c r="K5249" s="86"/>
      <c r="L5249" s="86"/>
      <c r="M5249" s="86"/>
      <c r="N5249" s="86"/>
      <c r="O5249" s="86"/>
      <c r="P5249" s="86"/>
      <c r="Q5249" s="86"/>
      <c r="R5249" s="86"/>
      <c r="S5249" s="86"/>
      <c r="T5249" s="86"/>
      <c r="U5249" s="86"/>
      <c r="V5249" s="48"/>
      <c r="W5249" s="48"/>
      <c r="X5249" s="48"/>
      <c r="Y5249" s="48"/>
      <c r="Z5249" s="48"/>
      <c r="AA5249" s="48"/>
      <c r="AB5249" s="48"/>
      <c r="AC5249" s="48"/>
      <c r="AD5249" s="48"/>
      <c r="AE5249" s="48"/>
      <c r="AF5249" s="48"/>
      <c r="AG5249" s="48"/>
      <c r="AH5249" s="48"/>
      <c r="AI5249" s="48"/>
      <c r="AJ5249" s="48"/>
      <c r="AK5249" s="48"/>
      <c r="AL5249" s="48"/>
      <c r="AM5249" s="48"/>
      <c r="AN5249" s="48"/>
      <c r="AO5249" s="48"/>
      <c r="AP5249" s="48"/>
      <c r="AQ5249" s="48"/>
      <c r="AR5249" s="48"/>
      <c r="AS5249" s="48"/>
      <c r="AT5249" s="48"/>
      <c r="AU5249" s="48"/>
      <c r="AV5249" s="48"/>
      <c r="AW5249" s="48"/>
      <c r="AX5249" s="48"/>
      <c r="AY5249" s="48"/>
      <c r="AZ5249" s="48"/>
      <c r="BA5249" s="48"/>
      <c r="BB5249" s="48"/>
      <c r="BC5249" s="48"/>
      <c r="BD5249" s="48"/>
    </row>
    <row r="5250" spans="1:56">
      <c r="A5250" s="48"/>
      <c r="B5250" s="48"/>
      <c r="C5250" s="49"/>
      <c r="D5250" s="48"/>
      <c r="E5250" s="48"/>
      <c r="F5250" s="48"/>
      <c r="G5250" s="48"/>
      <c r="H5250" s="48"/>
      <c r="I5250" s="48"/>
      <c r="J5250" s="86"/>
      <c r="K5250" s="86"/>
      <c r="L5250" s="86"/>
      <c r="M5250" s="86"/>
      <c r="N5250" s="86"/>
      <c r="O5250" s="86"/>
      <c r="P5250" s="86"/>
      <c r="Q5250" s="86"/>
      <c r="R5250" s="86"/>
      <c r="S5250" s="86"/>
      <c r="T5250" s="86"/>
      <c r="U5250" s="86"/>
      <c r="V5250" s="48"/>
      <c r="W5250" s="48"/>
      <c r="X5250" s="48"/>
      <c r="Y5250" s="48"/>
      <c r="Z5250" s="48"/>
      <c r="AA5250" s="48"/>
      <c r="AB5250" s="48"/>
      <c r="AC5250" s="48"/>
      <c r="AD5250" s="48"/>
      <c r="AE5250" s="48"/>
      <c r="AF5250" s="48"/>
      <c r="AG5250" s="48"/>
      <c r="AH5250" s="48"/>
      <c r="AI5250" s="48"/>
      <c r="AJ5250" s="48"/>
      <c r="AK5250" s="48"/>
      <c r="AL5250" s="48"/>
      <c r="AM5250" s="48"/>
      <c r="AN5250" s="48"/>
      <c r="AO5250" s="48"/>
      <c r="AP5250" s="48"/>
      <c r="AQ5250" s="48"/>
      <c r="AR5250" s="48"/>
      <c r="AS5250" s="48"/>
      <c r="AT5250" s="48"/>
      <c r="AU5250" s="48"/>
      <c r="AV5250" s="48"/>
      <c r="AW5250" s="48"/>
      <c r="AX5250" s="48"/>
      <c r="AY5250" s="48"/>
      <c r="AZ5250" s="48"/>
      <c r="BA5250" s="48"/>
      <c r="BB5250" s="48"/>
      <c r="BC5250" s="48"/>
      <c r="BD5250" s="48"/>
    </row>
    <row r="5251" spans="1:56">
      <c r="A5251" s="48"/>
      <c r="B5251" s="48"/>
      <c r="C5251" s="49"/>
      <c r="D5251" s="48"/>
      <c r="E5251" s="48"/>
      <c r="F5251" s="48"/>
      <c r="G5251" s="48"/>
      <c r="H5251" s="48"/>
      <c r="I5251" s="48"/>
      <c r="J5251" s="86"/>
      <c r="K5251" s="86"/>
      <c r="L5251" s="86"/>
      <c r="M5251" s="86"/>
      <c r="N5251" s="86"/>
      <c r="O5251" s="86"/>
      <c r="P5251" s="86"/>
      <c r="Q5251" s="86"/>
      <c r="R5251" s="86"/>
      <c r="S5251" s="86"/>
      <c r="T5251" s="86"/>
      <c r="U5251" s="86"/>
      <c r="V5251" s="48"/>
      <c r="W5251" s="48"/>
      <c r="X5251" s="48"/>
      <c r="Y5251" s="48"/>
      <c r="Z5251" s="48"/>
      <c r="AA5251" s="48"/>
      <c r="AB5251" s="48"/>
      <c r="AC5251" s="48"/>
      <c r="AD5251" s="48"/>
      <c r="AE5251" s="48"/>
      <c r="AF5251" s="48"/>
      <c r="AG5251" s="48"/>
      <c r="AH5251" s="48"/>
      <c r="AI5251" s="48"/>
      <c r="AJ5251" s="48"/>
      <c r="AK5251" s="48"/>
      <c r="AL5251" s="48"/>
      <c r="AM5251" s="48"/>
      <c r="AN5251" s="48"/>
      <c r="AO5251" s="48"/>
      <c r="AP5251" s="48"/>
      <c r="AQ5251" s="48"/>
      <c r="AR5251" s="48"/>
      <c r="AS5251" s="48"/>
      <c r="AT5251" s="48"/>
      <c r="AU5251" s="48"/>
      <c r="AV5251" s="48"/>
      <c r="AW5251" s="48"/>
      <c r="AX5251" s="48"/>
      <c r="AY5251" s="48"/>
      <c r="AZ5251" s="48"/>
      <c r="BA5251" s="48"/>
      <c r="BB5251" s="48"/>
      <c r="BC5251" s="48"/>
      <c r="BD5251" s="48"/>
    </row>
    <row r="5252" spans="1:56">
      <c r="A5252" s="48"/>
      <c r="B5252" s="48"/>
      <c r="C5252" s="49"/>
      <c r="D5252" s="48"/>
      <c r="E5252" s="48"/>
      <c r="F5252" s="48"/>
      <c r="G5252" s="48"/>
      <c r="H5252" s="48"/>
      <c r="I5252" s="48"/>
      <c r="J5252" s="86"/>
      <c r="K5252" s="86"/>
      <c r="L5252" s="86"/>
      <c r="M5252" s="86"/>
      <c r="N5252" s="86"/>
      <c r="O5252" s="86"/>
      <c r="P5252" s="86"/>
      <c r="Q5252" s="86"/>
      <c r="R5252" s="86"/>
      <c r="S5252" s="86"/>
      <c r="T5252" s="86"/>
      <c r="U5252" s="86"/>
      <c r="V5252" s="48"/>
      <c r="W5252" s="48"/>
      <c r="X5252" s="48"/>
      <c r="Y5252" s="48"/>
      <c r="Z5252" s="48"/>
      <c r="AA5252" s="48"/>
      <c r="AB5252" s="48"/>
      <c r="AC5252" s="48"/>
      <c r="AD5252" s="48"/>
      <c r="AE5252" s="48"/>
      <c r="AF5252" s="48"/>
      <c r="AG5252" s="48"/>
      <c r="AH5252" s="48"/>
      <c r="AI5252" s="48"/>
      <c r="AJ5252" s="48"/>
      <c r="AK5252" s="48"/>
      <c r="AL5252" s="48"/>
      <c r="AM5252" s="48"/>
      <c r="AN5252" s="48"/>
      <c r="AO5252" s="48"/>
      <c r="AP5252" s="48"/>
      <c r="AQ5252" s="48"/>
      <c r="AR5252" s="48"/>
      <c r="AS5252" s="48"/>
      <c r="AT5252" s="48"/>
      <c r="AU5252" s="48"/>
      <c r="AV5252" s="48"/>
      <c r="AW5252" s="48"/>
      <c r="AX5252" s="48"/>
      <c r="AY5252" s="48"/>
      <c r="AZ5252" s="48"/>
      <c r="BA5252" s="48"/>
      <c r="BB5252" s="48"/>
      <c r="BC5252" s="48"/>
      <c r="BD5252" s="48"/>
    </row>
    <row r="5253" spans="1:56">
      <c r="A5253" s="48"/>
      <c r="B5253" s="48"/>
      <c r="C5253" s="49"/>
      <c r="D5253" s="48"/>
      <c r="E5253" s="48"/>
      <c r="F5253" s="48"/>
      <c r="G5253" s="48"/>
      <c r="H5253" s="48"/>
      <c r="I5253" s="48"/>
      <c r="J5253" s="86"/>
      <c r="K5253" s="86"/>
      <c r="L5253" s="86"/>
      <c r="M5253" s="86"/>
      <c r="N5253" s="86"/>
      <c r="O5253" s="86"/>
      <c r="P5253" s="86"/>
      <c r="Q5253" s="86"/>
      <c r="R5253" s="86"/>
      <c r="S5253" s="86"/>
      <c r="T5253" s="86"/>
      <c r="U5253" s="86"/>
      <c r="V5253" s="48"/>
      <c r="W5253" s="48"/>
      <c r="X5253" s="48"/>
      <c r="Y5253" s="48"/>
      <c r="Z5253" s="48"/>
      <c r="AA5253" s="48"/>
      <c r="AB5253" s="48"/>
      <c r="AC5253" s="48"/>
      <c r="AD5253" s="48"/>
      <c r="AE5253" s="48"/>
      <c r="AF5253" s="48"/>
      <c r="AG5253" s="48"/>
      <c r="AH5253" s="48"/>
      <c r="AI5253" s="48"/>
      <c r="AJ5253" s="48"/>
      <c r="AK5253" s="48"/>
      <c r="AL5253" s="48"/>
      <c r="AM5253" s="48"/>
      <c r="AN5253" s="48"/>
      <c r="AO5253" s="48"/>
      <c r="AP5253" s="48"/>
      <c r="AQ5253" s="48"/>
      <c r="AR5253" s="48"/>
      <c r="AS5253" s="48"/>
      <c r="AT5253" s="48"/>
      <c r="AU5253" s="48"/>
      <c r="AV5253" s="48"/>
      <c r="AW5253" s="48"/>
      <c r="AX5253" s="48"/>
      <c r="AY5253" s="48"/>
      <c r="AZ5253" s="48"/>
      <c r="BA5253" s="48"/>
      <c r="BB5253" s="48"/>
      <c r="BC5253" s="48"/>
      <c r="BD5253" s="48"/>
    </row>
    <row r="5254" spans="1:56">
      <c r="A5254" s="48"/>
      <c r="B5254" s="48"/>
      <c r="C5254" s="49"/>
      <c r="D5254" s="48"/>
      <c r="E5254" s="48"/>
      <c r="F5254" s="48"/>
      <c r="G5254" s="48"/>
      <c r="H5254" s="48"/>
      <c r="I5254" s="48"/>
      <c r="J5254" s="86"/>
      <c r="K5254" s="86"/>
      <c r="L5254" s="86"/>
      <c r="M5254" s="86"/>
      <c r="N5254" s="86"/>
      <c r="O5254" s="86"/>
      <c r="P5254" s="86"/>
      <c r="Q5254" s="86"/>
      <c r="R5254" s="86"/>
      <c r="S5254" s="86"/>
      <c r="T5254" s="86"/>
      <c r="U5254" s="86"/>
      <c r="V5254" s="48"/>
      <c r="W5254" s="48"/>
      <c r="X5254" s="48"/>
      <c r="Y5254" s="48"/>
      <c r="Z5254" s="48"/>
      <c r="AA5254" s="48"/>
      <c r="AB5254" s="48"/>
      <c r="AC5254" s="48"/>
      <c r="AD5254" s="48"/>
      <c r="AE5254" s="48"/>
      <c r="AF5254" s="48"/>
      <c r="AG5254" s="48"/>
      <c r="AH5254" s="48"/>
      <c r="AI5254" s="48"/>
      <c r="AJ5254" s="48"/>
      <c r="AK5254" s="48"/>
      <c r="AL5254" s="48"/>
      <c r="AM5254" s="48"/>
      <c r="AN5254" s="48"/>
      <c r="AO5254" s="48"/>
      <c r="AP5254" s="48"/>
      <c r="AQ5254" s="48"/>
      <c r="AR5254" s="48"/>
      <c r="AS5254" s="48"/>
      <c r="AT5254" s="48"/>
      <c r="AU5254" s="48"/>
      <c r="AV5254" s="48"/>
      <c r="AW5254" s="48"/>
      <c r="AX5254" s="48"/>
      <c r="AY5254" s="48"/>
      <c r="AZ5254" s="48"/>
      <c r="BA5254" s="48"/>
      <c r="BB5254" s="48"/>
      <c r="BC5254" s="48"/>
      <c r="BD5254" s="48"/>
    </row>
    <row r="5255" spans="1:56">
      <c r="A5255" s="48"/>
      <c r="B5255" s="48"/>
      <c r="C5255" s="49"/>
      <c r="D5255" s="48"/>
      <c r="E5255" s="48"/>
      <c r="F5255" s="48"/>
      <c r="G5255" s="48"/>
      <c r="H5255" s="48"/>
      <c r="I5255" s="48"/>
      <c r="J5255" s="86"/>
      <c r="K5255" s="86"/>
      <c r="L5255" s="86"/>
      <c r="M5255" s="86"/>
      <c r="N5255" s="86"/>
      <c r="O5255" s="86"/>
      <c r="P5255" s="86"/>
      <c r="Q5255" s="86"/>
      <c r="R5255" s="86"/>
      <c r="S5255" s="86"/>
      <c r="T5255" s="86"/>
      <c r="U5255" s="86"/>
      <c r="V5255" s="48"/>
      <c r="W5255" s="48"/>
      <c r="X5255" s="48"/>
      <c r="Y5255" s="48"/>
      <c r="Z5255" s="48"/>
      <c r="AA5255" s="48"/>
      <c r="AB5255" s="48"/>
      <c r="AC5255" s="48"/>
      <c r="AD5255" s="48"/>
      <c r="AE5255" s="48"/>
      <c r="AF5255" s="48"/>
      <c r="AG5255" s="48"/>
      <c r="AH5255" s="48"/>
      <c r="AI5255" s="48"/>
      <c r="AJ5255" s="48"/>
      <c r="AK5255" s="48"/>
      <c r="AL5255" s="48"/>
      <c r="AM5255" s="48"/>
      <c r="AN5255" s="48"/>
      <c r="AO5255" s="48"/>
      <c r="AP5255" s="48"/>
      <c r="AQ5255" s="48"/>
      <c r="AR5255" s="48"/>
      <c r="AS5255" s="48"/>
      <c r="AT5255" s="48"/>
      <c r="AU5255" s="48"/>
      <c r="AV5255" s="48"/>
      <c r="AW5255" s="48"/>
      <c r="AX5255" s="48"/>
      <c r="AY5255" s="48"/>
      <c r="AZ5255" s="48"/>
      <c r="BA5255" s="48"/>
      <c r="BB5255" s="48"/>
      <c r="BC5255" s="48"/>
      <c r="BD5255" s="48"/>
    </row>
    <row r="5256" spans="1:56">
      <c r="A5256" s="48"/>
      <c r="B5256" s="48"/>
      <c r="C5256" s="49"/>
      <c r="D5256" s="48"/>
      <c r="E5256" s="48"/>
      <c r="F5256" s="48"/>
      <c r="G5256" s="48"/>
      <c r="H5256" s="48"/>
      <c r="I5256" s="48"/>
      <c r="J5256" s="86"/>
      <c r="K5256" s="86"/>
      <c r="L5256" s="86"/>
      <c r="M5256" s="86"/>
      <c r="N5256" s="86"/>
      <c r="O5256" s="86"/>
      <c r="P5256" s="86"/>
      <c r="Q5256" s="86"/>
      <c r="R5256" s="86"/>
      <c r="S5256" s="86"/>
      <c r="T5256" s="86"/>
      <c r="U5256" s="86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48"/>
      <c r="AM5256" s="48"/>
      <c r="AN5256" s="48"/>
      <c r="AO5256" s="48"/>
      <c r="AP5256" s="48"/>
      <c r="AQ5256" s="48"/>
      <c r="AR5256" s="48"/>
      <c r="AS5256" s="48"/>
      <c r="AT5256" s="48"/>
      <c r="AU5256" s="48"/>
      <c r="AV5256" s="48"/>
      <c r="AW5256" s="48"/>
      <c r="AX5256" s="48"/>
      <c r="AY5256" s="48"/>
      <c r="AZ5256" s="48"/>
      <c r="BA5256" s="48"/>
      <c r="BB5256" s="48"/>
      <c r="BC5256" s="48"/>
      <c r="BD5256" s="48"/>
    </row>
    <row r="5257" spans="1:56">
      <c r="A5257" s="48"/>
      <c r="B5257" s="48"/>
      <c r="C5257" s="49"/>
      <c r="D5257" s="48"/>
      <c r="E5257" s="48"/>
      <c r="F5257" s="48"/>
      <c r="G5257" s="48"/>
      <c r="H5257" s="48"/>
      <c r="I5257" s="48"/>
      <c r="J5257" s="86"/>
      <c r="K5257" s="86"/>
      <c r="L5257" s="86"/>
      <c r="M5257" s="86"/>
      <c r="N5257" s="86"/>
      <c r="O5257" s="86"/>
      <c r="P5257" s="86"/>
      <c r="Q5257" s="86"/>
      <c r="R5257" s="86"/>
      <c r="S5257" s="86"/>
      <c r="T5257" s="86"/>
      <c r="U5257" s="86"/>
      <c r="V5257" s="48"/>
      <c r="W5257" s="48"/>
      <c r="X5257" s="48"/>
      <c r="Y5257" s="48"/>
      <c r="Z5257" s="48"/>
      <c r="AA5257" s="48"/>
      <c r="AB5257" s="48"/>
      <c r="AC5257" s="48"/>
      <c r="AD5257" s="48"/>
      <c r="AE5257" s="48"/>
      <c r="AF5257" s="48"/>
      <c r="AG5257" s="48"/>
      <c r="AH5257" s="48"/>
      <c r="AI5257" s="48"/>
      <c r="AJ5257" s="48"/>
      <c r="AK5257" s="48"/>
      <c r="AL5257" s="48"/>
      <c r="AM5257" s="48"/>
      <c r="AN5257" s="48"/>
      <c r="AO5257" s="48"/>
      <c r="AP5257" s="48"/>
      <c r="AQ5257" s="48"/>
      <c r="AR5257" s="48"/>
      <c r="AS5257" s="48"/>
      <c r="AT5257" s="48"/>
      <c r="AU5257" s="48"/>
      <c r="AV5257" s="48"/>
      <c r="AW5257" s="48"/>
      <c r="AX5257" s="48"/>
      <c r="AY5257" s="48"/>
      <c r="AZ5257" s="48"/>
      <c r="BA5257" s="48"/>
      <c r="BB5257" s="48"/>
      <c r="BC5257" s="48"/>
      <c r="BD5257" s="48"/>
    </row>
    <row r="5258" spans="1:56">
      <c r="A5258" s="48"/>
      <c r="B5258" s="48"/>
      <c r="C5258" s="49"/>
      <c r="D5258" s="48"/>
      <c r="E5258" s="48"/>
      <c r="F5258" s="48"/>
      <c r="G5258" s="48"/>
      <c r="H5258" s="48"/>
      <c r="I5258" s="48"/>
      <c r="J5258" s="86"/>
      <c r="K5258" s="86"/>
      <c r="L5258" s="86"/>
      <c r="M5258" s="86"/>
      <c r="N5258" s="86"/>
      <c r="O5258" s="86"/>
      <c r="P5258" s="86"/>
      <c r="Q5258" s="86"/>
      <c r="R5258" s="86"/>
      <c r="S5258" s="86"/>
      <c r="T5258" s="86"/>
      <c r="U5258" s="86"/>
      <c r="V5258" s="48"/>
      <c r="W5258" s="48"/>
      <c r="X5258" s="48"/>
      <c r="Y5258" s="48"/>
      <c r="Z5258" s="48"/>
      <c r="AA5258" s="48"/>
      <c r="AB5258" s="48"/>
      <c r="AC5258" s="48"/>
      <c r="AD5258" s="48"/>
      <c r="AE5258" s="48"/>
      <c r="AF5258" s="48"/>
      <c r="AG5258" s="48"/>
      <c r="AH5258" s="48"/>
      <c r="AI5258" s="48"/>
      <c r="AJ5258" s="48"/>
      <c r="AK5258" s="48"/>
      <c r="AL5258" s="48"/>
      <c r="AM5258" s="48"/>
      <c r="AN5258" s="48"/>
      <c r="AO5258" s="48"/>
      <c r="AP5258" s="48"/>
      <c r="AQ5258" s="48"/>
      <c r="AR5258" s="48"/>
      <c r="AS5258" s="48"/>
      <c r="AT5258" s="48"/>
      <c r="AU5258" s="48"/>
      <c r="AV5258" s="48"/>
      <c r="AW5258" s="48"/>
      <c r="AX5258" s="48"/>
      <c r="AY5258" s="48"/>
      <c r="AZ5258" s="48"/>
      <c r="BA5258" s="48"/>
      <c r="BB5258" s="48"/>
      <c r="BC5258" s="48"/>
      <c r="BD5258" s="48"/>
    </row>
    <row r="5259" spans="1:56">
      <c r="A5259" s="48"/>
      <c r="B5259" s="48"/>
      <c r="C5259" s="49"/>
      <c r="D5259" s="48"/>
      <c r="E5259" s="48"/>
      <c r="F5259" s="48"/>
      <c r="G5259" s="48"/>
      <c r="H5259" s="48"/>
      <c r="I5259" s="48"/>
      <c r="J5259" s="86"/>
      <c r="K5259" s="86"/>
      <c r="L5259" s="86"/>
      <c r="M5259" s="86"/>
      <c r="N5259" s="86"/>
      <c r="O5259" s="86"/>
      <c r="P5259" s="86"/>
      <c r="Q5259" s="86"/>
      <c r="R5259" s="86"/>
      <c r="S5259" s="86"/>
      <c r="T5259" s="86"/>
      <c r="U5259" s="86"/>
      <c r="V5259" s="48"/>
      <c r="W5259" s="48"/>
      <c r="X5259" s="48"/>
      <c r="Y5259" s="48"/>
      <c r="Z5259" s="48"/>
      <c r="AA5259" s="48"/>
      <c r="AB5259" s="48"/>
      <c r="AC5259" s="48"/>
      <c r="AD5259" s="48"/>
      <c r="AE5259" s="48"/>
      <c r="AF5259" s="48"/>
      <c r="AG5259" s="48"/>
      <c r="AH5259" s="48"/>
      <c r="AI5259" s="48"/>
      <c r="AJ5259" s="48"/>
      <c r="AK5259" s="48"/>
      <c r="AL5259" s="48"/>
      <c r="AM5259" s="48"/>
      <c r="AN5259" s="48"/>
      <c r="AO5259" s="48"/>
      <c r="AP5259" s="48"/>
      <c r="AQ5259" s="48"/>
      <c r="AR5259" s="48"/>
      <c r="AS5259" s="48"/>
      <c r="AT5259" s="48"/>
      <c r="AU5259" s="48"/>
      <c r="AV5259" s="48"/>
      <c r="AW5259" s="48"/>
      <c r="AX5259" s="48"/>
      <c r="AY5259" s="48"/>
      <c r="AZ5259" s="48"/>
      <c r="BA5259" s="48"/>
      <c r="BB5259" s="48"/>
      <c r="BC5259" s="48"/>
      <c r="BD5259" s="48"/>
    </row>
    <row r="5260" spans="1:56">
      <c r="A5260" s="48"/>
      <c r="B5260" s="48"/>
      <c r="C5260" s="49"/>
      <c r="D5260" s="48"/>
      <c r="E5260" s="48"/>
      <c r="F5260" s="48"/>
      <c r="G5260" s="48"/>
      <c r="H5260" s="48"/>
      <c r="I5260" s="48"/>
      <c r="J5260" s="86"/>
      <c r="K5260" s="86"/>
      <c r="L5260" s="86"/>
      <c r="M5260" s="86"/>
      <c r="N5260" s="86"/>
      <c r="O5260" s="86"/>
      <c r="P5260" s="86"/>
      <c r="Q5260" s="86"/>
      <c r="R5260" s="86"/>
      <c r="S5260" s="86"/>
      <c r="T5260" s="86"/>
      <c r="U5260" s="86"/>
      <c r="V5260" s="48"/>
      <c r="W5260" s="48"/>
      <c r="X5260" s="48"/>
      <c r="Y5260" s="48"/>
      <c r="Z5260" s="48"/>
      <c r="AA5260" s="48"/>
      <c r="AB5260" s="48"/>
      <c r="AC5260" s="48"/>
      <c r="AD5260" s="48"/>
      <c r="AE5260" s="48"/>
      <c r="AF5260" s="48"/>
      <c r="AG5260" s="48"/>
      <c r="AH5260" s="48"/>
      <c r="AI5260" s="48"/>
      <c r="AJ5260" s="48"/>
      <c r="AK5260" s="48"/>
      <c r="AL5260" s="48"/>
      <c r="AM5260" s="48"/>
      <c r="AN5260" s="48"/>
      <c r="AO5260" s="48"/>
      <c r="AP5260" s="48"/>
      <c r="AQ5260" s="48"/>
      <c r="AR5260" s="48"/>
      <c r="AS5260" s="48"/>
      <c r="AT5260" s="48"/>
      <c r="AU5260" s="48"/>
      <c r="AV5260" s="48"/>
      <c r="AW5260" s="48"/>
      <c r="AX5260" s="48"/>
      <c r="AY5260" s="48"/>
      <c r="AZ5260" s="48"/>
      <c r="BA5260" s="48"/>
      <c r="BB5260" s="48"/>
      <c r="BC5260" s="48"/>
      <c r="BD5260" s="48"/>
    </row>
    <row r="5261" spans="1:56">
      <c r="A5261" s="48"/>
      <c r="B5261" s="48"/>
      <c r="C5261" s="49"/>
      <c r="D5261" s="48"/>
      <c r="E5261" s="48"/>
      <c r="F5261" s="48"/>
      <c r="G5261" s="48"/>
      <c r="H5261" s="48"/>
      <c r="I5261" s="48"/>
      <c r="J5261" s="86"/>
      <c r="K5261" s="86"/>
      <c r="L5261" s="86"/>
      <c r="M5261" s="86"/>
      <c r="N5261" s="86"/>
      <c r="O5261" s="86"/>
      <c r="P5261" s="86"/>
      <c r="Q5261" s="86"/>
      <c r="R5261" s="86"/>
      <c r="S5261" s="86"/>
      <c r="T5261" s="86"/>
      <c r="U5261" s="86"/>
      <c r="V5261" s="48"/>
      <c r="W5261" s="48"/>
      <c r="X5261" s="48"/>
      <c r="Y5261" s="48"/>
      <c r="Z5261" s="48"/>
      <c r="AA5261" s="48"/>
      <c r="AB5261" s="48"/>
      <c r="AC5261" s="48"/>
      <c r="AD5261" s="48"/>
      <c r="AE5261" s="48"/>
      <c r="AF5261" s="48"/>
      <c r="AG5261" s="48"/>
      <c r="AH5261" s="48"/>
      <c r="AI5261" s="48"/>
      <c r="AJ5261" s="48"/>
      <c r="AK5261" s="48"/>
      <c r="AL5261" s="48"/>
      <c r="AM5261" s="48"/>
      <c r="AN5261" s="48"/>
      <c r="AO5261" s="48"/>
      <c r="AP5261" s="48"/>
      <c r="AQ5261" s="48"/>
      <c r="AR5261" s="48"/>
      <c r="AS5261" s="48"/>
      <c r="AT5261" s="48"/>
      <c r="AU5261" s="48"/>
      <c r="AV5261" s="48"/>
      <c r="AW5261" s="48"/>
      <c r="AX5261" s="48"/>
      <c r="AY5261" s="48"/>
      <c r="AZ5261" s="48"/>
      <c r="BA5261" s="48"/>
      <c r="BB5261" s="48"/>
      <c r="BC5261" s="48"/>
      <c r="BD5261" s="48"/>
    </row>
    <row r="5262" spans="1:56">
      <c r="A5262" s="48"/>
      <c r="B5262" s="48"/>
      <c r="C5262" s="49"/>
      <c r="D5262" s="48"/>
      <c r="E5262" s="48"/>
      <c r="F5262" s="48"/>
      <c r="G5262" s="48"/>
      <c r="H5262" s="48"/>
      <c r="I5262" s="48"/>
      <c r="J5262" s="86"/>
      <c r="K5262" s="86"/>
      <c r="L5262" s="86"/>
      <c r="M5262" s="86"/>
      <c r="N5262" s="86"/>
      <c r="O5262" s="86"/>
      <c r="P5262" s="86"/>
      <c r="Q5262" s="86"/>
      <c r="R5262" s="86"/>
      <c r="S5262" s="86"/>
      <c r="T5262" s="86"/>
      <c r="U5262" s="86"/>
      <c r="V5262" s="48"/>
      <c r="W5262" s="48"/>
      <c r="X5262" s="48"/>
      <c r="Y5262" s="48"/>
      <c r="Z5262" s="48"/>
      <c r="AA5262" s="48"/>
      <c r="AB5262" s="48"/>
      <c r="AC5262" s="48"/>
      <c r="AD5262" s="48"/>
      <c r="AE5262" s="48"/>
      <c r="AF5262" s="48"/>
      <c r="AG5262" s="48"/>
      <c r="AH5262" s="48"/>
      <c r="AI5262" s="48"/>
      <c r="AJ5262" s="48"/>
      <c r="AK5262" s="48"/>
      <c r="AL5262" s="48"/>
      <c r="AM5262" s="48"/>
      <c r="AN5262" s="48"/>
      <c r="AO5262" s="48"/>
      <c r="AP5262" s="48"/>
      <c r="AQ5262" s="48"/>
      <c r="AR5262" s="48"/>
      <c r="AS5262" s="48"/>
      <c r="AT5262" s="48"/>
      <c r="AU5262" s="48"/>
      <c r="AV5262" s="48"/>
      <c r="AW5262" s="48"/>
      <c r="AX5262" s="48"/>
      <c r="AY5262" s="48"/>
      <c r="AZ5262" s="48"/>
      <c r="BA5262" s="48"/>
      <c r="BB5262" s="48"/>
      <c r="BC5262" s="48"/>
      <c r="BD5262" s="48"/>
    </row>
    <row r="5263" spans="1:56">
      <c r="A5263" s="48"/>
      <c r="B5263" s="48"/>
      <c r="C5263" s="49"/>
      <c r="D5263" s="48"/>
      <c r="E5263" s="48"/>
      <c r="F5263" s="48"/>
      <c r="G5263" s="48"/>
      <c r="H5263" s="48"/>
      <c r="I5263" s="48"/>
      <c r="J5263" s="86"/>
      <c r="K5263" s="86"/>
      <c r="L5263" s="86"/>
      <c r="M5263" s="86"/>
      <c r="N5263" s="86"/>
      <c r="O5263" s="86"/>
      <c r="P5263" s="86"/>
      <c r="Q5263" s="86"/>
      <c r="R5263" s="86"/>
      <c r="S5263" s="86"/>
      <c r="T5263" s="86"/>
      <c r="U5263" s="86"/>
      <c r="V5263" s="48"/>
      <c r="W5263" s="48"/>
      <c r="X5263" s="48"/>
      <c r="Y5263" s="48"/>
      <c r="Z5263" s="48"/>
      <c r="AA5263" s="48"/>
      <c r="AB5263" s="48"/>
      <c r="AC5263" s="48"/>
      <c r="AD5263" s="48"/>
      <c r="AE5263" s="48"/>
      <c r="AF5263" s="48"/>
      <c r="AG5263" s="48"/>
      <c r="AH5263" s="48"/>
      <c r="AI5263" s="48"/>
      <c r="AJ5263" s="48"/>
      <c r="AK5263" s="48"/>
      <c r="AL5263" s="48"/>
      <c r="AM5263" s="48"/>
      <c r="AN5263" s="48"/>
      <c r="AO5263" s="48"/>
      <c r="AP5263" s="48"/>
      <c r="AQ5263" s="48"/>
      <c r="AR5263" s="48"/>
      <c r="AS5263" s="48"/>
      <c r="AT5263" s="48"/>
      <c r="AU5263" s="48"/>
      <c r="AV5263" s="48"/>
      <c r="AW5263" s="48"/>
      <c r="AX5263" s="48"/>
      <c r="AY5263" s="48"/>
      <c r="AZ5263" s="48"/>
      <c r="BA5263" s="48"/>
      <c r="BB5263" s="48"/>
      <c r="BC5263" s="48"/>
      <c r="BD5263" s="48"/>
    </row>
    <row r="5264" spans="1:56">
      <c r="A5264" s="48"/>
      <c r="B5264" s="48"/>
      <c r="C5264" s="49"/>
      <c r="D5264" s="48"/>
      <c r="E5264" s="48"/>
      <c r="F5264" s="48"/>
      <c r="G5264" s="48"/>
      <c r="H5264" s="48"/>
      <c r="I5264" s="48"/>
      <c r="J5264" s="86"/>
      <c r="K5264" s="86"/>
      <c r="L5264" s="86"/>
      <c r="M5264" s="86"/>
      <c r="N5264" s="86"/>
      <c r="O5264" s="86"/>
      <c r="P5264" s="86"/>
      <c r="Q5264" s="86"/>
      <c r="R5264" s="86"/>
      <c r="S5264" s="86"/>
      <c r="T5264" s="86"/>
      <c r="U5264" s="86"/>
      <c r="V5264" s="48"/>
      <c r="W5264" s="48"/>
      <c r="X5264" s="48"/>
      <c r="Y5264" s="48"/>
      <c r="Z5264" s="48"/>
      <c r="AA5264" s="48"/>
      <c r="AB5264" s="48"/>
      <c r="AC5264" s="48"/>
      <c r="AD5264" s="48"/>
      <c r="AE5264" s="48"/>
      <c r="AF5264" s="48"/>
      <c r="AG5264" s="48"/>
      <c r="AH5264" s="48"/>
      <c r="AI5264" s="48"/>
      <c r="AJ5264" s="48"/>
      <c r="AK5264" s="48"/>
      <c r="AL5264" s="48"/>
      <c r="AM5264" s="48"/>
      <c r="AN5264" s="48"/>
      <c r="AO5264" s="48"/>
      <c r="AP5264" s="48"/>
      <c r="AQ5264" s="48"/>
      <c r="AR5264" s="48"/>
      <c r="AS5264" s="48"/>
      <c r="AT5264" s="48"/>
      <c r="AU5264" s="48"/>
      <c r="AV5264" s="48"/>
      <c r="AW5264" s="48"/>
      <c r="AX5264" s="48"/>
      <c r="AY5264" s="48"/>
      <c r="AZ5264" s="48"/>
      <c r="BA5264" s="48"/>
      <c r="BB5264" s="48"/>
      <c r="BC5264" s="48"/>
      <c r="BD5264" s="48"/>
    </row>
    <row r="5265" spans="1:56">
      <c r="A5265" s="48"/>
      <c r="B5265" s="48"/>
      <c r="C5265" s="49"/>
      <c r="D5265" s="48"/>
      <c r="E5265" s="48"/>
      <c r="F5265" s="48"/>
      <c r="G5265" s="48"/>
      <c r="H5265" s="48"/>
      <c r="I5265" s="48"/>
      <c r="J5265" s="86"/>
      <c r="K5265" s="86"/>
      <c r="L5265" s="86"/>
      <c r="M5265" s="86"/>
      <c r="N5265" s="86"/>
      <c r="O5265" s="86"/>
      <c r="P5265" s="86"/>
      <c r="Q5265" s="86"/>
      <c r="R5265" s="86"/>
      <c r="S5265" s="86"/>
      <c r="T5265" s="86"/>
      <c r="U5265" s="86"/>
      <c r="V5265" s="48"/>
      <c r="W5265" s="48"/>
      <c r="X5265" s="48"/>
      <c r="Y5265" s="48"/>
      <c r="Z5265" s="48"/>
      <c r="AA5265" s="48"/>
      <c r="AB5265" s="48"/>
      <c r="AC5265" s="48"/>
      <c r="AD5265" s="48"/>
      <c r="AE5265" s="48"/>
      <c r="AF5265" s="48"/>
      <c r="AG5265" s="48"/>
      <c r="AH5265" s="48"/>
      <c r="AI5265" s="48"/>
      <c r="AJ5265" s="48"/>
      <c r="AK5265" s="48"/>
      <c r="AL5265" s="48"/>
      <c r="AM5265" s="48"/>
      <c r="AN5265" s="48"/>
      <c r="AO5265" s="48"/>
      <c r="AP5265" s="48"/>
      <c r="AQ5265" s="48"/>
      <c r="AR5265" s="48"/>
      <c r="AS5265" s="48"/>
      <c r="AT5265" s="48"/>
      <c r="AU5265" s="48"/>
      <c r="AV5265" s="48"/>
      <c r="AW5265" s="48"/>
      <c r="AX5265" s="48"/>
      <c r="AY5265" s="48"/>
      <c r="AZ5265" s="48"/>
      <c r="BA5265" s="48"/>
      <c r="BB5265" s="48"/>
      <c r="BC5265" s="48"/>
      <c r="BD5265" s="48"/>
    </row>
    <row r="5266" spans="1:56">
      <c r="A5266" s="48"/>
      <c r="B5266" s="48"/>
      <c r="C5266" s="49"/>
      <c r="D5266" s="48"/>
      <c r="E5266" s="48"/>
      <c r="F5266" s="48"/>
      <c r="G5266" s="48"/>
      <c r="H5266" s="48"/>
      <c r="I5266" s="48"/>
      <c r="J5266" s="86"/>
      <c r="K5266" s="86"/>
      <c r="L5266" s="86"/>
      <c r="M5266" s="86"/>
      <c r="N5266" s="86"/>
      <c r="O5266" s="86"/>
      <c r="P5266" s="86"/>
      <c r="Q5266" s="86"/>
      <c r="R5266" s="86"/>
      <c r="S5266" s="86"/>
      <c r="T5266" s="86"/>
      <c r="U5266" s="86"/>
      <c r="V5266" s="48"/>
      <c r="W5266" s="48"/>
      <c r="X5266" s="48"/>
      <c r="Y5266" s="48"/>
      <c r="Z5266" s="48"/>
      <c r="AA5266" s="48"/>
      <c r="AB5266" s="48"/>
      <c r="AC5266" s="48"/>
      <c r="AD5266" s="48"/>
      <c r="AE5266" s="48"/>
      <c r="AF5266" s="48"/>
      <c r="AG5266" s="48"/>
      <c r="AH5266" s="48"/>
      <c r="AI5266" s="48"/>
      <c r="AJ5266" s="48"/>
      <c r="AK5266" s="48"/>
      <c r="AL5266" s="48"/>
      <c r="AM5266" s="48"/>
      <c r="AN5266" s="48"/>
      <c r="AO5266" s="48"/>
      <c r="AP5266" s="48"/>
      <c r="AQ5266" s="48"/>
      <c r="AR5266" s="48"/>
      <c r="AS5266" s="48"/>
      <c r="AT5266" s="48"/>
      <c r="AU5266" s="48"/>
      <c r="AV5266" s="48"/>
      <c r="AW5266" s="48"/>
      <c r="AX5266" s="48"/>
      <c r="AY5266" s="48"/>
      <c r="AZ5266" s="48"/>
      <c r="BA5266" s="48"/>
      <c r="BB5266" s="48"/>
      <c r="BC5266" s="48"/>
      <c r="BD5266" s="48"/>
    </row>
    <row r="5267" spans="1:56">
      <c r="A5267" s="48"/>
      <c r="B5267" s="48"/>
      <c r="C5267" s="49"/>
      <c r="D5267" s="48"/>
      <c r="E5267" s="48"/>
      <c r="F5267" s="48"/>
      <c r="G5267" s="48"/>
      <c r="H5267" s="48"/>
      <c r="I5267" s="48"/>
      <c r="J5267" s="86"/>
      <c r="K5267" s="86"/>
      <c r="L5267" s="86"/>
      <c r="M5267" s="86"/>
      <c r="N5267" s="86"/>
      <c r="O5267" s="86"/>
      <c r="P5267" s="86"/>
      <c r="Q5267" s="86"/>
      <c r="R5267" s="86"/>
      <c r="S5267" s="86"/>
      <c r="T5267" s="86"/>
      <c r="U5267" s="86"/>
      <c r="V5267" s="48"/>
      <c r="W5267" s="48"/>
      <c r="X5267" s="48"/>
      <c r="Y5267" s="48"/>
      <c r="Z5267" s="48"/>
      <c r="AA5267" s="48"/>
      <c r="AB5267" s="48"/>
      <c r="AC5267" s="48"/>
      <c r="AD5267" s="48"/>
      <c r="AE5267" s="48"/>
      <c r="AF5267" s="48"/>
      <c r="AG5267" s="48"/>
      <c r="AH5267" s="48"/>
      <c r="AI5267" s="48"/>
      <c r="AJ5267" s="48"/>
      <c r="AK5267" s="48"/>
      <c r="AL5267" s="48"/>
      <c r="AM5267" s="48"/>
      <c r="AN5267" s="48"/>
      <c r="AO5267" s="48"/>
      <c r="AP5267" s="48"/>
      <c r="AQ5267" s="48"/>
      <c r="AR5267" s="48"/>
      <c r="AS5267" s="48"/>
      <c r="AT5267" s="48"/>
      <c r="AU5267" s="48"/>
      <c r="AV5267" s="48"/>
      <c r="AW5267" s="48"/>
      <c r="AX5267" s="48"/>
      <c r="AY5267" s="48"/>
      <c r="AZ5267" s="48"/>
      <c r="BA5267" s="48"/>
      <c r="BB5267" s="48"/>
      <c r="BC5267" s="48"/>
      <c r="BD5267" s="48"/>
    </row>
    <row r="5268" spans="1:56">
      <c r="A5268" s="48"/>
      <c r="B5268" s="48"/>
      <c r="C5268" s="49"/>
      <c r="D5268" s="48"/>
      <c r="E5268" s="48"/>
      <c r="F5268" s="48"/>
      <c r="G5268" s="48"/>
      <c r="H5268" s="48"/>
      <c r="I5268" s="48"/>
      <c r="J5268" s="86"/>
      <c r="K5268" s="86"/>
      <c r="L5268" s="86"/>
      <c r="M5268" s="86"/>
      <c r="N5268" s="86"/>
      <c r="O5268" s="86"/>
      <c r="P5268" s="86"/>
      <c r="Q5268" s="86"/>
      <c r="R5268" s="86"/>
      <c r="S5268" s="86"/>
      <c r="T5268" s="86"/>
      <c r="U5268" s="86"/>
      <c r="V5268" s="48"/>
      <c r="W5268" s="48"/>
      <c r="X5268" s="48"/>
      <c r="Y5268" s="48"/>
      <c r="Z5268" s="48"/>
      <c r="AA5268" s="48"/>
      <c r="AB5268" s="48"/>
      <c r="AC5268" s="48"/>
      <c r="AD5268" s="48"/>
      <c r="AE5268" s="48"/>
      <c r="AF5268" s="48"/>
      <c r="AG5268" s="48"/>
      <c r="AH5268" s="48"/>
      <c r="AI5268" s="48"/>
      <c r="AJ5268" s="48"/>
      <c r="AK5268" s="48"/>
      <c r="AL5268" s="48"/>
      <c r="AM5268" s="48"/>
      <c r="AN5268" s="48"/>
      <c r="AO5268" s="48"/>
      <c r="AP5268" s="48"/>
      <c r="AQ5268" s="48"/>
      <c r="AR5268" s="48"/>
      <c r="AS5268" s="48"/>
      <c r="AT5268" s="48"/>
      <c r="AU5268" s="48"/>
      <c r="AV5268" s="48"/>
      <c r="AW5268" s="48"/>
      <c r="AX5268" s="48"/>
      <c r="AY5268" s="48"/>
      <c r="AZ5268" s="48"/>
      <c r="BA5268" s="48"/>
      <c r="BB5268" s="48"/>
      <c r="BC5268" s="48"/>
      <c r="BD5268" s="48"/>
    </row>
    <row r="5269" spans="1:56">
      <c r="A5269" s="48"/>
      <c r="B5269" s="48"/>
      <c r="C5269" s="49"/>
      <c r="D5269" s="48"/>
      <c r="E5269" s="48"/>
      <c r="F5269" s="48"/>
      <c r="G5269" s="48"/>
      <c r="H5269" s="48"/>
      <c r="I5269" s="48"/>
      <c r="J5269" s="86"/>
      <c r="K5269" s="86"/>
      <c r="L5269" s="86"/>
      <c r="M5269" s="86"/>
      <c r="N5269" s="86"/>
      <c r="O5269" s="86"/>
      <c r="P5269" s="86"/>
      <c r="Q5269" s="86"/>
      <c r="R5269" s="86"/>
      <c r="S5269" s="86"/>
      <c r="T5269" s="86"/>
      <c r="U5269" s="86"/>
      <c r="V5269" s="48"/>
      <c r="W5269" s="48"/>
      <c r="X5269" s="48"/>
      <c r="Y5269" s="48"/>
      <c r="Z5269" s="48"/>
      <c r="AA5269" s="48"/>
      <c r="AB5269" s="48"/>
      <c r="AC5269" s="48"/>
      <c r="AD5269" s="48"/>
      <c r="AE5269" s="48"/>
      <c r="AF5269" s="48"/>
      <c r="AG5269" s="48"/>
      <c r="AH5269" s="48"/>
      <c r="AI5269" s="48"/>
      <c r="AJ5269" s="48"/>
      <c r="AK5269" s="48"/>
      <c r="AL5269" s="48"/>
      <c r="AM5269" s="48"/>
      <c r="AN5269" s="48"/>
      <c r="AO5269" s="48"/>
      <c r="AP5269" s="48"/>
      <c r="AQ5269" s="48"/>
      <c r="AR5269" s="48"/>
      <c r="AS5269" s="48"/>
      <c r="AT5269" s="48"/>
      <c r="AU5269" s="48"/>
      <c r="AV5269" s="48"/>
      <c r="AW5269" s="48"/>
      <c r="AX5269" s="48"/>
      <c r="AY5269" s="48"/>
      <c r="AZ5269" s="48"/>
      <c r="BA5269" s="48"/>
      <c r="BB5269" s="48"/>
      <c r="BC5269" s="48"/>
      <c r="BD5269" s="48"/>
    </row>
    <row r="5270" spans="1:56">
      <c r="A5270" s="48"/>
      <c r="B5270" s="48"/>
      <c r="C5270" s="49"/>
      <c r="D5270" s="48"/>
      <c r="E5270" s="48"/>
      <c r="F5270" s="48"/>
      <c r="G5270" s="48"/>
      <c r="H5270" s="48"/>
      <c r="I5270" s="48"/>
      <c r="J5270" s="86"/>
      <c r="K5270" s="86"/>
      <c r="L5270" s="86"/>
      <c r="M5270" s="86"/>
      <c r="N5270" s="86"/>
      <c r="O5270" s="86"/>
      <c r="P5270" s="86"/>
      <c r="Q5270" s="86"/>
      <c r="R5270" s="86"/>
      <c r="S5270" s="86"/>
      <c r="T5270" s="86"/>
      <c r="U5270" s="86"/>
      <c r="V5270" s="48"/>
      <c r="W5270" s="48"/>
      <c r="X5270" s="48"/>
      <c r="Y5270" s="48"/>
      <c r="Z5270" s="48"/>
      <c r="AA5270" s="48"/>
      <c r="AB5270" s="48"/>
      <c r="AC5270" s="48"/>
      <c r="AD5270" s="48"/>
      <c r="AE5270" s="48"/>
      <c r="AF5270" s="48"/>
      <c r="AG5270" s="48"/>
      <c r="AH5270" s="48"/>
      <c r="AI5270" s="48"/>
      <c r="AJ5270" s="48"/>
      <c r="AK5270" s="48"/>
      <c r="AL5270" s="48"/>
      <c r="AM5270" s="48"/>
      <c r="AN5270" s="48"/>
      <c r="AO5270" s="48"/>
      <c r="AP5270" s="48"/>
      <c r="AQ5270" s="48"/>
      <c r="AR5270" s="48"/>
      <c r="AS5270" s="48"/>
      <c r="AT5270" s="48"/>
      <c r="AU5270" s="48"/>
      <c r="AV5270" s="48"/>
      <c r="AW5270" s="48"/>
      <c r="AX5270" s="48"/>
      <c r="AY5270" s="48"/>
      <c r="AZ5270" s="48"/>
      <c r="BA5270" s="48"/>
      <c r="BB5270" s="48"/>
      <c r="BC5270" s="48"/>
      <c r="BD5270" s="48"/>
    </row>
    <row r="5271" spans="1:56">
      <c r="A5271" s="48"/>
      <c r="B5271" s="48"/>
      <c r="C5271" s="49"/>
      <c r="D5271" s="48"/>
      <c r="E5271" s="48"/>
      <c r="F5271" s="48"/>
      <c r="G5271" s="48"/>
      <c r="H5271" s="48"/>
      <c r="I5271" s="48"/>
      <c r="J5271" s="86"/>
      <c r="K5271" s="86"/>
      <c r="L5271" s="86"/>
      <c r="M5271" s="86"/>
      <c r="N5271" s="86"/>
      <c r="O5271" s="86"/>
      <c r="P5271" s="86"/>
      <c r="Q5271" s="86"/>
      <c r="R5271" s="86"/>
      <c r="S5271" s="86"/>
      <c r="T5271" s="86"/>
      <c r="U5271" s="86"/>
      <c r="V5271" s="48"/>
      <c r="W5271" s="48"/>
      <c r="X5271" s="48"/>
      <c r="Y5271" s="48"/>
      <c r="Z5271" s="48"/>
      <c r="AA5271" s="48"/>
      <c r="AB5271" s="48"/>
      <c r="AC5271" s="48"/>
      <c r="AD5271" s="48"/>
      <c r="AE5271" s="48"/>
      <c r="AF5271" s="48"/>
      <c r="AG5271" s="48"/>
      <c r="AH5271" s="48"/>
      <c r="AI5271" s="48"/>
      <c r="AJ5271" s="48"/>
      <c r="AK5271" s="48"/>
      <c r="AL5271" s="48"/>
      <c r="AM5271" s="48"/>
      <c r="AN5271" s="48"/>
      <c r="AO5271" s="48"/>
      <c r="AP5271" s="48"/>
      <c r="AQ5271" s="48"/>
      <c r="AR5271" s="48"/>
      <c r="AS5271" s="48"/>
      <c r="AT5271" s="48"/>
      <c r="AU5271" s="48"/>
      <c r="AV5271" s="48"/>
      <c r="AW5271" s="48"/>
      <c r="AX5271" s="48"/>
      <c r="AY5271" s="48"/>
      <c r="AZ5271" s="48"/>
      <c r="BA5271" s="48"/>
      <c r="BB5271" s="48"/>
      <c r="BC5271" s="48"/>
      <c r="BD5271" s="48"/>
    </row>
    <row r="5272" spans="1:56">
      <c r="A5272" s="48"/>
      <c r="B5272" s="48"/>
      <c r="C5272" s="49"/>
      <c r="D5272" s="48"/>
      <c r="E5272" s="48"/>
      <c r="F5272" s="48"/>
      <c r="G5272" s="48"/>
      <c r="H5272" s="48"/>
      <c r="I5272" s="48"/>
      <c r="J5272" s="86"/>
      <c r="K5272" s="86"/>
      <c r="L5272" s="86"/>
      <c r="M5272" s="86"/>
      <c r="N5272" s="86"/>
      <c r="O5272" s="86"/>
      <c r="P5272" s="86"/>
      <c r="Q5272" s="86"/>
      <c r="R5272" s="86"/>
      <c r="S5272" s="86"/>
      <c r="T5272" s="86"/>
      <c r="U5272" s="86"/>
      <c r="V5272" s="48"/>
      <c r="W5272" s="48"/>
      <c r="X5272" s="48"/>
      <c r="Y5272" s="48"/>
      <c r="Z5272" s="48"/>
      <c r="AA5272" s="48"/>
      <c r="AB5272" s="48"/>
      <c r="AC5272" s="48"/>
      <c r="AD5272" s="48"/>
      <c r="AE5272" s="48"/>
      <c r="AF5272" s="48"/>
      <c r="AG5272" s="48"/>
      <c r="AH5272" s="48"/>
      <c r="AI5272" s="48"/>
      <c r="AJ5272" s="48"/>
      <c r="AK5272" s="48"/>
      <c r="AL5272" s="48"/>
      <c r="AM5272" s="48"/>
      <c r="AN5272" s="48"/>
      <c r="AO5272" s="48"/>
      <c r="AP5272" s="48"/>
      <c r="AQ5272" s="48"/>
      <c r="AR5272" s="48"/>
      <c r="AS5272" s="48"/>
      <c r="AT5272" s="48"/>
      <c r="AU5272" s="48"/>
      <c r="AV5272" s="48"/>
      <c r="AW5272" s="48"/>
      <c r="AX5272" s="48"/>
      <c r="AY5272" s="48"/>
      <c r="AZ5272" s="48"/>
      <c r="BA5272" s="48"/>
      <c r="BB5272" s="48"/>
      <c r="BC5272" s="48"/>
      <c r="BD5272" s="48"/>
    </row>
    <row r="5273" spans="1:56">
      <c r="A5273" s="48"/>
      <c r="B5273" s="48"/>
      <c r="C5273" s="49"/>
      <c r="D5273" s="48"/>
      <c r="E5273" s="48"/>
      <c r="F5273" s="48"/>
      <c r="G5273" s="48"/>
      <c r="H5273" s="48"/>
      <c r="I5273" s="48"/>
      <c r="J5273" s="86"/>
      <c r="K5273" s="86"/>
      <c r="L5273" s="86"/>
      <c r="M5273" s="86"/>
      <c r="N5273" s="86"/>
      <c r="O5273" s="86"/>
      <c r="P5273" s="86"/>
      <c r="Q5273" s="86"/>
      <c r="R5273" s="86"/>
      <c r="S5273" s="86"/>
      <c r="T5273" s="86"/>
      <c r="U5273" s="86"/>
      <c r="V5273" s="48"/>
      <c r="W5273" s="48"/>
      <c r="X5273" s="48"/>
      <c r="Y5273" s="48"/>
      <c r="Z5273" s="48"/>
      <c r="AA5273" s="48"/>
      <c r="AB5273" s="48"/>
      <c r="AC5273" s="48"/>
      <c r="AD5273" s="48"/>
      <c r="AE5273" s="48"/>
      <c r="AF5273" s="48"/>
      <c r="AG5273" s="48"/>
      <c r="AH5273" s="48"/>
      <c r="AI5273" s="48"/>
      <c r="AJ5273" s="48"/>
      <c r="AK5273" s="48"/>
      <c r="AL5273" s="48"/>
      <c r="AM5273" s="48"/>
      <c r="AN5273" s="48"/>
      <c r="AO5273" s="48"/>
      <c r="AP5273" s="48"/>
      <c r="AQ5273" s="48"/>
      <c r="AR5273" s="48"/>
      <c r="AS5273" s="48"/>
      <c r="AT5273" s="48"/>
      <c r="AU5273" s="48"/>
      <c r="AV5273" s="48"/>
      <c r="AW5273" s="48"/>
      <c r="AX5273" s="48"/>
      <c r="AY5273" s="48"/>
      <c r="AZ5273" s="48"/>
      <c r="BA5273" s="48"/>
      <c r="BB5273" s="48"/>
      <c r="BC5273" s="48"/>
      <c r="BD5273" s="48"/>
    </row>
    <row r="5274" spans="1:56">
      <c r="A5274" s="48"/>
      <c r="B5274" s="48"/>
      <c r="C5274" s="49"/>
      <c r="D5274" s="48"/>
      <c r="E5274" s="48"/>
      <c r="F5274" s="48"/>
      <c r="G5274" s="48"/>
      <c r="H5274" s="48"/>
      <c r="I5274" s="48"/>
      <c r="J5274" s="86"/>
      <c r="K5274" s="86"/>
      <c r="L5274" s="86"/>
      <c r="M5274" s="86"/>
      <c r="N5274" s="86"/>
      <c r="O5274" s="86"/>
      <c r="P5274" s="86"/>
      <c r="Q5274" s="86"/>
      <c r="R5274" s="86"/>
      <c r="S5274" s="86"/>
      <c r="T5274" s="86"/>
      <c r="U5274" s="86"/>
      <c r="V5274" s="48"/>
      <c r="W5274" s="48"/>
      <c r="X5274" s="48"/>
      <c r="Y5274" s="48"/>
      <c r="Z5274" s="48"/>
      <c r="AA5274" s="48"/>
      <c r="AB5274" s="48"/>
      <c r="AC5274" s="48"/>
      <c r="AD5274" s="48"/>
      <c r="AE5274" s="48"/>
      <c r="AF5274" s="48"/>
      <c r="AG5274" s="48"/>
      <c r="AH5274" s="48"/>
      <c r="AI5274" s="48"/>
      <c r="AJ5274" s="48"/>
      <c r="AK5274" s="48"/>
      <c r="AL5274" s="48"/>
      <c r="AM5274" s="48"/>
      <c r="AN5274" s="48"/>
      <c r="AO5274" s="48"/>
      <c r="AP5274" s="48"/>
      <c r="AQ5274" s="48"/>
      <c r="AR5274" s="48"/>
      <c r="AS5274" s="48"/>
      <c r="AT5274" s="48"/>
      <c r="AU5274" s="48"/>
      <c r="AV5274" s="48"/>
      <c r="AW5274" s="48"/>
      <c r="AX5274" s="48"/>
      <c r="AY5274" s="48"/>
      <c r="AZ5274" s="48"/>
      <c r="BA5274" s="48"/>
      <c r="BB5274" s="48"/>
      <c r="BC5274" s="48"/>
      <c r="BD5274" s="48"/>
    </row>
    <row r="5275" spans="1:56">
      <c r="A5275" s="48"/>
      <c r="B5275" s="48"/>
      <c r="C5275" s="49"/>
      <c r="D5275" s="48"/>
      <c r="E5275" s="48"/>
      <c r="F5275" s="48"/>
      <c r="G5275" s="48"/>
      <c r="H5275" s="48"/>
      <c r="I5275" s="48"/>
      <c r="J5275" s="86"/>
      <c r="K5275" s="86"/>
      <c r="L5275" s="86"/>
      <c r="M5275" s="86"/>
      <c r="N5275" s="86"/>
      <c r="O5275" s="86"/>
      <c r="P5275" s="86"/>
      <c r="Q5275" s="86"/>
      <c r="R5275" s="86"/>
      <c r="S5275" s="86"/>
      <c r="T5275" s="86"/>
      <c r="U5275" s="86"/>
      <c r="V5275" s="48"/>
      <c r="W5275" s="48"/>
      <c r="X5275" s="48"/>
      <c r="Y5275" s="48"/>
      <c r="Z5275" s="48"/>
      <c r="AA5275" s="48"/>
      <c r="AB5275" s="48"/>
      <c r="AC5275" s="48"/>
      <c r="AD5275" s="48"/>
      <c r="AE5275" s="48"/>
      <c r="AF5275" s="48"/>
      <c r="AG5275" s="48"/>
      <c r="AH5275" s="48"/>
      <c r="AI5275" s="48"/>
      <c r="AJ5275" s="48"/>
      <c r="AK5275" s="48"/>
      <c r="AL5275" s="48"/>
      <c r="AM5275" s="48"/>
      <c r="AN5275" s="48"/>
      <c r="AO5275" s="48"/>
      <c r="AP5275" s="48"/>
      <c r="AQ5275" s="48"/>
      <c r="AR5275" s="48"/>
      <c r="AS5275" s="48"/>
      <c r="AT5275" s="48"/>
      <c r="AU5275" s="48"/>
      <c r="AV5275" s="48"/>
      <c r="AW5275" s="48"/>
      <c r="AX5275" s="48"/>
      <c r="AY5275" s="48"/>
      <c r="AZ5275" s="48"/>
      <c r="BA5275" s="48"/>
      <c r="BB5275" s="48"/>
      <c r="BC5275" s="48"/>
      <c r="BD5275" s="48"/>
    </row>
    <row r="5276" spans="1:56">
      <c r="A5276" s="48"/>
      <c r="B5276" s="48"/>
      <c r="C5276" s="49"/>
      <c r="D5276" s="48"/>
      <c r="E5276" s="48"/>
      <c r="F5276" s="48"/>
      <c r="G5276" s="48"/>
      <c r="H5276" s="48"/>
      <c r="I5276" s="48"/>
      <c r="J5276" s="86"/>
      <c r="K5276" s="86"/>
      <c r="L5276" s="86"/>
      <c r="M5276" s="86"/>
      <c r="N5276" s="86"/>
      <c r="O5276" s="86"/>
      <c r="P5276" s="86"/>
      <c r="Q5276" s="86"/>
      <c r="R5276" s="86"/>
      <c r="S5276" s="86"/>
      <c r="T5276" s="86"/>
      <c r="U5276" s="86"/>
      <c r="V5276" s="48"/>
      <c r="W5276" s="48"/>
      <c r="X5276" s="48"/>
      <c r="Y5276" s="48"/>
      <c r="Z5276" s="48"/>
      <c r="AA5276" s="48"/>
      <c r="AB5276" s="48"/>
      <c r="AC5276" s="48"/>
      <c r="AD5276" s="48"/>
      <c r="AE5276" s="48"/>
      <c r="AF5276" s="48"/>
      <c r="AG5276" s="48"/>
      <c r="AH5276" s="48"/>
      <c r="AI5276" s="48"/>
      <c r="AJ5276" s="48"/>
      <c r="AK5276" s="48"/>
      <c r="AL5276" s="48"/>
      <c r="AM5276" s="48"/>
      <c r="AN5276" s="48"/>
      <c r="AO5276" s="48"/>
      <c r="AP5276" s="48"/>
      <c r="AQ5276" s="48"/>
      <c r="AR5276" s="48"/>
      <c r="AS5276" s="48"/>
      <c r="AT5276" s="48"/>
      <c r="AU5276" s="48"/>
      <c r="AV5276" s="48"/>
      <c r="AW5276" s="48"/>
      <c r="AX5276" s="48"/>
      <c r="AY5276" s="48"/>
      <c r="AZ5276" s="48"/>
      <c r="BA5276" s="48"/>
      <c r="BB5276" s="48"/>
      <c r="BC5276" s="48"/>
      <c r="BD5276" s="48"/>
    </row>
    <row r="5277" spans="1:56">
      <c r="A5277" s="48"/>
      <c r="B5277" s="48"/>
      <c r="C5277" s="49"/>
      <c r="D5277" s="48"/>
      <c r="E5277" s="48"/>
      <c r="F5277" s="48"/>
      <c r="G5277" s="48"/>
      <c r="H5277" s="48"/>
      <c r="I5277" s="48"/>
      <c r="J5277" s="86"/>
      <c r="K5277" s="86"/>
      <c r="L5277" s="86"/>
      <c r="M5277" s="86"/>
      <c r="N5277" s="86"/>
      <c r="O5277" s="86"/>
      <c r="P5277" s="86"/>
      <c r="Q5277" s="86"/>
      <c r="R5277" s="86"/>
      <c r="S5277" s="86"/>
      <c r="T5277" s="86"/>
      <c r="U5277" s="86"/>
      <c r="V5277" s="48"/>
      <c r="W5277" s="48"/>
      <c r="X5277" s="48"/>
      <c r="Y5277" s="48"/>
      <c r="Z5277" s="48"/>
      <c r="AA5277" s="48"/>
      <c r="AB5277" s="48"/>
      <c r="AC5277" s="48"/>
      <c r="AD5277" s="48"/>
      <c r="AE5277" s="48"/>
      <c r="AF5277" s="48"/>
      <c r="AG5277" s="48"/>
      <c r="AH5277" s="48"/>
      <c r="AI5277" s="48"/>
      <c r="AJ5277" s="48"/>
      <c r="AK5277" s="48"/>
      <c r="AL5277" s="48"/>
      <c r="AM5277" s="48"/>
      <c r="AN5277" s="48"/>
      <c r="AO5277" s="48"/>
      <c r="AP5277" s="48"/>
      <c r="AQ5277" s="48"/>
      <c r="AR5277" s="48"/>
      <c r="AS5277" s="48"/>
      <c r="AT5277" s="48"/>
      <c r="AU5277" s="48"/>
      <c r="AV5277" s="48"/>
      <c r="AW5277" s="48"/>
      <c r="AX5277" s="48"/>
      <c r="AY5277" s="48"/>
      <c r="AZ5277" s="48"/>
      <c r="BA5277" s="48"/>
      <c r="BB5277" s="48"/>
      <c r="BC5277" s="48"/>
      <c r="BD5277" s="48"/>
    </row>
    <row r="5278" spans="1:56">
      <c r="A5278" s="48"/>
      <c r="B5278" s="48"/>
      <c r="C5278" s="49"/>
      <c r="D5278" s="48"/>
      <c r="E5278" s="48"/>
      <c r="F5278" s="48"/>
      <c r="G5278" s="48"/>
      <c r="H5278" s="48"/>
      <c r="I5278" s="48"/>
      <c r="J5278" s="86"/>
      <c r="K5278" s="86"/>
      <c r="L5278" s="86"/>
      <c r="M5278" s="86"/>
      <c r="N5278" s="86"/>
      <c r="O5278" s="86"/>
      <c r="P5278" s="86"/>
      <c r="Q5278" s="86"/>
      <c r="R5278" s="86"/>
      <c r="S5278" s="86"/>
      <c r="T5278" s="86"/>
      <c r="U5278" s="86"/>
      <c r="V5278" s="48"/>
      <c r="W5278" s="48"/>
      <c r="X5278" s="48"/>
      <c r="Y5278" s="48"/>
      <c r="Z5278" s="48"/>
      <c r="AA5278" s="48"/>
      <c r="AB5278" s="48"/>
      <c r="AC5278" s="48"/>
      <c r="AD5278" s="48"/>
      <c r="AE5278" s="48"/>
      <c r="AF5278" s="48"/>
      <c r="AG5278" s="48"/>
      <c r="AH5278" s="48"/>
      <c r="AI5278" s="48"/>
      <c r="AJ5278" s="48"/>
      <c r="AK5278" s="48"/>
      <c r="AL5278" s="48"/>
      <c r="AM5278" s="48"/>
      <c r="AN5278" s="48"/>
      <c r="AO5278" s="48"/>
      <c r="AP5278" s="48"/>
      <c r="AQ5278" s="48"/>
      <c r="AR5278" s="48"/>
      <c r="AS5278" s="48"/>
      <c r="AT5278" s="48"/>
      <c r="AU5278" s="48"/>
      <c r="AV5278" s="48"/>
      <c r="AW5278" s="48"/>
      <c r="AX5278" s="48"/>
      <c r="AY5278" s="48"/>
      <c r="AZ5278" s="48"/>
      <c r="BA5278" s="48"/>
      <c r="BB5278" s="48"/>
      <c r="BC5278" s="48"/>
      <c r="BD5278" s="48"/>
    </row>
    <row r="5279" spans="1:56">
      <c r="A5279" s="48"/>
      <c r="B5279" s="48"/>
      <c r="C5279" s="49"/>
      <c r="D5279" s="48"/>
      <c r="E5279" s="48"/>
      <c r="F5279" s="48"/>
      <c r="G5279" s="48"/>
      <c r="H5279" s="48"/>
      <c r="I5279" s="48"/>
      <c r="J5279" s="86"/>
      <c r="K5279" s="86"/>
      <c r="L5279" s="86"/>
      <c r="M5279" s="86"/>
      <c r="N5279" s="86"/>
      <c r="O5279" s="86"/>
      <c r="P5279" s="86"/>
      <c r="Q5279" s="86"/>
      <c r="R5279" s="86"/>
      <c r="S5279" s="86"/>
      <c r="T5279" s="86"/>
      <c r="U5279" s="86"/>
      <c r="V5279" s="48"/>
      <c r="W5279" s="48"/>
      <c r="X5279" s="48"/>
      <c r="Y5279" s="48"/>
      <c r="Z5279" s="48"/>
      <c r="AA5279" s="48"/>
      <c r="AB5279" s="48"/>
      <c r="AC5279" s="48"/>
      <c r="AD5279" s="48"/>
      <c r="AE5279" s="48"/>
      <c r="AF5279" s="48"/>
      <c r="AG5279" s="48"/>
      <c r="AH5279" s="48"/>
      <c r="AI5279" s="48"/>
      <c r="AJ5279" s="48"/>
      <c r="AK5279" s="48"/>
      <c r="AL5279" s="48"/>
      <c r="AM5279" s="48"/>
      <c r="AN5279" s="48"/>
      <c r="AO5279" s="48"/>
      <c r="AP5279" s="48"/>
      <c r="AQ5279" s="48"/>
      <c r="AR5279" s="48"/>
      <c r="AS5279" s="48"/>
      <c r="AT5279" s="48"/>
      <c r="AU5279" s="48"/>
      <c r="AV5279" s="48"/>
      <c r="AW5279" s="48"/>
      <c r="AX5279" s="48"/>
      <c r="AY5279" s="48"/>
      <c r="AZ5279" s="48"/>
      <c r="BA5279" s="48"/>
      <c r="BB5279" s="48"/>
      <c r="BC5279" s="48"/>
      <c r="BD5279" s="48"/>
    </row>
    <row r="5280" spans="1:56">
      <c r="A5280" s="48"/>
      <c r="B5280" s="48"/>
      <c r="C5280" s="49"/>
      <c r="D5280" s="48"/>
      <c r="E5280" s="48"/>
      <c r="F5280" s="48"/>
      <c r="G5280" s="48"/>
      <c r="H5280" s="48"/>
      <c r="I5280" s="48"/>
      <c r="J5280" s="86"/>
      <c r="K5280" s="86"/>
      <c r="L5280" s="86"/>
      <c r="M5280" s="86"/>
      <c r="N5280" s="86"/>
      <c r="O5280" s="86"/>
      <c r="P5280" s="86"/>
      <c r="Q5280" s="86"/>
      <c r="R5280" s="86"/>
      <c r="S5280" s="86"/>
      <c r="T5280" s="86"/>
      <c r="U5280" s="86"/>
      <c r="V5280" s="48"/>
      <c r="W5280" s="48"/>
      <c r="X5280" s="48"/>
      <c r="Y5280" s="48"/>
      <c r="Z5280" s="48"/>
      <c r="AA5280" s="48"/>
      <c r="AB5280" s="48"/>
      <c r="AC5280" s="48"/>
      <c r="AD5280" s="48"/>
      <c r="AE5280" s="48"/>
      <c r="AF5280" s="48"/>
      <c r="AG5280" s="48"/>
      <c r="AH5280" s="48"/>
      <c r="AI5280" s="48"/>
      <c r="AJ5280" s="48"/>
      <c r="AK5280" s="48"/>
      <c r="AL5280" s="48"/>
      <c r="AM5280" s="48"/>
      <c r="AN5280" s="48"/>
      <c r="AO5280" s="48"/>
      <c r="AP5280" s="48"/>
      <c r="AQ5280" s="48"/>
      <c r="AR5280" s="48"/>
      <c r="AS5280" s="48"/>
      <c r="AT5280" s="48"/>
      <c r="AU5280" s="48"/>
      <c r="AV5280" s="48"/>
      <c r="AW5280" s="48"/>
      <c r="AX5280" s="48"/>
      <c r="AY5280" s="48"/>
      <c r="AZ5280" s="48"/>
      <c r="BA5280" s="48"/>
      <c r="BB5280" s="48"/>
      <c r="BC5280" s="48"/>
      <c r="BD5280" s="48"/>
    </row>
    <row r="5281" spans="1:56">
      <c r="A5281" s="48"/>
      <c r="B5281" s="48"/>
      <c r="C5281" s="49"/>
      <c r="D5281" s="48"/>
      <c r="E5281" s="48"/>
      <c r="F5281" s="48"/>
      <c r="G5281" s="48"/>
      <c r="H5281" s="48"/>
      <c r="I5281" s="48"/>
      <c r="J5281" s="86"/>
      <c r="K5281" s="86"/>
      <c r="L5281" s="86"/>
      <c r="M5281" s="86"/>
      <c r="N5281" s="86"/>
      <c r="O5281" s="86"/>
      <c r="P5281" s="86"/>
      <c r="Q5281" s="86"/>
      <c r="R5281" s="86"/>
      <c r="S5281" s="86"/>
      <c r="T5281" s="86"/>
      <c r="U5281" s="86"/>
      <c r="V5281" s="48"/>
      <c r="W5281" s="48"/>
      <c r="X5281" s="48"/>
      <c r="Y5281" s="48"/>
      <c r="Z5281" s="48"/>
      <c r="AA5281" s="48"/>
      <c r="AB5281" s="48"/>
      <c r="AC5281" s="48"/>
      <c r="AD5281" s="48"/>
      <c r="AE5281" s="48"/>
      <c r="AF5281" s="48"/>
      <c r="AG5281" s="48"/>
      <c r="AH5281" s="48"/>
      <c r="AI5281" s="48"/>
      <c r="AJ5281" s="48"/>
      <c r="AK5281" s="48"/>
      <c r="AL5281" s="48"/>
      <c r="AM5281" s="48"/>
      <c r="AN5281" s="48"/>
      <c r="AO5281" s="48"/>
      <c r="AP5281" s="48"/>
      <c r="AQ5281" s="48"/>
      <c r="AR5281" s="48"/>
      <c r="AS5281" s="48"/>
      <c r="AT5281" s="48"/>
      <c r="AU5281" s="48"/>
      <c r="AV5281" s="48"/>
      <c r="AW5281" s="48"/>
      <c r="AX5281" s="48"/>
      <c r="AY5281" s="48"/>
      <c r="AZ5281" s="48"/>
      <c r="BA5281" s="48"/>
      <c r="BB5281" s="48"/>
      <c r="BC5281" s="48"/>
      <c r="BD5281" s="48"/>
    </row>
    <row r="5282" spans="1:56">
      <c r="A5282" s="48"/>
      <c r="B5282" s="48"/>
      <c r="C5282" s="49"/>
      <c r="D5282" s="48"/>
      <c r="E5282" s="48"/>
      <c r="F5282" s="48"/>
      <c r="G5282" s="48"/>
      <c r="H5282" s="48"/>
      <c r="I5282" s="48"/>
      <c r="J5282" s="86"/>
      <c r="K5282" s="86"/>
      <c r="L5282" s="86"/>
      <c r="M5282" s="86"/>
      <c r="N5282" s="86"/>
      <c r="O5282" s="86"/>
      <c r="P5282" s="86"/>
      <c r="Q5282" s="86"/>
      <c r="R5282" s="86"/>
      <c r="S5282" s="86"/>
      <c r="T5282" s="86"/>
      <c r="U5282" s="86"/>
      <c r="V5282" s="48"/>
      <c r="W5282" s="48"/>
      <c r="X5282" s="48"/>
      <c r="Y5282" s="48"/>
      <c r="Z5282" s="48"/>
      <c r="AA5282" s="48"/>
      <c r="AB5282" s="48"/>
      <c r="AC5282" s="48"/>
      <c r="AD5282" s="48"/>
      <c r="AE5282" s="48"/>
      <c r="AF5282" s="48"/>
      <c r="AG5282" s="48"/>
      <c r="AH5282" s="48"/>
      <c r="AI5282" s="48"/>
      <c r="AJ5282" s="48"/>
      <c r="AK5282" s="48"/>
      <c r="AL5282" s="48"/>
      <c r="AM5282" s="48"/>
      <c r="AN5282" s="48"/>
      <c r="AO5282" s="48"/>
      <c r="AP5282" s="48"/>
      <c r="AQ5282" s="48"/>
      <c r="AR5282" s="48"/>
      <c r="AS5282" s="48"/>
      <c r="AT5282" s="48"/>
      <c r="AU5282" s="48"/>
      <c r="AV5282" s="48"/>
      <c r="AW5282" s="48"/>
      <c r="AX5282" s="48"/>
      <c r="AY5282" s="48"/>
      <c r="AZ5282" s="48"/>
      <c r="BA5282" s="48"/>
      <c r="BB5282" s="48"/>
      <c r="BC5282" s="48"/>
      <c r="BD5282" s="48"/>
    </row>
    <row r="5283" spans="1:56">
      <c r="A5283" s="48"/>
      <c r="B5283" s="48"/>
      <c r="C5283" s="49"/>
      <c r="D5283" s="48"/>
      <c r="E5283" s="48"/>
      <c r="F5283" s="48"/>
      <c r="G5283" s="48"/>
      <c r="H5283" s="48"/>
      <c r="I5283" s="48"/>
      <c r="J5283" s="86"/>
      <c r="K5283" s="86"/>
      <c r="L5283" s="86"/>
      <c r="M5283" s="86"/>
      <c r="N5283" s="86"/>
      <c r="O5283" s="86"/>
      <c r="P5283" s="86"/>
      <c r="Q5283" s="86"/>
      <c r="R5283" s="86"/>
      <c r="S5283" s="86"/>
      <c r="T5283" s="86"/>
      <c r="U5283" s="86"/>
      <c r="V5283" s="48"/>
      <c r="W5283" s="48"/>
      <c r="X5283" s="48"/>
      <c r="Y5283" s="48"/>
      <c r="Z5283" s="48"/>
      <c r="AA5283" s="48"/>
      <c r="AB5283" s="48"/>
      <c r="AC5283" s="48"/>
      <c r="AD5283" s="48"/>
      <c r="AE5283" s="48"/>
      <c r="AF5283" s="48"/>
      <c r="AG5283" s="48"/>
      <c r="AH5283" s="48"/>
      <c r="AI5283" s="48"/>
      <c r="AJ5283" s="48"/>
      <c r="AK5283" s="48"/>
      <c r="AL5283" s="48"/>
      <c r="AM5283" s="48"/>
      <c r="AN5283" s="48"/>
      <c r="AO5283" s="48"/>
      <c r="AP5283" s="48"/>
      <c r="AQ5283" s="48"/>
      <c r="AR5283" s="48"/>
      <c r="AS5283" s="48"/>
      <c r="AT5283" s="48"/>
      <c r="AU5283" s="48"/>
      <c r="AV5283" s="48"/>
      <c r="AW5283" s="48"/>
      <c r="AX5283" s="48"/>
      <c r="AY5283" s="48"/>
      <c r="AZ5283" s="48"/>
      <c r="BA5283" s="48"/>
      <c r="BB5283" s="48"/>
      <c r="BC5283" s="48"/>
      <c r="BD5283" s="48"/>
    </row>
    <row r="5284" spans="1:56">
      <c r="A5284" s="48"/>
      <c r="B5284" s="48"/>
      <c r="C5284" s="49"/>
      <c r="D5284" s="48"/>
      <c r="E5284" s="48"/>
      <c r="F5284" s="48"/>
      <c r="G5284" s="48"/>
      <c r="H5284" s="48"/>
      <c r="I5284" s="48"/>
      <c r="J5284" s="86"/>
      <c r="K5284" s="86"/>
      <c r="L5284" s="86"/>
      <c r="M5284" s="86"/>
      <c r="N5284" s="86"/>
      <c r="O5284" s="86"/>
      <c r="P5284" s="86"/>
      <c r="Q5284" s="86"/>
      <c r="R5284" s="86"/>
      <c r="S5284" s="86"/>
      <c r="T5284" s="86"/>
      <c r="U5284" s="86"/>
      <c r="V5284" s="48"/>
      <c r="W5284" s="48"/>
      <c r="X5284" s="48"/>
      <c r="Y5284" s="48"/>
      <c r="Z5284" s="48"/>
      <c r="AA5284" s="48"/>
      <c r="AB5284" s="48"/>
      <c r="AC5284" s="48"/>
      <c r="AD5284" s="48"/>
      <c r="AE5284" s="48"/>
      <c r="AF5284" s="48"/>
      <c r="AG5284" s="48"/>
      <c r="AH5284" s="48"/>
      <c r="AI5284" s="48"/>
      <c r="AJ5284" s="48"/>
      <c r="AK5284" s="48"/>
      <c r="AL5284" s="48"/>
      <c r="AM5284" s="48"/>
      <c r="AN5284" s="48"/>
      <c r="AO5284" s="48"/>
      <c r="AP5284" s="48"/>
      <c r="AQ5284" s="48"/>
      <c r="AR5284" s="48"/>
      <c r="AS5284" s="48"/>
      <c r="AT5284" s="48"/>
      <c r="AU5284" s="48"/>
      <c r="AV5284" s="48"/>
      <c r="AW5284" s="48"/>
      <c r="AX5284" s="48"/>
      <c r="AY5284" s="48"/>
      <c r="AZ5284" s="48"/>
      <c r="BA5284" s="48"/>
      <c r="BB5284" s="48"/>
      <c r="BC5284" s="48"/>
      <c r="BD5284" s="48"/>
    </row>
    <row r="5285" spans="1:56">
      <c r="A5285" s="48"/>
      <c r="B5285" s="48"/>
      <c r="C5285" s="49"/>
      <c r="D5285" s="48"/>
      <c r="E5285" s="48"/>
      <c r="F5285" s="48"/>
      <c r="G5285" s="48"/>
      <c r="H5285" s="48"/>
      <c r="I5285" s="48"/>
      <c r="J5285" s="86"/>
      <c r="K5285" s="86"/>
      <c r="L5285" s="86"/>
      <c r="M5285" s="86"/>
      <c r="N5285" s="86"/>
      <c r="O5285" s="86"/>
      <c r="P5285" s="86"/>
      <c r="Q5285" s="86"/>
      <c r="R5285" s="86"/>
      <c r="S5285" s="86"/>
      <c r="T5285" s="86"/>
      <c r="U5285" s="86"/>
      <c r="V5285" s="48"/>
      <c r="W5285" s="48"/>
      <c r="X5285" s="48"/>
      <c r="Y5285" s="48"/>
      <c r="Z5285" s="48"/>
      <c r="AA5285" s="48"/>
      <c r="AB5285" s="48"/>
      <c r="AC5285" s="48"/>
      <c r="AD5285" s="48"/>
      <c r="AE5285" s="48"/>
      <c r="AF5285" s="48"/>
      <c r="AG5285" s="48"/>
      <c r="AH5285" s="48"/>
      <c r="AI5285" s="48"/>
      <c r="AJ5285" s="48"/>
      <c r="AK5285" s="48"/>
      <c r="AL5285" s="48"/>
      <c r="AM5285" s="48"/>
      <c r="AN5285" s="48"/>
      <c r="AO5285" s="48"/>
      <c r="AP5285" s="48"/>
      <c r="AQ5285" s="48"/>
      <c r="AR5285" s="48"/>
      <c r="AS5285" s="48"/>
      <c r="AT5285" s="48"/>
      <c r="AU5285" s="48"/>
      <c r="AV5285" s="48"/>
      <c r="AW5285" s="48"/>
      <c r="AX5285" s="48"/>
      <c r="AY5285" s="48"/>
      <c r="AZ5285" s="48"/>
      <c r="BA5285" s="48"/>
      <c r="BB5285" s="48"/>
      <c r="BC5285" s="48"/>
      <c r="BD5285" s="48"/>
    </row>
    <row r="5286" spans="1:56">
      <c r="A5286" s="48"/>
      <c r="B5286" s="48"/>
      <c r="C5286" s="49"/>
      <c r="D5286" s="48"/>
      <c r="E5286" s="48"/>
      <c r="F5286" s="48"/>
      <c r="G5286" s="48"/>
      <c r="H5286" s="48"/>
      <c r="I5286" s="48"/>
      <c r="J5286" s="86"/>
      <c r="K5286" s="86"/>
      <c r="L5286" s="86"/>
      <c r="M5286" s="86"/>
      <c r="N5286" s="86"/>
      <c r="O5286" s="86"/>
      <c r="P5286" s="86"/>
      <c r="Q5286" s="86"/>
      <c r="R5286" s="86"/>
      <c r="S5286" s="86"/>
      <c r="T5286" s="86"/>
      <c r="U5286" s="86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48"/>
      <c r="BB5286" s="48"/>
      <c r="BC5286" s="48"/>
      <c r="BD5286" s="48"/>
    </row>
    <row r="5287" spans="1:56">
      <c r="A5287" s="48"/>
      <c r="B5287" s="48"/>
      <c r="C5287" s="49"/>
      <c r="D5287" s="48"/>
      <c r="E5287" s="48"/>
      <c r="F5287" s="48"/>
      <c r="G5287" s="48"/>
      <c r="H5287" s="48"/>
      <c r="I5287" s="48"/>
      <c r="J5287" s="86"/>
      <c r="K5287" s="86"/>
      <c r="L5287" s="86"/>
      <c r="M5287" s="86"/>
      <c r="N5287" s="86"/>
      <c r="O5287" s="86"/>
      <c r="P5287" s="86"/>
      <c r="Q5287" s="86"/>
      <c r="R5287" s="86"/>
      <c r="S5287" s="86"/>
      <c r="T5287" s="86"/>
      <c r="U5287" s="86"/>
      <c r="V5287" s="48"/>
      <c r="W5287" s="48"/>
      <c r="X5287" s="48"/>
      <c r="Y5287" s="48"/>
      <c r="Z5287" s="48"/>
      <c r="AA5287" s="48"/>
      <c r="AB5287" s="48"/>
      <c r="AC5287" s="48"/>
      <c r="AD5287" s="48"/>
      <c r="AE5287" s="48"/>
      <c r="AF5287" s="48"/>
      <c r="AG5287" s="48"/>
      <c r="AH5287" s="48"/>
      <c r="AI5287" s="48"/>
      <c r="AJ5287" s="48"/>
      <c r="AK5287" s="48"/>
      <c r="AL5287" s="48"/>
      <c r="AM5287" s="48"/>
      <c r="AN5287" s="48"/>
      <c r="AO5287" s="48"/>
      <c r="AP5287" s="48"/>
      <c r="AQ5287" s="48"/>
      <c r="AR5287" s="48"/>
      <c r="AS5287" s="48"/>
      <c r="AT5287" s="48"/>
      <c r="AU5287" s="48"/>
      <c r="AV5287" s="48"/>
      <c r="AW5287" s="48"/>
      <c r="AX5287" s="48"/>
      <c r="AY5287" s="48"/>
      <c r="AZ5287" s="48"/>
      <c r="BA5287" s="48"/>
      <c r="BB5287" s="48"/>
      <c r="BC5287" s="48"/>
      <c r="BD5287" s="48"/>
    </row>
    <row r="5288" spans="1:56">
      <c r="A5288" s="48"/>
      <c r="B5288" s="48"/>
      <c r="C5288" s="49"/>
      <c r="D5288" s="48"/>
      <c r="E5288" s="48"/>
      <c r="F5288" s="48"/>
      <c r="G5288" s="48"/>
      <c r="H5288" s="48"/>
      <c r="I5288" s="48"/>
      <c r="J5288" s="86"/>
      <c r="K5288" s="86"/>
      <c r="L5288" s="86"/>
      <c r="M5288" s="86"/>
      <c r="N5288" s="86"/>
      <c r="O5288" s="86"/>
      <c r="P5288" s="86"/>
      <c r="Q5288" s="86"/>
      <c r="R5288" s="86"/>
      <c r="S5288" s="86"/>
      <c r="T5288" s="86"/>
      <c r="U5288" s="86"/>
      <c r="V5288" s="48"/>
      <c r="W5288" s="48"/>
      <c r="X5288" s="48"/>
      <c r="Y5288" s="48"/>
      <c r="Z5288" s="48"/>
      <c r="AA5288" s="48"/>
      <c r="AB5288" s="48"/>
      <c r="AC5288" s="48"/>
      <c r="AD5288" s="48"/>
      <c r="AE5288" s="48"/>
      <c r="AF5288" s="48"/>
      <c r="AG5288" s="48"/>
      <c r="AH5288" s="48"/>
      <c r="AI5288" s="48"/>
      <c r="AJ5288" s="48"/>
      <c r="AK5288" s="48"/>
      <c r="AL5288" s="48"/>
      <c r="AM5288" s="48"/>
      <c r="AN5288" s="48"/>
      <c r="AO5288" s="48"/>
      <c r="AP5288" s="48"/>
      <c r="AQ5288" s="48"/>
      <c r="AR5288" s="48"/>
      <c r="AS5288" s="48"/>
      <c r="AT5288" s="48"/>
      <c r="AU5288" s="48"/>
      <c r="AV5288" s="48"/>
      <c r="AW5288" s="48"/>
      <c r="AX5288" s="48"/>
      <c r="AY5288" s="48"/>
      <c r="AZ5288" s="48"/>
      <c r="BA5288" s="48"/>
      <c r="BB5288" s="48"/>
      <c r="BC5288" s="48"/>
      <c r="BD5288" s="48"/>
    </row>
    <row r="5289" spans="1:56">
      <c r="A5289" s="48"/>
      <c r="B5289" s="48"/>
      <c r="C5289" s="49"/>
      <c r="D5289" s="48"/>
      <c r="E5289" s="48"/>
      <c r="F5289" s="48"/>
      <c r="G5289" s="48"/>
      <c r="H5289" s="48"/>
      <c r="I5289" s="48"/>
      <c r="J5289" s="86"/>
      <c r="K5289" s="86"/>
      <c r="L5289" s="86"/>
      <c r="M5289" s="86"/>
      <c r="N5289" s="86"/>
      <c r="O5289" s="86"/>
      <c r="P5289" s="86"/>
      <c r="Q5289" s="86"/>
      <c r="R5289" s="86"/>
      <c r="S5289" s="86"/>
      <c r="T5289" s="86"/>
      <c r="U5289" s="86"/>
      <c r="V5289" s="48"/>
      <c r="W5289" s="48"/>
      <c r="X5289" s="48"/>
      <c r="Y5289" s="48"/>
      <c r="Z5289" s="48"/>
      <c r="AA5289" s="48"/>
      <c r="AB5289" s="48"/>
      <c r="AC5289" s="48"/>
      <c r="AD5289" s="48"/>
      <c r="AE5289" s="48"/>
      <c r="AF5289" s="48"/>
      <c r="AG5289" s="48"/>
      <c r="AH5289" s="48"/>
      <c r="AI5289" s="48"/>
      <c r="AJ5289" s="48"/>
      <c r="AK5289" s="48"/>
      <c r="AL5289" s="48"/>
      <c r="AM5289" s="48"/>
      <c r="AN5289" s="48"/>
      <c r="AO5289" s="48"/>
      <c r="AP5289" s="48"/>
      <c r="AQ5289" s="48"/>
      <c r="AR5289" s="48"/>
      <c r="AS5289" s="48"/>
      <c r="AT5289" s="48"/>
      <c r="AU5289" s="48"/>
      <c r="AV5289" s="48"/>
      <c r="AW5289" s="48"/>
      <c r="AX5289" s="48"/>
      <c r="AY5289" s="48"/>
      <c r="AZ5289" s="48"/>
      <c r="BA5289" s="48"/>
      <c r="BB5289" s="48"/>
      <c r="BC5289" s="48"/>
      <c r="BD5289" s="48"/>
    </row>
    <row r="5290" spans="1:56">
      <c r="A5290" s="48"/>
      <c r="B5290" s="48"/>
      <c r="C5290" s="49"/>
      <c r="D5290" s="48"/>
      <c r="E5290" s="48"/>
      <c r="F5290" s="48"/>
      <c r="G5290" s="48"/>
      <c r="H5290" s="48"/>
      <c r="I5290" s="48"/>
      <c r="J5290" s="86"/>
      <c r="K5290" s="86"/>
      <c r="L5290" s="86"/>
      <c r="M5290" s="86"/>
      <c r="N5290" s="86"/>
      <c r="O5290" s="86"/>
      <c r="P5290" s="86"/>
      <c r="Q5290" s="86"/>
      <c r="R5290" s="86"/>
      <c r="S5290" s="86"/>
      <c r="T5290" s="86"/>
      <c r="U5290" s="86"/>
      <c r="V5290" s="48"/>
      <c r="W5290" s="48"/>
      <c r="X5290" s="48"/>
      <c r="Y5290" s="48"/>
      <c r="Z5290" s="48"/>
      <c r="AA5290" s="48"/>
      <c r="AB5290" s="48"/>
      <c r="AC5290" s="48"/>
      <c r="AD5290" s="48"/>
      <c r="AE5290" s="48"/>
      <c r="AF5290" s="48"/>
      <c r="AG5290" s="48"/>
      <c r="AH5290" s="48"/>
      <c r="AI5290" s="48"/>
      <c r="AJ5290" s="48"/>
      <c r="AK5290" s="48"/>
      <c r="AL5290" s="48"/>
      <c r="AM5290" s="48"/>
      <c r="AN5290" s="48"/>
      <c r="AO5290" s="48"/>
      <c r="AP5290" s="48"/>
      <c r="AQ5290" s="48"/>
      <c r="AR5290" s="48"/>
      <c r="AS5290" s="48"/>
      <c r="AT5290" s="48"/>
      <c r="AU5290" s="48"/>
      <c r="AV5290" s="48"/>
      <c r="AW5290" s="48"/>
      <c r="AX5290" s="48"/>
      <c r="AY5290" s="48"/>
      <c r="AZ5290" s="48"/>
      <c r="BA5290" s="48"/>
      <c r="BB5290" s="48"/>
      <c r="BC5290" s="48"/>
      <c r="BD5290" s="48"/>
    </row>
    <row r="5291" spans="1:56">
      <c r="A5291" s="48"/>
      <c r="B5291" s="48"/>
      <c r="C5291" s="49"/>
      <c r="D5291" s="48"/>
      <c r="E5291" s="48"/>
      <c r="F5291" s="48"/>
      <c r="G5291" s="48"/>
      <c r="H5291" s="48"/>
      <c r="I5291" s="48"/>
      <c r="J5291" s="86"/>
      <c r="K5291" s="86"/>
      <c r="L5291" s="86"/>
      <c r="M5291" s="86"/>
      <c r="N5291" s="86"/>
      <c r="O5291" s="86"/>
      <c r="P5291" s="86"/>
      <c r="Q5291" s="86"/>
      <c r="R5291" s="86"/>
      <c r="S5291" s="86"/>
      <c r="T5291" s="86"/>
      <c r="U5291" s="86"/>
      <c r="V5291" s="48"/>
      <c r="W5291" s="48"/>
      <c r="X5291" s="48"/>
      <c r="Y5291" s="48"/>
      <c r="Z5291" s="48"/>
      <c r="AA5291" s="48"/>
      <c r="AB5291" s="48"/>
      <c r="AC5291" s="48"/>
      <c r="AD5291" s="48"/>
      <c r="AE5291" s="48"/>
      <c r="AF5291" s="48"/>
      <c r="AG5291" s="48"/>
      <c r="AH5291" s="48"/>
      <c r="AI5291" s="48"/>
      <c r="AJ5291" s="48"/>
      <c r="AK5291" s="48"/>
      <c r="AL5291" s="48"/>
      <c r="AM5291" s="48"/>
      <c r="AN5291" s="48"/>
      <c r="AO5291" s="48"/>
      <c r="AP5291" s="48"/>
      <c r="AQ5291" s="48"/>
      <c r="AR5291" s="48"/>
      <c r="AS5291" s="48"/>
      <c r="AT5291" s="48"/>
      <c r="AU5291" s="48"/>
      <c r="AV5291" s="48"/>
      <c r="AW5291" s="48"/>
      <c r="AX5291" s="48"/>
      <c r="AY5291" s="48"/>
      <c r="AZ5291" s="48"/>
      <c r="BA5291" s="48"/>
      <c r="BB5291" s="48"/>
      <c r="BC5291" s="48"/>
      <c r="BD5291" s="48"/>
    </row>
    <row r="5292" spans="1:56">
      <c r="A5292" s="48"/>
      <c r="B5292" s="48"/>
      <c r="C5292" s="49"/>
      <c r="D5292" s="48"/>
      <c r="E5292" s="48"/>
      <c r="F5292" s="48"/>
      <c r="G5292" s="48"/>
      <c r="H5292" s="48"/>
      <c r="I5292" s="48"/>
      <c r="J5292" s="86"/>
      <c r="K5292" s="86"/>
      <c r="L5292" s="86"/>
      <c r="M5292" s="86"/>
      <c r="N5292" s="86"/>
      <c r="O5292" s="86"/>
      <c r="P5292" s="86"/>
      <c r="Q5292" s="86"/>
      <c r="R5292" s="86"/>
      <c r="S5292" s="86"/>
      <c r="T5292" s="86"/>
      <c r="U5292" s="86"/>
      <c r="V5292" s="48"/>
      <c r="W5292" s="48"/>
      <c r="X5292" s="48"/>
      <c r="Y5292" s="48"/>
      <c r="Z5292" s="48"/>
      <c r="AA5292" s="48"/>
      <c r="AB5292" s="48"/>
      <c r="AC5292" s="48"/>
      <c r="AD5292" s="48"/>
      <c r="AE5292" s="48"/>
      <c r="AF5292" s="48"/>
      <c r="AG5292" s="48"/>
      <c r="AH5292" s="48"/>
      <c r="AI5292" s="48"/>
      <c r="AJ5292" s="48"/>
      <c r="AK5292" s="48"/>
      <c r="AL5292" s="48"/>
      <c r="AM5292" s="48"/>
      <c r="AN5292" s="48"/>
      <c r="AO5292" s="48"/>
      <c r="AP5292" s="48"/>
      <c r="AQ5292" s="48"/>
      <c r="AR5292" s="48"/>
      <c r="AS5292" s="48"/>
      <c r="AT5292" s="48"/>
      <c r="AU5292" s="48"/>
      <c r="AV5292" s="48"/>
      <c r="AW5292" s="48"/>
      <c r="AX5292" s="48"/>
      <c r="AY5292" s="48"/>
      <c r="AZ5292" s="48"/>
      <c r="BA5292" s="48"/>
      <c r="BB5292" s="48"/>
      <c r="BC5292" s="48"/>
      <c r="BD5292" s="48"/>
    </row>
    <row r="5293" spans="1:56">
      <c r="A5293" s="48"/>
      <c r="B5293" s="48"/>
      <c r="C5293" s="49"/>
      <c r="D5293" s="48"/>
      <c r="E5293" s="48"/>
      <c r="F5293" s="48"/>
      <c r="G5293" s="48"/>
      <c r="H5293" s="48"/>
      <c r="I5293" s="48"/>
      <c r="J5293" s="86"/>
      <c r="K5293" s="86"/>
      <c r="L5293" s="86"/>
      <c r="M5293" s="86"/>
      <c r="N5293" s="86"/>
      <c r="O5293" s="86"/>
      <c r="P5293" s="86"/>
      <c r="Q5293" s="86"/>
      <c r="R5293" s="86"/>
      <c r="S5293" s="86"/>
      <c r="T5293" s="86"/>
      <c r="U5293" s="86"/>
      <c r="V5293" s="48"/>
      <c r="W5293" s="48"/>
      <c r="X5293" s="48"/>
      <c r="Y5293" s="48"/>
      <c r="Z5293" s="48"/>
      <c r="AA5293" s="48"/>
      <c r="AB5293" s="48"/>
      <c r="AC5293" s="48"/>
      <c r="AD5293" s="48"/>
      <c r="AE5293" s="48"/>
      <c r="AF5293" s="48"/>
      <c r="AG5293" s="48"/>
      <c r="AH5293" s="48"/>
      <c r="AI5293" s="48"/>
      <c r="AJ5293" s="48"/>
      <c r="AK5293" s="48"/>
      <c r="AL5293" s="48"/>
      <c r="AM5293" s="48"/>
      <c r="AN5293" s="48"/>
      <c r="AO5293" s="48"/>
      <c r="AP5293" s="48"/>
      <c r="AQ5293" s="48"/>
      <c r="AR5293" s="48"/>
      <c r="AS5293" s="48"/>
      <c r="AT5293" s="48"/>
      <c r="AU5293" s="48"/>
      <c r="AV5293" s="48"/>
      <c r="AW5293" s="48"/>
      <c r="AX5293" s="48"/>
      <c r="AY5293" s="48"/>
      <c r="AZ5293" s="48"/>
      <c r="BA5293" s="48"/>
      <c r="BB5293" s="48"/>
      <c r="BC5293" s="48"/>
      <c r="BD5293" s="48"/>
    </row>
    <row r="5294" spans="1:56">
      <c r="A5294" s="48"/>
      <c r="B5294" s="48"/>
      <c r="C5294" s="49"/>
      <c r="D5294" s="48"/>
      <c r="E5294" s="48"/>
      <c r="F5294" s="48"/>
      <c r="G5294" s="48"/>
      <c r="H5294" s="48"/>
      <c r="I5294" s="48"/>
      <c r="J5294" s="86"/>
      <c r="K5294" s="86"/>
      <c r="L5294" s="86"/>
      <c r="M5294" s="86"/>
      <c r="N5294" s="86"/>
      <c r="O5294" s="86"/>
      <c r="P5294" s="86"/>
      <c r="Q5294" s="86"/>
      <c r="R5294" s="86"/>
      <c r="S5294" s="86"/>
      <c r="T5294" s="86"/>
      <c r="U5294" s="86"/>
      <c r="V5294" s="48"/>
      <c r="W5294" s="48"/>
      <c r="X5294" s="48"/>
      <c r="Y5294" s="48"/>
      <c r="Z5294" s="48"/>
      <c r="AA5294" s="48"/>
      <c r="AB5294" s="48"/>
      <c r="AC5294" s="48"/>
      <c r="AD5294" s="48"/>
      <c r="AE5294" s="48"/>
      <c r="AF5294" s="48"/>
      <c r="AG5294" s="48"/>
      <c r="AH5294" s="48"/>
      <c r="AI5294" s="48"/>
      <c r="AJ5294" s="48"/>
      <c r="AK5294" s="48"/>
      <c r="AL5294" s="48"/>
      <c r="AM5294" s="48"/>
      <c r="AN5294" s="48"/>
      <c r="AO5294" s="48"/>
      <c r="AP5294" s="48"/>
      <c r="AQ5294" s="48"/>
      <c r="AR5294" s="48"/>
      <c r="AS5294" s="48"/>
      <c r="AT5294" s="48"/>
      <c r="AU5294" s="48"/>
      <c r="AV5294" s="48"/>
      <c r="AW5294" s="48"/>
      <c r="AX5294" s="48"/>
      <c r="AY5294" s="48"/>
      <c r="AZ5294" s="48"/>
      <c r="BA5294" s="48"/>
      <c r="BB5294" s="48"/>
      <c r="BC5294" s="48"/>
      <c r="BD5294" s="48"/>
    </row>
    <row r="5295" spans="1:56">
      <c r="A5295" s="48"/>
      <c r="B5295" s="48"/>
      <c r="C5295" s="49"/>
      <c r="D5295" s="48"/>
      <c r="E5295" s="48"/>
      <c r="F5295" s="48"/>
      <c r="G5295" s="48"/>
      <c r="H5295" s="48"/>
      <c r="I5295" s="48"/>
      <c r="J5295" s="86"/>
      <c r="K5295" s="86"/>
      <c r="L5295" s="86"/>
      <c r="M5295" s="86"/>
      <c r="N5295" s="86"/>
      <c r="O5295" s="86"/>
      <c r="P5295" s="86"/>
      <c r="Q5295" s="86"/>
      <c r="R5295" s="86"/>
      <c r="S5295" s="86"/>
      <c r="T5295" s="86"/>
      <c r="U5295" s="86"/>
      <c r="V5295" s="48"/>
      <c r="W5295" s="48"/>
      <c r="X5295" s="48"/>
      <c r="Y5295" s="48"/>
      <c r="Z5295" s="48"/>
      <c r="AA5295" s="48"/>
      <c r="AB5295" s="48"/>
      <c r="AC5295" s="48"/>
      <c r="AD5295" s="48"/>
      <c r="AE5295" s="48"/>
      <c r="AF5295" s="48"/>
      <c r="AG5295" s="48"/>
      <c r="AH5295" s="48"/>
      <c r="AI5295" s="48"/>
      <c r="AJ5295" s="48"/>
      <c r="AK5295" s="48"/>
      <c r="AL5295" s="48"/>
      <c r="AM5295" s="48"/>
      <c r="AN5295" s="48"/>
      <c r="AO5295" s="48"/>
      <c r="AP5295" s="48"/>
      <c r="AQ5295" s="48"/>
      <c r="AR5295" s="48"/>
      <c r="AS5295" s="48"/>
      <c r="AT5295" s="48"/>
      <c r="AU5295" s="48"/>
      <c r="AV5295" s="48"/>
      <c r="AW5295" s="48"/>
      <c r="AX5295" s="48"/>
      <c r="AY5295" s="48"/>
      <c r="AZ5295" s="48"/>
      <c r="BA5295" s="48"/>
      <c r="BB5295" s="48"/>
      <c r="BC5295" s="48"/>
      <c r="BD5295" s="48"/>
    </row>
    <row r="5296" spans="1:56">
      <c r="A5296" s="48"/>
      <c r="B5296" s="48"/>
      <c r="C5296" s="49"/>
      <c r="D5296" s="48"/>
      <c r="E5296" s="48"/>
      <c r="F5296" s="48"/>
      <c r="G5296" s="48"/>
      <c r="H5296" s="48"/>
      <c r="I5296" s="48"/>
      <c r="J5296" s="86"/>
      <c r="K5296" s="86"/>
      <c r="L5296" s="86"/>
      <c r="M5296" s="86"/>
      <c r="N5296" s="86"/>
      <c r="O5296" s="86"/>
      <c r="P5296" s="86"/>
      <c r="Q5296" s="86"/>
      <c r="R5296" s="86"/>
      <c r="S5296" s="86"/>
      <c r="T5296" s="86"/>
      <c r="U5296" s="86"/>
      <c r="V5296" s="48"/>
      <c r="W5296" s="48"/>
      <c r="X5296" s="48"/>
      <c r="Y5296" s="48"/>
      <c r="Z5296" s="48"/>
      <c r="AA5296" s="48"/>
      <c r="AB5296" s="48"/>
      <c r="AC5296" s="48"/>
      <c r="AD5296" s="48"/>
      <c r="AE5296" s="48"/>
      <c r="AF5296" s="48"/>
      <c r="AG5296" s="48"/>
      <c r="AH5296" s="48"/>
      <c r="AI5296" s="48"/>
      <c r="AJ5296" s="48"/>
      <c r="AK5296" s="48"/>
      <c r="AL5296" s="48"/>
      <c r="AM5296" s="48"/>
      <c r="AN5296" s="48"/>
      <c r="AO5296" s="48"/>
      <c r="AP5296" s="48"/>
      <c r="AQ5296" s="48"/>
      <c r="AR5296" s="48"/>
      <c r="AS5296" s="48"/>
      <c r="AT5296" s="48"/>
      <c r="AU5296" s="48"/>
      <c r="AV5296" s="48"/>
      <c r="AW5296" s="48"/>
      <c r="AX5296" s="48"/>
      <c r="AY5296" s="48"/>
      <c r="AZ5296" s="48"/>
      <c r="BA5296" s="48"/>
      <c r="BB5296" s="48"/>
      <c r="BC5296" s="48"/>
      <c r="BD5296" s="48"/>
    </row>
    <row r="5297" spans="1:56">
      <c r="A5297" s="48"/>
      <c r="B5297" s="48"/>
      <c r="C5297" s="49"/>
      <c r="D5297" s="48"/>
      <c r="E5297" s="48"/>
      <c r="F5297" s="48"/>
      <c r="G5297" s="48"/>
      <c r="H5297" s="48"/>
      <c r="I5297" s="48"/>
      <c r="J5297" s="86"/>
      <c r="K5297" s="86"/>
      <c r="L5297" s="86"/>
      <c r="M5297" s="86"/>
      <c r="N5297" s="86"/>
      <c r="O5297" s="86"/>
      <c r="P5297" s="86"/>
      <c r="Q5297" s="86"/>
      <c r="R5297" s="86"/>
      <c r="S5297" s="86"/>
      <c r="T5297" s="86"/>
      <c r="U5297" s="86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48"/>
      <c r="BB5297" s="48"/>
      <c r="BC5297" s="48"/>
      <c r="BD5297" s="48"/>
    </row>
    <row r="5298" spans="1:56">
      <c r="A5298" s="48"/>
      <c r="B5298" s="48"/>
      <c r="C5298" s="49"/>
      <c r="D5298" s="48"/>
      <c r="E5298" s="48"/>
      <c r="F5298" s="48"/>
      <c r="G5298" s="48"/>
      <c r="H5298" s="48"/>
      <c r="I5298" s="48"/>
      <c r="J5298" s="86"/>
      <c r="K5298" s="86"/>
      <c r="L5298" s="86"/>
      <c r="M5298" s="86"/>
      <c r="N5298" s="86"/>
      <c r="O5298" s="86"/>
      <c r="P5298" s="86"/>
      <c r="Q5298" s="86"/>
      <c r="R5298" s="86"/>
      <c r="S5298" s="86"/>
      <c r="T5298" s="86"/>
      <c r="U5298" s="86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48"/>
      <c r="BB5298" s="48"/>
      <c r="BC5298" s="48"/>
      <c r="BD5298" s="48"/>
    </row>
    <row r="5299" spans="1:56">
      <c r="A5299" s="48"/>
      <c r="B5299" s="48"/>
      <c r="C5299" s="49"/>
      <c r="D5299" s="48"/>
      <c r="E5299" s="48"/>
      <c r="F5299" s="48"/>
      <c r="G5299" s="48"/>
      <c r="H5299" s="48"/>
      <c r="I5299" s="48"/>
      <c r="J5299" s="86"/>
      <c r="K5299" s="86"/>
      <c r="L5299" s="86"/>
      <c r="M5299" s="86"/>
      <c r="N5299" s="86"/>
      <c r="O5299" s="86"/>
      <c r="P5299" s="86"/>
      <c r="Q5299" s="86"/>
      <c r="R5299" s="86"/>
      <c r="S5299" s="86"/>
      <c r="T5299" s="86"/>
      <c r="U5299" s="86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48"/>
      <c r="BB5299" s="48"/>
      <c r="BC5299" s="48"/>
      <c r="BD5299" s="48"/>
    </row>
    <row r="5300" spans="1:56">
      <c r="A5300" s="48"/>
      <c r="B5300" s="48"/>
      <c r="C5300" s="49"/>
      <c r="D5300" s="48"/>
      <c r="E5300" s="48"/>
      <c r="F5300" s="48"/>
      <c r="G5300" s="48"/>
      <c r="H5300" s="48"/>
      <c r="I5300" s="48"/>
      <c r="J5300" s="86"/>
      <c r="K5300" s="86"/>
      <c r="L5300" s="86"/>
      <c r="M5300" s="86"/>
      <c r="N5300" s="86"/>
      <c r="O5300" s="86"/>
      <c r="P5300" s="86"/>
      <c r="Q5300" s="86"/>
      <c r="R5300" s="86"/>
      <c r="S5300" s="86"/>
      <c r="T5300" s="86"/>
      <c r="U5300" s="86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48"/>
      <c r="BB5300" s="48"/>
      <c r="BC5300" s="48"/>
      <c r="BD5300" s="48"/>
    </row>
    <row r="5301" spans="1:56">
      <c r="A5301" s="48"/>
      <c r="B5301" s="48"/>
      <c r="C5301" s="49"/>
      <c r="D5301" s="48"/>
      <c r="E5301" s="48"/>
      <c r="F5301" s="48"/>
      <c r="G5301" s="48"/>
      <c r="H5301" s="48"/>
      <c r="I5301" s="48"/>
      <c r="J5301" s="86"/>
      <c r="K5301" s="86"/>
      <c r="L5301" s="86"/>
      <c r="M5301" s="86"/>
      <c r="N5301" s="86"/>
      <c r="O5301" s="86"/>
      <c r="P5301" s="86"/>
      <c r="Q5301" s="86"/>
      <c r="R5301" s="86"/>
      <c r="S5301" s="86"/>
      <c r="T5301" s="86"/>
      <c r="U5301" s="86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48"/>
      <c r="BB5301" s="48"/>
      <c r="BC5301" s="48"/>
      <c r="BD5301" s="48"/>
    </row>
    <row r="5302" spans="1:56">
      <c r="A5302" s="48"/>
      <c r="B5302" s="48"/>
      <c r="C5302" s="49"/>
      <c r="D5302" s="48"/>
      <c r="E5302" s="48"/>
      <c r="F5302" s="48"/>
      <c r="G5302" s="48"/>
      <c r="H5302" s="48"/>
      <c r="I5302" s="48"/>
      <c r="J5302" s="86"/>
      <c r="K5302" s="86"/>
      <c r="L5302" s="86"/>
      <c r="M5302" s="86"/>
      <c r="N5302" s="86"/>
      <c r="O5302" s="86"/>
      <c r="P5302" s="86"/>
      <c r="Q5302" s="86"/>
      <c r="R5302" s="86"/>
      <c r="S5302" s="86"/>
      <c r="T5302" s="86"/>
      <c r="U5302" s="86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48"/>
      <c r="BB5302" s="48"/>
      <c r="BC5302" s="48"/>
      <c r="BD5302" s="48"/>
    </row>
    <row r="5303" spans="1:56">
      <c r="A5303" s="48"/>
      <c r="B5303" s="48"/>
      <c r="C5303" s="49"/>
      <c r="D5303" s="48"/>
      <c r="E5303" s="48"/>
      <c r="F5303" s="48"/>
      <c r="G5303" s="48"/>
      <c r="H5303" s="48"/>
      <c r="I5303" s="48"/>
      <c r="J5303" s="86"/>
      <c r="K5303" s="86"/>
      <c r="L5303" s="86"/>
      <c r="M5303" s="86"/>
      <c r="N5303" s="86"/>
      <c r="O5303" s="86"/>
      <c r="P5303" s="86"/>
      <c r="Q5303" s="86"/>
      <c r="R5303" s="86"/>
      <c r="S5303" s="86"/>
      <c r="T5303" s="86"/>
      <c r="U5303" s="86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48"/>
      <c r="BB5303" s="48"/>
      <c r="BC5303" s="48"/>
      <c r="BD5303" s="48"/>
    </row>
    <row r="5304" spans="1:56">
      <c r="A5304" s="48"/>
      <c r="B5304" s="48"/>
      <c r="C5304" s="49"/>
      <c r="D5304" s="48"/>
      <c r="E5304" s="48"/>
      <c r="F5304" s="48"/>
      <c r="G5304" s="48"/>
      <c r="H5304" s="48"/>
      <c r="I5304" s="48"/>
      <c r="J5304" s="86"/>
      <c r="K5304" s="86"/>
      <c r="L5304" s="86"/>
      <c r="M5304" s="86"/>
      <c r="N5304" s="86"/>
      <c r="O5304" s="86"/>
      <c r="P5304" s="86"/>
      <c r="Q5304" s="86"/>
      <c r="R5304" s="86"/>
      <c r="S5304" s="86"/>
      <c r="T5304" s="86"/>
      <c r="U5304" s="86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48"/>
      <c r="BB5304" s="48"/>
      <c r="BC5304" s="48"/>
      <c r="BD5304" s="48"/>
    </row>
    <row r="5305" spans="1:56">
      <c r="A5305" s="48"/>
      <c r="B5305" s="48"/>
      <c r="C5305" s="49"/>
      <c r="D5305" s="48"/>
      <c r="E5305" s="48"/>
      <c r="F5305" s="48"/>
      <c r="G5305" s="48"/>
      <c r="H5305" s="48"/>
      <c r="I5305" s="48"/>
      <c r="J5305" s="86"/>
      <c r="K5305" s="86"/>
      <c r="L5305" s="86"/>
      <c r="M5305" s="86"/>
      <c r="N5305" s="86"/>
      <c r="O5305" s="86"/>
      <c r="P5305" s="86"/>
      <c r="Q5305" s="86"/>
      <c r="R5305" s="86"/>
      <c r="S5305" s="86"/>
      <c r="T5305" s="86"/>
      <c r="U5305" s="86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48"/>
      <c r="BB5305" s="48"/>
      <c r="BC5305" s="48"/>
      <c r="BD5305" s="48"/>
    </row>
    <row r="5306" spans="1:56">
      <c r="A5306" s="48"/>
      <c r="B5306" s="48"/>
      <c r="C5306" s="49"/>
      <c r="D5306" s="48"/>
      <c r="E5306" s="48"/>
      <c r="F5306" s="48"/>
      <c r="G5306" s="48"/>
      <c r="H5306" s="48"/>
      <c r="I5306" s="48"/>
      <c r="J5306" s="86"/>
      <c r="K5306" s="86"/>
      <c r="L5306" s="86"/>
      <c r="M5306" s="86"/>
      <c r="N5306" s="86"/>
      <c r="O5306" s="86"/>
      <c r="P5306" s="86"/>
      <c r="Q5306" s="86"/>
      <c r="R5306" s="86"/>
      <c r="S5306" s="86"/>
      <c r="T5306" s="86"/>
      <c r="U5306" s="86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48"/>
      <c r="BB5306" s="48"/>
      <c r="BC5306" s="48"/>
      <c r="BD5306" s="48"/>
    </row>
    <row r="5307" spans="1:56">
      <c r="A5307" s="48"/>
      <c r="B5307" s="48"/>
      <c r="C5307" s="49"/>
      <c r="D5307" s="48"/>
      <c r="E5307" s="48"/>
      <c r="F5307" s="48"/>
      <c r="G5307" s="48"/>
      <c r="H5307" s="48"/>
      <c r="I5307" s="48"/>
      <c r="J5307" s="86"/>
      <c r="K5307" s="86"/>
      <c r="L5307" s="86"/>
      <c r="M5307" s="86"/>
      <c r="N5307" s="86"/>
      <c r="O5307" s="86"/>
      <c r="P5307" s="86"/>
      <c r="Q5307" s="86"/>
      <c r="R5307" s="86"/>
      <c r="S5307" s="86"/>
      <c r="T5307" s="86"/>
      <c r="U5307" s="86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48"/>
      <c r="BB5307" s="48"/>
      <c r="BC5307" s="48"/>
      <c r="BD5307" s="48"/>
    </row>
    <row r="5308" spans="1:56">
      <c r="A5308" s="48"/>
      <c r="B5308" s="48"/>
      <c r="C5308" s="49"/>
      <c r="D5308" s="48"/>
      <c r="E5308" s="48"/>
      <c r="F5308" s="48"/>
      <c r="G5308" s="48"/>
      <c r="H5308" s="48"/>
      <c r="I5308" s="48"/>
      <c r="J5308" s="86"/>
      <c r="K5308" s="86"/>
      <c r="L5308" s="86"/>
      <c r="M5308" s="86"/>
      <c r="N5308" s="86"/>
      <c r="O5308" s="86"/>
      <c r="P5308" s="86"/>
      <c r="Q5308" s="86"/>
      <c r="R5308" s="86"/>
      <c r="S5308" s="86"/>
      <c r="T5308" s="86"/>
      <c r="U5308" s="86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48"/>
      <c r="BB5308" s="48"/>
      <c r="BC5308" s="48"/>
      <c r="BD5308" s="48"/>
    </row>
    <row r="5309" spans="1:56">
      <c r="A5309" s="48"/>
      <c r="B5309" s="48"/>
      <c r="C5309" s="49"/>
      <c r="D5309" s="48"/>
      <c r="E5309" s="48"/>
      <c r="F5309" s="48"/>
      <c r="G5309" s="48"/>
      <c r="H5309" s="48"/>
      <c r="I5309" s="48"/>
      <c r="J5309" s="86"/>
      <c r="K5309" s="86"/>
      <c r="L5309" s="86"/>
      <c r="M5309" s="86"/>
      <c r="N5309" s="86"/>
      <c r="O5309" s="86"/>
      <c r="P5309" s="86"/>
      <c r="Q5309" s="86"/>
      <c r="R5309" s="86"/>
      <c r="S5309" s="86"/>
      <c r="T5309" s="86"/>
      <c r="U5309" s="86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48"/>
      <c r="BB5309" s="48"/>
      <c r="BC5309" s="48"/>
      <c r="BD5309" s="48"/>
    </row>
    <row r="5310" spans="1:56">
      <c r="A5310" s="48"/>
      <c r="B5310" s="48"/>
      <c r="C5310" s="49"/>
      <c r="D5310" s="48"/>
      <c r="E5310" s="48"/>
      <c r="F5310" s="48"/>
      <c r="G5310" s="48"/>
      <c r="H5310" s="48"/>
      <c r="I5310" s="48"/>
      <c r="J5310" s="86"/>
      <c r="K5310" s="86"/>
      <c r="L5310" s="86"/>
      <c r="M5310" s="86"/>
      <c r="N5310" s="86"/>
      <c r="O5310" s="86"/>
      <c r="P5310" s="86"/>
      <c r="Q5310" s="86"/>
      <c r="R5310" s="86"/>
      <c r="S5310" s="86"/>
      <c r="T5310" s="86"/>
      <c r="U5310" s="86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48"/>
      <c r="BB5310" s="48"/>
      <c r="BC5310" s="48"/>
      <c r="BD5310" s="48"/>
    </row>
    <row r="5311" spans="1:56">
      <c r="A5311" s="48"/>
      <c r="B5311" s="48"/>
      <c r="C5311" s="49"/>
      <c r="D5311" s="48"/>
      <c r="E5311" s="48"/>
      <c r="F5311" s="48"/>
      <c r="G5311" s="48"/>
      <c r="H5311" s="48"/>
      <c r="I5311" s="48"/>
      <c r="J5311" s="86"/>
      <c r="K5311" s="86"/>
      <c r="L5311" s="86"/>
      <c r="M5311" s="86"/>
      <c r="N5311" s="86"/>
      <c r="O5311" s="86"/>
      <c r="P5311" s="86"/>
      <c r="Q5311" s="86"/>
      <c r="R5311" s="86"/>
      <c r="S5311" s="86"/>
      <c r="T5311" s="86"/>
      <c r="U5311" s="86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48"/>
      <c r="BB5311" s="48"/>
      <c r="BC5311" s="48"/>
      <c r="BD5311" s="48"/>
    </row>
    <row r="5312" spans="1:56">
      <c r="A5312" s="48"/>
      <c r="B5312" s="48"/>
      <c r="C5312" s="49"/>
      <c r="D5312" s="48"/>
      <c r="E5312" s="48"/>
      <c r="F5312" s="48"/>
      <c r="G5312" s="48"/>
      <c r="H5312" s="48"/>
      <c r="I5312" s="48"/>
      <c r="J5312" s="86"/>
      <c r="K5312" s="86"/>
      <c r="L5312" s="86"/>
      <c r="M5312" s="86"/>
      <c r="N5312" s="86"/>
      <c r="O5312" s="86"/>
      <c r="P5312" s="86"/>
      <c r="Q5312" s="86"/>
      <c r="R5312" s="86"/>
      <c r="S5312" s="86"/>
      <c r="T5312" s="86"/>
      <c r="U5312" s="86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48"/>
      <c r="BB5312" s="48"/>
      <c r="BC5312" s="48"/>
      <c r="BD5312" s="48"/>
    </row>
    <row r="5313" spans="1:56">
      <c r="A5313" s="48"/>
      <c r="B5313" s="48"/>
      <c r="C5313" s="49"/>
      <c r="D5313" s="48"/>
      <c r="E5313" s="48"/>
      <c r="F5313" s="48"/>
      <c r="G5313" s="48"/>
      <c r="H5313" s="48"/>
      <c r="I5313" s="48"/>
      <c r="J5313" s="86"/>
      <c r="K5313" s="86"/>
      <c r="L5313" s="86"/>
      <c r="M5313" s="86"/>
      <c r="N5313" s="86"/>
      <c r="O5313" s="86"/>
      <c r="P5313" s="86"/>
      <c r="Q5313" s="86"/>
      <c r="R5313" s="86"/>
      <c r="S5313" s="86"/>
      <c r="T5313" s="86"/>
      <c r="U5313" s="86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48"/>
      <c r="BB5313" s="48"/>
      <c r="BC5313" s="48"/>
      <c r="BD5313" s="48"/>
    </row>
    <row r="5314" spans="1:56">
      <c r="A5314" s="48"/>
      <c r="B5314" s="48"/>
      <c r="C5314" s="49"/>
      <c r="D5314" s="48"/>
      <c r="E5314" s="48"/>
      <c r="F5314" s="48"/>
      <c r="G5314" s="48"/>
      <c r="H5314" s="48"/>
      <c r="I5314" s="48"/>
      <c r="J5314" s="86"/>
      <c r="K5314" s="86"/>
      <c r="L5314" s="86"/>
      <c r="M5314" s="86"/>
      <c r="N5314" s="86"/>
      <c r="O5314" s="86"/>
      <c r="P5314" s="86"/>
      <c r="Q5314" s="86"/>
      <c r="R5314" s="86"/>
      <c r="S5314" s="86"/>
      <c r="T5314" s="86"/>
      <c r="U5314" s="86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48"/>
      <c r="BB5314" s="48"/>
      <c r="BC5314" s="48"/>
      <c r="BD5314" s="48"/>
    </row>
    <row r="5315" spans="1:56">
      <c r="A5315" s="48"/>
      <c r="B5315" s="48"/>
      <c r="C5315" s="49"/>
      <c r="D5315" s="48"/>
      <c r="E5315" s="48"/>
      <c r="F5315" s="48"/>
      <c r="G5315" s="48"/>
      <c r="H5315" s="48"/>
      <c r="I5315" s="48"/>
      <c r="J5315" s="86"/>
      <c r="K5315" s="86"/>
      <c r="L5315" s="86"/>
      <c r="M5315" s="86"/>
      <c r="N5315" s="86"/>
      <c r="O5315" s="86"/>
      <c r="P5315" s="86"/>
      <c r="Q5315" s="86"/>
      <c r="R5315" s="86"/>
      <c r="S5315" s="86"/>
      <c r="T5315" s="86"/>
      <c r="U5315" s="86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48"/>
      <c r="BB5315" s="48"/>
      <c r="BC5315" s="48"/>
      <c r="BD5315" s="48"/>
    </row>
    <row r="5316" spans="1:56">
      <c r="A5316" s="48"/>
      <c r="B5316" s="48"/>
      <c r="C5316" s="49"/>
      <c r="D5316" s="48"/>
      <c r="E5316" s="48"/>
      <c r="F5316" s="48"/>
      <c r="G5316" s="48"/>
      <c r="H5316" s="48"/>
      <c r="I5316" s="48"/>
      <c r="J5316" s="86"/>
      <c r="K5316" s="86"/>
      <c r="L5316" s="86"/>
      <c r="M5316" s="86"/>
      <c r="N5316" s="86"/>
      <c r="O5316" s="86"/>
      <c r="P5316" s="86"/>
      <c r="Q5316" s="86"/>
      <c r="R5316" s="86"/>
      <c r="S5316" s="86"/>
      <c r="T5316" s="86"/>
      <c r="U5316" s="86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48"/>
      <c r="BB5316" s="48"/>
      <c r="BC5316" s="48"/>
      <c r="BD5316" s="48"/>
    </row>
    <row r="5317" spans="1:56">
      <c r="A5317" s="48"/>
      <c r="B5317" s="48"/>
      <c r="C5317" s="49"/>
      <c r="D5317" s="48"/>
      <c r="E5317" s="48"/>
      <c r="F5317" s="48"/>
      <c r="G5317" s="48"/>
      <c r="H5317" s="48"/>
      <c r="I5317" s="48"/>
      <c r="J5317" s="86"/>
      <c r="K5317" s="86"/>
      <c r="L5317" s="86"/>
      <c r="M5317" s="86"/>
      <c r="N5317" s="86"/>
      <c r="O5317" s="86"/>
      <c r="P5317" s="86"/>
      <c r="Q5317" s="86"/>
      <c r="R5317" s="86"/>
      <c r="S5317" s="86"/>
      <c r="T5317" s="86"/>
      <c r="U5317" s="86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48"/>
      <c r="BB5317" s="48"/>
      <c r="BC5317" s="48"/>
      <c r="BD5317" s="48"/>
    </row>
    <row r="5318" spans="1:56">
      <c r="A5318" s="48"/>
      <c r="B5318" s="48"/>
      <c r="C5318" s="49"/>
      <c r="D5318" s="48"/>
      <c r="E5318" s="48"/>
      <c r="F5318" s="48"/>
      <c r="G5318" s="48"/>
      <c r="H5318" s="48"/>
      <c r="I5318" s="48"/>
      <c r="J5318" s="86"/>
      <c r="K5318" s="86"/>
      <c r="L5318" s="86"/>
      <c r="M5318" s="86"/>
      <c r="N5318" s="86"/>
      <c r="O5318" s="86"/>
      <c r="P5318" s="86"/>
      <c r="Q5318" s="86"/>
      <c r="R5318" s="86"/>
      <c r="S5318" s="86"/>
      <c r="T5318" s="86"/>
      <c r="U5318" s="86"/>
      <c r="V5318" s="48"/>
      <c r="W5318" s="48"/>
      <c r="X5318" s="48"/>
      <c r="Y5318" s="48"/>
      <c r="Z5318" s="48"/>
      <c r="AA5318" s="48"/>
      <c r="AB5318" s="48"/>
      <c r="AC5318" s="48"/>
      <c r="AD5318" s="48"/>
      <c r="AE5318" s="48"/>
      <c r="AF5318" s="48"/>
      <c r="AG5318" s="48"/>
      <c r="AH5318" s="48"/>
      <c r="AI5318" s="48"/>
      <c r="AJ5318" s="48"/>
      <c r="AK5318" s="48"/>
      <c r="AL5318" s="48"/>
      <c r="AM5318" s="48"/>
      <c r="AN5318" s="48"/>
      <c r="AO5318" s="48"/>
      <c r="AP5318" s="48"/>
      <c r="AQ5318" s="48"/>
      <c r="AR5318" s="48"/>
      <c r="AS5318" s="48"/>
      <c r="AT5318" s="48"/>
      <c r="AU5318" s="48"/>
      <c r="AV5318" s="48"/>
      <c r="AW5318" s="48"/>
      <c r="AX5318" s="48"/>
      <c r="AY5318" s="48"/>
      <c r="AZ5318" s="48"/>
      <c r="BA5318" s="48"/>
      <c r="BB5318" s="48"/>
      <c r="BC5318" s="48"/>
      <c r="BD5318" s="48"/>
    </row>
    <row r="5319" spans="1:56">
      <c r="A5319" s="48"/>
      <c r="B5319" s="48"/>
      <c r="C5319" s="49"/>
      <c r="D5319" s="48"/>
      <c r="E5319" s="48"/>
      <c r="F5319" s="48"/>
      <c r="G5319" s="48"/>
      <c r="H5319" s="48"/>
      <c r="I5319" s="48"/>
      <c r="J5319" s="86"/>
      <c r="K5319" s="86"/>
      <c r="L5319" s="86"/>
      <c r="M5319" s="86"/>
      <c r="N5319" s="86"/>
      <c r="O5319" s="86"/>
      <c r="P5319" s="86"/>
      <c r="Q5319" s="86"/>
      <c r="R5319" s="86"/>
      <c r="S5319" s="86"/>
      <c r="T5319" s="86"/>
      <c r="U5319" s="86"/>
      <c r="V5319" s="48"/>
      <c r="W5319" s="48"/>
      <c r="X5319" s="48"/>
      <c r="Y5319" s="48"/>
      <c r="Z5319" s="48"/>
      <c r="AA5319" s="48"/>
      <c r="AB5319" s="48"/>
      <c r="AC5319" s="48"/>
      <c r="AD5319" s="48"/>
      <c r="AE5319" s="48"/>
      <c r="AF5319" s="48"/>
      <c r="AG5319" s="48"/>
      <c r="AH5319" s="48"/>
      <c r="AI5319" s="48"/>
      <c r="AJ5319" s="48"/>
      <c r="AK5319" s="48"/>
      <c r="AL5319" s="48"/>
      <c r="AM5319" s="48"/>
      <c r="AN5319" s="48"/>
      <c r="AO5319" s="48"/>
      <c r="AP5319" s="48"/>
      <c r="AQ5319" s="48"/>
      <c r="AR5319" s="48"/>
      <c r="AS5319" s="48"/>
      <c r="AT5319" s="48"/>
      <c r="AU5319" s="48"/>
      <c r="AV5319" s="48"/>
      <c r="AW5319" s="48"/>
      <c r="AX5319" s="48"/>
      <c r="AY5319" s="48"/>
      <c r="AZ5319" s="48"/>
      <c r="BA5319" s="48"/>
      <c r="BB5319" s="48"/>
      <c r="BC5319" s="48"/>
      <c r="BD5319" s="48"/>
    </row>
    <row r="5320" spans="1:56">
      <c r="A5320" s="48"/>
      <c r="B5320" s="48"/>
      <c r="C5320" s="49"/>
      <c r="D5320" s="48"/>
      <c r="E5320" s="48"/>
      <c r="F5320" s="48"/>
      <c r="G5320" s="48"/>
      <c r="H5320" s="48"/>
      <c r="I5320" s="48"/>
      <c r="J5320" s="86"/>
      <c r="K5320" s="86"/>
      <c r="L5320" s="86"/>
      <c r="M5320" s="86"/>
      <c r="N5320" s="86"/>
      <c r="O5320" s="86"/>
      <c r="P5320" s="86"/>
      <c r="Q5320" s="86"/>
      <c r="R5320" s="86"/>
      <c r="S5320" s="86"/>
      <c r="T5320" s="86"/>
      <c r="U5320" s="86"/>
      <c r="V5320" s="48"/>
      <c r="W5320" s="48"/>
      <c r="X5320" s="48"/>
      <c r="Y5320" s="48"/>
      <c r="Z5320" s="48"/>
      <c r="AA5320" s="48"/>
      <c r="AB5320" s="48"/>
      <c r="AC5320" s="48"/>
      <c r="AD5320" s="48"/>
      <c r="AE5320" s="48"/>
      <c r="AF5320" s="48"/>
      <c r="AG5320" s="48"/>
      <c r="AH5320" s="48"/>
      <c r="AI5320" s="48"/>
      <c r="AJ5320" s="48"/>
      <c r="AK5320" s="48"/>
      <c r="AL5320" s="48"/>
      <c r="AM5320" s="48"/>
      <c r="AN5320" s="48"/>
      <c r="AO5320" s="48"/>
      <c r="AP5320" s="48"/>
      <c r="AQ5320" s="48"/>
      <c r="AR5320" s="48"/>
      <c r="AS5320" s="48"/>
      <c r="AT5320" s="48"/>
      <c r="AU5320" s="48"/>
      <c r="AV5320" s="48"/>
      <c r="AW5320" s="48"/>
      <c r="AX5320" s="48"/>
      <c r="AY5320" s="48"/>
      <c r="AZ5320" s="48"/>
      <c r="BA5320" s="48"/>
      <c r="BB5320" s="48"/>
      <c r="BC5320" s="48"/>
      <c r="BD5320" s="48"/>
    </row>
    <row r="5321" spans="1:56">
      <c r="A5321" s="48"/>
      <c r="B5321" s="48"/>
      <c r="C5321" s="49"/>
      <c r="D5321" s="48"/>
      <c r="E5321" s="48"/>
      <c r="F5321" s="48"/>
      <c r="G5321" s="48"/>
      <c r="H5321" s="48"/>
      <c r="I5321" s="48"/>
      <c r="J5321" s="86"/>
      <c r="K5321" s="86"/>
      <c r="L5321" s="86"/>
      <c r="M5321" s="86"/>
      <c r="N5321" s="86"/>
      <c r="O5321" s="86"/>
      <c r="P5321" s="86"/>
      <c r="Q5321" s="86"/>
      <c r="R5321" s="86"/>
      <c r="S5321" s="86"/>
      <c r="T5321" s="86"/>
      <c r="U5321" s="86"/>
      <c r="V5321" s="48"/>
      <c r="W5321" s="48"/>
      <c r="X5321" s="48"/>
      <c r="Y5321" s="48"/>
      <c r="Z5321" s="48"/>
      <c r="AA5321" s="48"/>
      <c r="AB5321" s="48"/>
      <c r="AC5321" s="48"/>
      <c r="AD5321" s="48"/>
      <c r="AE5321" s="48"/>
      <c r="AF5321" s="48"/>
      <c r="AG5321" s="48"/>
      <c r="AH5321" s="48"/>
      <c r="AI5321" s="48"/>
      <c r="AJ5321" s="48"/>
      <c r="AK5321" s="48"/>
      <c r="AL5321" s="48"/>
      <c r="AM5321" s="48"/>
      <c r="AN5321" s="48"/>
      <c r="AO5321" s="48"/>
      <c r="AP5321" s="48"/>
      <c r="AQ5321" s="48"/>
      <c r="AR5321" s="48"/>
      <c r="AS5321" s="48"/>
      <c r="AT5321" s="48"/>
      <c r="AU5321" s="48"/>
      <c r="AV5321" s="48"/>
      <c r="AW5321" s="48"/>
      <c r="AX5321" s="48"/>
      <c r="AY5321" s="48"/>
      <c r="AZ5321" s="48"/>
      <c r="BA5321" s="48"/>
      <c r="BB5321" s="48"/>
      <c r="BC5321" s="48"/>
      <c r="BD5321" s="48"/>
    </row>
    <row r="5322" spans="1:56">
      <c r="A5322" s="48"/>
      <c r="B5322" s="48"/>
      <c r="C5322" s="49"/>
      <c r="D5322" s="48"/>
      <c r="E5322" s="48"/>
      <c r="F5322" s="48"/>
      <c r="G5322" s="48"/>
      <c r="H5322" s="48"/>
      <c r="I5322" s="48"/>
      <c r="J5322" s="86"/>
      <c r="K5322" s="86"/>
      <c r="L5322" s="86"/>
      <c r="M5322" s="86"/>
      <c r="N5322" s="86"/>
      <c r="O5322" s="86"/>
      <c r="P5322" s="86"/>
      <c r="Q5322" s="86"/>
      <c r="R5322" s="86"/>
      <c r="S5322" s="86"/>
      <c r="T5322" s="86"/>
      <c r="U5322" s="86"/>
      <c r="V5322" s="48"/>
      <c r="W5322" s="48"/>
      <c r="X5322" s="48"/>
      <c r="Y5322" s="48"/>
      <c r="Z5322" s="48"/>
      <c r="AA5322" s="48"/>
      <c r="AB5322" s="48"/>
      <c r="AC5322" s="48"/>
      <c r="AD5322" s="48"/>
      <c r="AE5322" s="48"/>
      <c r="AF5322" s="48"/>
      <c r="AG5322" s="48"/>
      <c r="AH5322" s="48"/>
      <c r="AI5322" s="48"/>
      <c r="AJ5322" s="48"/>
      <c r="AK5322" s="48"/>
      <c r="AL5322" s="48"/>
      <c r="AM5322" s="48"/>
      <c r="AN5322" s="48"/>
      <c r="AO5322" s="48"/>
      <c r="AP5322" s="48"/>
      <c r="AQ5322" s="48"/>
      <c r="AR5322" s="48"/>
      <c r="AS5322" s="48"/>
      <c r="AT5322" s="48"/>
      <c r="AU5322" s="48"/>
      <c r="AV5322" s="48"/>
      <c r="AW5322" s="48"/>
      <c r="AX5322" s="48"/>
      <c r="AY5322" s="48"/>
      <c r="AZ5322" s="48"/>
      <c r="BA5322" s="48"/>
      <c r="BB5322" s="48"/>
      <c r="BC5322" s="48"/>
      <c r="BD5322" s="48"/>
    </row>
    <row r="5323" spans="1:56">
      <c r="A5323" s="48"/>
      <c r="B5323" s="48"/>
      <c r="C5323" s="49"/>
      <c r="D5323" s="48"/>
      <c r="E5323" s="48"/>
      <c r="F5323" s="48"/>
      <c r="G5323" s="48"/>
      <c r="H5323" s="48"/>
      <c r="I5323" s="48"/>
      <c r="J5323" s="86"/>
      <c r="K5323" s="86"/>
      <c r="L5323" s="86"/>
      <c r="M5323" s="86"/>
      <c r="N5323" s="86"/>
      <c r="O5323" s="86"/>
      <c r="P5323" s="86"/>
      <c r="Q5323" s="86"/>
      <c r="R5323" s="86"/>
      <c r="S5323" s="86"/>
      <c r="T5323" s="86"/>
      <c r="U5323" s="86"/>
      <c r="V5323" s="48"/>
      <c r="W5323" s="48"/>
      <c r="X5323" s="48"/>
      <c r="Y5323" s="48"/>
      <c r="Z5323" s="48"/>
      <c r="AA5323" s="48"/>
      <c r="AB5323" s="48"/>
      <c r="AC5323" s="48"/>
      <c r="AD5323" s="48"/>
      <c r="AE5323" s="48"/>
      <c r="AF5323" s="48"/>
      <c r="AG5323" s="48"/>
      <c r="AH5323" s="48"/>
      <c r="AI5323" s="48"/>
      <c r="AJ5323" s="48"/>
      <c r="AK5323" s="48"/>
      <c r="AL5323" s="48"/>
      <c r="AM5323" s="48"/>
      <c r="AN5323" s="48"/>
      <c r="AO5323" s="48"/>
      <c r="AP5323" s="48"/>
      <c r="AQ5323" s="48"/>
      <c r="AR5323" s="48"/>
      <c r="AS5323" s="48"/>
      <c r="AT5323" s="48"/>
      <c r="AU5323" s="48"/>
      <c r="AV5323" s="48"/>
      <c r="AW5323" s="48"/>
      <c r="AX5323" s="48"/>
      <c r="AY5323" s="48"/>
      <c r="AZ5323" s="48"/>
      <c r="BA5323" s="48"/>
      <c r="BB5323" s="48"/>
      <c r="BC5323" s="48"/>
      <c r="BD5323" s="48"/>
    </row>
    <row r="5324" spans="1:56">
      <c r="A5324" s="48"/>
      <c r="B5324" s="48"/>
      <c r="C5324" s="49"/>
      <c r="D5324" s="48"/>
      <c r="E5324" s="48"/>
      <c r="F5324" s="48"/>
      <c r="G5324" s="48"/>
      <c r="H5324" s="48"/>
      <c r="I5324" s="48"/>
      <c r="J5324" s="86"/>
      <c r="K5324" s="86"/>
      <c r="L5324" s="86"/>
      <c r="M5324" s="86"/>
      <c r="N5324" s="86"/>
      <c r="O5324" s="86"/>
      <c r="P5324" s="86"/>
      <c r="Q5324" s="86"/>
      <c r="R5324" s="86"/>
      <c r="S5324" s="86"/>
      <c r="T5324" s="86"/>
      <c r="U5324" s="86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48"/>
      <c r="BB5324" s="48"/>
      <c r="BC5324" s="48"/>
      <c r="BD5324" s="48"/>
    </row>
    <row r="5325" spans="1:56">
      <c r="A5325" s="48"/>
      <c r="B5325" s="48"/>
      <c r="C5325" s="49"/>
      <c r="D5325" s="48"/>
      <c r="E5325" s="48"/>
      <c r="F5325" s="48"/>
      <c r="G5325" s="48"/>
      <c r="H5325" s="48"/>
      <c r="I5325" s="48"/>
      <c r="J5325" s="86"/>
      <c r="K5325" s="86"/>
      <c r="L5325" s="86"/>
      <c r="M5325" s="86"/>
      <c r="N5325" s="86"/>
      <c r="O5325" s="86"/>
      <c r="P5325" s="86"/>
      <c r="Q5325" s="86"/>
      <c r="R5325" s="86"/>
      <c r="S5325" s="86"/>
      <c r="T5325" s="86"/>
      <c r="U5325" s="86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48"/>
      <c r="BB5325" s="48"/>
      <c r="BC5325" s="48"/>
      <c r="BD5325" s="48"/>
    </row>
    <row r="5326" spans="1:56">
      <c r="A5326" s="48"/>
      <c r="B5326" s="48"/>
      <c r="C5326" s="49"/>
      <c r="D5326" s="48"/>
      <c r="E5326" s="48"/>
      <c r="F5326" s="48"/>
      <c r="G5326" s="48"/>
      <c r="H5326" s="48"/>
      <c r="I5326" s="48"/>
      <c r="J5326" s="86"/>
      <c r="K5326" s="86"/>
      <c r="L5326" s="86"/>
      <c r="M5326" s="86"/>
      <c r="N5326" s="86"/>
      <c r="O5326" s="86"/>
      <c r="P5326" s="86"/>
      <c r="Q5326" s="86"/>
      <c r="R5326" s="86"/>
      <c r="S5326" s="86"/>
      <c r="T5326" s="86"/>
      <c r="U5326" s="86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48"/>
      <c r="AQ5326" s="48"/>
      <c r="AR5326" s="48"/>
      <c r="AS5326" s="48"/>
      <c r="AT5326" s="48"/>
      <c r="AU5326" s="48"/>
      <c r="AV5326" s="48"/>
      <c r="AW5326" s="48"/>
      <c r="AX5326" s="48"/>
      <c r="AY5326" s="48"/>
      <c r="AZ5326" s="48"/>
      <c r="BA5326" s="48"/>
      <c r="BB5326" s="48"/>
      <c r="BC5326" s="48"/>
      <c r="BD5326" s="48"/>
    </row>
    <row r="5327" spans="1:56">
      <c r="A5327" s="48"/>
      <c r="B5327" s="48"/>
      <c r="C5327" s="49"/>
      <c r="D5327" s="48"/>
      <c r="E5327" s="48"/>
      <c r="F5327" s="48"/>
      <c r="G5327" s="48"/>
      <c r="H5327" s="48"/>
      <c r="I5327" s="48"/>
      <c r="J5327" s="86"/>
      <c r="K5327" s="86"/>
      <c r="L5327" s="86"/>
      <c r="M5327" s="86"/>
      <c r="N5327" s="86"/>
      <c r="O5327" s="86"/>
      <c r="P5327" s="86"/>
      <c r="Q5327" s="86"/>
      <c r="R5327" s="86"/>
      <c r="S5327" s="86"/>
      <c r="T5327" s="86"/>
      <c r="U5327" s="86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48"/>
      <c r="BB5327" s="48"/>
      <c r="BC5327" s="48"/>
      <c r="BD5327" s="48"/>
    </row>
    <row r="5328" spans="1:56">
      <c r="A5328" s="48"/>
      <c r="B5328" s="48"/>
      <c r="C5328" s="49"/>
      <c r="D5328" s="48"/>
      <c r="E5328" s="48"/>
      <c r="F5328" s="48"/>
      <c r="G5328" s="48"/>
      <c r="H5328" s="48"/>
      <c r="I5328" s="48"/>
      <c r="J5328" s="86"/>
      <c r="K5328" s="86"/>
      <c r="L5328" s="86"/>
      <c r="M5328" s="86"/>
      <c r="N5328" s="86"/>
      <c r="O5328" s="86"/>
      <c r="P5328" s="86"/>
      <c r="Q5328" s="86"/>
      <c r="R5328" s="86"/>
      <c r="S5328" s="86"/>
      <c r="T5328" s="86"/>
      <c r="U5328" s="86"/>
      <c r="V5328" s="48"/>
      <c r="W5328" s="48"/>
      <c r="X5328" s="48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48"/>
      <c r="AN5328" s="48"/>
      <c r="AO5328" s="48"/>
      <c r="AP5328" s="48"/>
      <c r="AQ5328" s="48"/>
      <c r="AR5328" s="48"/>
      <c r="AS5328" s="48"/>
      <c r="AT5328" s="48"/>
      <c r="AU5328" s="48"/>
      <c r="AV5328" s="48"/>
      <c r="AW5328" s="48"/>
      <c r="AX5328" s="48"/>
      <c r="AY5328" s="48"/>
      <c r="AZ5328" s="48"/>
      <c r="BA5328" s="48"/>
      <c r="BB5328" s="48"/>
      <c r="BC5328" s="48"/>
      <c r="BD5328" s="48"/>
    </row>
    <row r="5329" spans="1:56">
      <c r="A5329" s="48"/>
      <c r="B5329" s="48"/>
      <c r="C5329" s="49"/>
      <c r="D5329" s="48"/>
      <c r="E5329" s="48"/>
      <c r="F5329" s="48"/>
      <c r="G5329" s="48"/>
      <c r="H5329" s="48"/>
      <c r="I5329" s="48"/>
      <c r="J5329" s="86"/>
      <c r="K5329" s="86"/>
      <c r="L5329" s="86"/>
      <c r="M5329" s="86"/>
      <c r="N5329" s="86"/>
      <c r="O5329" s="86"/>
      <c r="P5329" s="86"/>
      <c r="Q5329" s="86"/>
      <c r="R5329" s="86"/>
      <c r="S5329" s="86"/>
      <c r="T5329" s="86"/>
      <c r="U5329" s="86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48"/>
      <c r="BB5329" s="48"/>
      <c r="BC5329" s="48"/>
      <c r="BD5329" s="48"/>
    </row>
    <row r="5330" spans="1:56">
      <c r="A5330" s="48"/>
      <c r="B5330" s="48"/>
      <c r="C5330" s="49"/>
      <c r="D5330" s="48"/>
      <c r="E5330" s="48"/>
      <c r="F5330" s="48"/>
      <c r="G5330" s="48"/>
      <c r="H5330" s="48"/>
      <c r="I5330" s="48"/>
      <c r="J5330" s="86"/>
      <c r="K5330" s="86"/>
      <c r="L5330" s="86"/>
      <c r="M5330" s="86"/>
      <c r="N5330" s="86"/>
      <c r="O5330" s="86"/>
      <c r="P5330" s="86"/>
      <c r="Q5330" s="86"/>
      <c r="R5330" s="86"/>
      <c r="S5330" s="86"/>
      <c r="T5330" s="86"/>
      <c r="U5330" s="86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48"/>
      <c r="BB5330" s="48"/>
      <c r="BC5330" s="48"/>
      <c r="BD5330" s="48"/>
    </row>
    <row r="5331" spans="1:56">
      <c r="A5331" s="48"/>
      <c r="B5331" s="48"/>
      <c r="C5331" s="49"/>
      <c r="D5331" s="48"/>
      <c r="E5331" s="48"/>
      <c r="F5331" s="48"/>
      <c r="G5331" s="48"/>
      <c r="H5331" s="48"/>
      <c r="I5331" s="48"/>
      <c r="J5331" s="86"/>
      <c r="K5331" s="86"/>
      <c r="L5331" s="86"/>
      <c r="M5331" s="86"/>
      <c r="N5331" s="86"/>
      <c r="O5331" s="86"/>
      <c r="P5331" s="86"/>
      <c r="Q5331" s="86"/>
      <c r="R5331" s="86"/>
      <c r="S5331" s="86"/>
      <c r="T5331" s="86"/>
      <c r="U5331" s="86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48"/>
      <c r="BB5331" s="48"/>
      <c r="BC5331" s="48"/>
      <c r="BD5331" s="48"/>
    </row>
    <row r="5332" spans="1:56">
      <c r="A5332" s="48"/>
      <c r="B5332" s="48"/>
      <c r="C5332" s="49"/>
      <c r="D5332" s="48"/>
      <c r="E5332" s="48"/>
      <c r="F5332" s="48"/>
      <c r="G5332" s="48"/>
      <c r="H5332" s="48"/>
      <c r="I5332" s="48"/>
      <c r="J5332" s="86"/>
      <c r="K5332" s="86"/>
      <c r="L5332" s="86"/>
      <c r="M5332" s="86"/>
      <c r="N5332" s="86"/>
      <c r="O5332" s="86"/>
      <c r="P5332" s="86"/>
      <c r="Q5332" s="86"/>
      <c r="R5332" s="86"/>
      <c r="S5332" s="86"/>
      <c r="T5332" s="86"/>
      <c r="U5332" s="86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48"/>
      <c r="BB5332" s="48"/>
      <c r="BC5332" s="48"/>
      <c r="BD5332" s="48"/>
    </row>
    <row r="5333" spans="1:56">
      <c r="A5333" s="48"/>
      <c r="B5333" s="48"/>
      <c r="C5333" s="49"/>
      <c r="D5333" s="48"/>
      <c r="E5333" s="48"/>
      <c r="F5333" s="48"/>
      <c r="G5333" s="48"/>
      <c r="H5333" s="48"/>
      <c r="I5333" s="48"/>
      <c r="J5333" s="86"/>
      <c r="K5333" s="86"/>
      <c r="L5333" s="86"/>
      <c r="M5333" s="86"/>
      <c r="N5333" s="86"/>
      <c r="O5333" s="86"/>
      <c r="P5333" s="86"/>
      <c r="Q5333" s="86"/>
      <c r="R5333" s="86"/>
      <c r="S5333" s="86"/>
      <c r="T5333" s="86"/>
      <c r="U5333" s="86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48"/>
      <c r="BB5333" s="48"/>
      <c r="BC5333" s="48"/>
      <c r="BD5333" s="48"/>
    </row>
    <row r="5334" spans="1:56">
      <c r="A5334" s="48"/>
      <c r="B5334" s="48"/>
      <c r="C5334" s="49"/>
      <c r="D5334" s="48"/>
      <c r="E5334" s="48"/>
      <c r="F5334" s="48"/>
      <c r="G5334" s="48"/>
      <c r="H5334" s="48"/>
      <c r="I5334" s="48"/>
      <c r="J5334" s="86"/>
      <c r="K5334" s="86"/>
      <c r="L5334" s="86"/>
      <c r="M5334" s="86"/>
      <c r="N5334" s="86"/>
      <c r="O5334" s="86"/>
      <c r="P5334" s="86"/>
      <c r="Q5334" s="86"/>
      <c r="R5334" s="86"/>
      <c r="S5334" s="86"/>
      <c r="T5334" s="86"/>
      <c r="U5334" s="86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48"/>
      <c r="BB5334" s="48"/>
      <c r="BC5334" s="48"/>
      <c r="BD5334" s="48"/>
    </row>
    <row r="5335" spans="1:56">
      <c r="A5335" s="48"/>
      <c r="B5335" s="48"/>
      <c r="C5335" s="49"/>
      <c r="D5335" s="48"/>
      <c r="E5335" s="48"/>
      <c r="F5335" s="48"/>
      <c r="G5335" s="48"/>
      <c r="H5335" s="48"/>
      <c r="I5335" s="48"/>
      <c r="J5335" s="86"/>
      <c r="K5335" s="86"/>
      <c r="L5335" s="86"/>
      <c r="M5335" s="86"/>
      <c r="N5335" s="86"/>
      <c r="O5335" s="86"/>
      <c r="P5335" s="86"/>
      <c r="Q5335" s="86"/>
      <c r="R5335" s="86"/>
      <c r="S5335" s="86"/>
      <c r="T5335" s="86"/>
      <c r="U5335" s="86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48"/>
      <c r="BB5335" s="48"/>
      <c r="BC5335" s="48"/>
      <c r="BD5335" s="48"/>
    </row>
    <row r="5336" spans="1:56">
      <c r="A5336" s="48"/>
      <c r="B5336" s="48"/>
      <c r="C5336" s="49"/>
      <c r="D5336" s="48"/>
      <c r="E5336" s="48"/>
      <c r="F5336" s="48"/>
      <c r="G5336" s="48"/>
      <c r="H5336" s="48"/>
      <c r="I5336" s="48"/>
      <c r="J5336" s="86"/>
      <c r="K5336" s="86"/>
      <c r="L5336" s="86"/>
      <c r="M5336" s="86"/>
      <c r="N5336" s="86"/>
      <c r="O5336" s="86"/>
      <c r="P5336" s="86"/>
      <c r="Q5336" s="86"/>
      <c r="R5336" s="86"/>
      <c r="S5336" s="86"/>
      <c r="T5336" s="86"/>
      <c r="U5336" s="86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48"/>
      <c r="BB5336" s="48"/>
      <c r="BC5336" s="48"/>
      <c r="BD5336" s="48"/>
    </row>
    <row r="5337" spans="1:56">
      <c r="A5337" s="48"/>
      <c r="B5337" s="48"/>
      <c r="C5337" s="49"/>
      <c r="D5337" s="48"/>
      <c r="E5337" s="48"/>
      <c r="F5337" s="48"/>
      <c r="G5337" s="48"/>
      <c r="H5337" s="48"/>
      <c r="I5337" s="48"/>
      <c r="J5337" s="86"/>
      <c r="K5337" s="86"/>
      <c r="L5337" s="86"/>
      <c r="M5337" s="86"/>
      <c r="N5337" s="86"/>
      <c r="O5337" s="86"/>
      <c r="P5337" s="86"/>
      <c r="Q5337" s="86"/>
      <c r="R5337" s="86"/>
      <c r="S5337" s="86"/>
      <c r="T5337" s="86"/>
      <c r="U5337" s="86"/>
      <c r="V5337" s="48"/>
      <c r="W5337" s="48"/>
      <c r="X5337" s="48"/>
      <c r="Y5337" s="48"/>
      <c r="Z5337" s="48"/>
      <c r="AA5337" s="48"/>
      <c r="AB5337" s="48"/>
      <c r="AC5337" s="48"/>
      <c r="AD5337" s="48"/>
      <c r="AE5337" s="48"/>
      <c r="AF5337" s="48"/>
      <c r="AG5337" s="48"/>
      <c r="AH5337" s="48"/>
      <c r="AI5337" s="48"/>
      <c r="AJ5337" s="48"/>
      <c r="AK5337" s="48"/>
      <c r="AL5337" s="48"/>
      <c r="AM5337" s="48"/>
      <c r="AN5337" s="48"/>
      <c r="AO5337" s="48"/>
      <c r="AP5337" s="48"/>
      <c r="AQ5337" s="48"/>
      <c r="AR5337" s="48"/>
      <c r="AS5337" s="48"/>
      <c r="AT5337" s="48"/>
      <c r="AU5337" s="48"/>
      <c r="AV5337" s="48"/>
      <c r="AW5337" s="48"/>
      <c r="AX5337" s="48"/>
      <c r="AY5337" s="48"/>
      <c r="AZ5337" s="48"/>
      <c r="BA5337" s="48"/>
      <c r="BB5337" s="48"/>
      <c r="BC5337" s="48"/>
      <c r="BD5337" s="48"/>
    </row>
    <row r="5338" spans="1:56">
      <c r="A5338" s="48"/>
      <c r="B5338" s="48"/>
      <c r="C5338" s="49"/>
      <c r="D5338" s="48"/>
      <c r="E5338" s="48"/>
      <c r="F5338" s="48"/>
      <c r="G5338" s="48"/>
      <c r="H5338" s="48"/>
      <c r="I5338" s="48"/>
      <c r="J5338" s="86"/>
      <c r="K5338" s="86"/>
      <c r="L5338" s="86"/>
      <c r="M5338" s="86"/>
      <c r="N5338" s="86"/>
      <c r="O5338" s="86"/>
      <c r="P5338" s="86"/>
      <c r="Q5338" s="86"/>
      <c r="R5338" s="86"/>
      <c r="S5338" s="86"/>
      <c r="T5338" s="86"/>
      <c r="U5338" s="86"/>
      <c r="V5338" s="48"/>
      <c r="W5338" s="48"/>
      <c r="X5338" s="48"/>
      <c r="Y5338" s="48"/>
      <c r="Z5338" s="48"/>
      <c r="AA5338" s="48"/>
      <c r="AB5338" s="48"/>
      <c r="AC5338" s="48"/>
      <c r="AD5338" s="48"/>
      <c r="AE5338" s="48"/>
      <c r="AF5338" s="48"/>
      <c r="AG5338" s="48"/>
      <c r="AH5338" s="48"/>
      <c r="AI5338" s="48"/>
      <c r="AJ5338" s="48"/>
      <c r="AK5338" s="48"/>
      <c r="AL5338" s="48"/>
      <c r="AM5338" s="48"/>
      <c r="AN5338" s="48"/>
      <c r="AO5338" s="48"/>
      <c r="AP5338" s="48"/>
      <c r="AQ5338" s="48"/>
      <c r="AR5338" s="48"/>
      <c r="AS5338" s="48"/>
      <c r="AT5338" s="48"/>
      <c r="AU5338" s="48"/>
      <c r="AV5338" s="48"/>
      <c r="AW5338" s="48"/>
      <c r="AX5338" s="48"/>
      <c r="AY5338" s="48"/>
      <c r="AZ5338" s="48"/>
      <c r="BA5338" s="48"/>
      <c r="BB5338" s="48"/>
      <c r="BC5338" s="48"/>
      <c r="BD5338" s="48"/>
    </row>
    <row r="5339" spans="1:56">
      <c r="A5339" s="48"/>
      <c r="B5339" s="48"/>
      <c r="C5339" s="49"/>
      <c r="D5339" s="48"/>
      <c r="E5339" s="48"/>
      <c r="F5339" s="48"/>
      <c r="G5339" s="48"/>
      <c r="H5339" s="48"/>
      <c r="I5339" s="48"/>
      <c r="J5339" s="86"/>
      <c r="K5339" s="86"/>
      <c r="L5339" s="86"/>
      <c r="M5339" s="86"/>
      <c r="N5339" s="86"/>
      <c r="O5339" s="86"/>
      <c r="P5339" s="86"/>
      <c r="Q5339" s="86"/>
      <c r="R5339" s="86"/>
      <c r="S5339" s="86"/>
      <c r="T5339" s="86"/>
      <c r="U5339" s="86"/>
      <c r="V5339" s="48"/>
      <c r="W5339" s="48"/>
      <c r="X5339" s="48"/>
      <c r="Y5339" s="48"/>
      <c r="Z5339" s="48"/>
      <c r="AA5339" s="48"/>
      <c r="AB5339" s="48"/>
      <c r="AC5339" s="48"/>
      <c r="AD5339" s="48"/>
      <c r="AE5339" s="48"/>
      <c r="AF5339" s="48"/>
      <c r="AG5339" s="48"/>
      <c r="AH5339" s="48"/>
      <c r="AI5339" s="48"/>
      <c r="AJ5339" s="48"/>
      <c r="AK5339" s="48"/>
      <c r="AL5339" s="48"/>
      <c r="AM5339" s="48"/>
      <c r="AN5339" s="48"/>
      <c r="AO5339" s="48"/>
      <c r="AP5339" s="48"/>
      <c r="AQ5339" s="48"/>
      <c r="AR5339" s="48"/>
      <c r="AS5339" s="48"/>
      <c r="AT5339" s="48"/>
      <c r="AU5339" s="48"/>
      <c r="AV5339" s="48"/>
      <c r="AW5339" s="48"/>
      <c r="AX5339" s="48"/>
      <c r="AY5339" s="48"/>
      <c r="AZ5339" s="48"/>
      <c r="BA5339" s="48"/>
      <c r="BB5339" s="48"/>
      <c r="BC5339" s="48"/>
      <c r="BD5339" s="48"/>
    </row>
    <row r="5340" spans="1:56">
      <c r="A5340" s="48"/>
      <c r="B5340" s="48"/>
      <c r="C5340" s="49"/>
      <c r="D5340" s="48"/>
      <c r="E5340" s="48"/>
      <c r="F5340" s="48"/>
      <c r="G5340" s="48"/>
      <c r="H5340" s="48"/>
      <c r="I5340" s="48"/>
      <c r="J5340" s="86"/>
      <c r="K5340" s="86"/>
      <c r="L5340" s="86"/>
      <c r="M5340" s="86"/>
      <c r="N5340" s="86"/>
      <c r="O5340" s="86"/>
      <c r="P5340" s="86"/>
      <c r="Q5340" s="86"/>
      <c r="R5340" s="86"/>
      <c r="S5340" s="86"/>
      <c r="T5340" s="86"/>
      <c r="U5340" s="86"/>
      <c r="V5340" s="48"/>
      <c r="W5340" s="48"/>
      <c r="X5340" s="48"/>
      <c r="Y5340" s="48"/>
      <c r="Z5340" s="48"/>
      <c r="AA5340" s="48"/>
      <c r="AB5340" s="48"/>
      <c r="AC5340" s="48"/>
      <c r="AD5340" s="48"/>
      <c r="AE5340" s="48"/>
      <c r="AF5340" s="48"/>
      <c r="AG5340" s="48"/>
      <c r="AH5340" s="48"/>
      <c r="AI5340" s="48"/>
      <c r="AJ5340" s="48"/>
      <c r="AK5340" s="48"/>
      <c r="AL5340" s="48"/>
      <c r="AM5340" s="48"/>
      <c r="AN5340" s="48"/>
      <c r="AO5340" s="48"/>
      <c r="AP5340" s="48"/>
      <c r="AQ5340" s="48"/>
      <c r="AR5340" s="48"/>
      <c r="AS5340" s="48"/>
      <c r="AT5340" s="48"/>
      <c r="AU5340" s="48"/>
      <c r="AV5340" s="48"/>
      <c r="AW5340" s="48"/>
      <c r="AX5340" s="48"/>
      <c r="AY5340" s="48"/>
      <c r="AZ5340" s="48"/>
      <c r="BA5340" s="48"/>
      <c r="BB5340" s="48"/>
      <c r="BC5340" s="48"/>
      <c r="BD5340" s="48"/>
    </row>
    <row r="5341" spans="1:56">
      <c r="A5341" s="48"/>
      <c r="B5341" s="48"/>
      <c r="C5341" s="49"/>
      <c r="D5341" s="48"/>
      <c r="E5341" s="48"/>
      <c r="F5341" s="48"/>
      <c r="G5341" s="48"/>
      <c r="H5341" s="48"/>
      <c r="I5341" s="48"/>
      <c r="J5341" s="86"/>
      <c r="K5341" s="86"/>
      <c r="L5341" s="86"/>
      <c r="M5341" s="86"/>
      <c r="N5341" s="86"/>
      <c r="O5341" s="86"/>
      <c r="P5341" s="86"/>
      <c r="Q5341" s="86"/>
      <c r="R5341" s="86"/>
      <c r="S5341" s="86"/>
      <c r="T5341" s="86"/>
      <c r="U5341" s="86"/>
      <c r="V5341" s="48"/>
      <c r="W5341" s="48"/>
      <c r="X5341" s="48"/>
      <c r="Y5341" s="48"/>
      <c r="Z5341" s="48"/>
      <c r="AA5341" s="48"/>
      <c r="AB5341" s="48"/>
      <c r="AC5341" s="48"/>
      <c r="AD5341" s="48"/>
      <c r="AE5341" s="48"/>
      <c r="AF5341" s="48"/>
      <c r="AG5341" s="48"/>
      <c r="AH5341" s="48"/>
      <c r="AI5341" s="48"/>
      <c r="AJ5341" s="48"/>
      <c r="AK5341" s="48"/>
      <c r="AL5341" s="48"/>
      <c r="AM5341" s="48"/>
      <c r="AN5341" s="48"/>
      <c r="AO5341" s="48"/>
      <c r="AP5341" s="48"/>
      <c r="AQ5341" s="48"/>
      <c r="AR5341" s="48"/>
      <c r="AS5341" s="48"/>
      <c r="AT5341" s="48"/>
      <c r="AU5341" s="48"/>
      <c r="AV5341" s="48"/>
      <c r="AW5341" s="48"/>
      <c r="AX5341" s="48"/>
      <c r="AY5341" s="48"/>
      <c r="AZ5341" s="48"/>
      <c r="BA5341" s="48"/>
      <c r="BB5341" s="48"/>
      <c r="BC5341" s="48"/>
      <c r="BD5341" s="48"/>
    </row>
    <row r="5342" spans="1:56">
      <c r="A5342" s="48"/>
      <c r="B5342" s="48"/>
      <c r="C5342" s="49"/>
      <c r="D5342" s="48"/>
      <c r="E5342" s="48"/>
      <c r="F5342" s="48"/>
      <c r="G5342" s="48"/>
      <c r="H5342" s="48"/>
      <c r="I5342" s="48"/>
      <c r="J5342" s="86"/>
      <c r="K5342" s="86"/>
      <c r="L5342" s="86"/>
      <c r="M5342" s="86"/>
      <c r="N5342" s="86"/>
      <c r="O5342" s="86"/>
      <c r="P5342" s="86"/>
      <c r="Q5342" s="86"/>
      <c r="R5342" s="86"/>
      <c r="S5342" s="86"/>
      <c r="T5342" s="86"/>
      <c r="U5342" s="86"/>
      <c r="V5342" s="48"/>
      <c r="W5342" s="48"/>
      <c r="X5342" s="48"/>
      <c r="Y5342" s="48"/>
      <c r="Z5342" s="48"/>
      <c r="AA5342" s="48"/>
      <c r="AB5342" s="48"/>
      <c r="AC5342" s="48"/>
      <c r="AD5342" s="48"/>
      <c r="AE5342" s="48"/>
      <c r="AF5342" s="48"/>
      <c r="AG5342" s="48"/>
      <c r="AH5342" s="48"/>
      <c r="AI5342" s="48"/>
      <c r="AJ5342" s="48"/>
      <c r="AK5342" s="48"/>
      <c r="AL5342" s="48"/>
      <c r="AM5342" s="48"/>
      <c r="AN5342" s="48"/>
      <c r="AO5342" s="48"/>
      <c r="AP5342" s="48"/>
      <c r="AQ5342" s="48"/>
      <c r="AR5342" s="48"/>
      <c r="AS5342" s="48"/>
      <c r="AT5342" s="48"/>
      <c r="AU5342" s="48"/>
      <c r="AV5342" s="48"/>
      <c r="AW5342" s="48"/>
      <c r="AX5342" s="48"/>
      <c r="AY5342" s="48"/>
      <c r="AZ5342" s="48"/>
      <c r="BA5342" s="48"/>
      <c r="BB5342" s="48"/>
      <c r="BC5342" s="48"/>
      <c r="BD5342" s="48"/>
    </row>
    <row r="5343" spans="1:56">
      <c r="A5343" s="48"/>
      <c r="B5343" s="48"/>
      <c r="C5343" s="49"/>
      <c r="D5343" s="48"/>
      <c r="E5343" s="48"/>
      <c r="F5343" s="48"/>
      <c r="G5343" s="48"/>
      <c r="H5343" s="48"/>
      <c r="I5343" s="48"/>
      <c r="J5343" s="86"/>
      <c r="K5343" s="86"/>
      <c r="L5343" s="86"/>
      <c r="M5343" s="86"/>
      <c r="N5343" s="86"/>
      <c r="O5343" s="86"/>
      <c r="P5343" s="86"/>
      <c r="Q5343" s="86"/>
      <c r="R5343" s="86"/>
      <c r="S5343" s="86"/>
      <c r="T5343" s="86"/>
      <c r="U5343" s="86"/>
      <c r="V5343" s="48"/>
      <c r="W5343" s="48"/>
      <c r="X5343" s="48"/>
      <c r="Y5343" s="48"/>
      <c r="Z5343" s="48"/>
      <c r="AA5343" s="48"/>
      <c r="AB5343" s="48"/>
      <c r="AC5343" s="48"/>
      <c r="AD5343" s="48"/>
      <c r="AE5343" s="48"/>
      <c r="AF5343" s="48"/>
      <c r="AG5343" s="48"/>
      <c r="AH5343" s="48"/>
      <c r="AI5343" s="48"/>
      <c r="AJ5343" s="48"/>
      <c r="AK5343" s="48"/>
      <c r="AL5343" s="48"/>
      <c r="AM5343" s="48"/>
      <c r="AN5343" s="48"/>
      <c r="AO5343" s="48"/>
      <c r="AP5343" s="48"/>
      <c r="AQ5343" s="48"/>
      <c r="AR5343" s="48"/>
      <c r="AS5343" s="48"/>
      <c r="AT5343" s="48"/>
      <c r="AU5343" s="48"/>
      <c r="AV5343" s="48"/>
      <c r="AW5343" s="48"/>
      <c r="AX5343" s="48"/>
      <c r="AY5343" s="48"/>
      <c r="AZ5343" s="48"/>
      <c r="BA5343" s="48"/>
      <c r="BB5343" s="48"/>
      <c r="BC5343" s="48"/>
      <c r="BD5343" s="48"/>
    </row>
    <row r="5344" spans="1:56">
      <c r="A5344" s="48"/>
      <c r="B5344" s="48"/>
      <c r="C5344" s="49"/>
      <c r="D5344" s="48"/>
      <c r="E5344" s="48"/>
      <c r="F5344" s="48"/>
      <c r="G5344" s="48"/>
      <c r="H5344" s="48"/>
      <c r="I5344" s="48"/>
      <c r="J5344" s="86"/>
      <c r="K5344" s="86"/>
      <c r="L5344" s="86"/>
      <c r="M5344" s="86"/>
      <c r="N5344" s="86"/>
      <c r="O5344" s="86"/>
      <c r="P5344" s="86"/>
      <c r="Q5344" s="86"/>
      <c r="R5344" s="86"/>
      <c r="S5344" s="86"/>
      <c r="T5344" s="86"/>
      <c r="U5344" s="86"/>
      <c r="V5344" s="48"/>
      <c r="W5344" s="48"/>
      <c r="X5344" s="48"/>
      <c r="Y5344" s="48"/>
      <c r="Z5344" s="48"/>
      <c r="AA5344" s="48"/>
      <c r="AB5344" s="48"/>
      <c r="AC5344" s="48"/>
      <c r="AD5344" s="48"/>
      <c r="AE5344" s="48"/>
      <c r="AF5344" s="48"/>
      <c r="AG5344" s="48"/>
      <c r="AH5344" s="48"/>
      <c r="AI5344" s="48"/>
      <c r="AJ5344" s="48"/>
      <c r="AK5344" s="48"/>
      <c r="AL5344" s="48"/>
      <c r="AM5344" s="48"/>
      <c r="AN5344" s="48"/>
      <c r="AO5344" s="48"/>
      <c r="AP5344" s="48"/>
      <c r="AQ5344" s="48"/>
      <c r="AR5344" s="48"/>
      <c r="AS5344" s="48"/>
      <c r="AT5344" s="48"/>
      <c r="AU5344" s="48"/>
      <c r="AV5344" s="48"/>
      <c r="AW5344" s="48"/>
      <c r="AX5344" s="48"/>
      <c r="AY5344" s="48"/>
      <c r="AZ5344" s="48"/>
      <c r="BA5344" s="48"/>
      <c r="BB5344" s="48"/>
      <c r="BC5344" s="48"/>
      <c r="BD5344" s="48"/>
    </row>
    <row r="5345" spans="1:56">
      <c r="A5345" s="48"/>
      <c r="B5345" s="48"/>
      <c r="C5345" s="49"/>
      <c r="D5345" s="48"/>
      <c r="E5345" s="48"/>
      <c r="F5345" s="48"/>
      <c r="G5345" s="48"/>
      <c r="H5345" s="48"/>
      <c r="I5345" s="48"/>
      <c r="J5345" s="86"/>
      <c r="K5345" s="86"/>
      <c r="L5345" s="86"/>
      <c r="M5345" s="86"/>
      <c r="N5345" s="86"/>
      <c r="O5345" s="86"/>
      <c r="P5345" s="86"/>
      <c r="Q5345" s="86"/>
      <c r="R5345" s="86"/>
      <c r="S5345" s="86"/>
      <c r="T5345" s="86"/>
      <c r="U5345" s="86"/>
      <c r="V5345" s="48"/>
      <c r="W5345" s="48"/>
      <c r="X5345" s="48"/>
      <c r="Y5345" s="48"/>
      <c r="Z5345" s="48"/>
      <c r="AA5345" s="48"/>
      <c r="AB5345" s="48"/>
      <c r="AC5345" s="48"/>
      <c r="AD5345" s="48"/>
      <c r="AE5345" s="48"/>
      <c r="AF5345" s="48"/>
      <c r="AG5345" s="48"/>
      <c r="AH5345" s="48"/>
      <c r="AI5345" s="48"/>
      <c r="AJ5345" s="48"/>
      <c r="AK5345" s="48"/>
      <c r="AL5345" s="48"/>
      <c r="AM5345" s="48"/>
      <c r="AN5345" s="48"/>
      <c r="AO5345" s="48"/>
      <c r="AP5345" s="48"/>
      <c r="AQ5345" s="48"/>
      <c r="AR5345" s="48"/>
      <c r="AS5345" s="48"/>
      <c r="AT5345" s="48"/>
      <c r="AU5345" s="48"/>
      <c r="AV5345" s="48"/>
      <c r="AW5345" s="48"/>
      <c r="AX5345" s="48"/>
      <c r="AY5345" s="48"/>
      <c r="AZ5345" s="48"/>
      <c r="BA5345" s="48"/>
      <c r="BB5345" s="48"/>
      <c r="BC5345" s="48"/>
      <c r="BD5345" s="48"/>
    </row>
    <row r="5346" spans="1:56">
      <c r="A5346" s="48"/>
      <c r="B5346" s="48"/>
      <c r="C5346" s="49"/>
      <c r="D5346" s="48"/>
      <c r="E5346" s="48"/>
      <c r="F5346" s="48"/>
      <c r="G5346" s="48"/>
      <c r="H5346" s="48"/>
      <c r="I5346" s="48"/>
      <c r="J5346" s="86"/>
      <c r="K5346" s="86"/>
      <c r="L5346" s="86"/>
      <c r="M5346" s="86"/>
      <c r="N5346" s="86"/>
      <c r="O5346" s="86"/>
      <c r="P5346" s="86"/>
      <c r="Q5346" s="86"/>
      <c r="R5346" s="86"/>
      <c r="S5346" s="86"/>
      <c r="T5346" s="86"/>
      <c r="U5346" s="86"/>
      <c r="V5346" s="48"/>
      <c r="W5346" s="48"/>
      <c r="X5346" s="48"/>
      <c r="Y5346" s="48"/>
      <c r="Z5346" s="48"/>
      <c r="AA5346" s="48"/>
      <c r="AB5346" s="48"/>
      <c r="AC5346" s="48"/>
      <c r="AD5346" s="48"/>
      <c r="AE5346" s="48"/>
      <c r="AF5346" s="48"/>
      <c r="AG5346" s="48"/>
      <c r="AH5346" s="48"/>
      <c r="AI5346" s="48"/>
      <c r="AJ5346" s="48"/>
      <c r="AK5346" s="48"/>
      <c r="AL5346" s="48"/>
      <c r="AM5346" s="48"/>
      <c r="AN5346" s="48"/>
      <c r="AO5346" s="48"/>
      <c r="AP5346" s="48"/>
      <c r="AQ5346" s="48"/>
      <c r="AR5346" s="48"/>
      <c r="AS5346" s="48"/>
      <c r="AT5346" s="48"/>
      <c r="AU5346" s="48"/>
      <c r="AV5346" s="48"/>
      <c r="AW5346" s="48"/>
      <c r="AX5346" s="48"/>
      <c r="AY5346" s="48"/>
      <c r="AZ5346" s="48"/>
      <c r="BA5346" s="48"/>
      <c r="BB5346" s="48"/>
      <c r="BC5346" s="48"/>
      <c r="BD5346" s="48"/>
    </row>
    <row r="5347" spans="1:56">
      <c r="A5347" s="48"/>
      <c r="B5347" s="48"/>
      <c r="C5347" s="49"/>
      <c r="D5347" s="48"/>
      <c r="E5347" s="48"/>
      <c r="F5347" s="48"/>
      <c r="G5347" s="48"/>
      <c r="H5347" s="48"/>
      <c r="I5347" s="48"/>
      <c r="J5347" s="86"/>
      <c r="K5347" s="86"/>
      <c r="L5347" s="86"/>
      <c r="M5347" s="86"/>
      <c r="N5347" s="86"/>
      <c r="O5347" s="86"/>
      <c r="P5347" s="86"/>
      <c r="Q5347" s="86"/>
      <c r="R5347" s="86"/>
      <c r="S5347" s="86"/>
      <c r="T5347" s="86"/>
      <c r="U5347" s="86"/>
      <c r="V5347" s="48"/>
      <c r="W5347" s="48"/>
      <c r="X5347" s="48"/>
      <c r="Y5347" s="48"/>
      <c r="Z5347" s="48"/>
      <c r="AA5347" s="48"/>
      <c r="AB5347" s="48"/>
      <c r="AC5347" s="48"/>
      <c r="AD5347" s="48"/>
      <c r="AE5347" s="48"/>
      <c r="AF5347" s="48"/>
      <c r="AG5347" s="48"/>
      <c r="AH5347" s="48"/>
      <c r="AI5347" s="48"/>
      <c r="AJ5347" s="48"/>
      <c r="AK5347" s="48"/>
      <c r="AL5347" s="48"/>
      <c r="AM5347" s="48"/>
      <c r="AN5347" s="48"/>
      <c r="AO5347" s="48"/>
      <c r="AP5347" s="48"/>
      <c r="AQ5347" s="48"/>
      <c r="AR5347" s="48"/>
      <c r="AS5347" s="48"/>
      <c r="AT5347" s="48"/>
      <c r="AU5347" s="48"/>
      <c r="AV5347" s="48"/>
      <c r="AW5347" s="48"/>
      <c r="AX5347" s="48"/>
      <c r="AY5347" s="48"/>
      <c r="AZ5347" s="48"/>
      <c r="BA5347" s="48"/>
      <c r="BB5347" s="48"/>
      <c r="BC5347" s="48"/>
      <c r="BD5347" s="48"/>
    </row>
    <row r="5348" spans="1:56">
      <c r="A5348" s="48"/>
      <c r="B5348" s="48"/>
      <c r="C5348" s="49"/>
      <c r="D5348" s="48"/>
      <c r="E5348" s="48"/>
      <c r="F5348" s="48"/>
      <c r="G5348" s="48"/>
      <c r="H5348" s="48"/>
      <c r="I5348" s="48"/>
      <c r="J5348" s="86"/>
      <c r="K5348" s="86"/>
      <c r="L5348" s="86"/>
      <c r="M5348" s="86"/>
      <c r="N5348" s="86"/>
      <c r="O5348" s="86"/>
      <c r="P5348" s="86"/>
      <c r="Q5348" s="86"/>
      <c r="R5348" s="86"/>
      <c r="S5348" s="86"/>
      <c r="T5348" s="86"/>
      <c r="U5348" s="86"/>
      <c r="V5348" s="48"/>
      <c r="W5348" s="48"/>
      <c r="X5348" s="48"/>
      <c r="Y5348" s="48"/>
      <c r="Z5348" s="48"/>
      <c r="AA5348" s="48"/>
      <c r="AB5348" s="48"/>
      <c r="AC5348" s="48"/>
      <c r="AD5348" s="48"/>
      <c r="AE5348" s="48"/>
      <c r="AF5348" s="48"/>
      <c r="AG5348" s="48"/>
      <c r="AH5348" s="48"/>
      <c r="AI5348" s="48"/>
      <c r="AJ5348" s="48"/>
      <c r="AK5348" s="48"/>
      <c r="AL5348" s="48"/>
      <c r="AM5348" s="48"/>
      <c r="AN5348" s="48"/>
      <c r="AO5348" s="48"/>
      <c r="AP5348" s="48"/>
      <c r="AQ5348" s="48"/>
      <c r="AR5348" s="48"/>
      <c r="AS5348" s="48"/>
      <c r="AT5348" s="48"/>
      <c r="AU5348" s="48"/>
      <c r="AV5348" s="48"/>
      <c r="AW5348" s="48"/>
      <c r="AX5348" s="48"/>
      <c r="AY5348" s="48"/>
      <c r="AZ5348" s="48"/>
      <c r="BA5348" s="48"/>
      <c r="BB5348" s="48"/>
      <c r="BC5348" s="48"/>
      <c r="BD5348" s="48"/>
    </row>
    <row r="5349" spans="1:56">
      <c r="A5349" s="48"/>
      <c r="B5349" s="48"/>
      <c r="C5349" s="49"/>
      <c r="D5349" s="48"/>
      <c r="E5349" s="48"/>
      <c r="F5349" s="48"/>
      <c r="G5349" s="48"/>
      <c r="H5349" s="48"/>
      <c r="I5349" s="48"/>
      <c r="J5349" s="86"/>
      <c r="K5349" s="86"/>
      <c r="L5349" s="86"/>
      <c r="M5349" s="86"/>
      <c r="N5349" s="86"/>
      <c r="O5349" s="86"/>
      <c r="P5349" s="86"/>
      <c r="Q5349" s="86"/>
      <c r="R5349" s="86"/>
      <c r="S5349" s="86"/>
      <c r="T5349" s="86"/>
      <c r="U5349" s="86"/>
      <c r="V5349" s="48"/>
      <c r="W5349" s="48"/>
      <c r="X5349" s="48"/>
      <c r="Y5349" s="48"/>
      <c r="Z5349" s="48"/>
      <c r="AA5349" s="48"/>
      <c r="AB5349" s="48"/>
      <c r="AC5349" s="48"/>
      <c r="AD5349" s="48"/>
      <c r="AE5349" s="48"/>
      <c r="AF5349" s="48"/>
      <c r="AG5349" s="48"/>
      <c r="AH5349" s="48"/>
      <c r="AI5349" s="48"/>
      <c r="AJ5349" s="48"/>
      <c r="AK5349" s="48"/>
      <c r="AL5349" s="48"/>
      <c r="AM5349" s="48"/>
      <c r="AN5349" s="48"/>
      <c r="AO5349" s="48"/>
      <c r="AP5349" s="48"/>
      <c r="AQ5349" s="48"/>
      <c r="AR5349" s="48"/>
      <c r="AS5349" s="48"/>
      <c r="AT5349" s="48"/>
      <c r="AU5349" s="48"/>
      <c r="AV5349" s="48"/>
      <c r="AW5349" s="48"/>
      <c r="AX5349" s="48"/>
      <c r="AY5349" s="48"/>
      <c r="AZ5349" s="48"/>
      <c r="BA5349" s="48"/>
      <c r="BB5349" s="48"/>
      <c r="BC5349" s="48"/>
      <c r="BD5349" s="48"/>
    </row>
    <row r="5350" spans="1:56">
      <c r="A5350" s="48"/>
      <c r="B5350" s="48"/>
      <c r="C5350" s="49"/>
      <c r="D5350" s="48"/>
      <c r="E5350" s="48"/>
      <c r="F5350" s="48"/>
      <c r="G5350" s="48"/>
      <c r="H5350" s="48"/>
      <c r="I5350" s="48"/>
      <c r="J5350" s="86"/>
      <c r="K5350" s="86"/>
      <c r="L5350" s="86"/>
      <c r="M5350" s="86"/>
      <c r="N5350" s="86"/>
      <c r="O5350" s="86"/>
      <c r="P5350" s="86"/>
      <c r="Q5350" s="86"/>
      <c r="R5350" s="86"/>
      <c r="S5350" s="86"/>
      <c r="T5350" s="86"/>
      <c r="U5350" s="86"/>
      <c r="V5350" s="48"/>
      <c r="W5350" s="48"/>
      <c r="X5350" s="48"/>
      <c r="Y5350" s="48"/>
      <c r="Z5350" s="48"/>
      <c r="AA5350" s="48"/>
      <c r="AB5350" s="48"/>
      <c r="AC5350" s="48"/>
      <c r="AD5350" s="48"/>
      <c r="AE5350" s="48"/>
      <c r="AF5350" s="48"/>
      <c r="AG5350" s="48"/>
      <c r="AH5350" s="48"/>
      <c r="AI5350" s="48"/>
      <c r="AJ5350" s="48"/>
      <c r="AK5350" s="48"/>
      <c r="AL5350" s="48"/>
      <c r="AM5350" s="48"/>
      <c r="AN5350" s="48"/>
      <c r="AO5350" s="48"/>
      <c r="AP5350" s="48"/>
      <c r="AQ5350" s="48"/>
      <c r="AR5350" s="48"/>
      <c r="AS5350" s="48"/>
      <c r="AT5350" s="48"/>
      <c r="AU5350" s="48"/>
      <c r="AV5350" s="48"/>
      <c r="AW5350" s="48"/>
      <c r="AX5350" s="48"/>
      <c r="AY5350" s="48"/>
      <c r="AZ5350" s="48"/>
      <c r="BA5350" s="48"/>
      <c r="BB5350" s="48"/>
      <c r="BC5350" s="48"/>
      <c r="BD5350" s="48"/>
    </row>
    <row r="5351" spans="1:56">
      <c r="A5351" s="48"/>
      <c r="B5351" s="48"/>
      <c r="C5351" s="49"/>
      <c r="D5351" s="48"/>
      <c r="E5351" s="48"/>
      <c r="F5351" s="48"/>
      <c r="G5351" s="48"/>
      <c r="H5351" s="48"/>
      <c r="I5351" s="48"/>
      <c r="J5351" s="86"/>
      <c r="K5351" s="86"/>
      <c r="L5351" s="86"/>
      <c r="M5351" s="86"/>
      <c r="N5351" s="86"/>
      <c r="O5351" s="86"/>
      <c r="P5351" s="86"/>
      <c r="Q5351" s="86"/>
      <c r="R5351" s="86"/>
      <c r="S5351" s="86"/>
      <c r="T5351" s="86"/>
      <c r="U5351" s="86"/>
      <c r="V5351" s="48"/>
      <c r="W5351" s="48"/>
      <c r="X5351" s="48"/>
      <c r="Y5351" s="48"/>
      <c r="Z5351" s="48"/>
      <c r="AA5351" s="48"/>
      <c r="AB5351" s="48"/>
      <c r="AC5351" s="48"/>
      <c r="AD5351" s="48"/>
      <c r="AE5351" s="48"/>
      <c r="AF5351" s="48"/>
      <c r="AG5351" s="48"/>
      <c r="AH5351" s="48"/>
      <c r="AI5351" s="48"/>
      <c r="AJ5351" s="48"/>
      <c r="AK5351" s="48"/>
      <c r="AL5351" s="48"/>
      <c r="AM5351" s="48"/>
      <c r="AN5351" s="48"/>
      <c r="AO5351" s="48"/>
      <c r="AP5351" s="48"/>
      <c r="AQ5351" s="48"/>
      <c r="AR5351" s="48"/>
      <c r="AS5351" s="48"/>
      <c r="AT5351" s="48"/>
      <c r="AU5351" s="48"/>
      <c r="AV5351" s="48"/>
      <c r="AW5351" s="48"/>
      <c r="AX5351" s="48"/>
      <c r="AY5351" s="48"/>
      <c r="AZ5351" s="48"/>
      <c r="BA5351" s="48"/>
      <c r="BB5351" s="48"/>
      <c r="BC5351" s="48"/>
      <c r="BD5351" s="48"/>
    </row>
    <row r="5352" spans="1:56">
      <c r="A5352" s="48"/>
      <c r="B5352" s="48"/>
      <c r="C5352" s="49"/>
      <c r="D5352" s="48"/>
      <c r="E5352" s="48"/>
      <c r="F5352" s="48"/>
      <c r="G5352" s="48"/>
      <c r="H5352" s="48"/>
      <c r="I5352" s="48"/>
      <c r="J5352" s="86"/>
      <c r="K5352" s="86"/>
      <c r="L5352" s="86"/>
      <c r="M5352" s="86"/>
      <c r="N5352" s="86"/>
      <c r="O5352" s="86"/>
      <c r="P5352" s="86"/>
      <c r="Q5352" s="86"/>
      <c r="R5352" s="86"/>
      <c r="S5352" s="86"/>
      <c r="T5352" s="86"/>
      <c r="U5352" s="86"/>
      <c r="V5352" s="48"/>
      <c r="W5352" s="48"/>
      <c r="X5352" s="48"/>
      <c r="Y5352" s="48"/>
      <c r="Z5352" s="48"/>
      <c r="AA5352" s="48"/>
      <c r="AB5352" s="48"/>
      <c r="AC5352" s="48"/>
      <c r="AD5352" s="48"/>
      <c r="AE5352" s="48"/>
      <c r="AF5352" s="48"/>
      <c r="AG5352" s="48"/>
      <c r="AH5352" s="48"/>
      <c r="AI5352" s="48"/>
      <c r="AJ5352" s="48"/>
      <c r="AK5352" s="48"/>
      <c r="AL5352" s="48"/>
      <c r="AM5352" s="48"/>
      <c r="AN5352" s="48"/>
      <c r="AO5352" s="48"/>
      <c r="AP5352" s="48"/>
      <c r="AQ5352" s="48"/>
      <c r="AR5352" s="48"/>
      <c r="AS5352" s="48"/>
      <c r="AT5352" s="48"/>
      <c r="AU5352" s="48"/>
      <c r="AV5352" s="48"/>
      <c r="AW5352" s="48"/>
      <c r="AX5352" s="48"/>
      <c r="AY5352" s="48"/>
      <c r="AZ5352" s="48"/>
      <c r="BA5352" s="48"/>
      <c r="BB5352" s="48"/>
      <c r="BC5352" s="48"/>
      <c r="BD5352" s="48"/>
    </row>
    <row r="5353" spans="1:56">
      <c r="A5353" s="48"/>
      <c r="B5353" s="48"/>
      <c r="C5353" s="49"/>
      <c r="D5353" s="48"/>
      <c r="E5353" s="48"/>
      <c r="F5353" s="48"/>
      <c r="G5353" s="48"/>
      <c r="H5353" s="48"/>
      <c r="I5353" s="48"/>
      <c r="J5353" s="86"/>
      <c r="K5353" s="86"/>
      <c r="L5353" s="86"/>
      <c r="M5353" s="86"/>
      <c r="N5353" s="86"/>
      <c r="O5353" s="86"/>
      <c r="P5353" s="86"/>
      <c r="Q5353" s="86"/>
      <c r="R5353" s="86"/>
      <c r="S5353" s="86"/>
      <c r="T5353" s="86"/>
      <c r="U5353" s="86"/>
      <c r="V5353" s="48"/>
      <c r="W5353" s="48"/>
      <c r="X5353" s="48"/>
      <c r="Y5353" s="48"/>
      <c r="Z5353" s="48"/>
      <c r="AA5353" s="48"/>
      <c r="AB5353" s="48"/>
      <c r="AC5353" s="48"/>
      <c r="AD5353" s="48"/>
      <c r="AE5353" s="48"/>
      <c r="AF5353" s="48"/>
      <c r="AG5353" s="48"/>
      <c r="AH5353" s="48"/>
      <c r="AI5353" s="48"/>
      <c r="AJ5353" s="48"/>
      <c r="AK5353" s="48"/>
      <c r="AL5353" s="48"/>
      <c r="AM5353" s="48"/>
      <c r="AN5353" s="48"/>
      <c r="AO5353" s="48"/>
      <c r="AP5353" s="48"/>
      <c r="AQ5353" s="48"/>
      <c r="AR5353" s="48"/>
      <c r="AS5353" s="48"/>
      <c r="AT5353" s="48"/>
      <c r="AU5353" s="48"/>
      <c r="AV5353" s="48"/>
      <c r="AW5353" s="48"/>
      <c r="AX5353" s="48"/>
      <c r="AY5353" s="48"/>
      <c r="AZ5353" s="48"/>
      <c r="BA5353" s="48"/>
      <c r="BB5353" s="48"/>
      <c r="BC5353" s="48"/>
      <c r="BD5353" s="48"/>
    </row>
    <row r="5354" spans="1:56">
      <c r="A5354" s="48"/>
      <c r="B5354" s="48"/>
      <c r="C5354" s="49"/>
      <c r="D5354" s="48"/>
      <c r="E5354" s="48"/>
      <c r="F5354" s="48"/>
      <c r="G5354" s="48"/>
      <c r="H5354" s="48"/>
      <c r="I5354" s="48"/>
      <c r="J5354" s="86"/>
      <c r="K5354" s="86"/>
      <c r="L5354" s="86"/>
      <c r="M5354" s="86"/>
      <c r="N5354" s="86"/>
      <c r="O5354" s="86"/>
      <c r="P5354" s="86"/>
      <c r="Q5354" s="86"/>
      <c r="R5354" s="86"/>
      <c r="S5354" s="86"/>
      <c r="T5354" s="86"/>
      <c r="U5354" s="86"/>
      <c r="V5354" s="48"/>
      <c r="W5354" s="48"/>
      <c r="X5354" s="48"/>
      <c r="Y5354" s="48"/>
      <c r="Z5354" s="48"/>
      <c r="AA5354" s="48"/>
      <c r="AB5354" s="48"/>
      <c r="AC5354" s="48"/>
      <c r="AD5354" s="48"/>
      <c r="AE5354" s="48"/>
      <c r="AF5354" s="48"/>
      <c r="AG5354" s="48"/>
      <c r="AH5354" s="48"/>
      <c r="AI5354" s="48"/>
      <c r="AJ5354" s="48"/>
      <c r="AK5354" s="48"/>
      <c r="AL5354" s="48"/>
      <c r="AM5354" s="48"/>
      <c r="AN5354" s="48"/>
      <c r="AO5354" s="48"/>
      <c r="AP5354" s="48"/>
      <c r="AQ5354" s="48"/>
      <c r="AR5354" s="48"/>
      <c r="AS5354" s="48"/>
      <c r="AT5354" s="48"/>
      <c r="AU5354" s="48"/>
      <c r="AV5354" s="48"/>
      <c r="AW5354" s="48"/>
      <c r="AX5354" s="48"/>
      <c r="AY5354" s="48"/>
      <c r="AZ5354" s="48"/>
      <c r="BA5354" s="48"/>
      <c r="BB5354" s="48"/>
      <c r="BC5354" s="48"/>
      <c r="BD5354" s="48"/>
    </row>
    <row r="5355" spans="1:56">
      <c r="A5355" s="48"/>
      <c r="B5355" s="48"/>
      <c r="C5355" s="49"/>
      <c r="D5355" s="48"/>
      <c r="E5355" s="48"/>
      <c r="F5355" s="48"/>
      <c r="G5355" s="48"/>
      <c r="H5355" s="48"/>
      <c r="I5355" s="48"/>
      <c r="J5355" s="86"/>
      <c r="K5355" s="86"/>
      <c r="L5355" s="86"/>
      <c r="M5355" s="86"/>
      <c r="N5355" s="86"/>
      <c r="O5355" s="86"/>
      <c r="P5355" s="86"/>
      <c r="Q5355" s="86"/>
      <c r="R5355" s="86"/>
      <c r="S5355" s="86"/>
      <c r="T5355" s="86"/>
      <c r="U5355" s="86"/>
      <c r="V5355" s="48"/>
      <c r="W5355" s="48"/>
      <c r="X5355" s="48"/>
      <c r="Y5355" s="48"/>
      <c r="Z5355" s="48"/>
      <c r="AA5355" s="48"/>
      <c r="AB5355" s="48"/>
      <c r="AC5355" s="48"/>
      <c r="AD5355" s="48"/>
      <c r="AE5355" s="48"/>
      <c r="AF5355" s="48"/>
      <c r="AG5355" s="48"/>
      <c r="AH5355" s="48"/>
      <c r="AI5355" s="48"/>
      <c r="AJ5355" s="48"/>
      <c r="AK5355" s="48"/>
      <c r="AL5355" s="48"/>
      <c r="AM5355" s="48"/>
      <c r="AN5355" s="48"/>
      <c r="AO5355" s="48"/>
      <c r="AP5355" s="48"/>
      <c r="AQ5355" s="48"/>
      <c r="AR5355" s="48"/>
      <c r="AS5355" s="48"/>
      <c r="AT5355" s="48"/>
      <c r="AU5355" s="48"/>
      <c r="AV5355" s="48"/>
      <c r="AW5355" s="48"/>
      <c r="AX5355" s="48"/>
      <c r="AY5355" s="48"/>
      <c r="AZ5355" s="48"/>
      <c r="BA5355" s="48"/>
      <c r="BB5355" s="48"/>
      <c r="BC5355" s="48"/>
      <c r="BD5355" s="48"/>
    </row>
    <row r="5356" spans="1:56">
      <c r="A5356" s="48"/>
      <c r="B5356" s="48"/>
      <c r="C5356" s="49"/>
      <c r="D5356" s="48"/>
      <c r="E5356" s="48"/>
      <c r="F5356" s="48"/>
      <c r="G5356" s="48"/>
      <c r="H5356" s="48"/>
      <c r="I5356" s="48"/>
      <c r="J5356" s="86"/>
      <c r="K5356" s="86"/>
      <c r="L5356" s="86"/>
      <c r="M5356" s="86"/>
      <c r="N5356" s="86"/>
      <c r="O5356" s="86"/>
      <c r="P5356" s="86"/>
      <c r="Q5356" s="86"/>
      <c r="R5356" s="86"/>
      <c r="S5356" s="86"/>
      <c r="T5356" s="86"/>
      <c r="U5356" s="86"/>
      <c r="V5356" s="48"/>
      <c r="W5356" s="48"/>
      <c r="X5356" s="48"/>
      <c r="Y5356" s="48"/>
      <c r="Z5356" s="48"/>
      <c r="AA5356" s="48"/>
      <c r="AB5356" s="48"/>
      <c r="AC5356" s="48"/>
      <c r="AD5356" s="48"/>
      <c r="AE5356" s="48"/>
      <c r="AF5356" s="48"/>
      <c r="AG5356" s="48"/>
      <c r="AH5356" s="48"/>
      <c r="AI5356" s="48"/>
      <c r="AJ5356" s="48"/>
      <c r="AK5356" s="48"/>
      <c r="AL5356" s="48"/>
      <c r="AM5356" s="48"/>
      <c r="AN5356" s="48"/>
      <c r="AO5356" s="48"/>
      <c r="AP5356" s="48"/>
      <c r="AQ5356" s="48"/>
      <c r="AR5356" s="48"/>
      <c r="AS5356" s="48"/>
      <c r="AT5356" s="48"/>
      <c r="AU5356" s="48"/>
      <c r="AV5356" s="48"/>
      <c r="AW5356" s="48"/>
      <c r="AX5356" s="48"/>
      <c r="AY5356" s="48"/>
      <c r="AZ5356" s="48"/>
      <c r="BA5356" s="48"/>
      <c r="BB5356" s="48"/>
      <c r="BC5356" s="48"/>
      <c r="BD5356" s="48"/>
    </row>
    <row r="5357" spans="1:56">
      <c r="A5357" s="48"/>
      <c r="B5357" s="48"/>
      <c r="C5357" s="49"/>
      <c r="D5357" s="48"/>
      <c r="E5357" s="48"/>
      <c r="F5357" s="48"/>
      <c r="G5357" s="48"/>
      <c r="H5357" s="48"/>
      <c r="I5357" s="48"/>
      <c r="J5357" s="86"/>
      <c r="K5357" s="86"/>
      <c r="L5357" s="86"/>
      <c r="M5357" s="86"/>
      <c r="N5357" s="86"/>
      <c r="O5357" s="86"/>
      <c r="P5357" s="86"/>
      <c r="Q5357" s="86"/>
      <c r="R5357" s="86"/>
      <c r="S5357" s="86"/>
      <c r="T5357" s="86"/>
      <c r="U5357" s="86"/>
      <c r="V5357" s="48"/>
      <c r="W5357" s="48"/>
      <c r="X5357" s="48"/>
      <c r="Y5357" s="48"/>
      <c r="Z5357" s="48"/>
      <c r="AA5357" s="48"/>
      <c r="AB5357" s="48"/>
      <c r="AC5357" s="48"/>
      <c r="AD5357" s="48"/>
      <c r="AE5357" s="48"/>
      <c r="AF5357" s="48"/>
      <c r="AG5357" s="48"/>
      <c r="AH5357" s="48"/>
      <c r="AI5357" s="48"/>
      <c r="AJ5357" s="48"/>
      <c r="AK5357" s="48"/>
      <c r="AL5357" s="48"/>
      <c r="AM5357" s="48"/>
      <c r="AN5357" s="48"/>
      <c r="AO5357" s="48"/>
      <c r="AP5357" s="48"/>
      <c r="AQ5357" s="48"/>
      <c r="AR5357" s="48"/>
      <c r="AS5357" s="48"/>
      <c r="AT5357" s="48"/>
      <c r="AU5357" s="48"/>
      <c r="AV5357" s="48"/>
      <c r="AW5357" s="48"/>
      <c r="AX5357" s="48"/>
      <c r="AY5357" s="48"/>
      <c r="AZ5357" s="48"/>
      <c r="BA5357" s="48"/>
      <c r="BB5357" s="48"/>
      <c r="BC5357" s="48"/>
      <c r="BD5357" s="48"/>
    </row>
    <row r="5358" spans="1:56">
      <c r="A5358" s="48"/>
      <c r="B5358" s="48"/>
      <c r="C5358" s="49"/>
      <c r="D5358" s="48"/>
      <c r="E5358" s="48"/>
      <c r="F5358" s="48"/>
      <c r="G5358" s="48"/>
      <c r="H5358" s="48"/>
      <c r="I5358" s="48"/>
      <c r="J5358" s="86"/>
      <c r="K5358" s="86"/>
      <c r="L5358" s="86"/>
      <c r="M5358" s="86"/>
      <c r="N5358" s="86"/>
      <c r="O5358" s="86"/>
      <c r="P5358" s="86"/>
      <c r="Q5358" s="86"/>
      <c r="R5358" s="86"/>
      <c r="S5358" s="86"/>
      <c r="T5358" s="86"/>
      <c r="U5358" s="86"/>
      <c r="V5358" s="48"/>
      <c r="W5358" s="48"/>
      <c r="X5358" s="48"/>
      <c r="Y5358" s="48"/>
      <c r="Z5358" s="48"/>
      <c r="AA5358" s="48"/>
      <c r="AB5358" s="48"/>
      <c r="AC5358" s="48"/>
      <c r="AD5358" s="48"/>
      <c r="AE5358" s="48"/>
      <c r="AF5358" s="48"/>
      <c r="AG5358" s="48"/>
      <c r="AH5358" s="48"/>
      <c r="AI5358" s="48"/>
      <c r="AJ5358" s="48"/>
      <c r="AK5358" s="48"/>
      <c r="AL5358" s="48"/>
      <c r="AM5358" s="48"/>
      <c r="AN5358" s="48"/>
      <c r="AO5358" s="48"/>
      <c r="AP5358" s="48"/>
      <c r="AQ5358" s="48"/>
      <c r="AR5358" s="48"/>
      <c r="AS5358" s="48"/>
      <c r="AT5358" s="48"/>
      <c r="AU5358" s="48"/>
      <c r="AV5358" s="48"/>
      <c r="AW5358" s="48"/>
      <c r="AX5358" s="48"/>
      <c r="AY5358" s="48"/>
      <c r="AZ5358" s="48"/>
      <c r="BA5358" s="48"/>
      <c r="BB5358" s="48"/>
      <c r="BC5358" s="48"/>
      <c r="BD5358" s="48"/>
    </row>
    <row r="5359" spans="1:56">
      <c r="A5359" s="48"/>
      <c r="B5359" s="48"/>
      <c r="C5359" s="49"/>
      <c r="D5359" s="48"/>
      <c r="E5359" s="48"/>
      <c r="F5359" s="48"/>
      <c r="G5359" s="48"/>
      <c r="H5359" s="48"/>
      <c r="I5359" s="48"/>
      <c r="J5359" s="86"/>
      <c r="K5359" s="86"/>
      <c r="L5359" s="86"/>
      <c r="M5359" s="86"/>
      <c r="N5359" s="86"/>
      <c r="O5359" s="86"/>
      <c r="P5359" s="86"/>
      <c r="Q5359" s="86"/>
      <c r="R5359" s="86"/>
      <c r="S5359" s="86"/>
      <c r="T5359" s="86"/>
      <c r="U5359" s="86"/>
      <c r="V5359" s="48"/>
      <c r="W5359" s="48"/>
      <c r="X5359" s="48"/>
      <c r="Y5359" s="48"/>
      <c r="Z5359" s="48"/>
      <c r="AA5359" s="48"/>
      <c r="AB5359" s="48"/>
      <c r="AC5359" s="48"/>
      <c r="AD5359" s="48"/>
      <c r="AE5359" s="48"/>
      <c r="AF5359" s="48"/>
      <c r="AG5359" s="48"/>
      <c r="AH5359" s="48"/>
      <c r="AI5359" s="48"/>
      <c r="AJ5359" s="48"/>
      <c r="AK5359" s="48"/>
      <c r="AL5359" s="48"/>
      <c r="AM5359" s="48"/>
      <c r="AN5359" s="48"/>
      <c r="AO5359" s="48"/>
      <c r="AP5359" s="48"/>
      <c r="AQ5359" s="48"/>
      <c r="AR5359" s="48"/>
      <c r="AS5359" s="48"/>
      <c r="AT5359" s="48"/>
      <c r="AU5359" s="48"/>
      <c r="AV5359" s="48"/>
      <c r="AW5359" s="48"/>
      <c r="AX5359" s="48"/>
      <c r="AY5359" s="48"/>
      <c r="AZ5359" s="48"/>
      <c r="BA5359" s="48"/>
      <c r="BB5359" s="48"/>
      <c r="BC5359" s="48"/>
      <c r="BD5359" s="48"/>
    </row>
    <row r="5360" spans="1:56">
      <c r="A5360" s="48"/>
      <c r="B5360" s="48"/>
      <c r="C5360" s="49"/>
      <c r="D5360" s="48"/>
      <c r="E5360" s="48"/>
      <c r="F5360" s="48"/>
      <c r="G5360" s="48"/>
      <c r="H5360" s="48"/>
      <c r="I5360" s="48"/>
      <c r="J5360" s="86"/>
      <c r="K5360" s="86"/>
      <c r="L5360" s="86"/>
      <c r="M5360" s="86"/>
      <c r="N5360" s="86"/>
      <c r="O5360" s="86"/>
      <c r="P5360" s="86"/>
      <c r="Q5360" s="86"/>
      <c r="R5360" s="86"/>
      <c r="S5360" s="86"/>
      <c r="T5360" s="86"/>
      <c r="U5360" s="86"/>
      <c r="V5360" s="48"/>
      <c r="W5360" s="48"/>
      <c r="X5360" s="48"/>
      <c r="Y5360" s="48"/>
      <c r="Z5360" s="48"/>
      <c r="AA5360" s="48"/>
      <c r="AB5360" s="48"/>
      <c r="AC5360" s="48"/>
      <c r="AD5360" s="48"/>
      <c r="AE5360" s="48"/>
      <c r="AF5360" s="48"/>
      <c r="AG5360" s="48"/>
      <c r="AH5360" s="48"/>
      <c r="AI5360" s="48"/>
      <c r="AJ5360" s="48"/>
      <c r="AK5360" s="48"/>
      <c r="AL5360" s="48"/>
      <c r="AM5360" s="48"/>
      <c r="AN5360" s="48"/>
      <c r="AO5360" s="48"/>
      <c r="AP5360" s="48"/>
      <c r="AQ5360" s="48"/>
      <c r="AR5360" s="48"/>
      <c r="AS5360" s="48"/>
      <c r="AT5360" s="48"/>
      <c r="AU5360" s="48"/>
      <c r="AV5360" s="48"/>
      <c r="AW5360" s="48"/>
      <c r="AX5360" s="48"/>
      <c r="AY5360" s="48"/>
      <c r="AZ5360" s="48"/>
      <c r="BA5360" s="48"/>
      <c r="BB5360" s="48"/>
      <c r="BC5360" s="48"/>
      <c r="BD5360" s="48"/>
    </row>
    <row r="5361" spans="1:56">
      <c r="A5361" s="48"/>
      <c r="B5361" s="48"/>
      <c r="C5361" s="49"/>
      <c r="D5361" s="48"/>
      <c r="E5361" s="48"/>
      <c r="F5361" s="48"/>
      <c r="G5361" s="48"/>
      <c r="H5361" s="48"/>
      <c r="I5361" s="48"/>
      <c r="J5361" s="86"/>
      <c r="K5361" s="86"/>
      <c r="L5361" s="86"/>
      <c r="M5361" s="86"/>
      <c r="N5361" s="86"/>
      <c r="O5361" s="86"/>
      <c r="P5361" s="86"/>
      <c r="Q5361" s="86"/>
      <c r="R5361" s="86"/>
      <c r="S5361" s="86"/>
      <c r="T5361" s="86"/>
      <c r="U5361" s="86"/>
      <c r="V5361" s="48"/>
      <c r="W5361" s="48"/>
      <c r="X5361" s="48"/>
      <c r="Y5361" s="48"/>
      <c r="Z5361" s="48"/>
      <c r="AA5361" s="48"/>
      <c r="AB5361" s="48"/>
      <c r="AC5361" s="48"/>
      <c r="AD5361" s="48"/>
      <c r="AE5361" s="48"/>
      <c r="AF5361" s="48"/>
      <c r="AG5361" s="48"/>
      <c r="AH5361" s="48"/>
      <c r="AI5361" s="48"/>
      <c r="AJ5361" s="48"/>
      <c r="AK5361" s="48"/>
      <c r="AL5361" s="48"/>
      <c r="AM5361" s="48"/>
      <c r="AN5361" s="48"/>
      <c r="AO5361" s="48"/>
      <c r="AP5361" s="48"/>
      <c r="AQ5361" s="48"/>
      <c r="AR5361" s="48"/>
      <c r="AS5361" s="48"/>
      <c r="AT5361" s="48"/>
      <c r="AU5361" s="48"/>
      <c r="AV5361" s="48"/>
      <c r="AW5361" s="48"/>
      <c r="AX5361" s="48"/>
      <c r="AY5361" s="48"/>
      <c r="AZ5361" s="48"/>
      <c r="BA5361" s="48"/>
      <c r="BB5361" s="48"/>
      <c r="BC5361" s="48"/>
      <c r="BD5361" s="48"/>
    </row>
    <row r="5362" spans="1:56">
      <c r="A5362" s="48"/>
      <c r="B5362" s="48"/>
      <c r="C5362" s="49"/>
      <c r="D5362" s="48"/>
      <c r="E5362" s="48"/>
      <c r="F5362" s="48"/>
      <c r="G5362" s="48"/>
      <c r="H5362" s="48"/>
      <c r="I5362" s="48"/>
      <c r="J5362" s="86"/>
      <c r="K5362" s="86"/>
      <c r="L5362" s="86"/>
      <c r="M5362" s="86"/>
      <c r="N5362" s="86"/>
      <c r="O5362" s="86"/>
      <c r="P5362" s="86"/>
      <c r="Q5362" s="86"/>
      <c r="R5362" s="86"/>
      <c r="S5362" s="86"/>
      <c r="T5362" s="86"/>
      <c r="U5362" s="86"/>
      <c r="V5362" s="48"/>
      <c r="W5362" s="48"/>
      <c r="X5362" s="48"/>
      <c r="Y5362" s="48"/>
      <c r="Z5362" s="48"/>
      <c r="AA5362" s="48"/>
      <c r="AB5362" s="48"/>
      <c r="AC5362" s="48"/>
      <c r="AD5362" s="48"/>
      <c r="AE5362" s="48"/>
      <c r="AF5362" s="48"/>
      <c r="AG5362" s="48"/>
      <c r="AH5362" s="48"/>
      <c r="AI5362" s="48"/>
      <c r="AJ5362" s="48"/>
      <c r="AK5362" s="48"/>
      <c r="AL5362" s="48"/>
      <c r="AM5362" s="48"/>
      <c r="AN5362" s="48"/>
      <c r="AO5362" s="48"/>
      <c r="AP5362" s="48"/>
      <c r="AQ5362" s="48"/>
      <c r="AR5362" s="48"/>
      <c r="AS5362" s="48"/>
      <c r="AT5362" s="48"/>
      <c r="AU5362" s="48"/>
      <c r="AV5362" s="48"/>
      <c r="AW5362" s="48"/>
      <c r="AX5362" s="48"/>
      <c r="AY5362" s="48"/>
      <c r="AZ5362" s="48"/>
      <c r="BA5362" s="48"/>
      <c r="BB5362" s="48"/>
      <c r="BC5362" s="48"/>
      <c r="BD5362" s="48"/>
    </row>
    <row r="5363" spans="1:56">
      <c r="A5363" s="48"/>
      <c r="B5363" s="48"/>
      <c r="C5363" s="49"/>
      <c r="D5363" s="48"/>
      <c r="E5363" s="48"/>
      <c r="F5363" s="48"/>
      <c r="G5363" s="48"/>
      <c r="H5363" s="48"/>
      <c r="I5363" s="48"/>
      <c r="J5363" s="86"/>
      <c r="K5363" s="86"/>
      <c r="L5363" s="86"/>
      <c r="M5363" s="86"/>
      <c r="N5363" s="86"/>
      <c r="O5363" s="86"/>
      <c r="P5363" s="86"/>
      <c r="Q5363" s="86"/>
      <c r="R5363" s="86"/>
      <c r="S5363" s="86"/>
      <c r="T5363" s="86"/>
      <c r="U5363" s="86"/>
      <c r="V5363" s="48"/>
      <c r="W5363" s="48"/>
      <c r="X5363" s="48"/>
      <c r="Y5363" s="48"/>
      <c r="Z5363" s="48"/>
      <c r="AA5363" s="48"/>
      <c r="AB5363" s="48"/>
      <c r="AC5363" s="48"/>
      <c r="AD5363" s="48"/>
      <c r="AE5363" s="48"/>
      <c r="AF5363" s="48"/>
      <c r="AG5363" s="48"/>
      <c r="AH5363" s="48"/>
      <c r="AI5363" s="48"/>
      <c r="AJ5363" s="48"/>
      <c r="AK5363" s="48"/>
      <c r="AL5363" s="48"/>
      <c r="AM5363" s="48"/>
      <c r="AN5363" s="48"/>
      <c r="AO5363" s="48"/>
      <c r="AP5363" s="48"/>
      <c r="AQ5363" s="48"/>
      <c r="AR5363" s="48"/>
      <c r="AS5363" s="48"/>
      <c r="AT5363" s="48"/>
      <c r="AU5363" s="48"/>
      <c r="AV5363" s="48"/>
      <c r="AW5363" s="48"/>
      <c r="AX5363" s="48"/>
      <c r="AY5363" s="48"/>
      <c r="AZ5363" s="48"/>
      <c r="BA5363" s="48"/>
      <c r="BB5363" s="48"/>
      <c r="BC5363" s="48"/>
      <c r="BD5363" s="48"/>
    </row>
    <row r="5364" spans="1:56">
      <c r="A5364" s="48"/>
      <c r="B5364" s="48"/>
      <c r="C5364" s="49"/>
      <c r="D5364" s="48"/>
      <c r="E5364" s="48"/>
      <c r="F5364" s="48"/>
      <c r="G5364" s="48"/>
      <c r="H5364" s="48"/>
      <c r="I5364" s="48"/>
      <c r="J5364" s="86"/>
      <c r="K5364" s="86"/>
      <c r="L5364" s="86"/>
      <c r="M5364" s="86"/>
      <c r="N5364" s="86"/>
      <c r="O5364" s="86"/>
      <c r="P5364" s="86"/>
      <c r="Q5364" s="86"/>
      <c r="R5364" s="86"/>
      <c r="S5364" s="86"/>
      <c r="T5364" s="86"/>
      <c r="U5364" s="86"/>
      <c r="V5364" s="48"/>
      <c r="W5364" s="48"/>
      <c r="X5364" s="48"/>
      <c r="Y5364" s="48"/>
      <c r="Z5364" s="48"/>
      <c r="AA5364" s="48"/>
      <c r="AB5364" s="48"/>
      <c r="AC5364" s="48"/>
      <c r="AD5364" s="48"/>
      <c r="AE5364" s="48"/>
      <c r="AF5364" s="48"/>
      <c r="AG5364" s="48"/>
      <c r="AH5364" s="48"/>
      <c r="AI5364" s="48"/>
      <c r="AJ5364" s="48"/>
      <c r="AK5364" s="48"/>
      <c r="AL5364" s="48"/>
      <c r="AM5364" s="48"/>
      <c r="AN5364" s="48"/>
      <c r="AO5364" s="48"/>
      <c r="AP5364" s="48"/>
      <c r="AQ5364" s="48"/>
      <c r="AR5364" s="48"/>
      <c r="AS5364" s="48"/>
      <c r="AT5364" s="48"/>
      <c r="AU5364" s="48"/>
      <c r="AV5364" s="48"/>
      <c r="AW5364" s="48"/>
      <c r="AX5364" s="48"/>
      <c r="AY5364" s="48"/>
      <c r="AZ5364" s="48"/>
      <c r="BA5364" s="48"/>
      <c r="BB5364" s="48"/>
      <c r="BC5364" s="48"/>
      <c r="BD5364" s="48"/>
    </row>
    <row r="5365" spans="1:56">
      <c r="A5365" s="48"/>
      <c r="B5365" s="48"/>
      <c r="C5365" s="49"/>
      <c r="D5365" s="48"/>
      <c r="E5365" s="48"/>
      <c r="F5365" s="48"/>
      <c r="G5365" s="48"/>
      <c r="H5365" s="48"/>
      <c r="I5365" s="48"/>
      <c r="J5365" s="86"/>
      <c r="K5365" s="86"/>
      <c r="L5365" s="86"/>
      <c r="M5365" s="86"/>
      <c r="N5365" s="86"/>
      <c r="O5365" s="86"/>
      <c r="P5365" s="86"/>
      <c r="Q5365" s="86"/>
      <c r="R5365" s="86"/>
      <c r="S5365" s="86"/>
      <c r="T5365" s="86"/>
      <c r="U5365" s="86"/>
      <c r="V5365" s="48"/>
      <c r="W5365" s="48"/>
      <c r="X5365" s="48"/>
      <c r="Y5365" s="48"/>
      <c r="Z5365" s="48"/>
      <c r="AA5365" s="48"/>
      <c r="AB5365" s="48"/>
      <c r="AC5365" s="48"/>
      <c r="AD5365" s="48"/>
      <c r="AE5365" s="48"/>
      <c r="AF5365" s="48"/>
      <c r="AG5365" s="48"/>
      <c r="AH5365" s="48"/>
      <c r="AI5365" s="48"/>
      <c r="AJ5365" s="48"/>
      <c r="AK5365" s="48"/>
      <c r="AL5365" s="48"/>
      <c r="AM5365" s="48"/>
      <c r="AN5365" s="48"/>
      <c r="AO5365" s="48"/>
      <c r="AP5365" s="48"/>
      <c r="AQ5365" s="48"/>
      <c r="AR5365" s="48"/>
      <c r="AS5365" s="48"/>
      <c r="AT5365" s="48"/>
      <c r="AU5365" s="48"/>
      <c r="AV5365" s="48"/>
      <c r="AW5365" s="48"/>
      <c r="AX5365" s="48"/>
      <c r="AY5365" s="48"/>
      <c r="AZ5365" s="48"/>
      <c r="BA5365" s="48"/>
      <c r="BB5365" s="48"/>
      <c r="BC5365" s="48"/>
      <c r="BD5365" s="48"/>
    </row>
    <row r="5366" spans="1:56">
      <c r="A5366" s="48"/>
      <c r="B5366" s="48"/>
      <c r="C5366" s="49"/>
      <c r="D5366" s="48"/>
      <c r="E5366" s="48"/>
      <c r="F5366" s="48"/>
      <c r="G5366" s="48"/>
      <c r="H5366" s="48"/>
      <c r="I5366" s="48"/>
      <c r="J5366" s="86"/>
      <c r="K5366" s="86"/>
      <c r="L5366" s="86"/>
      <c r="M5366" s="86"/>
      <c r="N5366" s="86"/>
      <c r="O5366" s="86"/>
      <c r="P5366" s="86"/>
      <c r="Q5366" s="86"/>
      <c r="R5366" s="86"/>
      <c r="S5366" s="86"/>
      <c r="T5366" s="86"/>
      <c r="U5366" s="86"/>
      <c r="V5366" s="48"/>
      <c r="W5366" s="48"/>
      <c r="X5366" s="48"/>
      <c r="Y5366" s="48"/>
      <c r="Z5366" s="48"/>
      <c r="AA5366" s="48"/>
      <c r="AB5366" s="48"/>
      <c r="AC5366" s="48"/>
      <c r="AD5366" s="48"/>
      <c r="AE5366" s="48"/>
      <c r="AF5366" s="48"/>
      <c r="AG5366" s="48"/>
      <c r="AH5366" s="48"/>
      <c r="AI5366" s="48"/>
      <c r="AJ5366" s="48"/>
      <c r="AK5366" s="48"/>
      <c r="AL5366" s="48"/>
      <c r="AM5366" s="48"/>
      <c r="AN5366" s="48"/>
      <c r="AO5366" s="48"/>
      <c r="AP5366" s="48"/>
      <c r="AQ5366" s="48"/>
      <c r="AR5366" s="48"/>
      <c r="AS5366" s="48"/>
      <c r="AT5366" s="48"/>
      <c r="AU5366" s="48"/>
      <c r="AV5366" s="48"/>
      <c r="AW5366" s="48"/>
      <c r="AX5366" s="48"/>
      <c r="AY5366" s="48"/>
      <c r="AZ5366" s="48"/>
      <c r="BA5366" s="48"/>
      <c r="BB5366" s="48"/>
      <c r="BC5366" s="48"/>
      <c r="BD5366" s="48"/>
    </row>
    <row r="5367" spans="1:56">
      <c r="A5367" s="48"/>
      <c r="B5367" s="48"/>
      <c r="C5367" s="49"/>
      <c r="D5367" s="48"/>
      <c r="E5367" s="48"/>
      <c r="F5367" s="48"/>
      <c r="G5367" s="48"/>
      <c r="H5367" s="48"/>
      <c r="I5367" s="48"/>
      <c r="J5367" s="86"/>
      <c r="K5367" s="86"/>
      <c r="L5367" s="86"/>
      <c r="M5367" s="86"/>
      <c r="N5367" s="86"/>
      <c r="O5367" s="86"/>
      <c r="P5367" s="86"/>
      <c r="Q5367" s="86"/>
      <c r="R5367" s="86"/>
      <c r="S5367" s="86"/>
      <c r="T5367" s="86"/>
      <c r="U5367" s="86"/>
      <c r="V5367" s="48"/>
      <c r="W5367" s="48"/>
      <c r="X5367" s="48"/>
      <c r="Y5367" s="48"/>
      <c r="Z5367" s="48"/>
      <c r="AA5367" s="48"/>
      <c r="AB5367" s="48"/>
      <c r="AC5367" s="48"/>
      <c r="AD5367" s="48"/>
      <c r="AE5367" s="48"/>
      <c r="AF5367" s="48"/>
      <c r="AG5367" s="48"/>
      <c r="AH5367" s="48"/>
      <c r="AI5367" s="48"/>
      <c r="AJ5367" s="48"/>
      <c r="AK5367" s="48"/>
      <c r="AL5367" s="48"/>
      <c r="AM5367" s="48"/>
      <c r="AN5367" s="48"/>
      <c r="AO5367" s="48"/>
      <c r="AP5367" s="48"/>
      <c r="AQ5367" s="48"/>
      <c r="AR5367" s="48"/>
      <c r="AS5367" s="48"/>
      <c r="AT5367" s="48"/>
      <c r="AU5367" s="48"/>
      <c r="AV5367" s="48"/>
      <c r="AW5367" s="48"/>
      <c r="AX5367" s="48"/>
      <c r="AY5367" s="48"/>
      <c r="AZ5367" s="48"/>
      <c r="BA5367" s="48"/>
      <c r="BB5367" s="48"/>
      <c r="BC5367" s="48"/>
      <c r="BD5367" s="48"/>
    </row>
    <row r="5368" spans="1:56">
      <c r="A5368" s="48"/>
      <c r="B5368" s="48"/>
      <c r="C5368" s="49"/>
      <c r="D5368" s="48"/>
      <c r="E5368" s="48"/>
      <c r="F5368" s="48"/>
      <c r="G5368" s="48"/>
      <c r="H5368" s="48"/>
      <c r="I5368" s="48"/>
      <c r="J5368" s="86"/>
      <c r="K5368" s="86"/>
      <c r="L5368" s="86"/>
      <c r="M5368" s="86"/>
      <c r="N5368" s="86"/>
      <c r="O5368" s="86"/>
      <c r="P5368" s="86"/>
      <c r="Q5368" s="86"/>
      <c r="R5368" s="86"/>
      <c r="S5368" s="86"/>
      <c r="T5368" s="86"/>
      <c r="U5368" s="86"/>
      <c r="V5368" s="48"/>
      <c r="W5368" s="48"/>
      <c r="X5368" s="48"/>
      <c r="Y5368" s="48"/>
      <c r="Z5368" s="48"/>
      <c r="AA5368" s="48"/>
      <c r="AB5368" s="48"/>
      <c r="AC5368" s="48"/>
      <c r="AD5368" s="48"/>
      <c r="AE5368" s="48"/>
      <c r="AF5368" s="48"/>
      <c r="AG5368" s="48"/>
      <c r="AH5368" s="48"/>
      <c r="AI5368" s="48"/>
      <c r="AJ5368" s="48"/>
      <c r="AK5368" s="48"/>
      <c r="AL5368" s="48"/>
      <c r="AM5368" s="48"/>
      <c r="AN5368" s="48"/>
      <c r="AO5368" s="48"/>
      <c r="AP5368" s="48"/>
      <c r="AQ5368" s="48"/>
      <c r="AR5368" s="48"/>
      <c r="AS5368" s="48"/>
      <c r="AT5368" s="48"/>
      <c r="AU5368" s="48"/>
      <c r="AV5368" s="48"/>
      <c r="AW5368" s="48"/>
      <c r="AX5368" s="48"/>
      <c r="AY5368" s="48"/>
      <c r="AZ5368" s="48"/>
      <c r="BA5368" s="48"/>
      <c r="BB5368" s="48"/>
      <c r="BC5368" s="48"/>
      <c r="BD5368" s="48"/>
    </row>
    <row r="5369" spans="1:56">
      <c r="A5369" s="48"/>
      <c r="B5369" s="48"/>
      <c r="C5369" s="49"/>
      <c r="D5369" s="48"/>
      <c r="E5369" s="48"/>
      <c r="F5369" s="48"/>
      <c r="G5369" s="48"/>
      <c r="H5369" s="48"/>
      <c r="I5369" s="48"/>
      <c r="J5369" s="86"/>
      <c r="K5369" s="86"/>
      <c r="L5369" s="86"/>
      <c r="M5369" s="86"/>
      <c r="N5369" s="86"/>
      <c r="O5369" s="86"/>
      <c r="P5369" s="86"/>
      <c r="Q5369" s="86"/>
      <c r="R5369" s="86"/>
      <c r="S5369" s="86"/>
      <c r="T5369" s="86"/>
      <c r="U5369" s="86"/>
      <c r="V5369" s="48"/>
      <c r="W5369" s="48"/>
      <c r="X5369" s="48"/>
      <c r="Y5369" s="48"/>
      <c r="Z5369" s="48"/>
      <c r="AA5369" s="48"/>
      <c r="AB5369" s="48"/>
      <c r="AC5369" s="48"/>
      <c r="AD5369" s="48"/>
      <c r="AE5369" s="48"/>
      <c r="AF5369" s="48"/>
      <c r="AG5369" s="48"/>
      <c r="AH5369" s="48"/>
      <c r="AI5369" s="48"/>
      <c r="AJ5369" s="48"/>
      <c r="AK5369" s="48"/>
      <c r="AL5369" s="48"/>
      <c r="AM5369" s="48"/>
      <c r="AN5369" s="48"/>
      <c r="AO5369" s="48"/>
      <c r="AP5369" s="48"/>
      <c r="AQ5369" s="48"/>
      <c r="AR5369" s="48"/>
      <c r="AS5369" s="48"/>
      <c r="AT5369" s="48"/>
      <c r="AU5369" s="48"/>
      <c r="AV5369" s="48"/>
      <c r="AW5369" s="48"/>
      <c r="AX5369" s="48"/>
      <c r="AY5369" s="48"/>
      <c r="AZ5369" s="48"/>
      <c r="BA5369" s="48"/>
      <c r="BB5369" s="48"/>
      <c r="BC5369" s="48"/>
      <c r="BD5369" s="48"/>
    </row>
    <row r="5370" spans="1:56">
      <c r="A5370" s="48"/>
      <c r="B5370" s="48"/>
      <c r="C5370" s="49"/>
      <c r="D5370" s="48"/>
      <c r="E5370" s="48"/>
      <c r="F5370" s="48"/>
      <c r="G5370" s="48"/>
      <c r="H5370" s="48"/>
      <c r="I5370" s="48"/>
      <c r="J5370" s="86"/>
      <c r="K5370" s="86"/>
      <c r="L5370" s="86"/>
      <c r="M5370" s="86"/>
      <c r="N5370" s="86"/>
      <c r="O5370" s="86"/>
      <c r="P5370" s="86"/>
      <c r="Q5370" s="86"/>
      <c r="R5370" s="86"/>
      <c r="S5370" s="86"/>
      <c r="T5370" s="86"/>
      <c r="U5370" s="86"/>
      <c r="V5370" s="48"/>
      <c r="W5370" s="48"/>
      <c r="X5370" s="48"/>
      <c r="Y5370" s="48"/>
      <c r="Z5370" s="48"/>
      <c r="AA5370" s="48"/>
      <c r="AB5370" s="48"/>
      <c r="AC5370" s="48"/>
      <c r="AD5370" s="48"/>
      <c r="AE5370" s="48"/>
      <c r="AF5370" s="48"/>
      <c r="AG5370" s="48"/>
      <c r="AH5370" s="48"/>
      <c r="AI5370" s="48"/>
      <c r="AJ5370" s="48"/>
      <c r="AK5370" s="48"/>
      <c r="AL5370" s="48"/>
      <c r="AM5370" s="48"/>
      <c r="AN5370" s="48"/>
      <c r="AO5370" s="48"/>
      <c r="AP5370" s="48"/>
      <c r="AQ5370" s="48"/>
      <c r="AR5370" s="48"/>
      <c r="AS5370" s="48"/>
      <c r="AT5370" s="48"/>
      <c r="AU5370" s="48"/>
      <c r="AV5370" s="48"/>
      <c r="AW5370" s="48"/>
      <c r="AX5370" s="48"/>
      <c r="AY5370" s="48"/>
      <c r="AZ5370" s="48"/>
      <c r="BA5370" s="48"/>
      <c r="BB5370" s="48"/>
      <c r="BC5370" s="48"/>
      <c r="BD5370" s="48"/>
    </row>
    <row r="5371" spans="1:56">
      <c r="A5371" s="48"/>
      <c r="B5371" s="48"/>
      <c r="C5371" s="49"/>
      <c r="D5371" s="48"/>
      <c r="E5371" s="48"/>
      <c r="F5371" s="48"/>
      <c r="G5371" s="48"/>
      <c r="H5371" s="48"/>
      <c r="I5371" s="48"/>
      <c r="J5371" s="86"/>
      <c r="K5371" s="86"/>
      <c r="L5371" s="86"/>
      <c r="M5371" s="86"/>
      <c r="N5371" s="86"/>
      <c r="O5371" s="86"/>
      <c r="P5371" s="86"/>
      <c r="Q5371" s="86"/>
      <c r="R5371" s="86"/>
      <c r="S5371" s="86"/>
      <c r="T5371" s="86"/>
      <c r="U5371" s="86"/>
      <c r="V5371" s="48"/>
      <c r="W5371" s="48"/>
      <c r="X5371" s="48"/>
      <c r="Y5371" s="48"/>
      <c r="Z5371" s="48"/>
      <c r="AA5371" s="48"/>
      <c r="AB5371" s="48"/>
      <c r="AC5371" s="48"/>
      <c r="AD5371" s="48"/>
      <c r="AE5371" s="48"/>
      <c r="AF5371" s="48"/>
      <c r="AG5371" s="48"/>
      <c r="AH5371" s="48"/>
      <c r="AI5371" s="48"/>
      <c r="AJ5371" s="48"/>
      <c r="AK5371" s="48"/>
      <c r="AL5371" s="48"/>
      <c r="AM5371" s="48"/>
      <c r="AN5371" s="48"/>
      <c r="AO5371" s="48"/>
      <c r="AP5371" s="48"/>
      <c r="AQ5371" s="48"/>
      <c r="AR5371" s="48"/>
      <c r="AS5371" s="48"/>
      <c r="AT5371" s="48"/>
      <c r="AU5371" s="48"/>
      <c r="AV5371" s="48"/>
      <c r="AW5371" s="48"/>
      <c r="AX5371" s="48"/>
      <c r="AY5371" s="48"/>
      <c r="AZ5371" s="48"/>
      <c r="BA5371" s="48"/>
      <c r="BB5371" s="48"/>
      <c r="BC5371" s="48"/>
      <c r="BD5371" s="48"/>
    </row>
    <row r="5372" spans="1:56">
      <c r="A5372" s="48"/>
      <c r="B5372" s="48"/>
      <c r="C5372" s="49"/>
      <c r="D5372" s="48"/>
      <c r="E5372" s="48"/>
      <c r="F5372" s="48"/>
      <c r="G5372" s="48"/>
      <c r="H5372" s="48"/>
      <c r="I5372" s="48"/>
      <c r="J5372" s="86"/>
      <c r="K5372" s="86"/>
      <c r="L5372" s="86"/>
      <c r="M5372" s="86"/>
      <c r="N5372" s="86"/>
      <c r="O5372" s="86"/>
      <c r="P5372" s="86"/>
      <c r="Q5372" s="86"/>
      <c r="R5372" s="86"/>
      <c r="S5372" s="86"/>
      <c r="T5372" s="86"/>
      <c r="U5372" s="86"/>
      <c r="V5372" s="48"/>
      <c r="W5372" s="48"/>
      <c r="X5372" s="48"/>
      <c r="Y5372" s="48"/>
      <c r="Z5372" s="48"/>
      <c r="AA5372" s="48"/>
      <c r="AB5372" s="48"/>
      <c r="AC5372" s="48"/>
      <c r="AD5372" s="48"/>
      <c r="AE5372" s="48"/>
      <c r="AF5372" s="48"/>
      <c r="AG5372" s="48"/>
      <c r="AH5372" s="48"/>
      <c r="AI5372" s="48"/>
      <c r="AJ5372" s="48"/>
      <c r="AK5372" s="48"/>
      <c r="AL5372" s="48"/>
      <c r="AM5372" s="48"/>
      <c r="AN5372" s="48"/>
      <c r="AO5372" s="48"/>
      <c r="AP5372" s="48"/>
      <c r="AQ5372" s="48"/>
      <c r="AR5372" s="48"/>
      <c r="AS5372" s="48"/>
      <c r="AT5372" s="48"/>
      <c r="AU5372" s="48"/>
      <c r="AV5372" s="48"/>
      <c r="AW5372" s="48"/>
      <c r="AX5372" s="48"/>
      <c r="AY5372" s="48"/>
      <c r="AZ5372" s="48"/>
      <c r="BA5372" s="48"/>
      <c r="BB5372" s="48"/>
      <c r="BC5372" s="48"/>
      <c r="BD5372" s="48"/>
    </row>
    <row r="5373" spans="1:56">
      <c r="A5373" s="48"/>
      <c r="B5373" s="48"/>
      <c r="C5373" s="49"/>
      <c r="D5373" s="48"/>
      <c r="E5373" s="48"/>
      <c r="F5373" s="48"/>
      <c r="G5373" s="48"/>
      <c r="H5373" s="48"/>
      <c r="I5373" s="48"/>
      <c r="J5373" s="86"/>
      <c r="K5373" s="86"/>
      <c r="L5373" s="86"/>
      <c r="M5373" s="86"/>
      <c r="N5373" s="86"/>
      <c r="O5373" s="86"/>
      <c r="P5373" s="86"/>
      <c r="Q5373" s="86"/>
      <c r="R5373" s="86"/>
      <c r="S5373" s="86"/>
      <c r="T5373" s="86"/>
      <c r="U5373" s="86"/>
      <c r="V5373" s="48"/>
      <c r="W5373" s="48"/>
      <c r="X5373" s="48"/>
      <c r="Y5373" s="48"/>
      <c r="Z5373" s="48"/>
      <c r="AA5373" s="48"/>
      <c r="AB5373" s="48"/>
      <c r="AC5373" s="48"/>
      <c r="AD5373" s="48"/>
      <c r="AE5373" s="48"/>
      <c r="AF5373" s="48"/>
      <c r="AG5373" s="48"/>
      <c r="AH5373" s="48"/>
      <c r="AI5373" s="48"/>
      <c r="AJ5373" s="48"/>
      <c r="AK5373" s="48"/>
      <c r="AL5373" s="48"/>
      <c r="AM5373" s="48"/>
      <c r="AN5373" s="48"/>
      <c r="AO5373" s="48"/>
      <c r="AP5373" s="48"/>
      <c r="AQ5373" s="48"/>
      <c r="AR5373" s="48"/>
      <c r="AS5373" s="48"/>
      <c r="AT5373" s="48"/>
      <c r="AU5373" s="48"/>
      <c r="AV5373" s="48"/>
      <c r="AW5373" s="48"/>
      <c r="AX5373" s="48"/>
      <c r="AY5373" s="48"/>
      <c r="AZ5373" s="48"/>
      <c r="BA5373" s="48"/>
      <c r="BB5373" s="48"/>
      <c r="BC5373" s="48"/>
      <c r="BD5373" s="48"/>
    </row>
    <row r="5374" spans="1:56">
      <c r="A5374" s="48"/>
      <c r="B5374" s="48"/>
      <c r="C5374" s="49"/>
      <c r="D5374" s="48"/>
      <c r="E5374" s="48"/>
      <c r="F5374" s="48"/>
      <c r="G5374" s="48"/>
      <c r="H5374" s="48"/>
      <c r="I5374" s="48"/>
      <c r="J5374" s="86"/>
      <c r="K5374" s="86"/>
      <c r="L5374" s="86"/>
      <c r="M5374" s="86"/>
      <c r="N5374" s="86"/>
      <c r="O5374" s="86"/>
      <c r="P5374" s="86"/>
      <c r="Q5374" s="86"/>
      <c r="R5374" s="86"/>
      <c r="S5374" s="86"/>
      <c r="T5374" s="86"/>
      <c r="U5374" s="86"/>
      <c r="V5374" s="48"/>
      <c r="W5374" s="48"/>
      <c r="X5374" s="48"/>
      <c r="Y5374" s="48"/>
      <c r="Z5374" s="48"/>
      <c r="AA5374" s="48"/>
      <c r="AB5374" s="48"/>
      <c r="AC5374" s="48"/>
      <c r="AD5374" s="48"/>
      <c r="AE5374" s="48"/>
      <c r="AF5374" s="48"/>
      <c r="AG5374" s="48"/>
      <c r="AH5374" s="48"/>
      <c r="AI5374" s="48"/>
      <c r="AJ5374" s="48"/>
      <c r="AK5374" s="48"/>
      <c r="AL5374" s="48"/>
      <c r="AM5374" s="48"/>
      <c r="AN5374" s="48"/>
      <c r="AO5374" s="48"/>
      <c r="AP5374" s="48"/>
      <c r="AQ5374" s="48"/>
      <c r="AR5374" s="48"/>
      <c r="AS5374" s="48"/>
      <c r="AT5374" s="48"/>
      <c r="AU5374" s="48"/>
      <c r="AV5374" s="48"/>
      <c r="AW5374" s="48"/>
      <c r="AX5374" s="48"/>
      <c r="AY5374" s="48"/>
      <c r="AZ5374" s="48"/>
      <c r="BA5374" s="48"/>
      <c r="BB5374" s="48"/>
      <c r="BC5374" s="48"/>
      <c r="BD5374" s="48"/>
    </row>
    <row r="5375" spans="1:56">
      <c r="A5375" s="48"/>
      <c r="B5375" s="48"/>
      <c r="C5375" s="49"/>
      <c r="D5375" s="48"/>
      <c r="E5375" s="48"/>
      <c r="F5375" s="48"/>
      <c r="G5375" s="48"/>
      <c r="H5375" s="48"/>
      <c r="I5375" s="48"/>
      <c r="J5375" s="86"/>
      <c r="K5375" s="86"/>
      <c r="L5375" s="86"/>
      <c r="M5375" s="86"/>
      <c r="N5375" s="86"/>
      <c r="O5375" s="86"/>
      <c r="P5375" s="86"/>
      <c r="Q5375" s="86"/>
      <c r="R5375" s="86"/>
      <c r="S5375" s="86"/>
      <c r="T5375" s="86"/>
      <c r="U5375" s="86"/>
      <c r="V5375" s="48"/>
      <c r="W5375" s="48"/>
      <c r="X5375" s="48"/>
      <c r="Y5375" s="48"/>
      <c r="Z5375" s="48"/>
      <c r="AA5375" s="48"/>
      <c r="AB5375" s="48"/>
      <c r="AC5375" s="48"/>
      <c r="AD5375" s="48"/>
      <c r="AE5375" s="48"/>
      <c r="AF5375" s="48"/>
      <c r="AG5375" s="48"/>
      <c r="AH5375" s="48"/>
      <c r="AI5375" s="48"/>
      <c r="AJ5375" s="48"/>
      <c r="AK5375" s="48"/>
      <c r="AL5375" s="48"/>
      <c r="AM5375" s="48"/>
      <c r="AN5375" s="48"/>
      <c r="AO5375" s="48"/>
      <c r="AP5375" s="48"/>
      <c r="AQ5375" s="48"/>
      <c r="AR5375" s="48"/>
      <c r="AS5375" s="48"/>
      <c r="AT5375" s="48"/>
      <c r="AU5375" s="48"/>
      <c r="AV5375" s="48"/>
      <c r="AW5375" s="48"/>
      <c r="AX5375" s="48"/>
      <c r="AY5375" s="48"/>
      <c r="AZ5375" s="48"/>
      <c r="BA5375" s="48"/>
      <c r="BB5375" s="48"/>
      <c r="BC5375" s="48"/>
      <c r="BD5375" s="48"/>
    </row>
    <row r="5376" spans="1:56">
      <c r="A5376" s="48"/>
      <c r="B5376" s="48"/>
      <c r="C5376" s="49"/>
      <c r="D5376" s="48"/>
      <c r="E5376" s="48"/>
      <c r="F5376" s="48"/>
      <c r="G5376" s="48"/>
      <c r="H5376" s="48"/>
      <c r="I5376" s="48"/>
      <c r="J5376" s="86"/>
      <c r="K5376" s="86"/>
      <c r="L5376" s="86"/>
      <c r="M5376" s="86"/>
      <c r="N5376" s="86"/>
      <c r="O5376" s="86"/>
      <c r="P5376" s="86"/>
      <c r="Q5376" s="86"/>
      <c r="R5376" s="86"/>
      <c r="S5376" s="86"/>
      <c r="T5376" s="86"/>
      <c r="U5376" s="86"/>
      <c r="V5376" s="48"/>
      <c r="W5376" s="48"/>
      <c r="X5376" s="48"/>
      <c r="Y5376" s="48"/>
      <c r="Z5376" s="48"/>
      <c r="AA5376" s="48"/>
      <c r="AB5376" s="48"/>
      <c r="AC5376" s="48"/>
      <c r="AD5376" s="48"/>
      <c r="AE5376" s="48"/>
      <c r="AF5376" s="48"/>
      <c r="AG5376" s="48"/>
      <c r="AH5376" s="48"/>
      <c r="AI5376" s="48"/>
      <c r="AJ5376" s="48"/>
      <c r="AK5376" s="48"/>
      <c r="AL5376" s="48"/>
      <c r="AM5376" s="48"/>
      <c r="AN5376" s="48"/>
      <c r="AO5376" s="48"/>
      <c r="AP5376" s="48"/>
      <c r="AQ5376" s="48"/>
      <c r="AR5376" s="48"/>
      <c r="AS5376" s="48"/>
      <c r="AT5376" s="48"/>
      <c r="AU5376" s="48"/>
      <c r="AV5376" s="48"/>
      <c r="AW5376" s="48"/>
      <c r="AX5376" s="48"/>
      <c r="AY5376" s="48"/>
      <c r="AZ5376" s="48"/>
      <c r="BA5376" s="48"/>
      <c r="BB5376" s="48"/>
      <c r="BC5376" s="48"/>
      <c r="BD5376" s="48"/>
    </row>
    <row r="5377" spans="1:56">
      <c r="A5377" s="48"/>
      <c r="B5377" s="48"/>
      <c r="C5377" s="49"/>
      <c r="D5377" s="48"/>
      <c r="E5377" s="48"/>
      <c r="F5377" s="48"/>
      <c r="G5377" s="48"/>
      <c r="H5377" s="48"/>
      <c r="I5377" s="48"/>
      <c r="J5377" s="86"/>
      <c r="K5377" s="86"/>
      <c r="L5377" s="86"/>
      <c r="M5377" s="86"/>
      <c r="N5377" s="86"/>
      <c r="O5377" s="86"/>
      <c r="P5377" s="86"/>
      <c r="Q5377" s="86"/>
      <c r="R5377" s="86"/>
      <c r="S5377" s="86"/>
      <c r="T5377" s="86"/>
      <c r="U5377" s="86"/>
      <c r="V5377" s="48"/>
      <c r="W5377" s="48"/>
      <c r="X5377" s="48"/>
      <c r="Y5377" s="48"/>
      <c r="Z5377" s="48"/>
      <c r="AA5377" s="48"/>
      <c r="AB5377" s="48"/>
      <c r="AC5377" s="48"/>
      <c r="AD5377" s="48"/>
      <c r="AE5377" s="48"/>
      <c r="AF5377" s="48"/>
      <c r="AG5377" s="48"/>
      <c r="AH5377" s="48"/>
      <c r="AI5377" s="48"/>
      <c r="AJ5377" s="48"/>
      <c r="AK5377" s="48"/>
      <c r="AL5377" s="48"/>
      <c r="AM5377" s="48"/>
      <c r="AN5377" s="48"/>
      <c r="AO5377" s="48"/>
      <c r="AP5377" s="48"/>
      <c r="AQ5377" s="48"/>
      <c r="AR5377" s="48"/>
      <c r="AS5377" s="48"/>
      <c r="AT5377" s="48"/>
      <c r="AU5377" s="48"/>
      <c r="AV5377" s="48"/>
      <c r="AW5377" s="48"/>
      <c r="AX5377" s="48"/>
      <c r="AY5377" s="48"/>
      <c r="AZ5377" s="48"/>
      <c r="BA5377" s="48"/>
      <c r="BB5377" s="48"/>
      <c r="BC5377" s="48"/>
      <c r="BD5377" s="48"/>
    </row>
    <row r="5378" spans="1:56">
      <c r="A5378" s="48"/>
      <c r="B5378" s="48"/>
      <c r="C5378" s="49"/>
      <c r="D5378" s="48"/>
      <c r="E5378" s="48"/>
      <c r="F5378" s="48"/>
      <c r="G5378" s="48"/>
      <c r="H5378" s="48"/>
      <c r="I5378" s="48"/>
      <c r="J5378" s="86"/>
      <c r="K5378" s="86"/>
      <c r="L5378" s="86"/>
      <c r="M5378" s="86"/>
      <c r="N5378" s="86"/>
      <c r="O5378" s="86"/>
      <c r="P5378" s="86"/>
      <c r="Q5378" s="86"/>
      <c r="R5378" s="86"/>
      <c r="S5378" s="86"/>
      <c r="T5378" s="86"/>
      <c r="U5378" s="86"/>
      <c r="V5378" s="48"/>
      <c r="W5378" s="48"/>
      <c r="X5378" s="48"/>
      <c r="Y5378" s="48"/>
      <c r="Z5378" s="48"/>
      <c r="AA5378" s="48"/>
      <c r="AB5378" s="48"/>
      <c r="AC5378" s="48"/>
      <c r="AD5378" s="48"/>
      <c r="AE5378" s="48"/>
      <c r="AF5378" s="48"/>
      <c r="AG5378" s="48"/>
      <c r="AH5378" s="48"/>
      <c r="AI5378" s="48"/>
      <c r="AJ5378" s="48"/>
      <c r="AK5378" s="48"/>
      <c r="AL5378" s="48"/>
      <c r="AM5378" s="48"/>
      <c r="AN5378" s="48"/>
      <c r="AO5378" s="48"/>
      <c r="AP5378" s="48"/>
      <c r="AQ5378" s="48"/>
      <c r="AR5378" s="48"/>
      <c r="AS5378" s="48"/>
      <c r="AT5378" s="48"/>
      <c r="AU5378" s="48"/>
      <c r="AV5378" s="48"/>
      <c r="AW5378" s="48"/>
      <c r="AX5378" s="48"/>
      <c r="AY5378" s="48"/>
      <c r="AZ5378" s="48"/>
      <c r="BA5378" s="48"/>
      <c r="BB5378" s="48"/>
      <c r="BC5378" s="48"/>
      <c r="BD5378" s="48"/>
    </row>
    <row r="5379" spans="1:56">
      <c r="A5379" s="48"/>
      <c r="B5379" s="48"/>
      <c r="C5379" s="49"/>
      <c r="D5379" s="48"/>
      <c r="E5379" s="48"/>
      <c r="F5379" s="48"/>
      <c r="G5379" s="48"/>
      <c r="H5379" s="48"/>
      <c r="I5379" s="48"/>
      <c r="J5379" s="86"/>
      <c r="K5379" s="86"/>
      <c r="L5379" s="86"/>
      <c r="M5379" s="86"/>
      <c r="N5379" s="86"/>
      <c r="O5379" s="86"/>
      <c r="P5379" s="86"/>
      <c r="Q5379" s="86"/>
      <c r="R5379" s="86"/>
      <c r="S5379" s="86"/>
      <c r="T5379" s="86"/>
      <c r="U5379" s="86"/>
      <c r="V5379" s="48"/>
      <c r="W5379" s="48"/>
      <c r="X5379" s="48"/>
      <c r="Y5379" s="48"/>
      <c r="Z5379" s="48"/>
      <c r="AA5379" s="48"/>
      <c r="AB5379" s="48"/>
      <c r="AC5379" s="48"/>
      <c r="AD5379" s="48"/>
      <c r="AE5379" s="48"/>
      <c r="AF5379" s="48"/>
      <c r="AG5379" s="48"/>
      <c r="AH5379" s="48"/>
      <c r="AI5379" s="48"/>
      <c r="AJ5379" s="48"/>
      <c r="AK5379" s="48"/>
      <c r="AL5379" s="48"/>
      <c r="AM5379" s="48"/>
      <c r="AN5379" s="48"/>
      <c r="AO5379" s="48"/>
      <c r="AP5379" s="48"/>
      <c r="AQ5379" s="48"/>
      <c r="AR5379" s="48"/>
      <c r="AS5379" s="48"/>
      <c r="AT5379" s="48"/>
      <c r="AU5379" s="48"/>
      <c r="AV5379" s="48"/>
      <c r="AW5379" s="48"/>
      <c r="AX5379" s="48"/>
      <c r="AY5379" s="48"/>
      <c r="AZ5379" s="48"/>
      <c r="BA5379" s="48"/>
      <c r="BB5379" s="48"/>
      <c r="BC5379" s="48"/>
      <c r="BD5379" s="48"/>
    </row>
    <row r="5380" spans="1:56">
      <c r="A5380" s="48"/>
      <c r="B5380" s="48"/>
      <c r="C5380" s="49"/>
      <c r="D5380" s="48"/>
      <c r="E5380" s="48"/>
      <c r="F5380" s="48"/>
      <c r="G5380" s="48"/>
      <c r="H5380" s="48"/>
      <c r="I5380" s="48"/>
      <c r="J5380" s="86"/>
      <c r="K5380" s="86"/>
      <c r="L5380" s="86"/>
      <c r="M5380" s="86"/>
      <c r="N5380" s="86"/>
      <c r="O5380" s="86"/>
      <c r="P5380" s="86"/>
      <c r="Q5380" s="86"/>
      <c r="R5380" s="86"/>
      <c r="S5380" s="86"/>
      <c r="T5380" s="86"/>
      <c r="U5380" s="86"/>
      <c r="V5380" s="48"/>
      <c r="W5380" s="48"/>
      <c r="X5380" s="48"/>
      <c r="Y5380" s="48"/>
      <c r="Z5380" s="48"/>
      <c r="AA5380" s="48"/>
      <c r="AB5380" s="48"/>
      <c r="AC5380" s="48"/>
      <c r="AD5380" s="48"/>
      <c r="AE5380" s="48"/>
      <c r="AF5380" s="48"/>
      <c r="AG5380" s="48"/>
      <c r="AH5380" s="48"/>
      <c r="AI5380" s="48"/>
      <c r="AJ5380" s="48"/>
      <c r="AK5380" s="48"/>
      <c r="AL5380" s="48"/>
      <c r="AM5380" s="48"/>
      <c r="AN5380" s="48"/>
      <c r="AO5380" s="48"/>
      <c r="AP5380" s="48"/>
      <c r="AQ5380" s="48"/>
      <c r="AR5380" s="48"/>
      <c r="AS5380" s="48"/>
      <c r="AT5380" s="48"/>
      <c r="AU5380" s="48"/>
      <c r="AV5380" s="48"/>
      <c r="AW5380" s="48"/>
      <c r="AX5380" s="48"/>
      <c r="AY5380" s="48"/>
      <c r="AZ5380" s="48"/>
      <c r="BA5380" s="48"/>
      <c r="BB5380" s="48"/>
      <c r="BC5380" s="48"/>
      <c r="BD5380" s="48"/>
    </row>
    <row r="5381" spans="1:56">
      <c r="A5381" s="48"/>
      <c r="B5381" s="48"/>
      <c r="C5381" s="49"/>
      <c r="D5381" s="48"/>
      <c r="E5381" s="48"/>
      <c r="F5381" s="48"/>
      <c r="G5381" s="48"/>
      <c r="H5381" s="48"/>
      <c r="I5381" s="48"/>
      <c r="J5381" s="86"/>
      <c r="K5381" s="86"/>
      <c r="L5381" s="86"/>
      <c r="M5381" s="86"/>
      <c r="N5381" s="86"/>
      <c r="O5381" s="86"/>
      <c r="P5381" s="86"/>
      <c r="Q5381" s="86"/>
      <c r="R5381" s="86"/>
      <c r="S5381" s="86"/>
      <c r="T5381" s="86"/>
      <c r="U5381" s="86"/>
      <c r="V5381" s="48"/>
      <c r="W5381" s="48"/>
      <c r="X5381" s="48"/>
      <c r="Y5381" s="48"/>
      <c r="Z5381" s="48"/>
      <c r="AA5381" s="48"/>
      <c r="AB5381" s="48"/>
      <c r="AC5381" s="48"/>
      <c r="AD5381" s="48"/>
      <c r="AE5381" s="48"/>
      <c r="AF5381" s="48"/>
      <c r="AG5381" s="48"/>
      <c r="AH5381" s="48"/>
      <c r="AI5381" s="48"/>
      <c r="AJ5381" s="48"/>
      <c r="AK5381" s="48"/>
      <c r="AL5381" s="48"/>
      <c r="AM5381" s="48"/>
      <c r="AN5381" s="48"/>
      <c r="AO5381" s="48"/>
      <c r="AP5381" s="48"/>
      <c r="AQ5381" s="48"/>
      <c r="AR5381" s="48"/>
      <c r="AS5381" s="48"/>
      <c r="AT5381" s="48"/>
      <c r="AU5381" s="48"/>
      <c r="AV5381" s="48"/>
      <c r="AW5381" s="48"/>
      <c r="AX5381" s="48"/>
      <c r="AY5381" s="48"/>
      <c r="AZ5381" s="48"/>
      <c r="BA5381" s="48"/>
      <c r="BB5381" s="48"/>
      <c r="BC5381" s="48"/>
      <c r="BD5381" s="48"/>
    </row>
    <row r="5382" spans="1:56">
      <c r="A5382" s="48"/>
      <c r="B5382" s="48"/>
      <c r="C5382" s="49"/>
      <c r="D5382" s="48"/>
      <c r="E5382" s="48"/>
      <c r="F5382" s="48"/>
      <c r="G5382" s="48"/>
      <c r="H5382" s="48"/>
      <c r="I5382" s="48"/>
      <c r="J5382" s="86"/>
      <c r="K5382" s="86"/>
      <c r="L5382" s="86"/>
      <c r="M5382" s="86"/>
      <c r="N5382" s="86"/>
      <c r="O5382" s="86"/>
      <c r="P5382" s="86"/>
      <c r="Q5382" s="86"/>
      <c r="R5382" s="86"/>
      <c r="S5382" s="86"/>
      <c r="T5382" s="86"/>
      <c r="U5382" s="86"/>
      <c r="V5382" s="48"/>
      <c r="W5382" s="48"/>
      <c r="X5382" s="48"/>
      <c r="Y5382" s="48"/>
      <c r="Z5382" s="48"/>
      <c r="AA5382" s="48"/>
      <c r="AB5382" s="48"/>
      <c r="AC5382" s="48"/>
      <c r="AD5382" s="48"/>
      <c r="AE5382" s="48"/>
      <c r="AF5382" s="48"/>
      <c r="AG5382" s="48"/>
      <c r="AH5382" s="48"/>
      <c r="AI5382" s="48"/>
      <c r="AJ5382" s="48"/>
      <c r="AK5382" s="48"/>
      <c r="AL5382" s="48"/>
      <c r="AM5382" s="48"/>
      <c r="AN5382" s="48"/>
      <c r="AO5382" s="48"/>
      <c r="AP5382" s="48"/>
      <c r="AQ5382" s="48"/>
      <c r="AR5382" s="48"/>
      <c r="AS5382" s="48"/>
      <c r="AT5382" s="48"/>
      <c r="AU5382" s="48"/>
      <c r="AV5382" s="48"/>
      <c r="AW5382" s="48"/>
      <c r="AX5382" s="48"/>
      <c r="AY5382" s="48"/>
      <c r="AZ5382" s="48"/>
      <c r="BA5382" s="48"/>
      <c r="BB5382" s="48"/>
      <c r="BC5382" s="48"/>
      <c r="BD5382" s="48"/>
    </row>
    <row r="5383" spans="1:56">
      <c r="A5383" s="48"/>
      <c r="B5383" s="48"/>
      <c r="C5383" s="49"/>
      <c r="D5383" s="48"/>
      <c r="E5383" s="48"/>
      <c r="F5383" s="48"/>
      <c r="G5383" s="48"/>
      <c r="H5383" s="48"/>
      <c r="I5383" s="48"/>
      <c r="J5383" s="86"/>
      <c r="K5383" s="86"/>
      <c r="L5383" s="86"/>
      <c r="M5383" s="86"/>
      <c r="N5383" s="86"/>
      <c r="O5383" s="86"/>
      <c r="P5383" s="86"/>
      <c r="Q5383" s="86"/>
      <c r="R5383" s="86"/>
      <c r="S5383" s="86"/>
      <c r="T5383" s="86"/>
      <c r="U5383" s="86"/>
      <c r="V5383" s="48"/>
      <c r="W5383" s="48"/>
      <c r="X5383" s="48"/>
      <c r="Y5383" s="48"/>
      <c r="Z5383" s="48"/>
      <c r="AA5383" s="48"/>
      <c r="AB5383" s="48"/>
      <c r="AC5383" s="48"/>
      <c r="AD5383" s="48"/>
      <c r="AE5383" s="48"/>
      <c r="AF5383" s="48"/>
      <c r="AG5383" s="48"/>
      <c r="AH5383" s="48"/>
      <c r="AI5383" s="48"/>
      <c r="AJ5383" s="48"/>
      <c r="AK5383" s="48"/>
      <c r="AL5383" s="48"/>
      <c r="AM5383" s="48"/>
      <c r="AN5383" s="48"/>
      <c r="AO5383" s="48"/>
      <c r="AP5383" s="48"/>
      <c r="AQ5383" s="48"/>
      <c r="AR5383" s="48"/>
      <c r="AS5383" s="48"/>
      <c r="AT5383" s="48"/>
      <c r="AU5383" s="48"/>
      <c r="AV5383" s="48"/>
      <c r="AW5383" s="48"/>
      <c r="AX5383" s="48"/>
      <c r="AY5383" s="48"/>
      <c r="AZ5383" s="48"/>
      <c r="BA5383" s="48"/>
      <c r="BB5383" s="48"/>
      <c r="BC5383" s="48"/>
      <c r="BD5383" s="48"/>
    </row>
    <row r="5384" spans="1:56">
      <c r="A5384" s="48"/>
      <c r="B5384" s="48"/>
      <c r="C5384" s="49"/>
      <c r="D5384" s="48"/>
      <c r="E5384" s="48"/>
      <c r="F5384" s="48"/>
      <c r="G5384" s="48"/>
      <c r="H5384" s="48"/>
      <c r="I5384" s="48"/>
      <c r="J5384" s="86"/>
      <c r="K5384" s="86"/>
      <c r="L5384" s="86"/>
      <c r="M5384" s="86"/>
      <c r="N5384" s="86"/>
      <c r="O5384" s="86"/>
      <c r="P5384" s="86"/>
      <c r="Q5384" s="86"/>
      <c r="R5384" s="86"/>
      <c r="S5384" s="86"/>
      <c r="T5384" s="86"/>
      <c r="U5384" s="86"/>
      <c r="V5384" s="48"/>
      <c r="W5384" s="48"/>
      <c r="X5384" s="48"/>
      <c r="Y5384" s="48"/>
      <c r="Z5384" s="48"/>
      <c r="AA5384" s="48"/>
      <c r="AB5384" s="48"/>
      <c r="AC5384" s="48"/>
      <c r="AD5384" s="48"/>
      <c r="AE5384" s="48"/>
      <c r="AF5384" s="48"/>
      <c r="AG5384" s="48"/>
      <c r="AH5384" s="48"/>
      <c r="AI5384" s="48"/>
      <c r="AJ5384" s="48"/>
      <c r="AK5384" s="48"/>
      <c r="AL5384" s="48"/>
      <c r="AM5384" s="48"/>
      <c r="AN5384" s="48"/>
      <c r="AO5384" s="48"/>
      <c r="AP5384" s="48"/>
      <c r="AQ5384" s="48"/>
      <c r="AR5384" s="48"/>
      <c r="AS5384" s="48"/>
      <c r="AT5384" s="48"/>
      <c r="AU5384" s="48"/>
      <c r="AV5384" s="48"/>
      <c r="AW5384" s="48"/>
      <c r="AX5384" s="48"/>
      <c r="AY5384" s="48"/>
      <c r="AZ5384" s="48"/>
      <c r="BA5384" s="48"/>
      <c r="BB5384" s="48"/>
      <c r="BC5384" s="48"/>
      <c r="BD5384" s="48"/>
    </row>
    <row r="5385" spans="1:56">
      <c r="A5385" s="48"/>
      <c r="B5385" s="48"/>
      <c r="C5385" s="49"/>
      <c r="D5385" s="48"/>
      <c r="E5385" s="48"/>
      <c r="F5385" s="48"/>
      <c r="G5385" s="48"/>
      <c r="H5385" s="48"/>
      <c r="I5385" s="48"/>
      <c r="J5385" s="86"/>
      <c r="K5385" s="86"/>
      <c r="L5385" s="86"/>
      <c r="M5385" s="86"/>
      <c r="N5385" s="86"/>
      <c r="O5385" s="86"/>
      <c r="P5385" s="86"/>
      <c r="Q5385" s="86"/>
      <c r="R5385" s="86"/>
      <c r="S5385" s="86"/>
      <c r="T5385" s="86"/>
      <c r="U5385" s="86"/>
      <c r="V5385" s="48"/>
      <c r="W5385" s="48"/>
      <c r="X5385" s="48"/>
      <c r="Y5385" s="48"/>
      <c r="Z5385" s="48"/>
      <c r="AA5385" s="48"/>
      <c r="AB5385" s="48"/>
      <c r="AC5385" s="48"/>
      <c r="AD5385" s="48"/>
      <c r="AE5385" s="48"/>
      <c r="AF5385" s="48"/>
      <c r="AG5385" s="48"/>
      <c r="AH5385" s="48"/>
      <c r="AI5385" s="48"/>
      <c r="AJ5385" s="48"/>
      <c r="AK5385" s="48"/>
      <c r="AL5385" s="48"/>
      <c r="AM5385" s="48"/>
      <c r="AN5385" s="48"/>
      <c r="AO5385" s="48"/>
      <c r="AP5385" s="48"/>
      <c r="AQ5385" s="48"/>
      <c r="AR5385" s="48"/>
      <c r="AS5385" s="48"/>
      <c r="AT5385" s="48"/>
      <c r="AU5385" s="48"/>
      <c r="AV5385" s="48"/>
      <c r="AW5385" s="48"/>
      <c r="AX5385" s="48"/>
      <c r="AY5385" s="48"/>
      <c r="AZ5385" s="48"/>
      <c r="BA5385" s="48"/>
      <c r="BB5385" s="48"/>
      <c r="BC5385" s="48"/>
      <c r="BD5385" s="48"/>
    </row>
    <row r="5386" spans="1:56">
      <c r="A5386" s="48"/>
      <c r="B5386" s="48"/>
      <c r="C5386" s="49"/>
      <c r="D5386" s="48"/>
      <c r="E5386" s="48"/>
      <c r="F5386" s="48"/>
      <c r="G5386" s="48"/>
      <c r="H5386" s="48"/>
      <c r="I5386" s="48"/>
      <c r="J5386" s="86"/>
      <c r="K5386" s="86"/>
      <c r="L5386" s="86"/>
      <c r="M5386" s="86"/>
      <c r="N5386" s="86"/>
      <c r="O5386" s="86"/>
      <c r="P5386" s="86"/>
      <c r="Q5386" s="86"/>
      <c r="R5386" s="86"/>
      <c r="S5386" s="86"/>
      <c r="T5386" s="86"/>
      <c r="U5386" s="86"/>
      <c r="V5386" s="48"/>
      <c r="W5386" s="48"/>
      <c r="X5386" s="48"/>
      <c r="Y5386" s="48"/>
      <c r="Z5386" s="48"/>
      <c r="AA5386" s="48"/>
      <c r="AB5386" s="48"/>
      <c r="AC5386" s="48"/>
      <c r="AD5386" s="48"/>
      <c r="AE5386" s="48"/>
      <c r="AF5386" s="48"/>
      <c r="AG5386" s="48"/>
      <c r="AH5386" s="48"/>
      <c r="AI5386" s="48"/>
      <c r="AJ5386" s="48"/>
      <c r="AK5386" s="48"/>
      <c r="AL5386" s="48"/>
      <c r="AM5386" s="48"/>
      <c r="AN5386" s="48"/>
      <c r="AO5386" s="48"/>
      <c r="AP5386" s="48"/>
      <c r="AQ5386" s="48"/>
      <c r="AR5386" s="48"/>
      <c r="AS5386" s="48"/>
      <c r="AT5386" s="48"/>
      <c r="AU5386" s="48"/>
      <c r="AV5386" s="48"/>
      <c r="AW5386" s="48"/>
      <c r="AX5386" s="48"/>
      <c r="AY5386" s="48"/>
      <c r="AZ5386" s="48"/>
      <c r="BA5386" s="48"/>
      <c r="BB5386" s="48"/>
      <c r="BC5386" s="48"/>
      <c r="BD5386" s="48"/>
    </row>
    <row r="5387" spans="1:56">
      <c r="A5387" s="48"/>
      <c r="B5387" s="48"/>
      <c r="C5387" s="49"/>
      <c r="D5387" s="48"/>
      <c r="E5387" s="48"/>
      <c r="F5387" s="48"/>
      <c r="G5387" s="48"/>
      <c r="H5387" s="48"/>
      <c r="I5387" s="48"/>
      <c r="J5387" s="86"/>
      <c r="K5387" s="86"/>
      <c r="L5387" s="86"/>
      <c r="M5387" s="86"/>
      <c r="N5387" s="86"/>
      <c r="O5387" s="86"/>
      <c r="P5387" s="86"/>
      <c r="Q5387" s="86"/>
      <c r="R5387" s="86"/>
      <c r="S5387" s="86"/>
      <c r="T5387" s="86"/>
      <c r="U5387" s="86"/>
      <c r="V5387" s="48"/>
      <c r="W5387" s="48"/>
      <c r="X5387" s="48"/>
      <c r="Y5387" s="48"/>
      <c r="Z5387" s="48"/>
      <c r="AA5387" s="48"/>
      <c r="AB5387" s="48"/>
      <c r="AC5387" s="48"/>
      <c r="AD5387" s="48"/>
      <c r="AE5387" s="48"/>
      <c r="AF5387" s="48"/>
      <c r="AG5387" s="48"/>
      <c r="AH5387" s="48"/>
      <c r="AI5387" s="48"/>
      <c r="AJ5387" s="48"/>
      <c r="AK5387" s="48"/>
      <c r="AL5387" s="48"/>
      <c r="AM5387" s="48"/>
      <c r="AN5387" s="48"/>
      <c r="AO5387" s="48"/>
      <c r="AP5387" s="48"/>
      <c r="AQ5387" s="48"/>
      <c r="AR5387" s="48"/>
      <c r="AS5387" s="48"/>
      <c r="AT5387" s="48"/>
      <c r="AU5387" s="48"/>
      <c r="AV5387" s="48"/>
      <c r="AW5387" s="48"/>
      <c r="AX5387" s="48"/>
      <c r="AY5387" s="48"/>
      <c r="AZ5387" s="48"/>
      <c r="BA5387" s="48"/>
      <c r="BB5387" s="48"/>
      <c r="BC5387" s="48"/>
      <c r="BD5387" s="48"/>
    </row>
    <row r="5388" spans="1:56">
      <c r="A5388" s="48"/>
      <c r="B5388" s="48"/>
      <c r="C5388" s="49"/>
      <c r="D5388" s="48"/>
      <c r="E5388" s="48"/>
      <c r="F5388" s="48"/>
      <c r="G5388" s="48"/>
      <c r="H5388" s="48"/>
      <c r="I5388" s="48"/>
      <c r="J5388" s="86"/>
      <c r="K5388" s="86"/>
      <c r="L5388" s="86"/>
      <c r="M5388" s="86"/>
      <c r="N5388" s="86"/>
      <c r="O5388" s="86"/>
      <c r="P5388" s="86"/>
      <c r="Q5388" s="86"/>
      <c r="R5388" s="86"/>
      <c r="S5388" s="86"/>
      <c r="T5388" s="86"/>
      <c r="U5388" s="86"/>
      <c r="V5388" s="48"/>
      <c r="W5388" s="48"/>
      <c r="X5388" s="48"/>
      <c r="Y5388" s="48"/>
      <c r="Z5388" s="48"/>
      <c r="AA5388" s="48"/>
      <c r="AB5388" s="48"/>
      <c r="AC5388" s="48"/>
      <c r="AD5388" s="48"/>
      <c r="AE5388" s="48"/>
      <c r="AF5388" s="48"/>
      <c r="AG5388" s="48"/>
      <c r="AH5388" s="48"/>
      <c r="AI5388" s="48"/>
      <c r="AJ5388" s="48"/>
      <c r="AK5388" s="48"/>
      <c r="AL5388" s="48"/>
      <c r="AM5388" s="48"/>
      <c r="AN5388" s="48"/>
      <c r="AO5388" s="48"/>
      <c r="AP5388" s="48"/>
      <c r="AQ5388" s="48"/>
      <c r="AR5388" s="48"/>
      <c r="AS5388" s="48"/>
      <c r="AT5388" s="48"/>
      <c r="AU5388" s="48"/>
      <c r="AV5388" s="48"/>
      <c r="AW5388" s="48"/>
      <c r="AX5388" s="48"/>
      <c r="AY5388" s="48"/>
      <c r="AZ5388" s="48"/>
      <c r="BA5388" s="48"/>
      <c r="BB5388" s="48"/>
      <c r="BC5388" s="48"/>
      <c r="BD5388" s="48"/>
    </row>
    <row r="5389" spans="1:56">
      <c r="A5389" s="48"/>
      <c r="B5389" s="48"/>
      <c r="C5389" s="49"/>
      <c r="D5389" s="48"/>
      <c r="E5389" s="48"/>
      <c r="F5389" s="48"/>
      <c r="G5389" s="48"/>
      <c r="H5389" s="48"/>
      <c r="I5389" s="48"/>
      <c r="J5389" s="86"/>
      <c r="K5389" s="86"/>
      <c r="L5389" s="86"/>
      <c r="M5389" s="86"/>
      <c r="N5389" s="86"/>
      <c r="O5389" s="86"/>
      <c r="P5389" s="86"/>
      <c r="Q5389" s="86"/>
      <c r="R5389" s="86"/>
      <c r="S5389" s="86"/>
      <c r="T5389" s="86"/>
      <c r="U5389" s="86"/>
      <c r="V5389" s="48"/>
      <c r="W5389" s="48"/>
      <c r="X5389" s="48"/>
      <c r="Y5389" s="48"/>
      <c r="Z5389" s="48"/>
      <c r="AA5389" s="48"/>
      <c r="AB5389" s="48"/>
      <c r="AC5389" s="48"/>
      <c r="AD5389" s="48"/>
      <c r="AE5389" s="48"/>
      <c r="AF5389" s="48"/>
      <c r="AG5389" s="48"/>
      <c r="AH5389" s="48"/>
      <c r="AI5389" s="48"/>
      <c r="AJ5389" s="48"/>
      <c r="AK5389" s="48"/>
      <c r="AL5389" s="48"/>
      <c r="AM5389" s="48"/>
      <c r="AN5389" s="48"/>
      <c r="AO5389" s="48"/>
      <c r="AP5389" s="48"/>
      <c r="AQ5389" s="48"/>
      <c r="AR5389" s="48"/>
      <c r="AS5389" s="48"/>
      <c r="AT5389" s="48"/>
      <c r="AU5389" s="48"/>
      <c r="AV5389" s="48"/>
      <c r="AW5389" s="48"/>
      <c r="AX5389" s="48"/>
      <c r="AY5389" s="48"/>
      <c r="AZ5389" s="48"/>
      <c r="BA5389" s="48"/>
      <c r="BB5389" s="48"/>
      <c r="BC5389" s="48"/>
      <c r="BD5389" s="48"/>
    </row>
    <row r="5390" spans="1:56">
      <c r="A5390" s="48"/>
      <c r="B5390" s="48"/>
      <c r="C5390" s="49"/>
      <c r="D5390" s="48"/>
      <c r="E5390" s="48"/>
      <c r="F5390" s="48"/>
      <c r="G5390" s="48"/>
      <c r="H5390" s="48"/>
      <c r="I5390" s="48"/>
      <c r="J5390" s="86"/>
      <c r="K5390" s="86"/>
      <c r="L5390" s="86"/>
      <c r="M5390" s="86"/>
      <c r="N5390" s="86"/>
      <c r="O5390" s="86"/>
      <c r="P5390" s="86"/>
      <c r="Q5390" s="86"/>
      <c r="R5390" s="86"/>
      <c r="S5390" s="86"/>
      <c r="T5390" s="86"/>
      <c r="U5390" s="86"/>
      <c r="V5390" s="48"/>
      <c r="W5390" s="48"/>
      <c r="X5390" s="48"/>
      <c r="Y5390" s="48"/>
      <c r="Z5390" s="48"/>
      <c r="AA5390" s="48"/>
      <c r="AB5390" s="48"/>
      <c r="AC5390" s="48"/>
      <c r="AD5390" s="48"/>
      <c r="AE5390" s="48"/>
      <c r="AF5390" s="48"/>
      <c r="AG5390" s="48"/>
      <c r="AH5390" s="48"/>
      <c r="AI5390" s="48"/>
      <c r="AJ5390" s="48"/>
      <c r="AK5390" s="48"/>
      <c r="AL5390" s="48"/>
      <c r="AM5390" s="48"/>
      <c r="AN5390" s="48"/>
      <c r="AO5390" s="48"/>
      <c r="AP5390" s="48"/>
      <c r="AQ5390" s="48"/>
      <c r="AR5390" s="48"/>
      <c r="AS5390" s="48"/>
      <c r="AT5390" s="48"/>
      <c r="AU5390" s="48"/>
      <c r="AV5390" s="48"/>
      <c r="AW5390" s="48"/>
      <c r="AX5390" s="48"/>
      <c r="AY5390" s="48"/>
      <c r="AZ5390" s="48"/>
      <c r="BA5390" s="48"/>
      <c r="BB5390" s="48"/>
      <c r="BC5390" s="48"/>
      <c r="BD5390" s="48"/>
    </row>
    <row r="5391" spans="1:56">
      <c r="A5391" s="48"/>
      <c r="B5391" s="48"/>
      <c r="C5391" s="49"/>
      <c r="D5391" s="48"/>
      <c r="E5391" s="48"/>
      <c r="F5391" s="48"/>
      <c r="G5391" s="48"/>
      <c r="H5391" s="48"/>
      <c r="I5391" s="48"/>
      <c r="J5391" s="86"/>
      <c r="K5391" s="86"/>
      <c r="L5391" s="86"/>
      <c r="M5391" s="86"/>
      <c r="N5391" s="86"/>
      <c r="O5391" s="86"/>
      <c r="P5391" s="86"/>
      <c r="Q5391" s="86"/>
      <c r="R5391" s="86"/>
      <c r="S5391" s="86"/>
      <c r="T5391" s="86"/>
      <c r="U5391" s="86"/>
      <c r="V5391" s="48"/>
      <c r="W5391" s="48"/>
      <c r="X5391" s="48"/>
      <c r="Y5391" s="48"/>
      <c r="Z5391" s="48"/>
      <c r="AA5391" s="48"/>
      <c r="AB5391" s="48"/>
      <c r="AC5391" s="48"/>
      <c r="AD5391" s="48"/>
      <c r="AE5391" s="48"/>
      <c r="AF5391" s="48"/>
      <c r="AG5391" s="48"/>
      <c r="AH5391" s="48"/>
      <c r="AI5391" s="48"/>
      <c r="AJ5391" s="48"/>
      <c r="AK5391" s="48"/>
      <c r="AL5391" s="48"/>
      <c r="AM5391" s="48"/>
      <c r="AN5391" s="48"/>
      <c r="AO5391" s="48"/>
      <c r="AP5391" s="48"/>
      <c r="AQ5391" s="48"/>
      <c r="AR5391" s="48"/>
      <c r="AS5391" s="48"/>
      <c r="AT5391" s="48"/>
      <c r="AU5391" s="48"/>
      <c r="AV5391" s="48"/>
      <c r="AW5391" s="48"/>
      <c r="AX5391" s="48"/>
      <c r="AY5391" s="48"/>
      <c r="AZ5391" s="48"/>
      <c r="BA5391" s="48"/>
      <c r="BB5391" s="48"/>
      <c r="BC5391" s="48"/>
      <c r="BD5391" s="48"/>
    </row>
    <row r="5392" spans="1:56">
      <c r="A5392" s="48"/>
      <c r="B5392" s="48"/>
      <c r="C5392" s="49"/>
      <c r="D5392" s="48"/>
      <c r="E5392" s="48"/>
      <c r="F5392" s="48"/>
      <c r="G5392" s="48"/>
      <c r="H5392" s="48"/>
      <c r="I5392" s="48"/>
      <c r="J5392" s="86"/>
      <c r="K5392" s="86"/>
      <c r="L5392" s="86"/>
      <c r="M5392" s="86"/>
      <c r="N5392" s="86"/>
      <c r="O5392" s="86"/>
      <c r="P5392" s="86"/>
      <c r="Q5392" s="86"/>
      <c r="R5392" s="86"/>
      <c r="S5392" s="86"/>
      <c r="T5392" s="86"/>
      <c r="U5392" s="86"/>
      <c r="V5392" s="48"/>
      <c r="W5392" s="48"/>
      <c r="X5392" s="48"/>
      <c r="Y5392" s="48"/>
      <c r="Z5392" s="48"/>
      <c r="AA5392" s="48"/>
      <c r="AB5392" s="48"/>
      <c r="AC5392" s="48"/>
      <c r="AD5392" s="48"/>
      <c r="AE5392" s="48"/>
      <c r="AF5392" s="48"/>
      <c r="AG5392" s="48"/>
      <c r="AH5392" s="48"/>
      <c r="AI5392" s="48"/>
      <c r="AJ5392" s="48"/>
      <c r="AK5392" s="48"/>
      <c r="AL5392" s="48"/>
      <c r="AM5392" s="48"/>
      <c r="AN5392" s="48"/>
      <c r="AO5392" s="48"/>
      <c r="AP5392" s="48"/>
      <c r="AQ5392" s="48"/>
      <c r="AR5392" s="48"/>
      <c r="AS5392" s="48"/>
      <c r="AT5392" s="48"/>
      <c r="AU5392" s="48"/>
      <c r="AV5392" s="48"/>
      <c r="AW5392" s="48"/>
      <c r="AX5392" s="48"/>
      <c r="AY5392" s="48"/>
      <c r="AZ5392" s="48"/>
      <c r="BA5392" s="48"/>
      <c r="BB5392" s="48"/>
      <c r="BC5392" s="48"/>
      <c r="BD5392" s="48"/>
    </row>
    <row r="5393" spans="1:56">
      <c r="A5393" s="48"/>
      <c r="B5393" s="48"/>
      <c r="C5393" s="49"/>
      <c r="D5393" s="48"/>
      <c r="E5393" s="48"/>
      <c r="F5393" s="48"/>
      <c r="G5393" s="48"/>
      <c r="H5393" s="48"/>
      <c r="I5393" s="48"/>
      <c r="J5393" s="86"/>
      <c r="K5393" s="86"/>
      <c r="L5393" s="86"/>
      <c r="M5393" s="86"/>
      <c r="N5393" s="86"/>
      <c r="O5393" s="86"/>
      <c r="P5393" s="86"/>
      <c r="Q5393" s="86"/>
      <c r="R5393" s="86"/>
      <c r="S5393" s="86"/>
      <c r="T5393" s="86"/>
      <c r="U5393" s="86"/>
      <c r="V5393" s="48"/>
      <c r="W5393" s="48"/>
      <c r="X5393" s="48"/>
      <c r="Y5393" s="48"/>
      <c r="Z5393" s="48"/>
      <c r="AA5393" s="48"/>
      <c r="AB5393" s="48"/>
      <c r="AC5393" s="48"/>
      <c r="AD5393" s="48"/>
      <c r="AE5393" s="48"/>
      <c r="AF5393" s="48"/>
      <c r="AG5393" s="48"/>
      <c r="AH5393" s="48"/>
      <c r="AI5393" s="48"/>
      <c r="AJ5393" s="48"/>
      <c r="AK5393" s="48"/>
      <c r="AL5393" s="48"/>
      <c r="AM5393" s="48"/>
      <c r="AN5393" s="48"/>
      <c r="AO5393" s="48"/>
      <c r="AP5393" s="48"/>
      <c r="AQ5393" s="48"/>
      <c r="AR5393" s="48"/>
      <c r="AS5393" s="48"/>
      <c r="AT5393" s="48"/>
      <c r="AU5393" s="48"/>
      <c r="AV5393" s="48"/>
      <c r="AW5393" s="48"/>
      <c r="AX5393" s="48"/>
      <c r="AY5393" s="48"/>
      <c r="AZ5393" s="48"/>
      <c r="BA5393" s="48"/>
      <c r="BB5393" s="48"/>
      <c r="BC5393" s="48"/>
      <c r="BD5393" s="48"/>
    </row>
    <row r="5394" spans="1:56">
      <c r="A5394" s="48"/>
      <c r="B5394" s="48"/>
      <c r="C5394" s="49"/>
      <c r="D5394" s="48"/>
      <c r="E5394" s="48"/>
      <c r="F5394" s="48"/>
      <c r="G5394" s="48"/>
      <c r="H5394" s="48"/>
      <c r="I5394" s="48"/>
      <c r="J5394" s="86"/>
      <c r="K5394" s="86"/>
      <c r="L5394" s="86"/>
      <c r="M5394" s="86"/>
      <c r="N5394" s="86"/>
      <c r="O5394" s="86"/>
      <c r="P5394" s="86"/>
      <c r="Q5394" s="86"/>
      <c r="R5394" s="86"/>
      <c r="S5394" s="86"/>
      <c r="T5394" s="86"/>
      <c r="U5394" s="86"/>
      <c r="V5394" s="48"/>
      <c r="W5394" s="48"/>
      <c r="X5394" s="48"/>
      <c r="Y5394" s="48"/>
      <c r="Z5394" s="48"/>
      <c r="AA5394" s="48"/>
      <c r="AB5394" s="48"/>
      <c r="AC5394" s="48"/>
      <c r="AD5394" s="48"/>
      <c r="AE5394" s="48"/>
      <c r="AF5394" s="48"/>
      <c r="AG5394" s="48"/>
      <c r="AH5394" s="48"/>
      <c r="AI5394" s="48"/>
      <c r="AJ5394" s="48"/>
      <c r="AK5394" s="48"/>
      <c r="AL5394" s="48"/>
      <c r="AM5394" s="48"/>
      <c r="AN5394" s="48"/>
      <c r="AO5394" s="48"/>
      <c r="AP5394" s="48"/>
      <c r="AQ5394" s="48"/>
      <c r="AR5394" s="48"/>
      <c r="AS5394" s="48"/>
      <c r="AT5394" s="48"/>
      <c r="AU5394" s="48"/>
      <c r="AV5394" s="48"/>
      <c r="AW5394" s="48"/>
      <c r="AX5394" s="48"/>
      <c r="AY5394" s="48"/>
      <c r="AZ5394" s="48"/>
      <c r="BA5394" s="48"/>
      <c r="BB5394" s="48"/>
      <c r="BC5394" s="48"/>
      <c r="BD5394" s="48"/>
    </row>
    <row r="5395" spans="1:56">
      <c r="A5395" s="48"/>
      <c r="B5395" s="48"/>
      <c r="C5395" s="49"/>
      <c r="D5395" s="48"/>
      <c r="E5395" s="48"/>
      <c r="F5395" s="48"/>
      <c r="G5395" s="48"/>
      <c r="H5395" s="48"/>
      <c r="I5395" s="48"/>
      <c r="J5395" s="86"/>
      <c r="K5395" s="86"/>
      <c r="L5395" s="86"/>
      <c r="M5395" s="86"/>
      <c r="N5395" s="86"/>
      <c r="O5395" s="86"/>
      <c r="P5395" s="86"/>
      <c r="Q5395" s="86"/>
      <c r="R5395" s="86"/>
      <c r="S5395" s="86"/>
      <c r="T5395" s="86"/>
      <c r="U5395" s="86"/>
      <c r="V5395" s="48"/>
      <c r="W5395" s="48"/>
      <c r="X5395" s="48"/>
      <c r="Y5395" s="48"/>
      <c r="Z5395" s="48"/>
      <c r="AA5395" s="48"/>
      <c r="AB5395" s="48"/>
      <c r="AC5395" s="48"/>
      <c r="AD5395" s="48"/>
      <c r="AE5395" s="48"/>
      <c r="AF5395" s="48"/>
      <c r="AG5395" s="48"/>
      <c r="AH5395" s="48"/>
      <c r="AI5395" s="48"/>
      <c r="AJ5395" s="48"/>
      <c r="AK5395" s="48"/>
      <c r="AL5395" s="48"/>
      <c r="AM5395" s="48"/>
      <c r="AN5395" s="48"/>
      <c r="AO5395" s="48"/>
      <c r="AP5395" s="48"/>
      <c r="AQ5395" s="48"/>
      <c r="AR5395" s="48"/>
      <c r="AS5395" s="48"/>
      <c r="AT5395" s="48"/>
      <c r="AU5395" s="48"/>
      <c r="AV5395" s="48"/>
      <c r="AW5395" s="48"/>
      <c r="AX5395" s="48"/>
      <c r="AY5395" s="48"/>
      <c r="AZ5395" s="48"/>
      <c r="BA5395" s="48"/>
      <c r="BB5395" s="48"/>
      <c r="BC5395" s="48"/>
      <c r="BD5395" s="48"/>
    </row>
    <row r="5396" spans="1:56">
      <c r="A5396" s="48"/>
      <c r="B5396" s="48"/>
      <c r="C5396" s="49"/>
      <c r="D5396" s="48"/>
      <c r="E5396" s="48"/>
      <c r="F5396" s="48"/>
      <c r="G5396" s="48"/>
      <c r="H5396" s="48"/>
      <c r="I5396" s="48"/>
      <c r="J5396" s="86"/>
      <c r="K5396" s="86"/>
      <c r="L5396" s="86"/>
      <c r="M5396" s="86"/>
      <c r="N5396" s="86"/>
      <c r="O5396" s="86"/>
      <c r="P5396" s="86"/>
      <c r="Q5396" s="86"/>
      <c r="R5396" s="86"/>
      <c r="S5396" s="86"/>
      <c r="T5396" s="86"/>
      <c r="U5396" s="86"/>
      <c r="V5396" s="48"/>
      <c r="W5396" s="48"/>
      <c r="X5396" s="48"/>
      <c r="Y5396" s="48"/>
      <c r="Z5396" s="48"/>
      <c r="AA5396" s="48"/>
      <c r="AB5396" s="48"/>
      <c r="AC5396" s="48"/>
      <c r="AD5396" s="48"/>
      <c r="AE5396" s="48"/>
      <c r="AF5396" s="48"/>
      <c r="AG5396" s="48"/>
      <c r="AH5396" s="48"/>
      <c r="AI5396" s="48"/>
      <c r="AJ5396" s="48"/>
      <c r="AK5396" s="48"/>
      <c r="AL5396" s="48"/>
      <c r="AM5396" s="48"/>
      <c r="AN5396" s="48"/>
      <c r="AO5396" s="48"/>
      <c r="AP5396" s="48"/>
      <c r="AQ5396" s="48"/>
      <c r="AR5396" s="48"/>
      <c r="AS5396" s="48"/>
      <c r="AT5396" s="48"/>
      <c r="AU5396" s="48"/>
      <c r="AV5396" s="48"/>
      <c r="AW5396" s="48"/>
      <c r="AX5396" s="48"/>
      <c r="AY5396" s="48"/>
      <c r="AZ5396" s="48"/>
      <c r="BA5396" s="48"/>
      <c r="BB5396" s="48"/>
      <c r="BC5396" s="48"/>
      <c r="BD5396" s="48"/>
    </row>
    <row r="5397" spans="1:56">
      <c r="A5397" s="48"/>
      <c r="B5397" s="48"/>
      <c r="C5397" s="49"/>
      <c r="D5397" s="48"/>
      <c r="E5397" s="48"/>
      <c r="F5397" s="48"/>
      <c r="G5397" s="48"/>
      <c r="H5397" s="48"/>
      <c r="I5397" s="48"/>
      <c r="J5397" s="86"/>
      <c r="K5397" s="86"/>
      <c r="L5397" s="86"/>
      <c r="M5397" s="86"/>
      <c r="N5397" s="86"/>
      <c r="O5397" s="86"/>
      <c r="P5397" s="86"/>
      <c r="Q5397" s="86"/>
      <c r="R5397" s="86"/>
      <c r="S5397" s="86"/>
      <c r="T5397" s="86"/>
      <c r="U5397" s="86"/>
      <c r="V5397" s="48"/>
      <c r="W5397" s="48"/>
      <c r="X5397" s="48"/>
      <c r="Y5397" s="48"/>
      <c r="Z5397" s="48"/>
      <c r="AA5397" s="48"/>
      <c r="AB5397" s="48"/>
      <c r="AC5397" s="48"/>
      <c r="AD5397" s="48"/>
      <c r="AE5397" s="48"/>
      <c r="AF5397" s="48"/>
      <c r="AG5397" s="48"/>
      <c r="AH5397" s="48"/>
      <c r="AI5397" s="48"/>
      <c r="AJ5397" s="48"/>
      <c r="AK5397" s="48"/>
      <c r="AL5397" s="48"/>
      <c r="AM5397" s="48"/>
      <c r="AN5397" s="48"/>
      <c r="AO5397" s="48"/>
      <c r="AP5397" s="48"/>
      <c r="AQ5397" s="48"/>
      <c r="AR5397" s="48"/>
      <c r="AS5397" s="48"/>
      <c r="AT5397" s="48"/>
      <c r="AU5397" s="48"/>
      <c r="AV5397" s="48"/>
      <c r="AW5397" s="48"/>
      <c r="AX5397" s="48"/>
      <c r="AY5397" s="48"/>
      <c r="AZ5397" s="48"/>
      <c r="BA5397" s="48"/>
      <c r="BB5397" s="48"/>
      <c r="BC5397" s="48"/>
      <c r="BD5397" s="48"/>
    </row>
    <row r="5398" spans="1:56">
      <c r="A5398" s="48"/>
      <c r="B5398" s="48"/>
      <c r="C5398" s="49"/>
      <c r="D5398" s="48"/>
      <c r="E5398" s="48"/>
      <c r="F5398" s="48"/>
      <c r="G5398" s="48"/>
      <c r="H5398" s="48"/>
      <c r="I5398" s="48"/>
      <c r="J5398" s="86"/>
      <c r="K5398" s="86"/>
      <c r="L5398" s="86"/>
      <c r="M5398" s="86"/>
      <c r="N5398" s="86"/>
      <c r="O5398" s="86"/>
      <c r="P5398" s="86"/>
      <c r="Q5398" s="86"/>
      <c r="R5398" s="86"/>
      <c r="S5398" s="86"/>
      <c r="T5398" s="86"/>
      <c r="U5398" s="86"/>
      <c r="V5398" s="48"/>
      <c r="W5398" s="48"/>
      <c r="X5398" s="48"/>
      <c r="Y5398" s="48"/>
      <c r="Z5398" s="48"/>
      <c r="AA5398" s="48"/>
      <c r="AB5398" s="48"/>
      <c r="AC5398" s="48"/>
      <c r="AD5398" s="48"/>
      <c r="AE5398" s="48"/>
      <c r="AF5398" s="48"/>
      <c r="AG5398" s="48"/>
      <c r="AH5398" s="48"/>
      <c r="AI5398" s="48"/>
      <c r="AJ5398" s="48"/>
      <c r="AK5398" s="48"/>
      <c r="AL5398" s="48"/>
      <c r="AM5398" s="48"/>
      <c r="AN5398" s="48"/>
      <c r="AO5398" s="48"/>
      <c r="AP5398" s="48"/>
      <c r="AQ5398" s="48"/>
      <c r="AR5398" s="48"/>
      <c r="AS5398" s="48"/>
      <c r="AT5398" s="48"/>
      <c r="AU5398" s="48"/>
      <c r="AV5398" s="48"/>
      <c r="AW5398" s="48"/>
      <c r="AX5398" s="48"/>
      <c r="AY5398" s="48"/>
      <c r="AZ5398" s="48"/>
      <c r="BA5398" s="48"/>
      <c r="BB5398" s="48"/>
      <c r="BC5398" s="48"/>
      <c r="BD5398" s="48"/>
    </row>
    <row r="5399" spans="1:56">
      <c r="A5399" s="48"/>
      <c r="B5399" s="48"/>
      <c r="C5399" s="49"/>
      <c r="D5399" s="48"/>
      <c r="E5399" s="48"/>
      <c r="F5399" s="48"/>
      <c r="G5399" s="48"/>
      <c r="H5399" s="48"/>
      <c r="I5399" s="48"/>
      <c r="J5399" s="86"/>
      <c r="K5399" s="86"/>
      <c r="L5399" s="86"/>
      <c r="M5399" s="86"/>
      <c r="N5399" s="86"/>
      <c r="O5399" s="86"/>
      <c r="P5399" s="86"/>
      <c r="Q5399" s="86"/>
      <c r="R5399" s="86"/>
      <c r="S5399" s="86"/>
      <c r="T5399" s="86"/>
      <c r="U5399" s="86"/>
      <c r="V5399" s="48"/>
      <c r="W5399" s="48"/>
      <c r="X5399" s="48"/>
      <c r="Y5399" s="48"/>
      <c r="Z5399" s="48"/>
      <c r="AA5399" s="48"/>
      <c r="AB5399" s="48"/>
      <c r="AC5399" s="48"/>
      <c r="AD5399" s="48"/>
      <c r="AE5399" s="48"/>
      <c r="AF5399" s="48"/>
      <c r="AG5399" s="48"/>
      <c r="AH5399" s="48"/>
      <c r="AI5399" s="48"/>
      <c r="AJ5399" s="48"/>
      <c r="AK5399" s="48"/>
      <c r="AL5399" s="48"/>
      <c r="AM5399" s="48"/>
      <c r="AN5399" s="48"/>
      <c r="AO5399" s="48"/>
      <c r="AP5399" s="48"/>
      <c r="AQ5399" s="48"/>
      <c r="AR5399" s="48"/>
      <c r="AS5399" s="48"/>
      <c r="AT5399" s="48"/>
      <c r="AU5399" s="48"/>
      <c r="AV5399" s="48"/>
      <c r="AW5399" s="48"/>
      <c r="AX5399" s="48"/>
      <c r="AY5399" s="48"/>
      <c r="AZ5399" s="48"/>
      <c r="BA5399" s="48"/>
      <c r="BB5399" s="48"/>
      <c r="BC5399" s="48"/>
      <c r="BD5399" s="48"/>
    </row>
    <row r="5400" spans="1:56">
      <c r="A5400" s="48"/>
      <c r="B5400" s="48"/>
      <c r="C5400" s="49"/>
      <c r="D5400" s="48"/>
      <c r="E5400" s="48"/>
      <c r="F5400" s="48"/>
      <c r="G5400" s="48"/>
      <c r="H5400" s="48"/>
      <c r="I5400" s="48"/>
      <c r="J5400" s="86"/>
      <c r="K5400" s="86"/>
      <c r="L5400" s="86"/>
      <c r="M5400" s="86"/>
      <c r="N5400" s="86"/>
      <c r="O5400" s="86"/>
      <c r="P5400" s="86"/>
      <c r="Q5400" s="86"/>
      <c r="R5400" s="86"/>
      <c r="S5400" s="86"/>
      <c r="T5400" s="86"/>
      <c r="U5400" s="86"/>
      <c r="V5400" s="48"/>
      <c r="W5400" s="48"/>
      <c r="X5400" s="48"/>
      <c r="Y5400" s="48"/>
      <c r="Z5400" s="48"/>
      <c r="AA5400" s="48"/>
      <c r="AB5400" s="48"/>
      <c r="AC5400" s="48"/>
      <c r="AD5400" s="48"/>
      <c r="AE5400" s="48"/>
      <c r="AF5400" s="48"/>
      <c r="AG5400" s="48"/>
      <c r="AH5400" s="48"/>
      <c r="AI5400" s="48"/>
      <c r="AJ5400" s="48"/>
      <c r="AK5400" s="48"/>
      <c r="AL5400" s="48"/>
      <c r="AM5400" s="48"/>
      <c r="AN5400" s="48"/>
      <c r="AO5400" s="48"/>
      <c r="AP5400" s="48"/>
      <c r="AQ5400" s="48"/>
      <c r="AR5400" s="48"/>
      <c r="AS5400" s="48"/>
      <c r="AT5400" s="48"/>
      <c r="AU5400" s="48"/>
      <c r="AV5400" s="48"/>
      <c r="AW5400" s="48"/>
      <c r="AX5400" s="48"/>
      <c r="AY5400" s="48"/>
      <c r="AZ5400" s="48"/>
      <c r="BA5400" s="48"/>
      <c r="BB5400" s="48"/>
      <c r="BC5400" s="48"/>
      <c r="BD5400" s="48"/>
    </row>
    <row r="5401" spans="1:56">
      <c r="A5401" s="48"/>
      <c r="B5401" s="48"/>
      <c r="C5401" s="49"/>
      <c r="D5401" s="48"/>
      <c r="E5401" s="48"/>
      <c r="F5401" s="48"/>
      <c r="G5401" s="48"/>
      <c r="H5401" s="48"/>
      <c r="I5401" s="48"/>
      <c r="J5401" s="86"/>
      <c r="K5401" s="86"/>
      <c r="L5401" s="86"/>
      <c r="M5401" s="86"/>
      <c r="N5401" s="86"/>
      <c r="O5401" s="86"/>
      <c r="P5401" s="86"/>
      <c r="Q5401" s="86"/>
      <c r="R5401" s="86"/>
      <c r="S5401" s="86"/>
      <c r="T5401" s="86"/>
      <c r="U5401" s="86"/>
      <c r="V5401" s="48"/>
      <c r="W5401" s="48"/>
      <c r="X5401" s="48"/>
      <c r="Y5401" s="48"/>
      <c r="Z5401" s="48"/>
      <c r="AA5401" s="48"/>
      <c r="AB5401" s="48"/>
      <c r="AC5401" s="48"/>
      <c r="AD5401" s="48"/>
      <c r="AE5401" s="48"/>
      <c r="AF5401" s="48"/>
      <c r="AG5401" s="48"/>
      <c r="AH5401" s="48"/>
      <c r="AI5401" s="48"/>
      <c r="AJ5401" s="48"/>
      <c r="AK5401" s="48"/>
      <c r="AL5401" s="48"/>
      <c r="AM5401" s="48"/>
      <c r="AN5401" s="48"/>
      <c r="AO5401" s="48"/>
      <c r="AP5401" s="48"/>
      <c r="AQ5401" s="48"/>
      <c r="AR5401" s="48"/>
      <c r="AS5401" s="48"/>
      <c r="AT5401" s="48"/>
      <c r="AU5401" s="48"/>
      <c r="AV5401" s="48"/>
      <c r="AW5401" s="48"/>
      <c r="AX5401" s="48"/>
      <c r="AY5401" s="48"/>
      <c r="AZ5401" s="48"/>
      <c r="BA5401" s="48"/>
      <c r="BB5401" s="48"/>
      <c r="BC5401" s="48"/>
      <c r="BD5401" s="48"/>
    </row>
    <row r="5402" spans="1:56">
      <c r="A5402" s="48"/>
      <c r="B5402" s="48"/>
      <c r="C5402" s="49"/>
      <c r="D5402" s="48"/>
      <c r="E5402" s="48"/>
      <c r="F5402" s="48"/>
      <c r="G5402" s="48"/>
      <c r="H5402" s="48"/>
      <c r="I5402" s="48"/>
      <c r="J5402" s="86"/>
      <c r="K5402" s="86"/>
      <c r="L5402" s="86"/>
      <c r="M5402" s="86"/>
      <c r="N5402" s="86"/>
      <c r="O5402" s="86"/>
      <c r="P5402" s="86"/>
      <c r="Q5402" s="86"/>
      <c r="R5402" s="86"/>
      <c r="S5402" s="86"/>
      <c r="T5402" s="86"/>
      <c r="U5402" s="86"/>
      <c r="V5402" s="48"/>
      <c r="W5402" s="48"/>
      <c r="X5402" s="48"/>
      <c r="Y5402" s="48"/>
      <c r="Z5402" s="48"/>
      <c r="AA5402" s="48"/>
      <c r="AB5402" s="48"/>
      <c r="AC5402" s="48"/>
      <c r="AD5402" s="48"/>
      <c r="AE5402" s="48"/>
      <c r="AF5402" s="48"/>
      <c r="AG5402" s="48"/>
      <c r="AH5402" s="48"/>
      <c r="AI5402" s="48"/>
      <c r="AJ5402" s="48"/>
      <c r="AK5402" s="48"/>
      <c r="AL5402" s="48"/>
      <c r="AM5402" s="48"/>
      <c r="AN5402" s="48"/>
      <c r="AO5402" s="48"/>
      <c r="AP5402" s="48"/>
      <c r="AQ5402" s="48"/>
      <c r="AR5402" s="48"/>
      <c r="AS5402" s="48"/>
      <c r="AT5402" s="48"/>
      <c r="AU5402" s="48"/>
      <c r="AV5402" s="48"/>
      <c r="AW5402" s="48"/>
      <c r="AX5402" s="48"/>
      <c r="AY5402" s="48"/>
      <c r="AZ5402" s="48"/>
      <c r="BA5402" s="48"/>
      <c r="BB5402" s="48"/>
      <c r="BC5402" s="48"/>
      <c r="BD5402" s="48"/>
    </row>
    <row r="5403" spans="1:56">
      <c r="A5403" s="48"/>
      <c r="B5403" s="48"/>
      <c r="C5403" s="49"/>
      <c r="D5403" s="48"/>
      <c r="E5403" s="48"/>
      <c r="F5403" s="48"/>
      <c r="G5403" s="48"/>
      <c r="H5403" s="48"/>
      <c r="I5403" s="48"/>
      <c r="J5403" s="86"/>
      <c r="K5403" s="86"/>
      <c r="L5403" s="86"/>
      <c r="M5403" s="86"/>
      <c r="N5403" s="86"/>
      <c r="O5403" s="86"/>
      <c r="P5403" s="86"/>
      <c r="Q5403" s="86"/>
      <c r="R5403" s="86"/>
      <c r="S5403" s="86"/>
      <c r="T5403" s="86"/>
      <c r="U5403" s="86"/>
      <c r="V5403" s="48"/>
      <c r="W5403" s="48"/>
      <c r="X5403" s="48"/>
      <c r="Y5403" s="48"/>
      <c r="Z5403" s="48"/>
      <c r="AA5403" s="48"/>
      <c r="AB5403" s="48"/>
      <c r="AC5403" s="48"/>
      <c r="AD5403" s="48"/>
      <c r="AE5403" s="48"/>
      <c r="AF5403" s="48"/>
      <c r="AG5403" s="48"/>
      <c r="AH5403" s="48"/>
      <c r="AI5403" s="48"/>
      <c r="AJ5403" s="48"/>
      <c r="AK5403" s="48"/>
      <c r="AL5403" s="48"/>
      <c r="AM5403" s="48"/>
      <c r="AN5403" s="48"/>
      <c r="AO5403" s="48"/>
      <c r="AP5403" s="48"/>
      <c r="AQ5403" s="48"/>
      <c r="AR5403" s="48"/>
      <c r="AS5403" s="48"/>
      <c r="AT5403" s="48"/>
      <c r="AU5403" s="48"/>
      <c r="AV5403" s="48"/>
      <c r="AW5403" s="48"/>
      <c r="AX5403" s="48"/>
      <c r="AY5403" s="48"/>
      <c r="AZ5403" s="48"/>
      <c r="BA5403" s="48"/>
      <c r="BB5403" s="48"/>
      <c r="BC5403" s="48"/>
      <c r="BD5403" s="48"/>
    </row>
    <row r="5404" spans="1:56">
      <c r="A5404" s="48"/>
      <c r="B5404" s="48"/>
      <c r="C5404" s="49"/>
      <c r="D5404" s="48"/>
      <c r="E5404" s="48"/>
      <c r="F5404" s="48"/>
      <c r="G5404" s="48"/>
      <c r="H5404" s="48"/>
      <c r="I5404" s="48"/>
      <c r="J5404" s="86"/>
      <c r="K5404" s="86"/>
      <c r="L5404" s="86"/>
      <c r="M5404" s="86"/>
      <c r="N5404" s="86"/>
      <c r="O5404" s="86"/>
      <c r="P5404" s="86"/>
      <c r="Q5404" s="86"/>
      <c r="R5404" s="86"/>
      <c r="S5404" s="86"/>
      <c r="T5404" s="86"/>
      <c r="U5404" s="86"/>
      <c r="V5404" s="48"/>
      <c r="W5404" s="48"/>
      <c r="X5404" s="48"/>
      <c r="Y5404" s="48"/>
      <c r="Z5404" s="48"/>
      <c r="AA5404" s="48"/>
      <c r="AB5404" s="48"/>
      <c r="AC5404" s="48"/>
      <c r="AD5404" s="48"/>
      <c r="AE5404" s="48"/>
      <c r="AF5404" s="48"/>
      <c r="AG5404" s="48"/>
      <c r="AH5404" s="48"/>
      <c r="AI5404" s="48"/>
      <c r="AJ5404" s="48"/>
      <c r="AK5404" s="48"/>
      <c r="AL5404" s="48"/>
      <c r="AM5404" s="48"/>
      <c r="AN5404" s="48"/>
      <c r="AO5404" s="48"/>
      <c r="AP5404" s="48"/>
      <c r="AQ5404" s="48"/>
      <c r="AR5404" s="48"/>
      <c r="AS5404" s="48"/>
      <c r="AT5404" s="48"/>
      <c r="AU5404" s="48"/>
      <c r="AV5404" s="48"/>
      <c r="AW5404" s="48"/>
      <c r="AX5404" s="48"/>
      <c r="AY5404" s="48"/>
      <c r="AZ5404" s="48"/>
      <c r="BA5404" s="48"/>
      <c r="BB5404" s="48"/>
      <c r="BC5404" s="48"/>
      <c r="BD5404" s="48"/>
    </row>
    <row r="5405" spans="1:56">
      <c r="A5405" s="48"/>
      <c r="B5405" s="48"/>
      <c r="C5405" s="49"/>
      <c r="D5405" s="48"/>
      <c r="E5405" s="48"/>
      <c r="F5405" s="48"/>
      <c r="G5405" s="48"/>
      <c r="H5405" s="48"/>
      <c r="I5405" s="48"/>
      <c r="J5405" s="86"/>
      <c r="K5405" s="86"/>
      <c r="L5405" s="86"/>
      <c r="M5405" s="86"/>
      <c r="N5405" s="86"/>
      <c r="O5405" s="86"/>
      <c r="P5405" s="86"/>
      <c r="Q5405" s="86"/>
      <c r="R5405" s="86"/>
      <c r="S5405" s="86"/>
      <c r="T5405" s="86"/>
      <c r="U5405" s="86"/>
      <c r="V5405" s="48"/>
      <c r="W5405" s="48"/>
      <c r="X5405" s="48"/>
      <c r="Y5405" s="48"/>
      <c r="Z5405" s="48"/>
      <c r="AA5405" s="48"/>
      <c r="AB5405" s="48"/>
      <c r="AC5405" s="48"/>
      <c r="AD5405" s="48"/>
      <c r="AE5405" s="48"/>
      <c r="AF5405" s="48"/>
      <c r="AG5405" s="48"/>
      <c r="AH5405" s="48"/>
      <c r="AI5405" s="48"/>
      <c r="AJ5405" s="48"/>
      <c r="AK5405" s="48"/>
      <c r="AL5405" s="48"/>
      <c r="AM5405" s="48"/>
      <c r="AN5405" s="48"/>
      <c r="AO5405" s="48"/>
      <c r="AP5405" s="48"/>
      <c r="AQ5405" s="48"/>
      <c r="AR5405" s="48"/>
      <c r="AS5405" s="48"/>
      <c r="AT5405" s="48"/>
      <c r="AU5405" s="48"/>
      <c r="AV5405" s="48"/>
      <c r="AW5405" s="48"/>
      <c r="AX5405" s="48"/>
      <c r="AY5405" s="48"/>
      <c r="AZ5405" s="48"/>
      <c r="BA5405" s="48"/>
      <c r="BB5405" s="48"/>
      <c r="BC5405" s="48"/>
      <c r="BD5405" s="48"/>
    </row>
    <row r="5406" spans="1:56">
      <c r="A5406" s="48"/>
      <c r="B5406" s="48"/>
      <c r="C5406" s="49"/>
      <c r="D5406" s="48"/>
      <c r="E5406" s="48"/>
      <c r="F5406" s="48"/>
      <c r="G5406" s="48"/>
      <c r="H5406" s="48"/>
      <c r="I5406" s="48"/>
      <c r="J5406" s="86"/>
      <c r="K5406" s="86"/>
      <c r="L5406" s="86"/>
      <c r="M5406" s="86"/>
      <c r="N5406" s="86"/>
      <c r="O5406" s="86"/>
      <c r="P5406" s="86"/>
      <c r="Q5406" s="86"/>
      <c r="R5406" s="86"/>
      <c r="S5406" s="86"/>
      <c r="T5406" s="86"/>
      <c r="U5406" s="86"/>
      <c r="V5406" s="48"/>
      <c r="W5406" s="48"/>
      <c r="X5406" s="48"/>
      <c r="Y5406" s="48"/>
      <c r="Z5406" s="48"/>
      <c r="AA5406" s="48"/>
      <c r="AB5406" s="48"/>
      <c r="AC5406" s="48"/>
      <c r="AD5406" s="48"/>
      <c r="AE5406" s="48"/>
      <c r="AF5406" s="48"/>
      <c r="AG5406" s="48"/>
      <c r="AH5406" s="48"/>
      <c r="AI5406" s="48"/>
      <c r="AJ5406" s="48"/>
      <c r="AK5406" s="48"/>
      <c r="AL5406" s="48"/>
      <c r="AM5406" s="48"/>
      <c r="AN5406" s="48"/>
      <c r="AO5406" s="48"/>
      <c r="AP5406" s="48"/>
      <c r="AQ5406" s="48"/>
      <c r="AR5406" s="48"/>
      <c r="AS5406" s="48"/>
      <c r="AT5406" s="48"/>
      <c r="AU5406" s="48"/>
      <c r="AV5406" s="48"/>
      <c r="AW5406" s="48"/>
      <c r="AX5406" s="48"/>
      <c r="AY5406" s="48"/>
      <c r="AZ5406" s="48"/>
      <c r="BA5406" s="48"/>
      <c r="BB5406" s="48"/>
      <c r="BC5406" s="48"/>
      <c r="BD5406" s="48"/>
    </row>
    <row r="5407" spans="1:56">
      <c r="A5407" s="48"/>
      <c r="B5407" s="48"/>
      <c r="C5407" s="49"/>
      <c r="D5407" s="48"/>
      <c r="E5407" s="48"/>
      <c r="F5407" s="48"/>
      <c r="G5407" s="48"/>
      <c r="H5407" s="48"/>
      <c r="I5407" s="48"/>
      <c r="J5407" s="86"/>
      <c r="K5407" s="86"/>
      <c r="L5407" s="86"/>
      <c r="M5407" s="86"/>
      <c r="N5407" s="86"/>
      <c r="O5407" s="86"/>
      <c r="P5407" s="86"/>
      <c r="Q5407" s="86"/>
      <c r="R5407" s="86"/>
      <c r="S5407" s="86"/>
      <c r="T5407" s="86"/>
      <c r="U5407" s="86"/>
      <c r="V5407" s="48"/>
      <c r="W5407" s="48"/>
      <c r="X5407" s="48"/>
      <c r="Y5407" s="48"/>
      <c r="Z5407" s="48"/>
      <c r="AA5407" s="48"/>
      <c r="AB5407" s="48"/>
      <c r="AC5407" s="48"/>
      <c r="AD5407" s="48"/>
      <c r="AE5407" s="48"/>
      <c r="AF5407" s="48"/>
      <c r="AG5407" s="48"/>
      <c r="AH5407" s="48"/>
      <c r="AI5407" s="48"/>
      <c r="AJ5407" s="48"/>
      <c r="AK5407" s="48"/>
      <c r="AL5407" s="48"/>
      <c r="AM5407" s="48"/>
      <c r="AN5407" s="48"/>
      <c r="AO5407" s="48"/>
      <c r="AP5407" s="48"/>
      <c r="AQ5407" s="48"/>
      <c r="AR5407" s="48"/>
      <c r="AS5407" s="48"/>
      <c r="AT5407" s="48"/>
      <c r="AU5407" s="48"/>
      <c r="AV5407" s="48"/>
      <c r="AW5407" s="48"/>
      <c r="AX5407" s="48"/>
      <c r="AY5407" s="48"/>
      <c r="AZ5407" s="48"/>
      <c r="BA5407" s="48"/>
      <c r="BB5407" s="48"/>
      <c r="BC5407" s="48"/>
      <c r="BD5407" s="48"/>
    </row>
    <row r="5408" spans="1:56">
      <c r="A5408" s="48"/>
      <c r="B5408" s="48"/>
      <c r="C5408" s="49"/>
      <c r="D5408" s="48"/>
      <c r="E5408" s="48"/>
      <c r="F5408" s="48"/>
      <c r="G5408" s="48"/>
      <c r="H5408" s="48"/>
      <c r="I5408" s="48"/>
      <c r="J5408" s="86"/>
      <c r="K5408" s="86"/>
      <c r="L5408" s="86"/>
      <c r="M5408" s="86"/>
      <c r="N5408" s="86"/>
      <c r="O5408" s="86"/>
      <c r="P5408" s="86"/>
      <c r="Q5408" s="86"/>
      <c r="R5408" s="86"/>
      <c r="S5408" s="86"/>
      <c r="T5408" s="86"/>
      <c r="U5408" s="86"/>
      <c r="V5408" s="48"/>
      <c r="W5408" s="48"/>
      <c r="X5408" s="48"/>
      <c r="Y5408" s="48"/>
      <c r="Z5408" s="48"/>
      <c r="AA5408" s="48"/>
      <c r="AB5408" s="48"/>
      <c r="AC5408" s="48"/>
      <c r="AD5408" s="48"/>
      <c r="AE5408" s="48"/>
      <c r="AF5408" s="48"/>
      <c r="AG5408" s="48"/>
      <c r="AH5408" s="48"/>
      <c r="AI5408" s="48"/>
      <c r="AJ5408" s="48"/>
      <c r="AK5408" s="48"/>
      <c r="AL5408" s="48"/>
      <c r="AM5408" s="48"/>
      <c r="AN5408" s="48"/>
      <c r="AO5408" s="48"/>
      <c r="AP5408" s="48"/>
      <c r="AQ5408" s="48"/>
      <c r="AR5408" s="48"/>
      <c r="AS5408" s="48"/>
      <c r="AT5408" s="48"/>
      <c r="AU5408" s="48"/>
      <c r="AV5408" s="48"/>
      <c r="AW5408" s="48"/>
      <c r="AX5408" s="48"/>
      <c r="AY5408" s="48"/>
      <c r="AZ5408" s="48"/>
      <c r="BA5408" s="48"/>
      <c r="BB5408" s="48"/>
      <c r="BC5408" s="48"/>
      <c r="BD5408" s="48"/>
    </row>
    <row r="5409" spans="1:56">
      <c r="A5409" s="48"/>
      <c r="B5409" s="48"/>
      <c r="C5409" s="49"/>
      <c r="D5409" s="48"/>
      <c r="E5409" s="48"/>
      <c r="F5409" s="48"/>
      <c r="G5409" s="48"/>
      <c r="H5409" s="48"/>
      <c r="I5409" s="48"/>
      <c r="J5409" s="86"/>
      <c r="K5409" s="86"/>
      <c r="L5409" s="86"/>
      <c r="M5409" s="86"/>
      <c r="N5409" s="86"/>
      <c r="O5409" s="86"/>
      <c r="P5409" s="86"/>
      <c r="Q5409" s="86"/>
      <c r="R5409" s="86"/>
      <c r="S5409" s="86"/>
      <c r="T5409" s="86"/>
      <c r="U5409" s="86"/>
      <c r="V5409" s="48"/>
      <c r="W5409" s="48"/>
      <c r="X5409" s="48"/>
      <c r="Y5409" s="48"/>
      <c r="Z5409" s="48"/>
      <c r="AA5409" s="48"/>
      <c r="AB5409" s="48"/>
      <c r="AC5409" s="48"/>
      <c r="AD5409" s="48"/>
      <c r="AE5409" s="48"/>
      <c r="AF5409" s="48"/>
      <c r="AG5409" s="48"/>
      <c r="AH5409" s="48"/>
      <c r="AI5409" s="48"/>
      <c r="AJ5409" s="48"/>
      <c r="AK5409" s="48"/>
      <c r="AL5409" s="48"/>
      <c r="AM5409" s="48"/>
      <c r="AN5409" s="48"/>
      <c r="AO5409" s="48"/>
      <c r="AP5409" s="48"/>
      <c r="AQ5409" s="48"/>
      <c r="AR5409" s="48"/>
      <c r="AS5409" s="48"/>
      <c r="AT5409" s="48"/>
      <c r="AU5409" s="48"/>
      <c r="AV5409" s="48"/>
      <c r="AW5409" s="48"/>
      <c r="AX5409" s="48"/>
      <c r="AY5409" s="48"/>
      <c r="AZ5409" s="48"/>
      <c r="BA5409" s="48"/>
      <c r="BB5409" s="48"/>
      <c r="BC5409" s="48"/>
      <c r="BD5409" s="48"/>
    </row>
    <row r="5410" spans="1:56">
      <c r="A5410" s="48"/>
      <c r="B5410" s="48"/>
      <c r="C5410" s="49"/>
      <c r="D5410" s="48"/>
      <c r="E5410" s="48"/>
      <c r="F5410" s="48"/>
      <c r="G5410" s="48"/>
      <c r="H5410" s="48"/>
      <c r="I5410" s="48"/>
      <c r="J5410" s="86"/>
      <c r="K5410" s="86"/>
      <c r="L5410" s="86"/>
      <c r="M5410" s="86"/>
      <c r="N5410" s="86"/>
      <c r="O5410" s="86"/>
      <c r="P5410" s="86"/>
      <c r="Q5410" s="86"/>
      <c r="R5410" s="86"/>
      <c r="S5410" s="86"/>
      <c r="T5410" s="86"/>
      <c r="U5410" s="86"/>
      <c r="V5410" s="48"/>
      <c r="W5410" s="48"/>
      <c r="X5410" s="48"/>
      <c r="Y5410" s="48"/>
      <c r="Z5410" s="48"/>
      <c r="AA5410" s="48"/>
      <c r="AB5410" s="48"/>
      <c r="AC5410" s="48"/>
      <c r="AD5410" s="48"/>
      <c r="AE5410" s="48"/>
      <c r="AF5410" s="48"/>
      <c r="AG5410" s="48"/>
      <c r="AH5410" s="48"/>
      <c r="AI5410" s="48"/>
      <c r="AJ5410" s="48"/>
      <c r="AK5410" s="48"/>
      <c r="AL5410" s="48"/>
      <c r="AM5410" s="48"/>
      <c r="AN5410" s="48"/>
      <c r="AO5410" s="48"/>
      <c r="AP5410" s="48"/>
      <c r="AQ5410" s="48"/>
      <c r="AR5410" s="48"/>
      <c r="AS5410" s="48"/>
      <c r="AT5410" s="48"/>
      <c r="AU5410" s="48"/>
      <c r="AV5410" s="48"/>
      <c r="AW5410" s="48"/>
      <c r="AX5410" s="48"/>
      <c r="AY5410" s="48"/>
      <c r="AZ5410" s="48"/>
      <c r="BA5410" s="48"/>
      <c r="BB5410" s="48"/>
      <c r="BC5410" s="48"/>
      <c r="BD5410" s="48"/>
    </row>
    <row r="5411" spans="1:56">
      <c r="A5411" s="48"/>
      <c r="B5411" s="48"/>
      <c r="C5411" s="49"/>
      <c r="D5411" s="48"/>
      <c r="E5411" s="48"/>
      <c r="F5411" s="48"/>
      <c r="G5411" s="48"/>
      <c r="H5411" s="48"/>
      <c r="I5411" s="48"/>
      <c r="J5411" s="86"/>
      <c r="K5411" s="86"/>
      <c r="L5411" s="86"/>
      <c r="M5411" s="86"/>
      <c r="N5411" s="86"/>
      <c r="O5411" s="86"/>
      <c r="P5411" s="86"/>
      <c r="Q5411" s="86"/>
      <c r="R5411" s="86"/>
      <c r="S5411" s="86"/>
      <c r="T5411" s="86"/>
      <c r="U5411" s="86"/>
      <c r="V5411" s="48"/>
      <c r="W5411" s="48"/>
      <c r="X5411" s="48"/>
      <c r="Y5411" s="48"/>
      <c r="Z5411" s="48"/>
      <c r="AA5411" s="48"/>
      <c r="AB5411" s="48"/>
      <c r="AC5411" s="48"/>
      <c r="AD5411" s="48"/>
      <c r="AE5411" s="48"/>
      <c r="AF5411" s="48"/>
      <c r="AG5411" s="48"/>
      <c r="AH5411" s="48"/>
      <c r="AI5411" s="48"/>
      <c r="AJ5411" s="48"/>
      <c r="AK5411" s="48"/>
      <c r="AL5411" s="48"/>
      <c r="AM5411" s="48"/>
      <c r="AN5411" s="48"/>
      <c r="AO5411" s="48"/>
      <c r="AP5411" s="48"/>
      <c r="AQ5411" s="48"/>
      <c r="AR5411" s="48"/>
      <c r="AS5411" s="48"/>
      <c r="AT5411" s="48"/>
      <c r="AU5411" s="48"/>
      <c r="AV5411" s="48"/>
      <c r="AW5411" s="48"/>
      <c r="AX5411" s="48"/>
      <c r="AY5411" s="48"/>
      <c r="AZ5411" s="48"/>
      <c r="BA5411" s="48"/>
      <c r="BB5411" s="48"/>
      <c r="BC5411" s="48"/>
      <c r="BD5411" s="48"/>
    </row>
    <row r="5412" spans="1:56">
      <c r="A5412" s="48"/>
      <c r="B5412" s="48"/>
      <c r="C5412" s="49"/>
      <c r="D5412" s="48"/>
      <c r="E5412" s="48"/>
      <c r="F5412" s="48"/>
      <c r="G5412" s="48"/>
      <c r="H5412" s="48"/>
      <c r="I5412" s="48"/>
      <c r="J5412" s="86"/>
      <c r="K5412" s="86"/>
      <c r="L5412" s="86"/>
      <c r="M5412" s="86"/>
      <c r="N5412" s="86"/>
      <c r="O5412" s="86"/>
      <c r="P5412" s="86"/>
      <c r="Q5412" s="86"/>
      <c r="R5412" s="86"/>
      <c r="S5412" s="86"/>
      <c r="T5412" s="86"/>
      <c r="U5412" s="86"/>
      <c r="V5412" s="48"/>
      <c r="W5412" s="48"/>
      <c r="X5412" s="48"/>
      <c r="Y5412" s="48"/>
      <c r="Z5412" s="48"/>
      <c r="AA5412" s="48"/>
      <c r="AB5412" s="48"/>
      <c r="AC5412" s="48"/>
      <c r="AD5412" s="48"/>
      <c r="AE5412" s="48"/>
      <c r="AF5412" s="48"/>
      <c r="AG5412" s="48"/>
      <c r="AH5412" s="48"/>
      <c r="AI5412" s="48"/>
      <c r="AJ5412" s="48"/>
      <c r="AK5412" s="48"/>
      <c r="AL5412" s="48"/>
      <c r="AM5412" s="48"/>
      <c r="AN5412" s="48"/>
      <c r="AO5412" s="48"/>
      <c r="AP5412" s="48"/>
      <c r="AQ5412" s="48"/>
      <c r="AR5412" s="48"/>
      <c r="AS5412" s="48"/>
      <c r="AT5412" s="48"/>
      <c r="AU5412" s="48"/>
      <c r="AV5412" s="48"/>
      <c r="AW5412" s="48"/>
      <c r="AX5412" s="48"/>
      <c r="AY5412" s="48"/>
      <c r="AZ5412" s="48"/>
      <c r="BA5412" s="48"/>
      <c r="BB5412" s="48"/>
      <c r="BC5412" s="48"/>
      <c r="BD5412" s="48"/>
    </row>
    <row r="5413" spans="1:56">
      <c r="A5413" s="48"/>
      <c r="B5413" s="48"/>
      <c r="C5413" s="49"/>
      <c r="D5413" s="48"/>
      <c r="E5413" s="48"/>
      <c r="F5413" s="48"/>
      <c r="G5413" s="48"/>
      <c r="H5413" s="48"/>
      <c r="I5413" s="48"/>
      <c r="J5413" s="86"/>
      <c r="K5413" s="86"/>
      <c r="L5413" s="86"/>
      <c r="M5413" s="86"/>
      <c r="N5413" s="86"/>
      <c r="O5413" s="86"/>
      <c r="P5413" s="86"/>
      <c r="Q5413" s="86"/>
      <c r="R5413" s="86"/>
      <c r="S5413" s="86"/>
      <c r="T5413" s="86"/>
      <c r="U5413" s="86"/>
      <c r="V5413" s="48"/>
      <c r="W5413" s="48"/>
      <c r="X5413" s="48"/>
      <c r="Y5413" s="48"/>
      <c r="Z5413" s="48"/>
      <c r="AA5413" s="48"/>
      <c r="AB5413" s="48"/>
      <c r="AC5413" s="48"/>
      <c r="AD5413" s="48"/>
      <c r="AE5413" s="48"/>
      <c r="AF5413" s="48"/>
      <c r="AG5413" s="48"/>
      <c r="AH5413" s="48"/>
      <c r="AI5413" s="48"/>
      <c r="AJ5413" s="48"/>
      <c r="AK5413" s="48"/>
      <c r="AL5413" s="48"/>
      <c r="AM5413" s="48"/>
      <c r="AN5413" s="48"/>
      <c r="AO5413" s="48"/>
      <c r="AP5413" s="48"/>
      <c r="AQ5413" s="48"/>
      <c r="AR5413" s="48"/>
      <c r="AS5413" s="48"/>
      <c r="AT5413" s="48"/>
      <c r="AU5413" s="48"/>
      <c r="AV5413" s="48"/>
      <c r="AW5413" s="48"/>
      <c r="AX5413" s="48"/>
      <c r="AY5413" s="48"/>
      <c r="AZ5413" s="48"/>
      <c r="BA5413" s="48"/>
      <c r="BB5413" s="48"/>
      <c r="BC5413" s="48"/>
      <c r="BD5413" s="48"/>
    </row>
    <row r="5414" spans="1:56">
      <c r="A5414" s="48"/>
      <c r="B5414" s="48"/>
      <c r="C5414" s="49"/>
      <c r="D5414" s="48"/>
      <c r="E5414" s="48"/>
      <c r="F5414" s="48"/>
      <c r="G5414" s="48"/>
      <c r="H5414" s="48"/>
      <c r="I5414" s="48"/>
      <c r="J5414" s="86"/>
      <c r="K5414" s="86"/>
      <c r="L5414" s="86"/>
      <c r="M5414" s="86"/>
      <c r="N5414" s="86"/>
      <c r="O5414" s="86"/>
      <c r="P5414" s="86"/>
      <c r="Q5414" s="86"/>
      <c r="R5414" s="86"/>
      <c r="S5414" s="86"/>
      <c r="T5414" s="86"/>
      <c r="U5414" s="86"/>
      <c r="V5414" s="48"/>
      <c r="W5414" s="48"/>
      <c r="X5414" s="48"/>
      <c r="Y5414" s="48"/>
      <c r="Z5414" s="48"/>
      <c r="AA5414" s="48"/>
      <c r="AB5414" s="48"/>
      <c r="AC5414" s="48"/>
      <c r="AD5414" s="48"/>
      <c r="AE5414" s="48"/>
      <c r="AF5414" s="48"/>
      <c r="AG5414" s="48"/>
      <c r="AH5414" s="48"/>
      <c r="AI5414" s="48"/>
      <c r="AJ5414" s="48"/>
      <c r="AK5414" s="48"/>
      <c r="AL5414" s="48"/>
      <c r="AM5414" s="48"/>
      <c r="AN5414" s="48"/>
      <c r="AO5414" s="48"/>
      <c r="AP5414" s="48"/>
      <c r="AQ5414" s="48"/>
      <c r="AR5414" s="48"/>
      <c r="AS5414" s="48"/>
      <c r="AT5414" s="48"/>
      <c r="AU5414" s="48"/>
      <c r="AV5414" s="48"/>
      <c r="AW5414" s="48"/>
      <c r="AX5414" s="48"/>
      <c r="AY5414" s="48"/>
      <c r="AZ5414" s="48"/>
      <c r="BA5414" s="48"/>
      <c r="BB5414" s="48"/>
      <c r="BC5414" s="48"/>
      <c r="BD5414" s="48"/>
    </row>
    <row r="5415" spans="1:56">
      <c r="A5415" s="48"/>
      <c r="B5415" s="48"/>
      <c r="C5415" s="49"/>
      <c r="D5415" s="48"/>
      <c r="E5415" s="48"/>
      <c r="F5415" s="48"/>
      <c r="G5415" s="48"/>
      <c r="H5415" s="48"/>
      <c r="I5415" s="48"/>
      <c r="J5415" s="86"/>
      <c r="K5415" s="86"/>
      <c r="L5415" s="86"/>
      <c r="M5415" s="86"/>
      <c r="N5415" s="86"/>
      <c r="O5415" s="86"/>
      <c r="P5415" s="86"/>
      <c r="Q5415" s="86"/>
      <c r="R5415" s="86"/>
      <c r="S5415" s="86"/>
      <c r="T5415" s="86"/>
      <c r="U5415" s="86"/>
      <c r="V5415" s="48"/>
      <c r="W5415" s="48"/>
      <c r="X5415" s="48"/>
      <c r="Y5415" s="48"/>
      <c r="Z5415" s="48"/>
      <c r="AA5415" s="48"/>
      <c r="AB5415" s="48"/>
      <c r="AC5415" s="48"/>
      <c r="AD5415" s="48"/>
      <c r="AE5415" s="48"/>
      <c r="AF5415" s="48"/>
      <c r="AG5415" s="48"/>
      <c r="AH5415" s="48"/>
      <c r="AI5415" s="48"/>
      <c r="AJ5415" s="48"/>
      <c r="AK5415" s="48"/>
      <c r="AL5415" s="48"/>
      <c r="AM5415" s="48"/>
      <c r="AN5415" s="48"/>
      <c r="AO5415" s="48"/>
      <c r="AP5415" s="48"/>
      <c r="AQ5415" s="48"/>
      <c r="AR5415" s="48"/>
      <c r="AS5415" s="48"/>
      <c r="AT5415" s="48"/>
      <c r="AU5415" s="48"/>
      <c r="AV5415" s="48"/>
      <c r="AW5415" s="48"/>
      <c r="AX5415" s="48"/>
      <c r="AY5415" s="48"/>
      <c r="AZ5415" s="48"/>
      <c r="BA5415" s="48"/>
      <c r="BB5415" s="48"/>
      <c r="BC5415" s="48"/>
      <c r="BD5415" s="48"/>
    </row>
    <row r="5416" spans="1:56">
      <c r="A5416" s="48"/>
      <c r="B5416" s="48"/>
      <c r="C5416" s="49"/>
      <c r="D5416" s="48"/>
      <c r="E5416" s="48"/>
      <c r="F5416" s="48"/>
      <c r="G5416" s="48"/>
      <c r="H5416" s="48"/>
      <c r="I5416" s="48"/>
      <c r="J5416" s="86"/>
      <c r="K5416" s="86"/>
      <c r="L5416" s="86"/>
      <c r="M5416" s="86"/>
      <c r="N5416" s="86"/>
      <c r="O5416" s="86"/>
      <c r="P5416" s="86"/>
      <c r="Q5416" s="86"/>
      <c r="R5416" s="86"/>
      <c r="S5416" s="86"/>
      <c r="T5416" s="86"/>
      <c r="U5416" s="86"/>
      <c r="V5416" s="48"/>
      <c r="W5416" s="48"/>
      <c r="X5416" s="48"/>
      <c r="Y5416" s="48"/>
      <c r="Z5416" s="48"/>
      <c r="AA5416" s="48"/>
      <c r="AB5416" s="48"/>
      <c r="AC5416" s="48"/>
      <c r="AD5416" s="48"/>
      <c r="AE5416" s="48"/>
      <c r="AF5416" s="48"/>
      <c r="AG5416" s="48"/>
      <c r="AH5416" s="48"/>
      <c r="AI5416" s="48"/>
      <c r="AJ5416" s="48"/>
      <c r="AK5416" s="48"/>
      <c r="AL5416" s="48"/>
      <c r="AM5416" s="48"/>
      <c r="AN5416" s="48"/>
      <c r="AO5416" s="48"/>
      <c r="AP5416" s="48"/>
      <c r="AQ5416" s="48"/>
      <c r="AR5416" s="48"/>
      <c r="AS5416" s="48"/>
      <c r="AT5416" s="48"/>
      <c r="AU5416" s="48"/>
      <c r="AV5416" s="48"/>
      <c r="AW5416" s="48"/>
      <c r="AX5416" s="48"/>
      <c r="AY5416" s="48"/>
      <c r="AZ5416" s="48"/>
      <c r="BA5416" s="48"/>
      <c r="BB5416" s="48"/>
      <c r="BC5416" s="48"/>
      <c r="BD5416" s="48"/>
    </row>
    <row r="5417" spans="1:56">
      <c r="A5417" s="48"/>
      <c r="B5417" s="48"/>
      <c r="C5417" s="49"/>
      <c r="D5417" s="48"/>
      <c r="E5417" s="48"/>
      <c r="F5417" s="48"/>
      <c r="G5417" s="48"/>
      <c r="H5417" s="48"/>
      <c r="I5417" s="48"/>
      <c r="J5417" s="86"/>
      <c r="K5417" s="86"/>
      <c r="L5417" s="86"/>
      <c r="M5417" s="86"/>
      <c r="N5417" s="86"/>
      <c r="O5417" s="86"/>
      <c r="P5417" s="86"/>
      <c r="Q5417" s="86"/>
      <c r="R5417" s="86"/>
      <c r="S5417" s="86"/>
      <c r="T5417" s="86"/>
      <c r="U5417" s="86"/>
      <c r="V5417" s="48"/>
      <c r="W5417" s="48"/>
      <c r="X5417" s="48"/>
      <c r="Y5417" s="48"/>
      <c r="Z5417" s="48"/>
      <c r="AA5417" s="48"/>
      <c r="AB5417" s="48"/>
      <c r="AC5417" s="48"/>
      <c r="AD5417" s="48"/>
      <c r="AE5417" s="48"/>
      <c r="AF5417" s="48"/>
      <c r="AG5417" s="48"/>
      <c r="AH5417" s="48"/>
      <c r="AI5417" s="48"/>
      <c r="AJ5417" s="48"/>
      <c r="AK5417" s="48"/>
      <c r="AL5417" s="48"/>
      <c r="AM5417" s="48"/>
      <c r="AN5417" s="48"/>
      <c r="AO5417" s="48"/>
      <c r="AP5417" s="48"/>
      <c r="AQ5417" s="48"/>
      <c r="AR5417" s="48"/>
      <c r="AS5417" s="48"/>
      <c r="AT5417" s="48"/>
      <c r="AU5417" s="48"/>
      <c r="AV5417" s="48"/>
      <c r="AW5417" s="48"/>
      <c r="AX5417" s="48"/>
      <c r="AY5417" s="48"/>
      <c r="AZ5417" s="48"/>
      <c r="BA5417" s="48"/>
      <c r="BB5417" s="48"/>
      <c r="BC5417" s="48"/>
      <c r="BD5417" s="48"/>
    </row>
    <row r="5418" spans="1:56">
      <c r="A5418" s="48"/>
      <c r="B5418" s="48"/>
      <c r="C5418" s="49"/>
      <c r="D5418" s="48"/>
      <c r="E5418" s="48"/>
      <c r="F5418" s="48"/>
      <c r="G5418" s="48"/>
      <c r="H5418" s="48"/>
      <c r="I5418" s="48"/>
      <c r="J5418" s="86"/>
      <c r="K5418" s="86"/>
      <c r="L5418" s="86"/>
      <c r="M5418" s="86"/>
      <c r="N5418" s="86"/>
      <c r="O5418" s="86"/>
      <c r="P5418" s="86"/>
      <c r="Q5418" s="86"/>
      <c r="R5418" s="86"/>
      <c r="S5418" s="86"/>
      <c r="T5418" s="86"/>
      <c r="U5418" s="86"/>
      <c r="V5418" s="48"/>
      <c r="W5418" s="48"/>
      <c r="X5418" s="48"/>
      <c r="Y5418" s="48"/>
      <c r="Z5418" s="48"/>
      <c r="AA5418" s="48"/>
      <c r="AB5418" s="48"/>
      <c r="AC5418" s="48"/>
      <c r="AD5418" s="48"/>
      <c r="AE5418" s="48"/>
      <c r="AF5418" s="48"/>
      <c r="AG5418" s="48"/>
      <c r="AH5418" s="48"/>
      <c r="AI5418" s="48"/>
      <c r="AJ5418" s="48"/>
      <c r="AK5418" s="48"/>
      <c r="AL5418" s="48"/>
      <c r="AM5418" s="48"/>
      <c r="AN5418" s="48"/>
      <c r="AO5418" s="48"/>
      <c r="AP5418" s="48"/>
      <c r="AQ5418" s="48"/>
      <c r="AR5418" s="48"/>
      <c r="AS5418" s="48"/>
      <c r="AT5418" s="48"/>
      <c r="AU5418" s="48"/>
      <c r="AV5418" s="48"/>
      <c r="AW5418" s="48"/>
      <c r="AX5418" s="48"/>
      <c r="AY5418" s="48"/>
      <c r="AZ5418" s="48"/>
      <c r="BA5418" s="48"/>
      <c r="BB5418" s="48"/>
      <c r="BC5418" s="48"/>
      <c r="BD5418" s="48"/>
    </row>
    <row r="5419" spans="1:56">
      <c r="A5419" s="48"/>
      <c r="B5419" s="48"/>
      <c r="C5419" s="49"/>
      <c r="D5419" s="48"/>
      <c r="E5419" s="48"/>
      <c r="F5419" s="48"/>
      <c r="G5419" s="48"/>
      <c r="H5419" s="48"/>
      <c r="I5419" s="48"/>
      <c r="J5419" s="86"/>
      <c r="K5419" s="86"/>
      <c r="L5419" s="86"/>
      <c r="M5419" s="86"/>
      <c r="N5419" s="86"/>
      <c r="O5419" s="86"/>
      <c r="P5419" s="86"/>
      <c r="Q5419" s="86"/>
      <c r="R5419" s="86"/>
      <c r="S5419" s="86"/>
      <c r="T5419" s="86"/>
      <c r="U5419" s="86"/>
      <c r="V5419" s="48"/>
      <c r="W5419" s="48"/>
      <c r="X5419" s="48"/>
      <c r="Y5419" s="48"/>
      <c r="Z5419" s="48"/>
      <c r="AA5419" s="48"/>
      <c r="AB5419" s="48"/>
      <c r="AC5419" s="48"/>
      <c r="AD5419" s="48"/>
      <c r="AE5419" s="48"/>
      <c r="AF5419" s="48"/>
      <c r="AG5419" s="48"/>
      <c r="AH5419" s="48"/>
      <c r="AI5419" s="48"/>
      <c r="AJ5419" s="48"/>
      <c r="AK5419" s="48"/>
      <c r="AL5419" s="48"/>
      <c r="AM5419" s="48"/>
      <c r="AN5419" s="48"/>
      <c r="AO5419" s="48"/>
      <c r="AP5419" s="48"/>
      <c r="AQ5419" s="48"/>
      <c r="AR5419" s="48"/>
      <c r="AS5419" s="48"/>
      <c r="AT5419" s="48"/>
      <c r="AU5419" s="48"/>
      <c r="AV5419" s="48"/>
      <c r="AW5419" s="48"/>
      <c r="AX5419" s="48"/>
      <c r="AY5419" s="48"/>
      <c r="AZ5419" s="48"/>
      <c r="BA5419" s="48"/>
      <c r="BB5419" s="48"/>
      <c r="BC5419" s="48"/>
      <c r="BD5419" s="48"/>
    </row>
    <row r="5420" spans="1:56">
      <c r="A5420" s="48"/>
      <c r="B5420" s="48"/>
      <c r="C5420" s="49"/>
      <c r="D5420" s="48"/>
      <c r="E5420" s="48"/>
      <c r="F5420" s="48"/>
      <c r="G5420" s="48"/>
      <c r="H5420" s="48"/>
      <c r="I5420" s="48"/>
      <c r="J5420" s="86"/>
      <c r="K5420" s="86"/>
      <c r="L5420" s="86"/>
      <c r="M5420" s="86"/>
      <c r="N5420" s="86"/>
      <c r="O5420" s="86"/>
      <c r="P5420" s="86"/>
      <c r="Q5420" s="86"/>
      <c r="R5420" s="86"/>
      <c r="S5420" s="86"/>
      <c r="T5420" s="86"/>
      <c r="U5420" s="86"/>
      <c r="V5420" s="48"/>
      <c r="W5420" s="48"/>
      <c r="X5420" s="48"/>
      <c r="Y5420" s="48"/>
      <c r="Z5420" s="48"/>
      <c r="AA5420" s="48"/>
      <c r="AB5420" s="48"/>
      <c r="AC5420" s="48"/>
      <c r="AD5420" s="48"/>
      <c r="AE5420" s="48"/>
      <c r="AF5420" s="48"/>
      <c r="AG5420" s="48"/>
      <c r="AH5420" s="48"/>
      <c r="AI5420" s="48"/>
      <c r="AJ5420" s="48"/>
      <c r="AK5420" s="48"/>
      <c r="AL5420" s="48"/>
      <c r="AM5420" s="48"/>
      <c r="AN5420" s="48"/>
      <c r="AO5420" s="48"/>
      <c r="AP5420" s="48"/>
      <c r="AQ5420" s="48"/>
      <c r="AR5420" s="48"/>
      <c r="AS5420" s="48"/>
      <c r="AT5420" s="48"/>
      <c r="AU5420" s="48"/>
      <c r="AV5420" s="48"/>
      <c r="AW5420" s="48"/>
      <c r="AX5420" s="48"/>
      <c r="AY5420" s="48"/>
      <c r="AZ5420" s="48"/>
      <c r="BA5420" s="48"/>
      <c r="BB5420" s="48"/>
      <c r="BC5420" s="48"/>
      <c r="BD5420" s="48"/>
    </row>
    <row r="5421" spans="1:56">
      <c r="A5421" s="48"/>
      <c r="B5421" s="48"/>
      <c r="C5421" s="49"/>
      <c r="D5421" s="48"/>
      <c r="E5421" s="48"/>
      <c r="F5421" s="48"/>
      <c r="G5421" s="48"/>
      <c r="H5421" s="48"/>
      <c r="I5421" s="48"/>
      <c r="J5421" s="86"/>
      <c r="K5421" s="86"/>
      <c r="L5421" s="86"/>
      <c r="M5421" s="86"/>
      <c r="N5421" s="86"/>
      <c r="O5421" s="86"/>
      <c r="P5421" s="86"/>
      <c r="Q5421" s="86"/>
      <c r="R5421" s="86"/>
      <c r="S5421" s="86"/>
      <c r="T5421" s="86"/>
      <c r="U5421" s="86"/>
      <c r="V5421" s="48"/>
      <c r="W5421" s="48"/>
      <c r="X5421" s="48"/>
      <c r="Y5421" s="48"/>
      <c r="Z5421" s="48"/>
      <c r="AA5421" s="48"/>
      <c r="AB5421" s="48"/>
      <c r="AC5421" s="48"/>
      <c r="AD5421" s="48"/>
      <c r="AE5421" s="48"/>
      <c r="AF5421" s="48"/>
      <c r="AG5421" s="48"/>
      <c r="AH5421" s="48"/>
      <c r="AI5421" s="48"/>
      <c r="AJ5421" s="48"/>
      <c r="AK5421" s="48"/>
      <c r="AL5421" s="48"/>
      <c r="AM5421" s="48"/>
      <c r="AN5421" s="48"/>
      <c r="AO5421" s="48"/>
      <c r="AP5421" s="48"/>
      <c r="AQ5421" s="48"/>
      <c r="AR5421" s="48"/>
      <c r="AS5421" s="48"/>
      <c r="AT5421" s="48"/>
      <c r="AU5421" s="48"/>
      <c r="AV5421" s="48"/>
      <c r="AW5421" s="48"/>
      <c r="AX5421" s="48"/>
      <c r="AY5421" s="48"/>
      <c r="AZ5421" s="48"/>
      <c r="BA5421" s="48"/>
      <c r="BB5421" s="48"/>
      <c r="BC5421" s="48"/>
      <c r="BD5421" s="48"/>
    </row>
    <row r="5422" spans="1:56">
      <c r="A5422" s="48"/>
      <c r="B5422" s="48"/>
      <c r="C5422" s="49"/>
      <c r="D5422" s="48"/>
      <c r="E5422" s="48"/>
      <c r="F5422" s="48"/>
      <c r="G5422" s="48"/>
      <c r="H5422" s="48"/>
      <c r="I5422" s="48"/>
      <c r="J5422" s="86"/>
      <c r="K5422" s="86"/>
      <c r="L5422" s="86"/>
      <c r="M5422" s="86"/>
      <c r="N5422" s="86"/>
      <c r="O5422" s="86"/>
      <c r="P5422" s="86"/>
      <c r="Q5422" s="86"/>
      <c r="R5422" s="86"/>
      <c r="S5422" s="86"/>
      <c r="T5422" s="86"/>
      <c r="U5422" s="86"/>
      <c r="V5422" s="48"/>
      <c r="W5422" s="48"/>
      <c r="X5422" s="48"/>
      <c r="Y5422" s="48"/>
      <c r="Z5422" s="48"/>
      <c r="AA5422" s="48"/>
      <c r="AB5422" s="48"/>
      <c r="AC5422" s="48"/>
      <c r="AD5422" s="48"/>
      <c r="AE5422" s="48"/>
      <c r="AF5422" s="48"/>
      <c r="AG5422" s="48"/>
      <c r="AH5422" s="48"/>
      <c r="AI5422" s="48"/>
      <c r="AJ5422" s="48"/>
      <c r="AK5422" s="48"/>
      <c r="AL5422" s="48"/>
      <c r="AM5422" s="48"/>
      <c r="AN5422" s="48"/>
      <c r="AO5422" s="48"/>
      <c r="AP5422" s="48"/>
      <c r="AQ5422" s="48"/>
      <c r="AR5422" s="48"/>
      <c r="AS5422" s="48"/>
      <c r="AT5422" s="48"/>
      <c r="AU5422" s="48"/>
      <c r="AV5422" s="48"/>
      <c r="AW5422" s="48"/>
      <c r="AX5422" s="48"/>
      <c r="AY5422" s="48"/>
      <c r="AZ5422" s="48"/>
      <c r="BA5422" s="48"/>
      <c r="BB5422" s="48"/>
      <c r="BC5422" s="48"/>
      <c r="BD5422" s="48"/>
    </row>
    <row r="5423" spans="1:56">
      <c r="A5423" s="48"/>
      <c r="B5423" s="48"/>
      <c r="C5423" s="49"/>
      <c r="D5423" s="48"/>
      <c r="E5423" s="48"/>
      <c r="F5423" s="48"/>
      <c r="G5423" s="48"/>
      <c r="H5423" s="48"/>
      <c r="I5423" s="48"/>
      <c r="J5423" s="86"/>
      <c r="K5423" s="86"/>
      <c r="L5423" s="86"/>
      <c r="M5423" s="86"/>
      <c r="N5423" s="86"/>
      <c r="O5423" s="86"/>
      <c r="P5423" s="86"/>
      <c r="Q5423" s="86"/>
      <c r="R5423" s="86"/>
      <c r="S5423" s="86"/>
      <c r="T5423" s="86"/>
      <c r="U5423" s="86"/>
      <c r="V5423" s="48"/>
      <c r="W5423" s="48"/>
      <c r="X5423" s="48"/>
      <c r="Y5423" s="48"/>
      <c r="Z5423" s="48"/>
      <c r="AA5423" s="48"/>
      <c r="AB5423" s="48"/>
      <c r="AC5423" s="48"/>
      <c r="AD5423" s="48"/>
      <c r="AE5423" s="48"/>
      <c r="AF5423" s="48"/>
      <c r="AG5423" s="48"/>
      <c r="AH5423" s="48"/>
      <c r="AI5423" s="48"/>
      <c r="AJ5423" s="48"/>
      <c r="AK5423" s="48"/>
      <c r="AL5423" s="48"/>
      <c r="AM5423" s="48"/>
      <c r="AN5423" s="48"/>
      <c r="AO5423" s="48"/>
      <c r="AP5423" s="48"/>
      <c r="AQ5423" s="48"/>
      <c r="AR5423" s="48"/>
      <c r="AS5423" s="48"/>
      <c r="AT5423" s="48"/>
      <c r="AU5423" s="48"/>
      <c r="AV5423" s="48"/>
      <c r="AW5423" s="48"/>
      <c r="AX5423" s="48"/>
      <c r="AY5423" s="48"/>
      <c r="AZ5423" s="48"/>
      <c r="BA5423" s="48"/>
      <c r="BB5423" s="48"/>
      <c r="BC5423" s="48"/>
      <c r="BD5423" s="48"/>
    </row>
    <row r="5424" spans="1:56">
      <c r="A5424" s="48"/>
      <c r="B5424" s="48"/>
      <c r="C5424" s="49"/>
      <c r="D5424" s="48"/>
      <c r="E5424" s="48"/>
      <c r="F5424" s="48"/>
      <c r="G5424" s="48"/>
      <c r="H5424" s="48"/>
      <c r="I5424" s="48"/>
      <c r="J5424" s="86"/>
      <c r="K5424" s="86"/>
      <c r="L5424" s="86"/>
      <c r="M5424" s="86"/>
      <c r="N5424" s="86"/>
      <c r="O5424" s="86"/>
      <c r="P5424" s="86"/>
      <c r="Q5424" s="86"/>
      <c r="R5424" s="86"/>
      <c r="S5424" s="86"/>
      <c r="T5424" s="86"/>
      <c r="U5424" s="86"/>
      <c r="V5424" s="48"/>
      <c r="W5424" s="48"/>
      <c r="X5424" s="48"/>
      <c r="Y5424" s="48"/>
      <c r="Z5424" s="48"/>
      <c r="AA5424" s="48"/>
      <c r="AB5424" s="48"/>
      <c r="AC5424" s="48"/>
      <c r="AD5424" s="48"/>
      <c r="AE5424" s="48"/>
      <c r="AF5424" s="48"/>
      <c r="AG5424" s="48"/>
      <c r="AH5424" s="48"/>
      <c r="AI5424" s="48"/>
      <c r="AJ5424" s="48"/>
      <c r="AK5424" s="48"/>
      <c r="AL5424" s="48"/>
      <c r="AM5424" s="48"/>
      <c r="AN5424" s="48"/>
      <c r="AO5424" s="48"/>
      <c r="AP5424" s="48"/>
      <c r="AQ5424" s="48"/>
      <c r="AR5424" s="48"/>
      <c r="AS5424" s="48"/>
      <c r="AT5424" s="48"/>
      <c r="AU5424" s="48"/>
      <c r="AV5424" s="48"/>
      <c r="AW5424" s="48"/>
      <c r="AX5424" s="48"/>
      <c r="AY5424" s="48"/>
      <c r="AZ5424" s="48"/>
      <c r="BA5424" s="48"/>
      <c r="BB5424" s="48"/>
      <c r="BC5424" s="48"/>
      <c r="BD5424" s="48"/>
    </row>
    <row r="5425" spans="1:56">
      <c r="A5425" s="48"/>
      <c r="B5425" s="48"/>
      <c r="C5425" s="49"/>
      <c r="D5425" s="48"/>
      <c r="E5425" s="48"/>
      <c r="F5425" s="48"/>
      <c r="G5425" s="48"/>
      <c r="H5425" s="48"/>
      <c r="I5425" s="48"/>
      <c r="J5425" s="86"/>
      <c r="K5425" s="86"/>
      <c r="L5425" s="86"/>
      <c r="M5425" s="86"/>
      <c r="N5425" s="86"/>
      <c r="O5425" s="86"/>
      <c r="P5425" s="86"/>
      <c r="Q5425" s="86"/>
      <c r="R5425" s="86"/>
      <c r="S5425" s="86"/>
      <c r="T5425" s="86"/>
      <c r="U5425" s="86"/>
      <c r="V5425" s="48"/>
      <c r="W5425" s="48"/>
      <c r="X5425" s="48"/>
      <c r="Y5425" s="48"/>
      <c r="Z5425" s="48"/>
      <c r="AA5425" s="48"/>
      <c r="AB5425" s="48"/>
      <c r="AC5425" s="48"/>
      <c r="AD5425" s="48"/>
      <c r="AE5425" s="48"/>
      <c r="AF5425" s="48"/>
      <c r="AG5425" s="48"/>
      <c r="AH5425" s="48"/>
      <c r="AI5425" s="48"/>
      <c r="AJ5425" s="48"/>
      <c r="AK5425" s="48"/>
      <c r="AL5425" s="48"/>
      <c r="AM5425" s="48"/>
      <c r="AN5425" s="48"/>
      <c r="AO5425" s="48"/>
      <c r="AP5425" s="48"/>
      <c r="AQ5425" s="48"/>
      <c r="AR5425" s="48"/>
      <c r="AS5425" s="48"/>
      <c r="AT5425" s="48"/>
      <c r="AU5425" s="48"/>
      <c r="AV5425" s="48"/>
      <c r="AW5425" s="48"/>
      <c r="AX5425" s="48"/>
      <c r="AY5425" s="48"/>
      <c r="AZ5425" s="48"/>
      <c r="BA5425" s="48"/>
      <c r="BB5425" s="48"/>
      <c r="BC5425" s="48"/>
      <c r="BD5425" s="48"/>
    </row>
    <row r="5426" spans="1:56">
      <c r="A5426" s="48"/>
      <c r="B5426" s="48"/>
      <c r="C5426" s="49"/>
      <c r="D5426" s="48"/>
      <c r="E5426" s="48"/>
      <c r="F5426" s="48"/>
      <c r="G5426" s="48"/>
      <c r="H5426" s="48"/>
      <c r="I5426" s="48"/>
      <c r="J5426" s="86"/>
      <c r="K5426" s="86"/>
      <c r="L5426" s="86"/>
      <c r="M5426" s="86"/>
      <c r="N5426" s="86"/>
      <c r="O5426" s="86"/>
      <c r="P5426" s="86"/>
      <c r="Q5426" s="86"/>
      <c r="R5426" s="86"/>
      <c r="S5426" s="86"/>
      <c r="T5426" s="86"/>
      <c r="U5426" s="86"/>
      <c r="V5426" s="48"/>
      <c r="W5426" s="48"/>
      <c r="X5426" s="48"/>
      <c r="Y5426" s="48"/>
      <c r="Z5426" s="48"/>
      <c r="AA5426" s="48"/>
      <c r="AB5426" s="48"/>
      <c r="AC5426" s="48"/>
      <c r="AD5426" s="48"/>
      <c r="AE5426" s="48"/>
      <c r="AF5426" s="48"/>
      <c r="AG5426" s="48"/>
      <c r="AH5426" s="48"/>
      <c r="AI5426" s="48"/>
      <c r="AJ5426" s="48"/>
      <c r="AK5426" s="48"/>
      <c r="AL5426" s="48"/>
      <c r="AM5426" s="48"/>
      <c r="AN5426" s="48"/>
      <c r="AO5426" s="48"/>
      <c r="AP5426" s="48"/>
      <c r="AQ5426" s="48"/>
      <c r="AR5426" s="48"/>
      <c r="AS5426" s="48"/>
      <c r="AT5426" s="48"/>
      <c r="AU5426" s="48"/>
      <c r="AV5426" s="48"/>
      <c r="AW5426" s="48"/>
      <c r="AX5426" s="48"/>
      <c r="AY5426" s="48"/>
      <c r="AZ5426" s="48"/>
      <c r="BA5426" s="48"/>
      <c r="BB5426" s="48"/>
      <c r="BC5426" s="48"/>
      <c r="BD5426" s="48"/>
    </row>
    <row r="5427" spans="1:56">
      <c r="A5427" s="48"/>
      <c r="B5427" s="48"/>
      <c r="C5427" s="49"/>
      <c r="D5427" s="48"/>
      <c r="E5427" s="48"/>
      <c r="F5427" s="48"/>
      <c r="G5427" s="48"/>
      <c r="H5427" s="48"/>
      <c r="I5427" s="48"/>
      <c r="J5427" s="86"/>
      <c r="K5427" s="86"/>
      <c r="L5427" s="86"/>
      <c r="M5427" s="86"/>
      <c r="N5427" s="86"/>
      <c r="O5427" s="86"/>
      <c r="P5427" s="86"/>
      <c r="Q5427" s="86"/>
      <c r="R5427" s="86"/>
      <c r="S5427" s="86"/>
      <c r="T5427" s="86"/>
      <c r="U5427" s="86"/>
      <c r="V5427" s="48"/>
      <c r="W5427" s="48"/>
      <c r="X5427" s="48"/>
      <c r="Y5427" s="48"/>
      <c r="Z5427" s="48"/>
      <c r="AA5427" s="48"/>
      <c r="AB5427" s="48"/>
      <c r="AC5427" s="48"/>
      <c r="AD5427" s="48"/>
      <c r="AE5427" s="48"/>
      <c r="AF5427" s="48"/>
      <c r="AG5427" s="48"/>
      <c r="AH5427" s="48"/>
      <c r="AI5427" s="48"/>
      <c r="AJ5427" s="48"/>
      <c r="AK5427" s="48"/>
      <c r="AL5427" s="48"/>
      <c r="AM5427" s="48"/>
      <c r="AN5427" s="48"/>
      <c r="AO5427" s="48"/>
      <c r="AP5427" s="48"/>
      <c r="AQ5427" s="48"/>
      <c r="AR5427" s="48"/>
      <c r="AS5427" s="48"/>
      <c r="AT5427" s="48"/>
      <c r="AU5427" s="48"/>
      <c r="AV5427" s="48"/>
      <c r="AW5427" s="48"/>
      <c r="AX5427" s="48"/>
      <c r="AY5427" s="48"/>
      <c r="AZ5427" s="48"/>
      <c r="BA5427" s="48"/>
      <c r="BB5427" s="48"/>
      <c r="BC5427" s="48"/>
      <c r="BD5427" s="48"/>
    </row>
    <row r="5428" spans="1:56">
      <c r="A5428" s="48"/>
      <c r="B5428" s="48"/>
      <c r="C5428" s="49"/>
      <c r="D5428" s="48"/>
      <c r="E5428" s="48"/>
      <c r="F5428" s="48"/>
      <c r="G5428" s="48"/>
      <c r="H5428" s="48"/>
      <c r="I5428" s="48"/>
      <c r="J5428" s="86"/>
      <c r="K5428" s="86"/>
      <c r="L5428" s="86"/>
      <c r="M5428" s="86"/>
      <c r="N5428" s="86"/>
      <c r="O5428" s="86"/>
      <c r="P5428" s="86"/>
      <c r="Q5428" s="86"/>
      <c r="R5428" s="86"/>
      <c r="S5428" s="86"/>
      <c r="T5428" s="86"/>
      <c r="U5428" s="86"/>
      <c r="V5428" s="48"/>
      <c r="W5428" s="48"/>
      <c r="X5428" s="48"/>
      <c r="Y5428" s="48"/>
      <c r="Z5428" s="48"/>
      <c r="AA5428" s="48"/>
      <c r="AB5428" s="48"/>
      <c r="AC5428" s="48"/>
      <c r="AD5428" s="48"/>
      <c r="AE5428" s="48"/>
      <c r="AF5428" s="48"/>
      <c r="AG5428" s="48"/>
      <c r="AH5428" s="48"/>
      <c r="AI5428" s="48"/>
      <c r="AJ5428" s="48"/>
      <c r="AK5428" s="48"/>
      <c r="AL5428" s="48"/>
      <c r="AM5428" s="48"/>
      <c r="AN5428" s="48"/>
      <c r="AO5428" s="48"/>
      <c r="AP5428" s="48"/>
      <c r="AQ5428" s="48"/>
      <c r="AR5428" s="48"/>
      <c r="AS5428" s="48"/>
      <c r="AT5428" s="48"/>
      <c r="AU5428" s="48"/>
      <c r="AV5428" s="48"/>
      <c r="AW5428" s="48"/>
      <c r="AX5428" s="48"/>
      <c r="AY5428" s="48"/>
      <c r="AZ5428" s="48"/>
      <c r="BA5428" s="48"/>
      <c r="BB5428" s="48"/>
      <c r="BC5428" s="48"/>
      <c r="BD5428" s="48"/>
    </row>
    <row r="5429" spans="1:56">
      <c r="A5429" s="48"/>
      <c r="B5429" s="48"/>
      <c r="C5429" s="49"/>
      <c r="D5429" s="48"/>
      <c r="E5429" s="48"/>
      <c r="F5429" s="48"/>
      <c r="G5429" s="48"/>
      <c r="H5429" s="48"/>
      <c r="I5429" s="48"/>
      <c r="J5429" s="86"/>
      <c r="K5429" s="86"/>
      <c r="L5429" s="86"/>
      <c r="M5429" s="86"/>
      <c r="N5429" s="86"/>
      <c r="O5429" s="86"/>
      <c r="P5429" s="86"/>
      <c r="Q5429" s="86"/>
      <c r="R5429" s="86"/>
      <c r="S5429" s="86"/>
      <c r="T5429" s="86"/>
      <c r="U5429" s="86"/>
      <c r="V5429" s="48"/>
      <c r="W5429" s="48"/>
      <c r="X5429" s="48"/>
      <c r="Y5429" s="48"/>
      <c r="Z5429" s="48"/>
      <c r="AA5429" s="48"/>
      <c r="AB5429" s="48"/>
      <c r="AC5429" s="48"/>
      <c r="AD5429" s="48"/>
      <c r="AE5429" s="48"/>
      <c r="AF5429" s="48"/>
      <c r="AG5429" s="48"/>
      <c r="AH5429" s="48"/>
      <c r="AI5429" s="48"/>
      <c r="AJ5429" s="48"/>
      <c r="AK5429" s="48"/>
      <c r="AL5429" s="48"/>
      <c r="AM5429" s="48"/>
      <c r="AN5429" s="48"/>
      <c r="AO5429" s="48"/>
      <c r="AP5429" s="48"/>
      <c r="AQ5429" s="48"/>
      <c r="AR5429" s="48"/>
      <c r="AS5429" s="48"/>
      <c r="AT5429" s="48"/>
      <c r="AU5429" s="48"/>
      <c r="AV5429" s="48"/>
      <c r="AW5429" s="48"/>
      <c r="AX5429" s="48"/>
      <c r="AY5429" s="48"/>
      <c r="AZ5429" s="48"/>
      <c r="BA5429" s="48"/>
      <c r="BB5429" s="48"/>
      <c r="BC5429" s="48"/>
      <c r="BD5429" s="48"/>
    </row>
    <row r="5430" spans="1:56">
      <c r="A5430" s="48"/>
      <c r="B5430" s="48"/>
      <c r="C5430" s="49"/>
      <c r="D5430" s="48"/>
      <c r="E5430" s="48"/>
      <c r="F5430" s="48"/>
      <c r="G5430" s="48"/>
      <c r="H5430" s="48"/>
      <c r="I5430" s="48"/>
      <c r="J5430" s="86"/>
      <c r="K5430" s="86"/>
      <c r="L5430" s="86"/>
      <c r="M5430" s="86"/>
      <c r="N5430" s="86"/>
      <c r="O5430" s="86"/>
      <c r="P5430" s="86"/>
      <c r="Q5430" s="86"/>
      <c r="R5430" s="86"/>
      <c r="S5430" s="86"/>
      <c r="T5430" s="86"/>
      <c r="U5430" s="86"/>
      <c r="V5430" s="48"/>
      <c r="W5430" s="48"/>
      <c r="X5430" s="48"/>
      <c r="Y5430" s="48"/>
      <c r="Z5430" s="48"/>
      <c r="AA5430" s="48"/>
      <c r="AB5430" s="48"/>
      <c r="AC5430" s="48"/>
      <c r="AD5430" s="48"/>
      <c r="AE5430" s="48"/>
      <c r="AF5430" s="48"/>
      <c r="AG5430" s="48"/>
      <c r="AH5430" s="48"/>
      <c r="AI5430" s="48"/>
      <c r="AJ5430" s="48"/>
      <c r="AK5430" s="48"/>
      <c r="AL5430" s="48"/>
      <c r="AM5430" s="48"/>
      <c r="AN5430" s="48"/>
      <c r="AO5430" s="48"/>
      <c r="AP5430" s="48"/>
      <c r="AQ5430" s="48"/>
      <c r="AR5430" s="48"/>
      <c r="AS5430" s="48"/>
      <c r="AT5430" s="48"/>
      <c r="AU5430" s="48"/>
      <c r="AV5430" s="48"/>
      <c r="AW5430" s="48"/>
      <c r="AX5430" s="48"/>
      <c r="AY5430" s="48"/>
      <c r="AZ5430" s="48"/>
      <c r="BA5430" s="48"/>
      <c r="BB5430" s="48"/>
      <c r="BC5430" s="48"/>
      <c r="BD5430" s="48"/>
    </row>
    <row r="5431" spans="1:56">
      <c r="A5431" s="48"/>
      <c r="B5431" s="48"/>
      <c r="C5431" s="49"/>
      <c r="D5431" s="48"/>
      <c r="E5431" s="48"/>
      <c r="F5431" s="48"/>
      <c r="G5431" s="48"/>
      <c r="H5431" s="48"/>
      <c r="I5431" s="48"/>
      <c r="J5431" s="86"/>
      <c r="K5431" s="86"/>
      <c r="L5431" s="86"/>
      <c r="M5431" s="86"/>
      <c r="N5431" s="86"/>
      <c r="O5431" s="86"/>
      <c r="P5431" s="86"/>
      <c r="Q5431" s="86"/>
      <c r="R5431" s="86"/>
      <c r="S5431" s="86"/>
      <c r="T5431" s="86"/>
      <c r="U5431" s="86"/>
      <c r="V5431" s="48"/>
      <c r="W5431" s="48"/>
      <c r="X5431" s="48"/>
      <c r="Y5431" s="48"/>
      <c r="Z5431" s="48"/>
      <c r="AA5431" s="48"/>
      <c r="AB5431" s="48"/>
      <c r="AC5431" s="48"/>
      <c r="AD5431" s="48"/>
      <c r="AE5431" s="48"/>
      <c r="AF5431" s="48"/>
      <c r="AG5431" s="48"/>
      <c r="AH5431" s="48"/>
      <c r="AI5431" s="48"/>
      <c r="AJ5431" s="48"/>
      <c r="AK5431" s="48"/>
      <c r="AL5431" s="48"/>
      <c r="AM5431" s="48"/>
      <c r="AN5431" s="48"/>
      <c r="AO5431" s="48"/>
      <c r="AP5431" s="48"/>
      <c r="AQ5431" s="48"/>
      <c r="AR5431" s="48"/>
      <c r="AS5431" s="48"/>
      <c r="AT5431" s="48"/>
      <c r="AU5431" s="48"/>
      <c r="AV5431" s="48"/>
      <c r="AW5431" s="48"/>
      <c r="AX5431" s="48"/>
      <c r="AY5431" s="48"/>
      <c r="AZ5431" s="48"/>
      <c r="BA5431" s="48"/>
      <c r="BB5431" s="48"/>
      <c r="BC5431" s="48"/>
      <c r="BD5431" s="48"/>
    </row>
    <row r="5432" spans="1:56">
      <c r="A5432" s="48"/>
      <c r="B5432" s="48"/>
      <c r="C5432" s="49"/>
      <c r="D5432" s="48"/>
      <c r="E5432" s="48"/>
      <c r="F5432" s="48"/>
      <c r="G5432" s="48"/>
      <c r="H5432" s="48"/>
      <c r="I5432" s="48"/>
      <c r="J5432" s="86"/>
      <c r="K5432" s="86"/>
      <c r="L5432" s="86"/>
      <c r="M5432" s="86"/>
      <c r="N5432" s="86"/>
      <c r="O5432" s="86"/>
      <c r="P5432" s="86"/>
      <c r="Q5432" s="86"/>
      <c r="R5432" s="86"/>
      <c r="S5432" s="86"/>
      <c r="T5432" s="86"/>
      <c r="U5432" s="86"/>
      <c r="V5432" s="48"/>
      <c r="W5432" s="48"/>
      <c r="X5432" s="48"/>
      <c r="Y5432" s="48"/>
      <c r="Z5432" s="48"/>
      <c r="AA5432" s="48"/>
      <c r="AB5432" s="48"/>
      <c r="AC5432" s="48"/>
      <c r="AD5432" s="48"/>
      <c r="AE5432" s="48"/>
      <c r="AF5432" s="48"/>
      <c r="AG5432" s="48"/>
      <c r="AH5432" s="48"/>
      <c r="AI5432" s="48"/>
      <c r="AJ5432" s="48"/>
      <c r="AK5432" s="48"/>
      <c r="AL5432" s="48"/>
      <c r="AM5432" s="48"/>
      <c r="AN5432" s="48"/>
      <c r="AO5432" s="48"/>
      <c r="AP5432" s="48"/>
      <c r="AQ5432" s="48"/>
      <c r="AR5432" s="48"/>
      <c r="AS5432" s="48"/>
      <c r="AT5432" s="48"/>
      <c r="AU5432" s="48"/>
      <c r="AV5432" s="48"/>
      <c r="AW5432" s="48"/>
      <c r="AX5432" s="48"/>
      <c r="AY5432" s="48"/>
      <c r="AZ5432" s="48"/>
      <c r="BA5432" s="48"/>
      <c r="BB5432" s="48"/>
      <c r="BC5432" s="48"/>
      <c r="BD5432" s="48"/>
    </row>
    <row r="5433" spans="1:56">
      <c r="A5433" s="48"/>
      <c r="B5433" s="48"/>
      <c r="C5433" s="49"/>
      <c r="D5433" s="48"/>
      <c r="E5433" s="48"/>
      <c r="F5433" s="48"/>
      <c r="G5433" s="48"/>
      <c r="H5433" s="48"/>
      <c r="I5433" s="48"/>
      <c r="J5433" s="86"/>
      <c r="K5433" s="86"/>
      <c r="L5433" s="86"/>
      <c r="M5433" s="86"/>
      <c r="N5433" s="86"/>
      <c r="O5433" s="86"/>
      <c r="P5433" s="86"/>
      <c r="Q5433" s="86"/>
      <c r="R5433" s="86"/>
      <c r="S5433" s="86"/>
      <c r="T5433" s="86"/>
      <c r="U5433" s="86"/>
      <c r="V5433" s="48"/>
      <c r="W5433" s="48"/>
      <c r="X5433" s="48"/>
      <c r="Y5433" s="48"/>
      <c r="Z5433" s="48"/>
      <c r="AA5433" s="48"/>
      <c r="AB5433" s="48"/>
      <c r="AC5433" s="48"/>
      <c r="AD5433" s="48"/>
      <c r="AE5433" s="48"/>
      <c r="AF5433" s="48"/>
      <c r="AG5433" s="48"/>
      <c r="AH5433" s="48"/>
      <c r="AI5433" s="48"/>
      <c r="AJ5433" s="48"/>
      <c r="AK5433" s="48"/>
      <c r="AL5433" s="48"/>
      <c r="AM5433" s="48"/>
      <c r="AN5433" s="48"/>
      <c r="AO5433" s="48"/>
      <c r="AP5433" s="48"/>
      <c r="AQ5433" s="48"/>
      <c r="AR5433" s="48"/>
      <c r="AS5433" s="48"/>
      <c r="AT5433" s="48"/>
      <c r="AU5433" s="48"/>
      <c r="AV5433" s="48"/>
      <c r="AW5433" s="48"/>
      <c r="AX5433" s="48"/>
      <c r="AY5433" s="48"/>
      <c r="AZ5433" s="48"/>
      <c r="BA5433" s="48"/>
      <c r="BB5433" s="48"/>
      <c r="BC5433" s="48"/>
      <c r="BD5433" s="48"/>
    </row>
    <row r="5434" spans="1:56">
      <c r="A5434" s="48"/>
      <c r="B5434" s="48"/>
      <c r="C5434" s="49"/>
      <c r="D5434" s="48"/>
      <c r="E5434" s="48"/>
      <c r="F5434" s="48"/>
      <c r="G5434" s="48"/>
      <c r="H5434" s="48"/>
      <c r="I5434" s="48"/>
      <c r="J5434" s="86"/>
      <c r="K5434" s="86"/>
      <c r="L5434" s="86"/>
      <c r="M5434" s="86"/>
      <c r="N5434" s="86"/>
      <c r="O5434" s="86"/>
      <c r="P5434" s="86"/>
      <c r="Q5434" s="86"/>
      <c r="R5434" s="86"/>
      <c r="S5434" s="86"/>
      <c r="T5434" s="86"/>
      <c r="U5434" s="86"/>
      <c r="V5434" s="48"/>
      <c r="W5434" s="48"/>
      <c r="X5434" s="48"/>
      <c r="Y5434" s="48"/>
      <c r="Z5434" s="48"/>
      <c r="AA5434" s="48"/>
      <c r="AB5434" s="48"/>
      <c r="AC5434" s="48"/>
      <c r="AD5434" s="48"/>
      <c r="AE5434" s="48"/>
      <c r="AF5434" s="48"/>
      <c r="AG5434" s="48"/>
      <c r="AH5434" s="48"/>
      <c r="AI5434" s="48"/>
      <c r="AJ5434" s="48"/>
      <c r="AK5434" s="48"/>
      <c r="AL5434" s="48"/>
      <c r="AM5434" s="48"/>
      <c r="AN5434" s="48"/>
      <c r="AO5434" s="48"/>
      <c r="AP5434" s="48"/>
      <c r="AQ5434" s="48"/>
      <c r="AR5434" s="48"/>
      <c r="AS5434" s="48"/>
      <c r="AT5434" s="48"/>
      <c r="AU5434" s="48"/>
      <c r="AV5434" s="48"/>
      <c r="AW5434" s="48"/>
      <c r="AX5434" s="48"/>
      <c r="AY5434" s="48"/>
      <c r="AZ5434" s="48"/>
      <c r="BA5434" s="48"/>
      <c r="BB5434" s="48"/>
      <c r="BC5434" s="48"/>
      <c r="BD5434" s="48"/>
    </row>
    <row r="5435" spans="1:56">
      <c r="A5435" s="48"/>
      <c r="B5435" s="48"/>
      <c r="C5435" s="49"/>
      <c r="D5435" s="48"/>
      <c r="E5435" s="48"/>
      <c r="F5435" s="48"/>
      <c r="G5435" s="48"/>
      <c r="H5435" s="48"/>
      <c r="I5435" s="48"/>
      <c r="J5435" s="86"/>
      <c r="K5435" s="86"/>
      <c r="L5435" s="86"/>
      <c r="M5435" s="86"/>
      <c r="N5435" s="86"/>
      <c r="O5435" s="86"/>
      <c r="P5435" s="86"/>
      <c r="Q5435" s="86"/>
      <c r="R5435" s="86"/>
      <c r="S5435" s="86"/>
      <c r="T5435" s="86"/>
      <c r="U5435" s="86"/>
      <c r="V5435" s="48"/>
      <c r="W5435" s="48"/>
      <c r="X5435" s="48"/>
      <c r="Y5435" s="48"/>
      <c r="Z5435" s="48"/>
      <c r="AA5435" s="48"/>
      <c r="AB5435" s="48"/>
      <c r="AC5435" s="48"/>
      <c r="AD5435" s="48"/>
      <c r="AE5435" s="48"/>
      <c r="AF5435" s="48"/>
      <c r="AG5435" s="48"/>
      <c r="AH5435" s="48"/>
      <c r="AI5435" s="48"/>
      <c r="AJ5435" s="48"/>
      <c r="AK5435" s="48"/>
      <c r="AL5435" s="48"/>
      <c r="AM5435" s="48"/>
      <c r="AN5435" s="48"/>
      <c r="AO5435" s="48"/>
      <c r="AP5435" s="48"/>
      <c r="AQ5435" s="48"/>
      <c r="AR5435" s="48"/>
      <c r="AS5435" s="48"/>
      <c r="AT5435" s="48"/>
      <c r="AU5435" s="48"/>
      <c r="AV5435" s="48"/>
      <c r="AW5435" s="48"/>
      <c r="AX5435" s="48"/>
      <c r="AY5435" s="48"/>
      <c r="AZ5435" s="48"/>
      <c r="BA5435" s="48"/>
      <c r="BB5435" s="48"/>
      <c r="BC5435" s="48"/>
      <c r="BD5435" s="48"/>
    </row>
    <row r="5436" spans="1:56">
      <c r="A5436" s="48"/>
      <c r="B5436" s="48"/>
      <c r="C5436" s="49"/>
      <c r="D5436" s="48"/>
      <c r="E5436" s="48"/>
      <c r="F5436" s="48"/>
      <c r="G5436" s="48"/>
      <c r="H5436" s="48"/>
      <c r="I5436" s="48"/>
      <c r="J5436" s="86"/>
      <c r="K5436" s="86"/>
      <c r="L5436" s="86"/>
      <c r="M5436" s="86"/>
      <c r="N5436" s="86"/>
      <c r="O5436" s="86"/>
      <c r="P5436" s="86"/>
      <c r="Q5436" s="86"/>
      <c r="R5436" s="86"/>
      <c r="S5436" s="86"/>
      <c r="T5436" s="86"/>
      <c r="U5436" s="86"/>
      <c r="V5436" s="48"/>
      <c r="W5436" s="48"/>
      <c r="X5436" s="48"/>
      <c r="Y5436" s="48"/>
      <c r="Z5436" s="48"/>
      <c r="AA5436" s="48"/>
      <c r="AB5436" s="48"/>
      <c r="AC5436" s="48"/>
      <c r="AD5436" s="48"/>
      <c r="AE5436" s="48"/>
      <c r="AF5436" s="48"/>
      <c r="AG5436" s="48"/>
      <c r="AH5436" s="48"/>
      <c r="AI5436" s="48"/>
      <c r="AJ5436" s="48"/>
      <c r="AK5436" s="48"/>
      <c r="AL5436" s="48"/>
      <c r="AM5436" s="48"/>
      <c r="AN5436" s="48"/>
      <c r="AO5436" s="48"/>
      <c r="AP5436" s="48"/>
      <c r="AQ5436" s="48"/>
      <c r="AR5436" s="48"/>
      <c r="AS5436" s="48"/>
      <c r="AT5436" s="48"/>
      <c r="AU5436" s="48"/>
      <c r="AV5436" s="48"/>
      <c r="AW5436" s="48"/>
      <c r="AX5436" s="48"/>
      <c r="AY5436" s="48"/>
      <c r="AZ5436" s="48"/>
      <c r="BA5436" s="48"/>
      <c r="BB5436" s="48"/>
      <c r="BC5436" s="48"/>
      <c r="BD5436" s="48"/>
    </row>
    <row r="5437" spans="1:56">
      <c r="A5437" s="48"/>
      <c r="B5437" s="48"/>
      <c r="C5437" s="49"/>
      <c r="D5437" s="48"/>
      <c r="E5437" s="48"/>
      <c r="F5437" s="48"/>
      <c r="G5437" s="48"/>
      <c r="H5437" s="48"/>
      <c r="I5437" s="48"/>
      <c r="J5437" s="86"/>
      <c r="K5437" s="86"/>
      <c r="L5437" s="86"/>
      <c r="M5437" s="86"/>
      <c r="N5437" s="86"/>
      <c r="O5437" s="86"/>
      <c r="P5437" s="86"/>
      <c r="Q5437" s="86"/>
      <c r="R5437" s="86"/>
      <c r="S5437" s="86"/>
      <c r="T5437" s="86"/>
      <c r="U5437" s="86"/>
      <c r="V5437" s="48"/>
      <c r="W5437" s="48"/>
      <c r="X5437" s="48"/>
      <c r="Y5437" s="48"/>
      <c r="Z5437" s="48"/>
      <c r="AA5437" s="48"/>
      <c r="AB5437" s="48"/>
      <c r="AC5437" s="48"/>
      <c r="AD5437" s="48"/>
      <c r="AE5437" s="48"/>
      <c r="AF5437" s="48"/>
      <c r="AG5437" s="48"/>
      <c r="AH5437" s="48"/>
      <c r="AI5437" s="48"/>
      <c r="AJ5437" s="48"/>
      <c r="AK5437" s="48"/>
      <c r="AL5437" s="48"/>
      <c r="AM5437" s="48"/>
      <c r="AN5437" s="48"/>
      <c r="AO5437" s="48"/>
      <c r="AP5437" s="48"/>
      <c r="AQ5437" s="48"/>
      <c r="AR5437" s="48"/>
      <c r="AS5437" s="48"/>
      <c r="AT5437" s="48"/>
      <c r="AU5437" s="48"/>
      <c r="AV5437" s="48"/>
      <c r="AW5437" s="48"/>
      <c r="AX5437" s="48"/>
      <c r="AY5437" s="48"/>
      <c r="AZ5437" s="48"/>
      <c r="BA5437" s="48"/>
      <c r="BB5437" s="48"/>
      <c r="BC5437" s="48"/>
      <c r="BD5437" s="48"/>
    </row>
    <row r="5438" spans="1:56">
      <c r="A5438" s="48"/>
      <c r="B5438" s="48"/>
      <c r="C5438" s="49"/>
      <c r="D5438" s="48"/>
      <c r="E5438" s="48"/>
      <c r="F5438" s="48"/>
      <c r="G5438" s="48"/>
      <c r="H5438" s="48"/>
      <c r="I5438" s="48"/>
      <c r="J5438" s="86"/>
      <c r="K5438" s="86"/>
      <c r="L5438" s="86"/>
      <c r="M5438" s="86"/>
      <c r="N5438" s="86"/>
      <c r="O5438" s="86"/>
      <c r="P5438" s="86"/>
      <c r="Q5438" s="86"/>
      <c r="R5438" s="86"/>
      <c r="S5438" s="86"/>
      <c r="T5438" s="86"/>
      <c r="U5438" s="86"/>
      <c r="V5438" s="48"/>
      <c r="W5438" s="48"/>
      <c r="X5438" s="48"/>
      <c r="Y5438" s="48"/>
      <c r="Z5438" s="48"/>
      <c r="AA5438" s="48"/>
      <c r="AB5438" s="48"/>
      <c r="AC5438" s="48"/>
      <c r="AD5438" s="48"/>
      <c r="AE5438" s="48"/>
      <c r="AF5438" s="48"/>
      <c r="AG5438" s="48"/>
      <c r="AH5438" s="48"/>
      <c r="AI5438" s="48"/>
      <c r="AJ5438" s="48"/>
      <c r="AK5438" s="48"/>
      <c r="AL5438" s="48"/>
      <c r="AM5438" s="48"/>
      <c r="AN5438" s="48"/>
      <c r="AO5438" s="48"/>
      <c r="AP5438" s="48"/>
      <c r="AQ5438" s="48"/>
      <c r="AR5438" s="48"/>
      <c r="AS5438" s="48"/>
      <c r="AT5438" s="48"/>
      <c r="AU5438" s="48"/>
      <c r="AV5438" s="48"/>
      <c r="AW5438" s="48"/>
      <c r="AX5438" s="48"/>
      <c r="AY5438" s="48"/>
      <c r="AZ5438" s="48"/>
      <c r="BA5438" s="48"/>
      <c r="BB5438" s="48"/>
      <c r="BC5438" s="48"/>
      <c r="BD5438" s="48"/>
    </row>
    <row r="5439" spans="1:56">
      <c r="A5439" s="48"/>
      <c r="B5439" s="48"/>
      <c r="C5439" s="49"/>
      <c r="D5439" s="48"/>
      <c r="E5439" s="48"/>
      <c r="F5439" s="48"/>
      <c r="G5439" s="48"/>
      <c r="H5439" s="48"/>
      <c r="I5439" s="48"/>
      <c r="J5439" s="86"/>
      <c r="K5439" s="86"/>
      <c r="L5439" s="86"/>
      <c r="M5439" s="86"/>
      <c r="N5439" s="86"/>
      <c r="O5439" s="86"/>
      <c r="P5439" s="86"/>
      <c r="Q5439" s="86"/>
      <c r="R5439" s="86"/>
      <c r="S5439" s="86"/>
      <c r="T5439" s="86"/>
      <c r="U5439" s="86"/>
      <c r="V5439" s="48"/>
      <c r="W5439" s="48"/>
      <c r="X5439" s="48"/>
      <c r="Y5439" s="48"/>
      <c r="Z5439" s="48"/>
      <c r="AA5439" s="48"/>
      <c r="AB5439" s="48"/>
      <c r="AC5439" s="48"/>
      <c r="AD5439" s="48"/>
      <c r="AE5439" s="48"/>
      <c r="AF5439" s="48"/>
      <c r="AG5439" s="48"/>
      <c r="AH5439" s="48"/>
      <c r="AI5439" s="48"/>
      <c r="AJ5439" s="48"/>
      <c r="AK5439" s="48"/>
      <c r="AL5439" s="48"/>
      <c r="AM5439" s="48"/>
      <c r="AN5439" s="48"/>
      <c r="AO5439" s="48"/>
      <c r="AP5439" s="48"/>
      <c r="AQ5439" s="48"/>
      <c r="AR5439" s="48"/>
      <c r="AS5439" s="48"/>
      <c r="AT5439" s="48"/>
      <c r="AU5439" s="48"/>
      <c r="AV5439" s="48"/>
      <c r="AW5439" s="48"/>
      <c r="AX5439" s="48"/>
      <c r="AY5439" s="48"/>
      <c r="AZ5439" s="48"/>
      <c r="BA5439" s="48"/>
      <c r="BB5439" s="48"/>
      <c r="BC5439" s="48"/>
      <c r="BD5439" s="48"/>
    </row>
    <row r="5440" spans="1:56">
      <c r="A5440" s="48"/>
      <c r="B5440" s="48"/>
      <c r="C5440" s="49"/>
      <c r="D5440" s="48"/>
      <c r="E5440" s="48"/>
      <c r="F5440" s="48"/>
      <c r="G5440" s="48"/>
      <c r="H5440" s="48"/>
      <c r="I5440" s="48"/>
      <c r="J5440" s="86"/>
      <c r="K5440" s="86"/>
      <c r="L5440" s="86"/>
      <c r="M5440" s="86"/>
      <c r="N5440" s="86"/>
      <c r="O5440" s="86"/>
      <c r="P5440" s="86"/>
      <c r="Q5440" s="86"/>
      <c r="R5440" s="86"/>
      <c r="S5440" s="86"/>
      <c r="T5440" s="86"/>
      <c r="U5440" s="86"/>
      <c r="V5440" s="48"/>
      <c r="W5440" s="48"/>
      <c r="X5440" s="48"/>
      <c r="Y5440" s="48"/>
      <c r="Z5440" s="48"/>
      <c r="AA5440" s="48"/>
      <c r="AB5440" s="48"/>
      <c r="AC5440" s="48"/>
      <c r="AD5440" s="48"/>
      <c r="AE5440" s="48"/>
      <c r="AF5440" s="48"/>
      <c r="AG5440" s="48"/>
      <c r="AH5440" s="48"/>
      <c r="AI5440" s="48"/>
      <c r="AJ5440" s="48"/>
      <c r="AK5440" s="48"/>
      <c r="AL5440" s="48"/>
      <c r="AM5440" s="48"/>
      <c r="AN5440" s="48"/>
      <c r="AO5440" s="48"/>
      <c r="AP5440" s="48"/>
      <c r="AQ5440" s="48"/>
      <c r="AR5440" s="48"/>
      <c r="AS5440" s="48"/>
      <c r="AT5440" s="48"/>
      <c r="AU5440" s="48"/>
      <c r="AV5440" s="48"/>
      <c r="AW5440" s="48"/>
      <c r="AX5440" s="48"/>
      <c r="AY5440" s="48"/>
      <c r="AZ5440" s="48"/>
      <c r="BA5440" s="48"/>
      <c r="BB5440" s="48"/>
      <c r="BC5440" s="48"/>
      <c r="BD5440" s="48"/>
    </row>
    <row r="5441" spans="1:56">
      <c r="A5441" s="48"/>
      <c r="B5441" s="48"/>
      <c r="C5441" s="49"/>
      <c r="D5441" s="48"/>
      <c r="E5441" s="48"/>
      <c r="F5441" s="48"/>
      <c r="G5441" s="48"/>
      <c r="H5441" s="48"/>
      <c r="I5441" s="48"/>
      <c r="J5441" s="86"/>
      <c r="K5441" s="86"/>
      <c r="L5441" s="86"/>
      <c r="M5441" s="86"/>
      <c r="N5441" s="86"/>
      <c r="O5441" s="86"/>
      <c r="P5441" s="86"/>
      <c r="Q5441" s="86"/>
      <c r="R5441" s="86"/>
      <c r="S5441" s="86"/>
      <c r="T5441" s="86"/>
      <c r="U5441" s="86"/>
      <c r="V5441" s="48"/>
      <c r="W5441" s="48"/>
      <c r="X5441" s="48"/>
      <c r="Y5441" s="48"/>
      <c r="Z5441" s="48"/>
      <c r="AA5441" s="48"/>
      <c r="AB5441" s="48"/>
      <c r="AC5441" s="48"/>
      <c r="AD5441" s="48"/>
      <c r="AE5441" s="48"/>
      <c r="AF5441" s="48"/>
      <c r="AG5441" s="48"/>
      <c r="AH5441" s="48"/>
      <c r="AI5441" s="48"/>
      <c r="AJ5441" s="48"/>
      <c r="AK5441" s="48"/>
      <c r="AL5441" s="48"/>
      <c r="AM5441" s="48"/>
      <c r="AN5441" s="48"/>
      <c r="AO5441" s="48"/>
      <c r="AP5441" s="48"/>
      <c r="AQ5441" s="48"/>
      <c r="AR5441" s="48"/>
      <c r="AS5441" s="48"/>
      <c r="AT5441" s="48"/>
      <c r="AU5441" s="48"/>
      <c r="AV5441" s="48"/>
      <c r="AW5441" s="48"/>
      <c r="AX5441" s="48"/>
      <c r="AY5441" s="48"/>
      <c r="AZ5441" s="48"/>
      <c r="BA5441" s="48"/>
      <c r="BB5441" s="48"/>
      <c r="BC5441" s="48"/>
      <c r="BD5441" s="48"/>
    </row>
    <row r="5442" spans="1:56">
      <c r="A5442" s="48"/>
      <c r="B5442" s="48"/>
      <c r="C5442" s="49"/>
      <c r="D5442" s="48"/>
      <c r="E5442" s="48"/>
      <c r="F5442" s="48"/>
      <c r="G5442" s="48"/>
      <c r="H5442" s="48"/>
      <c r="I5442" s="48"/>
      <c r="J5442" s="86"/>
      <c r="K5442" s="86"/>
      <c r="L5442" s="86"/>
      <c r="M5442" s="86"/>
      <c r="N5442" s="86"/>
      <c r="O5442" s="86"/>
      <c r="P5442" s="86"/>
      <c r="Q5442" s="86"/>
      <c r="R5442" s="86"/>
      <c r="S5442" s="86"/>
      <c r="T5442" s="86"/>
      <c r="U5442" s="86"/>
      <c r="V5442" s="48"/>
      <c r="W5442" s="48"/>
      <c r="X5442" s="48"/>
      <c r="Y5442" s="48"/>
      <c r="Z5442" s="48"/>
      <c r="AA5442" s="48"/>
      <c r="AB5442" s="48"/>
      <c r="AC5442" s="48"/>
      <c r="AD5442" s="48"/>
      <c r="AE5442" s="48"/>
      <c r="AF5442" s="48"/>
      <c r="AG5442" s="48"/>
      <c r="AH5442" s="48"/>
      <c r="AI5442" s="48"/>
      <c r="AJ5442" s="48"/>
      <c r="AK5442" s="48"/>
      <c r="AL5442" s="48"/>
      <c r="AM5442" s="48"/>
      <c r="AN5442" s="48"/>
      <c r="AO5442" s="48"/>
      <c r="AP5442" s="48"/>
      <c r="AQ5442" s="48"/>
      <c r="AR5442" s="48"/>
      <c r="AS5442" s="48"/>
      <c r="AT5442" s="48"/>
      <c r="AU5442" s="48"/>
      <c r="AV5442" s="48"/>
      <c r="AW5442" s="48"/>
      <c r="AX5442" s="48"/>
      <c r="AY5442" s="48"/>
      <c r="AZ5442" s="48"/>
      <c r="BA5442" s="48"/>
      <c r="BB5442" s="48"/>
      <c r="BC5442" s="48"/>
      <c r="BD5442" s="48"/>
    </row>
    <row r="5443" spans="1:56">
      <c r="A5443" s="48"/>
      <c r="B5443" s="48"/>
      <c r="C5443" s="49"/>
      <c r="D5443" s="48"/>
      <c r="E5443" s="48"/>
      <c r="F5443" s="48"/>
      <c r="G5443" s="48"/>
      <c r="H5443" s="48"/>
      <c r="I5443" s="48"/>
      <c r="J5443" s="86"/>
      <c r="K5443" s="86"/>
      <c r="L5443" s="86"/>
      <c r="M5443" s="86"/>
      <c r="N5443" s="86"/>
      <c r="O5443" s="86"/>
      <c r="P5443" s="86"/>
      <c r="Q5443" s="86"/>
      <c r="R5443" s="86"/>
      <c r="S5443" s="86"/>
      <c r="T5443" s="86"/>
      <c r="U5443" s="86"/>
      <c r="V5443" s="48"/>
      <c r="W5443" s="48"/>
      <c r="X5443" s="48"/>
      <c r="Y5443" s="48"/>
      <c r="Z5443" s="48"/>
      <c r="AA5443" s="48"/>
      <c r="AB5443" s="48"/>
      <c r="AC5443" s="48"/>
      <c r="AD5443" s="48"/>
      <c r="AE5443" s="48"/>
      <c r="AF5443" s="48"/>
      <c r="AG5443" s="48"/>
      <c r="AH5443" s="48"/>
      <c r="AI5443" s="48"/>
      <c r="AJ5443" s="48"/>
      <c r="AK5443" s="48"/>
      <c r="AL5443" s="48"/>
      <c r="AM5443" s="48"/>
      <c r="AN5443" s="48"/>
      <c r="AO5443" s="48"/>
      <c r="AP5443" s="48"/>
      <c r="AQ5443" s="48"/>
      <c r="AR5443" s="48"/>
      <c r="AS5443" s="48"/>
      <c r="AT5443" s="48"/>
      <c r="AU5443" s="48"/>
      <c r="AV5443" s="48"/>
      <c r="AW5443" s="48"/>
      <c r="AX5443" s="48"/>
      <c r="AY5443" s="48"/>
      <c r="AZ5443" s="48"/>
      <c r="BA5443" s="48"/>
      <c r="BB5443" s="48"/>
      <c r="BC5443" s="48"/>
      <c r="BD5443" s="48"/>
    </row>
    <row r="5444" spans="1:56">
      <c r="A5444" s="48"/>
      <c r="B5444" s="48"/>
      <c r="C5444" s="49"/>
      <c r="D5444" s="48"/>
      <c r="E5444" s="48"/>
      <c r="F5444" s="48"/>
      <c r="G5444" s="48"/>
      <c r="H5444" s="48"/>
      <c r="I5444" s="48"/>
      <c r="J5444" s="86"/>
      <c r="K5444" s="86"/>
      <c r="L5444" s="86"/>
      <c r="M5444" s="86"/>
      <c r="N5444" s="86"/>
      <c r="O5444" s="86"/>
      <c r="P5444" s="86"/>
      <c r="Q5444" s="86"/>
      <c r="R5444" s="86"/>
      <c r="S5444" s="86"/>
      <c r="T5444" s="86"/>
      <c r="U5444" s="86"/>
      <c r="V5444" s="48"/>
      <c r="W5444" s="48"/>
      <c r="X5444" s="48"/>
      <c r="Y5444" s="48"/>
      <c r="Z5444" s="48"/>
      <c r="AA5444" s="48"/>
      <c r="AB5444" s="48"/>
      <c r="AC5444" s="48"/>
      <c r="AD5444" s="48"/>
      <c r="AE5444" s="48"/>
      <c r="AF5444" s="48"/>
      <c r="AG5444" s="48"/>
      <c r="AH5444" s="48"/>
      <c r="AI5444" s="48"/>
      <c r="AJ5444" s="48"/>
      <c r="AK5444" s="48"/>
      <c r="AL5444" s="48"/>
      <c r="AM5444" s="48"/>
      <c r="AN5444" s="48"/>
      <c r="AO5444" s="48"/>
      <c r="AP5444" s="48"/>
      <c r="AQ5444" s="48"/>
      <c r="AR5444" s="48"/>
      <c r="AS5444" s="48"/>
      <c r="AT5444" s="48"/>
      <c r="AU5444" s="48"/>
      <c r="AV5444" s="48"/>
      <c r="AW5444" s="48"/>
      <c r="AX5444" s="48"/>
      <c r="AY5444" s="48"/>
      <c r="AZ5444" s="48"/>
      <c r="BA5444" s="48"/>
      <c r="BB5444" s="48"/>
      <c r="BC5444" s="48"/>
      <c r="BD5444" s="48"/>
    </row>
    <row r="5445" spans="1:56">
      <c r="A5445" s="48"/>
      <c r="B5445" s="48"/>
      <c r="C5445" s="49"/>
      <c r="D5445" s="48"/>
      <c r="E5445" s="48"/>
      <c r="F5445" s="48"/>
      <c r="G5445" s="48"/>
      <c r="H5445" s="48"/>
      <c r="I5445" s="48"/>
      <c r="J5445" s="86"/>
      <c r="K5445" s="86"/>
      <c r="L5445" s="86"/>
      <c r="M5445" s="86"/>
      <c r="N5445" s="86"/>
      <c r="O5445" s="86"/>
      <c r="P5445" s="86"/>
      <c r="Q5445" s="86"/>
      <c r="R5445" s="86"/>
      <c r="S5445" s="86"/>
      <c r="T5445" s="86"/>
      <c r="U5445" s="86"/>
      <c r="V5445" s="48"/>
      <c r="W5445" s="48"/>
      <c r="X5445" s="48"/>
      <c r="Y5445" s="48"/>
      <c r="Z5445" s="48"/>
      <c r="AA5445" s="48"/>
      <c r="AB5445" s="48"/>
      <c r="AC5445" s="48"/>
      <c r="AD5445" s="48"/>
      <c r="AE5445" s="48"/>
      <c r="AF5445" s="48"/>
      <c r="AG5445" s="48"/>
      <c r="AH5445" s="48"/>
      <c r="AI5445" s="48"/>
      <c r="AJ5445" s="48"/>
      <c r="AK5445" s="48"/>
      <c r="AL5445" s="48"/>
      <c r="AM5445" s="48"/>
      <c r="AN5445" s="48"/>
      <c r="AO5445" s="48"/>
      <c r="AP5445" s="48"/>
      <c r="AQ5445" s="48"/>
      <c r="AR5445" s="48"/>
      <c r="AS5445" s="48"/>
      <c r="AT5445" s="48"/>
      <c r="AU5445" s="48"/>
      <c r="AV5445" s="48"/>
      <c r="AW5445" s="48"/>
      <c r="AX5445" s="48"/>
      <c r="AY5445" s="48"/>
      <c r="AZ5445" s="48"/>
      <c r="BA5445" s="48"/>
      <c r="BB5445" s="48"/>
      <c r="BC5445" s="48"/>
      <c r="BD5445" s="48"/>
    </row>
    <row r="5446" spans="1:56">
      <c r="A5446" s="48"/>
      <c r="B5446" s="48"/>
      <c r="C5446" s="49"/>
      <c r="D5446" s="48"/>
      <c r="E5446" s="48"/>
      <c r="F5446" s="48"/>
      <c r="G5446" s="48"/>
      <c r="H5446" s="48"/>
      <c r="I5446" s="48"/>
      <c r="J5446" s="86"/>
      <c r="K5446" s="86"/>
      <c r="L5446" s="86"/>
      <c r="M5446" s="86"/>
      <c r="N5446" s="86"/>
      <c r="O5446" s="86"/>
      <c r="P5446" s="86"/>
      <c r="Q5446" s="86"/>
      <c r="R5446" s="86"/>
      <c r="S5446" s="86"/>
      <c r="T5446" s="86"/>
      <c r="U5446" s="86"/>
      <c r="V5446" s="48"/>
      <c r="W5446" s="48"/>
      <c r="X5446" s="48"/>
      <c r="Y5446" s="48"/>
      <c r="Z5446" s="48"/>
      <c r="AA5446" s="48"/>
      <c r="AB5446" s="48"/>
      <c r="AC5446" s="48"/>
      <c r="AD5446" s="48"/>
      <c r="AE5446" s="48"/>
      <c r="AF5446" s="48"/>
      <c r="AG5446" s="48"/>
      <c r="AH5446" s="48"/>
      <c r="AI5446" s="48"/>
      <c r="AJ5446" s="48"/>
      <c r="AK5446" s="48"/>
      <c r="AL5446" s="48"/>
      <c r="AM5446" s="48"/>
      <c r="AN5446" s="48"/>
      <c r="AO5446" s="48"/>
      <c r="AP5446" s="48"/>
      <c r="AQ5446" s="48"/>
      <c r="AR5446" s="48"/>
      <c r="AS5446" s="48"/>
      <c r="AT5446" s="48"/>
      <c r="AU5446" s="48"/>
      <c r="AV5446" s="48"/>
      <c r="AW5446" s="48"/>
      <c r="AX5446" s="48"/>
      <c r="AY5446" s="48"/>
      <c r="AZ5446" s="48"/>
      <c r="BA5446" s="48"/>
      <c r="BB5446" s="48"/>
      <c r="BC5446" s="48"/>
      <c r="BD5446" s="48"/>
    </row>
    <row r="5447" spans="1:56">
      <c r="A5447" s="48"/>
      <c r="B5447" s="48"/>
      <c r="C5447" s="49"/>
      <c r="D5447" s="48"/>
      <c r="E5447" s="48"/>
      <c r="F5447" s="48"/>
      <c r="G5447" s="48"/>
      <c r="H5447" s="48"/>
      <c r="I5447" s="48"/>
      <c r="J5447" s="86"/>
      <c r="K5447" s="86"/>
      <c r="L5447" s="86"/>
      <c r="M5447" s="86"/>
      <c r="N5447" s="86"/>
      <c r="O5447" s="86"/>
      <c r="P5447" s="86"/>
      <c r="Q5447" s="86"/>
      <c r="R5447" s="86"/>
      <c r="S5447" s="86"/>
      <c r="T5447" s="86"/>
      <c r="U5447" s="86"/>
      <c r="V5447" s="48"/>
      <c r="W5447" s="48"/>
      <c r="X5447" s="48"/>
      <c r="Y5447" s="48"/>
      <c r="Z5447" s="48"/>
      <c r="AA5447" s="48"/>
      <c r="AB5447" s="48"/>
      <c r="AC5447" s="48"/>
      <c r="AD5447" s="48"/>
      <c r="AE5447" s="48"/>
      <c r="AF5447" s="48"/>
      <c r="AG5447" s="48"/>
      <c r="AH5447" s="48"/>
      <c r="AI5447" s="48"/>
      <c r="AJ5447" s="48"/>
      <c r="AK5447" s="48"/>
      <c r="AL5447" s="48"/>
      <c r="AM5447" s="48"/>
      <c r="AN5447" s="48"/>
      <c r="AO5447" s="48"/>
      <c r="AP5447" s="48"/>
      <c r="AQ5447" s="48"/>
      <c r="AR5447" s="48"/>
      <c r="AS5447" s="48"/>
      <c r="AT5447" s="48"/>
      <c r="AU5447" s="48"/>
      <c r="AV5447" s="48"/>
      <c r="AW5447" s="48"/>
      <c r="AX5447" s="48"/>
      <c r="AY5447" s="48"/>
      <c r="AZ5447" s="48"/>
      <c r="BA5447" s="48"/>
      <c r="BB5447" s="48"/>
      <c r="BC5447" s="48"/>
      <c r="BD5447" s="48"/>
    </row>
    <row r="5448" spans="1:56">
      <c r="A5448" s="48"/>
      <c r="B5448" s="48"/>
      <c r="C5448" s="49"/>
      <c r="D5448" s="48"/>
      <c r="E5448" s="48"/>
      <c r="F5448" s="48"/>
      <c r="G5448" s="48"/>
      <c r="H5448" s="48"/>
      <c r="I5448" s="48"/>
      <c r="J5448" s="86"/>
      <c r="K5448" s="86"/>
      <c r="L5448" s="86"/>
      <c r="M5448" s="86"/>
      <c r="N5448" s="86"/>
      <c r="O5448" s="86"/>
      <c r="P5448" s="86"/>
      <c r="Q5448" s="86"/>
      <c r="R5448" s="86"/>
      <c r="S5448" s="86"/>
      <c r="T5448" s="86"/>
      <c r="U5448" s="86"/>
      <c r="V5448" s="48"/>
      <c r="W5448" s="48"/>
      <c r="X5448" s="48"/>
      <c r="Y5448" s="48"/>
      <c r="Z5448" s="48"/>
      <c r="AA5448" s="48"/>
      <c r="AB5448" s="48"/>
      <c r="AC5448" s="48"/>
      <c r="AD5448" s="48"/>
      <c r="AE5448" s="48"/>
      <c r="AF5448" s="48"/>
      <c r="AG5448" s="48"/>
      <c r="AH5448" s="48"/>
      <c r="AI5448" s="48"/>
      <c r="AJ5448" s="48"/>
      <c r="AK5448" s="48"/>
      <c r="AL5448" s="48"/>
      <c r="AM5448" s="48"/>
      <c r="AN5448" s="48"/>
      <c r="AO5448" s="48"/>
      <c r="AP5448" s="48"/>
      <c r="AQ5448" s="48"/>
      <c r="AR5448" s="48"/>
      <c r="AS5448" s="48"/>
      <c r="AT5448" s="48"/>
      <c r="AU5448" s="48"/>
      <c r="AV5448" s="48"/>
      <c r="AW5448" s="48"/>
      <c r="AX5448" s="48"/>
      <c r="AY5448" s="48"/>
      <c r="AZ5448" s="48"/>
      <c r="BA5448" s="48"/>
      <c r="BB5448" s="48"/>
      <c r="BC5448" s="48"/>
      <c r="BD5448" s="48"/>
    </row>
    <row r="5449" spans="1:56">
      <c r="A5449" s="48"/>
      <c r="B5449" s="48"/>
      <c r="C5449" s="49"/>
      <c r="D5449" s="48"/>
      <c r="E5449" s="48"/>
      <c r="F5449" s="48"/>
      <c r="G5449" s="48"/>
      <c r="H5449" s="48"/>
      <c r="I5449" s="48"/>
      <c r="J5449" s="86"/>
      <c r="K5449" s="86"/>
      <c r="L5449" s="86"/>
      <c r="M5449" s="86"/>
      <c r="N5449" s="86"/>
      <c r="O5449" s="86"/>
      <c r="P5449" s="86"/>
      <c r="Q5449" s="86"/>
      <c r="R5449" s="86"/>
      <c r="S5449" s="86"/>
      <c r="T5449" s="86"/>
      <c r="U5449" s="86"/>
      <c r="V5449" s="48"/>
      <c r="W5449" s="48"/>
      <c r="X5449" s="48"/>
      <c r="Y5449" s="48"/>
      <c r="Z5449" s="48"/>
      <c r="AA5449" s="48"/>
      <c r="AB5449" s="48"/>
      <c r="AC5449" s="48"/>
      <c r="AD5449" s="48"/>
      <c r="AE5449" s="48"/>
      <c r="AF5449" s="48"/>
      <c r="AG5449" s="48"/>
      <c r="AH5449" s="48"/>
      <c r="AI5449" s="48"/>
      <c r="AJ5449" s="48"/>
      <c r="AK5449" s="48"/>
      <c r="AL5449" s="48"/>
      <c r="AM5449" s="48"/>
      <c r="AN5449" s="48"/>
      <c r="AO5449" s="48"/>
      <c r="AP5449" s="48"/>
      <c r="AQ5449" s="48"/>
      <c r="AR5449" s="48"/>
      <c r="AS5449" s="48"/>
      <c r="AT5449" s="48"/>
      <c r="AU5449" s="48"/>
      <c r="AV5449" s="48"/>
      <c r="AW5449" s="48"/>
      <c r="AX5449" s="48"/>
      <c r="AY5449" s="48"/>
      <c r="AZ5449" s="48"/>
      <c r="BA5449" s="48"/>
      <c r="BB5449" s="48"/>
      <c r="BC5449" s="48"/>
      <c r="BD5449" s="48"/>
    </row>
    <row r="5450" spans="1:56">
      <c r="A5450" s="48"/>
      <c r="B5450" s="48"/>
      <c r="C5450" s="49"/>
      <c r="D5450" s="48"/>
      <c r="E5450" s="48"/>
      <c r="F5450" s="48"/>
      <c r="G5450" s="48"/>
      <c r="H5450" s="48"/>
      <c r="I5450" s="48"/>
      <c r="J5450" s="86"/>
      <c r="K5450" s="86"/>
      <c r="L5450" s="86"/>
      <c r="M5450" s="86"/>
      <c r="N5450" s="86"/>
      <c r="O5450" s="86"/>
      <c r="P5450" s="86"/>
      <c r="Q5450" s="86"/>
      <c r="R5450" s="86"/>
      <c r="S5450" s="86"/>
      <c r="T5450" s="86"/>
      <c r="U5450" s="86"/>
      <c r="V5450" s="48"/>
      <c r="W5450" s="48"/>
      <c r="X5450" s="48"/>
      <c r="Y5450" s="48"/>
      <c r="Z5450" s="48"/>
      <c r="AA5450" s="48"/>
      <c r="AB5450" s="48"/>
      <c r="AC5450" s="48"/>
      <c r="AD5450" s="48"/>
      <c r="AE5450" s="48"/>
      <c r="AF5450" s="48"/>
      <c r="AG5450" s="48"/>
      <c r="AH5450" s="48"/>
      <c r="AI5450" s="48"/>
      <c r="AJ5450" s="48"/>
      <c r="AK5450" s="48"/>
      <c r="AL5450" s="48"/>
      <c r="AM5450" s="48"/>
      <c r="AN5450" s="48"/>
      <c r="AO5450" s="48"/>
      <c r="AP5450" s="48"/>
      <c r="AQ5450" s="48"/>
      <c r="AR5450" s="48"/>
      <c r="AS5450" s="48"/>
      <c r="AT5450" s="48"/>
      <c r="AU5450" s="48"/>
      <c r="AV5450" s="48"/>
      <c r="AW5450" s="48"/>
      <c r="AX5450" s="48"/>
      <c r="AY5450" s="48"/>
      <c r="AZ5450" s="48"/>
      <c r="BA5450" s="48"/>
      <c r="BB5450" s="48"/>
      <c r="BC5450" s="48"/>
      <c r="BD5450" s="48"/>
    </row>
    <row r="5451" spans="1:56">
      <c r="A5451" s="48"/>
      <c r="B5451" s="48"/>
      <c r="C5451" s="49"/>
      <c r="D5451" s="48"/>
      <c r="E5451" s="48"/>
      <c r="F5451" s="48"/>
      <c r="G5451" s="48"/>
      <c r="H5451" s="48"/>
      <c r="I5451" s="48"/>
      <c r="J5451" s="86"/>
      <c r="K5451" s="86"/>
      <c r="L5451" s="86"/>
      <c r="M5451" s="86"/>
      <c r="N5451" s="86"/>
      <c r="O5451" s="86"/>
      <c r="P5451" s="86"/>
      <c r="Q5451" s="86"/>
      <c r="R5451" s="86"/>
      <c r="S5451" s="86"/>
      <c r="T5451" s="86"/>
      <c r="U5451" s="86"/>
      <c r="V5451" s="48"/>
      <c r="W5451" s="48"/>
      <c r="X5451" s="48"/>
      <c r="Y5451" s="48"/>
      <c r="Z5451" s="48"/>
      <c r="AA5451" s="48"/>
      <c r="AB5451" s="48"/>
      <c r="AC5451" s="48"/>
      <c r="AD5451" s="48"/>
      <c r="AE5451" s="48"/>
      <c r="AF5451" s="48"/>
      <c r="AG5451" s="48"/>
      <c r="AH5451" s="48"/>
      <c r="AI5451" s="48"/>
      <c r="AJ5451" s="48"/>
      <c r="AK5451" s="48"/>
      <c r="AL5451" s="48"/>
      <c r="AM5451" s="48"/>
      <c r="AN5451" s="48"/>
      <c r="AO5451" s="48"/>
      <c r="AP5451" s="48"/>
      <c r="AQ5451" s="48"/>
      <c r="AR5451" s="48"/>
      <c r="AS5451" s="48"/>
      <c r="AT5451" s="48"/>
      <c r="AU5451" s="48"/>
      <c r="AV5451" s="48"/>
      <c r="AW5451" s="48"/>
      <c r="AX5451" s="48"/>
      <c r="AY5451" s="48"/>
      <c r="AZ5451" s="48"/>
      <c r="BA5451" s="48"/>
      <c r="BB5451" s="48"/>
      <c r="BC5451" s="48"/>
      <c r="BD5451" s="48"/>
    </row>
    <row r="5452" spans="1:56">
      <c r="A5452" s="48"/>
      <c r="B5452" s="48"/>
      <c r="C5452" s="49"/>
      <c r="D5452" s="48"/>
      <c r="E5452" s="48"/>
      <c r="F5452" s="48"/>
      <c r="G5452" s="48"/>
      <c r="H5452" s="48"/>
      <c r="I5452" s="48"/>
      <c r="J5452" s="86"/>
      <c r="K5452" s="86"/>
      <c r="L5452" s="86"/>
      <c r="M5452" s="86"/>
      <c r="N5452" s="86"/>
      <c r="O5452" s="86"/>
      <c r="P5452" s="86"/>
      <c r="Q5452" s="86"/>
      <c r="R5452" s="86"/>
      <c r="S5452" s="86"/>
      <c r="T5452" s="86"/>
      <c r="U5452" s="86"/>
      <c r="V5452" s="48"/>
      <c r="W5452" s="48"/>
      <c r="X5452" s="48"/>
      <c r="Y5452" s="48"/>
      <c r="Z5452" s="48"/>
      <c r="AA5452" s="48"/>
      <c r="AB5452" s="48"/>
      <c r="AC5452" s="48"/>
      <c r="AD5452" s="48"/>
      <c r="AE5452" s="48"/>
      <c r="AF5452" s="48"/>
      <c r="AG5452" s="48"/>
      <c r="AH5452" s="48"/>
      <c r="AI5452" s="48"/>
      <c r="AJ5452" s="48"/>
      <c r="AK5452" s="48"/>
      <c r="AL5452" s="48"/>
      <c r="AM5452" s="48"/>
      <c r="AN5452" s="48"/>
      <c r="AO5452" s="48"/>
      <c r="AP5452" s="48"/>
      <c r="AQ5452" s="48"/>
      <c r="AR5452" s="48"/>
      <c r="AS5452" s="48"/>
      <c r="AT5452" s="48"/>
      <c r="AU5452" s="48"/>
      <c r="AV5452" s="48"/>
      <c r="AW5452" s="48"/>
      <c r="AX5452" s="48"/>
      <c r="AY5452" s="48"/>
      <c r="AZ5452" s="48"/>
      <c r="BA5452" s="48"/>
      <c r="BB5452" s="48"/>
      <c r="BC5452" s="48"/>
      <c r="BD5452" s="48"/>
    </row>
    <row r="5453" spans="1:56">
      <c r="A5453" s="48"/>
      <c r="B5453" s="48"/>
      <c r="C5453" s="49"/>
      <c r="D5453" s="48"/>
      <c r="E5453" s="48"/>
      <c r="F5453" s="48"/>
      <c r="G5453" s="48"/>
      <c r="H5453" s="48"/>
      <c r="I5453" s="48"/>
      <c r="J5453" s="86"/>
      <c r="K5453" s="86"/>
      <c r="L5453" s="86"/>
      <c r="M5453" s="86"/>
      <c r="N5453" s="86"/>
      <c r="O5453" s="86"/>
      <c r="P5453" s="86"/>
      <c r="Q5453" s="86"/>
      <c r="R5453" s="86"/>
      <c r="S5453" s="86"/>
      <c r="T5453" s="86"/>
      <c r="U5453" s="86"/>
      <c r="V5453" s="48"/>
      <c r="W5453" s="48"/>
      <c r="X5453" s="48"/>
      <c r="Y5453" s="48"/>
      <c r="Z5453" s="48"/>
      <c r="AA5453" s="48"/>
      <c r="AB5453" s="48"/>
      <c r="AC5453" s="48"/>
      <c r="AD5453" s="48"/>
      <c r="AE5453" s="48"/>
      <c r="AF5453" s="48"/>
      <c r="AG5453" s="48"/>
      <c r="AH5453" s="48"/>
      <c r="AI5453" s="48"/>
      <c r="AJ5453" s="48"/>
      <c r="AK5453" s="48"/>
      <c r="AL5453" s="48"/>
      <c r="AM5453" s="48"/>
      <c r="AN5453" s="48"/>
      <c r="AO5453" s="48"/>
      <c r="AP5453" s="48"/>
      <c r="AQ5453" s="48"/>
      <c r="AR5453" s="48"/>
      <c r="AS5453" s="48"/>
      <c r="AT5453" s="48"/>
      <c r="AU5453" s="48"/>
      <c r="AV5453" s="48"/>
      <c r="AW5453" s="48"/>
      <c r="AX5453" s="48"/>
      <c r="AY5453" s="48"/>
      <c r="AZ5453" s="48"/>
      <c r="BA5453" s="48"/>
      <c r="BB5453" s="48"/>
      <c r="BC5453" s="48"/>
      <c r="BD5453" s="48"/>
    </row>
    <row r="5454" spans="1:56">
      <c r="A5454" s="48"/>
      <c r="B5454" s="48"/>
      <c r="C5454" s="49"/>
      <c r="D5454" s="48"/>
      <c r="E5454" s="48"/>
      <c r="F5454" s="48"/>
      <c r="G5454" s="48"/>
      <c r="H5454" s="48"/>
      <c r="I5454" s="48"/>
      <c r="J5454" s="86"/>
      <c r="K5454" s="86"/>
      <c r="L5454" s="86"/>
      <c r="M5454" s="86"/>
      <c r="N5454" s="86"/>
      <c r="O5454" s="86"/>
      <c r="P5454" s="86"/>
      <c r="Q5454" s="86"/>
      <c r="R5454" s="86"/>
      <c r="S5454" s="86"/>
      <c r="T5454" s="86"/>
      <c r="U5454" s="86"/>
      <c r="V5454" s="48"/>
      <c r="W5454" s="48"/>
      <c r="X5454" s="48"/>
      <c r="Y5454" s="48"/>
      <c r="Z5454" s="48"/>
      <c r="AA5454" s="48"/>
      <c r="AB5454" s="48"/>
      <c r="AC5454" s="48"/>
      <c r="AD5454" s="48"/>
      <c r="AE5454" s="48"/>
      <c r="AF5454" s="48"/>
      <c r="AG5454" s="48"/>
      <c r="AH5454" s="48"/>
      <c r="AI5454" s="48"/>
      <c r="AJ5454" s="48"/>
      <c r="AK5454" s="48"/>
      <c r="AL5454" s="48"/>
      <c r="AM5454" s="48"/>
      <c r="AN5454" s="48"/>
      <c r="AO5454" s="48"/>
      <c r="AP5454" s="48"/>
      <c r="AQ5454" s="48"/>
      <c r="AR5454" s="48"/>
      <c r="AS5454" s="48"/>
      <c r="AT5454" s="48"/>
      <c r="AU5454" s="48"/>
      <c r="AV5454" s="48"/>
      <c r="AW5454" s="48"/>
      <c r="AX5454" s="48"/>
      <c r="AY5454" s="48"/>
      <c r="AZ5454" s="48"/>
      <c r="BA5454" s="48"/>
      <c r="BB5454" s="48"/>
      <c r="BC5454" s="48"/>
      <c r="BD5454" s="48"/>
    </row>
    <row r="5455" spans="1:56">
      <c r="A5455" s="48"/>
      <c r="B5455" s="48"/>
      <c r="C5455" s="49"/>
      <c r="D5455" s="48"/>
      <c r="E5455" s="48"/>
      <c r="F5455" s="48"/>
      <c r="G5455" s="48"/>
      <c r="H5455" s="48"/>
      <c r="I5455" s="48"/>
      <c r="J5455" s="86"/>
      <c r="K5455" s="86"/>
      <c r="L5455" s="86"/>
      <c r="M5455" s="86"/>
      <c r="N5455" s="86"/>
      <c r="O5455" s="86"/>
      <c r="P5455" s="86"/>
      <c r="Q5455" s="86"/>
      <c r="R5455" s="86"/>
      <c r="S5455" s="86"/>
      <c r="T5455" s="86"/>
      <c r="U5455" s="86"/>
      <c r="V5455" s="48"/>
      <c r="W5455" s="48"/>
      <c r="X5455" s="48"/>
      <c r="Y5455" s="48"/>
      <c r="Z5455" s="48"/>
      <c r="AA5455" s="48"/>
      <c r="AB5455" s="48"/>
      <c r="AC5455" s="48"/>
      <c r="AD5455" s="48"/>
      <c r="AE5455" s="48"/>
      <c r="AF5455" s="48"/>
      <c r="AG5455" s="48"/>
      <c r="AH5455" s="48"/>
      <c r="AI5455" s="48"/>
      <c r="AJ5455" s="48"/>
      <c r="AK5455" s="48"/>
      <c r="AL5455" s="48"/>
      <c r="AM5455" s="48"/>
      <c r="AN5455" s="48"/>
      <c r="AO5455" s="48"/>
      <c r="AP5455" s="48"/>
      <c r="AQ5455" s="48"/>
      <c r="AR5455" s="48"/>
      <c r="AS5455" s="48"/>
      <c r="AT5455" s="48"/>
      <c r="AU5455" s="48"/>
      <c r="AV5455" s="48"/>
      <c r="AW5455" s="48"/>
      <c r="AX5455" s="48"/>
      <c r="AY5455" s="48"/>
      <c r="AZ5455" s="48"/>
      <c r="BA5455" s="48"/>
      <c r="BB5455" s="48"/>
      <c r="BC5455" s="48"/>
      <c r="BD5455" s="48"/>
    </row>
    <row r="5456" spans="1:56">
      <c r="A5456" s="48"/>
      <c r="B5456" s="48"/>
      <c r="C5456" s="49"/>
      <c r="D5456" s="48"/>
      <c r="E5456" s="48"/>
      <c r="F5456" s="48"/>
      <c r="G5456" s="48"/>
      <c r="H5456" s="48"/>
      <c r="I5456" s="48"/>
      <c r="J5456" s="86"/>
      <c r="K5456" s="86"/>
      <c r="L5456" s="86"/>
      <c r="M5456" s="86"/>
      <c r="N5456" s="86"/>
      <c r="O5456" s="86"/>
      <c r="P5456" s="86"/>
      <c r="Q5456" s="86"/>
      <c r="R5456" s="86"/>
      <c r="S5456" s="86"/>
      <c r="T5456" s="86"/>
      <c r="U5456" s="86"/>
      <c r="V5456" s="48"/>
      <c r="W5456" s="48"/>
      <c r="X5456" s="48"/>
      <c r="Y5456" s="48"/>
      <c r="Z5456" s="48"/>
      <c r="AA5456" s="48"/>
      <c r="AB5456" s="48"/>
      <c r="AC5456" s="48"/>
      <c r="AD5456" s="48"/>
      <c r="AE5456" s="48"/>
      <c r="AF5456" s="48"/>
      <c r="AG5456" s="48"/>
      <c r="AH5456" s="48"/>
      <c r="AI5456" s="48"/>
      <c r="AJ5456" s="48"/>
      <c r="AK5456" s="48"/>
      <c r="AL5456" s="48"/>
      <c r="AM5456" s="48"/>
      <c r="AN5456" s="48"/>
      <c r="AO5456" s="48"/>
      <c r="AP5456" s="48"/>
      <c r="AQ5456" s="48"/>
      <c r="AR5456" s="48"/>
      <c r="AS5456" s="48"/>
      <c r="AT5456" s="48"/>
      <c r="AU5456" s="48"/>
      <c r="AV5456" s="48"/>
      <c r="AW5456" s="48"/>
      <c r="AX5456" s="48"/>
      <c r="AY5456" s="48"/>
      <c r="AZ5456" s="48"/>
      <c r="BA5456" s="48"/>
      <c r="BB5456" s="48"/>
      <c r="BC5456" s="48"/>
      <c r="BD5456" s="48"/>
    </row>
    <row r="5457" spans="1:56">
      <c r="A5457" s="48"/>
      <c r="B5457" s="48"/>
      <c r="C5457" s="49"/>
      <c r="D5457" s="48"/>
      <c r="E5457" s="48"/>
      <c r="F5457" s="48"/>
      <c r="G5457" s="48"/>
      <c r="H5457" s="48"/>
      <c r="I5457" s="48"/>
      <c r="J5457" s="86"/>
      <c r="K5457" s="86"/>
      <c r="L5457" s="86"/>
      <c r="M5457" s="86"/>
      <c r="N5457" s="86"/>
      <c r="O5457" s="86"/>
      <c r="P5457" s="86"/>
      <c r="Q5457" s="86"/>
      <c r="R5457" s="86"/>
      <c r="S5457" s="86"/>
      <c r="T5457" s="86"/>
      <c r="U5457" s="86"/>
      <c r="V5457" s="48"/>
      <c r="W5457" s="48"/>
      <c r="X5457" s="48"/>
      <c r="Y5457" s="48"/>
      <c r="Z5457" s="48"/>
      <c r="AA5457" s="48"/>
      <c r="AB5457" s="48"/>
      <c r="AC5457" s="48"/>
      <c r="AD5457" s="48"/>
      <c r="AE5457" s="48"/>
      <c r="AF5457" s="48"/>
      <c r="AG5457" s="48"/>
      <c r="AH5457" s="48"/>
      <c r="AI5457" s="48"/>
      <c r="AJ5457" s="48"/>
      <c r="AK5457" s="48"/>
      <c r="AL5457" s="48"/>
      <c r="AM5457" s="48"/>
      <c r="AN5457" s="48"/>
      <c r="AO5457" s="48"/>
      <c r="AP5457" s="48"/>
      <c r="AQ5457" s="48"/>
      <c r="AR5457" s="48"/>
      <c r="AS5457" s="48"/>
      <c r="AT5457" s="48"/>
      <c r="AU5457" s="48"/>
      <c r="AV5457" s="48"/>
      <c r="AW5457" s="48"/>
      <c r="AX5457" s="48"/>
      <c r="AY5457" s="48"/>
      <c r="AZ5457" s="48"/>
      <c r="BA5457" s="48"/>
      <c r="BB5457" s="48"/>
      <c r="BC5457" s="48"/>
      <c r="BD5457" s="48"/>
    </row>
    <row r="5458" spans="1:56">
      <c r="A5458" s="48"/>
      <c r="B5458" s="48"/>
      <c r="C5458" s="49"/>
      <c r="D5458" s="48"/>
      <c r="E5458" s="48"/>
      <c r="F5458" s="48"/>
      <c r="G5458" s="48"/>
      <c r="H5458" s="48"/>
      <c r="I5458" s="48"/>
      <c r="J5458" s="86"/>
      <c r="K5458" s="86"/>
      <c r="L5458" s="86"/>
      <c r="M5458" s="86"/>
      <c r="N5458" s="86"/>
      <c r="O5458" s="86"/>
      <c r="P5458" s="86"/>
      <c r="Q5458" s="86"/>
      <c r="R5458" s="86"/>
      <c r="S5458" s="86"/>
      <c r="T5458" s="86"/>
      <c r="U5458" s="86"/>
      <c r="V5458" s="48"/>
      <c r="W5458" s="48"/>
      <c r="X5458" s="48"/>
      <c r="Y5458" s="48"/>
      <c r="Z5458" s="48"/>
      <c r="AA5458" s="48"/>
      <c r="AB5458" s="48"/>
      <c r="AC5458" s="48"/>
      <c r="AD5458" s="48"/>
      <c r="AE5458" s="48"/>
      <c r="AF5458" s="48"/>
      <c r="AG5458" s="48"/>
      <c r="AH5458" s="48"/>
      <c r="AI5458" s="48"/>
      <c r="AJ5458" s="48"/>
      <c r="AK5458" s="48"/>
      <c r="AL5458" s="48"/>
      <c r="AM5458" s="48"/>
      <c r="AN5458" s="48"/>
      <c r="AO5458" s="48"/>
      <c r="AP5458" s="48"/>
      <c r="AQ5458" s="48"/>
      <c r="AR5458" s="48"/>
      <c r="AS5458" s="48"/>
      <c r="AT5458" s="48"/>
      <c r="AU5458" s="48"/>
      <c r="AV5458" s="48"/>
      <c r="AW5458" s="48"/>
      <c r="AX5458" s="48"/>
      <c r="AY5458" s="48"/>
      <c r="AZ5458" s="48"/>
      <c r="BA5458" s="48"/>
      <c r="BB5458" s="48"/>
      <c r="BC5458" s="48"/>
      <c r="BD5458" s="48"/>
    </row>
    <row r="5459" spans="1:56">
      <c r="A5459" s="48"/>
      <c r="B5459" s="48"/>
      <c r="C5459" s="49"/>
      <c r="D5459" s="48"/>
      <c r="E5459" s="48"/>
      <c r="F5459" s="48"/>
      <c r="G5459" s="48"/>
      <c r="H5459" s="48"/>
      <c r="I5459" s="48"/>
      <c r="J5459" s="86"/>
      <c r="K5459" s="86"/>
      <c r="L5459" s="86"/>
      <c r="M5459" s="86"/>
      <c r="N5459" s="86"/>
      <c r="O5459" s="86"/>
      <c r="P5459" s="86"/>
      <c r="Q5459" s="86"/>
      <c r="R5459" s="86"/>
      <c r="S5459" s="86"/>
      <c r="T5459" s="86"/>
      <c r="U5459" s="86"/>
      <c r="V5459" s="48"/>
      <c r="W5459" s="48"/>
      <c r="X5459" s="48"/>
      <c r="Y5459" s="48"/>
      <c r="Z5459" s="48"/>
      <c r="AA5459" s="48"/>
      <c r="AB5459" s="48"/>
      <c r="AC5459" s="48"/>
      <c r="AD5459" s="48"/>
      <c r="AE5459" s="48"/>
      <c r="AF5459" s="48"/>
      <c r="AG5459" s="48"/>
      <c r="AH5459" s="48"/>
      <c r="AI5459" s="48"/>
      <c r="AJ5459" s="48"/>
      <c r="AK5459" s="48"/>
      <c r="AL5459" s="48"/>
      <c r="AM5459" s="48"/>
      <c r="AN5459" s="48"/>
      <c r="AO5459" s="48"/>
      <c r="AP5459" s="48"/>
      <c r="AQ5459" s="48"/>
      <c r="AR5459" s="48"/>
      <c r="AS5459" s="48"/>
      <c r="AT5459" s="48"/>
      <c r="AU5459" s="48"/>
      <c r="AV5459" s="48"/>
      <c r="AW5459" s="48"/>
      <c r="AX5459" s="48"/>
      <c r="AY5459" s="48"/>
      <c r="AZ5459" s="48"/>
      <c r="BA5459" s="48"/>
      <c r="BB5459" s="48"/>
      <c r="BC5459" s="48"/>
      <c r="BD5459" s="48"/>
    </row>
    <row r="5460" spans="1:56">
      <c r="A5460" s="48"/>
      <c r="B5460" s="48"/>
      <c r="C5460" s="49"/>
      <c r="D5460" s="48"/>
      <c r="E5460" s="48"/>
      <c r="F5460" s="48"/>
      <c r="G5460" s="48"/>
      <c r="H5460" s="48"/>
      <c r="I5460" s="48"/>
      <c r="J5460" s="86"/>
      <c r="K5460" s="86"/>
      <c r="L5460" s="86"/>
      <c r="M5460" s="86"/>
      <c r="N5460" s="86"/>
      <c r="O5460" s="86"/>
      <c r="P5460" s="86"/>
      <c r="Q5460" s="86"/>
      <c r="R5460" s="86"/>
      <c r="S5460" s="86"/>
      <c r="T5460" s="86"/>
      <c r="U5460" s="86"/>
      <c r="V5460" s="48"/>
      <c r="W5460" s="48"/>
      <c r="X5460" s="48"/>
      <c r="Y5460" s="48"/>
      <c r="Z5460" s="48"/>
      <c r="AA5460" s="48"/>
      <c r="AB5460" s="48"/>
      <c r="AC5460" s="48"/>
      <c r="AD5460" s="48"/>
      <c r="AE5460" s="48"/>
      <c r="AF5460" s="48"/>
      <c r="AG5460" s="48"/>
      <c r="AH5460" s="48"/>
      <c r="AI5460" s="48"/>
      <c r="AJ5460" s="48"/>
      <c r="AK5460" s="48"/>
      <c r="AL5460" s="48"/>
      <c r="AM5460" s="48"/>
      <c r="AN5460" s="48"/>
      <c r="AO5460" s="48"/>
      <c r="AP5460" s="48"/>
      <c r="AQ5460" s="48"/>
      <c r="AR5460" s="48"/>
      <c r="AS5460" s="48"/>
      <c r="AT5460" s="48"/>
      <c r="AU5460" s="48"/>
      <c r="AV5460" s="48"/>
      <c r="AW5460" s="48"/>
      <c r="AX5460" s="48"/>
      <c r="AY5460" s="48"/>
      <c r="AZ5460" s="48"/>
      <c r="BA5460" s="48"/>
      <c r="BB5460" s="48"/>
      <c r="BC5460" s="48"/>
      <c r="BD5460" s="48"/>
    </row>
    <row r="5461" spans="1:56">
      <c r="A5461" s="48"/>
      <c r="B5461" s="48"/>
      <c r="C5461" s="49"/>
      <c r="D5461" s="48"/>
      <c r="E5461" s="48"/>
      <c r="F5461" s="48"/>
      <c r="G5461" s="48"/>
      <c r="H5461" s="48"/>
      <c r="I5461" s="48"/>
      <c r="J5461" s="86"/>
      <c r="K5461" s="86"/>
      <c r="L5461" s="86"/>
      <c r="M5461" s="86"/>
      <c r="N5461" s="86"/>
      <c r="O5461" s="86"/>
      <c r="P5461" s="86"/>
      <c r="Q5461" s="86"/>
      <c r="R5461" s="86"/>
      <c r="S5461" s="86"/>
      <c r="T5461" s="86"/>
      <c r="U5461" s="86"/>
      <c r="V5461" s="48"/>
      <c r="W5461" s="48"/>
      <c r="X5461" s="48"/>
      <c r="Y5461" s="48"/>
      <c r="Z5461" s="48"/>
      <c r="AA5461" s="48"/>
      <c r="AB5461" s="48"/>
      <c r="AC5461" s="48"/>
      <c r="AD5461" s="48"/>
      <c r="AE5461" s="48"/>
      <c r="AF5461" s="48"/>
      <c r="AG5461" s="48"/>
      <c r="AH5461" s="48"/>
      <c r="AI5461" s="48"/>
      <c r="AJ5461" s="48"/>
      <c r="AK5461" s="48"/>
      <c r="AL5461" s="48"/>
      <c r="AM5461" s="48"/>
      <c r="AN5461" s="48"/>
      <c r="AO5461" s="48"/>
      <c r="AP5461" s="48"/>
      <c r="AQ5461" s="48"/>
      <c r="AR5461" s="48"/>
      <c r="AS5461" s="48"/>
      <c r="AT5461" s="48"/>
      <c r="AU5461" s="48"/>
      <c r="AV5461" s="48"/>
      <c r="AW5461" s="48"/>
      <c r="AX5461" s="48"/>
      <c r="AY5461" s="48"/>
      <c r="AZ5461" s="48"/>
      <c r="BA5461" s="48"/>
      <c r="BB5461" s="48"/>
      <c r="BC5461" s="48"/>
      <c r="BD5461" s="48"/>
    </row>
    <row r="5462" spans="1:56">
      <c r="A5462" s="48"/>
      <c r="B5462" s="48"/>
      <c r="C5462" s="49"/>
      <c r="D5462" s="48"/>
      <c r="E5462" s="48"/>
      <c r="F5462" s="48"/>
      <c r="G5462" s="48"/>
      <c r="H5462" s="48"/>
      <c r="I5462" s="48"/>
      <c r="J5462" s="86"/>
      <c r="K5462" s="86"/>
      <c r="L5462" s="86"/>
      <c r="M5462" s="86"/>
      <c r="N5462" s="86"/>
      <c r="O5462" s="86"/>
      <c r="P5462" s="86"/>
      <c r="Q5462" s="86"/>
      <c r="R5462" s="86"/>
      <c r="S5462" s="86"/>
      <c r="T5462" s="86"/>
      <c r="U5462" s="86"/>
      <c r="V5462" s="48"/>
      <c r="W5462" s="48"/>
      <c r="X5462" s="48"/>
      <c r="Y5462" s="48"/>
      <c r="Z5462" s="48"/>
      <c r="AA5462" s="48"/>
      <c r="AB5462" s="48"/>
      <c r="AC5462" s="48"/>
      <c r="AD5462" s="48"/>
      <c r="AE5462" s="48"/>
      <c r="AF5462" s="48"/>
      <c r="AG5462" s="48"/>
      <c r="AH5462" s="48"/>
      <c r="AI5462" s="48"/>
      <c r="AJ5462" s="48"/>
      <c r="AK5462" s="48"/>
      <c r="AL5462" s="48"/>
      <c r="AM5462" s="48"/>
      <c r="AN5462" s="48"/>
      <c r="AO5462" s="48"/>
      <c r="AP5462" s="48"/>
      <c r="AQ5462" s="48"/>
      <c r="AR5462" s="48"/>
      <c r="AS5462" s="48"/>
      <c r="AT5462" s="48"/>
      <c r="AU5462" s="48"/>
      <c r="AV5462" s="48"/>
      <c r="AW5462" s="48"/>
      <c r="AX5462" s="48"/>
      <c r="AY5462" s="48"/>
      <c r="AZ5462" s="48"/>
      <c r="BA5462" s="48"/>
      <c r="BB5462" s="48"/>
      <c r="BC5462" s="48"/>
      <c r="BD5462" s="48"/>
    </row>
    <row r="5463" spans="1:56">
      <c r="A5463" s="48"/>
      <c r="B5463" s="48"/>
      <c r="C5463" s="49"/>
      <c r="D5463" s="48"/>
      <c r="E5463" s="48"/>
      <c r="F5463" s="48"/>
      <c r="G5463" s="48"/>
      <c r="H5463" s="48"/>
      <c r="I5463" s="48"/>
      <c r="J5463" s="86"/>
      <c r="K5463" s="86"/>
      <c r="L5463" s="86"/>
      <c r="M5463" s="86"/>
      <c r="N5463" s="86"/>
      <c r="O5463" s="86"/>
      <c r="P5463" s="86"/>
      <c r="Q5463" s="86"/>
      <c r="R5463" s="86"/>
      <c r="S5463" s="86"/>
      <c r="T5463" s="86"/>
      <c r="U5463" s="86"/>
      <c r="V5463" s="48"/>
      <c r="W5463" s="48"/>
      <c r="X5463" s="48"/>
      <c r="Y5463" s="48"/>
      <c r="Z5463" s="48"/>
      <c r="AA5463" s="48"/>
      <c r="AB5463" s="48"/>
      <c r="AC5463" s="48"/>
      <c r="AD5463" s="48"/>
      <c r="AE5463" s="48"/>
      <c r="AF5463" s="48"/>
      <c r="AG5463" s="48"/>
      <c r="AH5463" s="48"/>
      <c r="AI5463" s="48"/>
      <c r="AJ5463" s="48"/>
      <c r="AK5463" s="48"/>
      <c r="AL5463" s="48"/>
      <c r="AM5463" s="48"/>
      <c r="AN5463" s="48"/>
      <c r="AO5463" s="48"/>
      <c r="AP5463" s="48"/>
      <c r="AQ5463" s="48"/>
      <c r="AR5463" s="48"/>
      <c r="AS5463" s="48"/>
      <c r="AT5463" s="48"/>
      <c r="AU5463" s="48"/>
      <c r="AV5463" s="48"/>
      <c r="AW5463" s="48"/>
      <c r="AX5463" s="48"/>
      <c r="AY5463" s="48"/>
      <c r="AZ5463" s="48"/>
      <c r="BA5463" s="48"/>
      <c r="BB5463" s="48"/>
      <c r="BC5463" s="48"/>
      <c r="BD5463" s="48"/>
    </row>
    <row r="5464" spans="1:56">
      <c r="A5464" s="48"/>
      <c r="B5464" s="48"/>
      <c r="C5464" s="49"/>
      <c r="D5464" s="48"/>
      <c r="E5464" s="48"/>
      <c r="F5464" s="48"/>
      <c r="G5464" s="48"/>
      <c r="H5464" s="48"/>
      <c r="I5464" s="48"/>
      <c r="J5464" s="86"/>
      <c r="K5464" s="86"/>
      <c r="L5464" s="86"/>
      <c r="M5464" s="86"/>
      <c r="N5464" s="86"/>
      <c r="O5464" s="86"/>
      <c r="P5464" s="86"/>
      <c r="Q5464" s="86"/>
      <c r="R5464" s="86"/>
      <c r="S5464" s="86"/>
      <c r="T5464" s="86"/>
      <c r="U5464" s="86"/>
      <c r="V5464" s="48"/>
      <c r="W5464" s="48"/>
      <c r="X5464" s="48"/>
      <c r="Y5464" s="48"/>
      <c r="Z5464" s="48"/>
      <c r="AA5464" s="48"/>
      <c r="AB5464" s="48"/>
      <c r="AC5464" s="48"/>
      <c r="AD5464" s="48"/>
      <c r="AE5464" s="48"/>
      <c r="AF5464" s="48"/>
      <c r="AG5464" s="48"/>
      <c r="AH5464" s="48"/>
      <c r="AI5464" s="48"/>
      <c r="AJ5464" s="48"/>
      <c r="AK5464" s="48"/>
      <c r="AL5464" s="48"/>
      <c r="AM5464" s="48"/>
      <c r="AN5464" s="48"/>
      <c r="AO5464" s="48"/>
      <c r="AP5464" s="48"/>
      <c r="AQ5464" s="48"/>
      <c r="AR5464" s="48"/>
      <c r="AS5464" s="48"/>
      <c r="AT5464" s="48"/>
      <c r="AU5464" s="48"/>
      <c r="AV5464" s="48"/>
      <c r="AW5464" s="48"/>
      <c r="AX5464" s="48"/>
      <c r="AY5464" s="48"/>
      <c r="AZ5464" s="48"/>
      <c r="BA5464" s="48"/>
      <c r="BB5464" s="48"/>
      <c r="BC5464" s="48"/>
      <c r="BD5464" s="48"/>
    </row>
    <row r="5465" spans="1:56">
      <c r="A5465" s="48"/>
      <c r="B5465" s="48"/>
      <c r="C5465" s="49"/>
      <c r="D5465" s="48"/>
      <c r="E5465" s="48"/>
      <c r="F5465" s="48"/>
      <c r="G5465" s="48"/>
      <c r="H5465" s="48"/>
      <c r="I5465" s="48"/>
      <c r="J5465" s="86"/>
      <c r="K5465" s="86"/>
      <c r="L5465" s="86"/>
      <c r="M5465" s="86"/>
      <c r="N5465" s="86"/>
      <c r="O5465" s="86"/>
      <c r="P5465" s="86"/>
      <c r="Q5465" s="86"/>
      <c r="R5465" s="86"/>
      <c r="S5465" s="86"/>
      <c r="T5465" s="86"/>
      <c r="U5465" s="86"/>
      <c r="V5465" s="48"/>
      <c r="W5465" s="48"/>
      <c r="X5465" s="48"/>
      <c r="Y5465" s="48"/>
      <c r="Z5465" s="48"/>
      <c r="AA5465" s="48"/>
      <c r="AB5465" s="48"/>
      <c r="AC5465" s="48"/>
      <c r="AD5465" s="48"/>
      <c r="AE5465" s="48"/>
      <c r="AF5465" s="48"/>
      <c r="AG5465" s="48"/>
      <c r="AH5465" s="48"/>
      <c r="AI5465" s="48"/>
      <c r="AJ5465" s="48"/>
      <c r="AK5465" s="48"/>
      <c r="AL5465" s="48"/>
      <c r="AM5465" s="48"/>
      <c r="AN5465" s="48"/>
      <c r="AO5465" s="48"/>
      <c r="AP5465" s="48"/>
      <c r="AQ5465" s="48"/>
      <c r="AR5465" s="48"/>
      <c r="AS5465" s="48"/>
      <c r="AT5465" s="48"/>
      <c r="AU5465" s="48"/>
      <c r="AV5465" s="48"/>
      <c r="AW5465" s="48"/>
      <c r="AX5465" s="48"/>
      <c r="AY5465" s="48"/>
      <c r="AZ5465" s="48"/>
      <c r="BA5465" s="48"/>
      <c r="BB5465" s="48"/>
      <c r="BC5465" s="48"/>
      <c r="BD5465" s="48"/>
    </row>
    <row r="5466" spans="1:56">
      <c r="A5466" s="48"/>
      <c r="B5466" s="48"/>
      <c r="C5466" s="49"/>
      <c r="D5466" s="48"/>
      <c r="E5466" s="48"/>
      <c r="F5466" s="48"/>
      <c r="G5466" s="48"/>
      <c r="H5466" s="48"/>
      <c r="I5466" s="48"/>
      <c r="J5466" s="86"/>
      <c r="K5466" s="86"/>
      <c r="L5466" s="86"/>
      <c r="M5466" s="86"/>
      <c r="N5466" s="86"/>
      <c r="O5466" s="86"/>
      <c r="P5466" s="86"/>
      <c r="Q5466" s="86"/>
      <c r="R5466" s="86"/>
      <c r="S5466" s="86"/>
      <c r="T5466" s="86"/>
      <c r="U5466" s="86"/>
      <c r="V5466" s="48"/>
      <c r="W5466" s="48"/>
      <c r="X5466" s="48"/>
      <c r="Y5466" s="48"/>
      <c r="Z5466" s="48"/>
      <c r="AA5466" s="48"/>
      <c r="AB5466" s="48"/>
      <c r="AC5466" s="48"/>
      <c r="AD5466" s="48"/>
      <c r="AE5466" s="48"/>
      <c r="AF5466" s="48"/>
      <c r="AG5466" s="48"/>
      <c r="AH5466" s="48"/>
      <c r="AI5466" s="48"/>
      <c r="AJ5466" s="48"/>
      <c r="AK5466" s="48"/>
      <c r="AL5466" s="48"/>
      <c r="AM5466" s="48"/>
      <c r="AN5466" s="48"/>
      <c r="AO5466" s="48"/>
      <c r="AP5466" s="48"/>
      <c r="AQ5466" s="48"/>
      <c r="AR5466" s="48"/>
      <c r="AS5466" s="48"/>
      <c r="AT5466" s="48"/>
      <c r="AU5466" s="48"/>
      <c r="AV5466" s="48"/>
      <c r="AW5466" s="48"/>
      <c r="AX5466" s="48"/>
      <c r="AY5466" s="48"/>
      <c r="AZ5466" s="48"/>
      <c r="BA5466" s="48"/>
      <c r="BB5466" s="48"/>
      <c r="BC5466" s="48"/>
      <c r="BD5466" s="48"/>
    </row>
    <row r="5467" spans="1:56">
      <c r="A5467" s="48"/>
      <c r="B5467" s="48"/>
      <c r="C5467" s="49"/>
      <c r="D5467" s="48"/>
      <c r="E5467" s="48"/>
      <c r="F5467" s="48"/>
      <c r="G5467" s="48"/>
      <c r="H5467" s="48"/>
      <c r="I5467" s="48"/>
      <c r="J5467" s="86"/>
      <c r="K5467" s="86"/>
      <c r="L5467" s="86"/>
      <c r="M5467" s="86"/>
      <c r="N5467" s="86"/>
      <c r="O5467" s="86"/>
      <c r="P5467" s="86"/>
      <c r="Q5467" s="86"/>
      <c r="R5467" s="86"/>
      <c r="S5467" s="86"/>
      <c r="T5467" s="86"/>
      <c r="U5467" s="86"/>
      <c r="V5467" s="48"/>
      <c r="W5467" s="48"/>
      <c r="X5467" s="48"/>
      <c r="Y5467" s="48"/>
      <c r="Z5467" s="48"/>
      <c r="AA5467" s="48"/>
      <c r="AB5467" s="48"/>
      <c r="AC5467" s="48"/>
      <c r="AD5467" s="48"/>
      <c r="AE5467" s="48"/>
      <c r="AF5467" s="48"/>
      <c r="AG5467" s="48"/>
      <c r="AH5467" s="48"/>
      <c r="AI5467" s="48"/>
      <c r="AJ5467" s="48"/>
      <c r="AK5467" s="48"/>
      <c r="AL5467" s="48"/>
      <c r="AM5467" s="48"/>
      <c r="AN5467" s="48"/>
      <c r="AO5467" s="48"/>
      <c r="AP5467" s="48"/>
      <c r="AQ5467" s="48"/>
      <c r="AR5467" s="48"/>
      <c r="AS5467" s="48"/>
      <c r="AT5467" s="48"/>
      <c r="AU5467" s="48"/>
      <c r="AV5467" s="48"/>
      <c r="AW5467" s="48"/>
      <c r="AX5467" s="48"/>
      <c r="AY5467" s="48"/>
      <c r="AZ5467" s="48"/>
      <c r="BA5467" s="48"/>
      <c r="BB5467" s="48"/>
      <c r="BC5467" s="48"/>
      <c r="BD5467" s="48"/>
    </row>
    <row r="5468" spans="1:56">
      <c r="A5468" s="48"/>
      <c r="B5468" s="48"/>
      <c r="C5468" s="49"/>
      <c r="D5468" s="48"/>
      <c r="E5468" s="48"/>
      <c r="F5468" s="48"/>
      <c r="G5468" s="48"/>
      <c r="H5468" s="48"/>
      <c r="I5468" s="48"/>
      <c r="J5468" s="86"/>
      <c r="K5468" s="86"/>
      <c r="L5468" s="86"/>
      <c r="M5468" s="86"/>
      <c r="N5468" s="86"/>
      <c r="O5468" s="86"/>
      <c r="P5468" s="86"/>
      <c r="Q5468" s="86"/>
      <c r="R5468" s="86"/>
      <c r="S5468" s="86"/>
      <c r="T5468" s="86"/>
      <c r="U5468" s="86"/>
      <c r="V5468" s="48"/>
      <c r="W5468" s="48"/>
      <c r="X5468" s="48"/>
      <c r="Y5468" s="48"/>
      <c r="Z5468" s="48"/>
      <c r="AA5468" s="48"/>
      <c r="AB5468" s="48"/>
      <c r="AC5468" s="48"/>
      <c r="AD5468" s="48"/>
      <c r="AE5468" s="48"/>
      <c r="AF5468" s="48"/>
      <c r="AG5468" s="48"/>
      <c r="AH5468" s="48"/>
      <c r="AI5468" s="48"/>
      <c r="AJ5468" s="48"/>
      <c r="AK5468" s="48"/>
      <c r="AL5468" s="48"/>
      <c r="AM5468" s="48"/>
      <c r="AN5468" s="48"/>
      <c r="AO5468" s="48"/>
      <c r="AP5468" s="48"/>
      <c r="AQ5468" s="48"/>
      <c r="AR5468" s="48"/>
      <c r="AS5468" s="48"/>
      <c r="AT5468" s="48"/>
      <c r="AU5468" s="48"/>
      <c r="AV5468" s="48"/>
      <c r="AW5468" s="48"/>
      <c r="AX5468" s="48"/>
      <c r="AY5468" s="48"/>
      <c r="AZ5468" s="48"/>
      <c r="BA5468" s="48"/>
      <c r="BB5468" s="48"/>
      <c r="BC5468" s="48"/>
      <c r="BD5468" s="48"/>
    </row>
    <row r="5469" spans="1:56">
      <c r="A5469" s="48"/>
      <c r="B5469" s="48"/>
      <c r="C5469" s="49"/>
      <c r="D5469" s="48"/>
      <c r="E5469" s="48"/>
      <c r="F5469" s="48"/>
      <c r="G5469" s="48"/>
      <c r="H5469" s="48"/>
      <c r="I5469" s="48"/>
      <c r="J5469" s="86"/>
      <c r="K5469" s="86"/>
      <c r="L5469" s="86"/>
      <c r="M5469" s="86"/>
      <c r="N5469" s="86"/>
      <c r="O5469" s="86"/>
      <c r="P5469" s="86"/>
      <c r="Q5469" s="86"/>
      <c r="R5469" s="86"/>
      <c r="S5469" s="86"/>
      <c r="T5469" s="86"/>
      <c r="U5469" s="86"/>
      <c r="V5469" s="48"/>
      <c r="W5469" s="48"/>
      <c r="X5469" s="48"/>
      <c r="Y5469" s="48"/>
      <c r="Z5469" s="48"/>
      <c r="AA5469" s="48"/>
      <c r="AB5469" s="48"/>
      <c r="AC5469" s="48"/>
      <c r="AD5469" s="48"/>
      <c r="AE5469" s="48"/>
      <c r="AF5469" s="48"/>
      <c r="AG5469" s="48"/>
      <c r="AH5469" s="48"/>
      <c r="AI5469" s="48"/>
      <c r="AJ5469" s="48"/>
      <c r="AK5469" s="48"/>
      <c r="AL5469" s="48"/>
      <c r="AM5469" s="48"/>
      <c r="AN5469" s="48"/>
      <c r="AO5469" s="48"/>
      <c r="AP5469" s="48"/>
      <c r="AQ5469" s="48"/>
      <c r="AR5469" s="48"/>
      <c r="AS5469" s="48"/>
      <c r="AT5469" s="48"/>
      <c r="AU5469" s="48"/>
      <c r="AV5469" s="48"/>
      <c r="AW5469" s="48"/>
      <c r="AX5469" s="48"/>
      <c r="AY5469" s="48"/>
      <c r="AZ5469" s="48"/>
      <c r="BA5469" s="48"/>
      <c r="BB5469" s="48"/>
      <c r="BC5469" s="48"/>
      <c r="BD5469" s="48"/>
    </row>
    <row r="5470" spans="1:56">
      <c r="A5470" s="48"/>
      <c r="B5470" s="48"/>
      <c r="C5470" s="49"/>
      <c r="D5470" s="48"/>
      <c r="E5470" s="48"/>
      <c r="F5470" s="48"/>
      <c r="G5470" s="48"/>
      <c r="H5470" s="48"/>
      <c r="I5470" s="48"/>
      <c r="J5470" s="86"/>
      <c r="K5470" s="86"/>
      <c r="L5470" s="86"/>
      <c r="M5470" s="86"/>
      <c r="N5470" s="86"/>
      <c r="O5470" s="86"/>
      <c r="P5470" s="86"/>
      <c r="Q5470" s="86"/>
      <c r="R5470" s="86"/>
      <c r="S5470" s="86"/>
      <c r="T5470" s="86"/>
      <c r="U5470" s="86"/>
      <c r="V5470" s="48"/>
      <c r="W5470" s="48"/>
      <c r="X5470" s="48"/>
      <c r="Y5470" s="48"/>
      <c r="Z5470" s="48"/>
      <c r="AA5470" s="48"/>
      <c r="AB5470" s="48"/>
      <c r="AC5470" s="48"/>
      <c r="AD5470" s="48"/>
      <c r="AE5470" s="48"/>
      <c r="AF5470" s="48"/>
      <c r="AG5470" s="48"/>
      <c r="AH5470" s="48"/>
      <c r="AI5470" s="48"/>
      <c r="AJ5470" s="48"/>
      <c r="AK5470" s="48"/>
      <c r="AL5470" s="48"/>
      <c r="AM5470" s="48"/>
      <c r="AN5470" s="48"/>
      <c r="AO5470" s="48"/>
      <c r="AP5470" s="48"/>
      <c r="AQ5470" s="48"/>
      <c r="AR5470" s="48"/>
      <c r="AS5470" s="48"/>
      <c r="AT5470" s="48"/>
      <c r="AU5470" s="48"/>
      <c r="AV5470" s="48"/>
      <c r="AW5470" s="48"/>
      <c r="AX5470" s="48"/>
      <c r="AY5470" s="48"/>
      <c r="AZ5470" s="48"/>
      <c r="BA5470" s="48"/>
      <c r="BB5470" s="48"/>
      <c r="BC5470" s="48"/>
      <c r="BD5470" s="48"/>
    </row>
    <row r="5471" spans="1:56">
      <c r="A5471" s="48"/>
      <c r="B5471" s="48"/>
      <c r="C5471" s="49"/>
      <c r="D5471" s="48"/>
      <c r="E5471" s="48"/>
      <c r="F5471" s="48"/>
      <c r="G5471" s="48"/>
      <c r="H5471" s="48"/>
      <c r="I5471" s="48"/>
      <c r="J5471" s="86"/>
      <c r="K5471" s="86"/>
      <c r="L5471" s="86"/>
      <c r="M5471" s="86"/>
      <c r="N5471" s="86"/>
      <c r="O5471" s="86"/>
      <c r="P5471" s="86"/>
      <c r="Q5471" s="86"/>
      <c r="R5471" s="86"/>
      <c r="S5471" s="86"/>
      <c r="T5471" s="86"/>
      <c r="U5471" s="86"/>
      <c r="V5471" s="48"/>
      <c r="W5471" s="48"/>
      <c r="X5471" s="48"/>
      <c r="Y5471" s="48"/>
      <c r="Z5471" s="48"/>
      <c r="AA5471" s="48"/>
      <c r="AB5471" s="48"/>
      <c r="AC5471" s="48"/>
      <c r="AD5471" s="48"/>
      <c r="AE5471" s="48"/>
      <c r="AF5471" s="48"/>
      <c r="AG5471" s="48"/>
      <c r="AH5471" s="48"/>
      <c r="AI5471" s="48"/>
      <c r="AJ5471" s="48"/>
      <c r="AK5471" s="48"/>
      <c r="AL5471" s="48"/>
      <c r="AM5471" s="48"/>
      <c r="AN5471" s="48"/>
      <c r="AO5471" s="48"/>
      <c r="AP5471" s="48"/>
      <c r="AQ5471" s="48"/>
      <c r="AR5471" s="48"/>
      <c r="AS5471" s="48"/>
      <c r="AT5471" s="48"/>
      <c r="AU5471" s="48"/>
      <c r="AV5471" s="48"/>
      <c r="AW5471" s="48"/>
      <c r="AX5471" s="48"/>
      <c r="AY5471" s="48"/>
      <c r="AZ5471" s="48"/>
      <c r="BA5471" s="48"/>
      <c r="BB5471" s="48"/>
      <c r="BC5471" s="48"/>
      <c r="BD5471" s="48"/>
    </row>
    <row r="5472" spans="1:56">
      <c r="A5472" s="48"/>
      <c r="B5472" s="48"/>
      <c r="C5472" s="49"/>
      <c r="D5472" s="48"/>
      <c r="E5472" s="48"/>
      <c r="F5472" s="48"/>
      <c r="G5472" s="48"/>
      <c r="H5472" s="48"/>
      <c r="I5472" s="48"/>
      <c r="J5472" s="86"/>
      <c r="K5472" s="86"/>
      <c r="L5472" s="86"/>
      <c r="M5472" s="86"/>
      <c r="N5472" s="86"/>
      <c r="O5472" s="86"/>
      <c r="P5472" s="86"/>
      <c r="Q5472" s="86"/>
      <c r="R5472" s="86"/>
      <c r="S5472" s="86"/>
      <c r="T5472" s="86"/>
      <c r="U5472" s="86"/>
      <c r="V5472" s="48"/>
      <c r="W5472" s="48"/>
      <c r="X5472" s="48"/>
      <c r="Y5472" s="48"/>
      <c r="Z5472" s="48"/>
      <c r="AA5472" s="48"/>
      <c r="AB5472" s="48"/>
      <c r="AC5472" s="48"/>
      <c r="AD5472" s="48"/>
      <c r="AE5472" s="48"/>
      <c r="AF5472" s="48"/>
      <c r="AG5472" s="48"/>
      <c r="AH5472" s="48"/>
      <c r="AI5472" s="48"/>
      <c r="AJ5472" s="48"/>
      <c r="AK5472" s="48"/>
      <c r="AL5472" s="48"/>
      <c r="AM5472" s="48"/>
      <c r="AN5472" s="48"/>
      <c r="AO5472" s="48"/>
      <c r="AP5472" s="48"/>
      <c r="AQ5472" s="48"/>
      <c r="AR5472" s="48"/>
      <c r="AS5472" s="48"/>
      <c r="AT5472" s="48"/>
      <c r="AU5472" s="48"/>
      <c r="AV5472" s="48"/>
      <c r="AW5472" s="48"/>
      <c r="AX5472" s="48"/>
      <c r="AY5472" s="48"/>
      <c r="AZ5472" s="48"/>
      <c r="BA5472" s="48"/>
      <c r="BB5472" s="48"/>
      <c r="BC5472" s="48"/>
      <c r="BD5472" s="48"/>
    </row>
    <row r="5473" spans="1:56">
      <c r="A5473" s="48"/>
      <c r="B5473" s="48"/>
      <c r="C5473" s="49"/>
      <c r="D5473" s="48"/>
      <c r="E5473" s="48"/>
      <c r="F5473" s="48"/>
      <c r="G5473" s="48"/>
      <c r="H5473" s="48"/>
      <c r="I5473" s="48"/>
      <c r="J5473" s="86"/>
      <c r="K5473" s="86"/>
      <c r="L5473" s="86"/>
      <c r="M5473" s="86"/>
      <c r="N5473" s="86"/>
      <c r="O5473" s="86"/>
      <c r="P5473" s="86"/>
      <c r="Q5473" s="86"/>
      <c r="R5473" s="86"/>
      <c r="S5473" s="86"/>
      <c r="T5473" s="86"/>
      <c r="U5473" s="86"/>
      <c r="V5473" s="48"/>
      <c r="W5473" s="48"/>
      <c r="X5473" s="48"/>
      <c r="Y5473" s="48"/>
      <c r="Z5473" s="48"/>
      <c r="AA5473" s="48"/>
      <c r="AB5473" s="48"/>
      <c r="AC5473" s="48"/>
      <c r="AD5473" s="48"/>
      <c r="AE5473" s="48"/>
      <c r="AF5473" s="48"/>
      <c r="AG5473" s="48"/>
      <c r="AH5473" s="48"/>
      <c r="AI5473" s="48"/>
      <c r="AJ5473" s="48"/>
      <c r="AK5473" s="48"/>
      <c r="AL5473" s="48"/>
      <c r="AM5473" s="48"/>
      <c r="AN5473" s="48"/>
      <c r="AO5473" s="48"/>
      <c r="AP5473" s="48"/>
      <c r="AQ5473" s="48"/>
      <c r="AR5473" s="48"/>
      <c r="AS5473" s="48"/>
      <c r="AT5473" s="48"/>
      <c r="AU5473" s="48"/>
      <c r="AV5473" s="48"/>
      <c r="AW5473" s="48"/>
      <c r="AX5473" s="48"/>
      <c r="AY5473" s="48"/>
      <c r="AZ5473" s="48"/>
      <c r="BA5473" s="48"/>
      <c r="BB5473" s="48"/>
      <c r="BC5473" s="48"/>
      <c r="BD5473" s="48"/>
    </row>
    <row r="5474" spans="1:56">
      <c r="A5474" s="48"/>
      <c r="B5474" s="48"/>
      <c r="C5474" s="49"/>
      <c r="D5474" s="48"/>
      <c r="E5474" s="48"/>
      <c r="F5474" s="48"/>
      <c r="G5474" s="48"/>
      <c r="H5474" s="48"/>
      <c r="I5474" s="48"/>
      <c r="J5474" s="86"/>
      <c r="K5474" s="86"/>
      <c r="L5474" s="86"/>
      <c r="M5474" s="86"/>
      <c r="N5474" s="86"/>
      <c r="O5474" s="86"/>
      <c r="P5474" s="86"/>
      <c r="Q5474" s="86"/>
      <c r="R5474" s="86"/>
      <c r="S5474" s="86"/>
      <c r="T5474" s="86"/>
      <c r="U5474" s="86"/>
      <c r="V5474" s="48"/>
      <c r="W5474" s="48"/>
      <c r="X5474" s="48"/>
      <c r="Y5474" s="48"/>
      <c r="Z5474" s="48"/>
      <c r="AA5474" s="48"/>
      <c r="AB5474" s="48"/>
      <c r="AC5474" s="48"/>
      <c r="AD5474" s="48"/>
      <c r="AE5474" s="48"/>
      <c r="AF5474" s="48"/>
      <c r="AG5474" s="48"/>
      <c r="AH5474" s="48"/>
      <c r="AI5474" s="48"/>
      <c r="AJ5474" s="48"/>
      <c r="AK5474" s="48"/>
      <c r="AL5474" s="48"/>
      <c r="AM5474" s="48"/>
      <c r="AN5474" s="48"/>
      <c r="AO5474" s="48"/>
      <c r="AP5474" s="48"/>
      <c r="AQ5474" s="48"/>
      <c r="AR5474" s="48"/>
      <c r="AS5474" s="48"/>
      <c r="AT5474" s="48"/>
      <c r="AU5474" s="48"/>
      <c r="AV5474" s="48"/>
      <c r="AW5474" s="48"/>
      <c r="AX5474" s="48"/>
      <c r="AY5474" s="48"/>
      <c r="AZ5474" s="48"/>
      <c r="BA5474" s="48"/>
      <c r="BB5474" s="48"/>
      <c r="BC5474" s="48"/>
      <c r="BD5474" s="48"/>
    </row>
    <row r="5475" spans="1:56">
      <c r="A5475" s="48"/>
      <c r="B5475" s="48"/>
      <c r="C5475" s="49"/>
      <c r="D5475" s="48"/>
      <c r="E5475" s="48"/>
      <c r="F5475" s="48"/>
      <c r="G5475" s="48"/>
      <c r="H5475" s="48"/>
      <c r="I5475" s="48"/>
      <c r="J5475" s="86"/>
      <c r="K5475" s="86"/>
      <c r="L5475" s="86"/>
      <c r="M5475" s="86"/>
      <c r="N5475" s="86"/>
      <c r="O5475" s="86"/>
      <c r="P5475" s="86"/>
      <c r="Q5475" s="86"/>
      <c r="R5475" s="86"/>
      <c r="S5475" s="86"/>
      <c r="T5475" s="86"/>
      <c r="U5475" s="86"/>
      <c r="V5475" s="48"/>
      <c r="W5475" s="48"/>
      <c r="X5475" s="48"/>
      <c r="Y5475" s="48"/>
      <c r="Z5475" s="48"/>
      <c r="AA5475" s="48"/>
      <c r="AB5475" s="48"/>
      <c r="AC5475" s="48"/>
      <c r="AD5475" s="48"/>
      <c r="AE5475" s="48"/>
      <c r="AF5475" s="48"/>
      <c r="AG5475" s="48"/>
      <c r="AH5475" s="48"/>
      <c r="AI5475" s="48"/>
      <c r="AJ5475" s="48"/>
      <c r="AK5475" s="48"/>
      <c r="AL5475" s="48"/>
      <c r="AM5475" s="48"/>
      <c r="AN5475" s="48"/>
      <c r="AO5475" s="48"/>
      <c r="AP5475" s="48"/>
      <c r="AQ5475" s="48"/>
      <c r="AR5475" s="48"/>
      <c r="AS5475" s="48"/>
      <c r="AT5475" s="48"/>
      <c r="AU5475" s="48"/>
      <c r="AV5475" s="48"/>
      <c r="AW5475" s="48"/>
      <c r="AX5475" s="48"/>
      <c r="AY5475" s="48"/>
      <c r="AZ5475" s="48"/>
      <c r="BA5475" s="48"/>
      <c r="BB5475" s="48"/>
      <c r="BC5475" s="48"/>
      <c r="BD5475" s="48"/>
    </row>
    <row r="5476" spans="1:56">
      <c r="A5476" s="48"/>
      <c r="B5476" s="48"/>
      <c r="C5476" s="49"/>
      <c r="D5476" s="48"/>
      <c r="E5476" s="48"/>
      <c r="F5476" s="48"/>
      <c r="G5476" s="48"/>
      <c r="H5476" s="48"/>
      <c r="I5476" s="48"/>
      <c r="J5476" s="86"/>
      <c r="K5476" s="86"/>
      <c r="L5476" s="86"/>
      <c r="M5476" s="86"/>
      <c r="N5476" s="86"/>
      <c r="O5476" s="86"/>
      <c r="P5476" s="86"/>
      <c r="Q5476" s="86"/>
      <c r="R5476" s="86"/>
      <c r="S5476" s="86"/>
      <c r="T5476" s="86"/>
      <c r="U5476" s="86"/>
      <c r="V5476" s="48"/>
      <c r="W5476" s="48"/>
      <c r="X5476" s="48"/>
      <c r="Y5476" s="48"/>
      <c r="Z5476" s="48"/>
      <c r="AA5476" s="48"/>
      <c r="AB5476" s="48"/>
      <c r="AC5476" s="48"/>
      <c r="AD5476" s="48"/>
      <c r="AE5476" s="48"/>
      <c r="AF5476" s="48"/>
      <c r="AG5476" s="48"/>
      <c r="AH5476" s="48"/>
      <c r="AI5476" s="48"/>
      <c r="AJ5476" s="48"/>
      <c r="AK5476" s="48"/>
      <c r="AL5476" s="48"/>
      <c r="AM5476" s="48"/>
      <c r="AN5476" s="48"/>
      <c r="AO5476" s="48"/>
      <c r="AP5476" s="48"/>
      <c r="AQ5476" s="48"/>
      <c r="AR5476" s="48"/>
      <c r="AS5476" s="48"/>
      <c r="AT5476" s="48"/>
      <c r="AU5476" s="48"/>
      <c r="AV5476" s="48"/>
      <c r="AW5476" s="48"/>
      <c r="AX5476" s="48"/>
      <c r="AY5476" s="48"/>
      <c r="AZ5476" s="48"/>
      <c r="BA5476" s="48"/>
      <c r="BB5476" s="48"/>
      <c r="BC5476" s="48"/>
      <c r="BD5476" s="48"/>
    </row>
    <row r="5477" spans="1:56">
      <c r="A5477" s="48"/>
      <c r="B5477" s="48"/>
      <c r="C5477" s="49"/>
      <c r="D5477" s="48"/>
      <c r="E5477" s="48"/>
      <c r="F5477" s="48"/>
      <c r="G5477" s="48"/>
      <c r="H5477" s="48"/>
      <c r="I5477" s="48"/>
      <c r="J5477" s="86"/>
      <c r="K5477" s="86"/>
      <c r="L5477" s="86"/>
      <c r="M5477" s="86"/>
      <c r="N5477" s="86"/>
      <c r="O5477" s="86"/>
      <c r="P5477" s="86"/>
      <c r="Q5477" s="86"/>
      <c r="R5477" s="86"/>
      <c r="S5477" s="86"/>
      <c r="T5477" s="86"/>
      <c r="U5477" s="86"/>
      <c r="V5477" s="48"/>
      <c r="W5477" s="48"/>
      <c r="X5477" s="48"/>
      <c r="Y5477" s="48"/>
      <c r="Z5477" s="48"/>
      <c r="AA5477" s="48"/>
      <c r="AB5477" s="48"/>
      <c r="AC5477" s="48"/>
      <c r="AD5477" s="48"/>
      <c r="AE5477" s="48"/>
      <c r="AF5477" s="48"/>
      <c r="AG5477" s="48"/>
      <c r="AH5477" s="48"/>
      <c r="AI5477" s="48"/>
      <c r="AJ5477" s="48"/>
      <c r="AK5477" s="48"/>
      <c r="AL5477" s="48"/>
      <c r="AM5477" s="48"/>
      <c r="AN5477" s="48"/>
      <c r="AO5477" s="48"/>
      <c r="AP5477" s="48"/>
      <c r="AQ5477" s="48"/>
      <c r="AR5477" s="48"/>
      <c r="AS5477" s="48"/>
      <c r="AT5477" s="48"/>
      <c r="AU5477" s="48"/>
      <c r="AV5477" s="48"/>
      <c r="AW5477" s="48"/>
      <c r="AX5477" s="48"/>
      <c r="AY5477" s="48"/>
      <c r="AZ5477" s="48"/>
      <c r="BA5477" s="48"/>
      <c r="BB5477" s="48"/>
      <c r="BC5477" s="48"/>
      <c r="BD5477" s="48"/>
    </row>
    <row r="5478" spans="1:56">
      <c r="A5478" s="48"/>
      <c r="B5478" s="48"/>
      <c r="C5478" s="49"/>
      <c r="D5478" s="48"/>
      <c r="E5478" s="48"/>
      <c r="F5478" s="48"/>
      <c r="G5478" s="48"/>
      <c r="H5478" s="48"/>
      <c r="I5478" s="48"/>
      <c r="J5478" s="86"/>
      <c r="K5478" s="86"/>
      <c r="L5478" s="86"/>
      <c r="M5478" s="86"/>
      <c r="N5478" s="86"/>
      <c r="O5478" s="86"/>
      <c r="P5478" s="86"/>
      <c r="Q5478" s="86"/>
      <c r="R5478" s="86"/>
      <c r="S5478" s="86"/>
      <c r="T5478" s="86"/>
      <c r="U5478" s="86"/>
      <c r="V5478" s="48"/>
      <c r="W5478" s="48"/>
      <c r="X5478" s="48"/>
      <c r="Y5478" s="48"/>
      <c r="Z5478" s="48"/>
      <c r="AA5478" s="48"/>
      <c r="AB5478" s="48"/>
      <c r="AC5478" s="48"/>
      <c r="AD5478" s="48"/>
      <c r="AE5478" s="48"/>
      <c r="AF5478" s="48"/>
      <c r="AG5478" s="48"/>
      <c r="AH5478" s="48"/>
      <c r="AI5478" s="48"/>
      <c r="AJ5478" s="48"/>
      <c r="AK5478" s="48"/>
      <c r="AL5478" s="48"/>
      <c r="AM5478" s="48"/>
      <c r="AN5478" s="48"/>
      <c r="AO5478" s="48"/>
      <c r="AP5478" s="48"/>
      <c r="AQ5478" s="48"/>
      <c r="AR5478" s="48"/>
      <c r="AS5478" s="48"/>
      <c r="AT5478" s="48"/>
      <c r="AU5478" s="48"/>
      <c r="AV5478" s="48"/>
      <c r="AW5478" s="48"/>
      <c r="AX5478" s="48"/>
      <c r="AY5478" s="48"/>
      <c r="AZ5478" s="48"/>
      <c r="BA5478" s="48"/>
      <c r="BB5478" s="48"/>
      <c r="BC5478" s="48"/>
      <c r="BD5478" s="48"/>
    </row>
    <row r="5479" spans="1:56">
      <c r="A5479" s="48"/>
      <c r="B5479" s="48"/>
      <c r="C5479" s="49"/>
      <c r="D5479" s="48"/>
      <c r="E5479" s="48"/>
      <c r="F5479" s="48"/>
      <c r="G5479" s="48"/>
      <c r="H5479" s="48"/>
      <c r="I5479" s="48"/>
      <c r="J5479" s="86"/>
      <c r="K5479" s="86"/>
      <c r="L5479" s="86"/>
      <c r="M5479" s="86"/>
      <c r="N5479" s="86"/>
      <c r="O5479" s="86"/>
      <c r="P5479" s="86"/>
      <c r="Q5479" s="86"/>
      <c r="R5479" s="86"/>
      <c r="S5479" s="86"/>
      <c r="T5479" s="86"/>
      <c r="U5479" s="86"/>
      <c r="V5479" s="48"/>
      <c r="W5479" s="48"/>
      <c r="X5479" s="48"/>
      <c r="Y5479" s="48"/>
      <c r="Z5479" s="48"/>
      <c r="AA5479" s="48"/>
      <c r="AB5479" s="48"/>
      <c r="AC5479" s="48"/>
      <c r="AD5479" s="48"/>
      <c r="AE5479" s="48"/>
      <c r="AF5479" s="48"/>
      <c r="AG5479" s="48"/>
      <c r="AH5479" s="48"/>
      <c r="AI5479" s="48"/>
      <c r="AJ5479" s="48"/>
      <c r="AK5479" s="48"/>
      <c r="AL5479" s="48"/>
      <c r="AM5479" s="48"/>
      <c r="AN5479" s="48"/>
      <c r="AO5479" s="48"/>
      <c r="AP5479" s="48"/>
      <c r="AQ5479" s="48"/>
      <c r="AR5479" s="48"/>
      <c r="AS5479" s="48"/>
      <c r="AT5479" s="48"/>
      <c r="AU5479" s="48"/>
      <c r="AV5479" s="48"/>
      <c r="AW5479" s="48"/>
      <c r="AX5479" s="48"/>
      <c r="AY5479" s="48"/>
      <c r="AZ5479" s="48"/>
      <c r="BA5479" s="48"/>
      <c r="BB5479" s="48"/>
      <c r="BC5479" s="48"/>
      <c r="BD5479" s="48"/>
    </row>
    <row r="5480" spans="1:56">
      <c r="A5480" s="48"/>
      <c r="B5480" s="48"/>
      <c r="C5480" s="49"/>
      <c r="D5480" s="48"/>
      <c r="E5480" s="48"/>
      <c r="F5480" s="48"/>
      <c r="G5480" s="48"/>
      <c r="H5480" s="48"/>
      <c r="I5480" s="48"/>
      <c r="J5480" s="86"/>
      <c r="K5480" s="86"/>
      <c r="L5480" s="86"/>
      <c r="M5480" s="86"/>
      <c r="N5480" s="86"/>
      <c r="O5480" s="86"/>
      <c r="P5480" s="86"/>
      <c r="Q5480" s="86"/>
      <c r="R5480" s="86"/>
      <c r="S5480" s="86"/>
      <c r="T5480" s="86"/>
      <c r="U5480" s="86"/>
      <c r="V5480" s="48"/>
      <c r="W5480" s="48"/>
      <c r="X5480" s="48"/>
      <c r="Y5480" s="48"/>
      <c r="Z5480" s="48"/>
      <c r="AA5480" s="48"/>
      <c r="AB5480" s="48"/>
      <c r="AC5480" s="48"/>
      <c r="AD5480" s="48"/>
      <c r="AE5480" s="48"/>
      <c r="AF5480" s="48"/>
      <c r="AG5480" s="48"/>
      <c r="AH5480" s="48"/>
      <c r="AI5480" s="48"/>
      <c r="AJ5480" s="48"/>
      <c r="AK5480" s="48"/>
      <c r="AL5480" s="48"/>
      <c r="AM5480" s="48"/>
      <c r="AN5480" s="48"/>
      <c r="AO5480" s="48"/>
      <c r="AP5480" s="48"/>
      <c r="AQ5480" s="48"/>
      <c r="AR5480" s="48"/>
      <c r="AS5480" s="48"/>
      <c r="AT5480" s="48"/>
      <c r="AU5480" s="48"/>
      <c r="AV5480" s="48"/>
      <c r="AW5480" s="48"/>
      <c r="AX5480" s="48"/>
      <c r="AY5480" s="48"/>
      <c r="AZ5480" s="48"/>
      <c r="BA5480" s="48"/>
      <c r="BB5480" s="48"/>
      <c r="BC5480" s="48"/>
      <c r="BD5480" s="48"/>
    </row>
    <row r="5481" spans="1:56">
      <c r="A5481" s="48"/>
      <c r="B5481" s="48"/>
      <c r="C5481" s="49"/>
      <c r="D5481" s="48"/>
      <c r="E5481" s="48"/>
      <c r="F5481" s="48"/>
      <c r="G5481" s="48"/>
      <c r="H5481" s="48"/>
      <c r="I5481" s="48"/>
      <c r="J5481" s="48"/>
      <c r="K5481" s="48"/>
      <c r="L5481" s="48"/>
      <c r="M5481" s="86"/>
      <c r="N5481" s="86"/>
      <c r="O5481" s="86"/>
      <c r="P5481" s="86"/>
      <c r="Q5481" s="86"/>
      <c r="R5481" s="86"/>
      <c r="S5481" s="48"/>
      <c r="T5481" s="48"/>
      <c r="U5481" s="48"/>
      <c r="V5481" s="48"/>
      <c r="W5481" s="48"/>
      <c r="X5481" s="48"/>
      <c r="Y5481" s="48"/>
      <c r="Z5481" s="48"/>
      <c r="AA5481" s="48"/>
      <c r="AB5481" s="48"/>
      <c r="AC5481" s="48"/>
      <c r="AD5481" s="48"/>
      <c r="AE5481" s="48"/>
      <c r="AF5481" s="48"/>
      <c r="AG5481" s="48"/>
      <c r="AH5481" s="48"/>
      <c r="AI5481" s="48"/>
      <c r="AJ5481" s="48"/>
      <c r="AK5481" s="48"/>
      <c r="AL5481" s="48"/>
      <c r="AM5481" s="48"/>
      <c r="AN5481" s="48"/>
      <c r="AO5481" s="48"/>
      <c r="AP5481" s="48"/>
      <c r="AQ5481" s="48"/>
      <c r="AR5481" s="48"/>
      <c r="AS5481" s="48"/>
      <c r="AT5481" s="48"/>
      <c r="AU5481" s="48"/>
      <c r="AV5481" s="48"/>
      <c r="AW5481" s="48"/>
      <c r="AX5481" s="48"/>
      <c r="AY5481" s="48"/>
      <c r="AZ5481" s="48"/>
      <c r="BA5481" s="48"/>
      <c r="BB5481" s="48"/>
      <c r="BC5481" s="48"/>
      <c r="BD5481" s="48"/>
    </row>
    <row r="5482" spans="1:56">
      <c r="A5482" s="48"/>
      <c r="B5482" s="48"/>
      <c r="C5482" s="49"/>
      <c r="D5482" s="48"/>
      <c r="E5482" s="48"/>
      <c r="F5482" s="48"/>
      <c r="G5482" s="48"/>
      <c r="H5482" s="48"/>
      <c r="I5482" s="48"/>
      <c r="J5482" s="48"/>
      <c r="K5482" s="48"/>
      <c r="L5482" s="48"/>
      <c r="M5482" s="86"/>
      <c r="N5482" s="86"/>
      <c r="O5482" s="86"/>
      <c r="P5482" s="86"/>
      <c r="Q5482" s="86"/>
      <c r="R5482" s="86"/>
      <c r="S5482" s="48"/>
      <c r="T5482" s="48"/>
      <c r="U5482" s="48"/>
      <c r="V5482" s="48"/>
      <c r="W5482" s="48"/>
      <c r="X5482" s="48"/>
      <c r="Y5482" s="48"/>
      <c r="Z5482" s="48"/>
      <c r="AA5482" s="48"/>
      <c r="AB5482" s="48"/>
      <c r="AC5482" s="48"/>
      <c r="AD5482" s="48"/>
      <c r="AE5482" s="48"/>
      <c r="AF5482" s="48"/>
      <c r="AG5482" s="48"/>
      <c r="AH5482" s="48"/>
      <c r="AI5482" s="48"/>
      <c r="AJ5482" s="48"/>
      <c r="AK5482" s="48"/>
      <c r="AL5482" s="48"/>
      <c r="AM5482" s="48"/>
      <c r="AN5482" s="48"/>
      <c r="AO5482" s="48"/>
      <c r="AP5482" s="48"/>
      <c r="AQ5482" s="48"/>
      <c r="AR5482" s="48"/>
      <c r="AS5482" s="48"/>
      <c r="AT5482" s="48"/>
      <c r="AU5482" s="48"/>
      <c r="AV5482" s="48"/>
      <c r="AW5482" s="48"/>
      <c r="AX5482" s="48"/>
      <c r="AY5482" s="48"/>
      <c r="AZ5482" s="48"/>
      <c r="BA5482" s="48"/>
      <c r="BB5482" s="48"/>
      <c r="BC5482" s="48"/>
      <c r="BD5482" s="48"/>
    </row>
    <row r="5483" spans="1:56">
      <c r="A5483" s="48"/>
      <c r="B5483" s="48"/>
      <c r="C5483" s="49"/>
      <c r="D5483" s="48"/>
      <c r="E5483" s="48"/>
      <c r="F5483" s="48"/>
      <c r="G5483" s="48"/>
      <c r="H5483" s="48"/>
      <c r="I5483" s="48"/>
      <c r="J5483" s="48"/>
      <c r="K5483" s="48"/>
      <c r="L5483" s="48"/>
      <c r="M5483" s="86"/>
      <c r="N5483" s="86"/>
      <c r="O5483" s="86"/>
      <c r="P5483" s="86"/>
      <c r="Q5483" s="86"/>
      <c r="R5483" s="86"/>
      <c r="S5483" s="48"/>
      <c r="T5483" s="48"/>
      <c r="U5483" s="48"/>
      <c r="V5483" s="48"/>
      <c r="W5483" s="48"/>
      <c r="X5483" s="48"/>
      <c r="Y5483" s="48"/>
      <c r="Z5483" s="48"/>
      <c r="AA5483" s="48"/>
      <c r="AB5483" s="48"/>
      <c r="AC5483" s="48"/>
      <c r="AD5483" s="48"/>
      <c r="AE5483" s="48"/>
      <c r="AF5483" s="48"/>
      <c r="AG5483" s="48"/>
      <c r="AH5483" s="48"/>
      <c r="AI5483" s="48"/>
      <c r="AJ5483" s="48"/>
      <c r="AK5483" s="48"/>
      <c r="AL5483" s="48"/>
      <c r="AM5483" s="48"/>
      <c r="AN5483" s="48"/>
      <c r="AO5483" s="48"/>
      <c r="AP5483" s="48"/>
      <c r="AQ5483" s="48"/>
      <c r="AR5483" s="48"/>
      <c r="AS5483" s="48"/>
      <c r="AT5483" s="48"/>
      <c r="AU5483" s="48"/>
      <c r="AV5483" s="48"/>
      <c r="AW5483" s="48"/>
      <c r="AX5483" s="48"/>
      <c r="AY5483" s="48"/>
      <c r="AZ5483" s="48"/>
      <c r="BA5483" s="48"/>
      <c r="BB5483" s="48"/>
      <c r="BC5483" s="48"/>
      <c r="BD5483" s="48"/>
    </row>
    <row r="5484" spans="1:56">
      <c r="M5484" s="133"/>
      <c r="N5484" s="134"/>
      <c r="O5484" s="134"/>
      <c r="P5484" s="97"/>
      <c r="Q5484" s="97"/>
      <c r="R5484" s="97"/>
    </row>
    <row r="5485" spans="1:56">
      <c r="M5485" s="133"/>
      <c r="N5485" s="134"/>
      <c r="O5485" s="134"/>
      <c r="P5485" s="97"/>
      <c r="Q5485" s="97"/>
      <c r="R5485" s="97"/>
    </row>
    <row r="5486" spans="1:56">
      <c r="M5486" s="133"/>
      <c r="N5486" s="134"/>
      <c r="O5486" s="134"/>
      <c r="P5486" s="97"/>
      <c r="Q5486" s="97"/>
      <c r="R5486" s="97"/>
    </row>
    <row r="5487" spans="1:56">
      <c r="M5487" s="133"/>
      <c r="N5487" s="134"/>
      <c r="O5487" s="134"/>
      <c r="P5487" s="97"/>
      <c r="Q5487" s="97"/>
      <c r="R5487" s="97"/>
    </row>
    <row r="5488" spans="1:56">
      <c r="M5488" s="133"/>
      <c r="N5488" s="134"/>
      <c r="O5488" s="134"/>
      <c r="P5488" s="97"/>
      <c r="Q5488" s="97"/>
      <c r="R5488" s="97"/>
    </row>
    <row r="5489" spans="13:18">
      <c r="M5489" s="133"/>
      <c r="N5489" s="134"/>
      <c r="O5489" s="134"/>
      <c r="P5489" s="97"/>
      <c r="Q5489" s="97"/>
      <c r="R5489" s="97"/>
    </row>
    <row r="5490" spans="13:18">
      <c r="M5490" s="133"/>
      <c r="N5490" s="134"/>
      <c r="O5490" s="134"/>
      <c r="P5490" s="97"/>
      <c r="Q5490" s="97"/>
      <c r="R5490" s="97"/>
    </row>
    <row r="5491" spans="13:18">
      <c r="M5491" s="133"/>
      <c r="N5491" s="134"/>
      <c r="O5491" s="134"/>
      <c r="P5491" s="97"/>
      <c r="Q5491" s="97"/>
      <c r="R5491" s="97"/>
    </row>
    <row r="5492" spans="13:18">
      <c r="M5492" s="133"/>
      <c r="N5492" s="134"/>
      <c r="O5492" s="134"/>
      <c r="P5492" s="97"/>
      <c r="Q5492" s="97"/>
      <c r="R5492" s="97"/>
    </row>
    <row r="5493" spans="13:18">
      <c r="M5493" s="133"/>
      <c r="N5493" s="134"/>
      <c r="O5493" s="134"/>
      <c r="P5493" s="97"/>
      <c r="Q5493" s="97"/>
      <c r="R5493" s="97"/>
    </row>
    <row r="5494" spans="13:18">
      <c r="M5494" s="133"/>
      <c r="N5494" s="134"/>
      <c r="O5494" s="134"/>
      <c r="P5494" s="97"/>
      <c r="Q5494" s="97"/>
      <c r="R5494" s="97"/>
    </row>
    <row r="5495" spans="13:18">
      <c r="M5495" s="133"/>
      <c r="N5495" s="134"/>
      <c r="O5495" s="134"/>
      <c r="P5495" s="97"/>
      <c r="Q5495" s="97"/>
      <c r="R5495" s="97"/>
    </row>
    <row r="5496" spans="13:18">
      <c r="M5496" s="133"/>
      <c r="N5496" s="134"/>
      <c r="O5496" s="134"/>
      <c r="P5496" s="97"/>
      <c r="Q5496" s="97"/>
      <c r="R5496" s="97"/>
    </row>
    <row r="5497" spans="13:18">
      <c r="M5497" s="133"/>
      <c r="N5497" s="134"/>
      <c r="O5497" s="134"/>
      <c r="P5497" s="97"/>
      <c r="Q5497" s="97"/>
      <c r="R5497" s="97"/>
    </row>
    <row r="5498" spans="13:18">
      <c r="M5498" s="133"/>
      <c r="N5498" s="134"/>
      <c r="O5498" s="134"/>
      <c r="P5498" s="97"/>
      <c r="Q5498" s="97"/>
      <c r="R5498" s="97"/>
    </row>
    <row r="5499" spans="13:18">
      <c r="M5499" s="133"/>
      <c r="N5499" s="134"/>
      <c r="O5499" s="134"/>
      <c r="P5499" s="97"/>
      <c r="Q5499" s="97"/>
      <c r="R5499" s="97"/>
    </row>
    <row r="5500" spans="13:18">
      <c r="M5500" s="133"/>
      <c r="N5500" s="134"/>
      <c r="O5500" s="134"/>
      <c r="P5500" s="97"/>
      <c r="Q5500" s="97"/>
      <c r="R5500" s="97"/>
    </row>
    <row r="5501" spans="13:18">
      <c r="M5501" s="133"/>
      <c r="N5501" s="134"/>
      <c r="O5501" s="134"/>
      <c r="P5501" s="97"/>
      <c r="Q5501" s="97"/>
      <c r="R5501" s="97"/>
    </row>
    <row r="5502" spans="13:18">
      <c r="M5502" s="133"/>
      <c r="N5502" s="134"/>
      <c r="O5502" s="134"/>
      <c r="P5502" s="97"/>
      <c r="Q5502" s="97"/>
      <c r="R5502" s="97"/>
    </row>
    <row r="5503" spans="13:18">
      <c r="M5503" s="133"/>
      <c r="N5503" s="134"/>
      <c r="O5503" s="134"/>
      <c r="P5503" s="97"/>
      <c r="Q5503" s="97"/>
      <c r="R5503" s="97"/>
    </row>
    <row r="5504" spans="13:18">
      <c r="M5504" s="133"/>
      <c r="N5504" s="134"/>
      <c r="O5504" s="134"/>
      <c r="P5504" s="97"/>
      <c r="Q5504" s="97"/>
      <c r="R5504" s="97"/>
    </row>
    <row r="5505" spans="13:18">
      <c r="M5505" s="133"/>
      <c r="N5505" s="134"/>
      <c r="O5505" s="134"/>
      <c r="P5505" s="97"/>
      <c r="Q5505" s="97"/>
      <c r="R5505" s="97"/>
    </row>
    <row r="5506" spans="13:18">
      <c r="M5506" s="133"/>
      <c r="N5506" s="134"/>
      <c r="O5506" s="134"/>
      <c r="P5506" s="97"/>
      <c r="Q5506" s="97"/>
      <c r="R5506" s="97"/>
    </row>
    <row r="5507" spans="13:18">
      <c r="M5507" s="133"/>
      <c r="N5507" s="134"/>
      <c r="O5507" s="134"/>
      <c r="P5507" s="97"/>
      <c r="Q5507" s="97"/>
      <c r="R5507" s="97"/>
    </row>
    <row r="5508" spans="13:18">
      <c r="M5508" s="133"/>
      <c r="N5508" s="134"/>
      <c r="O5508" s="134"/>
      <c r="P5508" s="97"/>
      <c r="Q5508" s="97"/>
      <c r="R5508" s="97"/>
    </row>
    <row r="5509" spans="13:18">
      <c r="M5509" s="133"/>
      <c r="N5509" s="134"/>
      <c r="O5509" s="134"/>
      <c r="P5509" s="97"/>
      <c r="Q5509" s="97"/>
      <c r="R5509" s="97"/>
    </row>
    <row r="5510" spans="13:18">
      <c r="M5510" s="133"/>
      <c r="N5510" s="134"/>
      <c r="O5510" s="134"/>
      <c r="P5510" s="97"/>
      <c r="Q5510" s="97"/>
      <c r="R5510" s="97"/>
    </row>
    <row r="5511" spans="13:18">
      <c r="M5511" s="133"/>
      <c r="N5511" s="134"/>
      <c r="O5511" s="134"/>
      <c r="P5511" s="97"/>
      <c r="Q5511" s="97"/>
      <c r="R5511" s="97"/>
    </row>
    <row r="5512" spans="13:18">
      <c r="M5512" s="133"/>
      <c r="N5512" s="134"/>
      <c r="O5512" s="134"/>
      <c r="P5512" s="97"/>
      <c r="Q5512" s="97"/>
      <c r="R5512" s="97"/>
    </row>
    <row r="5513" spans="13:18">
      <c r="M5513" s="133"/>
      <c r="N5513" s="134"/>
      <c r="O5513" s="134"/>
      <c r="P5513" s="97"/>
      <c r="Q5513" s="97"/>
      <c r="R5513" s="97"/>
    </row>
    <row r="5514" spans="13:18">
      <c r="M5514" s="133"/>
      <c r="N5514" s="134"/>
      <c r="O5514" s="134"/>
      <c r="P5514" s="97"/>
      <c r="Q5514" s="97"/>
      <c r="R5514" s="97"/>
    </row>
    <row r="5515" spans="13:18">
      <c r="M5515" s="133"/>
      <c r="N5515" s="134"/>
      <c r="O5515" s="134"/>
      <c r="P5515" s="97"/>
      <c r="Q5515" s="97"/>
      <c r="R5515" s="97"/>
    </row>
    <row r="5516" spans="13:18">
      <c r="M5516" s="133"/>
      <c r="N5516" s="134"/>
      <c r="O5516" s="134"/>
      <c r="P5516" s="97"/>
      <c r="Q5516" s="97"/>
      <c r="R5516" s="97"/>
    </row>
    <row r="5517" spans="13:18">
      <c r="M5517" s="133"/>
      <c r="N5517" s="134"/>
      <c r="O5517" s="134"/>
      <c r="P5517" s="97"/>
      <c r="Q5517" s="97"/>
      <c r="R5517" s="97"/>
    </row>
    <row r="5518" spans="13:18">
      <c r="M5518" s="133"/>
      <c r="N5518" s="134"/>
      <c r="O5518" s="134"/>
      <c r="P5518" s="97"/>
      <c r="Q5518" s="97"/>
      <c r="R5518" s="97"/>
    </row>
    <row r="5519" spans="13:18">
      <c r="M5519" s="133"/>
      <c r="N5519" s="134"/>
      <c r="O5519" s="134"/>
      <c r="P5519" s="97"/>
      <c r="Q5519" s="97"/>
      <c r="R5519" s="97"/>
    </row>
    <row r="5520" spans="13:18">
      <c r="M5520" s="133"/>
      <c r="N5520" s="134"/>
      <c r="O5520" s="134"/>
      <c r="P5520" s="97"/>
      <c r="Q5520" s="97"/>
      <c r="R5520" s="97"/>
    </row>
    <row r="5521" spans="13:18">
      <c r="M5521" s="133"/>
      <c r="N5521" s="134"/>
      <c r="O5521" s="134"/>
      <c r="P5521" s="97"/>
      <c r="Q5521" s="97"/>
      <c r="R5521" s="97"/>
    </row>
    <row r="5522" spans="13:18">
      <c r="M5522" s="133"/>
      <c r="N5522" s="134"/>
      <c r="O5522" s="134"/>
      <c r="P5522" s="97"/>
      <c r="Q5522" s="97"/>
      <c r="R5522" s="97"/>
    </row>
    <row r="5523" spans="13:18">
      <c r="M5523" s="133"/>
      <c r="N5523" s="134"/>
      <c r="O5523" s="134"/>
      <c r="P5523" s="97"/>
      <c r="Q5523" s="97"/>
      <c r="R5523" s="97"/>
    </row>
    <row r="5524" spans="13:18">
      <c r="M5524" s="133"/>
      <c r="N5524" s="134"/>
      <c r="O5524" s="134"/>
      <c r="P5524" s="97"/>
      <c r="Q5524" s="97"/>
      <c r="R5524" s="97"/>
    </row>
    <row r="5525" spans="13:18">
      <c r="M5525" s="133"/>
      <c r="N5525" s="134"/>
      <c r="O5525" s="134"/>
      <c r="P5525" s="97"/>
      <c r="Q5525" s="97"/>
      <c r="R5525" s="97"/>
    </row>
    <row r="5526" spans="13:18">
      <c r="M5526" s="133"/>
      <c r="N5526" s="134"/>
      <c r="O5526" s="134"/>
      <c r="P5526" s="97"/>
      <c r="Q5526" s="97"/>
      <c r="R5526" s="97"/>
    </row>
    <row r="5527" spans="13:18">
      <c r="M5527" s="133"/>
      <c r="N5527" s="134"/>
      <c r="O5527" s="134"/>
      <c r="P5527" s="97"/>
      <c r="Q5527" s="97"/>
      <c r="R5527" s="97"/>
    </row>
    <row r="5528" spans="13:18">
      <c r="M5528" s="133"/>
      <c r="N5528" s="134"/>
      <c r="O5528" s="134"/>
      <c r="P5528" s="97"/>
      <c r="Q5528" s="97"/>
      <c r="R5528" s="97"/>
    </row>
    <row r="5529" spans="13:18">
      <c r="M5529" s="133"/>
      <c r="N5529" s="134"/>
      <c r="O5529" s="134"/>
      <c r="P5529" s="97"/>
      <c r="Q5529" s="97"/>
      <c r="R5529" s="97"/>
    </row>
    <row r="5530" spans="13:18">
      <c r="M5530" s="133"/>
      <c r="N5530" s="134"/>
      <c r="O5530" s="134"/>
      <c r="P5530" s="97"/>
      <c r="Q5530" s="97"/>
      <c r="R5530" s="97"/>
    </row>
    <row r="5531" spans="13:18">
      <c r="M5531" s="133"/>
      <c r="N5531" s="134"/>
      <c r="O5531" s="134"/>
      <c r="P5531" s="97"/>
      <c r="Q5531" s="97"/>
      <c r="R5531" s="97"/>
    </row>
    <row r="5532" spans="13:18">
      <c r="M5532" s="133"/>
      <c r="N5532" s="134"/>
      <c r="O5532" s="134"/>
      <c r="P5532" s="97"/>
      <c r="Q5532" s="97"/>
      <c r="R5532" s="97"/>
    </row>
    <row r="5533" spans="13:18">
      <c r="M5533" s="133"/>
      <c r="N5533" s="134"/>
      <c r="O5533" s="134"/>
      <c r="P5533" s="97"/>
      <c r="Q5533" s="97"/>
      <c r="R5533" s="97"/>
    </row>
    <row r="5534" spans="13:18">
      <c r="M5534" s="133"/>
      <c r="N5534" s="134"/>
      <c r="O5534" s="134"/>
      <c r="P5534" s="97"/>
      <c r="Q5534" s="97"/>
      <c r="R5534" s="97"/>
    </row>
    <row r="5535" spans="13:18">
      <c r="M5535" s="133"/>
      <c r="N5535" s="134"/>
      <c r="O5535" s="134"/>
      <c r="P5535" s="97"/>
      <c r="Q5535" s="97"/>
      <c r="R5535" s="97"/>
    </row>
    <row r="5536" spans="13:18">
      <c r="M5536" s="133"/>
      <c r="N5536" s="134"/>
      <c r="O5536" s="134"/>
      <c r="P5536" s="97"/>
      <c r="Q5536" s="97"/>
      <c r="R5536" s="97"/>
    </row>
    <row r="5537" spans="13:18">
      <c r="M5537" s="133"/>
      <c r="N5537" s="134"/>
      <c r="O5537" s="134"/>
      <c r="P5537" s="97"/>
      <c r="Q5537" s="97"/>
      <c r="R5537" s="97"/>
    </row>
    <row r="5538" spans="13:18">
      <c r="M5538" s="133"/>
      <c r="N5538" s="134"/>
      <c r="O5538" s="134"/>
      <c r="P5538" s="97"/>
      <c r="Q5538" s="97"/>
      <c r="R5538" s="97"/>
    </row>
    <row r="5539" spans="13:18">
      <c r="M5539" s="133"/>
      <c r="N5539" s="134"/>
      <c r="O5539" s="134"/>
      <c r="P5539" s="97"/>
      <c r="Q5539" s="97"/>
      <c r="R5539" s="97"/>
    </row>
    <row r="5540" spans="13:18">
      <c r="M5540" s="133"/>
      <c r="N5540" s="134"/>
      <c r="O5540" s="134"/>
      <c r="P5540" s="97"/>
      <c r="Q5540" s="97"/>
      <c r="R5540" s="97"/>
    </row>
    <row r="5541" spans="13:18">
      <c r="M5541" s="133"/>
      <c r="N5541" s="134"/>
      <c r="O5541" s="134"/>
      <c r="P5541" s="97"/>
      <c r="Q5541" s="97"/>
      <c r="R5541" s="97"/>
    </row>
    <row r="5542" spans="13:18">
      <c r="M5542" s="133"/>
      <c r="N5542" s="134"/>
      <c r="O5542" s="134"/>
      <c r="P5542" s="97"/>
      <c r="Q5542" s="97"/>
      <c r="R5542" s="97"/>
    </row>
    <row r="5543" spans="13:18">
      <c r="M5543" s="133"/>
      <c r="N5543" s="134"/>
      <c r="O5543" s="134"/>
      <c r="P5543" s="97"/>
      <c r="Q5543" s="97"/>
      <c r="R5543" s="97"/>
    </row>
    <row r="5544" spans="13:18">
      <c r="M5544" s="133"/>
      <c r="N5544" s="134"/>
      <c r="O5544" s="134"/>
      <c r="P5544" s="97"/>
      <c r="Q5544" s="97"/>
      <c r="R5544" s="97"/>
    </row>
    <row r="5545" spans="13:18">
      <c r="M5545" s="133"/>
      <c r="N5545" s="134"/>
      <c r="O5545" s="134"/>
      <c r="P5545" s="97"/>
      <c r="Q5545" s="97"/>
      <c r="R5545" s="97"/>
    </row>
    <row r="5546" spans="13:18">
      <c r="M5546" s="133"/>
      <c r="N5546" s="134"/>
      <c r="O5546" s="134"/>
      <c r="P5546" s="97"/>
      <c r="Q5546" s="97"/>
      <c r="R5546" s="97"/>
    </row>
    <row r="5547" spans="13:18">
      <c r="M5547" s="133"/>
      <c r="N5547" s="134"/>
      <c r="O5547" s="134"/>
      <c r="P5547" s="97"/>
      <c r="Q5547" s="97"/>
      <c r="R5547" s="97"/>
    </row>
    <row r="5548" spans="13:18">
      <c r="M5548" s="133"/>
      <c r="N5548" s="134"/>
      <c r="O5548" s="134"/>
      <c r="P5548" s="97"/>
      <c r="Q5548" s="97"/>
      <c r="R5548" s="97"/>
    </row>
    <row r="5549" spans="13:18">
      <c r="M5549" s="133"/>
      <c r="N5549" s="134"/>
      <c r="O5549" s="134"/>
      <c r="P5549" s="97"/>
      <c r="Q5549" s="97"/>
      <c r="R5549" s="97"/>
    </row>
    <row r="5550" spans="13:18">
      <c r="M5550" s="133"/>
      <c r="N5550" s="134"/>
      <c r="O5550" s="134"/>
      <c r="P5550" s="97"/>
      <c r="Q5550" s="97"/>
      <c r="R5550" s="97"/>
    </row>
    <row r="5551" spans="13:18">
      <c r="M5551" s="133"/>
      <c r="N5551" s="134"/>
      <c r="O5551" s="134"/>
      <c r="P5551" s="97"/>
      <c r="Q5551" s="97"/>
      <c r="R5551" s="97"/>
    </row>
    <row r="5552" spans="13:18">
      <c r="M5552" s="133"/>
      <c r="N5552" s="134"/>
      <c r="O5552" s="134"/>
      <c r="P5552" s="97"/>
      <c r="Q5552" s="97"/>
      <c r="R5552" s="97"/>
    </row>
    <row r="5553" spans="13:18">
      <c r="M5553" s="133"/>
      <c r="N5553" s="134"/>
      <c r="O5553" s="134"/>
      <c r="P5553" s="97"/>
      <c r="Q5553" s="97"/>
      <c r="R5553" s="97"/>
    </row>
    <row r="5554" spans="13:18">
      <c r="M5554" s="133"/>
      <c r="N5554" s="134"/>
      <c r="O5554" s="134"/>
      <c r="P5554" s="97"/>
      <c r="Q5554" s="97"/>
      <c r="R5554" s="97"/>
    </row>
    <row r="5555" spans="13:18">
      <c r="M5555" s="133"/>
      <c r="N5555" s="134"/>
      <c r="O5555" s="134"/>
      <c r="P5555" s="97"/>
      <c r="Q5555" s="97"/>
      <c r="R5555" s="97"/>
    </row>
    <row r="5556" spans="13:18">
      <c r="M5556" s="133"/>
      <c r="N5556" s="134"/>
      <c r="O5556" s="134"/>
      <c r="P5556" s="97"/>
      <c r="Q5556" s="97"/>
      <c r="R5556" s="97"/>
    </row>
    <row r="5557" spans="13:18">
      <c r="M5557" s="133"/>
      <c r="N5557" s="134"/>
      <c r="O5557" s="134"/>
      <c r="P5557" s="97"/>
      <c r="Q5557" s="97"/>
      <c r="R5557" s="97"/>
    </row>
    <row r="5558" spans="13:18">
      <c r="M5558" s="133"/>
      <c r="N5558" s="134"/>
      <c r="O5558" s="134"/>
      <c r="P5558" s="97"/>
      <c r="Q5558" s="97"/>
      <c r="R5558" s="97"/>
    </row>
    <row r="5559" spans="13:18">
      <c r="M5559" s="133"/>
      <c r="N5559" s="134"/>
      <c r="O5559" s="134"/>
      <c r="P5559" s="97"/>
      <c r="Q5559" s="97"/>
      <c r="R5559" s="97"/>
    </row>
    <row r="5560" spans="13:18">
      <c r="M5560" s="133"/>
      <c r="N5560" s="134"/>
      <c r="O5560" s="134"/>
      <c r="P5560" s="97"/>
      <c r="Q5560" s="97"/>
      <c r="R5560" s="97"/>
    </row>
    <row r="5561" spans="13:18">
      <c r="M5561" s="133"/>
      <c r="N5561" s="134"/>
      <c r="O5561" s="134"/>
      <c r="P5561" s="97"/>
      <c r="Q5561" s="97"/>
      <c r="R5561" s="97"/>
    </row>
    <row r="5562" spans="13:18">
      <c r="M5562" s="133"/>
      <c r="N5562" s="134"/>
      <c r="O5562" s="134"/>
      <c r="P5562" s="97"/>
      <c r="Q5562" s="97"/>
      <c r="R5562" s="97"/>
    </row>
    <row r="5563" spans="13:18">
      <c r="M5563" s="133"/>
      <c r="N5563" s="134"/>
      <c r="O5563" s="134"/>
      <c r="P5563" s="97"/>
      <c r="Q5563" s="97"/>
      <c r="R5563" s="97"/>
    </row>
    <row r="5564" spans="13:18">
      <c r="M5564" s="133"/>
      <c r="N5564" s="134"/>
      <c r="O5564" s="134"/>
      <c r="P5564" s="97"/>
      <c r="Q5564" s="97"/>
      <c r="R5564" s="97"/>
    </row>
    <row r="5565" spans="13:18">
      <c r="M5565" s="133"/>
      <c r="N5565" s="134"/>
      <c r="O5565" s="134"/>
      <c r="P5565" s="97"/>
      <c r="Q5565" s="97"/>
      <c r="R5565" s="97"/>
    </row>
    <row r="5566" spans="13:18">
      <c r="M5566" s="133"/>
      <c r="N5566" s="134"/>
      <c r="O5566" s="134"/>
      <c r="P5566" s="97"/>
      <c r="Q5566" s="97"/>
      <c r="R5566" s="97"/>
    </row>
    <row r="5567" spans="13:18">
      <c r="M5567" s="133"/>
      <c r="N5567" s="134"/>
      <c r="O5567" s="134"/>
      <c r="P5567" s="97"/>
      <c r="Q5567" s="97"/>
      <c r="R5567" s="97"/>
    </row>
    <row r="5568" spans="13:18">
      <c r="M5568" s="133"/>
      <c r="N5568" s="134"/>
      <c r="O5568" s="134"/>
      <c r="P5568" s="97"/>
      <c r="Q5568" s="97"/>
      <c r="R5568" s="97"/>
    </row>
    <row r="5569" spans="13:18">
      <c r="M5569" s="133"/>
      <c r="N5569" s="134"/>
      <c r="O5569" s="134"/>
      <c r="P5569" s="97"/>
      <c r="Q5569" s="97"/>
      <c r="R5569" s="97"/>
    </row>
    <row r="5570" spans="13:18">
      <c r="M5570" s="133"/>
      <c r="N5570" s="134"/>
      <c r="O5570" s="134"/>
      <c r="P5570" s="97"/>
      <c r="Q5570" s="97"/>
      <c r="R5570" s="97"/>
    </row>
    <row r="5571" spans="13:18">
      <c r="M5571" s="133"/>
      <c r="N5571" s="134"/>
      <c r="O5571" s="134"/>
      <c r="P5571" s="97"/>
      <c r="Q5571" s="97"/>
      <c r="R5571" s="97"/>
    </row>
    <row r="5572" spans="13:18">
      <c r="M5572" s="133"/>
      <c r="N5572" s="134"/>
      <c r="O5572" s="134"/>
      <c r="P5572" s="97"/>
      <c r="Q5572" s="97"/>
      <c r="R5572" s="97"/>
    </row>
    <row r="5573" spans="13:18">
      <c r="M5573" s="133"/>
      <c r="N5573" s="134"/>
      <c r="O5573" s="134"/>
      <c r="P5573" s="97"/>
      <c r="Q5573" s="97"/>
      <c r="R5573" s="97"/>
    </row>
    <row r="5574" spans="13:18">
      <c r="M5574" s="133"/>
      <c r="N5574" s="134"/>
      <c r="O5574" s="134"/>
      <c r="P5574" s="97"/>
      <c r="Q5574" s="97"/>
      <c r="R5574" s="97"/>
    </row>
    <row r="5575" spans="13:18">
      <c r="M5575" s="133"/>
      <c r="N5575" s="134"/>
      <c r="O5575" s="134"/>
      <c r="P5575" s="97"/>
      <c r="Q5575" s="97"/>
      <c r="R5575" s="97"/>
    </row>
    <row r="5576" spans="13:18">
      <c r="M5576" s="133"/>
      <c r="N5576" s="134"/>
      <c r="O5576" s="134"/>
      <c r="P5576" s="97"/>
      <c r="Q5576" s="97"/>
      <c r="R5576" s="97"/>
    </row>
    <row r="5577" spans="13:18">
      <c r="M5577" s="133"/>
      <c r="N5577" s="134"/>
      <c r="O5577" s="134"/>
      <c r="P5577" s="97"/>
      <c r="Q5577" s="97"/>
      <c r="R5577" s="97"/>
    </row>
    <row r="5578" spans="13:18">
      <c r="M5578" s="133"/>
      <c r="N5578" s="134"/>
      <c r="O5578" s="134"/>
      <c r="P5578" s="97"/>
      <c r="Q5578" s="97"/>
      <c r="R5578" s="97"/>
    </row>
    <row r="5579" spans="13:18">
      <c r="M5579" s="133"/>
      <c r="N5579" s="134"/>
      <c r="O5579" s="134"/>
      <c r="P5579" s="97"/>
      <c r="Q5579" s="97"/>
      <c r="R5579" s="97"/>
    </row>
    <row r="5580" spans="13:18">
      <c r="M5580" s="133"/>
      <c r="N5580" s="134"/>
      <c r="O5580" s="134"/>
      <c r="P5580" s="97"/>
      <c r="Q5580" s="97"/>
      <c r="R5580" s="97"/>
    </row>
    <row r="5581" spans="13:18">
      <c r="M5581" s="133"/>
      <c r="N5581" s="134"/>
      <c r="O5581" s="134"/>
      <c r="P5581" s="97"/>
      <c r="Q5581" s="97"/>
      <c r="R5581" s="97"/>
    </row>
    <row r="5582" spans="13:18">
      <c r="M5582" s="133"/>
      <c r="N5582" s="134"/>
      <c r="O5582" s="134"/>
      <c r="P5582" s="97"/>
      <c r="Q5582" s="97"/>
      <c r="R5582" s="97"/>
    </row>
    <row r="5583" spans="13:18">
      <c r="M5583" s="133"/>
      <c r="N5583" s="134"/>
      <c r="O5583" s="134"/>
      <c r="P5583" s="97"/>
      <c r="Q5583" s="97"/>
      <c r="R5583" s="97"/>
    </row>
    <row r="5584" spans="13:18">
      <c r="M5584" s="133"/>
      <c r="N5584" s="134"/>
      <c r="O5584" s="134"/>
      <c r="P5584" s="97"/>
      <c r="Q5584" s="97"/>
      <c r="R5584" s="97"/>
    </row>
    <row r="5585" spans="13:18">
      <c r="M5585" s="133"/>
      <c r="N5585" s="134"/>
      <c r="O5585" s="134"/>
      <c r="P5585" s="97"/>
      <c r="Q5585" s="97"/>
      <c r="R5585" s="97"/>
    </row>
    <row r="5586" spans="13:18">
      <c r="M5586" s="133"/>
      <c r="N5586" s="134"/>
      <c r="O5586" s="134"/>
      <c r="P5586" s="97"/>
      <c r="Q5586" s="97"/>
      <c r="R5586" s="97"/>
    </row>
    <row r="5587" spans="13:18">
      <c r="M5587" s="133"/>
      <c r="N5587" s="134"/>
      <c r="O5587" s="134"/>
      <c r="P5587" s="97"/>
      <c r="Q5587" s="97"/>
      <c r="R5587" s="97"/>
    </row>
    <row r="5588" spans="13:18">
      <c r="M5588" s="133"/>
      <c r="N5588" s="134"/>
      <c r="O5588" s="134"/>
      <c r="P5588" s="97"/>
      <c r="Q5588" s="97"/>
      <c r="R5588" s="97"/>
    </row>
    <row r="5589" spans="13:18">
      <c r="M5589" s="133"/>
      <c r="N5589" s="134"/>
      <c r="O5589" s="134"/>
      <c r="P5589" s="97"/>
      <c r="Q5589" s="97"/>
      <c r="R5589" s="97"/>
    </row>
    <row r="5590" spans="13:18">
      <c r="M5590" s="133"/>
      <c r="N5590" s="134"/>
      <c r="O5590" s="134"/>
      <c r="P5590" s="97"/>
      <c r="Q5590" s="97"/>
      <c r="R5590" s="97"/>
    </row>
    <row r="5591" spans="13:18">
      <c r="M5591" s="133"/>
      <c r="N5591" s="134"/>
      <c r="O5591" s="134"/>
      <c r="P5591" s="97"/>
      <c r="Q5591" s="97"/>
      <c r="R5591" s="97"/>
    </row>
    <row r="5592" spans="13:18">
      <c r="M5592" s="133"/>
      <c r="N5592" s="134"/>
      <c r="O5592" s="134"/>
      <c r="P5592" s="97"/>
      <c r="Q5592" s="97"/>
      <c r="R5592" s="97"/>
    </row>
    <row r="5593" spans="13:18">
      <c r="M5593" s="133"/>
      <c r="N5593" s="134"/>
      <c r="O5593" s="134"/>
      <c r="P5593" s="97"/>
      <c r="Q5593" s="97"/>
      <c r="R5593" s="97"/>
    </row>
    <row r="5594" spans="13:18">
      <c r="M5594" s="133"/>
      <c r="N5594" s="134"/>
      <c r="O5594" s="134"/>
      <c r="P5594" s="97"/>
      <c r="Q5594" s="97"/>
      <c r="R5594" s="97"/>
    </row>
    <row r="5595" spans="13:18">
      <c r="M5595" s="133"/>
      <c r="N5595" s="134"/>
      <c r="O5595" s="134"/>
      <c r="P5595" s="97"/>
      <c r="Q5595" s="97"/>
      <c r="R5595" s="97"/>
    </row>
    <row r="5596" spans="13:18">
      <c r="M5596" s="133"/>
      <c r="N5596" s="134"/>
      <c r="O5596" s="134"/>
      <c r="P5596" s="97"/>
      <c r="Q5596" s="97"/>
      <c r="R5596" s="97"/>
    </row>
    <row r="5597" spans="13:18">
      <c r="M5597" s="133"/>
      <c r="N5597" s="134"/>
      <c r="O5597" s="134"/>
      <c r="P5597" s="97"/>
      <c r="Q5597" s="97"/>
      <c r="R5597" s="97"/>
    </row>
    <row r="5598" spans="13:18">
      <c r="M5598" s="133"/>
      <c r="N5598" s="134"/>
      <c r="O5598" s="134"/>
      <c r="P5598" s="97"/>
      <c r="Q5598" s="97"/>
      <c r="R5598" s="97"/>
    </row>
    <row r="5599" spans="13:18">
      <c r="M5599" s="133"/>
      <c r="N5599" s="134"/>
      <c r="O5599" s="134"/>
      <c r="P5599" s="97"/>
      <c r="Q5599" s="97"/>
      <c r="R5599" s="97"/>
    </row>
    <row r="5600" spans="13:18">
      <c r="M5600" s="133"/>
      <c r="N5600" s="134"/>
      <c r="O5600" s="134"/>
      <c r="P5600" s="97"/>
      <c r="Q5600" s="97"/>
      <c r="R5600" s="97"/>
    </row>
    <row r="5601" spans="13:18">
      <c r="M5601" s="133"/>
      <c r="N5601" s="134"/>
      <c r="O5601" s="134"/>
      <c r="P5601" s="97"/>
      <c r="Q5601" s="97"/>
      <c r="R5601" s="97"/>
    </row>
    <row r="5602" spans="13:18">
      <c r="M5602" s="133"/>
      <c r="N5602" s="134"/>
      <c r="O5602" s="134"/>
      <c r="P5602" s="97"/>
      <c r="Q5602" s="97"/>
      <c r="R5602" s="97"/>
    </row>
    <row r="5603" spans="13:18">
      <c r="M5603" s="133"/>
      <c r="N5603" s="134"/>
      <c r="O5603" s="134"/>
      <c r="P5603" s="97"/>
      <c r="Q5603" s="97"/>
      <c r="R5603" s="97"/>
    </row>
    <row r="5604" spans="13:18">
      <c r="M5604" s="133"/>
      <c r="N5604" s="134"/>
      <c r="O5604" s="134"/>
      <c r="P5604" s="97"/>
      <c r="Q5604" s="97"/>
      <c r="R5604" s="97"/>
    </row>
    <row r="5605" spans="13:18">
      <c r="M5605" s="133"/>
      <c r="N5605" s="134"/>
      <c r="O5605" s="134"/>
      <c r="P5605" s="97"/>
      <c r="Q5605" s="97"/>
      <c r="R5605" s="97"/>
    </row>
    <row r="5606" spans="13:18">
      <c r="M5606" s="133"/>
      <c r="N5606" s="134"/>
      <c r="O5606" s="134"/>
      <c r="P5606" s="97"/>
      <c r="Q5606" s="97"/>
      <c r="R5606" s="97"/>
    </row>
    <row r="5607" spans="13:18">
      <c r="M5607" s="133"/>
      <c r="N5607" s="134"/>
      <c r="O5607" s="134"/>
      <c r="P5607" s="97"/>
      <c r="Q5607" s="97"/>
      <c r="R5607" s="97"/>
    </row>
    <row r="5608" spans="13:18">
      <c r="M5608" s="133"/>
      <c r="N5608" s="134"/>
      <c r="O5608" s="134"/>
      <c r="P5608" s="97"/>
      <c r="Q5608" s="97"/>
      <c r="R5608" s="97"/>
    </row>
    <row r="5609" spans="13:18">
      <c r="M5609" s="133"/>
      <c r="N5609" s="134"/>
      <c r="O5609" s="134"/>
      <c r="P5609" s="97"/>
      <c r="Q5609" s="97"/>
      <c r="R5609" s="97"/>
    </row>
    <row r="5610" spans="13:18">
      <c r="M5610" s="133"/>
      <c r="N5610" s="134"/>
      <c r="O5610" s="134"/>
      <c r="P5610" s="97"/>
      <c r="Q5610" s="97"/>
      <c r="R5610" s="97"/>
    </row>
    <row r="5611" spans="13:18">
      <c r="M5611" s="133"/>
      <c r="N5611" s="134"/>
      <c r="O5611" s="134"/>
      <c r="P5611" s="97"/>
      <c r="Q5611" s="97"/>
      <c r="R5611" s="97"/>
    </row>
    <row r="5612" spans="13:18">
      <c r="M5612" s="133"/>
      <c r="N5612" s="134"/>
      <c r="O5612" s="134"/>
      <c r="P5612" s="97"/>
      <c r="Q5612" s="97"/>
      <c r="R5612" s="97"/>
    </row>
    <row r="5613" spans="13:18">
      <c r="M5613" s="133"/>
      <c r="N5613" s="134"/>
      <c r="O5613" s="134"/>
      <c r="P5613" s="97"/>
      <c r="Q5613" s="97"/>
      <c r="R5613" s="97"/>
    </row>
    <row r="5614" spans="13:18">
      <c r="M5614" s="133"/>
      <c r="N5614" s="134"/>
      <c r="O5614" s="134"/>
      <c r="P5614" s="97"/>
      <c r="Q5614" s="97"/>
      <c r="R5614" s="97"/>
    </row>
    <row r="5615" spans="13:18">
      <c r="M5615" s="133"/>
      <c r="N5615" s="134"/>
      <c r="O5615" s="134"/>
      <c r="P5615" s="97"/>
      <c r="Q5615" s="97"/>
      <c r="R5615" s="97"/>
    </row>
    <row r="5616" spans="13:18">
      <c r="M5616" s="133"/>
      <c r="N5616" s="134"/>
      <c r="O5616" s="134"/>
      <c r="P5616" s="97"/>
      <c r="Q5616" s="97"/>
      <c r="R5616" s="97"/>
    </row>
    <row r="5617" spans="13:18">
      <c r="M5617" s="133"/>
      <c r="N5617" s="134"/>
      <c r="O5617" s="134"/>
      <c r="P5617" s="97"/>
      <c r="Q5617" s="97"/>
      <c r="R5617" s="97"/>
    </row>
    <row r="5618" spans="13:18">
      <c r="M5618" s="133"/>
      <c r="N5618" s="134"/>
      <c r="O5618" s="134"/>
      <c r="P5618" s="97"/>
      <c r="Q5618" s="97"/>
      <c r="R5618" s="97"/>
    </row>
    <row r="5619" spans="13:18">
      <c r="M5619" s="133"/>
      <c r="N5619" s="134"/>
      <c r="O5619" s="134"/>
      <c r="P5619" s="97"/>
      <c r="Q5619" s="97"/>
      <c r="R5619" s="97"/>
    </row>
    <row r="5620" spans="13:18">
      <c r="M5620" s="133"/>
      <c r="N5620" s="134"/>
      <c r="O5620" s="134"/>
      <c r="P5620" s="97"/>
      <c r="Q5620" s="97"/>
      <c r="R5620" s="97"/>
    </row>
    <row r="5621" spans="13:18">
      <c r="M5621" s="133"/>
      <c r="N5621" s="134"/>
      <c r="O5621" s="134"/>
      <c r="P5621" s="97"/>
      <c r="Q5621" s="97"/>
      <c r="R5621" s="97"/>
    </row>
    <row r="5622" spans="13:18">
      <c r="M5622" s="133"/>
      <c r="N5622" s="134"/>
      <c r="O5622" s="134"/>
      <c r="P5622" s="97"/>
      <c r="Q5622" s="97"/>
      <c r="R5622" s="97"/>
    </row>
    <row r="5623" spans="13:18">
      <c r="M5623" s="133"/>
      <c r="N5623" s="134"/>
      <c r="O5623" s="134"/>
      <c r="P5623" s="97"/>
      <c r="Q5623" s="97"/>
      <c r="R5623" s="97"/>
    </row>
    <row r="5624" spans="13:18">
      <c r="M5624" s="133"/>
      <c r="N5624" s="134"/>
      <c r="O5624" s="134"/>
      <c r="P5624" s="97"/>
      <c r="Q5624" s="97"/>
      <c r="R5624" s="97"/>
    </row>
    <row r="5625" spans="13:18">
      <c r="M5625" s="133"/>
      <c r="N5625" s="134"/>
      <c r="O5625" s="134"/>
      <c r="P5625" s="97"/>
      <c r="Q5625" s="97"/>
      <c r="R5625" s="97"/>
    </row>
    <row r="5626" spans="13:18">
      <c r="M5626" s="133"/>
      <c r="N5626" s="134"/>
      <c r="O5626" s="134"/>
      <c r="P5626" s="97"/>
      <c r="Q5626" s="97"/>
      <c r="R5626" s="97"/>
    </row>
    <row r="5627" spans="13:18">
      <c r="M5627" s="133"/>
      <c r="N5627" s="134"/>
      <c r="O5627" s="134"/>
      <c r="P5627" s="97"/>
      <c r="Q5627" s="97"/>
      <c r="R5627" s="97"/>
    </row>
    <row r="5628" spans="13:18">
      <c r="M5628" s="133"/>
      <c r="N5628" s="134"/>
      <c r="O5628" s="134"/>
      <c r="P5628" s="97"/>
      <c r="Q5628" s="97"/>
      <c r="R5628" s="97"/>
    </row>
    <row r="5629" spans="13:18">
      <c r="M5629" s="133"/>
      <c r="N5629" s="134"/>
      <c r="O5629" s="134"/>
      <c r="P5629" s="97"/>
      <c r="Q5629" s="97"/>
      <c r="R5629" s="97"/>
    </row>
    <row r="5630" spans="13:18">
      <c r="M5630" s="133"/>
      <c r="N5630" s="134"/>
      <c r="O5630" s="134"/>
      <c r="P5630" s="97"/>
      <c r="Q5630" s="97"/>
      <c r="R5630" s="97"/>
    </row>
    <row r="5631" spans="13:18">
      <c r="M5631" s="133"/>
      <c r="N5631" s="134"/>
      <c r="O5631" s="134"/>
      <c r="P5631" s="97"/>
      <c r="Q5631" s="97"/>
      <c r="R5631" s="97"/>
    </row>
    <row r="5632" spans="13:18">
      <c r="M5632" s="133"/>
      <c r="N5632" s="134"/>
      <c r="O5632" s="134"/>
      <c r="P5632" s="97"/>
      <c r="Q5632" s="97"/>
      <c r="R5632" s="97"/>
    </row>
    <row r="5633" spans="13:18">
      <c r="M5633" s="133"/>
      <c r="N5633" s="134"/>
      <c r="O5633" s="134"/>
      <c r="P5633" s="97"/>
      <c r="Q5633" s="97"/>
      <c r="R5633" s="97"/>
    </row>
    <row r="5634" spans="13:18">
      <c r="M5634" s="133"/>
      <c r="N5634" s="134"/>
      <c r="O5634" s="134"/>
      <c r="P5634" s="97"/>
      <c r="Q5634" s="97"/>
      <c r="R5634" s="97"/>
    </row>
    <row r="5635" spans="13:18">
      <c r="M5635" s="133"/>
      <c r="N5635" s="134"/>
      <c r="O5635" s="134"/>
      <c r="P5635" s="97"/>
      <c r="Q5635" s="97"/>
      <c r="R5635" s="97"/>
    </row>
    <row r="5636" spans="13:18">
      <c r="M5636" s="133"/>
      <c r="N5636" s="134"/>
      <c r="O5636" s="134"/>
      <c r="P5636" s="97"/>
      <c r="Q5636" s="97"/>
      <c r="R5636" s="97"/>
    </row>
    <row r="5637" spans="13:18">
      <c r="M5637" s="133"/>
      <c r="N5637" s="134"/>
      <c r="O5637" s="134"/>
      <c r="P5637" s="97"/>
      <c r="Q5637" s="97"/>
      <c r="R5637" s="97"/>
    </row>
    <row r="5638" spans="13:18">
      <c r="M5638" s="133"/>
      <c r="N5638" s="134"/>
      <c r="O5638" s="134"/>
      <c r="P5638" s="97"/>
      <c r="Q5638" s="97"/>
      <c r="R5638" s="97"/>
    </row>
    <row r="5639" spans="13:18">
      <c r="M5639" s="133"/>
      <c r="N5639" s="134"/>
      <c r="O5639" s="134"/>
      <c r="P5639" s="97"/>
      <c r="Q5639" s="97"/>
      <c r="R5639" s="97"/>
    </row>
    <row r="5640" spans="13:18">
      <c r="M5640" s="133"/>
      <c r="N5640" s="134"/>
      <c r="O5640" s="134"/>
      <c r="P5640" s="97"/>
      <c r="Q5640" s="97"/>
      <c r="R5640" s="97"/>
    </row>
    <row r="5641" spans="13:18">
      <c r="M5641" s="133"/>
      <c r="N5641" s="134"/>
      <c r="O5641" s="134"/>
      <c r="P5641" s="97"/>
      <c r="Q5641" s="97"/>
      <c r="R5641" s="97"/>
    </row>
    <row r="5642" spans="13:18">
      <c r="M5642" s="133"/>
      <c r="N5642" s="134"/>
      <c r="O5642" s="134"/>
      <c r="P5642" s="97"/>
      <c r="Q5642" s="97"/>
      <c r="R5642" s="97"/>
    </row>
    <row r="5643" spans="13:18">
      <c r="M5643" s="133"/>
      <c r="N5643" s="134"/>
      <c r="O5643" s="134"/>
      <c r="P5643" s="97"/>
      <c r="Q5643" s="97"/>
      <c r="R5643" s="97"/>
    </row>
    <row r="5644" spans="13:18">
      <c r="M5644" s="133"/>
      <c r="N5644" s="134"/>
      <c r="O5644" s="134"/>
      <c r="P5644" s="97"/>
      <c r="Q5644" s="97"/>
      <c r="R5644" s="97"/>
    </row>
    <row r="5645" spans="13:18">
      <c r="M5645" s="133"/>
      <c r="N5645" s="134"/>
      <c r="O5645" s="134"/>
      <c r="P5645" s="97"/>
      <c r="Q5645" s="97"/>
      <c r="R5645" s="97"/>
    </row>
    <row r="5646" spans="13:18">
      <c r="M5646" s="133"/>
      <c r="N5646" s="134"/>
      <c r="O5646" s="134"/>
      <c r="P5646" s="97"/>
      <c r="Q5646" s="97"/>
      <c r="R5646" s="97"/>
    </row>
    <row r="5647" spans="13:18">
      <c r="M5647" s="133"/>
      <c r="N5647" s="134"/>
      <c r="O5647" s="134"/>
      <c r="P5647" s="97"/>
      <c r="Q5647" s="97"/>
      <c r="R5647" s="97"/>
    </row>
    <row r="5648" spans="13:18">
      <c r="M5648" s="133"/>
      <c r="N5648" s="134"/>
      <c r="O5648" s="134"/>
      <c r="P5648" s="97"/>
      <c r="Q5648" s="97"/>
      <c r="R5648" s="97"/>
    </row>
    <row r="5649" spans="13:18">
      <c r="M5649" s="133"/>
      <c r="N5649" s="134"/>
      <c r="O5649" s="134"/>
      <c r="P5649" s="97"/>
      <c r="Q5649" s="97"/>
      <c r="R5649" s="97"/>
    </row>
    <row r="5650" spans="13:18">
      <c r="M5650" s="133"/>
      <c r="N5650" s="134"/>
      <c r="O5650" s="134"/>
      <c r="P5650" s="97"/>
      <c r="Q5650" s="97"/>
      <c r="R5650" s="97"/>
    </row>
    <row r="5651" spans="13:18">
      <c r="M5651" s="133"/>
      <c r="N5651" s="134"/>
      <c r="O5651" s="134"/>
      <c r="P5651" s="97"/>
      <c r="Q5651" s="97"/>
      <c r="R5651" s="97"/>
    </row>
    <row r="5652" spans="13:18">
      <c r="M5652" s="133"/>
      <c r="N5652" s="134"/>
      <c r="O5652" s="134"/>
      <c r="P5652" s="97"/>
      <c r="Q5652" s="97"/>
      <c r="R5652" s="97"/>
    </row>
    <row r="5653" spans="13:18">
      <c r="M5653" s="133"/>
      <c r="N5653" s="134"/>
      <c r="O5653" s="134"/>
      <c r="P5653" s="97"/>
      <c r="Q5653" s="97"/>
      <c r="R5653" s="97"/>
    </row>
    <row r="5654" spans="13:18">
      <c r="M5654" s="133"/>
      <c r="N5654" s="134"/>
      <c r="O5654" s="134"/>
      <c r="P5654" s="97"/>
      <c r="Q5654" s="97"/>
      <c r="R5654" s="97"/>
    </row>
    <row r="5655" spans="13:18">
      <c r="M5655" s="133"/>
      <c r="N5655" s="134"/>
      <c r="O5655" s="134"/>
      <c r="P5655" s="97"/>
      <c r="Q5655" s="97"/>
      <c r="R5655" s="97"/>
    </row>
    <row r="5656" spans="13:18">
      <c r="M5656" s="133"/>
      <c r="N5656" s="134"/>
      <c r="O5656" s="134"/>
      <c r="P5656" s="97"/>
      <c r="Q5656" s="97"/>
      <c r="R5656" s="97"/>
    </row>
    <row r="5657" spans="13:18">
      <c r="M5657" s="133"/>
      <c r="N5657" s="134"/>
      <c r="O5657" s="134"/>
      <c r="P5657" s="97"/>
      <c r="Q5657" s="97"/>
      <c r="R5657" s="97"/>
    </row>
    <row r="5658" spans="13:18">
      <c r="M5658" s="133"/>
      <c r="N5658" s="134"/>
      <c r="O5658" s="134"/>
      <c r="P5658" s="97"/>
      <c r="Q5658" s="97"/>
      <c r="R5658" s="97"/>
    </row>
    <row r="5659" spans="13:18">
      <c r="M5659" s="133"/>
      <c r="N5659" s="134"/>
      <c r="O5659" s="134"/>
      <c r="P5659" s="97"/>
      <c r="Q5659" s="97"/>
      <c r="R5659" s="97"/>
    </row>
    <row r="5660" spans="13:18">
      <c r="M5660" s="133"/>
      <c r="N5660" s="134"/>
      <c r="O5660" s="134"/>
      <c r="P5660" s="97"/>
      <c r="Q5660" s="97"/>
      <c r="R5660" s="97"/>
    </row>
    <row r="5661" spans="13:18">
      <c r="M5661" s="133"/>
      <c r="N5661" s="134"/>
      <c r="O5661" s="134"/>
      <c r="P5661" s="97"/>
      <c r="Q5661" s="97"/>
      <c r="R5661" s="97"/>
    </row>
    <row r="5662" spans="13:18">
      <c r="M5662" s="133"/>
      <c r="N5662" s="134"/>
      <c r="O5662" s="134"/>
      <c r="P5662" s="97"/>
      <c r="Q5662" s="97"/>
      <c r="R5662" s="97"/>
    </row>
    <row r="5663" spans="13:18">
      <c r="M5663" s="133"/>
      <c r="N5663" s="134"/>
      <c r="O5663" s="134"/>
      <c r="P5663" s="97"/>
      <c r="Q5663" s="97"/>
      <c r="R5663" s="97"/>
    </row>
    <row r="5664" spans="13:18">
      <c r="M5664" s="133"/>
      <c r="N5664" s="134"/>
      <c r="O5664" s="134"/>
      <c r="P5664" s="97"/>
      <c r="Q5664" s="97"/>
      <c r="R5664" s="97"/>
    </row>
    <row r="5665" spans="13:18">
      <c r="M5665" s="133"/>
      <c r="N5665" s="134"/>
      <c r="O5665" s="134"/>
      <c r="P5665" s="97"/>
      <c r="Q5665" s="97"/>
      <c r="R5665" s="97"/>
    </row>
    <row r="5666" spans="13:18">
      <c r="M5666" s="133"/>
      <c r="N5666" s="134"/>
      <c r="O5666" s="134"/>
      <c r="P5666" s="97"/>
      <c r="Q5666" s="97"/>
      <c r="R5666" s="97"/>
    </row>
    <row r="5667" spans="13:18">
      <c r="M5667" s="133"/>
      <c r="N5667" s="134"/>
      <c r="O5667" s="134"/>
      <c r="P5667" s="97"/>
      <c r="Q5667" s="97"/>
      <c r="R5667" s="97"/>
    </row>
    <row r="5668" spans="13:18">
      <c r="M5668" s="133"/>
      <c r="N5668" s="134"/>
      <c r="O5668" s="134"/>
      <c r="P5668" s="97"/>
      <c r="Q5668" s="97"/>
      <c r="R5668" s="97"/>
    </row>
    <row r="5669" spans="13:18">
      <c r="M5669" s="133"/>
      <c r="N5669" s="134"/>
      <c r="O5669" s="134"/>
      <c r="P5669" s="97"/>
      <c r="Q5669" s="97"/>
      <c r="R5669" s="97"/>
    </row>
    <row r="5670" spans="13:18">
      <c r="M5670" s="133"/>
      <c r="N5670" s="134"/>
      <c r="O5670" s="134"/>
      <c r="P5670" s="97"/>
      <c r="Q5670" s="97"/>
      <c r="R5670" s="97"/>
    </row>
    <row r="5671" spans="13:18">
      <c r="M5671" s="133"/>
      <c r="N5671" s="134"/>
      <c r="O5671" s="134"/>
      <c r="P5671" s="97"/>
      <c r="Q5671" s="97"/>
      <c r="R5671" s="97"/>
    </row>
    <row r="5672" spans="13:18">
      <c r="M5672" s="133"/>
      <c r="N5672" s="134"/>
      <c r="O5672" s="134"/>
      <c r="P5672" s="97"/>
      <c r="Q5672" s="97"/>
      <c r="R5672" s="97"/>
    </row>
    <row r="5673" spans="13:18">
      <c r="M5673" s="133"/>
      <c r="N5673" s="134"/>
      <c r="O5673" s="134"/>
      <c r="P5673" s="97"/>
      <c r="Q5673" s="97"/>
      <c r="R5673" s="97"/>
    </row>
    <row r="5674" spans="13:18">
      <c r="M5674" s="133"/>
      <c r="N5674" s="134"/>
      <c r="O5674" s="134"/>
      <c r="P5674" s="97"/>
      <c r="Q5674" s="97"/>
      <c r="R5674" s="97"/>
    </row>
    <row r="5675" spans="13:18">
      <c r="M5675" s="133"/>
      <c r="N5675" s="134"/>
      <c r="O5675" s="134"/>
      <c r="P5675" s="97"/>
      <c r="Q5675" s="97"/>
      <c r="R5675" s="97"/>
    </row>
    <row r="5676" spans="13:18">
      <c r="M5676" s="133"/>
      <c r="N5676" s="134"/>
      <c r="O5676" s="134"/>
      <c r="P5676" s="97"/>
      <c r="Q5676" s="97"/>
      <c r="R5676" s="97"/>
    </row>
    <row r="5677" spans="13:18">
      <c r="M5677" s="133"/>
      <c r="N5677" s="134"/>
      <c r="O5677" s="134"/>
      <c r="P5677" s="97"/>
      <c r="Q5677" s="97"/>
      <c r="R5677" s="97"/>
    </row>
    <row r="5678" spans="13:18">
      <c r="M5678" s="133"/>
      <c r="N5678" s="134"/>
      <c r="O5678" s="134"/>
      <c r="P5678" s="97"/>
      <c r="Q5678" s="97"/>
      <c r="R5678" s="97"/>
    </row>
    <row r="5679" spans="13:18">
      <c r="M5679" s="133"/>
      <c r="N5679" s="134"/>
      <c r="O5679" s="134"/>
      <c r="P5679" s="97"/>
      <c r="Q5679" s="97"/>
      <c r="R5679" s="97"/>
    </row>
    <row r="5680" spans="13:18">
      <c r="M5680" s="133"/>
      <c r="N5680" s="134"/>
      <c r="O5680" s="134"/>
      <c r="P5680" s="97"/>
      <c r="Q5680" s="97"/>
      <c r="R5680" s="97"/>
    </row>
    <row r="5681" spans="13:18">
      <c r="M5681" s="133"/>
      <c r="N5681" s="134"/>
      <c r="O5681" s="134"/>
      <c r="P5681" s="97"/>
      <c r="Q5681" s="97"/>
      <c r="R5681" s="97"/>
    </row>
    <row r="5682" spans="13:18">
      <c r="M5682" s="133"/>
      <c r="N5682" s="134"/>
      <c r="O5682" s="134"/>
      <c r="P5682" s="97"/>
      <c r="Q5682" s="97"/>
      <c r="R5682" s="97"/>
    </row>
    <row r="5683" spans="13:18">
      <c r="M5683" s="133"/>
      <c r="N5683" s="134"/>
      <c r="O5683" s="134"/>
      <c r="P5683" s="97"/>
      <c r="Q5683" s="97"/>
      <c r="R5683" s="97"/>
    </row>
    <row r="5684" spans="13:18">
      <c r="M5684" s="133"/>
      <c r="N5684" s="134"/>
      <c r="O5684" s="134"/>
      <c r="P5684" s="97"/>
      <c r="Q5684" s="97"/>
      <c r="R5684" s="97"/>
    </row>
    <row r="5685" spans="13:18">
      <c r="M5685" s="133"/>
      <c r="N5685" s="134"/>
      <c r="O5685" s="134"/>
      <c r="P5685" s="97"/>
      <c r="Q5685" s="97"/>
      <c r="R5685" s="97"/>
    </row>
    <row r="5686" spans="13:18">
      <c r="M5686" s="133"/>
      <c r="N5686" s="134"/>
      <c r="O5686" s="134"/>
      <c r="P5686" s="97"/>
      <c r="Q5686" s="97"/>
      <c r="R5686" s="97"/>
    </row>
    <row r="5687" spans="13:18">
      <c r="M5687" s="133"/>
      <c r="N5687" s="134"/>
      <c r="O5687" s="134"/>
      <c r="P5687" s="97"/>
      <c r="Q5687" s="97"/>
      <c r="R5687" s="97"/>
    </row>
    <row r="5688" spans="13:18">
      <c r="M5688" s="133"/>
      <c r="N5688" s="134"/>
      <c r="O5688" s="134"/>
      <c r="P5688" s="97"/>
      <c r="Q5688" s="97"/>
      <c r="R5688" s="97"/>
    </row>
    <row r="5689" spans="13:18">
      <c r="M5689" s="133"/>
      <c r="N5689" s="134"/>
      <c r="O5689" s="134"/>
      <c r="P5689" s="97"/>
      <c r="Q5689" s="97"/>
      <c r="R5689" s="97"/>
    </row>
    <row r="5690" spans="13:18">
      <c r="M5690" s="133"/>
      <c r="N5690" s="134"/>
      <c r="O5690" s="134"/>
      <c r="P5690" s="97"/>
      <c r="Q5690" s="97"/>
      <c r="R5690" s="97"/>
    </row>
    <row r="5691" spans="13:18">
      <c r="M5691" s="133"/>
      <c r="N5691" s="134"/>
      <c r="O5691" s="134"/>
      <c r="P5691" s="97"/>
      <c r="Q5691" s="97"/>
      <c r="R5691" s="97"/>
    </row>
    <row r="5692" spans="13:18">
      <c r="M5692" s="133"/>
      <c r="N5692" s="134"/>
      <c r="O5692" s="134"/>
      <c r="P5692" s="97"/>
      <c r="Q5692" s="97"/>
      <c r="R5692" s="97"/>
    </row>
    <row r="5693" spans="13:18">
      <c r="M5693" s="133"/>
      <c r="N5693" s="134"/>
      <c r="O5693" s="134"/>
      <c r="P5693" s="97"/>
      <c r="Q5693" s="97"/>
      <c r="R5693" s="97"/>
    </row>
    <row r="5694" spans="13:18">
      <c r="M5694" s="133"/>
      <c r="N5694" s="134"/>
      <c r="O5694" s="134"/>
      <c r="P5694" s="97"/>
      <c r="Q5694" s="97"/>
      <c r="R5694" s="97"/>
    </row>
    <row r="5695" spans="13:18">
      <c r="M5695" s="133"/>
      <c r="N5695" s="134"/>
      <c r="O5695" s="134"/>
      <c r="P5695" s="97"/>
      <c r="Q5695" s="97"/>
      <c r="R5695" s="97"/>
    </row>
    <row r="5696" spans="13:18">
      <c r="M5696" s="133"/>
      <c r="N5696" s="134"/>
      <c r="O5696" s="134"/>
      <c r="P5696" s="97"/>
      <c r="Q5696" s="97"/>
      <c r="R5696" s="97"/>
    </row>
    <row r="5697" spans="13:18">
      <c r="M5697" s="133"/>
      <c r="N5697" s="134"/>
      <c r="O5697" s="134"/>
      <c r="P5697" s="97"/>
      <c r="Q5697" s="97"/>
      <c r="R5697" s="97"/>
    </row>
    <row r="5698" spans="13:18">
      <c r="M5698" s="133"/>
      <c r="N5698" s="134"/>
      <c r="O5698" s="134"/>
      <c r="P5698" s="97"/>
      <c r="Q5698" s="97"/>
      <c r="R5698" s="97"/>
    </row>
    <row r="5699" spans="13:18">
      <c r="M5699" s="133"/>
      <c r="N5699" s="134"/>
      <c r="O5699" s="134"/>
      <c r="P5699" s="97"/>
      <c r="Q5699" s="97"/>
      <c r="R5699" s="97"/>
    </row>
    <row r="5700" spans="13:18">
      <c r="M5700" s="133"/>
      <c r="N5700" s="134"/>
      <c r="O5700" s="134"/>
      <c r="P5700" s="97"/>
      <c r="Q5700" s="97"/>
      <c r="R5700" s="97"/>
    </row>
    <row r="5701" spans="13:18">
      <c r="M5701" s="133"/>
      <c r="N5701" s="134"/>
      <c r="O5701" s="134"/>
      <c r="P5701" s="97"/>
      <c r="Q5701" s="97"/>
      <c r="R5701" s="97"/>
    </row>
    <row r="5702" spans="13:18">
      <c r="M5702" s="133"/>
      <c r="N5702" s="134"/>
      <c r="O5702" s="134"/>
      <c r="P5702" s="97"/>
      <c r="Q5702" s="97"/>
      <c r="R5702" s="97"/>
    </row>
    <row r="5703" spans="13:18">
      <c r="M5703" s="133"/>
      <c r="N5703" s="134"/>
      <c r="O5703" s="134"/>
      <c r="P5703" s="97"/>
      <c r="Q5703" s="97"/>
      <c r="R5703" s="97"/>
    </row>
    <row r="5704" spans="13:18">
      <c r="M5704" s="133"/>
      <c r="N5704" s="134"/>
      <c r="O5704" s="134"/>
      <c r="P5704" s="97"/>
      <c r="Q5704" s="97"/>
      <c r="R5704" s="97"/>
    </row>
    <row r="5705" spans="13:18">
      <c r="M5705" s="133"/>
      <c r="N5705" s="134"/>
      <c r="O5705" s="134"/>
      <c r="P5705" s="97"/>
      <c r="Q5705" s="97"/>
      <c r="R5705" s="97"/>
    </row>
    <row r="5706" spans="13:18">
      <c r="M5706" s="133"/>
      <c r="N5706" s="134"/>
      <c r="O5706" s="134"/>
      <c r="P5706" s="97"/>
      <c r="Q5706" s="97"/>
      <c r="R5706" s="97"/>
    </row>
    <row r="5707" spans="13:18">
      <c r="M5707" s="133"/>
      <c r="N5707" s="134"/>
      <c r="O5707" s="134"/>
      <c r="P5707" s="97"/>
      <c r="Q5707" s="97"/>
      <c r="R5707" s="97"/>
    </row>
    <row r="5708" spans="13:18">
      <c r="M5708" s="133"/>
      <c r="N5708" s="134"/>
      <c r="O5708" s="134"/>
      <c r="P5708" s="97"/>
      <c r="Q5708" s="97"/>
      <c r="R5708" s="97"/>
    </row>
    <row r="5709" spans="13:18">
      <c r="M5709" s="133"/>
      <c r="N5709" s="134"/>
      <c r="O5709" s="134"/>
      <c r="P5709" s="97"/>
      <c r="Q5709" s="97"/>
      <c r="R5709" s="97"/>
    </row>
    <row r="5710" spans="13:18">
      <c r="M5710" s="133"/>
      <c r="N5710" s="134"/>
      <c r="O5710" s="134"/>
      <c r="P5710" s="97"/>
      <c r="Q5710" s="97"/>
      <c r="R5710" s="97"/>
    </row>
    <row r="5711" spans="13:18">
      <c r="M5711" s="133"/>
      <c r="N5711" s="134"/>
      <c r="O5711" s="134"/>
      <c r="P5711" s="97"/>
      <c r="Q5711" s="97"/>
      <c r="R5711" s="97"/>
    </row>
    <row r="5712" spans="13:18">
      <c r="M5712" s="133"/>
      <c r="N5712" s="134"/>
      <c r="O5712" s="134"/>
      <c r="P5712" s="97"/>
      <c r="Q5712" s="97"/>
      <c r="R5712" s="97"/>
    </row>
    <row r="5713" spans="13:18">
      <c r="M5713" s="133"/>
      <c r="N5713" s="134"/>
      <c r="O5713" s="134"/>
      <c r="P5713" s="97"/>
      <c r="Q5713" s="97"/>
      <c r="R5713" s="97"/>
    </row>
    <row r="5714" spans="13:18">
      <c r="M5714" s="133"/>
      <c r="N5714" s="134"/>
      <c r="O5714" s="134"/>
      <c r="P5714" s="97"/>
      <c r="Q5714" s="97"/>
      <c r="R5714" s="97"/>
    </row>
    <row r="5715" spans="13:18">
      <c r="M5715" s="133"/>
      <c r="N5715" s="134"/>
      <c r="O5715" s="134"/>
      <c r="P5715" s="97"/>
      <c r="Q5715" s="97"/>
      <c r="R5715" s="97"/>
    </row>
    <row r="5716" spans="13:18">
      <c r="M5716" s="133"/>
      <c r="N5716" s="134"/>
      <c r="O5716" s="134"/>
      <c r="P5716" s="97"/>
      <c r="Q5716" s="97"/>
      <c r="R5716" s="97"/>
    </row>
    <row r="5717" spans="13:18">
      <c r="M5717" s="133"/>
      <c r="N5717" s="134"/>
      <c r="O5717" s="134"/>
      <c r="P5717" s="97"/>
      <c r="Q5717" s="97"/>
      <c r="R5717" s="97"/>
    </row>
    <row r="5718" spans="13:18">
      <c r="M5718" s="133"/>
      <c r="N5718" s="134"/>
      <c r="O5718" s="134"/>
      <c r="P5718" s="97"/>
      <c r="Q5718" s="97"/>
      <c r="R5718" s="97"/>
    </row>
    <row r="5719" spans="13:18">
      <c r="M5719" s="133"/>
      <c r="N5719" s="134"/>
      <c r="O5719" s="134"/>
      <c r="P5719" s="97"/>
      <c r="Q5719" s="97"/>
      <c r="R5719" s="97"/>
    </row>
    <row r="5720" spans="13:18">
      <c r="M5720" s="133"/>
      <c r="N5720" s="134"/>
      <c r="O5720" s="134"/>
      <c r="P5720" s="97"/>
      <c r="Q5720" s="97"/>
      <c r="R5720" s="97"/>
    </row>
    <row r="5721" spans="13:18">
      <c r="M5721" s="133"/>
      <c r="N5721" s="134"/>
      <c r="O5721" s="134"/>
      <c r="P5721" s="97"/>
      <c r="Q5721" s="97"/>
      <c r="R5721" s="97"/>
    </row>
    <row r="5722" spans="13:18">
      <c r="M5722" s="133"/>
      <c r="N5722" s="134"/>
      <c r="O5722" s="134"/>
      <c r="P5722" s="97"/>
      <c r="Q5722" s="97"/>
      <c r="R5722" s="97"/>
    </row>
    <row r="5723" spans="13:18">
      <c r="M5723" s="133"/>
      <c r="N5723" s="134"/>
      <c r="O5723" s="134"/>
      <c r="P5723" s="97"/>
      <c r="Q5723" s="97"/>
      <c r="R5723" s="97"/>
    </row>
    <row r="5724" spans="13:18">
      <c r="M5724" s="133"/>
      <c r="N5724" s="134"/>
      <c r="O5724" s="134"/>
      <c r="P5724" s="97"/>
      <c r="Q5724" s="97"/>
      <c r="R5724" s="97"/>
    </row>
    <row r="5725" spans="13:18">
      <c r="M5725" s="133"/>
      <c r="N5725" s="134"/>
      <c r="O5725" s="134"/>
      <c r="P5725" s="97"/>
      <c r="Q5725" s="97"/>
      <c r="R5725" s="97"/>
    </row>
    <row r="5726" spans="13:18">
      <c r="M5726" s="133"/>
      <c r="N5726" s="134"/>
      <c r="O5726" s="134"/>
      <c r="P5726" s="97"/>
      <c r="Q5726" s="97"/>
      <c r="R5726" s="97"/>
    </row>
    <row r="5727" spans="13:18">
      <c r="M5727" s="133"/>
      <c r="N5727" s="134"/>
      <c r="O5727" s="134"/>
      <c r="P5727" s="97"/>
      <c r="Q5727" s="97"/>
      <c r="R5727" s="97"/>
    </row>
    <row r="5728" spans="13:18">
      <c r="M5728" s="133"/>
      <c r="N5728" s="134"/>
      <c r="O5728" s="134"/>
      <c r="P5728" s="97"/>
      <c r="Q5728" s="97"/>
      <c r="R5728" s="97"/>
    </row>
    <row r="5729" spans="13:18">
      <c r="M5729" s="133"/>
      <c r="N5729" s="134"/>
      <c r="O5729" s="134"/>
      <c r="P5729" s="97"/>
      <c r="Q5729" s="97"/>
      <c r="R5729" s="97"/>
    </row>
    <row r="5730" spans="13:18">
      <c r="M5730" s="133"/>
      <c r="N5730" s="134"/>
      <c r="O5730" s="134"/>
      <c r="P5730" s="97"/>
      <c r="Q5730" s="97"/>
      <c r="R5730" s="97"/>
    </row>
    <row r="5731" spans="13:18">
      <c r="M5731" s="133"/>
      <c r="N5731" s="134"/>
      <c r="O5731" s="134"/>
      <c r="P5731" s="97"/>
      <c r="Q5731" s="97"/>
      <c r="R5731" s="97"/>
    </row>
    <row r="5732" spans="13:18">
      <c r="M5732" s="133"/>
      <c r="N5732" s="134"/>
      <c r="O5732" s="134"/>
      <c r="P5732" s="97"/>
      <c r="Q5732" s="97"/>
      <c r="R5732" s="97"/>
    </row>
    <row r="5733" spans="13:18">
      <c r="M5733" s="133"/>
      <c r="N5733" s="134"/>
      <c r="O5733" s="134"/>
      <c r="P5733" s="97"/>
      <c r="Q5733" s="97"/>
      <c r="R5733" s="97"/>
    </row>
    <row r="5734" spans="13:18">
      <c r="M5734" s="133"/>
      <c r="N5734" s="134"/>
      <c r="O5734" s="134"/>
      <c r="P5734" s="97"/>
      <c r="Q5734" s="97"/>
      <c r="R5734" s="97"/>
    </row>
    <row r="5735" spans="13:18">
      <c r="M5735" s="133"/>
      <c r="N5735" s="134"/>
      <c r="O5735" s="134"/>
      <c r="P5735" s="97"/>
      <c r="Q5735" s="97"/>
      <c r="R5735" s="97"/>
    </row>
    <row r="5736" spans="13:18">
      <c r="M5736" s="133"/>
      <c r="N5736" s="134"/>
      <c r="O5736" s="134"/>
      <c r="P5736" s="97"/>
      <c r="Q5736" s="97"/>
      <c r="R5736" s="97"/>
    </row>
    <row r="5737" spans="13:18">
      <c r="M5737" s="133"/>
      <c r="N5737" s="134"/>
      <c r="O5737" s="134"/>
      <c r="P5737" s="97"/>
      <c r="Q5737" s="97"/>
      <c r="R5737" s="97"/>
    </row>
    <row r="5738" spans="13:18">
      <c r="M5738" s="133"/>
      <c r="N5738" s="134"/>
      <c r="O5738" s="134"/>
      <c r="P5738" s="97"/>
      <c r="Q5738" s="97"/>
      <c r="R5738" s="97"/>
    </row>
    <row r="5739" spans="13:18">
      <c r="M5739" s="133"/>
      <c r="N5739" s="134"/>
      <c r="O5739" s="134"/>
      <c r="P5739" s="97"/>
      <c r="Q5739" s="97"/>
      <c r="R5739" s="97"/>
    </row>
    <row r="5740" spans="13:18">
      <c r="M5740" s="133"/>
      <c r="N5740" s="134"/>
      <c r="O5740" s="134"/>
      <c r="P5740" s="97"/>
      <c r="Q5740" s="97"/>
      <c r="R5740" s="97"/>
    </row>
    <row r="5741" spans="13:18">
      <c r="M5741" s="133"/>
      <c r="N5741" s="134"/>
      <c r="O5741" s="134"/>
      <c r="P5741" s="97"/>
      <c r="Q5741" s="97"/>
      <c r="R5741" s="97"/>
    </row>
    <row r="5742" spans="13:18">
      <c r="M5742" s="133"/>
      <c r="N5742" s="134"/>
      <c r="O5742" s="134"/>
      <c r="P5742" s="97"/>
      <c r="Q5742" s="97"/>
      <c r="R5742" s="97"/>
    </row>
    <row r="5743" spans="13:18">
      <c r="M5743" s="133"/>
      <c r="N5743" s="134"/>
      <c r="O5743" s="134"/>
      <c r="P5743" s="97"/>
      <c r="Q5743" s="97"/>
      <c r="R5743" s="97"/>
    </row>
    <row r="5744" spans="13:18">
      <c r="M5744" s="133"/>
      <c r="N5744" s="134"/>
      <c r="O5744" s="134"/>
      <c r="P5744" s="97"/>
      <c r="Q5744" s="97"/>
      <c r="R5744" s="97"/>
    </row>
    <row r="5745" spans="13:18">
      <c r="M5745" s="133"/>
      <c r="N5745" s="134"/>
      <c r="O5745" s="134"/>
      <c r="P5745" s="97"/>
      <c r="Q5745" s="97"/>
      <c r="R5745" s="97"/>
    </row>
    <row r="5746" spans="13:18">
      <c r="M5746" s="133"/>
      <c r="N5746" s="134"/>
      <c r="O5746" s="134"/>
      <c r="P5746" s="97"/>
      <c r="Q5746" s="97"/>
      <c r="R5746" s="97"/>
    </row>
    <row r="5747" spans="13:18">
      <c r="M5747" s="133"/>
      <c r="N5747" s="134"/>
      <c r="O5747" s="134"/>
      <c r="P5747" s="97"/>
      <c r="Q5747" s="97"/>
      <c r="R5747" s="97"/>
    </row>
    <row r="5748" spans="13:18">
      <c r="M5748" s="133"/>
      <c r="N5748" s="134"/>
      <c r="O5748" s="134"/>
      <c r="P5748" s="97"/>
      <c r="Q5748" s="97"/>
      <c r="R5748" s="97"/>
    </row>
    <row r="5749" spans="13:18">
      <c r="M5749" s="133"/>
      <c r="N5749" s="134"/>
      <c r="O5749" s="134"/>
      <c r="P5749" s="97"/>
      <c r="Q5749" s="97"/>
      <c r="R5749" s="97"/>
    </row>
    <row r="5750" spans="13:18">
      <c r="M5750" s="133"/>
      <c r="N5750" s="134"/>
      <c r="O5750" s="134"/>
      <c r="P5750" s="97"/>
      <c r="Q5750" s="97"/>
      <c r="R5750" s="97"/>
    </row>
    <row r="5751" spans="13:18">
      <c r="M5751" s="133"/>
      <c r="N5751" s="134"/>
      <c r="O5751" s="134"/>
      <c r="P5751" s="97"/>
      <c r="Q5751" s="97"/>
      <c r="R5751" s="97"/>
    </row>
    <row r="5752" spans="13:18">
      <c r="M5752" s="133"/>
      <c r="N5752" s="134"/>
      <c r="O5752" s="134"/>
      <c r="P5752" s="97"/>
      <c r="Q5752" s="97"/>
      <c r="R5752" s="97"/>
    </row>
    <row r="5753" spans="13:18">
      <c r="M5753" s="133"/>
      <c r="N5753" s="134"/>
      <c r="O5753" s="134"/>
      <c r="P5753" s="97"/>
      <c r="Q5753" s="97"/>
      <c r="R5753" s="97"/>
    </row>
    <row r="5754" spans="13:18">
      <c r="M5754" s="133"/>
      <c r="N5754" s="134"/>
      <c r="O5754" s="134"/>
      <c r="P5754" s="97"/>
      <c r="Q5754" s="97"/>
      <c r="R5754" s="97"/>
    </row>
    <row r="5755" spans="13:18">
      <c r="M5755" s="133"/>
      <c r="N5755" s="134"/>
      <c r="O5755" s="134"/>
      <c r="P5755" s="97"/>
      <c r="Q5755" s="97"/>
      <c r="R5755" s="97"/>
    </row>
    <row r="5756" spans="13:18">
      <c r="M5756" s="133"/>
      <c r="N5756" s="134"/>
      <c r="O5756" s="134"/>
      <c r="P5756" s="97"/>
      <c r="Q5756" s="97"/>
      <c r="R5756" s="97"/>
    </row>
    <row r="5757" spans="13:18">
      <c r="M5757" s="133"/>
      <c r="N5757" s="134"/>
      <c r="O5757" s="134"/>
      <c r="P5757" s="97"/>
      <c r="Q5757" s="97"/>
      <c r="R5757" s="97"/>
    </row>
    <row r="5758" spans="13:18">
      <c r="M5758" s="133"/>
      <c r="N5758" s="134"/>
      <c r="O5758" s="134"/>
      <c r="P5758" s="97"/>
      <c r="Q5758" s="97"/>
      <c r="R5758" s="97"/>
    </row>
    <row r="5759" spans="13:18">
      <c r="M5759" s="133"/>
      <c r="N5759" s="134"/>
      <c r="O5759" s="134"/>
      <c r="P5759" s="97"/>
      <c r="Q5759" s="97"/>
      <c r="R5759" s="97"/>
    </row>
    <row r="5760" spans="13:18">
      <c r="M5760" s="133"/>
      <c r="N5760" s="134"/>
      <c r="O5760" s="134"/>
      <c r="P5760" s="97"/>
      <c r="Q5760" s="97"/>
      <c r="R5760" s="97"/>
    </row>
    <row r="5761" spans="13:18">
      <c r="M5761" s="133"/>
      <c r="N5761" s="134"/>
      <c r="O5761" s="134"/>
      <c r="P5761" s="97"/>
      <c r="Q5761" s="97"/>
      <c r="R5761" s="97"/>
    </row>
    <row r="5762" spans="13:18">
      <c r="M5762" s="133"/>
      <c r="N5762" s="134"/>
      <c r="O5762" s="134"/>
      <c r="P5762" s="97"/>
      <c r="Q5762" s="97"/>
      <c r="R5762" s="97"/>
    </row>
    <row r="5763" spans="13:18">
      <c r="M5763" s="133"/>
      <c r="N5763" s="134"/>
      <c r="O5763" s="134"/>
      <c r="P5763" s="97"/>
      <c r="Q5763" s="97"/>
      <c r="R5763" s="97"/>
    </row>
    <row r="5764" spans="13:18">
      <c r="M5764" s="133"/>
      <c r="N5764" s="134"/>
      <c r="O5764" s="134"/>
      <c r="P5764" s="97"/>
      <c r="Q5764" s="97"/>
      <c r="R5764" s="97"/>
    </row>
    <row r="5765" spans="13:18">
      <c r="M5765" s="133"/>
      <c r="N5765" s="134"/>
      <c r="O5765" s="134"/>
      <c r="P5765" s="97"/>
      <c r="Q5765" s="97"/>
      <c r="R5765" s="97"/>
    </row>
    <row r="5766" spans="13:18">
      <c r="M5766" s="133"/>
      <c r="N5766" s="134"/>
      <c r="O5766" s="134"/>
      <c r="P5766" s="97"/>
      <c r="Q5766" s="97"/>
      <c r="R5766" s="97"/>
    </row>
    <row r="5767" spans="13:18">
      <c r="M5767" s="133"/>
      <c r="N5767" s="134"/>
      <c r="O5767" s="134"/>
      <c r="P5767" s="97"/>
      <c r="Q5767" s="97"/>
      <c r="R5767" s="97"/>
    </row>
    <row r="5768" spans="13:18">
      <c r="M5768" s="133"/>
      <c r="N5768" s="134"/>
      <c r="O5768" s="134"/>
      <c r="P5768" s="97"/>
      <c r="Q5768" s="97"/>
      <c r="R5768" s="97"/>
    </row>
    <row r="5769" spans="13:18">
      <c r="M5769" s="133"/>
      <c r="N5769" s="134"/>
      <c r="O5769" s="134"/>
      <c r="P5769" s="97"/>
      <c r="Q5769" s="97"/>
      <c r="R5769" s="97"/>
    </row>
    <row r="5770" spans="13:18">
      <c r="M5770" s="133"/>
      <c r="N5770" s="134"/>
      <c r="O5770" s="134"/>
      <c r="P5770" s="97"/>
      <c r="Q5770" s="97"/>
      <c r="R5770" s="97"/>
    </row>
    <row r="5771" spans="13:18">
      <c r="M5771" s="133"/>
      <c r="N5771" s="134"/>
      <c r="O5771" s="134"/>
      <c r="P5771" s="97"/>
      <c r="Q5771" s="97"/>
      <c r="R5771" s="97"/>
    </row>
    <row r="5772" spans="13:18">
      <c r="M5772" s="133"/>
      <c r="N5772" s="134"/>
      <c r="O5772" s="134"/>
      <c r="P5772" s="97"/>
      <c r="Q5772" s="97"/>
      <c r="R5772" s="97"/>
    </row>
    <row r="5773" spans="13:18">
      <c r="M5773" s="133"/>
      <c r="N5773" s="134"/>
      <c r="O5773" s="134"/>
      <c r="P5773" s="97"/>
      <c r="Q5773" s="97"/>
      <c r="R5773" s="97"/>
    </row>
    <row r="5774" spans="13:18">
      <c r="M5774" s="133"/>
      <c r="N5774" s="134"/>
      <c r="O5774" s="134"/>
      <c r="P5774" s="97"/>
      <c r="Q5774" s="97"/>
      <c r="R5774" s="97"/>
    </row>
    <row r="5775" spans="13:18">
      <c r="M5775" s="133"/>
      <c r="N5775" s="134"/>
      <c r="O5775" s="134"/>
      <c r="P5775" s="97"/>
      <c r="Q5775" s="97"/>
      <c r="R5775" s="97"/>
    </row>
    <row r="5776" spans="13:18">
      <c r="M5776" s="133"/>
      <c r="N5776" s="134"/>
      <c r="O5776" s="134"/>
      <c r="P5776" s="97"/>
      <c r="Q5776" s="97"/>
      <c r="R5776" s="97"/>
    </row>
    <row r="5777" spans="13:18">
      <c r="M5777" s="133"/>
      <c r="N5777" s="134"/>
      <c r="O5777" s="134"/>
      <c r="P5777" s="97"/>
      <c r="Q5777" s="97"/>
      <c r="R5777" s="97"/>
    </row>
    <row r="5778" spans="13:18">
      <c r="M5778" s="133"/>
      <c r="N5778" s="134"/>
      <c r="O5778" s="134"/>
      <c r="P5778" s="97"/>
      <c r="Q5778" s="97"/>
      <c r="R5778" s="97"/>
    </row>
    <row r="5779" spans="13:18">
      <c r="M5779" s="133"/>
      <c r="N5779" s="134"/>
      <c r="O5779" s="134"/>
      <c r="P5779" s="97"/>
      <c r="Q5779" s="97"/>
      <c r="R5779" s="97"/>
    </row>
    <row r="5780" spans="13:18">
      <c r="M5780" s="133"/>
      <c r="N5780" s="134"/>
      <c r="O5780" s="134"/>
      <c r="P5780" s="97"/>
      <c r="Q5780" s="97"/>
      <c r="R5780" s="97"/>
    </row>
    <row r="5781" spans="13:18">
      <c r="M5781" s="133"/>
      <c r="N5781" s="134"/>
      <c r="O5781" s="134"/>
      <c r="P5781" s="97"/>
      <c r="Q5781" s="97"/>
      <c r="R5781" s="97"/>
    </row>
  </sheetData>
  <dataConsolidate/>
  <mergeCells count="610">
    <mergeCell ref="L2:M3"/>
    <mergeCell ref="K2:K3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  <mergeCell ref="D577:E577"/>
    <mergeCell ref="D568:E568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B2:E2"/>
    <mergeCell ref="I10:J10"/>
    <mergeCell ref="K10:M10"/>
    <mergeCell ref="B12:B13"/>
    <mergeCell ref="I12:I13"/>
    <mergeCell ref="J12:J13"/>
    <mergeCell ref="M12:M13"/>
    <mergeCell ref="L12:L13"/>
    <mergeCell ref="K12:K13"/>
    <mergeCell ref="B3:E3"/>
    <mergeCell ref="K9:M9"/>
    <mergeCell ref="K5:M5"/>
    <mergeCell ref="K6:M6"/>
    <mergeCell ref="K7:M7"/>
    <mergeCell ref="K8:M8"/>
    <mergeCell ref="I5:J5"/>
    <mergeCell ref="I6:J6"/>
    <mergeCell ref="I7:J7"/>
    <mergeCell ref="I8:J8"/>
    <mergeCell ref="D5:E5"/>
    <mergeCell ref="D6:E6"/>
    <mergeCell ref="D7:E7"/>
    <mergeCell ref="D8:E8"/>
    <mergeCell ref="C12:C13"/>
  </mergeCells>
  <phoneticPr fontId="37" type="noConversion"/>
  <conditionalFormatting sqref="O200:O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N5" xr:uid="{00000000-0002-0000-0000-000001000000}">
      <formula1>SupervisorInm</formula1>
    </dataValidation>
  </dataValidations>
  <hyperlinks>
    <hyperlink ref="K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Tablas!$J$2:$J$3</xm:f>
          </x14:formula1>
          <xm:sqref>N8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W1003"/>
  <sheetViews>
    <sheetView showGridLines="0" topLeftCell="B1" zoomScaleNormal="100" workbookViewId="0">
      <selection activeCell="F3" sqref="F3"/>
    </sheetView>
  </sheetViews>
  <sheetFormatPr baseColWidth="10" defaultRowHeight="12"/>
  <cols>
    <col min="1" max="1" width="4.42578125" style="8" customWidth="1"/>
    <col min="2" max="2" width="31.5703125" style="8" customWidth="1"/>
    <col min="3" max="3" width="31.7109375" style="8" customWidth="1"/>
    <col min="4" max="4" width="3.42578125" style="8" customWidth="1"/>
    <col min="5" max="5" width="15.7109375" style="8" customWidth="1"/>
    <col min="6" max="6" width="21.28515625" style="8" customWidth="1"/>
    <col min="7" max="7" width="24.140625" style="8" bestFit="1" customWidth="1"/>
    <col min="8" max="8" width="14.42578125" style="8" customWidth="1"/>
    <col min="9" max="9" width="30.42578125" style="8" customWidth="1"/>
    <col min="10" max="10" width="30.140625" style="14" bestFit="1" customWidth="1"/>
    <col min="11" max="11" width="13.28515625" style="14" customWidth="1"/>
    <col min="12" max="12" width="23.140625" style="8" customWidth="1"/>
    <col min="13" max="13" width="18.28515625" style="8" customWidth="1"/>
    <col min="14" max="14" width="14" style="8" customWidth="1"/>
    <col min="15" max="15" width="7.42578125" style="8" customWidth="1"/>
    <col min="16" max="16" width="15" style="8" customWidth="1"/>
    <col min="17" max="17" width="13.5703125" style="8" customWidth="1"/>
    <col min="18" max="18" width="11.42578125" style="9"/>
    <col min="19" max="19" width="6.7109375" style="12" customWidth="1"/>
    <col min="20" max="20" width="5.5703125" style="10" customWidth="1"/>
    <col min="21" max="21" width="6.7109375" style="10" customWidth="1"/>
    <col min="22" max="22" width="11.42578125" style="10"/>
    <col min="23" max="23" width="7.5703125" style="8" customWidth="1"/>
    <col min="24" max="16384" width="11.42578125" style="8"/>
  </cols>
  <sheetData>
    <row r="1" spans="1:30" ht="12.75" thickBot="1">
      <c r="Q1" s="102"/>
      <c r="R1" s="116"/>
      <c r="S1" s="117"/>
      <c r="T1" s="101"/>
      <c r="U1" s="101"/>
      <c r="V1" s="101"/>
      <c r="W1" s="102"/>
      <c r="X1" s="102"/>
      <c r="Y1" s="102"/>
      <c r="Z1" s="102"/>
      <c r="AA1" s="102"/>
      <c r="AB1" s="102"/>
      <c r="AC1" s="102"/>
      <c r="AD1" s="102"/>
    </row>
    <row r="2" spans="1:30" s="17" customFormat="1" ht="15.75" thickTop="1">
      <c r="B2" s="122" t="s">
        <v>111</v>
      </c>
      <c r="C2" s="122" t="s">
        <v>110</v>
      </c>
      <c r="D2" s="121"/>
      <c r="E2" s="114" t="s">
        <v>77</v>
      </c>
      <c r="F2" s="18" t="str">
        <f>Formulario!D12</f>
        <v>NOMBRE</v>
      </c>
      <c r="G2" s="18" t="str">
        <f>Formulario!F12</f>
        <v>DESCRIPCIÓN</v>
      </c>
      <c r="H2" s="18" t="str">
        <f>Formulario!G12</f>
        <v>Cantidad</v>
      </c>
      <c r="I2" s="18" t="str">
        <f>Formulario!I12</f>
        <v>Marca</v>
      </c>
      <c r="J2" s="18" t="str">
        <f>Formulario!J12</f>
        <v>Tipo de Alimento</v>
      </c>
      <c r="K2" s="18" t="str">
        <f>Formulario!K12</f>
        <v>Tipo de Medición</v>
      </c>
      <c r="L2" s="18" t="str">
        <f>Formulario!L12</f>
        <v>Precio</v>
      </c>
      <c r="M2" s="115" t="str">
        <f>Formulario!M12</f>
        <v>Total</v>
      </c>
      <c r="N2" s="145" t="s">
        <v>114</v>
      </c>
      <c r="Q2" s="104"/>
      <c r="R2" s="104"/>
      <c r="S2" s="104"/>
      <c r="T2" s="103"/>
      <c r="U2" s="103"/>
      <c r="V2" s="103"/>
      <c r="W2" s="104"/>
      <c r="X2" s="104"/>
      <c r="Y2" s="104"/>
      <c r="Z2" s="104"/>
      <c r="AA2" s="104"/>
      <c r="AB2" s="104"/>
      <c r="AC2" s="104"/>
      <c r="AD2" s="104"/>
    </row>
    <row r="3" spans="1:30">
      <c r="B3" s="123"/>
      <c r="C3" s="127"/>
      <c r="D3" s="121"/>
      <c r="E3" s="129">
        <f>IF(F3="","",Formulario!B14)</f>
        <v>1</v>
      </c>
      <c r="F3" s="11" t="str">
        <f>TRIM(Formulario!D14)</f>
        <v>Hamburguesa</v>
      </c>
      <c r="G3" s="11" t="str">
        <f>TRIM(Formulario!F14)</f>
        <v>Hamburguesa 500g</v>
      </c>
      <c r="H3" s="146" t="str">
        <f>IF(N3="",TRIM(Formulario!G14),TRIM(Formulario!G14)*N3)</f>
        <v>40</v>
      </c>
      <c r="I3" s="107" t="str">
        <f>TRIM(Formulario!I14)</f>
        <v>Jumbo</v>
      </c>
      <c r="J3" s="11" t="str">
        <f>TRIM(Formulario!J14)</f>
        <v>Carnes</v>
      </c>
      <c r="K3" s="11" t="str">
        <f>TRIM(Formulario!K14)</f>
        <v>Unidad</v>
      </c>
      <c r="L3" s="107" t="str">
        <f>TRIM(Formulario!L14)</f>
        <v>200</v>
      </c>
      <c r="M3" s="107" t="str">
        <f>TRIM(Formulario!M14)</f>
        <v>8000</v>
      </c>
      <c r="N3" s="11" t="str">
        <f>TRIM(Formulario!H14)</f>
        <v/>
      </c>
      <c r="P3" s="17"/>
      <c r="Q3" s="104"/>
      <c r="R3" s="104"/>
      <c r="S3" s="117"/>
      <c r="T3" s="105"/>
      <c r="U3" s="105"/>
      <c r="V3" s="101"/>
      <c r="W3" s="102"/>
      <c r="X3" s="102"/>
      <c r="Y3" s="102"/>
      <c r="Z3" s="102"/>
      <c r="AA3" s="102"/>
      <c r="AB3" s="102"/>
      <c r="AC3" s="102"/>
      <c r="AD3" s="102"/>
    </row>
    <row r="4" spans="1:30" ht="12.75">
      <c r="B4" s="124" t="s">
        <v>108</v>
      </c>
      <c r="C4" s="125" t="str">
        <f>TRIM(Formulario!L2)</f>
        <v>12312</v>
      </c>
      <c r="D4" s="121"/>
      <c r="E4" s="129" t="str">
        <f>IF(F4="","",Formulario!B15)</f>
        <v/>
      </c>
      <c r="F4" s="11" t="str">
        <f>TRIM(Formulario!D15)</f>
        <v/>
      </c>
      <c r="G4" s="11" t="str">
        <f>TRIM(Formulario!F15)</f>
        <v/>
      </c>
      <c r="H4" s="146" t="str">
        <f>IF(N4="",TRIM(Formulario!G15),TRIM(Formulario!G15)*N4)</f>
        <v/>
      </c>
      <c r="I4" s="107" t="str">
        <f>TRIM(Formulario!I15)</f>
        <v/>
      </c>
      <c r="J4" s="11" t="str">
        <f>TRIM(Formulario!J15)</f>
        <v/>
      </c>
      <c r="K4" s="11" t="str">
        <f>TRIM(Formulario!K15)</f>
        <v/>
      </c>
      <c r="L4" s="107" t="str">
        <f>TRIM(Formulario!L15)</f>
        <v/>
      </c>
      <c r="M4" s="107" t="str">
        <f>TRIM(Formulario!M15)</f>
        <v>0</v>
      </c>
      <c r="N4" s="11" t="str">
        <f>TRIM(Formulario!H15)</f>
        <v/>
      </c>
      <c r="P4" s="17"/>
      <c r="Q4" s="104"/>
      <c r="R4" s="104"/>
      <c r="S4" s="117"/>
      <c r="T4" s="105"/>
      <c r="U4" s="105"/>
      <c r="V4" s="101"/>
      <c r="W4" s="102"/>
      <c r="X4" s="102"/>
      <c r="Y4" s="102"/>
      <c r="Z4" s="102"/>
      <c r="AA4" s="102"/>
      <c r="AB4" s="102"/>
      <c r="AC4" s="102"/>
      <c r="AD4" s="102"/>
    </row>
    <row r="5" spans="1:30" ht="12.75">
      <c r="B5" s="124" t="s">
        <v>84</v>
      </c>
      <c r="C5" s="125" t="str">
        <f>TRIM(Formulario!D$5)</f>
        <v>Distribuidora Santiago</v>
      </c>
      <c r="D5" s="121"/>
      <c r="E5" s="129" t="str">
        <f>IF(F5="","",Formulario!B16)</f>
        <v/>
      </c>
      <c r="F5" s="11" t="str">
        <f>TRIM(Formulario!D16)</f>
        <v/>
      </c>
      <c r="G5" s="11" t="str">
        <f>TRIM(Formulario!F16)</f>
        <v/>
      </c>
      <c r="H5" s="146" t="str">
        <f>IF(N5="",TRIM(Formulario!G16),TRIM(Formulario!G16)*N5)</f>
        <v/>
      </c>
      <c r="I5" s="107" t="str">
        <f>TRIM(Formulario!I16)</f>
        <v/>
      </c>
      <c r="J5" s="11" t="str">
        <f>TRIM(Formulario!J16)</f>
        <v/>
      </c>
      <c r="K5" s="11" t="str">
        <f>TRIM(Formulario!K16)</f>
        <v/>
      </c>
      <c r="L5" s="107" t="str">
        <f>TRIM(Formulario!L16)</f>
        <v/>
      </c>
      <c r="M5" s="107" t="str">
        <f>TRIM(Formulario!M16)</f>
        <v>0</v>
      </c>
      <c r="N5" s="11" t="str">
        <f>TRIM(Formulario!H16)</f>
        <v/>
      </c>
      <c r="P5" s="17"/>
      <c r="Q5" s="104"/>
      <c r="R5" s="104"/>
      <c r="S5" s="117"/>
      <c r="T5" s="105"/>
      <c r="U5" s="105"/>
      <c r="V5" s="101"/>
      <c r="W5" s="102"/>
      <c r="X5" s="102"/>
      <c r="Y5" s="102"/>
      <c r="Z5" s="102"/>
      <c r="AA5" s="102"/>
      <c r="AB5" s="102"/>
      <c r="AC5" s="102"/>
      <c r="AD5" s="102"/>
    </row>
    <row r="6" spans="1:30" ht="12.75">
      <c r="B6" s="124" t="s">
        <v>85</v>
      </c>
      <c r="C6" s="125" t="str">
        <f>TRIM(Formulario!D$6)</f>
        <v>Martínez de Rozas 3047</v>
      </c>
      <c r="D6" s="121"/>
      <c r="E6" s="129" t="str">
        <f>IF(F6="","",Formulario!B17)</f>
        <v/>
      </c>
      <c r="F6" s="11" t="str">
        <f>TRIM(Formulario!D17)</f>
        <v/>
      </c>
      <c r="G6" s="11" t="str">
        <f>TRIM(Formulario!F17)</f>
        <v/>
      </c>
      <c r="H6" s="146" t="str">
        <f>IF(N6="",TRIM(Formulario!G17),TRIM(Formulario!G17)*N6)</f>
        <v/>
      </c>
      <c r="I6" s="107" t="str">
        <f>TRIM(Formulario!I17)</f>
        <v/>
      </c>
      <c r="J6" s="11" t="str">
        <f>TRIM(Formulario!J17)</f>
        <v/>
      </c>
      <c r="K6" s="11" t="str">
        <f>TRIM(Formulario!K17)</f>
        <v/>
      </c>
      <c r="L6" s="107" t="str">
        <f>TRIM(Formulario!L17)</f>
        <v/>
      </c>
      <c r="M6" s="107" t="str">
        <f>TRIM(Formulario!M17)</f>
        <v>0</v>
      </c>
      <c r="N6" s="11" t="str">
        <f>TRIM(Formulario!H17)</f>
        <v/>
      </c>
      <c r="P6" s="17"/>
      <c r="Q6" s="104"/>
      <c r="R6" s="104"/>
      <c r="S6" s="117"/>
      <c r="T6" s="105"/>
      <c r="U6" s="105"/>
      <c r="V6" s="101"/>
      <c r="W6" s="102"/>
      <c r="X6" s="102"/>
      <c r="Y6" s="102"/>
      <c r="Z6" s="102"/>
      <c r="AA6" s="102"/>
      <c r="AB6" s="102"/>
      <c r="AC6" s="102"/>
      <c r="AD6" s="102"/>
    </row>
    <row r="7" spans="1:30" ht="12.75">
      <c r="B7" s="124" t="s">
        <v>88</v>
      </c>
      <c r="C7" s="125" t="str">
        <f>TRIM(Formulario!D$7)</f>
        <v>La Florida</v>
      </c>
      <c r="D7" s="121"/>
      <c r="E7" s="129" t="str">
        <f>IF(F7="","",Formulario!B18)</f>
        <v/>
      </c>
      <c r="F7" s="11" t="str">
        <f>TRIM(Formulario!D18)</f>
        <v/>
      </c>
      <c r="G7" s="11" t="str">
        <f>TRIM(Formulario!F18)</f>
        <v/>
      </c>
      <c r="H7" s="146" t="str">
        <f>IF(N7="",TRIM(Formulario!G18),TRIM(Formulario!G18)*N7)</f>
        <v/>
      </c>
      <c r="I7" s="107" t="str">
        <f>TRIM(Formulario!I18)</f>
        <v/>
      </c>
      <c r="J7" s="11" t="str">
        <f>TRIM(Formulario!J18)</f>
        <v/>
      </c>
      <c r="K7" s="11" t="str">
        <f>TRIM(Formulario!K18)</f>
        <v/>
      </c>
      <c r="L7" s="107" t="str">
        <f>TRIM(Formulario!L18)</f>
        <v/>
      </c>
      <c r="M7" s="107" t="str">
        <f>TRIM(Formulario!M18)</f>
        <v>0</v>
      </c>
      <c r="N7" s="11" t="str">
        <f>TRIM(Formulario!H18)</f>
        <v/>
      </c>
      <c r="P7" s="17"/>
      <c r="Q7" s="104"/>
      <c r="R7" s="104"/>
      <c r="S7" s="117"/>
      <c r="T7" s="105"/>
      <c r="U7" s="105"/>
      <c r="V7" s="101"/>
      <c r="W7" s="102"/>
      <c r="X7" s="102"/>
      <c r="Y7" s="102"/>
      <c r="Z7" s="102"/>
      <c r="AA7" s="102"/>
      <c r="AB7" s="102"/>
      <c r="AC7" s="102"/>
      <c r="AD7" s="102"/>
    </row>
    <row r="8" spans="1:30" ht="12.75">
      <c r="B8" s="124" t="s">
        <v>0</v>
      </c>
      <c r="C8" s="125" t="str">
        <f>TRIM(Formulario!D$8)</f>
        <v>7923647824</v>
      </c>
      <c r="D8" s="121"/>
      <c r="E8" s="129" t="str">
        <f>IF(F8="","",Formulario!B19)</f>
        <v/>
      </c>
      <c r="F8" s="11" t="str">
        <f>TRIM(Formulario!D19)</f>
        <v/>
      </c>
      <c r="G8" s="11" t="str">
        <f>TRIM(Formulario!F19)</f>
        <v/>
      </c>
      <c r="H8" s="146" t="str">
        <f>IF(N8="",TRIM(Formulario!G19),TRIM(Formulario!G19)*N8)</f>
        <v/>
      </c>
      <c r="I8" s="107" t="str">
        <f>TRIM(Formulario!I19)</f>
        <v/>
      </c>
      <c r="J8" s="11" t="str">
        <f>TRIM(Formulario!J19)</f>
        <v/>
      </c>
      <c r="K8" s="11" t="str">
        <f>TRIM(Formulario!K19)</f>
        <v/>
      </c>
      <c r="L8" s="107" t="str">
        <f>TRIM(Formulario!L19)</f>
        <v/>
      </c>
      <c r="M8" s="107" t="str">
        <f>TRIM(Formulario!M19)</f>
        <v>0</v>
      </c>
      <c r="N8" s="11" t="str">
        <f>TRIM(Formulario!H19)</f>
        <v/>
      </c>
      <c r="P8" s="17"/>
      <c r="Q8" s="104"/>
      <c r="R8" s="104"/>
      <c r="S8" s="117"/>
      <c r="T8" s="105"/>
      <c r="U8" s="105"/>
      <c r="V8" s="101"/>
      <c r="W8" s="102"/>
      <c r="X8" s="102"/>
      <c r="Y8" s="102"/>
      <c r="Z8" s="102"/>
      <c r="AA8" s="102"/>
      <c r="AB8" s="102"/>
      <c r="AC8" s="102"/>
      <c r="AD8" s="102"/>
    </row>
    <row r="9" spans="1:30" ht="12.75">
      <c r="A9" s="8" t="str">
        <f>IF(L9="","",Formulario!B20)</f>
        <v/>
      </c>
      <c r="B9" s="124" t="s">
        <v>87</v>
      </c>
      <c r="C9" s="126" t="str">
        <f>TRIM(Formulario!K$5)</f>
        <v>182.143.768-2</v>
      </c>
      <c r="D9" s="121"/>
      <c r="E9" s="129" t="str">
        <f>IF(F9="","",Formulario!B20)</f>
        <v/>
      </c>
      <c r="F9" s="11" t="str">
        <f>TRIM(Formulario!D20)</f>
        <v/>
      </c>
      <c r="G9" s="11" t="str">
        <f>TRIM(Formulario!F20)</f>
        <v/>
      </c>
      <c r="H9" s="146" t="str">
        <f>IF(N9="",TRIM(Formulario!G20),TRIM(Formulario!G20)*N9)</f>
        <v/>
      </c>
      <c r="I9" s="107" t="str">
        <f>TRIM(Formulario!I20)</f>
        <v/>
      </c>
      <c r="J9" s="11" t="str">
        <f>TRIM(Formulario!J20)</f>
        <v/>
      </c>
      <c r="K9" s="11" t="str">
        <f>TRIM(Formulario!K20)</f>
        <v/>
      </c>
      <c r="L9" s="107" t="str">
        <f>TRIM(Formulario!L20)</f>
        <v/>
      </c>
      <c r="M9" s="107" t="str">
        <f>TRIM(Formulario!M20)</f>
        <v>0</v>
      </c>
      <c r="N9" s="11" t="str">
        <f>TRIM(Formulario!H20)</f>
        <v/>
      </c>
      <c r="P9" s="17"/>
      <c r="Q9" s="104"/>
      <c r="R9" s="104"/>
      <c r="S9" s="117"/>
      <c r="T9" s="105"/>
      <c r="U9" s="105"/>
      <c r="V9" s="101"/>
      <c r="W9" s="102"/>
      <c r="X9" s="102"/>
      <c r="Y9" s="102"/>
      <c r="Z9" s="102"/>
      <c r="AA9" s="102"/>
      <c r="AB9" s="102"/>
      <c r="AC9" s="102"/>
      <c r="AD9" s="102"/>
    </row>
    <row r="10" spans="1:30" ht="12.75">
      <c r="A10" s="8" t="str">
        <f>IF(L10="","",Formulario!B21)</f>
        <v/>
      </c>
      <c r="B10" s="124" t="s">
        <v>1</v>
      </c>
      <c r="C10" s="124">
        <f>Formulario!K$6</f>
        <v>43894</v>
      </c>
      <c r="D10" s="121"/>
      <c r="E10" s="129" t="str">
        <f>IF(F10="","",Formulario!B21)</f>
        <v/>
      </c>
      <c r="F10" s="11" t="str">
        <f>TRIM(Formulario!D21)</f>
        <v/>
      </c>
      <c r="G10" s="11" t="str">
        <f>TRIM(Formulario!F21)</f>
        <v/>
      </c>
      <c r="H10" s="146" t="str">
        <f>IF(N10="",TRIM(Formulario!G21),TRIM(Formulario!G21)*N10)</f>
        <v/>
      </c>
      <c r="I10" s="107" t="str">
        <f>TRIM(Formulario!I21)</f>
        <v/>
      </c>
      <c r="J10" s="11" t="str">
        <f>TRIM(Formulario!J21)</f>
        <v/>
      </c>
      <c r="K10" s="11" t="str">
        <f>TRIM(Formulario!K21)</f>
        <v/>
      </c>
      <c r="L10" s="107" t="str">
        <f>TRIM(Formulario!L21)</f>
        <v/>
      </c>
      <c r="M10" s="107" t="str">
        <f>TRIM(Formulario!M21)</f>
        <v>0</v>
      </c>
      <c r="N10" s="11" t="str">
        <f>TRIM(Formulario!H21)</f>
        <v/>
      </c>
      <c r="P10" s="17"/>
      <c r="Q10" s="104"/>
      <c r="R10" s="104"/>
      <c r="S10" s="117"/>
      <c r="T10" s="105"/>
      <c r="U10" s="105"/>
      <c r="V10" s="101"/>
      <c r="W10" s="102"/>
      <c r="X10" s="102"/>
      <c r="Y10" s="102"/>
      <c r="Z10" s="102"/>
      <c r="AA10" s="102"/>
      <c r="AB10" s="102"/>
      <c r="AC10" s="102"/>
      <c r="AD10" s="102"/>
    </row>
    <row r="11" spans="1:30" ht="12.75">
      <c r="A11" s="8" t="str">
        <f>IF(L11="","",Formulario!B22)</f>
        <v/>
      </c>
      <c r="B11" s="124" t="s">
        <v>89</v>
      </c>
      <c r="C11" s="126" t="str">
        <f>TRIM(Formulario!K$7)</f>
        <v>Distribuidora.Santiago@gmail.com</v>
      </c>
      <c r="D11" s="121"/>
      <c r="E11" s="129" t="str">
        <f>IF(F11="","",Formulario!B22)</f>
        <v/>
      </c>
      <c r="F11" s="11" t="str">
        <f>TRIM(Formulario!D22)</f>
        <v/>
      </c>
      <c r="G11" s="11" t="str">
        <f>TRIM(Formulario!F22)</f>
        <v/>
      </c>
      <c r="H11" s="146" t="str">
        <f>IF(N11="",TRIM(Formulario!G22),TRIM(Formulario!G22)*N11)</f>
        <v/>
      </c>
      <c r="I11" s="107" t="str">
        <f>TRIM(Formulario!I22)</f>
        <v/>
      </c>
      <c r="J11" s="11" t="str">
        <f>TRIM(Formulario!J22)</f>
        <v/>
      </c>
      <c r="K11" s="11" t="str">
        <f>TRIM(Formulario!K22)</f>
        <v/>
      </c>
      <c r="L11" s="107" t="str">
        <f>TRIM(Formulario!L22)</f>
        <v/>
      </c>
      <c r="M11" s="107" t="str">
        <f>TRIM(Formulario!M22)</f>
        <v>0</v>
      </c>
      <c r="N11" s="11" t="str">
        <f>TRIM(Formulario!H22)</f>
        <v/>
      </c>
      <c r="P11" s="17"/>
      <c r="Q11" s="104"/>
      <c r="R11" s="104"/>
      <c r="S11" s="117"/>
      <c r="T11" s="105"/>
      <c r="U11" s="105"/>
      <c r="V11" s="101"/>
      <c r="W11" s="102"/>
      <c r="X11" s="102"/>
      <c r="Y11" s="102"/>
      <c r="Z11" s="102"/>
      <c r="AA11" s="102"/>
      <c r="AB11" s="102"/>
      <c r="AC11" s="102"/>
      <c r="AD11" s="102"/>
    </row>
    <row r="12" spans="1:30" ht="12.75">
      <c r="A12" s="8" t="str">
        <f>IF(L12="","",Formulario!B23)</f>
        <v/>
      </c>
      <c r="B12" s="124" t="s">
        <v>107</v>
      </c>
      <c r="C12" s="126" t="str">
        <f>TRIM(Formulario!K$8)</f>
        <v>Efectivo</v>
      </c>
      <c r="D12" s="121"/>
      <c r="E12" s="129" t="str">
        <f>IF(F12="","",Formulario!B23)</f>
        <v/>
      </c>
      <c r="F12" s="11" t="str">
        <f>TRIM(Formulario!D23)</f>
        <v/>
      </c>
      <c r="G12" s="11" t="str">
        <f>TRIM(Formulario!F23)</f>
        <v/>
      </c>
      <c r="H12" s="146" t="str">
        <f>IF(N12="",TRIM(Formulario!G23),TRIM(Formulario!G23)*N12)</f>
        <v/>
      </c>
      <c r="I12" s="107" t="str">
        <f>TRIM(Formulario!I23)</f>
        <v/>
      </c>
      <c r="J12" s="11" t="str">
        <f>TRIM(Formulario!J23)</f>
        <v/>
      </c>
      <c r="K12" s="11" t="str">
        <f>TRIM(Formulario!K23)</f>
        <v/>
      </c>
      <c r="L12" s="107" t="str">
        <f>TRIM(Formulario!L23)</f>
        <v/>
      </c>
      <c r="M12" s="107" t="str">
        <f>TRIM(Formulario!M23)</f>
        <v>0</v>
      </c>
      <c r="N12" s="11" t="str">
        <f>TRIM(Formulario!H23)</f>
        <v/>
      </c>
      <c r="P12" s="17"/>
      <c r="Q12" s="104"/>
      <c r="R12" s="104"/>
      <c r="S12" s="117"/>
      <c r="T12" s="105"/>
      <c r="U12" s="105"/>
      <c r="V12" s="101"/>
      <c r="W12" s="102"/>
      <c r="X12" s="102"/>
      <c r="Y12" s="102"/>
      <c r="Z12" s="102"/>
      <c r="AA12" s="102"/>
      <c r="AB12" s="102"/>
      <c r="AC12" s="102"/>
      <c r="AD12" s="102"/>
    </row>
    <row r="13" spans="1:30">
      <c r="A13" s="8" t="str">
        <f>IF(L13="","",Formulario!B24)</f>
        <v/>
      </c>
      <c r="D13" s="121"/>
      <c r="E13" s="129" t="str">
        <f>IF(F13="","",Formulario!B24)</f>
        <v/>
      </c>
      <c r="F13" s="11" t="str">
        <f>TRIM(Formulario!D24)</f>
        <v/>
      </c>
      <c r="G13" s="11" t="str">
        <f>TRIM(Formulario!F24)</f>
        <v/>
      </c>
      <c r="H13" s="146" t="str">
        <f>IF(N13="",TRIM(Formulario!G24),TRIM(Formulario!G24)*N13)</f>
        <v/>
      </c>
      <c r="I13" s="107" t="str">
        <f>TRIM(Formulario!I24)</f>
        <v/>
      </c>
      <c r="J13" s="11" t="str">
        <f>TRIM(Formulario!J24)</f>
        <v/>
      </c>
      <c r="K13" s="11" t="str">
        <f>TRIM(Formulario!K24)</f>
        <v/>
      </c>
      <c r="L13" s="107" t="str">
        <f>TRIM(Formulario!L24)</f>
        <v/>
      </c>
      <c r="M13" s="107" t="str">
        <f>TRIM(Formulario!M24)</f>
        <v>0</v>
      </c>
      <c r="N13" s="11" t="str">
        <f>TRIM(Formulario!H24)</f>
        <v/>
      </c>
      <c r="P13" s="17"/>
      <c r="Q13" s="104"/>
      <c r="R13" s="104"/>
      <c r="S13" s="117"/>
      <c r="T13" s="105"/>
      <c r="U13" s="105"/>
      <c r="V13" s="101"/>
      <c r="W13" s="102"/>
      <c r="X13" s="102"/>
      <c r="Y13" s="102"/>
      <c r="Z13" s="102"/>
      <c r="AA13" s="102"/>
      <c r="AB13" s="102"/>
      <c r="AC13" s="102"/>
      <c r="AD13" s="102"/>
    </row>
    <row r="14" spans="1:30" ht="15">
      <c r="A14" s="8" t="str">
        <f>IF(L14="","",Formulario!B25)</f>
        <v/>
      </c>
      <c r="B14" s="128" t="s">
        <v>99</v>
      </c>
      <c r="C14" s="126" t="str">
        <f>TRIM(Formulario!K$10)</f>
        <v>8000</v>
      </c>
      <c r="D14" s="121"/>
      <c r="E14" s="129" t="str">
        <f>IF(F14="","",Formulario!B25)</f>
        <v/>
      </c>
      <c r="F14" s="11" t="str">
        <f>TRIM(Formulario!D25)</f>
        <v/>
      </c>
      <c r="G14" s="11" t="str">
        <f>TRIM(Formulario!F25)</f>
        <v/>
      </c>
      <c r="H14" s="146" t="str">
        <f>IF(N14="",TRIM(Formulario!G25),TRIM(Formulario!G25)*N14)</f>
        <v/>
      </c>
      <c r="I14" s="107" t="str">
        <f>TRIM(Formulario!I25)</f>
        <v/>
      </c>
      <c r="J14" s="11" t="str">
        <f>TRIM(Formulario!J25)</f>
        <v/>
      </c>
      <c r="K14" s="11" t="str">
        <f>TRIM(Formulario!K25)</f>
        <v/>
      </c>
      <c r="L14" s="107" t="str">
        <f>TRIM(Formulario!L25)</f>
        <v/>
      </c>
      <c r="M14" s="107" t="str">
        <f>TRIM(Formulario!M25)</f>
        <v>0</v>
      </c>
      <c r="N14" s="11" t="str">
        <f>TRIM(Formulario!H25)</f>
        <v/>
      </c>
      <c r="P14" s="17"/>
      <c r="Q14" s="104"/>
      <c r="R14" s="104"/>
      <c r="S14" s="117"/>
      <c r="T14" s="105"/>
      <c r="U14" s="105"/>
      <c r="V14" s="101"/>
      <c r="W14" s="102"/>
      <c r="X14" s="102"/>
      <c r="Y14" s="102"/>
      <c r="Z14" s="102"/>
      <c r="AA14" s="102"/>
      <c r="AB14" s="102"/>
      <c r="AC14" s="102"/>
      <c r="AD14" s="102"/>
    </row>
    <row r="15" spans="1:30">
      <c r="A15" s="8" t="str">
        <f>IF(L15="","",Formulario!B26)</f>
        <v/>
      </c>
      <c r="D15" s="121"/>
      <c r="E15" s="129" t="str">
        <f>IF(F15="","",Formulario!B26)</f>
        <v/>
      </c>
      <c r="F15" s="11" t="str">
        <f>TRIM(Formulario!D26)</f>
        <v/>
      </c>
      <c r="G15" s="11" t="str">
        <f>TRIM(Formulario!F26)</f>
        <v/>
      </c>
      <c r="H15" s="146" t="str">
        <f>IF(N15="",TRIM(Formulario!G26),TRIM(Formulario!G26)*N15)</f>
        <v/>
      </c>
      <c r="I15" s="107" t="str">
        <f>TRIM(Formulario!I26)</f>
        <v/>
      </c>
      <c r="J15" s="11" t="str">
        <f>TRIM(Formulario!J26)</f>
        <v/>
      </c>
      <c r="K15" s="11" t="str">
        <f>TRIM(Formulario!K26)</f>
        <v/>
      </c>
      <c r="L15" s="107" t="str">
        <f>TRIM(Formulario!L26)</f>
        <v/>
      </c>
      <c r="M15" s="107" t="str">
        <f>TRIM(Formulario!M26)</f>
        <v>0</v>
      </c>
      <c r="N15" s="11" t="str">
        <f>TRIM(Formulario!H26)</f>
        <v/>
      </c>
      <c r="P15" s="17"/>
      <c r="Q15" s="104"/>
      <c r="R15" s="104"/>
      <c r="S15" s="117"/>
      <c r="T15" s="101"/>
      <c r="U15" s="101"/>
      <c r="V15" s="101"/>
      <c r="W15" s="102"/>
      <c r="X15" s="102"/>
      <c r="Y15" s="102"/>
      <c r="Z15" s="102"/>
      <c r="AA15" s="102"/>
      <c r="AB15" s="102"/>
      <c r="AC15" s="102"/>
      <c r="AD15" s="102"/>
    </row>
    <row r="16" spans="1:30">
      <c r="A16" s="8" t="str">
        <f>IF(L16="","",Formulario!B27)</f>
        <v/>
      </c>
      <c r="B16" s="102"/>
      <c r="C16" s="102"/>
      <c r="D16" s="121"/>
      <c r="E16" s="129" t="str">
        <f>IF(F16="","",Formulario!B27)</f>
        <v/>
      </c>
      <c r="F16" s="11" t="str">
        <f>TRIM(Formulario!D27)</f>
        <v/>
      </c>
      <c r="G16" s="11" t="str">
        <f>TRIM(Formulario!F27)</f>
        <v/>
      </c>
      <c r="H16" s="146" t="str">
        <f>IF(N16="",TRIM(Formulario!G27),TRIM(Formulario!G27)*N16)</f>
        <v/>
      </c>
      <c r="I16" s="107" t="str">
        <f>TRIM(Formulario!I27)</f>
        <v/>
      </c>
      <c r="J16" s="11" t="str">
        <f>TRIM(Formulario!J27)</f>
        <v/>
      </c>
      <c r="K16" s="11" t="str">
        <f>TRIM(Formulario!K27)</f>
        <v/>
      </c>
      <c r="L16" s="107" t="str">
        <f>TRIM(Formulario!L27)</f>
        <v/>
      </c>
      <c r="M16" s="107" t="str">
        <f>TRIM(Formulario!M27)</f>
        <v>0</v>
      </c>
      <c r="N16" s="11" t="str">
        <f>TRIM(Formulario!H27)</f>
        <v/>
      </c>
      <c r="P16" s="17"/>
      <c r="Q16" s="104"/>
      <c r="R16" s="104"/>
      <c r="S16" s="117"/>
      <c r="T16" s="101"/>
      <c r="U16" s="101"/>
      <c r="V16" s="101"/>
      <c r="W16" s="102"/>
      <c r="X16" s="102"/>
      <c r="Y16" s="102"/>
      <c r="Z16" s="102"/>
      <c r="AA16" s="102"/>
      <c r="AB16" s="102"/>
      <c r="AC16" s="102"/>
      <c r="AD16" s="102"/>
    </row>
    <row r="17" spans="1:30">
      <c r="A17" s="8" t="str">
        <f>IF(L17="","",Formulario!B28)</f>
        <v/>
      </c>
      <c r="B17" s="119"/>
      <c r="C17" s="120"/>
      <c r="D17" s="121"/>
      <c r="E17" s="129" t="str">
        <f>IF(F17="","",Formulario!B28)</f>
        <v/>
      </c>
      <c r="F17" s="11" t="str">
        <f>TRIM(Formulario!D28)</f>
        <v/>
      </c>
      <c r="G17" s="11" t="str">
        <f>TRIM(Formulario!F28)</f>
        <v/>
      </c>
      <c r="H17" s="146" t="str">
        <f>IF(N17="",TRIM(Formulario!G28),TRIM(Formulario!G28)*N17)</f>
        <v/>
      </c>
      <c r="I17" s="107" t="str">
        <f>TRIM(Formulario!I28)</f>
        <v/>
      </c>
      <c r="J17" s="11" t="str">
        <f>TRIM(Formulario!J28)</f>
        <v/>
      </c>
      <c r="K17" s="11" t="str">
        <f>TRIM(Formulario!K28)</f>
        <v/>
      </c>
      <c r="L17" s="107" t="str">
        <f>TRIM(Formulario!L28)</f>
        <v/>
      </c>
      <c r="M17" s="107" t="str">
        <f>TRIM(Formulario!M28)</f>
        <v>0</v>
      </c>
      <c r="N17" s="11" t="str">
        <f>TRIM(Formulario!H28)</f>
        <v/>
      </c>
      <c r="P17" s="17"/>
      <c r="Q17" s="104"/>
      <c r="R17" s="104"/>
      <c r="S17" s="117"/>
      <c r="T17" s="101"/>
      <c r="U17" s="101"/>
      <c r="V17" s="101"/>
      <c r="W17" s="102"/>
      <c r="X17" s="102"/>
      <c r="Y17" s="102"/>
      <c r="Z17" s="102"/>
      <c r="AA17" s="102"/>
      <c r="AB17" s="102"/>
      <c r="AC17" s="102"/>
      <c r="AD17" s="102"/>
    </row>
    <row r="18" spans="1:30">
      <c r="A18" s="8" t="str">
        <f>IF(L18="","",Formulario!B29)</f>
        <v/>
      </c>
      <c r="B18" s="119"/>
      <c r="C18" s="120"/>
      <c r="D18" s="121"/>
      <c r="E18" s="129" t="str">
        <f>IF(F18="","",Formulario!B29)</f>
        <v/>
      </c>
      <c r="F18" s="11" t="str">
        <f>TRIM(Formulario!D29)</f>
        <v/>
      </c>
      <c r="G18" s="11" t="str">
        <f>TRIM(Formulario!F29)</f>
        <v/>
      </c>
      <c r="H18" s="146" t="str">
        <f>IF(N18="",TRIM(Formulario!G29),TRIM(Formulario!G29)*N18)</f>
        <v/>
      </c>
      <c r="I18" s="107" t="str">
        <f>TRIM(Formulario!I29)</f>
        <v/>
      </c>
      <c r="J18" s="11" t="str">
        <f>TRIM(Formulario!J29)</f>
        <v/>
      </c>
      <c r="K18" s="11" t="str">
        <f>TRIM(Formulario!K29)</f>
        <v/>
      </c>
      <c r="L18" s="107" t="str">
        <f>TRIM(Formulario!L29)</f>
        <v/>
      </c>
      <c r="M18" s="107" t="str">
        <f>TRIM(Formulario!M29)</f>
        <v>0</v>
      </c>
      <c r="N18" s="11" t="str">
        <f>TRIM(Formulario!H29)</f>
        <v/>
      </c>
      <c r="P18" s="17"/>
      <c r="Q18" s="104"/>
      <c r="R18" s="104"/>
      <c r="S18" s="117"/>
      <c r="T18" s="101"/>
      <c r="U18" s="101"/>
      <c r="V18" s="101"/>
      <c r="W18" s="102"/>
      <c r="X18" s="102"/>
      <c r="Y18" s="102"/>
      <c r="Z18" s="102"/>
      <c r="AA18" s="102"/>
      <c r="AB18" s="102"/>
      <c r="AC18" s="102"/>
      <c r="AD18" s="102"/>
    </row>
    <row r="19" spans="1:30">
      <c r="A19" s="8" t="str">
        <f>IF(L19="","",Formulario!B30)</f>
        <v/>
      </c>
      <c r="B19" s="130"/>
      <c r="C19" s="120"/>
      <c r="D19" s="121"/>
      <c r="E19" s="129" t="str">
        <f>IF(F19="","",Formulario!B30)</f>
        <v/>
      </c>
      <c r="F19" s="11" t="str">
        <f>TRIM(Formulario!D30)</f>
        <v/>
      </c>
      <c r="G19" s="11" t="str">
        <f>TRIM(Formulario!F30)</f>
        <v/>
      </c>
      <c r="H19" s="146" t="str">
        <f>IF(N19="",TRIM(Formulario!G30),TRIM(Formulario!G30)*N19)</f>
        <v/>
      </c>
      <c r="I19" s="107" t="str">
        <f>TRIM(Formulario!I30)</f>
        <v/>
      </c>
      <c r="J19" s="11" t="str">
        <f>TRIM(Formulario!J30)</f>
        <v/>
      </c>
      <c r="K19" s="11" t="str">
        <f>TRIM(Formulario!K30)</f>
        <v/>
      </c>
      <c r="L19" s="107" t="str">
        <f>TRIM(Formulario!L30)</f>
        <v/>
      </c>
      <c r="M19" s="107" t="str">
        <f>TRIM(Formulario!M30)</f>
        <v>0</v>
      </c>
      <c r="N19" s="11" t="str">
        <f>TRIM(Formulario!H30)</f>
        <v/>
      </c>
      <c r="P19" s="17"/>
      <c r="Q19" s="104"/>
      <c r="R19" s="104"/>
      <c r="S19" s="117"/>
      <c r="T19" s="101"/>
      <c r="U19" s="101"/>
      <c r="V19" s="101"/>
      <c r="W19" s="102"/>
      <c r="X19" s="102"/>
      <c r="Y19" s="102"/>
      <c r="Z19" s="102"/>
      <c r="AA19" s="102"/>
      <c r="AB19" s="102"/>
      <c r="AC19" s="102"/>
      <c r="AD19" s="102"/>
    </row>
    <row r="20" spans="1:30">
      <c r="A20" s="8" t="str">
        <f>IF(L20="","",Formulario!B31)</f>
        <v/>
      </c>
      <c r="B20" s="119"/>
      <c r="C20" s="120"/>
      <c r="D20" s="121"/>
      <c r="E20" s="129" t="str">
        <f>IF(F20="","",Formulario!B31)</f>
        <v/>
      </c>
      <c r="F20" s="11" t="str">
        <f>TRIM(Formulario!D31)</f>
        <v/>
      </c>
      <c r="G20" s="11" t="str">
        <f>TRIM(Formulario!F31)</f>
        <v/>
      </c>
      <c r="H20" s="146" t="str">
        <f>IF(N20="",TRIM(Formulario!G31),TRIM(Formulario!G31)*N20)</f>
        <v/>
      </c>
      <c r="I20" s="107" t="str">
        <f>TRIM(Formulario!I31)</f>
        <v/>
      </c>
      <c r="J20" s="11" t="str">
        <f>TRIM(Formulario!J31)</f>
        <v/>
      </c>
      <c r="K20" s="11" t="str">
        <f>TRIM(Formulario!K31)</f>
        <v/>
      </c>
      <c r="L20" s="107" t="str">
        <f>TRIM(Formulario!L31)</f>
        <v/>
      </c>
      <c r="M20" s="107" t="str">
        <f>TRIM(Formulario!M31)</f>
        <v>0</v>
      </c>
      <c r="N20" s="11" t="str">
        <f>TRIM(Formulario!H31)</f>
        <v/>
      </c>
      <c r="P20" s="17"/>
      <c r="Q20" s="104"/>
      <c r="R20" s="104"/>
      <c r="S20" s="117"/>
      <c r="T20" s="101"/>
      <c r="U20" s="101"/>
      <c r="V20" s="101"/>
      <c r="W20" s="102"/>
      <c r="X20" s="102"/>
      <c r="Y20" s="102"/>
      <c r="Z20" s="102"/>
      <c r="AA20" s="102"/>
      <c r="AB20" s="102"/>
      <c r="AC20" s="102"/>
      <c r="AD20" s="102"/>
    </row>
    <row r="21" spans="1:30">
      <c r="A21" s="8" t="str">
        <f>IF(L21="","",Formulario!B32)</f>
        <v/>
      </c>
      <c r="B21" s="119"/>
      <c r="C21" s="120"/>
      <c r="D21" s="121"/>
      <c r="E21" s="129" t="str">
        <f>IF(F21="","",Formulario!B32)</f>
        <v/>
      </c>
      <c r="F21" s="11" t="str">
        <f>TRIM(Formulario!D32)</f>
        <v/>
      </c>
      <c r="G21" s="11" t="str">
        <f>TRIM(Formulario!F32)</f>
        <v/>
      </c>
      <c r="H21" s="146" t="str">
        <f>IF(N21="",TRIM(Formulario!G32),TRIM(Formulario!G32)*N21)</f>
        <v/>
      </c>
      <c r="I21" s="107" t="str">
        <f>TRIM(Formulario!I32)</f>
        <v/>
      </c>
      <c r="J21" s="11" t="str">
        <f>TRIM(Formulario!J32)</f>
        <v/>
      </c>
      <c r="K21" s="11" t="str">
        <f>TRIM(Formulario!K32)</f>
        <v/>
      </c>
      <c r="L21" s="107" t="str">
        <f>TRIM(Formulario!L32)</f>
        <v/>
      </c>
      <c r="M21" s="107" t="str">
        <f>TRIM(Formulario!M32)</f>
        <v>0</v>
      </c>
      <c r="N21" s="11" t="str">
        <f>TRIM(Formulario!H32)</f>
        <v/>
      </c>
      <c r="P21" s="17"/>
      <c r="Q21" s="104"/>
      <c r="R21" s="104"/>
      <c r="S21" s="117"/>
      <c r="T21" s="101"/>
      <c r="U21" s="101"/>
      <c r="V21" s="101"/>
      <c r="W21" s="102"/>
      <c r="X21" s="102"/>
      <c r="Y21" s="102"/>
      <c r="Z21" s="102"/>
      <c r="AA21" s="102"/>
      <c r="AB21" s="102"/>
      <c r="AC21" s="102"/>
      <c r="AD21" s="102"/>
    </row>
    <row r="22" spans="1:30">
      <c r="A22" s="8" t="str">
        <f>IF(L22="","",Formulario!B33)</f>
        <v/>
      </c>
      <c r="B22" s="119"/>
      <c r="C22" s="120"/>
      <c r="D22" s="121"/>
      <c r="E22" s="129" t="str">
        <f>IF(F22="","",Formulario!B33)</f>
        <v/>
      </c>
      <c r="F22" s="11" t="str">
        <f>TRIM(Formulario!D33)</f>
        <v/>
      </c>
      <c r="G22" s="11" t="str">
        <f>TRIM(Formulario!F33)</f>
        <v/>
      </c>
      <c r="H22" s="146" t="str">
        <f>IF(N22="",TRIM(Formulario!G33),TRIM(Formulario!G33)*N22)</f>
        <v/>
      </c>
      <c r="I22" s="107" t="str">
        <f>TRIM(Formulario!I33)</f>
        <v/>
      </c>
      <c r="J22" s="11" t="str">
        <f>TRIM(Formulario!J33)</f>
        <v/>
      </c>
      <c r="K22" s="11" t="str">
        <f>TRIM(Formulario!K33)</f>
        <v/>
      </c>
      <c r="L22" s="107" t="str">
        <f>TRIM(Formulario!L33)</f>
        <v/>
      </c>
      <c r="M22" s="107" t="str">
        <f>TRIM(Formulario!M33)</f>
        <v>0</v>
      </c>
      <c r="N22" s="11" t="str">
        <f>TRIM(Formulario!H33)</f>
        <v/>
      </c>
      <c r="P22" s="17"/>
      <c r="Q22" s="104"/>
      <c r="R22" s="104"/>
      <c r="S22" s="117"/>
      <c r="T22" s="101"/>
      <c r="U22" s="101"/>
      <c r="V22" s="101"/>
      <c r="W22" s="102"/>
      <c r="X22" s="102"/>
      <c r="Y22" s="102"/>
      <c r="Z22" s="102"/>
      <c r="AA22" s="102"/>
      <c r="AB22" s="102"/>
      <c r="AC22" s="102"/>
      <c r="AD22" s="102"/>
    </row>
    <row r="23" spans="1:30">
      <c r="A23" s="102" t="str">
        <f>IF(L23="","",Formulario!B34)</f>
        <v/>
      </c>
      <c r="B23" s="119"/>
      <c r="C23" s="120"/>
      <c r="D23" s="121"/>
      <c r="E23" s="129" t="str">
        <f>IF(F23="","",Formulario!B34)</f>
        <v/>
      </c>
      <c r="F23" s="11" t="str">
        <f>TRIM(Formulario!D34)</f>
        <v/>
      </c>
      <c r="G23" s="11" t="str">
        <f>TRIM(Formulario!F34)</f>
        <v/>
      </c>
      <c r="H23" s="146" t="str">
        <f>IF(N23="",TRIM(Formulario!G34),TRIM(Formulario!G34)*N23)</f>
        <v/>
      </c>
      <c r="I23" s="107" t="str">
        <f>TRIM(Formulario!I34)</f>
        <v/>
      </c>
      <c r="J23" s="11" t="str">
        <f>TRIM(Formulario!J34)</f>
        <v/>
      </c>
      <c r="K23" s="11" t="str">
        <f>TRIM(Formulario!K34)</f>
        <v/>
      </c>
      <c r="L23" s="107" t="str">
        <f>TRIM(Formulario!L34)</f>
        <v/>
      </c>
      <c r="M23" s="107" t="str">
        <f>TRIM(Formulario!M34)</f>
        <v>0</v>
      </c>
      <c r="N23" s="11" t="str">
        <f>TRIM(Formulario!H34)</f>
        <v/>
      </c>
      <c r="P23" s="17"/>
      <c r="Q23" s="104"/>
      <c r="R23" s="104"/>
      <c r="S23" s="117"/>
      <c r="T23" s="101"/>
      <c r="U23" s="101"/>
      <c r="V23" s="101"/>
      <c r="W23" s="102"/>
      <c r="X23" s="102"/>
      <c r="Y23" s="102"/>
      <c r="Z23" s="102"/>
      <c r="AA23" s="102"/>
      <c r="AB23" s="102"/>
      <c r="AC23" s="102"/>
      <c r="AD23" s="102"/>
    </row>
    <row r="24" spans="1:30">
      <c r="A24" s="102" t="str">
        <f>IF(L24="","",Formulario!B35)</f>
        <v/>
      </c>
      <c r="B24" s="102"/>
      <c r="C24" s="120"/>
      <c r="D24" s="121"/>
      <c r="E24" s="129" t="str">
        <f>IF(F24="","",Formulario!B35)</f>
        <v/>
      </c>
      <c r="F24" s="11" t="str">
        <f>TRIM(Formulario!D35)</f>
        <v/>
      </c>
      <c r="G24" s="11" t="str">
        <f>TRIM(Formulario!F35)</f>
        <v/>
      </c>
      <c r="H24" s="146" t="str">
        <f>IF(N24="",TRIM(Formulario!G35),TRIM(Formulario!G35)*N24)</f>
        <v/>
      </c>
      <c r="I24" s="107" t="str">
        <f>TRIM(Formulario!I35)</f>
        <v/>
      </c>
      <c r="J24" s="11" t="str">
        <f>TRIM(Formulario!J35)</f>
        <v/>
      </c>
      <c r="K24" s="11" t="str">
        <f>TRIM(Formulario!K35)</f>
        <v/>
      </c>
      <c r="L24" s="107" t="str">
        <f>TRIM(Formulario!L35)</f>
        <v/>
      </c>
      <c r="M24" s="107" t="str">
        <f>TRIM(Formulario!M35)</f>
        <v>0</v>
      </c>
      <c r="N24" s="11" t="str">
        <f>TRIM(Formulario!H35)</f>
        <v/>
      </c>
      <c r="P24" s="17"/>
      <c r="Q24" s="104"/>
      <c r="R24" s="104"/>
      <c r="S24" s="117"/>
      <c r="T24" s="101"/>
      <c r="U24" s="101"/>
      <c r="V24" s="101"/>
      <c r="W24" s="102"/>
      <c r="X24" s="102"/>
      <c r="Y24" s="102"/>
      <c r="Z24" s="102"/>
      <c r="AA24" s="102"/>
      <c r="AB24" s="102"/>
      <c r="AC24" s="102"/>
      <c r="AD24" s="102"/>
    </row>
    <row r="25" spans="1:30">
      <c r="A25" s="102" t="str">
        <f>IF(L25="","",Formulario!B36)</f>
        <v/>
      </c>
      <c r="B25" s="102"/>
      <c r="C25" s="120"/>
      <c r="D25" s="121"/>
      <c r="E25" s="129" t="str">
        <f>IF(F25="","",Formulario!B36)</f>
        <v/>
      </c>
      <c r="F25" s="11" t="str">
        <f>TRIM(Formulario!D36)</f>
        <v/>
      </c>
      <c r="G25" s="11" t="str">
        <f>TRIM(Formulario!F36)</f>
        <v/>
      </c>
      <c r="H25" s="146" t="str">
        <f>IF(N25="",TRIM(Formulario!G36),TRIM(Formulario!G36)*N25)</f>
        <v/>
      </c>
      <c r="I25" s="107" t="str">
        <f>TRIM(Formulario!I36)</f>
        <v/>
      </c>
      <c r="J25" s="11" t="str">
        <f>TRIM(Formulario!J36)</f>
        <v/>
      </c>
      <c r="K25" s="11" t="str">
        <f>TRIM(Formulario!K36)</f>
        <v/>
      </c>
      <c r="L25" s="107" t="str">
        <f>TRIM(Formulario!L36)</f>
        <v/>
      </c>
      <c r="M25" s="107" t="str">
        <f>TRIM(Formulario!M36)</f>
        <v>0</v>
      </c>
      <c r="N25" s="11" t="str">
        <f>TRIM(Formulario!H36)</f>
        <v/>
      </c>
      <c r="P25" s="17"/>
      <c r="Q25" s="104"/>
      <c r="R25" s="104"/>
      <c r="S25" s="117"/>
      <c r="T25" s="101"/>
      <c r="U25" s="101"/>
      <c r="V25" s="101"/>
      <c r="W25" s="102"/>
      <c r="X25" s="102"/>
      <c r="Y25" s="102"/>
      <c r="Z25" s="102"/>
      <c r="AA25" s="102"/>
      <c r="AB25" s="102"/>
      <c r="AC25" s="102"/>
      <c r="AD25" s="102"/>
    </row>
    <row r="26" spans="1:30">
      <c r="A26" s="102" t="str">
        <f>IF(L26="","",Formulario!B37)</f>
        <v/>
      </c>
      <c r="B26" s="119"/>
      <c r="C26" s="120"/>
      <c r="D26" s="121"/>
      <c r="E26" s="129" t="str">
        <f>IF(F26="","",Formulario!B37)</f>
        <v/>
      </c>
      <c r="F26" s="11" t="str">
        <f>TRIM(Formulario!D37)</f>
        <v/>
      </c>
      <c r="G26" s="11" t="str">
        <f>TRIM(Formulario!F37)</f>
        <v/>
      </c>
      <c r="H26" s="146" t="str">
        <f>IF(N26="",TRIM(Formulario!G37),TRIM(Formulario!G37)*N26)</f>
        <v/>
      </c>
      <c r="I26" s="107" t="str">
        <f>TRIM(Formulario!I37)</f>
        <v/>
      </c>
      <c r="J26" s="11" t="str">
        <f>TRIM(Formulario!J37)</f>
        <v/>
      </c>
      <c r="K26" s="11" t="str">
        <f>TRIM(Formulario!K37)</f>
        <v/>
      </c>
      <c r="L26" s="107" t="str">
        <f>TRIM(Formulario!L37)</f>
        <v/>
      </c>
      <c r="M26" s="107" t="str">
        <f>TRIM(Formulario!M37)</f>
        <v>0</v>
      </c>
      <c r="N26" s="11" t="str">
        <f>TRIM(Formulario!H37)</f>
        <v/>
      </c>
      <c r="P26" s="17"/>
      <c r="Q26" s="104"/>
      <c r="R26" s="104"/>
      <c r="S26" s="117"/>
      <c r="T26" s="101"/>
      <c r="U26" s="101"/>
      <c r="V26" s="101"/>
      <c r="W26" s="102"/>
      <c r="X26" s="102"/>
      <c r="Y26" s="102"/>
      <c r="Z26" s="102"/>
      <c r="AA26" s="102"/>
      <c r="AB26" s="102"/>
      <c r="AC26" s="102"/>
      <c r="AD26" s="102"/>
    </row>
    <row r="27" spans="1:30">
      <c r="A27" s="102" t="str">
        <f>IF(L27="","",Formulario!B38)</f>
        <v/>
      </c>
      <c r="B27" s="119"/>
      <c r="C27" s="120"/>
      <c r="D27" s="121"/>
      <c r="E27" s="129" t="str">
        <f>IF(F27="","",Formulario!B38)</f>
        <v/>
      </c>
      <c r="F27" s="11" t="str">
        <f>TRIM(Formulario!D38)</f>
        <v/>
      </c>
      <c r="G27" s="11" t="str">
        <f>TRIM(Formulario!F38)</f>
        <v/>
      </c>
      <c r="H27" s="146" t="str">
        <f>IF(N27="",TRIM(Formulario!G38),TRIM(Formulario!G38)*N27)</f>
        <v/>
      </c>
      <c r="I27" s="107" t="str">
        <f>TRIM(Formulario!I38)</f>
        <v/>
      </c>
      <c r="J27" s="11" t="str">
        <f>TRIM(Formulario!J38)</f>
        <v/>
      </c>
      <c r="K27" s="11" t="str">
        <f>TRIM(Formulario!K38)</f>
        <v/>
      </c>
      <c r="L27" s="107" t="str">
        <f>TRIM(Formulario!L38)</f>
        <v/>
      </c>
      <c r="M27" s="107" t="str">
        <f>TRIM(Formulario!M38)</f>
        <v>0</v>
      </c>
      <c r="N27" s="11" t="str">
        <f>TRIM(Formulario!H38)</f>
        <v/>
      </c>
      <c r="P27" s="17"/>
      <c r="Q27" s="104"/>
      <c r="R27" s="104"/>
      <c r="S27" s="117"/>
      <c r="T27" s="101"/>
      <c r="U27" s="101"/>
      <c r="V27" s="101"/>
      <c r="W27" s="102"/>
      <c r="X27" s="102"/>
      <c r="Y27" s="102"/>
      <c r="Z27" s="102"/>
      <c r="AA27" s="102"/>
      <c r="AB27" s="102"/>
      <c r="AC27" s="102"/>
      <c r="AD27" s="102"/>
    </row>
    <row r="28" spans="1:30">
      <c r="A28" s="102" t="str">
        <f>IF(L28="","",Formulario!B39)</f>
        <v/>
      </c>
      <c r="B28" s="119"/>
      <c r="C28" s="120"/>
      <c r="D28" s="121"/>
      <c r="E28" s="129" t="str">
        <f>IF(F28="","",Formulario!B39)</f>
        <v/>
      </c>
      <c r="F28" s="11" t="str">
        <f>TRIM(Formulario!D39)</f>
        <v/>
      </c>
      <c r="G28" s="11" t="str">
        <f>TRIM(Formulario!F39)</f>
        <v/>
      </c>
      <c r="H28" s="146" t="str">
        <f>IF(N28="",TRIM(Formulario!G39),TRIM(Formulario!G39)*N28)</f>
        <v/>
      </c>
      <c r="I28" s="107" t="str">
        <f>TRIM(Formulario!I39)</f>
        <v/>
      </c>
      <c r="J28" s="11" t="str">
        <f>TRIM(Formulario!J39)</f>
        <v/>
      </c>
      <c r="K28" s="11" t="str">
        <f>TRIM(Formulario!K39)</f>
        <v/>
      </c>
      <c r="L28" s="107" t="str">
        <f>TRIM(Formulario!L39)</f>
        <v/>
      </c>
      <c r="M28" s="107" t="str">
        <f>TRIM(Formulario!M39)</f>
        <v>0</v>
      </c>
      <c r="N28" s="11" t="str">
        <f>TRIM(Formulario!H39)</f>
        <v/>
      </c>
      <c r="P28" s="17"/>
      <c r="Q28" s="104"/>
      <c r="R28" s="104"/>
      <c r="S28" s="117"/>
      <c r="T28" s="101"/>
      <c r="U28" s="101"/>
      <c r="V28" s="101"/>
      <c r="W28" s="102"/>
      <c r="X28" s="102"/>
      <c r="Y28" s="102"/>
      <c r="Z28" s="102"/>
      <c r="AA28" s="102"/>
      <c r="AB28" s="102"/>
      <c r="AC28" s="102"/>
      <c r="AD28" s="102"/>
    </row>
    <row r="29" spans="1:30">
      <c r="A29" s="102" t="str">
        <f>IF(L29="","",Formulario!B40)</f>
        <v/>
      </c>
      <c r="B29" s="119"/>
      <c r="C29" s="120"/>
      <c r="D29" s="121"/>
      <c r="E29" s="129" t="str">
        <f>IF(F29="","",Formulario!B40)</f>
        <v/>
      </c>
      <c r="F29" s="11" t="str">
        <f>TRIM(Formulario!D40)</f>
        <v/>
      </c>
      <c r="G29" s="11" t="str">
        <f>TRIM(Formulario!F40)</f>
        <v/>
      </c>
      <c r="H29" s="146" t="str">
        <f>IF(N29="",TRIM(Formulario!G40),TRIM(Formulario!G40)*N29)</f>
        <v/>
      </c>
      <c r="I29" s="107" t="str">
        <f>TRIM(Formulario!I40)</f>
        <v/>
      </c>
      <c r="J29" s="11" t="str">
        <f>TRIM(Formulario!J40)</f>
        <v/>
      </c>
      <c r="K29" s="11" t="str">
        <f>TRIM(Formulario!K40)</f>
        <v/>
      </c>
      <c r="L29" s="107" t="str">
        <f>TRIM(Formulario!L40)</f>
        <v/>
      </c>
      <c r="M29" s="107" t="str">
        <f>TRIM(Formulario!M40)</f>
        <v>0</v>
      </c>
      <c r="N29" s="11" t="str">
        <f>TRIM(Formulario!H40)</f>
        <v/>
      </c>
      <c r="P29" s="17"/>
      <c r="Q29" s="104"/>
      <c r="R29" s="104"/>
      <c r="S29" s="117"/>
      <c r="T29" s="101"/>
      <c r="U29" s="101"/>
      <c r="V29" s="101"/>
      <c r="W29" s="102"/>
      <c r="X29" s="102"/>
      <c r="Y29" s="102"/>
      <c r="Z29" s="102"/>
      <c r="AA29" s="102"/>
      <c r="AB29" s="102"/>
      <c r="AC29" s="102"/>
      <c r="AD29" s="102"/>
    </row>
    <row r="30" spans="1:30">
      <c r="A30" s="102" t="str">
        <f>IF(L30="","",Formulario!B41)</f>
        <v/>
      </c>
      <c r="B30" s="119"/>
      <c r="C30" s="120"/>
      <c r="D30" s="121"/>
      <c r="E30" s="129" t="str">
        <f>IF(F30="","",Formulario!B41)</f>
        <v/>
      </c>
      <c r="F30" s="11" t="str">
        <f>TRIM(Formulario!D41)</f>
        <v/>
      </c>
      <c r="G30" s="11" t="str">
        <f>TRIM(Formulario!F41)</f>
        <v/>
      </c>
      <c r="H30" s="146" t="str">
        <f>IF(N30="",TRIM(Formulario!G41),TRIM(Formulario!G41)*N30)</f>
        <v/>
      </c>
      <c r="I30" s="107" t="str">
        <f>TRIM(Formulario!I41)</f>
        <v/>
      </c>
      <c r="J30" s="11" t="str">
        <f>TRIM(Formulario!J41)</f>
        <v/>
      </c>
      <c r="K30" s="11" t="str">
        <f>TRIM(Formulario!K41)</f>
        <v/>
      </c>
      <c r="L30" s="107" t="str">
        <f>TRIM(Formulario!L41)</f>
        <v/>
      </c>
      <c r="M30" s="107" t="str">
        <f>TRIM(Formulario!M41)</f>
        <v>0</v>
      </c>
      <c r="N30" s="11" t="str">
        <f>TRIM(Formulario!H41)</f>
        <v/>
      </c>
      <c r="P30" s="17"/>
      <c r="Q30" s="104"/>
      <c r="R30" s="104"/>
      <c r="S30" s="117"/>
      <c r="T30" s="101"/>
      <c r="U30" s="101"/>
      <c r="V30" s="101"/>
      <c r="W30" s="102"/>
      <c r="X30" s="102"/>
      <c r="Y30" s="102"/>
      <c r="Z30" s="102"/>
      <c r="AA30" s="102"/>
      <c r="AB30" s="102"/>
      <c r="AC30" s="102"/>
      <c r="AD30" s="102"/>
    </row>
    <row r="31" spans="1:30">
      <c r="A31" s="102" t="str">
        <f>IF(L31="","",Formulario!B42)</f>
        <v/>
      </c>
      <c r="B31" s="119"/>
      <c r="C31" s="120"/>
      <c r="D31" s="121"/>
      <c r="E31" s="129" t="str">
        <f>IF(F31="","",Formulario!B42)</f>
        <v/>
      </c>
      <c r="F31" s="11" t="str">
        <f>TRIM(Formulario!D42)</f>
        <v/>
      </c>
      <c r="G31" s="11" t="str">
        <f>TRIM(Formulario!F42)</f>
        <v/>
      </c>
      <c r="H31" s="146" t="str">
        <f>IF(N31="",TRIM(Formulario!G42),TRIM(Formulario!G42)*N31)</f>
        <v/>
      </c>
      <c r="I31" s="107" t="str">
        <f>TRIM(Formulario!I42)</f>
        <v/>
      </c>
      <c r="J31" s="11" t="str">
        <f>TRIM(Formulario!J42)</f>
        <v/>
      </c>
      <c r="K31" s="11" t="str">
        <f>TRIM(Formulario!K42)</f>
        <v/>
      </c>
      <c r="L31" s="107" t="str">
        <f>TRIM(Formulario!L42)</f>
        <v/>
      </c>
      <c r="M31" s="107" t="str">
        <f>TRIM(Formulario!M42)</f>
        <v>0</v>
      </c>
      <c r="N31" s="11" t="str">
        <f>TRIM(Formulario!H42)</f>
        <v/>
      </c>
      <c r="P31" s="17"/>
      <c r="Q31" s="104"/>
      <c r="R31" s="104"/>
      <c r="S31" s="117"/>
      <c r="T31" s="101"/>
      <c r="U31" s="101"/>
      <c r="V31" s="101"/>
      <c r="W31" s="102"/>
      <c r="X31" s="102"/>
      <c r="Y31" s="102"/>
      <c r="Z31" s="102"/>
      <c r="AA31" s="102"/>
      <c r="AB31" s="102"/>
      <c r="AC31" s="102"/>
      <c r="AD31" s="102"/>
    </row>
    <row r="32" spans="1:30">
      <c r="A32" s="102" t="str">
        <f>IF(L32="","",Formulario!B43)</f>
        <v/>
      </c>
      <c r="B32" s="102"/>
      <c r="C32" s="120"/>
      <c r="D32" s="121"/>
      <c r="E32" s="129" t="str">
        <f>IF(F32="","",Formulario!B43)</f>
        <v/>
      </c>
      <c r="F32" s="11" t="str">
        <f>TRIM(Formulario!D43)</f>
        <v/>
      </c>
      <c r="G32" s="11" t="str">
        <f>TRIM(Formulario!F43)</f>
        <v/>
      </c>
      <c r="H32" s="146" t="str">
        <f>IF(N32="",TRIM(Formulario!G43),TRIM(Formulario!G43)*N32)</f>
        <v/>
      </c>
      <c r="I32" s="107" t="str">
        <f>TRIM(Formulario!I43)</f>
        <v/>
      </c>
      <c r="J32" s="11" t="str">
        <f>TRIM(Formulario!J43)</f>
        <v/>
      </c>
      <c r="K32" s="11" t="str">
        <f>TRIM(Formulario!K43)</f>
        <v/>
      </c>
      <c r="L32" s="107" t="str">
        <f>TRIM(Formulario!L43)</f>
        <v/>
      </c>
      <c r="M32" s="107" t="str">
        <f>TRIM(Formulario!M43)</f>
        <v>0</v>
      </c>
      <c r="N32" s="11" t="str">
        <f>TRIM(Formulario!H43)</f>
        <v/>
      </c>
      <c r="P32" s="17"/>
      <c r="Q32" s="104"/>
      <c r="R32" s="104"/>
      <c r="S32" s="117"/>
      <c r="T32" s="101"/>
      <c r="U32" s="101"/>
      <c r="V32" s="101"/>
      <c r="W32" s="102"/>
      <c r="X32" s="102"/>
      <c r="Y32" s="102"/>
      <c r="Z32" s="102"/>
      <c r="AA32" s="102"/>
      <c r="AB32" s="102"/>
      <c r="AC32" s="102"/>
      <c r="AD32" s="102"/>
    </row>
    <row r="33" spans="1:30">
      <c r="A33" s="102" t="str">
        <f>IF(L33="","",Formulario!B44)</f>
        <v/>
      </c>
      <c r="B33" s="119"/>
      <c r="C33" s="120"/>
      <c r="D33" s="121"/>
      <c r="E33" s="129" t="str">
        <f>IF(F33="","",Formulario!B44)</f>
        <v/>
      </c>
      <c r="F33" s="11" t="str">
        <f>TRIM(Formulario!D44)</f>
        <v/>
      </c>
      <c r="G33" s="11" t="str">
        <f>TRIM(Formulario!F44)</f>
        <v/>
      </c>
      <c r="H33" s="146" t="str">
        <f>IF(N33="",TRIM(Formulario!G44),TRIM(Formulario!G44)*N33)</f>
        <v/>
      </c>
      <c r="I33" s="107" t="str">
        <f>TRIM(Formulario!I44)</f>
        <v/>
      </c>
      <c r="J33" s="11" t="str">
        <f>TRIM(Formulario!J44)</f>
        <v/>
      </c>
      <c r="K33" s="11" t="str">
        <f>TRIM(Formulario!K44)</f>
        <v/>
      </c>
      <c r="L33" s="107" t="str">
        <f>TRIM(Formulario!L44)</f>
        <v/>
      </c>
      <c r="M33" s="107" t="str">
        <f>TRIM(Formulario!M44)</f>
        <v>0</v>
      </c>
      <c r="N33" s="11" t="str">
        <f>TRIM(Formulario!H44)</f>
        <v/>
      </c>
      <c r="P33" s="17"/>
      <c r="Q33" s="104"/>
      <c r="R33" s="104"/>
      <c r="S33" s="117"/>
      <c r="T33" s="101"/>
      <c r="U33" s="101"/>
      <c r="V33" s="101"/>
      <c r="W33" s="102"/>
      <c r="X33" s="102"/>
      <c r="Y33" s="102"/>
      <c r="Z33" s="102"/>
      <c r="AA33" s="102"/>
      <c r="AB33" s="102"/>
      <c r="AC33" s="102"/>
      <c r="AD33" s="102"/>
    </row>
    <row r="34" spans="1:30">
      <c r="A34" s="102" t="str">
        <f>IF(L34="","",Formulario!B45)</f>
        <v/>
      </c>
      <c r="B34" s="119"/>
      <c r="C34" s="120"/>
      <c r="D34" s="121"/>
      <c r="E34" s="129" t="str">
        <f>IF(F34="","",Formulario!B45)</f>
        <v/>
      </c>
      <c r="F34" s="11" t="str">
        <f>TRIM(Formulario!D45)</f>
        <v/>
      </c>
      <c r="G34" s="11" t="str">
        <f>TRIM(Formulario!F45)</f>
        <v/>
      </c>
      <c r="H34" s="146" t="str">
        <f>IF(N34="",TRIM(Formulario!G45),TRIM(Formulario!G45)*N34)</f>
        <v/>
      </c>
      <c r="I34" s="107" t="str">
        <f>TRIM(Formulario!I45)</f>
        <v/>
      </c>
      <c r="J34" s="11" t="str">
        <f>TRIM(Formulario!J45)</f>
        <v/>
      </c>
      <c r="K34" s="11" t="str">
        <f>TRIM(Formulario!K45)</f>
        <v/>
      </c>
      <c r="L34" s="107" t="str">
        <f>TRIM(Formulario!L45)</f>
        <v/>
      </c>
      <c r="M34" s="107" t="str">
        <f>TRIM(Formulario!M45)</f>
        <v>0</v>
      </c>
      <c r="N34" s="11" t="str">
        <f>TRIM(Formulario!H45)</f>
        <v/>
      </c>
      <c r="P34" s="17"/>
      <c r="Q34" s="104"/>
      <c r="R34" s="104"/>
      <c r="S34" s="117"/>
      <c r="T34" s="101"/>
      <c r="U34" s="101"/>
      <c r="V34" s="101"/>
      <c r="W34" s="102"/>
      <c r="X34" s="102"/>
      <c r="Y34" s="102"/>
      <c r="Z34" s="102"/>
      <c r="AA34" s="102"/>
      <c r="AB34" s="102"/>
      <c r="AC34" s="102"/>
      <c r="AD34" s="102"/>
    </row>
    <row r="35" spans="1:30">
      <c r="A35" s="102" t="str">
        <f>IF(L35="","",Formulario!B46)</f>
        <v/>
      </c>
      <c r="B35" s="119"/>
      <c r="C35" s="120"/>
      <c r="D35" s="121"/>
      <c r="E35" s="129" t="str">
        <f>IF(F35="","",Formulario!B46)</f>
        <v/>
      </c>
      <c r="F35" s="11" t="str">
        <f>TRIM(Formulario!D46)</f>
        <v/>
      </c>
      <c r="G35" s="11" t="str">
        <f>TRIM(Formulario!F46)</f>
        <v/>
      </c>
      <c r="H35" s="146" t="str">
        <f>IF(N35="",TRIM(Formulario!G46),TRIM(Formulario!G46)*N35)</f>
        <v/>
      </c>
      <c r="I35" s="107" t="str">
        <f>TRIM(Formulario!I46)</f>
        <v/>
      </c>
      <c r="J35" s="11" t="str">
        <f>TRIM(Formulario!J46)</f>
        <v/>
      </c>
      <c r="K35" s="11" t="str">
        <f>TRIM(Formulario!K46)</f>
        <v/>
      </c>
      <c r="L35" s="107" t="str">
        <f>TRIM(Formulario!L46)</f>
        <v/>
      </c>
      <c r="M35" s="107" t="str">
        <f>TRIM(Formulario!M46)</f>
        <v>0</v>
      </c>
      <c r="N35" s="11" t="str">
        <f>TRIM(Formulario!H46)</f>
        <v/>
      </c>
      <c r="P35" s="17"/>
      <c r="Q35" s="104"/>
      <c r="R35" s="104"/>
      <c r="S35" s="117"/>
      <c r="T35" s="101"/>
      <c r="U35" s="101"/>
      <c r="V35" s="101"/>
      <c r="W35" s="102"/>
      <c r="X35" s="102"/>
      <c r="Y35" s="102"/>
      <c r="Z35" s="102"/>
      <c r="AA35" s="102"/>
      <c r="AB35" s="102"/>
      <c r="AC35" s="102"/>
      <c r="AD35" s="102"/>
    </row>
    <row r="36" spans="1:30">
      <c r="A36" s="102" t="str">
        <f>IF(L36="","",Formulario!B47)</f>
        <v/>
      </c>
      <c r="B36" s="119"/>
      <c r="C36" s="120"/>
      <c r="D36" s="121"/>
      <c r="E36" s="129" t="str">
        <f>IF(F36="","",Formulario!B47)</f>
        <v/>
      </c>
      <c r="F36" s="11" t="str">
        <f>TRIM(Formulario!D47)</f>
        <v/>
      </c>
      <c r="G36" s="11" t="str">
        <f>TRIM(Formulario!F47)</f>
        <v/>
      </c>
      <c r="H36" s="146" t="str">
        <f>IF(N36="",TRIM(Formulario!G47),TRIM(Formulario!G47)*N36)</f>
        <v/>
      </c>
      <c r="I36" s="107" t="str">
        <f>TRIM(Formulario!I47)</f>
        <v/>
      </c>
      <c r="J36" s="11" t="str">
        <f>TRIM(Formulario!J47)</f>
        <v/>
      </c>
      <c r="K36" s="11" t="str">
        <f>TRIM(Formulario!K47)</f>
        <v/>
      </c>
      <c r="L36" s="107" t="str">
        <f>TRIM(Formulario!L47)</f>
        <v/>
      </c>
      <c r="M36" s="107" t="str">
        <f>TRIM(Formulario!M47)</f>
        <v>0</v>
      </c>
      <c r="N36" s="11" t="str">
        <f>TRIM(Formulario!H47)</f>
        <v/>
      </c>
      <c r="P36" s="17"/>
      <c r="Q36" s="104"/>
      <c r="R36" s="104"/>
      <c r="S36" s="117"/>
      <c r="T36" s="101"/>
      <c r="U36" s="101"/>
      <c r="V36" s="101"/>
      <c r="W36" s="102"/>
      <c r="X36" s="102"/>
      <c r="Y36" s="102"/>
      <c r="Z36" s="102"/>
      <c r="AA36" s="102"/>
      <c r="AB36" s="102"/>
      <c r="AC36" s="102"/>
      <c r="AD36" s="102"/>
    </row>
    <row r="37" spans="1:30">
      <c r="A37" s="102" t="str">
        <f>IF(L37="","",Formulario!B48)</f>
        <v/>
      </c>
      <c r="B37" s="119"/>
      <c r="C37" s="120"/>
      <c r="D37" s="121"/>
      <c r="E37" s="129" t="str">
        <f>IF(F37="","",Formulario!B48)</f>
        <v/>
      </c>
      <c r="F37" s="11" t="str">
        <f>TRIM(Formulario!D48)</f>
        <v/>
      </c>
      <c r="G37" s="11" t="str">
        <f>TRIM(Formulario!F48)</f>
        <v/>
      </c>
      <c r="H37" s="146" t="str">
        <f>IF(N37="",TRIM(Formulario!G48),TRIM(Formulario!G48)*N37)</f>
        <v/>
      </c>
      <c r="I37" s="107" t="str">
        <f>TRIM(Formulario!I48)</f>
        <v/>
      </c>
      <c r="J37" s="11" t="str">
        <f>TRIM(Formulario!J48)</f>
        <v/>
      </c>
      <c r="K37" s="11" t="str">
        <f>TRIM(Formulario!K48)</f>
        <v/>
      </c>
      <c r="L37" s="107" t="str">
        <f>TRIM(Formulario!L48)</f>
        <v/>
      </c>
      <c r="M37" s="107" t="str">
        <f>TRIM(Formulario!M48)</f>
        <v>0</v>
      </c>
      <c r="N37" s="11" t="str">
        <f>TRIM(Formulario!H48)</f>
        <v/>
      </c>
      <c r="P37" s="17"/>
      <c r="Q37" s="104"/>
      <c r="R37" s="104"/>
      <c r="S37" s="117"/>
      <c r="T37" s="101"/>
      <c r="U37" s="101"/>
      <c r="V37" s="101"/>
      <c r="W37" s="102"/>
      <c r="X37" s="102"/>
      <c r="Y37" s="102"/>
      <c r="Z37" s="102"/>
      <c r="AA37" s="102"/>
      <c r="AB37" s="102"/>
      <c r="AC37" s="102"/>
      <c r="AD37" s="102"/>
    </row>
    <row r="38" spans="1:30">
      <c r="A38" s="102" t="str">
        <f>IF(L38="","",Formulario!B49)</f>
        <v/>
      </c>
      <c r="B38" s="119"/>
      <c r="C38" s="120"/>
      <c r="D38" s="121"/>
      <c r="E38" s="129" t="str">
        <f>IF(F38="","",Formulario!B49)</f>
        <v/>
      </c>
      <c r="F38" s="11" t="str">
        <f>TRIM(Formulario!D49)</f>
        <v/>
      </c>
      <c r="G38" s="11" t="str">
        <f>TRIM(Formulario!F49)</f>
        <v/>
      </c>
      <c r="H38" s="146" t="str">
        <f>IF(N38="",TRIM(Formulario!G49),TRIM(Formulario!G49)*N38)</f>
        <v/>
      </c>
      <c r="I38" s="107" t="str">
        <f>TRIM(Formulario!I49)</f>
        <v/>
      </c>
      <c r="J38" s="11" t="str">
        <f>TRIM(Formulario!J49)</f>
        <v/>
      </c>
      <c r="K38" s="11" t="str">
        <f>TRIM(Formulario!K49)</f>
        <v/>
      </c>
      <c r="L38" s="107" t="str">
        <f>TRIM(Formulario!L49)</f>
        <v/>
      </c>
      <c r="M38" s="107" t="str">
        <f>TRIM(Formulario!M49)</f>
        <v>0</v>
      </c>
      <c r="N38" s="11" t="str">
        <f>TRIM(Formulario!H49)</f>
        <v/>
      </c>
      <c r="P38" s="17"/>
      <c r="Q38" s="104"/>
      <c r="R38" s="104"/>
      <c r="S38" s="117"/>
      <c r="T38" s="101"/>
      <c r="U38" s="101"/>
      <c r="V38" s="101"/>
      <c r="W38" s="102"/>
      <c r="X38" s="102"/>
      <c r="Y38" s="102"/>
      <c r="Z38" s="102"/>
      <c r="AA38" s="102"/>
      <c r="AB38" s="102"/>
      <c r="AC38" s="102"/>
      <c r="AD38" s="102"/>
    </row>
    <row r="39" spans="1:30">
      <c r="A39" s="102" t="str">
        <f>IF(L39="","",Formulario!B50)</f>
        <v/>
      </c>
      <c r="B39" s="119"/>
      <c r="C39" s="120"/>
      <c r="D39" s="121"/>
      <c r="E39" s="129" t="str">
        <f>IF(F39="","",Formulario!B50)</f>
        <v/>
      </c>
      <c r="F39" s="11" t="str">
        <f>TRIM(Formulario!D50)</f>
        <v/>
      </c>
      <c r="G39" s="11" t="str">
        <f>TRIM(Formulario!F50)</f>
        <v/>
      </c>
      <c r="H39" s="146" t="str">
        <f>IF(N39="",TRIM(Formulario!G50),TRIM(Formulario!G50)*N39)</f>
        <v/>
      </c>
      <c r="I39" s="107" t="str">
        <f>TRIM(Formulario!I50)</f>
        <v/>
      </c>
      <c r="J39" s="11" t="str">
        <f>TRIM(Formulario!J50)</f>
        <v/>
      </c>
      <c r="K39" s="11" t="str">
        <f>TRIM(Formulario!K50)</f>
        <v/>
      </c>
      <c r="L39" s="107" t="str">
        <f>TRIM(Formulario!L50)</f>
        <v/>
      </c>
      <c r="M39" s="107" t="str">
        <f>TRIM(Formulario!M50)</f>
        <v>0</v>
      </c>
      <c r="N39" s="11" t="str">
        <f>TRIM(Formulario!H50)</f>
        <v/>
      </c>
      <c r="P39" s="17"/>
      <c r="Q39" s="104"/>
      <c r="R39" s="104"/>
      <c r="S39" s="117"/>
      <c r="T39" s="101"/>
      <c r="U39" s="101"/>
      <c r="V39" s="101"/>
      <c r="W39" s="102"/>
      <c r="X39" s="102"/>
      <c r="Y39" s="102"/>
      <c r="Z39" s="102"/>
      <c r="AA39" s="102"/>
      <c r="AB39" s="102"/>
      <c r="AC39" s="102"/>
      <c r="AD39" s="102"/>
    </row>
    <row r="40" spans="1:30">
      <c r="A40" s="102" t="str">
        <f>IF(L40="","",Formulario!B51)</f>
        <v/>
      </c>
      <c r="B40" s="119"/>
      <c r="C40" s="120"/>
      <c r="D40" s="121"/>
      <c r="E40" s="129" t="str">
        <f>IF(F40="","",Formulario!B51)</f>
        <v/>
      </c>
      <c r="F40" s="11" t="str">
        <f>TRIM(Formulario!D51)</f>
        <v/>
      </c>
      <c r="G40" s="11" t="str">
        <f>TRIM(Formulario!F51)</f>
        <v/>
      </c>
      <c r="H40" s="146" t="str">
        <f>IF(N40="",TRIM(Formulario!G51),TRIM(Formulario!G51)*N40)</f>
        <v/>
      </c>
      <c r="I40" s="107" t="str">
        <f>TRIM(Formulario!I51)</f>
        <v/>
      </c>
      <c r="J40" s="11" t="str">
        <f>TRIM(Formulario!J51)</f>
        <v/>
      </c>
      <c r="K40" s="11" t="str">
        <f>TRIM(Formulario!K51)</f>
        <v/>
      </c>
      <c r="L40" s="107" t="str">
        <f>TRIM(Formulario!L51)</f>
        <v/>
      </c>
      <c r="M40" s="107" t="str">
        <f>TRIM(Formulario!M51)</f>
        <v>0</v>
      </c>
      <c r="N40" s="11" t="str">
        <f>TRIM(Formulario!H51)</f>
        <v/>
      </c>
      <c r="P40" s="17"/>
      <c r="Q40" s="104"/>
      <c r="R40" s="104"/>
      <c r="S40" s="117"/>
      <c r="T40" s="101"/>
      <c r="U40" s="101"/>
      <c r="V40" s="101"/>
      <c r="W40" s="102"/>
      <c r="X40" s="102"/>
      <c r="Y40" s="102"/>
      <c r="Z40" s="102"/>
      <c r="AA40" s="102"/>
      <c r="AB40" s="102"/>
      <c r="AC40" s="102"/>
      <c r="AD40" s="102"/>
    </row>
    <row r="41" spans="1:30">
      <c r="A41" s="102" t="str">
        <f>IF(L41="","",Formulario!B52)</f>
        <v/>
      </c>
      <c r="B41" s="119"/>
      <c r="C41" s="120"/>
      <c r="D41" s="121"/>
      <c r="E41" s="129" t="str">
        <f>IF(F41="","",Formulario!B52)</f>
        <v/>
      </c>
      <c r="F41" s="11" t="str">
        <f>TRIM(Formulario!D52)</f>
        <v/>
      </c>
      <c r="G41" s="11" t="str">
        <f>TRIM(Formulario!F52)</f>
        <v/>
      </c>
      <c r="H41" s="146" t="str">
        <f>IF(N41="",TRIM(Formulario!G52),TRIM(Formulario!G52)*N41)</f>
        <v/>
      </c>
      <c r="I41" s="107" t="str">
        <f>TRIM(Formulario!I52)</f>
        <v/>
      </c>
      <c r="J41" s="11" t="str">
        <f>TRIM(Formulario!J52)</f>
        <v/>
      </c>
      <c r="K41" s="11" t="str">
        <f>TRIM(Formulario!K52)</f>
        <v/>
      </c>
      <c r="L41" s="107" t="str">
        <f>TRIM(Formulario!L52)</f>
        <v/>
      </c>
      <c r="M41" s="107" t="str">
        <f>TRIM(Formulario!M52)</f>
        <v>0</v>
      </c>
      <c r="N41" s="11" t="str">
        <f>TRIM(Formulario!H52)</f>
        <v/>
      </c>
      <c r="P41" s="17"/>
      <c r="Q41" s="104"/>
      <c r="R41" s="104"/>
      <c r="S41" s="117"/>
      <c r="T41" s="101"/>
      <c r="U41" s="101"/>
      <c r="V41" s="101"/>
      <c r="W41" s="102"/>
      <c r="X41" s="102"/>
      <c r="Y41" s="102"/>
      <c r="Z41" s="102"/>
      <c r="AA41" s="102"/>
      <c r="AB41" s="102"/>
      <c r="AC41" s="102"/>
      <c r="AD41" s="102"/>
    </row>
    <row r="42" spans="1:30">
      <c r="A42" s="102" t="str">
        <f>IF(L42="","",Formulario!B53)</f>
        <v/>
      </c>
      <c r="B42" s="119"/>
      <c r="C42" s="120"/>
      <c r="D42" s="121"/>
      <c r="E42" s="129" t="str">
        <f>IF(F42="","",Formulario!B53)</f>
        <v/>
      </c>
      <c r="F42" s="11" t="str">
        <f>TRIM(Formulario!D53)</f>
        <v/>
      </c>
      <c r="G42" s="11" t="str">
        <f>TRIM(Formulario!F53)</f>
        <v/>
      </c>
      <c r="H42" s="146" t="str">
        <f>IF(N42="",TRIM(Formulario!G53),TRIM(Formulario!G53)*N42)</f>
        <v/>
      </c>
      <c r="I42" s="107" t="str">
        <f>TRIM(Formulario!I53)</f>
        <v/>
      </c>
      <c r="J42" s="11" t="str">
        <f>TRIM(Formulario!J53)</f>
        <v/>
      </c>
      <c r="K42" s="11" t="str">
        <f>TRIM(Formulario!K53)</f>
        <v/>
      </c>
      <c r="L42" s="107" t="str">
        <f>TRIM(Formulario!L53)</f>
        <v/>
      </c>
      <c r="M42" s="107" t="str">
        <f>TRIM(Formulario!M53)</f>
        <v>0</v>
      </c>
      <c r="N42" s="11" t="str">
        <f>TRIM(Formulario!H53)</f>
        <v/>
      </c>
      <c r="P42" s="17"/>
      <c r="Q42" s="104"/>
      <c r="R42" s="104"/>
      <c r="S42" s="117"/>
      <c r="T42" s="101"/>
      <c r="U42" s="101"/>
      <c r="V42" s="101"/>
      <c r="W42" s="102"/>
      <c r="X42" s="102"/>
      <c r="Y42" s="102"/>
      <c r="Z42" s="102"/>
      <c r="AA42" s="102"/>
      <c r="AB42" s="102"/>
      <c r="AC42" s="102"/>
      <c r="AD42" s="102"/>
    </row>
    <row r="43" spans="1:30">
      <c r="A43" s="102" t="str">
        <f>IF(L43="","",Formulario!B54)</f>
        <v/>
      </c>
      <c r="B43" s="119"/>
      <c r="C43" s="120"/>
      <c r="D43" s="121"/>
      <c r="E43" s="129" t="str">
        <f>IF(F43="","",Formulario!B54)</f>
        <v/>
      </c>
      <c r="F43" s="11" t="str">
        <f>TRIM(Formulario!D54)</f>
        <v/>
      </c>
      <c r="G43" s="11" t="str">
        <f>TRIM(Formulario!F54)</f>
        <v/>
      </c>
      <c r="H43" s="146" t="str">
        <f>IF(N43="",TRIM(Formulario!G54),TRIM(Formulario!G54)*N43)</f>
        <v/>
      </c>
      <c r="I43" s="107" t="str">
        <f>TRIM(Formulario!I54)</f>
        <v/>
      </c>
      <c r="J43" s="11" t="str">
        <f>TRIM(Formulario!J54)</f>
        <v/>
      </c>
      <c r="K43" s="11" t="str">
        <f>TRIM(Formulario!K54)</f>
        <v/>
      </c>
      <c r="L43" s="107" t="str">
        <f>TRIM(Formulario!L54)</f>
        <v/>
      </c>
      <c r="M43" s="107" t="str">
        <f>TRIM(Formulario!M54)</f>
        <v>0</v>
      </c>
      <c r="N43" s="11" t="str">
        <f>TRIM(Formulario!H54)</f>
        <v/>
      </c>
      <c r="P43" s="17"/>
      <c r="Q43" s="104"/>
      <c r="R43" s="104"/>
      <c r="S43" s="117"/>
      <c r="T43" s="101"/>
      <c r="U43" s="101"/>
      <c r="V43" s="101"/>
      <c r="W43" s="102"/>
      <c r="X43" s="102"/>
      <c r="Y43" s="102"/>
      <c r="Z43" s="102"/>
      <c r="AA43" s="102"/>
      <c r="AB43" s="102"/>
      <c r="AC43" s="102"/>
      <c r="AD43" s="102"/>
    </row>
    <row r="44" spans="1:30">
      <c r="A44" s="102" t="str">
        <f>IF(L44="","",Formulario!B55)</f>
        <v/>
      </c>
      <c r="B44" s="119"/>
      <c r="C44" s="120"/>
      <c r="D44" s="121"/>
      <c r="E44" s="129" t="str">
        <f>IF(F44="","",Formulario!B55)</f>
        <v/>
      </c>
      <c r="F44" s="11" t="str">
        <f>TRIM(Formulario!D55)</f>
        <v/>
      </c>
      <c r="G44" s="11" t="str">
        <f>TRIM(Formulario!F55)</f>
        <v/>
      </c>
      <c r="H44" s="146" t="str">
        <f>IF(N44="",TRIM(Formulario!G55),TRIM(Formulario!G55)*N44)</f>
        <v/>
      </c>
      <c r="I44" s="107" t="str">
        <f>TRIM(Formulario!I55)</f>
        <v/>
      </c>
      <c r="J44" s="11" t="str">
        <f>TRIM(Formulario!J55)</f>
        <v/>
      </c>
      <c r="K44" s="11" t="str">
        <f>TRIM(Formulario!K55)</f>
        <v/>
      </c>
      <c r="L44" s="107" t="str">
        <f>TRIM(Formulario!L55)</f>
        <v/>
      </c>
      <c r="M44" s="107" t="str">
        <f>TRIM(Formulario!M55)</f>
        <v>0</v>
      </c>
      <c r="N44" s="11" t="str">
        <f>TRIM(Formulario!H55)</f>
        <v/>
      </c>
      <c r="P44" s="17"/>
      <c r="Q44" s="104"/>
      <c r="R44" s="104"/>
      <c r="S44" s="117"/>
      <c r="T44" s="101"/>
      <c r="U44" s="101"/>
      <c r="V44" s="101"/>
      <c r="W44" s="102"/>
      <c r="X44" s="102"/>
      <c r="Y44" s="102"/>
      <c r="Z44" s="102"/>
      <c r="AA44" s="102"/>
      <c r="AB44" s="102"/>
      <c r="AC44" s="102"/>
      <c r="AD44" s="102"/>
    </row>
    <row r="45" spans="1:30">
      <c r="A45" s="102" t="str">
        <f>IF(L45="","",Formulario!B56)</f>
        <v/>
      </c>
      <c r="B45" s="119"/>
      <c r="C45" s="120"/>
      <c r="D45" s="121"/>
      <c r="E45" s="129" t="str">
        <f>IF(F45="","",Formulario!B56)</f>
        <v/>
      </c>
      <c r="F45" s="11" t="str">
        <f>TRIM(Formulario!D56)</f>
        <v/>
      </c>
      <c r="G45" s="11" t="str">
        <f>TRIM(Formulario!F56)</f>
        <v/>
      </c>
      <c r="H45" s="146" t="str">
        <f>IF(N45="",TRIM(Formulario!G56),TRIM(Formulario!G56)*N45)</f>
        <v/>
      </c>
      <c r="I45" s="107" t="str">
        <f>TRIM(Formulario!I56)</f>
        <v/>
      </c>
      <c r="J45" s="11" t="str">
        <f>TRIM(Formulario!J56)</f>
        <v/>
      </c>
      <c r="K45" s="11" t="str">
        <f>TRIM(Formulario!K56)</f>
        <v/>
      </c>
      <c r="L45" s="107" t="str">
        <f>TRIM(Formulario!L56)</f>
        <v/>
      </c>
      <c r="M45" s="107" t="str">
        <f>TRIM(Formulario!M56)</f>
        <v>0</v>
      </c>
      <c r="N45" s="11" t="str">
        <f>TRIM(Formulario!H56)</f>
        <v/>
      </c>
      <c r="P45" s="17"/>
      <c r="Q45" s="104"/>
      <c r="R45" s="104"/>
      <c r="S45" s="117"/>
      <c r="T45" s="101"/>
      <c r="U45" s="101"/>
      <c r="V45" s="101"/>
      <c r="W45" s="102"/>
      <c r="X45" s="102"/>
      <c r="Y45" s="102"/>
      <c r="Z45" s="102"/>
      <c r="AA45" s="102"/>
      <c r="AB45" s="102"/>
      <c r="AC45" s="102"/>
      <c r="AD45" s="102"/>
    </row>
    <row r="46" spans="1:30">
      <c r="A46" s="8" t="str">
        <f>IF(L46="","",Formulario!B57)</f>
        <v/>
      </c>
      <c r="B46" s="119"/>
      <c r="C46" s="120"/>
      <c r="D46" s="121"/>
      <c r="E46" s="129" t="str">
        <f>IF(F46="","",Formulario!B57)</f>
        <v/>
      </c>
      <c r="F46" s="11" t="str">
        <f>TRIM(Formulario!D57)</f>
        <v/>
      </c>
      <c r="G46" s="11" t="str">
        <f>TRIM(Formulario!F57)</f>
        <v/>
      </c>
      <c r="H46" s="146" t="str">
        <f>IF(N46="",TRIM(Formulario!G57),TRIM(Formulario!G57)*N46)</f>
        <v/>
      </c>
      <c r="I46" s="107" t="str">
        <f>TRIM(Formulario!I57)</f>
        <v/>
      </c>
      <c r="J46" s="11" t="str">
        <f>TRIM(Formulario!J57)</f>
        <v/>
      </c>
      <c r="K46" s="11" t="str">
        <f>TRIM(Formulario!K57)</f>
        <v/>
      </c>
      <c r="L46" s="107" t="str">
        <f>TRIM(Formulario!L57)</f>
        <v/>
      </c>
      <c r="M46" s="107" t="str">
        <f>TRIM(Formulario!M57)</f>
        <v>0</v>
      </c>
      <c r="N46" s="11" t="str">
        <f>TRIM(Formulario!H57)</f>
        <v/>
      </c>
      <c r="P46" s="17"/>
      <c r="Q46" s="104"/>
      <c r="R46" s="104"/>
      <c r="S46" s="117"/>
      <c r="T46" s="101"/>
      <c r="U46" s="101"/>
      <c r="V46" s="101"/>
      <c r="W46" s="102"/>
      <c r="X46" s="102"/>
      <c r="Y46" s="102"/>
      <c r="Z46" s="102"/>
      <c r="AA46" s="102"/>
      <c r="AB46" s="102"/>
      <c r="AC46" s="102"/>
      <c r="AD46" s="102"/>
    </row>
    <row r="47" spans="1:30">
      <c r="A47" s="8" t="str">
        <f>IF(L47="","",Formulario!B58)</f>
        <v/>
      </c>
      <c r="B47" s="119"/>
      <c r="C47" s="120"/>
      <c r="D47" s="121"/>
      <c r="E47" s="129" t="str">
        <f>IF(F47="","",Formulario!B58)</f>
        <v/>
      </c>
      <c r="F47" s="11" t="str">
        <f>TRIM(Formulario!D58)</f>
        <v/>
      </c>
      <c r="G47" s="11" t="str">
        <f>TRIM(Formulario!F58)</f>
        <v/>
      </c>
      <c r="H47" s="146" t="str">
        <f>IF(N47="",TRIM(Formulario!G58),TRIM(Formulario!G58)*N47)</f>
        <v/>
      </c>
      <c r="I47" s="107" t="str">
        <f>TRIM(Formulario!I58)</f>
        <v/>
      </c>
      <c r="J47" s="11" t="str">
        <f>TRIM(Formulario!J58)</f>
        <v/>
      </c>
      <c r="K47" s="11" t="str">
        <f>TRIM(Formulario!K58)</f>
        <v/>
      </c>
      <c r="L47" s="107" t="str">
        <f>TRIM(Formulario!L58)</f>
        <v/>
      </c>
      <c r="M47" s="107" t="str">
        <f>TRIM(Formulario!M58)</f>
        <v>0</v>
      </c>
      <c r="N47" s="11" t="str">
        <f>TRIM(Formulario!H58)</f>
        <v/>
      </c>
      <c r="P47" s="17"/>
      <c r="Q47" s="104"/>
      <c r="R47" s="104"/>
      <c r="S47" s="117"/>
      <c r="T47" s="101"/>
      <c r="U47" s="101"/>
      <c r="V47" s="101"/>
      <c r="W47" s="102"/>
      <c r="X47" s="102"/>
      <c r="Y47" s="102"/>
      <c r="Z47" s="102"/>
      <c r="AA47" s="102"/>
      <c r="AB47" s="102"/>
      <c r="AC47" s="102"/>
      <c r="AD47" s="102"/>
    </row>
    <row r="48" spans="1:30">
      <c r="A48" s="8" t="str">
        <f>IF(L48="","",Formulario!B59)</f>
        <v/>
      </c>
      <c r="B48" s="119"/>
      <c r="C48" s="120"/>
      <c r="D48" s="121"/>
      <c r="E48" s="129" t="str">
        <f>IF(F48="","",Formulario!B59)</f>
        <v/>
      </c>
      <c r="F48" s="11" t="str">
        <f>TRIM(Formulario!D59)</f>
        <v/>
      </c>
      <c r="G48" s="11" t="str">
        <f>TRIM(Formulario!F59)</f>
        <v/>
      </c>
      <c r="H48" s="146" t="str">
        <f>IF(N48="",TRIM(Formulario!G59),TRIM(Formulario!G59)*N48)</f>
        <v/>
      </c>
      <c r="I48" s="107" t="str">
        <f>TRIM(Formulario!I59)</f>
        <v/>
      </c>
      <c r="J48" s="11" t="str">
        <f>TRIM(Formulario!J59)</f>
        <v/>
      </c>
      <c r="K48" s="11" t="str">
        <f>TRIM(Formulario!K59)</f>
        <v/>
      </c>
      <c r="L48" s="107" t="str">
        <f>TRIM(Formulario!L59)</f>
        <v/>
      </c>
      <c r="M48" s="107" t="str">
        <f>TRIM(Formulario!M59)</f>
        <v>0</v>
      </c>
      <c r="N48" s="11" t="str">
        <f>TRIM(Formulario!H59)</f>
        <v/>
      </c>
      <c r="P48" s="17"/>
      <c r="Q48" s="104"/>
      <c r="R48" s="104"/>
      <c r="S48" s="117"/>
      <c r="T48" s="101"/>
      <c r="U48" s="101"/>
      <c r="V48" s="101"/>
      <c r="W48" s="102"/>
      <c r="X48" s="102"/>
      <c r="Y48" s="102"/>
      <c r="Z48" s="102"/>
      <c r="AA48" s="102"/>
      <c r="AB48" s="102"/>
      <c r="AC48" s="102"/>
      <c r="AD48" s="102"/>
    </row>
    <row r="49" spans="1:30">
      <c r="A49" s="8" t="str">
        <f>IF(L49="","",Formulario!B60)</f>
        <v/>
      </c>
      <c r="B49" s="119"/>
      <c r="C49" s="120"/>
      <c r="D49" s="121"/>
      <c r="E49" s="129" t="str">
        <f>IF(F49="","",Formulario!B60)</f>
        <v/>
      </c>
      <c r="F49" s="11" t="str">
        <f>TRIM(Formulario!D60)</f>
        <v/>
      </c>
      <c r="G49" s="11" t="str">
        <f>TRIM(Formulario!F60)</f>
        <v/>
      </c>
      <c r="H49" s="146" t="str">
        <f>IF(N49="",TRIM(Formulario!G60),TRIM(Formulario!G60)*N49)</f>
        <v/>
      </c>
      <c r="I49" s="107" t="str">
        <f>TRIM(Formulario!I60)</f>
        <v/>
      </c>
      <c r="J49" s="11" t="str">
        <f>TRIM(Formulario!J60)</f>
        <v/>
      </c>
      <c r="K49" s="11" t="str">
        <f>TRIM(Formulario!K60)</f>
        <v/>
      </c>
      <c r="L49" s="107" t="str">
        <f>TRIM(Formulario!L60)</f>
        <v/>
      </c>
      <c r="M49" s="107" t="str">
        <f>TRIM(Formulario!M60)</f>
        <v>0</v>
      </c>
      <c r="N49" s="11" t="str">
        <f>TRIM(Formulario!H60)</f>
        <v/>
      </c>
      <c r="P49" s="17"/>
      <c r="Q49" s="104"/>
      <c r="R49" s="104"/>
      <c r="S49" s="117"/>
      <c r="T49" s="101"/>
      <c r="U49" s="101"/>
      <c r="V49" s="101"/>
      <c r="W49" s="102"/>
      <c r="X49" s="102"/>
      <c r="Y49" s="102"/>
      <c r="Z49" s="102"/>
      <c r="AA49" s="102"/>
      <c r="AB49" s="102"/>
      <c r="AC49" s="102"/>
      <c r="AD49" s="102"/>
    </row>
    <row r="50" spans="1:30">
      <c r="A50" s="8" t="str">
        <f>IF(L50="","",Formulario!B61)</f>
        <v/>
      </c>
      <c r="B50" s="119"/>
      <c r="C50" s="120"/>
      <c r="D50" s="121"/>
      <c r="E50" s="129" t="str">
        <f>IF(F50="","",Formulario!B61)</f>
        <v/>
      </c>
      <c r="F50" s="11" t="str">
        <f>TRIM(Formulario!D61)</f>
        <v/>
      </c>
      <c r="G50" s="11" t="str">
        <f>TRIM(Formulario!F61)</f>
        <v/>
      </c>
      <c r="H50" s="146" t="str">
        <f>IF(N50="",TRIM(Formulario!G61),TRIM(Formulario!G61)*N50)</f>
        <v/>
      </c>
      <c r="I50" s="107" t="str">
        <f>TRIM(Formulario!I61)</f>
        <v/>
      </c>
      <c r="J50" s="11" t="str">
        <f>TRIM(Formulario!J61)</f>
        <v/>
      </c>
      <c r="K50" s="11" t="str">
        <f>TRIM(Formulario!K61)</f>
        <v/>
      </c>
      <c r="L50" s="107" t="str">
        <f>TRIM(Formulario!L61)</f>
        <v/>
      </c>
      <c r="M50" s="107" t="str">
        <f>TRIM(Formulario!M61)</f>
        <v>0</v>
      </c>
      <c r="N50" s="11" t="str">
        <f>TRIM(Formulario!H61)</f>
        <v/>
      </c>
      <c r="P50" s="17"/>
      <c r="Q50" s="104"/>
      <c r="R50" s="104"/>
      <c r="S50" s="117"/>
      <c r="T50" s="101"/>
      <c r="U50" s="101"/>
      <c r="V50" s="101"/>
      <c r="W50" s="102"/>
      <c r="X50" s="102"/>
      <c r="Y50" s="102"/>
      <c r="Z50" s="102"/>
      <c r="AA50" s="102"/>
      <c r="AB50" s="102"/>
      <c r="AC50" s="102"/>
      <c r="AD50" s="102"/>
    </row>
    <row r="51" spans="1:30">
      <c r="A51" s="8" t="str">
        <f>IF(L51="","",Formulario!B62)</f>
        <v/>
      </c>
      <c r="B51" s="119"/>
      <c r="C51" s="120"/>
      <c r="D51" s="121"/>
      <c r="E51" s="129" t="str">
        <f>IF(F51="","",Formulario!B62)</f>
        <v/>
      </c>
      <c r="F51" s="11" t="str">
        <f>TRIM(Formulario!D62)</f>
        <v/>
      </c>
      <c r="G51" s="11" t="str">
        <f>TRIM(Formulario!F62)</f>
        <v/>
      </c>
      <c r="H51" s="146" t="str">
        <f>IF(N51="",TRIM(Formulario!G62),TRIM(Formulario!G62)*N51)</f>
        <v/>
      </c>
      <c r="I51" s="107" t="str">
        <f>TRIM(Formulario!I62)</f>
        <v/>
      </c>
      <c r="J51" s="11" t="str">
        <f>TRIM(Formulario!J62)</f>
        <v/>
      </c>
      <c r="K51" s="11" t="str">
        <f>TRIM(Formulario!K62)</f>
        <v/>
      </c>
      <c r="L51" s="107" t="str">
        <f>TRIM(Formulario!L62)</f>
        <v/>
      </c>
      <c r="M51" s="107" t="str">
        <f>TRIM(Formulario!M62)</f>
        <v>0</v>
      </c>
      <c r="N51" s="11" t="str">
        <f>TRIM(Formulario!H62)</f>
        <v/>
      </c>
      <c r="P51" s="17"/>
      <c r="Q51" s="104"/>
      <c r="R51" s="104"/>
      <c r="S51" s="117"/>
      <c r="T51" s="101"/>
      <c r="U51" s="101"/>
      <c r="V51" s="101"/>
      <c r="W51" s="102"/>
      <c r="X51" s="102"/>
      <c r="Y51" s="102"/>
      <c r="Z51" s="102"/>
      <c r="AA51" s="102"/>
      <c r="AB51" s="102"/>
      <c r="AC51" s="102"/>
      <c r="AD51" s="102"/>
    </row>
    <row r="52" spans="1:30">
      <c r="A52" s="8" t="str">
        <f>IF(L52="","",Formulario!B63)</f>
        <v/>
      </c>
      <c r="B52" s="119"/>
      <c r="C52" s="120"/>
      <c r="D52" s="121"/>
      <c r="E52" s="129" t="str">
        <f>IF(F52="","",Formulario!B63)</f>
        <v/>
      </c>
      <c r="F52" s="11" t="str">
        <f>TRIM(Formulario!D63)</f>
        <v/>
      </c>
      <c r="G52" s="11" t="str">
        <f>TRIM(Formulario!F63)</f>
        <v/>
      </c>
      <c r="H52" s="146" t="str">
        <f>IF(N52="",TRIM(Formulario!G63),TRIM(Formulario!G63)*N52)</f>
        <v/>
      </c>
      <c r="I52" s="107" t="str">
        <f>TRIM(Formulario!I63)</f>
        <v/>
      </c>
      <c r="J52" s="11" t="str">
        <f>TRIM(Formulario!J63)</f>
        <v/>
      </c>
      <c r="K52" s="11" t="str">
        <f>TRIM(Formulario!K63)</f>
        <v/>
      </c>
      <c r="L52" s="107" t="str">
        <f>TRIM(Formulario!L63)</f>
        <v/>
      </c>
      <c r="M52" s="107" t="str">
        <f>TRIM(Formulario!M63)</f>
        <v>0</v>
      </c>
      <c r="N52" s="11" t="str">
        <f>TRIM(Formulario!H63)</f>
        <v/>
      </c>
      <c r="P52" s="17"/>
      <c r="Q52" s="104"/>
      <c r="R52" s="104"/>
      <c r="S52" s="117"/>
      <c r="T52" s="101"/>
      <c r="U52" s="101"/>
      <c r="V52" s="101"/>
      <c r="W52" s="102"/>
      <c r="X52" s="102"/>
      <c r="Y52" s="102"/>
      <c r="Z52" s="102"/>
      <c r="AA52" s="102"/>
      <c r="AB52" s="102"/>
      <c r="AC52" s="102"/>
      <c r="AD52" s="102"/>
    </row>
    <row r="53" spans="1:30">
      <c r="A53" s="8" t="str">
        <f>IF(L53="","",Formulario!B64)</f>
        <v/>
      </c>
      <c r="B53" s="119"/>
      <c r="C53" s="120"/>
      <c r="D53" s="121"/>
      <c r="E53" s="129" t="str">
        <f>IF(F53="","",Formulario!B64)</f>
        <v/>
      </c>
      <c r="F53" s="11" t="str">
        <f>TRIM(Formulario!D64)</f>
        <v/>
      </c>
      <c r="G53" s="11" t="str">
        <f>TRIM(Formulario!F64)</f>
        <v/>
      </c>
      <c r="H53" s="146" t="str">
        <f>IF(N53="",TRIM(Formulario!G64),TRIM(Formulario!G64)*N53)</f>
        <v/>
      </c>
      <c r="I53" s="107" t="str">
        <f>TRIM(Formulario!I64)</f>
        <v/>
      </c>
      <c r="J53" s="11" t="str">
        <f>TRIM(Formulario!J64)</f>
        <v/>
      </c>
      <c r="K53" s="11" t="str">
        <f>TRIM(Formulario!K64)</f>
        <v/>
      </c>
      <c r="L53" s="107" t="str">
        <f>TRIM(Formulario!L64)</f>
        <v/>
      </c>
      <c r="M53" s="107" t="str">
        <f>TRIM(Formulario!M64)</f>
        <v>0</v>
      </c>
      <c r="N53" s="11" t="str">
        <f>TRIM(Formulario!H64)</f>
        <v/>
      </c>
      <c r="P53" s="17"/>
      <c r="Q53" s="104"/>
      <c r="R53" s="104"/>
      <c r="S53" s="117"/>
      <c r="T53" s="101"/>
      <c r="U53" s="101"/>
      <c r="V53" s="101"/>
      <c r="W53" s="102"/>
      <c r="X53" s="102"/>
      <c r="Y53" s="102"/>
      <c r="Z53" s="102"/>
      <c r="AA53" s="102"/>
      <c r="AB53" s="102"/>
      <c r="AC53" s="102"/>
      <c r="AD53" s="102"/>
    </row>
    <row r="54" spans="1:30">
      <c r="A54" s="8" t="str">
        <f>IF(L54="","",Formulario!B65)</f>
        <v/>
      </c>
      <c r="B54" s="119"/>
      <c r="C54" s="120"/>
      <c r="D54" s="121"/>
      <c r="E54" s="129" t="str">
        <f>IF(F54="","",Formulario!B65)</f>
        <v/>
      </c>
      <c r="F54" s="11" t="str">
        <f>TRIM(Formulario!D65)</f>
        <v/>
      </c>
      <c r="G54" s="11" t="str">
        <f>TRIM(Formulario!F65)</f>
        <v/>
      </c>
      <c r="H54" s="146" t="str">
        <f>IF(N54="",TRIM(Formulario!G65),TRIM(Formulario!G65)*N54)</f>
        <v/>
      </c>
      <c r="I54" s="107" t="str">
        <f>TRIM(Formulario!I65)</f>
        <v/>
      </c>
      <c r="J54" s="11" t="str">
        <f>TRIM(Formulario!J65)</f>
        <v/>
      </c>
      <c r="K54" s="11" t="str">
        <f>TRIM(Formulario!K65)</f>
        <v/>
      </c>
      <c r="L54" s="107" t="str">
        <f>TRIM(Formulario!L65)</f>
        <v/>
      </c>
      <c r="M54" s="107" t="str">
        <f>TRIM(Formulario!M65)</f>
        <v>0</v>
      </c>
      <c r="N54" s="11" t="str">
        <f>TRIM(Formulario!H65)</f>
        <v/>
      </c>
      <c r="P54" s="17"/>
      <c r="Q54" s="104"/>
      <c r="R54" s="104"/>
      <c r="S54" s="117"/>
      <c r="T54" s="101"/>
      <c r="U54" s="101"/>
      <c r="V54" s="101"/>
      <c r="W54" s="102"/>
      <c r="X54" s="102"/>
      <c r="Y54" s="102"/>
      <c r="Z54" s="102"/>
      <c r="AA54" s="102"/>
      <c r="AB54" s="102"/>
      <c r="AC54" s="102"/>
      <c r="AD54" s="102"/>
    </row>
    <row r="55" spans="1:30">
      <c r="A55" s="8" t="str">
        <f>IF(L55="","",Formulario!B66)</f>
        <v/>
      </c>
      <c r="B55" s="119"/>
      <c r="C55" s="120"/>
      <c r="D55" s="121"/>
      <c r="E55" s="129" t="str">
        <f>IF(F55="","",Formulario!B66)</f>
        <v/>
      </c>
      <c r="F55" s="11" t="str">
        <f>TRIM(Formulario!D66)</f>
        <v/>
      </c>
      <c r="G55" s="11" t="str">
        <f>TRIM(Formulario!F66)</f>
        <v/>
      </c>
      <c r="H55" s="146" t="str">
        <f>IF(N55="",TRIM(Formulario!G66),TRIM(Formulario!G66)*N55)</f>
        <v/>
      </c>
      <c r="I55" s="107" t="str">
        <f>TRIM(Formulario!I66)</f>
        <v/>
      </c>
      <c r="J55" s="11" t="str">
        <f>TRIM(Formulario!J66)</f>
        <v/>
      </c>
      <c r="K55" s="11" t="str">
        <f>TRIM(Formulario!K66)</f>
        <v/>
      </c>
      <c r="L55" s="107" t="str">
        <f>TRIM(Formulario!L66)</f>
        <v/>
      </c>
      <c r="M55" s="107" t="str">
        <f>TRIM(Formulario!M66)</f>
        <v>0</v>
      </c>
      <c r="N55" s="11" t="str">
        <f>TRIM(Formulario!H66)</f>
        <v/>
      </c>
      <c r="P55" s="17"/>
      <c r="Q55" s="104"/>
      <c r="R55" s="104"/>
      <c r="S55" s="117"/>
      <c r="T55" s="101"/>
      <c r="U55" s="101"/>
      <c r="V55" s="101"/>
      <c r="W55" s="102"/>
      <c r="X55" s="102"/>
      <c r="Y55" s="102"/>
      <c r="Z55" s="102"/>
      <c r="AA55" s="102"/>
      <c r="AB55" s="102"/>
      <c r="AC55" s="102"/>
      <c r="AD55" s="102"/>
    </row>
    <row r="56" spans="1:30">
      <c r="A56" s="8" t="str">
        <f>IF(L56="","",Formulario!B67)</f>
        <v/>
      </c>
      <c r="B56" s="119"/>
      <c r="C56" s="120"/>
      <c r="D56" s="121"/>
      <c r="E56" s="129" t="str">
        <f>IF(F56="","",Formulario!B67)</f>
        <v/>
      </c>
      <c r="F56" s="11" t="str">
        <f>TRIM(Formulario!D67)</f>
        <v/>
      </c>
      <c r="G56" s="11" t="str">
        <f>TRIM(Formulario!F67)</f>
        <v/>
      </c>
      <c r="H56" s="146" t="str">
        <f>IF(N56="",TRIM(Formulario!G67),TRIM(Formulario!G67)*N56)</f>
        <v/>
      </c>
      <c r="I56" s="107" t="str">
        <f>TRIM(Formulario!I67)</f>
        <v/>
      </c>
      <c r="J56" s="11" t="str">
        <f>TRIM(Formulario!J67)</f>
        <v/>
      </c>
      <c r="K56" s="11" t="str">
        <f>TRIM(Formulario!K67)</f>
        <v/>
      </c>
      <c r="L56" s="107" t="str">
        <f>TRIM(Formulario!L67)</f>
        <v/>
      </c>
      <c r="M56" s="107" t="str">
        <f>TRIM(Formulario!M67)</f>
        <v>0</v>
      </c>
      <c r="N56" s="11" t="str">
        <f>TRIM(Formulario!H67)</f>
        <v/>
      </c>
      <c r="P56" s="17"/>
      <c r="Q56" s="104"/>
      <c r="R56" s="104"/>
      <c r="S56" s="117"/>
      <c r="T56" s="101"/>
      <c r="U56" s="101"/>
      <c r="V56" s="101"/>
      <c r="W56" s="102"/>
      <c r="X56" s="102"/>
      <c r="Y56" s="102"/>
      <c r="Z56" s="102"/>
      <c r="AA56" s="102"/>
      <c r="AB56" s="102"/>
      <c r="AC56" s="102"/>
      <c r="AD56" s="102"/>
    </row>
    <row r="57" spans="1:30">
      <c r="A57" s="8" t="str">
        <f>IF(L57="","",Formulario!B68)</f>
        <v/>
      </c>
      <c r="B57" s="119"/>
      <c r="C57" s="120"/>
      <c r="D57" s="121"/>
      <c r="E57" s="129" t="str">
        <f>IF(F57="","",Formulario!B68)</f>
        <v/>
      </c>
      <c r="F57" s="11" t="str">
        <f>TRIM(Formulario!D68)</f>
        <v/>
      </c>
      <c r="G57" s="11" t="str">
        <f>TRIM(Formulario!F68)</f>
        <v/>
      </c>
      <c r="H57" s="146" t="str">
        <f>IF(N57="",TRIM(Formulario!G68),TRIM(Formulario!G68)*N57)</f>
        <v/>
      </c>
      <c r="I57" s="107" t="str">
        <f>TRIM(Formulario!I68)</f>
        <v/>
      </c>
      <c r="J57" s="11" t="str">
        <f>TRIM(Formulario!J68)</f>
        <v/>
      </c>
      <c r="K57" s="11" t="str">
        <f>TRIM(Formulario!K68)</f>
        <v/>
      </c>
      <c r="L57" s="107" t="str">
        <f>TRIM(Formulario!L68)</f>
        <v/>
      </c>
      <c r="M57" s="107" t="str">
        <f>TRIM(Formulario!M68)</f>
        <v>0</v>
      </c>
      <c r="N57" s="11" t="str">
        <f>TRIM(Formulario!H68)</f>
        <v/>
      </c>
      <c r="P57" s="17"/>
      <c r="Q57" s="104"/>
      <c r="R57" s="104"/>
      <c r="S57" s="117"/>
      <c r="T57" s="101"/>
      <c r="U57" s="101"/>
      <c r="V57" s="101"/>
      <c r="W57" s="102"/>
      <c r="X57" s="102"/>
      <c r="Y57" s="102"/>
      <c r="Z57" s="102"/>
      <c r="AA57" s="102"/>
      <c r="AB57" s="102"/>
      <c r="AC57" s="102"/>
      <c r="AD57" s="102"/>
    </row>
    <row r="58" spans="1:30">
      <c r="A58" s="8" t="str">
        <f>IF(L58="","",Formulario!B69)</f>
        <v/>
      </c>
      <c r="B58" s="119"/>
      <c r="C58" s="120"/>
      <c r="D58" s="121"/>
      <c r="E58" s="129" t="str">
        <f>IF(F58="","",Formulario!B69)</f>
        <v/>
      </c>
      <c r="F58" s="11" t="str">
        <f>TRIM(Formulario!D69)</f>
        <v/>
      </c>
      <c r="G58" s="11" t="str">
        <f>TRIM(Formulario!F69)</f>
        <v/>
      </c>
      <c r="H58" s="146" t="str">
        <f>IF(N58="",TRIM(Formulario!G69),TRIM(Formulario!G69)*N58)</f>
        <v/>
      </c>
      <c r="I58" s="107" t="str">
        <f>TRIM(Formulario!I69)</f>
        <v/>
      </c>
      <c r="J58" s="11" t="str">
        <f>TRIM(Formulario!J69)</f>
        <v/>
      </c>
      <c r="K58" s="11" t="str">
        <f>TRIM(Formulario!K69)</f>
        <v/>
      </c>
      <c r="L58" s="107" t="str">
        <f>TRIM(Formulario!L69)</f>
        <v/>
      </c>
      <c r="M58" s="107" t="str">
        <f>TRIM(Formulario!M69)</f>
        <v>0</v>
      </c>
      <c r="N58" s="11" t="str">
        <f>TRIM(Formulario!H69)</f>
        <v/>
      </c>
      <c r="P58" s="17"/>
      <c r="Q58" s="104"/>
      <c r="R58" s="104"/>
      <c r="S58" s="117"/>
      <c r="T58" s="101"/>
      <c r="U58" s="101"/>
      <c r="V58" s="101"/>
      <c r="W58" s="102"/>
      <c r="X58" s="102"/>
      <c r="Y58" s="102"/>
      <c r="Z58" s="102"/>
      <c r="AA58" s="102"/>
      <c r="AB58" s="102"/>
      <c r="AC58" s="102"/>
      <c r="AD58" s="102"/>
    </row>
    <row r="59" spans="1:30">
      <c r="A59" s="8" t="str">
        <f>IF(L59="","",Formulario!B70)</f>
        <v/>
      </c>
      <c r="B59" s="119"/>
      <c r="C59" s="120"/>
      <c r="D59" s="121"/>
      <c r="E59" s="129" t="str">
        <f>IF(F59="","",Formulario!B70)</f>
        <v/>
      </c>
      <c r="F59" s="11" t="str">
        <f>TRIM(Formulario!D70)</f>
        <v/>
      </c>
      <c r="G59" s="11" t="str">
        <f>TRIM(Formulario!F70)</f>
        <v/>
      </c>
      <c r="H59" s="146" t="str">
        <f>IF(N59="",TRIM(Formulario!G70),TRIM(Formulario!G70)*N59)</f>
        <v/>
      </c>
      <c r="I59" s="107" t="str">
        <f>TRIM(Formulario!I70)</f>
        <v/>
      </c>
      <c r="J59" s="11" t="str">
        <f>TRIM(Formulario!J70)</f>
        <v/>
      </c>
      <c r="K59" s="11" t="str">
        <f>TRIM(Formulario!K70)</f>
        <v/>
      </c>
      <c r="L59" s="107" t="str">
        <f>TRIM(Formulario!L70)</f>
        <v/>
      </c>
      <c r="M59" s="107" t="str">
        <f>TRIM(Formulario!M70)</f>
        <v>0</v>
      </c>
      <c r="N59" s="11" t="str">
        <f>TRIM(Formulario!H70)</f>
        <v/>
      </c>
      <c r="P59" s="17"/>
      <c r="Q59" s="104"/>
      <c r="R59" s="104"/>
      <c r="S59" s="117"/>
      <c r="T59" s="101"/>
      <c r="U59" s="101"/>
      <c r="V59" s="101"/>
      <c r="W59" s="102"/>
      <c r="X59" s="102"/>
      <c r="Y59" s="102"/>
      <c r="Z59" s="102"/>
      <c r="AA59" s="102"/>
      <c r="AB59" s="102"/>
      <c r="AC59" s="102"/>
      <c r="AD59" s="102"/>
    </row>
    <row r="60" spans="1:30">
      <c r="A60" s="8" t="str">
        <f>IF(L60="","",Formulario!B71)</f>
        <v/>
      </c>
      <c r="B60" s="119"/>
      <c r="C60" s="120"/>
      <c r="D60" s="121"/>
      <c r="E60" s="129" t="str">
        <f>IF(F60="","",Formulario!B71)</f>
        <v/>
      </c>
      <c r="F60" s="11" t="str">
        <f>TRIM(Formulario!D71)</f>
        <v/>
      </c>
      <c r="G60" s="11" t="str">
        <f>TRIM(Formulario!F71)</f>
        <v/>
      </c>
      <c r="H60" s="146" t="str">
        <f>IF(N60="",TRIM(Formulario!G71),TRIM(Formulario!G71)*N60)</f>
        <v/>
      </c>
      <c r="I60" s="107" t="str">
        <f>TRIM(Formulario!I71)</f>
        <v/>
      </c>
      <c r="J60" s="11" t="str">
        <f>TRIM(Formulario!J71)</f>
        <v/>
      </c>
      <c r="K60" s="11" t="str">
        <f>TRIM(Formulario!K71)</f>
        <v/>
      </c>
      <c r="L60" s="107" t="str">
        <f>TRIM(Formulario!L71)</f>
        <v/>
      </c>
      <c r="M60" s="107" t="str">
        <f>TRIM(Formulario!M71)</f>
        <v>0</v>
      </c>
      <c r="N60" s="11" t="str">
        <f>TRIM(Formulario!H71)</f>
        <v/>
      </c>
      <c r="P60" s="17"/>
      <c r="Q60" s="104"/>
      <c r="R60" s="104"/>
      <c r="S60" s="117"/>
      <c r="T60" s="101"/>
      <c r="U60" s="101"/>
      <c r="V60" s="101"/>
      <c r="W60" s="102"/>
      <c r="X60" s="102"/>
      <c r="Y60" s="102"/>
      <c r="Z60" s="102"/>
      <c r="AA60" s="102"/>
      <c r="AB60" s="102"/>
      <c r="AC60" s="102"/>
      <c r="AD60" s="102"/>
    </row>
    <row r="61" spans="1:30">
      <c r="A61" s="8" t="str">
        <f>IF(L61="","",Formulario!B72)</f>
        <v/>
      </c>
      <c r="B61" s="119"/>
      <c r="C61" s="120"/>
      <c r="D61" s="121"/>
      <c r="E61" s="129" t="str">
        <f>IF(F61="","",Formulario!B72)</f>
        <v/>
      </c>
      <c r="F61" s="11" t="str">
        <f>TRIM(Formulario!D72)</f>
        <v/>
      </c>
      <c r="G61" s="11" t="str">
        <f>TRIM(Formulario!F72)</f>
        <v/>
      </c>
      <c r="H61" s="146" t="str">
        <f>IF(N61="",TRIM(Formulario!G72),TRIM(Formulario!G72)*N61)</f>
        <v/>
      </c>
      <c r="I61" s="107" t="str">
        <f>TRIM(Formulario!I72)</f>
        <v/>
      </c>
      <c r="J61" s="11" t="str">
        <f>TRIM(Formulario!J72)</f>
        <v/>
      </c>
      <c r="K61" s="11" t="str">
        <f>TRIM(Formulario!K72)</f>
        <v/>
      </c>
      <c r="L61" s="107" t="str">
        <f>TRIM(Formulario!L72)</f>
        <v/>
      </c>
      <c r="M61" s="107" t="str">
        <f>TRIM(Formulario!M72)</f>
        <v>0</v>
      </c>
      <c r="N61" s="11" t="str">
        <f>TRIM(Formulario!H72)</f>
        <v/>
      </c>
      <c r="P61" s="17"/>
      <c r="Q61" s="104"/>
      <c r="R61" s="104"/>
      <c r="S61" s="117"/>
      <c r="T61" s="101"/>
      <c r="U61" s="101"/>
      <c r="V61" s="101"/>
      <c r="W61" s="102"/>
      <c r="X61" s="102"/>
      <c r="Y61" s="102"/>
      <c r="Z61" s="102"/>
      <c r="AA61" s="102"/>
      <c r="AB61" s="102"/>
      <c r="AC61" s="102"/>
      <c r="AD61" s="102"/>
    </row>
    <row r="62" spans="1:30">
      <c r="A62" s="8" t="str">
        <f>IF(L62="","",Formulario!B73)</f>
        <v/>
      </c>
      <c r="B62" s="119"/>
      <c r="C62" s="120"/>
      <c r="D62" s="121"/>
      <c r="E62" s="129" t="str">
        <f>IF(F62="","",Formulario!B73)</f>
        <v/>
      </c>
      <c r="F62" s="11" t="str">
        <f>TRIM(Formulario!D73)</f>
        <v/>
      </c>
      <c r="G62" s="11" t="str">
        <f>TRIM(Formulario!F73)</f>
        <v/>
      </c>
      <c r="H62" s="146" t="str">
        <f>IF(N62="",TRIM(Formulario!G73),TRIM(Formulario!G73)*N62)</f>
        <v/>
      </c>
      <c r="I62" s="107" t="str">
        <f>TRIM(Formulario!I73)</f>
        <v/>
      </c>
      <c r="J62" s="11" t="str">
        <f>TRIM(Formulario!J73)</f>
        <v/>
      </c>
      <c r="K62" s="11" t="str">
        <f>TRIM(Formulario!K73)</f>
        <v/>
      </c>
      <c r="L62" s="107" t="str">
        <f>TRIM(Formulario!L73)</f>
        <v/>
      </c>
      <c r="M62" s="107" t="str">
        <f>TRIM(Formulario!M73)</f>
        <v>0</v>
      </c>
      <c r="N62" s="11" t="str">
        <f>TRIM(Formulario!H73)</f>
        <v/>
      </c>
      <c r="P62" s="17"/>
      <c r="Q62" s="104"/>
      <c r="R62" s="104"/>
      <c r="S62" s="117"/>
      <c r="T62" s="101"/>
      <c r="U62" s="101"/>
      <c r="V62" s="101"/>
      <c r="W62" s="102"/>
      <c r="X62" s="102"/>
      <c r="Y62" s="102"/>
      <c r="Z62" s="102"/>
      <c r="AA62" s="102"/>
      <c r="AB62" s="102"/>
      <c r="AC62" s="102"/>
      <c r="AD62" s="102"/>
    </row>
    <row r="63" spans="1:30">
      <c r="A63" s="8" t="str">
        <f>IF(L63="","",Formulario!B74)</f>
        <v/>
      </c>
      <c r="B63" s="119"/>
      <c r="C63" s="120"/>
      <c r="D63" s="121"/>
      <c r="E63" s="129" t="str">
        <f>IF(F63="","",Formulario!B74)</f>
        <v/>
      </c>
      <c r="F63" s="11" t="str">
        <f>TRIM(Formulario!D74)</f>
        <v/>
      </c>
      <c r="G63" s="11" t="str">
        <f>TRIM(Formulario!F74)</f>
        <v/>
      </c>
      <c r="H63" s="146" t="str">
        <f>IF(N63="",TRIM(Formulario!G74),TRIM(Formulario!G74)*N63)</f>
        <v/>
      </c>
      <c r="I63" s="107" t="str">
        <f>TRIM(Formulario!I74)</f>
        <v/>
      </c>
      <c r="J63" s="11" t="str">
        <f>TRIM(Formulario!J74)</f>
        <v/>
      </c>
      <c r="K63" s="11" t="str">
        <f>TRIM(Formulario!K74)</f>
        <v/>
      </c>
      <c r="L63" s="107" t="str">
        <f>TRIM(Formulario!L74)</f>
        <v/>
      </c>
      <c r="M63" s="107" t="str">
        <f>TRIM(Formulario!M74)</f>
        <v>0</v>
      </c>
      <c r="N63" s="11" t="str">
        <f>TRIM(Formulario!H74)</f>
        <v/>
      </c>
      <c r="P63" s="17"/>
      <c r="Q63" s="104"/>
      <c r="R63" s="104"/>
      <c r="S63" s="117"/>
      <c r="T63" s="101"/>
      <c r="U63" s="101"/>
      <c r="V63" s="101"/>
      <c r="W63" s="102"/>
      <c r="X63" s="102"/>
      <c r="Y63" s="102"/>
      <c r="Z63" s="102"/>
      <c r="AA63" s="102"/>
      <c r="AB63" s="102"/>
      <c r="AC63" s="102"/>
      <c r="AD63" s="102"/>
    </row>
    <row r="64" spans="1:30">
      <c r="A64" s="8" t="str">
        <f>IF(L64="","",Formulario!B75)</f>
        <v/>
      </c>
      <c r="B64" s="119"/>
      <c r="C64" s="120"/>
      <c r="D64" s="121"/>
      <c r="E64" s="129" t="str">
        <f>IF(F64="","",Formulario!B75)</f>
        <v/>
      </c>
      <c r="F64" s="11" t="str">
        <f>TRIM(Formulario!D75)</f>
        <v/>
      </c>
      <c r="G64" s="11" t="str">
        <f>TRIM(Formulario!F75)</f>
        <v/>
      </c>
      <c r="H64" s="146" t="str">
        <f>IF(N64="",TRIM(Formulario!G75),TRIM(Formulario!G75)*N64)</f>
        <v/>
      </c>
      <c r="I64" s="107" t="str">
        <f>TRIM(Formulario!I75)</f>
        <v/>
      </c>
      <c r="J64" s="11" t="str">
        <f>TRIM(Formulario!J75)</f>
        <v/>
      </c>
      <c r="K64" s="11" t="str">
        <f>TRIM(Formulario!K75)</f>
        <v/>
      </c>
      <c r="L64" s="107" t="str">
        <f>TRIM(Formulario!L75)</f>
        <v/>
      </c>
      <c r="M64" s="107" t="str">
        <f>TRIM(Formulario!M75)</f>
        <v>0</v>
      </c>
      <c r="N64" s="11" t="str">
        <f>TRIM(Formulario!H75)</f>
        <v/>
      </c>
      <c r="P64" s="17"/>
      <c r="Q64" s="104"/>
      <c r="R64" s="104"/>
      <c r="S64" s="117"/>
      <c r="T64" s="101"/>
      <c r="U64" s="101"/>
      <c r="V64" s="101"/>
      <c r="W64" s="102"/>
      <c r="X64" s="102"/>
      <c r="Y64" s="102"/>
      <c r="Z64" s="102"/>
      <c r="AA64" s="102"/>
      <c r="AB64" s="102"/>
      <c r="AC64" s="102"/>
      <c r="AD64" s="102"/>
    </row>
    <row r="65" spans="1:30">
      <c r="A65" s="8" t="str">
        <f>IF(L65="","",Formulario!B76)</f>
        <v/>
      </c>
      <c r="B65" s="119"/>
      <c r="C65" s="120"/>
      <c r="D65" s="121"/>
      <c r="E65" s="129" t="str">
        <f>IF(F65="","",Formulario!B76)</f>
        <v/>
      </c>
      <c r="F65" s="11" t="str">
        <f>TRIM(Formulario!D76)</f>
        <v/>
      </c>
      <c r="G65" s="11" t="str">
        <f>TRIM(Formulario!F76)</f>
        <v/>
      </c>
      <c r="H65" s="146" t="str">
        <f>IF(N65="",TRIM(Formulario!G76),TRIM(Formulario!G76)*N65)</f>
        <v/>
      </c>
      <c r="I65" s="107" t="str">
        <f>TRIM(Formulario!I76)</f>
        <v/>
      </c>
      <c r="J65" s="11" t="str">
        <f>TRIM(Formulario!J76)</f>
        <v/>
      </c>
      <c r="K65" s="11" t="str">
        <f>TRIM(Formulario!K76)</f>
        <v/>
      </c>
      <c r="L65" s="107" t="str">
        <f>TRIM(Formulario!L76)</f>
        <v/>
      </c>
      <c r="M65" s="107" t="str">
        <f>TRIM(Formulario!M76)</f>
        <v>0</v>
      </c>
      <c r="N65" s="11" t="str">
        <f>TRIM(Formulario!H76)</f>
        <v/>
      </c>
      <c r="P65" s="17"/>
      <c r="Q65" s="104"/>
      <c r="R65" s="104"/>
      <c r="S65" s="117"/>
      <c r="T65" s="101"/>
      <c r="U65" s="101"/>
      <c r="V65" s="101"/>
      <c r="W65" s="102"/>
      <c r="X65" s="102"/>
      <c r="Y65" s="102"/>
      <c r="Z65" s="102"/>
      <c r="AA65" s="102"/>
      <c r="AB65" s="102"/>
      <c r="AC65" s="102"/>
      <c r="AD65" s="102"/>
    </row>
    <row r="66" spans="1:30">
      <c r="A66" s="8" t="str">
        <f>IF(L66="","",Formulario!B77)</f>
        <v/>
      </c>
      <c r="B66" s="119"/>
      <c r="C66" s="120"/>
      <c r="D66" s="121"/>
      <c r="E66" s="129" t="str">
        <f>IF(F66="","",Formulario!B77)</f>
        <v/>
      </c>
      <c r="F66" s="11" t="str">
        <f>TRIM(Formulario!D77)</f>
        <v/>
      </c>
      <c r="G66" s="11" t="str">
        <f>TRIM(Formulario!F77)</f>
        <v/>
      </c>
      <c r="H66" s="146" t="str">
        <f>IF(N66="",TRIM(Formulario!G77),TRIM(Formulario!G77)*N66)</f>
        <v/>
      </c>
      <c r="I66" s="107" t="str">
        <f>TRIM(Formulario!I77)</f>
        <v/>
      </c>
      <c r="J66" s="11" t="str">
        <f>TRIM(Formulario!J77)</f>
        <v/>
      </c>
      <c r="K66" s="11" t="str">
        <f>TRIM(Formulario!K77)</f>
        <v/>
      </c>
      <c r="L66" s="107" t="str">
        <f>TRIM(Formulario!L77)</f>
        <v/>
      </c>
      <c r="M66" s="107" t="str">
        <f>TRIM(Formulario!M77)</f>
        <v>0</v>
      </c>
      <c r="N66" s="11" t="str">
        <f>TRIM(Formulario!H77)</f>
        <v/>
      </c>
      <c r="P66" s="17"/>
      <c r="Q66" s="104"/>
      <c r="R66" s="104"/>
      <c r="S66" s="117"/>
      <c r="T66" s="101"/>
      <c r="U66" s="101"/>
      <c r="V66" s="101"/>
      <c r="W66" s="102"/>
      <c r="X66" s="102"/>
      <c r="Y66" s="102"/>
      <c r="Z66" s="102"/>
      <c r="AA66" s="102"/>
      <c r="AB66" s="102"/>
      <c r="AC66" s="102"/>
      <c r="AD66" s="102"/>
    </row>
    <row r="67" spans="1:30">
      <c r="A67" s="8" t="str">
        <f>IF(L67="","",Formulario!B78)</f>
        <v/>
      </c>
      <c r="B67" s="119"/>
      <c r="C67" s="120"/>
      <c r="D67" s="121"/>
      <c r="E67" s="129" t="str">
        <f>IF(F67="","",Formulario!B78)</f>
        <v/>
      </c>
      <c r="F67" s="11" t="str">
        <f>TRIM(Formulario!D78)</f>
        <v/>
      </c>
      <c r="G67" s="11" t="str">
        <f>TRIM(Formulario!F78)</f>
        <v/>
      </c>
      <c r="H67" s="146" t="str">
        <f>IF(N67="",TRIM(Formulario!G78),TRIM(Formulario!G78)*N67)</f>
        <v/>
      </c>
      <c r="I67" s="107" t="str">
        <f>TRIM(Formulario!I78)</f>
        <v/>
      </c>
      <c r="J67" s="11" t="str">
        <f>TRIM(Formulario!J78)</f>
        <v/>
      </c>
      <c r="K67" s="11" t="str">
        <f>TRIM(Formulario!K78)</f>
        <v/>
      </c>
      <c r="L67" s="107" t="str">
        <f>TRIM(Formulario!L78)</f>
        <v/>
      </c>
      <c r="M67" s="107" t="str">
        <f>TRIM(Formulario!M78)</f>
        <v>0</v>
      </c>
      <c r="N67" s="11" t="str">
        <f>TRIM(Formulario!H78)</f>
        <v/>
      </c>
      <c r="P67" s="17"/>
      <c r="Q67" s="104"/>
      <c r="R67" s="104"/>
      <c r="S67" s="117"/>
      <c r="T67" s="101"/>
      <c r="U67" s="101"/>
      <c r="V67" s="101"/>
      <c r="W67" s="102"/>
      <c r="X67" s="102"/>
      <c r="Y67" s="102"/>
      <c r="Z67" s="102"/>
      <c r="AA67" s="102"/>
      <c r="AB67" s="102"/>
      <c r="AC67" s="102"/>
      <c r="AD67" s="102"/>
    </row>
    <row r="68" spans="1:30">
      <c r="A68" s="8" t="str">
        <f>IF(L68="","",Formulario!B79)</f>
        <v/>
      </c>
      <c r="B68" s="119"/>
      <c r="C68" s="120"/>
      <c r="D68" s="121"/>
      <c r="E68" s="129" t="str">
        <f>IF(F68="","",Formulario!B79)</f>
        <v/>
      </c>
      <c r="F68" s="11" t="str">
        <f>TRIM(Formulario!D79)</f>
        <v/>
      </c>
      <c r="G68" s="11" t="str">
        <f>TRIM(Formulario!F79)</f>
        <v/>
      </c>
      <c r="H68" s="146" t="str">
        <f>IF(N68="",TRIM(Formulario!G79),TRIM(Formulario!G79)*N68)</f>
        <v/>
      </c>
      <c r="I68" s="107" t="str">
        <f>TRIM(Formulario!I79)</f>
        <v/>
      </c>
      <c r="J68" s="11" t="str">
        <f>TRIM(Formulario!J79)</f>
        <v/>
      </c>
      <c r="K68" s="11" t="str">
        <f>TRIM(Formulario!K79)</f>
        <v/>
      </c>
      <c r="L68" s="107" t="str">
        <f>TRIM(Formulario!L79)</f>
        <v/>
      </c>
      <c r="M68" s="107" t="str">
        <f>TRIM(Formulario!M79)</f>
        <v>0</v>
      </c>
      <c r="N68" s="11" t="str">
        <f>TRIM(Formulario!H79)</f>
        <v/>
      </c>
      <c r="P68" s="17"/>
      <c r="Q68" s="104"/>
      <c r="R68" s="104"/>
      <c r="S68" s="117"/>
      <c r="T68" s="101"/>
      <c r="U68" s="101"/>
      <c r="V68" s="101"/>
      <c r="W68" s="102"/>
      <c r="X68" s="102"/>
      <c r="Y68" s="102"/>
      <c r="Z68" s="102"/>
      <c r="AA68" s="102"/>
      <c r="AB68" s="102"/>
      <c r="AC68" s="102"/>
      <c r="AD68" s="102"/>
    </row>
    <row r="69" spans="1:30">
      <c r="A69" s="8" t="str">
        <f>IF(L69="","",Formulario!B80)</f>
        <v/>
      </c>
      <c r="B69" s="119"/>
      <c r="C69" s="120"/>
      <c r="D69" s="121"/>
      <c r="E69" s="129" t="str">
        <f>IF(F69="","",Formulario!B80)</f>
        <v/>
      </c>
      <c r="F69" s="11" t="str">
        <f>TRIM(Formulario!D80)</f>
        <v/>
      </c>
      <c r="G69" s="11" t="str">
        <f>TRIM(Formulario!F80)</f>
        <v/>
      </c>
      <c r="H69" s="146" t="str">
        <f>IF(N69="",TRIM(Formulario!G80),TRIM(Formulario!G80)*N69)</f>
        <v/>
      </c>
      <c r="I69" s="107" t="str">
        <f>TRIM(Formulario!I80)</f>
        <v/>
      </c>
      <c r="J69" s="11" t="str">
        <f>TRIM(Formulario!J80)</f>
        <v/>
      </c>
      <c r="K69" s="11" t="str">
        <f>TRIM(Formulario!K80)</f>
        <v/>
      </c>
      <c r="L69" s="107" t="str">
        <f>TRIM(Formulario!L80)</f>
        <v/>
      </c>
      <c r="M69" s="107" t="str">
        <f>TRIM(Formulario!M80)</f>
        <v>0</v>
      </c>
      <c r="N69" s="11" t="str">
        <f>TRIM(Formulario!H80)</f>
        <v/>
      </c>
      <c r="P69" s="17"/>
      <c r="Q69" s="104"/>
      <c r="R69" s="104"/>
      <c r="S69" s="117"/>
      <c r="T69" s="101"/>
      <c r="U69" s="101"/>
      <c r="V69" s="101"/>
      <c r="W69" s="102"/>
      <c r="X69" s="102"/>
      <c r="Y69" s="102"/>
      <c r="Z69" s="102"/>
      <c r="AA69" s="102"/>
      <c r="AB69" s="102"/>
      <c r="AC69" s="102"/>
      <c r="AD69" s="102"/>
    </row>
    <row r="70" spans="1:30">
      <c r="A70" s="8" t="str">
        <f>IF(L70="","",Formulario!B81)</f>
        <v/>
      </c>
      <c r="B70" s="119"/>
      <c r="C70" s="120"/>
      <c r="D70" s="121"/>
      <c r="E70" s="129" t="str">
        <f>IF(F70="","",Formulario!B81)</f>
        <v/>
      </c>
      <c r="F70" s="11" t="str">
        <f>TRIM(Formulario!D81)</f>
        <v/>
      </c>
      <c r="G70" s="11" t="str">
        <f>TRIM(Formulario!F81)</f>
        <v/>
      </c>
      <c r="H70" s="146" t="str">
        <f>IF(N70="",TRIM(Formulario!G81),TRIM(Formulario!G81)*N70)</f>
        <v/>
      </c>
      <c r="I70" s="107" t="str">
        <f>TRIM(Formulario!I81)</f>
        <v/>
      </c>
      <c r="J70" s="11" t="str">
        <f>TRIM(Formulario!J81)</f>
        <v/>
      </c>
      <c r="K70" s="11" t="str">
        <f>TRIM(Formulario!K81)</f>
        <v/>
      </c>
      <c r="L70" s="107" t="str">
        <f>TRIM(Formulario!L81)</f>
        <v/>
      </c>
      <c r="M70" s="107" t="str">
        <f>TRIM(Formulario!M81)</f>
        <v>0</v>
      </c>
      <c r="N70" s="11" t="str">
        <f>TRIM(Formulario!H81)</f>
        <v/>
      </c>
      <c r="P70" s="17"/>
      <c r="Q70" s="104"/>
      <c r="R70" s="104"/>
      <c r="S70" s="117"/>
      <c r="T70" s="101"/>
      <c r="U70" s="101"/>
      <c r="V70" s="101"/>
      <c r="W70" s="102"/>
      <c r="X70" s="102"/>
      <c r="Y70" s="102"/>
      <c r="Z70" s="102"/>
      <c r="AA70" s="102"/>
      <c r="AB70" s="102"/>
      <c r="AC70" s="102"/>
      <c r="AD70" s="102"/>
    </row>
    <row r="71" spans="1:30">
      <c r="A71" s="8" t="str">
        <f>IF(L71="","",Formulario!B82)</f>
        <v/>
      </c>
      <c r="B71" s="119"/>
      <c r="C71" s="120"/>
      <c r="D71" s="121"/>
      <c r="E71" s="129" t="str">
        <f>IF(F71="","",Formulario!B82)</f>
        <v/>
      </c>
      <c r="F71" s="11" t="str">
        <f>TRIM(Formulario!D82)</f>
        <v/>
      </c>
      <c r="G71" s="11" t="str">
        <f>TRIM(Formulario!F82)</f>
        <v/>
      </c>
      <c r="H71" s="146" t="str">
        <f>IF(N71="",TRIM(Formulario!G82),TRIM(Formulario!G82)*N71)</f>
        <v/>
      </c>
      <c r="I71" s="107" t="str">
        <f>TRIM(Formulario!I82)</f>
        <v/>
      </c>
      <c r="J71" s="11" t="str">
        <f>TRIM(Formulario!J82)</f>
        <v/>
      </c>
      <c r="K71" s="11" t="str">
        <f>TRIM(Formulario!K82)</f>
        <v/>
      </c>
      <c r="L71" s="107" t="str">
        <f>TRIM(Formulario!L82)</f>
        <v/>
      </c>
      <c r="M71" s="107" t="str">
        <f>TRIM(Formulario!M82)</f>
        <v>0</v>
      </c>
      <c r="N71" s="11" t="str">
        <f>TRIM(Formulario!H82)</f>
        <v/>
      </c>
      <c r="P71" s="17"/>
      <c r="Q71" s="104"/>
      <c r="R71" s="104"/>
      <c r="S71" s="117"/>
      <c r="T71" s="101"/>
      <c r="U71" s="101"/>
      <c r="V71" s="101"/>
      <c r="W71" s="102"/>
      <c r="X71" s="102"/>
      <c r="Y71" s="102"/>
      <c r="Z71" s="102"/>
      <c r="AA71" s="102"/>
      <c r="AB71" s="102"/>
      <c r="AC71" s="102"/>
      <c r="AD71" s="102"/>
    </row>
    <row r="72" spans="1:30">
      <c r="A72" s="8" t="str">
        <f>IF(L72="","",Formulario!B83)</f>
        <v/>
      </c>
      <c r="B72" s="119"/>
      <c r="C72" s="120"/>
      <c r="D72" s="121"/>
      <c r="E72" s="129" t="str">
        <f>IF(F72="","",Formulario!B83)</f>
        <v/>
      </c>
      <c r="F72" s="11" t="str">
        <f>TRIM(Formulario!D83)</f>
        <v/>
      </c>
      <c r="G72" s="11" t="str">
        <f>TRIM(Formulario!F83)</f>
        <v/>
      </c>
      <c r="H72" s="146" t="str">
        <f>IF(N72="",TRIM(Formulario!G83),TRIM(Formulario!G83)*N72)</f>
        <v/>
      </c>
      <c r="I72" s="107" t="str">
        <f>TRIM(Formulario!I83)</f>
        <v/>
      </c>
      <c r="J72" s="11" t="str">
        <f>TRIM(Formulario!J83)</f>
        <v/>
      </c>
      <c r="K72" s="11" t="str">
        <f>TRIM(Formulario!K83)</f>
        <v/>
      </c>
      <c r="L72" s="107" t="str">
        <f>TRIM(Formulario!L83)</f>
        <v/>
      </c>
      <c r="M72" s="107" t="str">
        <f>TRIM(Formulario!M83)</f>
        <v>0</v>
      </c>
      <c r="N72" s="11" t="str">
        <f>TRIM(Formulario!H83)</f>
        <v/>
      </c>
      <c r="P72" s="17"/>
      <c r="Q72" s="104"/>
      <c r="R72" s="104"/>
      <c r="S72" s="117"/>
      <c r="T72" s="101"/>
      <c r="U72" s="101"/>
      <c r="V72" s="101"/>
      <c r="W72" s="102"/>
      <c r="X72" s="102"/>
      <c r="Y72" s="102"/>
      <c r="Z72" s="102"/>
      <c r="AA72" s="102"/>
      <c r="AB72" s="102"/>
      <c r="AC72" s="102"/>
      <c r="AD72" s="102"/>
    </row>
    <row r="73" spans="1:30">
      <c r="A73" s="8" t="str">
        <f>IF(L73="","",Formulario!B84)</f>
        <v/>
      </c>
      <c r="B73" s="119"/>
      <c r="C73" s="120"/>
      <c r="D73" s="121"/>
      <c r="E73" s="129" t="str">
        <f>IF(F73="","",Formulario!B84)</f>
        <v/>
      </c>
      <c r="F73" s="11" t="str">
        <f>TRIM(Formulario!D84)</f>
        <v/>
      </c>
      <c r="G73" s="11" t="str">
        <f>TRIM(Formulario!F84)</f>
        <v/>
      </c>
      <c r="H73" s="146" t="str">
        <f>IF(N73="",TRIM(Formulario!G84),TRIM(Formulario!G84)*N73)</f>
        <v/>
      </c>
      <c r="I73" s="107" t="str">
        <f>TRIM(Formulario!I84)</f>
        <v/>
      </c>
      <c r="J73" s="11" t="str">
        <f>TRIM(Formulario!J84)</f>
        <v/>
      </c>
      <c r="K73" s="11" t="str">
        <f>TRIM(Formulario!K84)</f>
        <v/>
      </c>
      <c r="L73" s="107" t="str">
        <f>TRIM(Formulario!L84)</f>
        <v/>
      </c>
      <c r="M73" s="107" t="str">
        <f>TRIM(Formulario!M84)</f>
        <v>0</v>
      </c>
      <c r="N73" s="11" t="str">
        <f>TRIM(Formulario!H84)</f>
        <v/>
      </c>
      <c r="P73" s="17"/>
      <c r="Q73" s="104"/>
      <c r="R73" s="104"/>
      <c r="S73" s="117"/>
      <c r="T73" s="101"/>
      <c r="U73" s="101"/>
      <c r="V73" s="101"/>
      <c r="W73" s="102"/>
      <c r="X73" s="102"/>
      <c r="Y73" s="102"/>
      <c r="Z73" s="102"/>
      <c r="AA73" s="102"/>
      <c r="AB73" s="102"/>
      <c r="AC73" s="102"/>
      <c r="AD73" s="102"/>
    </row>
    <row r="74" spans="1:30">
      <c r="A74" s="8" t="str">
        <f>IF(L74="","",Formulario!B85)</f>
        <v/>
      </c>
      <c r="B74" s="119"/>
      <c r="C74" s="120"/>
      <c r="D74" s="121"/>
      <c r="E74" s="129" t="str">
        <f>IF(F74="","",Formulario!B85)</f>
        <v/>
      </c>
      <c r="F74" s="11" t="str">
        <f>TRIM(Formulario!D85)</f>
        <v/>
      </c>
      <c r="G74" s="11" t="str">
        <f>TRIM(Formulario!F85)</f>
        <v/>
      </c>
      <c r="H74" s="146" t="str">
        <f>IF(N74="",TRIM(Formulario!G85),TRIM(Formulario!G85)*N74)</f>
        <v/>
      </c>
      <c r="I74" s="107" t="str">
        <f>TRIM(Formulario!I85)</f>
        <v/>
      </c>
      <c r="J74" s="11" t="str">
        <f>TRIM(Formulario!J85)</f>
        <v/>
      </c>
      <c r="K74" s="11" t="str">
        <f>TRIM(Formulario!K85)</f>
        <v/>
      </c>
      <c r="L74" s="107" t="str">
        <f>TRIM(Formulario!L85)</f>
        <v/>
      </c>
      <c r="M74" s="107" t="str">
        <f>TRIM(Formulario!M85)</f>
        <v>0</v>
      </c>
      <c r="N74" s="11" t="str">
        <f>TRIM(Formulario!H85)</f>
        <v/>
      </c>
      <c r="P74" s="17"/>
      <c r="Q74" s="104"/>
      <c r="R74" s="104"/>
      <c r="S74" s="117"/>
      <c r="T74" s="101"/>
      <c r="U74" s="101"/>
      <c r="V74" s="101"/>
      <c r="W74" s="102"/>
      <c r="X74" s="102"/>
      <c r="Y74" s="102"/>
      <c r="Z74" s="102"/>
      <c r="AA74" s="102"/>
      <c r="AB74" s="102"/>
      <c r="AC74" s="102"/>
      <c r="AD74" s="102"/>
    </row>
    <row r="75" spans="1:30">
      <c r="A75" s="8" t="str">
        <f>IF(L75="","",Formulario!B86)</f>
        <v/>
      </c>
      <c r="B75" s="119"/>
      <c r="C75" s="120"/>
      <c r="D75" s="121"/>
      <c r="E75" s="129" t="str">
        <f>IF(F75="","",Formulario!B86)</f>
        <v/>
      </c>
      <c r="F75" s="11" t="str">
        <f>TRIM(Formulario!D86)</f>
        <v/>
      </c>
      <c r="G75" s="11" t="str">
        <f>TRIM(Formulario!F86)</f>
        <v/>
      </c>
      <c r="H75" s="146" t="str">
        <f>IF(N75="",TRIM(Formulario!G86),TRIM(Formulario!G86)*N75)</f>
        <v/>
      </c>
      <c r="I75" s="107" t="str">
        <f>TRIM(Formulario!I86)</f>
        <v/>
      </c>
      <c r="J75" s="11" t="str">
        <f>TRIM(Formulario!J86)</f>
        <v/>
      </c>
      <c r="K75" s="11" t="str">
        <f>TRIM(Formulario!K86)</f>
        <v/>
      </c>
      <c r="L75" s="107" t="str">
        <f>TRIM(Formulario!L86)</f>
        <v/>
      </c>
      <c r="M75" s="107" t="str">
        <f>TRIM(Formulario!M86)</f>
        <v>0</v>
      </c>
      <c r="N75" s="11" t="str">
        <f>TRIM(Formulario!H86)</f>
        <v/>
      </c>
      <c r="P75" s="17"/>
      <c r="Q75" s="104"/>
      <c r="R75" s="104"/>
      <c r="S75" s="117"/>
      <c r="T75" s="101"/>
      <c r="U75" s="101"/>
      <c r="V75" s="101"/>
      <c r="W75" s="102"/>
      <c r="X75" s="102"/>
      <c r="Y75" s="102"/>
      <c r="Z75" s="102"/>
      <c r="AA75" s="102"/>
      <c r="AB75" s="102"/>
      <c r="AC75" s="102"/>
      <c r="AD75" s="102"/>
    </row>
    <row r="76" spans="1:30">
      <c r="A76" s="8" t="str">
        <f>IF(L76="","",Formulario!B87)</f>
        <v/>
      </c>
      <c r="B76" s="119"/>
      <c r="C76" s="120"/>
      <c r="D76" s="121"/>
      <c r="E76" s="129" t="str">
        <f>IF(F76="","",Formulario!B87)</f>
        <v/>
      </c>
      <c r="F76" s="11" t="str">
        <f>TRIM(Formulario!D87)</f>
        <v/>
      </c>
      <c r="G76" s="11" t="str">
        <f>TRIM(Formulario!F87)</f>
        <v/>
      </c>
      <c r="H76" s="146" t="str">
        <f>IF(N76="",TRIM(Formulario!G87),TRIM(Formulario!G87)*N76)</f>
        <v/>
      </c>
      <c r="I76" s="107" t="str">
        <f>TRIM(Formulario!I87)</f>
        <v/>
      </c>
      <c r="J76" s="11" t="str">
        <f>TRIM(Formulario!J87)</f>
        <v/>
      </c>
      <c r="K76" s="11" t="str">
        <f>TRIM(Formulario!K87)</f>
        <v/>
      </c>
      <c r="L76" s="107" t="str">
        <f>TRIM(Formulario!L87)</f>
        <v/>
      </c>
      <c r="M76" s="107" t="str">
        <f>TRIM(Formulario!M87)</f>
        <v>0</v>
      </c>
      <c r="N76" s="11" t="str">
        <f>TRIM(Formulario!H87)</f>
        <v/>
      </c>
      <c r="P76" s="17"/>
      <c r="Q76" s="104"/>
      <c r="R76" s="104"/>
      <c r="S76" s="117"/>
      <c r="T76" s="101"/>
      <c r="U76" s="101"/>
      <c r="V76" s="101"/>
      <c r="W76" s="102"/>
      <c r="X76" s="102"/>
      <c r="Y76" s="102"/>
      <c r="Z76" s="102"/>
      <c r="AA76" s="102"/>
      <c r="AB76" s="102"/>
      <c r="AC76" s="102"/>
      <c r="AD76" s="102"/>
    </row>
    <row r="77" spans="1:30">
      <c r="A77" s="8" t="str">
        <f>IF(L77="","",Formulario!B88)</f>
        <v/>
      </c>
      <c r="B77" s="119"/>
      <c r="C77" s="120"/>
      <c r="D77" s="121"/>
      <c r="E77" s="129" t="str">
        <f>IF(F77="","",Formulario!B88)</f>
        <v/>
      </c>
      <c r="F77" s="11" t="str">
        <f>TRIM(Formulario!D88)</f>
        <v/>
      </c>
      <c r="G77" s="11" t="str">
        <f>TRIM(Formulario!F88)</f>
        <v/>
      </c>
      <c r="H77" s="146" t="str">
        <f>IF(N77="",TRIM(Formulario!G88),TRIM(Formulario!G88)*N77)</f>
        <v/>
      </c>
      <c r="I77" s="107" t="str">
        <f>TRIM(Formulario!I88)</f>
        <v/>
      </c>
      <c r="J77" s="11" t="str">
        <f>TRIM(Formulario!J88)</f>
        <v/>
      </c>
      <c r="K77" s="11" t="str">
        <f>TRIM(Formulario!K88)</f>
        <v/>
      </c>
      <c r="L77" s="107" t="str">
        <f>TRIM(Formulario!L88)</f>
        <v/>
      </c>
      <c r="M77" s="107" t="str">
        <f>TRIM(Formulario!M88)</f>
        <v>0</v>
      </c>
      <c r="N77" s="11" t="str">
        <f>TRIM(Formulario!H88)</f>
        <v/>
      </c>
      <c r="P77" s="17"/>
      <c r="Q77" s="104"/>
      <c r="R77" s="104"/>
      <c r="S77" s="117"/>
      <c r="T77" s="101"/>
      <c r="U77" s="101"/>
      <c r="V77" s="101"/>
      <c r="W77" s="102"/>
      <c r="X77" s="102"/>
      <c r="Y77" s="102"/>
      <c r="Z77" s="102"/>
      <c r="AA77" s="102"/>
      <c r="AB77" s="102"/>
      <c r="AC77" s="102"/>
      <c r="AD77" s="102"/>
    </row>
    <row r="78" spans="1:30">
      <c r="A78" s="8" t="str">
        <f>IF(L78="","",Formulario!B89)</f>
        <v/>
      </c>
      <c r="B78" s="119"/>
      <c r="C78" s="120"/>
      <c r="D78" s="121"/>
      <c r="E78" s="129" t="str">
        <f>IF(F78="","",Formulario!B89)</f>
        <v/>
      </c>
      <c r="F78" s="11" t="str">
        <f>TRIM(Formulario!D89)</f>
        <v/>
      </c>
      <c r="G78" s="11" t="str">
        <f>TRIM(Formulario!F89)</f>
        <v/>
      </c>
      <c r="H78" s="146" t="str">
        <f>IF(N78="",TRIM(Formulario!G89),TRIM(Formulario!G89)*N78)</f>
        <v/>
      </c>
      <c r="I78" s="107" t="str">
        <f>TRIM(Formulario!I89)</f>
        <v/>
      </c>
      <c r="J78" s="11" t="str">
        <f>TRIM(Formulario!J89)</f>
        <v/>
      </c>
      <c r="K78" s="11" t="str">
        <f>TRIM(Formulario!K89)</f>
        <v/>
      </c>
      <c r="L78" s="107" t="str">
        <f>TRIM(Formulario!L89)</f>
        <v/>
      </c>
      <c r="M78" s="107" t="str">
        <f>TRIM(Formulario!M89)</f>
        <v>0</v>
      </c>
      <c r="N78" s="11" t="str">
        <f>TRIM(Formulario!H89)</f>
        <v/>
      </c>
      <c r="P78" s="17"/>
      <c r="Q78" s="104"/>
      <c r="R78" s="104"/>
      <c r="S78" s="117"/>
      <c r="T78" s="101"/>
      <c r="U78" s="101"/>
      <c r="V78" s="101"/>
      <c r="W78" s="102"/>
      <c r="X78" s="102"/>
      <c r="Y78" s="102"/>
      <c r="Z78" s="102"/>
      <c r="AA78" s="102"/>
      <c r="AB78" s="102"/>
      <c r="AC78" s="102"/>
      <c r="AD78" s="102"/>
    </row>
    <row r="79" spans="1:30">
      <c r="A79" s="8" t="str">
        <f>IF(L79="","",Formulario!B90)</f>
        <v/>
      </c>
      <c r="B79" s="119"/>
      <c r="C79" s="120"/>
      <c r="D79" s="121"/>
      <c r="E79" s="129" t="str">
        <f>IF(F79="","",Formulario!B90)</f>
        <v/>
      </c>
      <c r="F79" s="11" t="str">
        <f>TRIM(Formulario!D90)</f>
        <v/>
      </c>
      <c r="G79" s="11" t="str">
        <f>TRIM(Formulario!F90)</f>
        <v/>
      </c>
      <c r="H79" s="146" t="str">
        <f>IF(N79="",TRIM(Formulario!G90),TRIM(Formulario!G90)*N79)</f>
        <v/>
      </c>
      <c r="I79" s="107" t="str">
        <f>TRIM(Formulario!I90)</f>
        <v/>
      </c>
      <c r="J79" s="11" t="str">
        <f>TRIM(Formulario!J90)</f>
        <v/>
      </c>
      <c r="K79" s="11" t="str">
        <f>TRIM(Formulario!K90)</f>
        <v/>
      </c>
      <c r="L79" s="107" t="str">
        <f>TRIM(Formulario!L90)</f>
        <v/>
      </c>
      <c r="M79" s="107" t="str">
        <f>TRIM(Formulario!M90)</f>
        <v>0</v>
      </c>
      <c r="N79" s="11" t="str">
        <f>TRIM(Formulario!H90)</f>
        <v/>
      </c>
      <c r="P79" s="17"/>
      <c r="Q79" s="104"/>
      <c r="R79" s="104"/>
      <c r="S79" s="117"/>
      <c r="T79" s="101"/>
      <c r="U79" s="101"/>
      <c r="V79" s="101"/>
      <c r="W79" s="102"/>
      <c r="X79" s="102"/>
      <c r="Y79" s="102"/>
      <c r="Z79" s="102"/>
      <c r="AA79" s="102"/>
      <c r="AB79" s="102"/>
      <c r="AC79" s="102"/>
      <c r="AD79" s="102"/>
    </row>
    <row r="80" spans="1:30">
      <c r="A80" s="8" t="str">
        <f>IF(L80="","",Formulario!B91)</f>
        <v/>
      </c>
      <c r="B80" s="119"/>
      <c r="C80" s="120"/>
      <c r="D80" s="121"/>
      <c r="E80" s="129" t="str">
        <f>IF(F80="","",Formulario!B91)</f>
        <v/>
      </c>
      <c r="F80" s="11" t="str">
        <f>TRIM(Formulario!D91)</f>
        <v/>
      </c>
      <c r="G80" s="11" t="str">
        <f>TRIM(Formulario!F91)</f>
        <v/>
      </c>
      <c r="H80" s="146" t="str">
        <f>IF(N80="",TRIM(Formulario!G91),TRIM(Formulario!G91)*N80)</f>
        <v/>
      </c>
      <c r="I80" s="107" t="str">
        <f>TRIM(Formulario!I91)</f>
        <v/>
      </c>
      <c r="J80" s="11" t="str">
        <f>TRIM(Formulario!J91)</f>
        <v/>
      </c>
      <c r="K80" s="11" t="str">
        <f>TRIM(Formulario!K91)</f>
        <v/>
      </c>
      <c r="L80" s="107" t="str">
        <f>TRIM(Formulario!L91)</f>
        <v/>
      </c>
      <c r="M80" s="107" t="str">
        <f>TRIM(Formulario!M91)</f>
        <v>0</v>
      </c>
      <c r="N80" s="11" t="str">
        <f>TRIM(Formulario!H91)</f>
        <v/>
      </c>
      <c r="P80" s="17"/>
      <c r="Q80" s="104"/>
      <c r="R80" s="104"/>
      <c r="S80" s="117"/>
      <c r="T80" s="101"/>
      <c r="U80" s="101"/>
      <c r="V80" s="101"/>
      <c r="W80" s="102"/>
      <c r="X80" s="102"/>
      <c r="Y80" s="102"/>
      <c r="Z80" s="102"/>
      <c r="AA80" s="102"/>
      <c r="AB80" s="102"/>
      <c r="AC80" s="102"/>
      <c r="AD80" s="102"/>
    </row>
    <row r="81" spans="1:30">
      <c r="A81" s="8" t="str">
        <f>IF(L81="","",Formulario!B92)</f>
        <v/>
      </c>
      <c r="B81" s="119"/>
      <c r="C81" s="120"/>
      <c r="D81" s="121"/>
      <c r="E81" s="129" t="str">
        <f>IF(F81="","",Formulario!B92)</f>
        <v/>
      </c>
      <c r="F81" s="11" t="str">
        <f>TRIM(Formulario!D92)</f>
        <v/>
      </c>
      <c r="G81" s="11" t="str">
        <f>TRIM(Formulario!F92)</f>
        <v/>
      </c>
      <c r="H81" s="146" t="str">
        <f>IF(N81="",TRIM(Formulario!G92),TRIM(Formulario!G92)*N81)</f>
        <v/>
      </c>
      <c r="I81" s="107" t="str">
        <f>TRIM(Formulario!I92)</f>
        <v/>
      </c>
      <c r="J81" s="11" t="str">
        <f>TRIM(Formulario!J92)</f>
        <v/>
      </c>
      <c r="K81" s="11" t="str">
        <f>TRIM(Formulario!K92)</f>
        <v/>
      </c>
      <c r="L81" s="107" t="str">
        <f>TRIM(Formulario!L92)</f>
        <v/>
      </c>
      <c r="M81" s="107" t="str">
        <f>TRIM(Formulario!M92)</f>
        <v>0</v>
      </c>
      <c r="N81" s="11" t="str">
        <f>TRIM(Formulario!H92)</f>
        <v/>
      </c>
      <c r="P81" s="17"/>
      <c r="Q81" s="104"/>
      <c r="R81" s="104"/>
      <c r="S81" s="117"/>
      <c r="T81" s="101"/>
      <c r="U81" s="101"/>
      <c r="V81" s="101"/>
      <c r="W81" s="102"/>
      <c r="X81" s="102"/>
      <c r="Y81" s="102"/>
      <c r="Z81" s="102"/>
      <c r="AA81" s="102"/>
      <c r="AB81" s="102"/>
      <c r="AC81" s="102"/>
      <c r="AD81" s="102"/>
    </row>
    <row r="82" spans="1:30">
      <c r="A82" s="8" t="str">
        <f>IF(L82="","",Formulario!B93)</f>
        <v/>
      </c>
      <c r="B82" s="119"/>
      <c r="C82" s="120"/>
      <c r="D82" s="121"/>
      <c r="E82" s="129" t="str">
        <f>IF(F82="","",Formulario!B93)</f>
        <v/>
      </c>
      <c r="F82" s="11" t="str">
        <f>TRIM(Formulario!D93)</f>
        <v/>
      </c>
      <c r="G82" s="11" t="str">
        <f>TRIM(Formulario!F93)</f>
        <v/>
      </c>
      <c r="H82" s="146" t="str">
        <f>IF(N82="",TRIM(Formulario!G93),TRIM(Formulario!G93)*N82)</f>
        <v/>
      </c>
      <c r="I82" s="107" t="str">
        <f>TRIM(Formulario!I93)</f>
        <v/>
      </c>
      <c r="J82" s="11" t="str">
        <f>TRIM(Formulario!J93)</f>
        <v/>
      </c>
      <c r="K82" s="11" t="str">
        <f>TRIM(Formulario!K93)</f>
        <v/>
      </c>
      <c r="L82" s="107" t="str">
        <f>TRIM(Formulario!L93)</f>
        <v/>
      </c>
      <c r="M82" s="107" t="str">
        <f>TRIM(Formulario!M93)</f>
        <v>0</v>
      </c>
      <c r="N82" s="11" t="str">
        <f>TRIM(Formulario!H93)</f>
        <v/>
      </c>
      <c r="P82" s="17"/>
      <c r="Q82" s="104"/>
      <c r="R82" s="104"/>
      <c r="S82" s="117"/>
      <c r="T82" s="101"/>
      <c r="U82" s="101"/>
      <c r="V82" s="101"/>
      <c r="W82" s="102"/>
      <c r="X82" s="102"/>
      <c r="Y82" s="102"/>
      <c r="Z82" s="102"/>
      <c r="AA82" s="102"/>
      <c r="AB82" s="102"/>
      <c r="AC82" s="102"/>
      <c r="AD82" s="102"/>
    </row>
    <row r="83" spans="1:30">
      <c r="A83" s="8" t="str">
        <f>IF(L83="","",Formulario!B94)</f>
        <v/>
      </c>
      <c r="B83" s="119"/>
      <c r="C83" s="120"/>
      <c r="D83" s="121"/>
      <c r="E83" s="129" t="str">
        <f>IF(F83="","",Formulario!B94)</f>
        <v/>
      </c>
      <c r="F83" s="11" t="str">
        <f>TRIM(Formulario!D94)</f>
        <v/>
      </c>
      <c r="G83" s="11" t="str">
        <f>TRIM(Formulario!F94)</f>
        <v/>
      </c>
      <c r="H83" s="146" t="str">
        <f>IF(N83="",TRIM(Formulario!G94),TRIM(Formulario!G94)*N83)</f>
        <v/>
      </c>
      <c r="I83" s="107" t="str">
        <f>TRIM(Formulario!I94)</f>
        <v/>
      </c>
      <c r="J83" s="11" t="str">
        <f>TRIM(Formulario!J94)</f>
        <v/>
      </c>
      <c r="K83" s="11" t="str">
        <f>TRIM(Formulario!K94)</f>
        <v/>
      </c>
      <c r="L83" s="107" t="str">
        <f>TRIM(Formulario!L94)</f>
        <v/>
      </c>
      <c r="M83" s="107" t="str">
        <f>TRIM(Formulario!M94)</f>
        <v>0</v>
      </c>
      <c r="N83" s="11" t="str">
        <f>TRIM(Formulario!H94)</f>
        <v/>
      </c>
      <c r="P83" s="17"/>
      <c r="Q83" s="104"/>
      <c r="R83" s="104"/>
      <c r="S83" s="117"/>
      <c r="T83" s="101"/>
      <c r="U83" s="101"/>
      <c r="V83" s="101"/>
      <c r="W83" s="102"/>
      <c r="X83" s="102"/>
      <c r="Y83" s="102"/>
      <c r="Z83" s="102"/>
      <c r="AA83" s="102"/>
      <c r="AB83" s="102"/>
      <c r="AC83" s="102"/>
      <c r="AD83" s="102"/>
    </row>
    <row r="84" spans="1:30">
      <c r="A84" s="8" t="str">
        <f>IF(L84="","",Formulario!B95)</f>
        <v/>
      </c>
      <c r="B84" s="119"/>
      <c r="C84" s="120"/>
      <c r="D84" s="121"/>
      <c r="E84" s="129" t="str">
        <f>IF(F84="","",Formulario!B95)</f>
        <v/>
      </c>
      <c r="F84" s="11" t="str">
        <f>TRIM(Formulario!D95)</f>
        <v/>
      </c>
      <c r="G84" s="11" t="str">
        <f>TRIM(Formulario!F95)</f>
        <v/>
      </c>
      <c r="H84" s="146" t="str">
        <f>IF(N84="",TRIM(Formulario!G95),TRIM(Formulario!G95)*N84)</f>
        <v/>
      </c>
      <c r="I84" s="107" t="str">
        <f>TRIM(Formulario!I95)</f>
        <v/>
      </c>
      <c r="J84" s="11" t="str">
        <f>TRIM(Formulario!J95)</f>
        <v/>
      </c>
      <c r="K84" s="11" t="str">
        <f>TRIM(Formulario!K95)</f>
        <v/>
      </c>
      <c r="L84" s="107" t="str">
        <f>TRIM(Formulario!L95)</f>
        <v/>
      </c>
      <c r="M84" s="107" t="str">
        <f>TRIM(Formulario!M95)</f>
        <v>0</v>
      </c>
      <c r="N84" s="11" t="str">
        <f>TRIM(Formulario!H95)</f>
        <v/>
      </c>
      <c r="P84" s="17"/>
      <c r="Q84" s="104"/>
      <c r="R84" s="104"/>
      <c r="S84" s="117"/>
      <c r="T84" s="101"/>
      <c r="U84" s="101"/>
      <c r="V84" s="101"/>
      <c r="W84" s="102"/>
      <c r="X84" s="102"/>
      <c r="Y84" s="102"/>
      <c r="Z84" s="102"/>
      <c r="AA84" s="102"/>
      <c r="AB84" s="102"/>
      <c r="AC84" s="102"/>
      <c r="AD84" s="102"/>
    </row>
    <row r="85" spans="1:30">
      <c r="A85" s="8" t="str">
        <f>IF(L85="","",Formulario!B96)</f>
        <v/>
      </c>
      <c r="B85" s="119"/>
      <c r="C85" s="120"/>
      <c r="D85" s="121"/>
      <c r="E85" s="129" t="str">
        <f>IF(F85="","",Formulario!B96)</f>
        <v/>
      </c>
      <c r="F85" s="11" t="str">
        <f>TRIM(Formulario!D96)</f>
        <v/>
      </c>
      <c r="G85" s="11" t="str">
        <f>TRIM(Formulario!F96)</f>
        <v/>
      </c>
      <c r="H85" s="146" t="str">
        <f>IF(N85="",TRIM(Formulario!G96),TRIM(Formulario!G96)*N85)</f>
        <v/>
      </c>
      <c r="I85" s="107" t="str">
        <f>TRIM(Formulario!I96)</f>
        <v/>
      </c>
      <c r="J85" s="11" t="str">
        <f>TRIM(Formulario!J96)</f>
        <v/>
      </c>
      <c r="K85" s="11" t="str">
        <f>TRIM(Formulario!K96)</f>
        <v/>
      </c>
      <c r="L85" s="107" t="str">
        <f>TRIM(Formulario!L96)</f>
        <v/>
      </c>
      <c r="M85" s="107" t="str">
        <f>TRIM(Formulario!M96)</f>
        <v>0</v>
      </c>
      <c r="N85" s="11" t="str">
        <f>TRIM(Formulario!H96)</f>
        <v/>
      </c>
      <c r="P85" s="17"/>
      <c r="Q85" s="104"/>
      <c r="R85" s="104"/>
      <c r="S85" s="117"/>
      <c r="T85" s="101"/>
      <c r="U85" s="101"/>
      <c r="V85" s="101"/>
      <c r="W85" s="102"/>
      <c r="X85" s="102"/>
      <c r="Y85" s="102"/>
      <c r="Z85" s="102"/>
      <c r="AA85" s="102"/>
      <c r="AB85" s="102"/>
      <c r="AC85" s="102"/>
      <c r="AD85" s="102"/>
    </row>
    <row r="86" spans="1:30">
      <c r="A86" s="8" t="str">
        <f>IF(L86="","",Formulario!B97)</f>
        <v/>
      </c>
      <c r="B86" s="119"/>
      <c r="C86" s="120"/>
      <c r="D86" s="121"/>
      <c r="E86" s="129" t="str">
        <f>IF(F86="","",Formulario!B97)</f>
        <v/>
      </c>
      <c r="F86" s="11" t="str">
        <f>TRIM(Formulario!D97)</f>
        <v/>
      </c>
      <c r="G86" s="11" t="str">
        <f>TRIM(Formulario!F97)</f>
        <v/>
      </c>
      <c r="H86" s="146" t="str">
        <f>IF(N86="",TRIM(Formulario!G97),TRIM(Formulario!G97)*N86)</f>
        <v/>
      </c>
      <c r="I86" s="107" t="str">
        <f>TRIM(Formulario!I97)</f>
        <v/>
      </c>
      <c r="J86" s="11" t="str">
        <f>TRIM(Formulario!J97)</f>
        <v/>
      </c>
      <c r="K86" s="11" t="str">
        <f>TRIM(Formulario!K97)</f>
        <v/>
      </c>
      <c r="L86" s="107" t="str">
        <f>TRIM(Formulario!L97)</f>
        <v/>
      </c>
      <c r="M86" s="107" t="str">
        <f>TRIM(Formulario!M97)</f>
        <v>0</v>
      </c>
      <c r="N86" s="11" t="str">
        <f>TRIM(Formulario!H97)</f>
        <v/>
      </c>
      <c r="P86" s="17"/>
      <c r="Q86" s="104"/>
      <c r="R86" s="104"/>
      <c r="S86" s="117"/>
      <c r="T86" s="101"/>
      <c r="U86" s="101"/>
      <c r="V86" s="101"/>
      <c r="W86" s="102"/>
      <c r="X86" s="102"/>
      <c r="Y86" s="102"/>
      <c r="Z86" s="102"/>
      <c r="AA86" s="102"/>
      <c r="AB86" s="102"/>
      <c r="AC86" s="102"/>
      <c r="AD86" s="102"/>
    </row>
    <row r="87" spans="1:30">
      <c r="A87" s="8" t="str">
        <f>IF(L87="","",Formulario!B98)</f>
        <v/>
      </c>
      <c r="B87" s="119"/>
      <c r="C87" s="120"/>
      <c r="D87" s="121"/>
      <c r="E87" s="129" t="str">
        <f>IF(F87="","",Formulario!B98)</f>
        <v/>
      </c>
      <c r="F87" s="11" t="str">
        <f>TRIM(Formulario!D98)</f>
        <v/>
      </c>
      <c r="G87" s="11" t="str">
        <f>TRIM(Formulario!F98)</f>
        <v/>
      </c>
      <c r="H87" s="146" t="str">
        <f>IF(N87="",TRIM(Formulario!G98),TRIM(Formulario!G98)*N87)</f>
        <v/>
      </c>
      <c r="I87" s="107" t="str">
        <f>TRIM(Formulario!I98)</f>
        <v/>
      </c>
      <c r="J87" s="11" t="str">
        <f>TRIM(Formulario!J98)</f>
        <v/>
      </c>
      <c r="K87" s="11" t="str">
        <f>TRIM(Formulario!K98)</f>
        <v/>
      </c>
      <c r="L87" s="107" t="str">
        <f>TRIM(Formulario!L98)</f>
        <v/>
      </c>
      <c r="M87" s="107" t="str">
        <f>TRIM(Formulario!M98)</f>
        <v>0</v>
      </c>
      <c r="N87" s="11" t="str">
        <f>TRIM(Formulario!H98)</f>
        <v/>
      </c>
      <c r="P87" s="17"/>
      <c r="Q87" s="104"/>
      <c r="R87" s="104"/>
      <c r="S87" s="117"/>
      <c r="T87" s="101"/>
      <c r="U87" s="101"/>
      <c r="V87" s="101"/>
      <c r="W87" s="102"/>
      <c r="X87" s="102"/>
      <c r="Y87" s="102"/>
      <c r="Z87" s="102"/>
      <c r="AA87" s="102"/>
      <c r="AB87" s="102"/>
      <c r="AC87" s="102"/>
      <c r="AD87" s="102"/>
    </row>
    <row r="88" spans="1:30">
      <c r="A88" s="8" t="str">
        <f>IF(L88="","",Formulario!B99)</f>
        <v/>
      </c>
      <c r="B88" s="119"/>
      <c r="C88" s="120"/>
      <c r="D88" s="121"/>
      <c r="E88" s="129" t="str">
        <f>IF(F88="","",Formulario!B99)</f>
        <v/>
      </c>
      <c r="F88" s="11" t="str">
        <f>TRIM(Formulario!D99)</f>
        <v/>
      </c>
      <c r="G88" s="11" t="str">
        <f>TRIM(Formulario!F99)</f>
        <v/>
      </c>
      <c r="H88" s="146" t="str">
        <f>IF(N88="",TRIM(Formulario!G99),TRIM(Formulario!G99)*N88)</f>
        <v/>
      </c>
      <c r="I88" s="107" t="str">
        <f>TRIM(Formulario!I99)</f>
        <v/>
      </c>
      <c r="J88" s="11" t="str">
        <f>TRIM(Formulario!J99)</f>
        <v/>
      </c>
      <c r="K88" s="11" t="str">
        <f>TRIM(Formulario!K99)</f>
        <v/>
      </c>
      <c r="L88" s="107" t="str">
        <f>TRIM(Formulario!L99)</f>
        <v/>
      </c>
      <c r="M88" s="107" t="str">
        <f>TRIM(Formulario!M99)</f>
        <v>0</v>
      </c>
      <c r="N88" s="11" t="str">
        <f>TRIM(Formulario!H99)</f>
        <v/>
      </c>
      <c r="P88" s="17"/>
      <c r="Q88" s="104"/>
      <c r="R88" s="104"/>
      <c r="S88" s="117"/>
      <c r="T88" s="101"/>
      <c r="U88" s="101"/>
      <c r="V88" s="101"/>
      <c r="W88" s="102"/>
      <c r="X88" s="102"/>
      <c r="Y88" s="102"/>
      <c r="Z88" s="102"/>
      <c r="AA88" s="102"/>
      <c r="AB88" s="102"/>
      <c r="AC88" s="102"/>
      <c r="AD88" s="102"/>
    </row>
    <row r="89" spans="1:30">
      <c r="A89" s="8" t="str">
        <f>IF(L89="","",Formulario!B100)</f>
        <v/>
      </c>
      <c r="B89" s="119"/>
      <c r="C89" s="120"/>
      <c r="D89" s="121"/>
      <c r="E89" s="129" t="str">
        <f>IF(F89="","",Formulario!B100)</f>
        <v/>
      </c>
      <c r="F89" s="11" t="str">
        <f>TRIM(Formulario!D100)</f>
        <v/>
      </c>
      <c r="G89" s="11" t="str">
        <f>TRIM(Formulario!F100)</f>
        <v/>
      </c>
      <c r="H89" s="146" t="str">
        <f>IF(N89="",TRIM(Formulario!G100),TRIM(Formulario!G100)*N89)</f>
        <v/>
      </c>
      <c r="I89" s="107" t="str">
        <f>TRIM(Formulario!I100)</f>
        <v/>
      </c>
      <c r="J89" s="11" t="str">
        <f>TRIM(Formulario!J100)</f>
        <v/>
      </c>
      <c r="K89" s="11" t="str">
        <f>TRIM(Formulario!K100)</f>
        <v/>
      </c>
      <c r="L89" s="107" t="str">
        <f>TRIM(Formulario!L100)</f>
        <v/>
      </c>
      <c r="M89" s="107" t="str">
        <f>TRIM(Formulario!M100)</f>
        <v>0</v>
      </c>
      <c r="N89" s="11" t="str">
        <f>TRIM(Formulario!H100)</f>
        <v/>
      </c>
      <c r="P89" s="17"/>
      <c r="Q89" s="104"/>
      <c r="R89" s="104"/>
      <c r="S89" s="117"/>
      <c r="T89" s="101"/>
      <c r="U89" s="101"/>
      <c r="V89" s="101"/>
      <c r="W89" s="102"/>
      <c r="X89" s="102"/>
      <c r="Y89" s="102"/>
      <c r="Z89" s="102"/>
      <c r="AA89" s="102"/>
      <c r="AB89" s="102"/>
      <c r="AC89" s="102"/>
      <c r="AD89" s="102"/>
    </row>
    <row r="90" spans="1:30">
      <c r="A90" s="8" t="str">
        <f>IF(L90="","",Formulario!B101)</f>
        <v/>
      </c>
      <c r="B90" s="119"/>
      <c r="C90" s="120"/>
      <c r="D90" s="121"/>
      <c r="E90" s="129" t="str">
        <f>IF(F90="","",Formulario!B101)</f>
        <v/>
      </c>
      <c r="F90" s="11" t="str">
        <f>TRIM(Formulario!D101)</f>
        <v/>
      </c>
      <c r="G90" s="11" t="str">
        <f>TRIM(Formulario!F101)</f>
        <v/>
      </c>
      <c r="H90" s="146" t="str">
        <f>IF(N90="",TRIM(Formulario!G101),TRIM(Formulario!G101)*N90)</f>
        <v/>
      </c>
      <c r="I90" s="107" t="str">
        <f>TRIM(Formulario!I101)</f>
        <v/>
      </c>
      <c r="J90" s="11" t="str">
        <f>TRIM(Formulario!J101)</f>
        <v/>
      </c>
      <c r="K90" s="11" t="str">
        <f>TRIM(Formulario!K101)</f>
        <v/>
      </c>
      <c r="L90" s="107" t="str">
        <f>TRIM(Formulario!L101)</f>
        <v/>
      </c>
      <c r="M90" s="107" t="str">
        <f>TRIM(Formulario!M101)</f>
        <v>0</v>
      </c>
      <c r="N90" s="11" t="str">
        <f>TRIM(Formulario!H101)</f>
        <v/>
      </c>
      <c r="P90" s="17"/>
      <c r="Q90" s="104"/>
      <c r="R90" s="104"/>
      <c r="S90" s="117"/>
      <c r="T90" s="101"/>
      <c r="U90" s="101"/>
      <c r="V90" s="101"/>
      <c r="W90" s="102"/>
      <c r="X90" s="102"/>
      <c r="Y90" s="102"/>
      <c r="Z90" s="102"/>
      <c r="AA90" s="102"/>
      <c r="AB90" s="102"/>
      <c r="AC90" s="102"/>
      <c r="AD90" s="102"/>
    </row>
    <row r="91" spans="1:30">
      <c r="A91" s="8" t="str">
        <f>IF(L91="","",Formulario!B102)</f>
        <v/>
      </c>
      <c r="B91" s="119"/>
      <c r="C91" s="120"/>
      <c r="D91" s="121"/>
      <c r="E91" s="129" t="str">
        <f>IF(F91="","",Formulario!B102)</f>
        <v/>
      </c>
      <c r="F91" s="11" t="str">
        <f>TRIM(Formulario!D102)</f>
        <v/>
      </c>
      <c r="G91" s="11" t="str">
        <f>TRIM(Formulario!F102)</f>
        <v/>
      </c>
      <c r="H91" s="146" t="str">
        <f>IF(N91="",TRIM(Formulario!G102),TRIM(Formulario!G102)*N91)</f>
        <v/>
      </c>
      <c r="I91" s="107" t="str">
        <f>TRIM(Formulario!I102)</f>
        <v/>
      </c>
      <c r="J91" s="11" t="str">
        <f>TRIM(Formulario!J102)</f>
        <v/>
      </c>
      <c r="K91" s="11" t="str">
        <f>TRIM(Formulario!K102)</f>
        <v/>
      </c>
      <c r="L91" s="107" t="str">
        <f>TRIM(Formulario!L102)</f>
        <v/>
      </c>
      <c r="M91" s="107" t="str">
        <f>TRIM(Formulario!M102)</f>
        <v>0</v>
      </c>
      <c r="N91" s="11" t="str">
        <f>TRIM(Formulario!H102)</f>
        <v/>
      </c>
      <c r="P91" s="17"/>
      <c r="Q91" s="104"/>
      <c r="R91" s="104"/>
      <c r="S91" s="117"/>
      <c r="T91" s="101"/>
      <c r="U91" s="101"/>
      <c r="V91" s="101"/>
      <c r="W91" s="102"/>
      <c r="X91" s="102"/>
      <c r="Y91" s="102"/>
      <c r="Z91" s="102"/>
      <c r="AA91" s="102"/>
      <c r="AB91" s="102"/>
      <c r="AC91" s="102"/>
      <c r="AD91" s="102"/>
    </row>
    <row r="92" spans="1:30">
      <c r="A92" s="8" t="str">
        <f>IF(L92="","",Formulario!B103)</f>
        <v/>
      </c>
      <c r="B92" s="119"/>
      <c r="C92" s="120"/>
      <c r="D92" s="121"/>
      <c r="E92" s="129" t="str">
        <f>IF(F92="","",Formulario!B103)</f>
        <v/>
      </c>
      <c r="F92" s="11" t="str">
        <f>TRIM(Formulario!D103)</f>
        <v/>
      </c>
      <c r="G92" s="11" t="str">
        <f>TRIM(Formulario!F103)</f>
        <v/>
      </c>
      <c r="H92" s="146" t="str">
        <f>IF(N92="",TRIM(Formulario!G103),TRIM(Formulario!G103)*N92)</f>
        <v/>
      </c>
      <c r="I92" s="107" t="str">
        <f>TRIM(Formulario!I103)</f>
        <v/>
      </c>
      <c r="J92" s="11" t="str">
        <f>TRIM(Formulario!J103)</f>
        <v/>
      </c>
      <c r="K92" s="11" t="str">
        <f>TRIM(Formulario!K103)</f>
        <v/>
      </c>
      <c r="L92" s="107" t="str">
        <f>TRIM(Formulario!L103)</f>
        <v/>
      </c>
      <c r="M92" s="107" t="str">
        <f>TRIM(Formulario!M103)</f>
        <v>0</v>
      </c>
      <c r="N92" s="11" t="str">
        <f>TRIM(Formulario!H103)</f>
        <v/>
      </c>
      <c r="P92" s="17"/>
      <c r="Q92" s="104"/>
      <c r="R92" s="104"/>
      <c r="S92" s="117"/>
      <c r="T92" s="101"/>
      <c r="U92" s="101"/>
      <c r="V92" s="101"/>
      <c r="W92" s="102"/>
      <c r="X92" s="102"/>
      <c r="Y92" s="102"/>
      <c r="Z92" s="102"/>
      <c r="AA92" s="102"/>
      <c r="AB92" s="102"/>
      <c r="AC92" s="102"/>
      <c r="AD92" s="102"/>
    </row>
    <row r="93" spans="1:30">
      <c r="A93" s="8" t="str">
        <f>IF(L93="","",Formulario!B104)</f>
        <v/>
      </c>
      <c r="B93" s="119"/>
      <c r="C93" s="120"/>
      <c r="D93" s="121"/>
      <c r="E93" s="129" t="str">
        <f>IF(F93="","",Formulario!B104)</f>
        <v/>
      </c>
      <c r="F93" s="11" t="str">
        <f>TRIM(Formulario!D104)</f>
        <v/>
      </c>
      <c r="G93" s="11" t="str">
        <f>TRIM(Formulario!F104)</f>
        <v/>
      </c>
      <c r="H93" s="146" t="str">
        <f>IF(N93="",TRIM(Formulario!G104),TRIM(Formulario!G104)*N93)</f>
        <v/>
      </c>
      <c r="I93" s="107" t="str">
        <f>TRIM(Formulario!I104)</f>
        <v/>
      </c>
      <c r="J93" s="11" t="str">
        <f>TRIM(Formulario!J104)</f>
        <v/>
      </c>
      <c r="K93" s="11" t="str">
        <f>TRIM(Formulario!K104)</f>
        <v/>
      </c>
      <c r="L93" s="107" t="str">
        <f>TRIM(Formulario!L104)</f>
        <v/>
      </c>
      <c r="M93" s="107" t="str">
        <f>TRIM(Formulario!M104)</f>
        <v>0</v>
      </c>
      <c r="N93" s="11" t="str">
        <f>TRIM(Formulario!H104)</f>
        <v/>
      </c>
      <c r="P93" s="17"/>
      <c r="Q93" s="104"/>
      <c r="R93" s="104"/>
      <c r="S93" s="117"/>
      <c r="T93" s="101"/>
      <c r="U93" s="101"/>
      <c r="V93" s="101"/>
      <c r="W93" s="102"/>
      <c r="X93" s="102"/>
      <c r="Y93" s="102"/>
      <c r="Z93" s="102"/>
      <c r="AA93" s="102"/>
      <c r="AB93" s="102"/>
      <c r="AC93" s="102"/>
      <c r="AD93" s="102"/>
    </row>
    <row r="94" spans="1:30">
      <c r="A94" s="8" t="str">
        <f>IF(L94="","",Formulario!B105)</f>
        <v/>
      </c>
      <c r="B94" s="119"/>
      <c r="C94" s="120"/>
      <c r="D94" s="121"/>
      <c r="E94" s="129" t="str">
        <f>IF(F94="","",Formulario!B105)</f>
        <v/>
      </c>
      <c r="F94" s="11" t="str">
        <f>TRIM(Formulario!D105)</f>
        <v/>
      </c>
      <c r="G94" s="11" t="str">
        <f>TRIM(Formulario!F105)</f>
        <v/>
      </c>
      <c r="H94" s="146" t="str">
        <f>IF(N94="",TRIM(Formulario!G105),TRIM(Formulario!G105)*N94)</f>
        <v/>
      </c>
      <c r="I94" s="107" t="str">
        <f>TRIM(Formulario!I105)</f>
        <v/>
      </c>
      <c r="J94" s="11" t="str">
        <f>TRIM(Formulario!J105)</f>
        <v/>
      </c>
      <c r="K94" s="11" t="str">
        <f>TRIM(Formulario!K105)</f>
        <v/>
      </c>
      <c r="L94" s="107" t="str">
        <f>TRIM(Formulario!L105)</f>
        <v/>
      </c>
      <c r="M94" s="107" t="str">
        <f>TRIM(Formulario!M105)</f>
        <v>0</v>
      </c>
      <c r="N94" s="11" t="str">
        <f>TRIM(Formulario!H105)</f>
        <v/>
      </c>
      <c r="P94" s="17"/>
      <c r="Q94" s="104"/>
      <c r="R94" s="104"/>
      <c r="S94" s="117"/>
      <c r="T94" s="101"/>
      <c r="U94" s="101"/>
      <c r="V94" s="101"/>
      <c r="W94" s="102"/>
      <c r="X94" s="102"/>
      <c r="Y94" s="102"/>
      <c r="Z94" s="102"/>
      <c r="AA94" s="102"/>
      <c r="AB94" s="102"/>
      <c r="AC94" s="102"/>
      <c r="AD94" s="102"/>
    </row>
    <row r="95" spans="1:30">
      <c r="A95" s="8" t="str">
        <f>IF(L95="","",Formulario!B106)</f>
        <v/>
      </c>
      <c r="B95" s="119"/>
      <c r="C95" s="120"/>
      <c r="D95" s="121"/>
      <c r="E95" s="129" t="str">
        <f>IF(F95="","",Formulario!B106)</f>
        <v/>
      </c>
      <c r="F95" s="11" t="str">
        <f>TRIM(Formulario!D106)</f>
        <v/>
      </c>
      <c r="G95" s="11" t="str">
        <f>TRIM(Formulario!F106)</f>
        <v/>
      </c>
      <c r="H95" s="146" t="str">
        <f>IF(N95="",TRIM(Formulario!G106),TRIM(Formulario!G106)*N95)</f>
        <v/>
      </c>
      <c r="I95" s="107" t="str">
        <f>TRIM(Formulario!I106)</f>
        <v/>
      </c>
      <c r="J95" s="11" t="str">
        <f>TRIM(Formulario!J106)</f>
        <v/>
      </c>
      <c r="K95" s="11" t="str">
        <f>TRIM(Formulario!K106)</f>
        <v/>
      </c>
      <c r="L95" s="107" t="str">
        <f>TRIM(Formulario!L106)</f>
        <v/>
      </c>
      <c r="M95" s="107" t="str">
        <f>TRIM(Formulario!M106)</f>
        <v>0</v>
      </c>
      <c r="N95" s="11" t="str">
        <f>TRIM(Formulario!H106)</f>
        <v/>
      </c>
      <c r="P95" s="17"/>
      <c r="Q95" s="104"/>
      <c r="R95" s="104"/>
      <c r="S95" s="117"/>
      <c r="T95" s="101"/>
      <c r="U95" s="101"/>
      <c r="V95" s="101"/>
      <c r="W95" s="102"/>
      <c r="X95" s="102"/>
      <c r="Y95" s="102"/>
      <c r="Z95" s="102"/>
      <c r="AA95" s="102"/>
      <c r="AB95" s="102"/>
      <c r="AC95" s="102"/>
      <c r="AD95" s="102"/>
    </row>
    <row r="96" spans="1:30">
      <c r="A96" s="8" t="str">
        <f>IF(L96="","",Formulario!B107)</f>
        <v/>
      </c>
      <c r="B96" s="119"/>
      <c r="C96" s="120"/>
      <c r="D96" s="121"/>
      <c r="E96" s="129" t="str">
        <f>IF(F96="","",Formulario!B107)</f>
        <v/>
      </c>
      <c r="F96" s="11" t="str">
        <f>TRIM(Formulario!D107)</f>
        <v/>
      </c>
      <c r="G96" s="11" t="str">
        <f>TRIM(Formulario!F107)</f>
        <v/>
      </c>
      <c r="H96" s="146" t="str">
        <f>IF(N96="",TRIM(Formulario!G107),TRIM(Formulario!G107)*N96)</f>
        <v/>
      </c>
      <c r="I96" s="107" t="str">
        <f>TRIM(Formulario!I107)</f>
        <v/>
      </c>
      <c r="J96" s="11" t="str">
        <f>TRIM(Formulario!J107)</f>
        <v/>
      </c>
      <c r="K96" s="11" t="str">
        <f>TRIM(Formulario!K107)</f>
        <v/>
      </c>
      <c r="L96" s="107" t="str">
        <f>TRIM(Formulario!L107)</f>
        <v/>
      </c>
      <c r="M96" s="107" t="str">
        <f>TRIM(Formulario!M107)</f>
        <v>0</v>
      </c>
      <c r="N96" s="11" t="str">
        <f>TRIM(Formulario!H107)</f>
        <v/>
      </c>
      <c r="P96" s="17"/>
      <c r="Q96" s="104"/>
      <c r="R96" s="104"/>
      <c r="S96" s="117"/>
      <c r="T96" s="101"/>
      <c r="U96" s="101"/>
      <c r="V96" s="101"/>
      <c r="W96" s="102"/>
      <c r="X96" s="102"/>
      <c r="Y96" s="102"/>
      <c r="Z96" s="102"/>
      <c r="AA96" s="102"/>
      <c r="AB96" s="102"/>
      <c r="AC96" s="102"/>
      <c r="AD96" s="102"/>
    </row>
    <row r="97" spans="1:30">
      <c r="A97" s="8" t="str">
        <f>IF(L97="","",Formulario!B108)</f>
        <v/>
      </c>
      <c r="B97" s="119"/>
      <c r="C97" s="120"/>
      <c r="D97" s="121"/>
      <c r="E97" s="129" t="str">
        <f>IF(F97="","",Formulario!B108)</f>
        <v/>
      </c>
      <c r="F97" s="11" t="str">
        <f>TRIM(Formulario!D108)</f>
        <v/>
      </c>
      <c r="G97" s="11" t="str">
        <f>TRIM(Formulario!F108)</f>
        <v/>
      </c>
      <c r="H97" s="146" t="str">
        <f>IF(N97="",TRIM(Formulario!G108),TRIM(Formulario!G108)*N97)</f>
        <v/>
      </c>
      <c r="I97" s="107" t="str">
        <f>TRIM(Formulario!I108)</f>
        <v/>
      </c>
      <c r="J97" s="11" t="str">
        <f>TRIM(Formulario!J108)</f>
        <v/>
      </c>
      <c r="K97" s="11" t="str">
        <f>TRIM(Formulario!K108)</f>
        <v/>
      </c>
      <c r="L97" s="107" t="str">
        <f>TRIM(Formulario!L108)</f>
        <v/>
      </c>
      <c r="M97" s="107" t="str">
        <f>TRIM(Formulario!M108)</f>
        <v>0</v>
      </c>
      <c r="N97" s="11" t="str">
        <f>TRIM(Formulario!H108)</f>
        <v/>
      </c>
      <c r="P97" s="17"/>
      <c r="Q97" s="104"/>
      <c r="R97" s="104"/>
      <c r="S97" s="117"/>
      <c r="T97" s="101"/>
      <c r="U97" s="101"/>
      <c r="V97" s="101"/>
      <c r="W97" s="102"/>
      <c r="X97" s="102"/>
      <c r="Y97" s="102"/>
      <c r="Z97" s="102"/>
      <c r="AA97" s="102"/>
      <c r="AB97" s="102"/>
      <c r="AC97" s="102"/>
      <c r="AD97" s="102"/>
    </row>
    <row r="98" spans="1:30">
      <c r="A98" s="8" t="str">
        <f>IF(L98="","",Formulario!B109)</f>
        <v/>
      </c>
      <c r="B98" s="119"/>
      <c r="C98" s="120"/>
      <c r="D98" s="121"/>
      <c r="E98" s="129" t="str">
        <f>IF(F98="","",Formulario!B109)</f>
        <v/>
      </c>
      <c r="F98" s="11" t="str">
        <f>TRIM(Formulario!D109)</f>
        <v/>
      </c>
      <c r="G98" s="11" t="str">
        <f>TRIM(Formulario!F109)</f>
        <v/>
      </c>
      <c r="H98" s="146" t="str">
        <f>IF(N98="",TRIM(Formulario!G109),TRIM(Formulario!G109)*N98)</f>
        <v/>
      </c>
      <c r="I98" s="107" t="str">
        <f>TRIM(Formulario!I109)</f>
        <v/>
      </c>
      <c r="J98" s="11" t="str">
        <f>TRIM(Formulario!J109)</f>
        <v/>
      </c>
      <c r="K98" s="11" t="str">
        <f>TRIM(Formulario!K109)</f>
        <v/>
      </c>
      <c r="L98" s="107" t="str">
        <f>TRIM(Formulario!L109)</f>
        <v/>
      </c>
      <c r="M98" s="107" t="str">
        <f>TRIM(Formulario!M109)</f>
        <v>0</v>
      </c>
      <c r="N98" s="11" t="str">
        <f>TRIM(Formulario!H109)</f>
        <v/>
      </c>
      <c r="P98" s="17"/>
      <c r="Q98" s="104"/>
      <c r="R98" s="104"/>
      <c r="S98" s="117"/>
      <c r="T98" s="101"/>
      <c r="U98" s="101"/>
      <c r="V98" s="101"/>
      <c r="W98" s="102"/>
      <c r="X98" s="102"/>
      <c r="Y98" s="102"/>
      <c r="Z98" s="102"/>
      <c r="AA98" s="102"/>
      <c r="AB98" s="102"/>
      <c r="AC98" s="102"/>
      <c r="AD98" s="102"/>
    </row>
    <row r="99" spans="1:30">
      <c r="A99" s="8" t="str">
        <f>IF(L99="","",Formulario!B110)</f>
        <v/>
      </c>
      <c r="B99" s="119"/>
      <c r="C99" s="120"/>
      <c r="D99" s="121"/>
      <c r="E99" s="129" t="str">
        <f>IF(F99="","",Formulario!B110)</f>
        <v/>
      </c>
      <c r="F99" s="11" t="str">
        <f>TRIM(Formulario!D110)</f>
        <v/>
      </c>
      <c r="G99" s="11" t="str">
        <f>TRIM(Formulario!F110)</f>
        <v/>
      </c>
      <c r="H99" s="146" t="str">
        <f>IF(N99="",TRIM(Formulario!G110),TRIM(Formulario!G110)*N99)</f>
        <v/>
      </c>
      <c r="I99" s="107" t="str">
        <f>TRIM(Formulario!I110)</f>
        <v/>
      </c>
      <c r="J99" s="11" t="str">
        <f>TRIM(Formulario!J110)</f>
        <v/>
      </c>
      <c r="K99" s="11" t="str">
        <f>TRIM(Formulario!K110)</f>
        <v/>
      </c>
      <c r="L99" s="107" t="str">
        <f>TRIM(Formulario!L110)</f>
        <v/>
      </c>
      <c r="M99" s="107" t="str">
        <f>TRIM(Formulario!M110)</f>
        <v>0</v>
      </c>
      <c r="N99" s="11" t="str">
        <f>TRIM(Formulario!H110)</f>
        <v/>
      </c>
      <c r="P99" s="17"/>
      <c r="Q99" s="104"/>
      <c r="R99" s="104"/>
      <c r="S99" s="117"/>
      <c r="T99" s="101"/>
      <c r="U99" s="101"/>
      <c r="V99" s="101"/>
      <c r="W99" s="102"/>
      <c r="X99" s="102"/>
      <c r="Y99" s="102"/>
      <c r="Z99" s="102"/>
      <c r="AA99" s="102"/>
      <c r="AB99" s="102"/>
      <c r="AC99" s="102"/>
      <c r="AD99" s="102"/>
    </row>
    <row r="100" spans="1:30">
      <c r="A100" s="8" t="str">
        <f>IF(L100="","",Formulario!B111)</f>
        <v/>
      </c>
      <c r="B100" s="119"/>
      <c r="C100" s="120"/>
      <c r="D100" s="121"/>
      <c r="E100" s="129" t="str">
        <f>IF(F100="","",Formulario!B111)</f>
        <v/>
      </c>
      <c r="F100" s="11" t="str">
        <f>TRIM(Formulario!D111)</f>
        <v/>
      </c>
      <c r="G100" s="11" t="str">
        <f>TRIM(Formulario!F111)</f>
        <v/>
      </c>
      <c r="H100" s="146" t="str">
        <f>IF(N100="",TRIM(Formulario!G111),TRIM(Formulario!G111)*N100)</f>
        <v/>
      </c>
      <c r="I100" s="107" t="str">
        <f>TRIM(Formulario!I111)</f>
        <v/>
      </c>
      <c r="J100" s="11" t="str">
        <f>TRIM(Formulario!J111)</f>
        <v/>
      </c>
      <c r="K100" s="11" t="str">
        <f>TRIM(Formulario!K111)</f>
        <v/>
      </c>
      <c r="L100" s="107" t="str">
        <f>TRIM(Formulario!L111)</f>
        <v/>
      </c>
      <c r="M100" s="107" t="str">
        <f>TRIM(Formulario!M111)</f>
        <v>0</v>
      </c>
      <c r="N100" s="11" t="str">
        <f>TRIM(Formulario!H111)</f>
        <v/>
      </c>
      <c r="P100" s="17"/>
      <c r="Q100" s="104"/>
      <c r="R100" s="104"/>
      <c r="S100" s="117"/>
      <c r="T100" s="101"/>
      <c r="U100" s="101"/>
      <c r="V100" s="101"/>
      <c r="W100" s="102"/>
      <c r="X100" s="102"/>
      <c r="Y100" s="102"/>
      <c r="Z100" s="102"/>
      <c r="AA100" s="102"/>
      <c r="AB100" s="102"/>
      <c r="AC100" s="102"/>
      <c r="AD100" s="102"/>
    </row>
    <row r="101" spans="1:30">
      <c r="A101" s="8" t="str">
        <f>IF(L101="","",Formulario!B112)</f>
        <v/>
      </c>
      <c r="B101" s="119"/>
      <c r="C101" s="120"/>
      <c r="D101" s="121"/>
      <c r="E101" s="129" t="str">
        <f>IF(F101="","",Formulario!B112)</f>
        <v/>
      </c>
      <c r="F101" s="11" t="str">
        <f>TRIM(Formulario!D112)</f>
        <v/>
      </c>
      <c r="G101" s="11" t="str">
        <f>TRIM(Formulario!F112)</f>
        <v/>
      </c>
      <c r="H101" s="146" t="str">
        <f>IF(N101="",TRIM(Formulario!G112),TRIM(Formulario!G112)*N101)</f>
        <v/>
      </c>
      <c r="I101" s="107" t="str">
        <f>TRIM(Formulario!I112)</f>
        <v/>
      </c>
      <c r="J101" s="11" t="str">
        <f>TRIM(Formulario!J112)</f>
        <v/>
      </c>
      <c r="K101" s="11" t="str">
        <f>TRIM(Formulario!K112)</f>
        <v/>
      </c>
      <c r="L101" s="107" t="str">
        <f>TRIM(Formulario!L112)</f>
        <v/>
      </c>
      <c r="M101" s="107" t="str">
        <f>TRIM(Formulario!M112)</f>
        <v>0</v>
      </c>
      <c r="N101" s="11" t="str">
        <f>TRIM(Formulario!H112)</f>
        <v/>
      </c>
      <c r="P101" s="17"/>
      <c r="Q101" s="104"/>
      <c r="R101" s="104"/>
      <c r="S101" s="117"/>
      <c r="T101" s="101"/>
      <c r="U101" s="101"/>
      <c r="V101" s="101"/>
      <c r="W101" s="102"/>
      <c r="X101" s="102"/>
      <c r="Y101" s="102"/>
      <c r="Z101" s="102"/>
      <c r="AA101" s="102"/>
      <c r="AB101" s="102"/>
      <c r="AC101" s="102"/>
      <c r="AD101" s="102"/>
    </row>
    <row r="102" spans="1:30">
      <c r="A102" s="8" t="str">
        <f>IF(L102="","",Formulario!B113)</f>
        <v/>
      </c>
      <c r="B102" s="119"/>
      <c r="C102" s="120"/>
      <c r="D102" s="121"/>
      <c r="E102" s="129" t="str">
        <f>IF(F102="","",Formulario!B113)</f>
        <v/>
      </c>
      <c r="F102" s="11" t="str">
        <f>TRIM(Formulario!D113)</f>
        <v/>
      </c>
      <c r="G102" s="11" t="str">
        <f>TRIM(Formulario!F113)</f>
        <v/>
      </c>
      <c r="H102" s="146" t="str">
        <f>IF(N102="",TRIM(Formulario!G113),TRIM(Formulario!G113)*N102)</f>
        <v/>
      </c>
      <c r="I102" s="107" t="str">
        <f>TRIM(Formulario!I113)</f>
        <v/>
      </c>
      <c r="J102" s="11" t="str">
        <f>TRIM(Formulario!J113)</f>
        <v/>
      </c>
      <c r="K102" s="11" t="str">
        <f>TRIM(Formulario!K113)</f>
        <v/>
      </c>
      <c r="L102" s="107" t="str">
        <f>TRIM(Formulario!L113)</f>
        <v/>
      </c>
      <c r="M102" s="107" t="str">
        <f>TRIM(Formulario!M113)</f>
        <v>0</v>
      </c>
      <c r="N102" s="11" t="str">
        <f>TRIM(Formulario!H113)</f>
        <v/>
      </c>
      <c r="P102" s="17"/>
      <c r="Q102" s="104"/>
      <c r="R102" s="104"/>
      <c r="S102" s="117"/>
      <c r="T102" s="101"/>
      <c r="U102" s="101"/>
      <c r="V102" s="101"/>
      <c r="W102" s="102"/>
      <c r="X102" s="102"/>
      <c r="Y102" s="102"/>
      <c r="Z102" s="102"/>
      <c r="AA102" s="102"/>
      <c r="AB102" s="102"/>
      <c r="AC102" s="102"/>
      <c r="AD102" s="102"/>
    </row>
    <row r="103" spans="1:30">
      <c r="A103" s="8" t="str">
        <f>IF(L103="","",Formulario!B114)</f>
        <v/>
      </c>
      <c r="B103" s="119"/>
      <c r="C103" s="120"/>
      <c r="D103" s="121"/>
      <c r="E103" s="129" t="str">
        <f>IF(F103="","",Formulario!B114)</f>
        <v/>
      </c>
      <c r="F103" s="11" t="str">
        <f>TRIM(Formulario!D114)</f>
        <v/>
      </c>
      <c r="G103" s="11" t="str">
        <f>TRIM(Formulario!F114)</f>
        <v/>
      </c>
      <c r="H103" s="146" t="str">
        <f>IF(N103="",TRIM(Formulario!G114),TRIM(Formulario!G114)*N103)</f>
        <v/>
      </c>
      <c r="I103" s="107" t="str">
        <f>TRIM(Formulario!I114)</f>
        <v/>
      </c>
      <c r="J103" s="11" t="str">
        <f>TRIM(Formulario!J114)</f>
        <v/>
      </c>
      <c r="K103" s="11" t="str">
        <f>TRIM(Formulario!K114)</f>
        <v/>
      </c>
      <c r="L103" s="107" t="str">
        <f>TRIM(Formulario!L114)</f>
        <v/>
      </c>
      <c r="M103" s="107" t="str">
        <f>TRIM(Formulario!M114)</f>
        <v>0</v>
      </c>
      <c r="N103" s="11" t="str">
        <f>TRIM(Formulario!H114)</f>
        <v/>
      </c>
      <c r="P103" s="17"/>
      <c r="Q103" s="104"/>
      <c r="R103" s="104"/>
      <c r="S103" s="117"/>
      <c r="T103" s="101"/>
      <c r="U103" s="101"/>
      <c r="V103" s="101"/>
      <c r="W103" s="102"/>
      <c r="X103" s="102"/>
      <c r="Y103" s="102"/>
      <c r="Z103" s="102"/>
      <c r="AA103" s="102"/>
      <c r="AB103" s="102"/>
      <c r="AC103" s="102"/>
      <c r="AD103" s="102"/>
    </row>
    <row r="104" spans="1:30">
      <c r="A104" s="8" t="str">
        <f>IF(L104="","",Formulario!B115)</f>
        <v/>
      </c>
      <c r="B104" s="119"/>
      <c r="C104" s="120"/>
      <c r="D104" s="121"/>
      <c r="E104" s="129" t="str">
        <f>IF(F104="","",Formulario!B115)</f>
        <v/>
      </c>
      <c r="F104" s="11" t="str">
        <f>TRIM(Formulario!D115)</f>
        <v/>
      </c>
      <c r="G104" s="11" t="str">
        <f>TRIM(Formulario!F115)</f>
        <v/>
      </c>
      <c r="H104" s="146" t="str">
        <f>IF(N104="",TRIM(Formulario!G115),TRIM(Formulario!G115)*N104)</f>
        <v/>
      </c>
      <c r="I104" s="107" t="str">
        <f>TRIM(Formulario!I115)</f>
        <v/>
      </c>
      <c r="J104" s="11" t="str">
        <f>TRIM(Formulario!J115)</f>
        <v/>
      </c>
      <c r="K104" s="11" t="str">
        <f>TRIM(Formulario!K115)</f>
        <v/>
      </c>
      <c r="L104" s="107" t="str">
        <f>TRIM(Formulario!L115)</f>
        <v/>
      </c>
      <c r="M104" s="107" t="str">
        <f>TRIM(Formulario!M115)</f>
        <v>0</v>
      </c>
      <c r="N104" s="11" t="str">
        <f>TRIM(Formulario!H115)</f>
        <v/>
      </c>
      <c r="P104" s="17"/>
      <c r="Q104" s="104"/>
      <c r="R104" s="104"/>
      <c r="S104" s="117"/>
      <c r="T104" s="101"/>
      <c r="U104" s="101"/>
      <c r="V104" s="101"/>
      <c r="W104" s="102"/>
      <c r="X104" s="102"/>
      <c r="Y104" s="102"/>
      <c r="Z104" s="102"/>
      <c r="AA104" s="102"/>
      <c r="AB104" s="102"/>
      <c r="AC104" s="102"/>
      <c r="AD104" s="102"/>
    </row>
    <row r="105" spans="1:30">
      <c r="A105" s="8" t="str">
        <f>IF(L105="","",Formulario!B116)</f>
        <v/>
      </c>
      <c r="B105" s="119"/>
      <c r="C105" s="120"/>
      <c r="D105" s="121"/>
      <c r="E105" s="129" t="str">
        <f>IF(F105="","",Formulario!B116)</f>
        <v/>
      </c>
      <c r="F105" s="11" t="str">
        <f>TRIM(Formulario!D116)</f>
        <v/>
      </c>
      <c r="G105" s="11" t="str">
        <f>TRIM(Formulario!F116)</f>
        <v/>
      </c>
      <c r="H105" s="146" t="str">
        <f>IF(N105="",TRIM(Formulario!G116),TRIM(Formulario!G116)*N105)</f>
        <v/>
      </c>
      <c r="I105" s="107" t="str">
        <f>TRIM(Formulario!I116)</f>
        <v/>
      </c>
      <c r="J105" s="11" t="str">
        <f>TRIM(Formulario!J116)</f>
        <v/>
      </c>
      <c r="K105" s="11" t="str">
        <f>TRIM(Formulario!K116)</f>
        <v/>
      </c>
      <c r="L105" s="107" t="str">
        <f>TRIM(Formulario!L116)</f>
        <v/>
      </c>
      <c r="M105" s="107" t="str">
        <f>TRIM(Formulario!M116)</f>
        <v>0</v>
      </c>
      <c r="N105" s="11" t="str">
        <f>TRIM(Formulario!H116)</f>
        <v/>
      </c>
      <c r="P105" s="17"/>
      <c r="Q105" s="104"/>
      <c r="R105" s="104"/>
      <c r="S105" s="117"/>
      <c r="T105" s="101"/>
      <c r="U105" s="101"/>
      <c r="V105" s="101"/>
      <c r="W105" s="102"/>
      <c r="X105" s="102"/>
      <c r="Y105" s="102"/>
      <c r="Z105" s="102"/>
      <c r="AA105" s="102"/>
      <c r="AB105" s="102"/>
      <c r="AC105" s="102"/>
      <c r="AD105" s="102"/>
    </row>
    <row r="106" spans="1:30">
      <c r="A106" s="8" t="str">
        <f>IF(L106="","",Formulario!B117)</f>
        <v/>
      </c>
      <c r="B106" s="119"/>
      <c r="C106" s="120"/>
      <c r="D106" s="121"/>
      <c r="E106" s="129" t="str">
        <f>IF(F106="","",Formulario!B117)</f>
        <v/>
      </c>
      <c r="F106" s="11" t="str">
        <f>TRIM(Formulario!D117)</f>
        <v/>
      </c>
      <c r="G106" s="11" t="str">
        <f>TRIM(Formulario!F117)</f>
        <v/>
      </c>
      <c r="H106" s="146" t="str">
        <f>IF(N106="",TRIM(Formulario!G117),TRIM(Formulario!G117)*N106)</f>
        <v/>
      </c>
      <c r="I106" s="107" t="str">
        <f>TRIM(Formulario!I117)</f>
        <v/>
      </c>
      <c r="J106" s="11" t="str">
        <f>TRIM(Formulario!J117)</f>
        <v/>
      </c>
      <c r="K106" s="11" t="str">
        <f>TRIM(Formulario!K117)</f>
        <v/>
      </c>
      <c r="L106" s="107" t="str">
        <f>TRIM(Formulario!L117)</f>
        <v/>
      </c>
      <c r="M106" s="107" t="str">
        <f>TRIM(Formulario!M117)</f>
        <v>0</v>
      </c>
      <c r="N106" s="11" t="str">
        <f>TRIM(Formulario!H117)</f>
        <v/>
      </c>
      <c r="P106" s="17"/>
      <c r="Q106" s="104"/>
      <c r="R106" s="104"/>
      <c r="S106" s="117"/>
      <c r="T106" s="101"/>
      <c r="U106" s="101"/>
      <c r="V106" s="101"/>
      <c r="W106" s="102"/>
      <c r="X106" s="102"/>
      <c r="Y106" s="102"/>
      <c r="Z106" s="102"/>
      <c r="AA106" s="102"/>
      <c r="AB106" s="102"/>
      <c r="AC106" s="102"/>
      <c r="AD106" s="102"/>
    </row>
    <row r="107" spans="1:30">
      <c r="A107" s="8" t="str">
        <f>IF(L107="","",Formulario!B118)</f>
        <v/>
      </c>
      <c r="B107" s="119"/>
      <c r="C107" s="120"/>
      <c r="D107" s="121"/>
      <c r="E107" s="129" t="str">
        <f>IF(F107="","",Formulario!B118)</f>
        <v/>
      </c>
      <c r="F107" s="11" t="str">
        <f>TRIM(Formulario!D118)</f>
        <v/>
      </c>
      <c r="G107" s="11" t="str">
        <f>TRIM(Formulario!F118)</f>
        <v/>
      </c>
      <c r="H107" s="146" t="str">
        <f>IF(N107="",TRIM(Formulario!G118),TRIM(Formulario!G118)*N107)</f>
        <v/>
      </c>
      <c r="I107" s="107" t="str">
        <f>TRIM(Formulario!I118)</f>
        <v/>
      </c>
      <c r="J107" s="11" t="str">
        <f>TRIM(Formulario!J118)</f>
        <v/>
      </c>
      <c r="K107" s="11" t="str">
        <f>TRIM(Formulario!K118)</f>
        <v/>
      </c>
      <c r="L107" s="107" t="str">
        <f>TRIM(Formulario!L118)</f>
        <v/>
      </c>
      <c r="M107" s="107" t="str">
        <f>TRIM(Formulario!M118)</f>
        <v>0</v>
      </c>
      <c r="N107" s="11" t="str">
        <f>TRIM(Formulario!H118)</f>
        <v/>
      </c>
      <c r="P107" s="17"/>
      <c r="Q107" s="104"/>
      <c r="R107" s="104"/>
      <c r="S107" s="117"/>
      <c r="T107" s="101"/>
      <c r="U107" s="101"/>
      <c r="V107" s="101"/>
      <c r="W107" s="102"/>
      <c r="X107" s="102"/>
      <c r="Y107" s="102"/>
      <c r="Z107" s="102"/>
      <c r="AA107" s="102"/>
      <c r="AB107" s="102"/>
      <c r="AC107" s="102"/>
      <c r="AD107" s="102"/>
    </row>
    <row r="108" spans="1:30">
      <c r="A108" s="8" t="str">
        <f>IF(L108="","",Formulario!B119)</f>
        <v/>
      </c>
      <c r="B108" s="119"/>
      <c r="C108" s="120"/>
      <c r="D108" s="121"/>
      <c r="E108" s="129" t="str">
        <f>IF(F108="","",Formulario!B119)</f>
        <v/>
      </c>
      <c r="F108" s="11" t="str">
        <f>TRIM(Formulario!D119)</f>
        <v/>
      </c>
      <c r="G108" s="11" t="str">
        <f>TRIM(Formulario!F119)</f>
        <v/>
      </c>
      <c r="H108" s="146" t="str">
        <f>IF(N108="",TRIM(Formulario!G119),TRIM(Formulario!G119)*N108)</f>
        <v/>
      </c>
      <c r="I108" s="107" t="str">
        <f>TRIM(Formulario!I119)</f>
        <v/>
      </c>
      <c r="J108" s="11" t="str">
        <f>TRIM(Formulario!J119)</f>
        <v/>
      </c>
      <c r="K108" s="11" t="str">
        <f>TRIM(Formulario!K119)</f>
        <v/>
      </c>
      <c r="L108" s="107" t="str">
        <f>TRIM(Formulario!L119)</f>
        <v/>
      </c>
      <c r="M108" s="107" t="str">
        <f>TRIM(Formulario!M119)</f>
        <v>0</v>
      </c>
      <c r="N108" s="11" t="str">
        <f>TRIM(Formulario!H119)</f>
        <v/>
      </c>
      <c r="P108" s="17"/>
      <c r="Q108" s="104"/>
      <c r="R108" s="104"/>
      <c r="S108" s="117"/>
      <c r="T108" s="101"/>
      <c r="U108" s="101"/>
      <c r="V108" s="101"/>
      <c r="W108" s="102"/>
      <c r="X108" s="102"/>
      <c r="Y108" s="102"/>
      <c r="Z108" s="102"/>
      <c r="AA108" s="102"/>
      <c r="AB108" s="102"/>
      <c r="AC108" s="102"/>
      <c r="AD108" s="102"/>
    </row>
    <row r="109" spans="1:30">
      <c r="A109" s="8" t="str">
        <f>IF(L109="","",Formulario!B120)</f>
        <v/>
      </c>
      <c r="B109" s="119"/>
      <c r="C109" s="120"/>
      <c r="D109" s="121"/>
      <c r="E109" s="129" t="str">
        <f>IF(F109="","",Formulario!B120)</f>
        <v/>
      </c>
      <c r="F109" s="11" t="str">
        <f>TRIM(Formulario!D120)</f>
        <v/>
      </c>
      <c r="G109" s="11" t="str">
        <f>TRIM(Formulario!F120)</f>
        <v/>
      </c>
      <c r="H109" s="146" t="str">
        <f>IF(N109="",TRIM(Formulario!G120),TRIM(Formulario!G120)*N109)</f>
        <v/>
      </c>
      <c r="I109" s="107" t="str">
        <f>TRIM(Formulario!I120)</f>
        <v/>
      </c>
      <c r="J109" s="11" t="str">
        <f>TRIM(Formulario!J120)</f>
        <v/>
      </c>
      <c r="K109" s="11" t="str">
        <f>TRIM(Formulario!K120)</f>
        <v/>
      </c>
      <c r="L109" s="107" t="str">
        <f>TRIM(Formulario!L120)</f>
        <v/>
      </c>
      <c r="M109" s="107" t="str">
        <f>TRIM(Formulario!M120)</f>
        <v>0</v>
      </c>
      <c r="N109" s="11" t="str">
        <f>TRIM(Formulario!H120)</f>
        <v/>
      </c>
      <c r="P109" s="17"/>
      <c r="Q109" s="104"/>
      <c r="R109" s="104"/>
      <c r="S109" s="117"/>
      <c r="T109" s="101"/>
      <c r="U109" s="101"/>
      <c r="V109" s="101"/>
      <c r="W109" s="102"/>
      <c r="X109" s="102"/>
      <c r="Y109" s="102"/>
      <c r="Z109" s="102"/>
      <c r="AA109" s="102"/>
      <c r="AB109" s="102"/>
      <c r="AC109" s="102"/>
      <c r="AD109" s="102"/>
    </row>
    <row r="110" spans="1:30">
      <c r="A110" s="8" t="str">
        <f>IF(L110="","",Formulario!B121)</f>
        <v/>
      </c>
      <c r="B110" s="119"/>
      <c r="C110" s="120"/>
      <c r="D110" s="121"/>
      <c r="E110" s="129" t="str">
        <f>IF(F110="","",Formulario!B121)</f>
        <v/>
      </c>
      <c r="F110" s="11" t="str">
        <f>TRIM(Formulario!D121)</f>
        <v/>
      </c>
      <c r="G110" s="11" t="str">
        <f>TRIM(Formulario!F121)</f>
        <v/>
      </c>
      <c r="H110" s="146" t="str">
        <f>IF(N110="",TRIM(Formulario!G121),TRIM(Formulario!G121)*N110)</f>
        <v/>
      </c>
      <c r="I110" s="107" t="str">
        <f>TRIM(Formulario!I121)</f>
        <v/>
      </c>
      <c r="J110" s="11" t="str">
        <f>TRIM(Formulario!J121)</f>
        <v/>
      </c>
      <c r="K110" s="11" t="str">
        <f>TRIM(Formulario!K121)</f>
        <v/>
      </c>
      <c r="L110" s="107" t="str">
        <f>TRIM(Formulario!L121)</f>
        <v/>
      </c>
      <c r="M110" s="107" t="str">
        <f>TRIM(Formulario!M121)</f>
        <v>0</v>
      </c>
      <c r="N110" s="11" t="str">
        <f>TRIM(Formulario!H121)</f>
        <v/>
      </c>
      <c r="P110" s="17"/>
      <c r="Q110" s="104"/>
      <c r="R110" s="104"/>
      <c r="S110" s="117"/>
      <c r="T110" s="101"/>
      <c r="U110" s="101"/>
      <c r="V110" s="101"/>
      <c r="W110" s="102"/>
      <c r="X110" s="102"/>
      <c r="Y110" s="102"/>
      <c r="Z110" s="102"/>
      <c r="AA110" s="102"/>
      <c r="AB110" s="102"/>
      <c r="AC110" s="102"/>
      <c r="AD110" s="102"/>
    </row>
    <row r="111" spans="1:30">
      <c r="A111" s="8" t="str">
        <f>IF(L111="","",Formulario!B122)</f>
        <v/>
      </c>
      <c r="B111" s="119"/>
      <c r="C111" s="120"/>
      <c r="D111" s="121"/>
      <c r="E111" s="129" t="str">
        <f>IF(F111="","",Formulario!B122)</f>
        <v/>
      </c>
      <c r="F111" s="11" t="str">
        <f>TRIM(Formulario!D122)</f>
        <v/>
      </c>
      <c r="G111" s="11" t="str">
        <f>TRIM(Formulario!F122)</f>
        <v/>
      </c>
      <c r="H111" s="146" t="str">
        <f>IF(N111="",TRIM(Formulario!G122),TRIM(Formulario!G122)*N111)</f>
        <v/>
      </c>
      <c r="I111" s="107" t="str">
        <f>TRIM(Formulario!I122)</f>
        <v/>
      </c>
      <c r="J111" s="11" t="str">
        <f>TRIM(Formulario!J122)</f>
        <v/>
      </c>
      <c r="K111" s="11" t="str">
        <f>TRIM(Formulario!K122)</f>
        <v/>
      </c>
      <c r="L111" s="107" t="str">
        <f>TRIM(Formulario!L122)</f>
        <v/>
      </c>
      <c r="M111" s="107" t="str">
        <f>TRIM(Formulario!M122)</f>
        <v>0</v>
      </c>
      <c r="N111" s="11" t="str">
        <f>TRIM(Formulario!H122)</f>
        <v/>
      </c>
      <c r="P111" s="17"/>
      <c r="Q111" s="104"/>
      <c r="R111" s="104"/>
      <c r="S111" s="117"/>
      <c r="T111" s="101"/>
      <c r="U111" s="101"/>
      <c r="V111" s="101"/>
      <c r="W111" s="102"/>
      <c r="X111" s="102"/>
      <c r="Y111" s="102"/>
      <c r="Z111" s="102"/>
      <c r="AA111" s="102"/>
      <c r="AB111" s="102"/>
      <c r="AC111" s="102"/>
      <c r="AD111" s="102"/>
    </row>
    <row r="112" spans="1:30">
      <c r="A112" s="8" t="str">
        <f>IF(L112="","",Formulario!B123)</f>
        <v/>
      </c>
      <c r="B112" s="119"/>
      <c r="C112" s="120"/>
      <c r="D112" s="121"/>
      <c r="E112" s="129" t="str">
        <f>IF(F112="","",Formulario!B123)</f>
        <v/>
      </c>
      <c r="F112" s="11" t="str">
        <f>TRIM(Formulario!D123)</f>
        <v/>
      </c>
      <c r="G112" s="11" t="str">
        <f>TRIM(Formulario!F123)</f>
        <v/>
      </c>
      <c r="H112" s="146" t="str">
        <f>IF(N112="",TRIM(Formulario!G123),TRIM(Formulario!G123)*N112)</f>
        <v/>
      </c>
      <c r="I112" s="107" t="str">
        <f>TRIM(Formulario!I123)</f>
        <v/>
      </c>
      <c r="J112" s="11" t="str">
        <f>TRIM(Formulario!J123)</f>
        <v/>
      </c>
      <c r="K112" s="11" t="str">
        <f>TRIM(Formulario!K123)</f>
        <v/>
      </c>
      <c r="L112" s="107" t="str">
        <f>TRIM(Formulario!L123)</f>
        <v/>
      </c>
      <c r="M112" s="107" t="str">
        <f>TRIM(Formulario!M123)</f>
        <v>0</v>
      </c>
      <c r="N112" s="11" t="str">
        <f>TRIM(Formulario!H123)</f>
        <v/>
      </c>
      <c r="P112" s="17"/>
      <c r="Q112" s="104"/>
      <c r="R112" s="104"/>
      <c r="S112" s="117"/>
      <c r="T112" s="101"/>
      <c r="U112" s="101"/>
      <c r="V112" s="101"/>
      <c r="W112" s="102"/>
      <c r="X112" s="102"/>
      <c r="Y112" s="102"/>
      <c r="Z112" s="102"/>
      <c r="AA112" s="102"/>
      <c r="AB112" s="102"/>
      <c r="AC112" s="102"/>
      <c r="AD112" s="102"/>
    </row>
    <row r="113" spans="1:30">
      <c r="A113" s="8" t="str">
        <f>IF(L113="","",Formulario!B124)</f>
        <v/>
      </c>
      <c r="B113" s="119"/>
      <c r="C113" s="120"/>
      <c r="D113" s="121"/>
      <c r="E113" s="129" t="str">
        <f>IF(F113="","",Formulario!B124)</f>
        <v/>
      </c>
      <c r="F113" s="11" t="str">
        <f>TRIM(Formulario!D124)</f>
        <v/>
      </c>
      <c r="G113" s="11" t="str">
        <f>TRIM(Formulario!F124)</f>
        <v/>
      </c>
      <c r="H113" s="146" t="str">
        <f>IF(N113="",TRIM(Formulario!G124),TRIM(Formulario!G124)*N113)</f>
        <v/>
      </c>
      <c r="I113" s="107" t="str">
        <f>TRIM(Formulario!I124)</f>
        <v/>
      </c>
      <c r="J113" s="11" t="str">
        <f>TRIM(Formulario!J124)</f>
        <v/>
      </c>
      <c r="K113" s="11" t="str">
        <f>TRIM(Formulario!K124)</f>
        <v/>
      </c>
      <c r="L113" s="107" t="str">
        <f>TRIM(Formulario!L124)</f>
        <v/>
      </c>
      <c r="M113" s="107" t="str">
        <f>TRIM(Formulario!M124)</f>
        <v>0</v>
      </c>
      <c r="N113" s="11" t="str">
        <f>TRIM(Formulario!H124)</f>
        <v/>
      </c>
      <c r="P113" s="17"/>
      <c r="Q113" s="104"/>
      <c r="R113" s="104"/>
      <c r="S113" s="117"/>
      <c r="T113" s="101"/>
      <c r="U113" s="101"/>
      <c r="V113" s="101"/>
      <c r="W113" s="102"/>
      <c r="X113" s="102"/>
      <c r="Y113" s="102"/>
      <c r="Z113" s="102"/>
      <c r="AA113" s="102"/>
      <c r="AB113" s="102"/>
      <c r="AC113" s="102"/>
      <c r="AD113" s="102"/>
    </row>
    <row r="114" spans="1:30">
      <c r="A114" s="8" t="str">
        <f>IF(L114="","",Formulario!B125)</f>
        <v/>
      </c>
      <c r="B114" s="119"/>
      <c r="C114" s="120"/>
      <c r="D114" s="121"/>
      <c r="E114" s="129" t="str">
        <f>IF(F114="","",Formulario!B125)</f>
        <v/>
      </c>
      <c r="F114" s="11" t="str">
        <f>TRIM(Formulario!D125)</f>
        <v/>
      </c>
      <c r="G114" s="11" t="str">
        <f>TRIM(Formulario!F125)</f>
        <v/>
      </c>
      <c r="H114" s="146" t="str">
        <f>IF(N114="",TRIM(Formulario!G125),TRIM(Formulario!G125)*N114)</f>
        <v/>
      </c>
      <c r="I114" s="107" t="str">
        <f>TRIM(Formulario!I125)</f>
        <v/>
      </c>
      <c r="J114" s="11" t="str">
        <f>TRIM(Formulario!J125)</f>
        <v/>
      </c>
      <c r="K114" s="11" t="str">
        <f>TRIM(Formulario!K125)</f>
        <v/>
      </c>
      <c r="L114" s="107" t="str">
        <f>TRIM(Formulario!L125)</f>
        <v/>
      </c>
      <c r="M114" s="107" t="str">
        <f>TRIM(Formulario!M125)</f>
        <v>0</v>
      </c>
      <c r="N114" s="11" t="str">
        <f>TRIM(Formulario!H125)</f>
        <v/>
      </c>
      <c r="P114" s="17"/>
      <c r="Q114" s="104"/>
      <c r="R114" s="104"/>
      <c r="S114" s="117"/>
      <c r="T114" s="101"/>
      <c r="U114" s="101"/>
      <c r="V114" s="101"/>
      <c r="W114" s="102"/>
      <c r="X114" s="102"/>
      <c r="Y114" s="102"/>
      <c r="Z114" s="102"/>
      <c r="AA114" s="102"/>
      <c r="AB114" s="102"/>
      <c r="AC114" s="102"/>
      <c r="AD114" s="102"/>
    </row>
    <row r="115" spans="1:30">
      <c r="A115" s="8" t="str">
        <f>IF(L115="","",Formulario!B126)</f>
        <v/>
      </c>
      <c r="B115" s="119"/>
      <c r="C115" s="120"/>
      <c r="D115" s="121"/>
      <c r="E115" s="129" t="str">
        <f>IF(F115="","",Formulario!B126)</f>
        <v/>
      </c>
      <c r="F115" s="11" t="str">
        <f>TRIM(Formulario!D126)</f>
        <v/>
      </c>
      <c r="G115" s="11" t="str">
        <f>TRIM(Formulario!F126)</f>
        <v/>
      </c>
      <c r="H115" s="146" t="str">
        <f>IF(N115="",TRIM(Formulario!G126),TRIM(Formulario!G126)*N115)</f>
        <v/>
      </c>
      <c r="I115" s="107" t="str">
        <f>TRIM(Formulario!I126)</f>
        <v/>
      </c>
      <c r="J115" s="11" t="str">
        <f>TRIM(Formulario!J126)</f>
        <v/>
      </c>
      <c r="K115" s="11" t="str">
        <f>TRIM(Formulario!K126)</f>
        <v/>
      </c>
      <c r="L115" s="107" t="str">
        <f>TRIM(Formulario!L126)</f>
        <v/>
      </c>
      <c r="M115" s="107" t="str">
        <f>TRIM(Formulario!M126)</f>
        <v>0</v>
      </c>
      <c r="N115" s="11" t="str">
        <f>TRIM(Formulario!H126)</f>
        <v/>
      </c>
      <c r="P115" s="17"/>
      <c r="Q115" s="104"/>
      <c r="R115" s="104"/>
      <c r="S115" s="117"/>
      <c r="T115" s="101"/>
      <c r="U115" s="101"/>
      <c r="V115" s="101"/>
      <c r="W115" s="102"/>
      <c r="X115" s="102"/>
      <c r="Y115" s="102"/>
      <c r="Z115" s="102"/>
      <c r="AA115" s="102"/>
      <c r="AB115" s="102"/>
      <c r="AC115" s="102"/>
      <c r="AD115" s="102"/>
    </row>
    <row r="116" spans="1:30">
      <c r="A116" s="8" t="str">
        <f>IF(L116="","",Formulario!B127)</f>
        <v/>
      </c>
      <c r="B116" s="119"/>
      <c r="C116" s="120"/>
      <c r="D116" s="121"/>
      <c r="E116" s="129" t="str">
        <f>IF(F116="","",Formulario!B127)</f>
        <v/>
      </c>
      <c r="F116" s="11" t="str">
        <f>TRIM(Formulario!D127)</f>
        <v/>
      </c>
      <c r="G116" s="11" t="str">
        <f>TRIM(Formulario!F127)</f>
        <v/>
      </c>
      <c r="H116" s="146" t="str">
        <f>IF(N116="",TRIM(Formulario!G127),TRIM(Formulario!G127)*N116)</f>
        <v/>
      </c>
      <c r="I116" s="107" t="str">
        <f>TRIM(Formulario!I127)</f>
        <v/>
      </c>
      <c r="J116" s="11" t="str">
        <f>TRIM(Formulario!J127)</f>
        <v/>
      </c>
      <c r="K116" s="11" t="str">
        <f>TRIM(Formulario!K127)</f>
        <v/>
      </c>
      <c r="L116" s="107" t="str">
        <f>TRIM(Formulario!L127)</f>
        <v/>
      </c>
      <c r="M116" s="107" t="str">
        <f>TRIM(Formulario!M127)</f>
        <v>0</v>
      </c>
      <c r="N116" s="11" t="str">
        <f>TRIM(Formulario!H127)</f>
        <v/>
      </c>
      <c r="P116" s="17"/>
      <c r="Q116" s="104"/>
      <c r="R116" s="104"/>
      <c r="S116" s="117"/>
      <c r="T116" s="101"/>
      <c r="U116" s="101"/>
      <c r="V116" s="101"/>
      <c r="W116" s="102"/>
      <c r="X116" s="102"/>
      <c r="Y116" s="102"/>
      <c r="Z116" s="102"/>
      <c r="AA116" s="102"/>
      <c r="AB116" s="102"/>
      <c r="AC116" s="102"/>
      <c r="AD116" s="102"/>
    </row>
    <row r="117" spans="1:30">
      <c r="A117" s="8" t="str">
        <f>IF(L117="","",Formulario!B128)</f>
        <v/>
      </c>
      <c r="B117" s="119"/>
      <c r="C117" s="120"/>
      <c r="D117" s="121"/>
      <c r="E117" s="129" t="str">
        <f>IF(F117="","",Formulario!B128)</f>
        <v/>
      </c>
      <c r="F117" s="11" t="str">
        <f>TRIM(Formulario!D128)</f>
        <v/>
      </c>
      <c r="G117" s="11" t="str">
        <f>TRIM(Formulario!F128)</f>
        <v/>
      </c>
      <c r="H117" s="146" t="str">
        <f>IF(N117="",TRIM(Formulario!G128),TRIM(Formulario!G128)*N117)</f>
        <v/>
      </c>
      <c r="I117" s="107" t="str">
        <f>TRIM(Formulario!I128)</f>
        <v/>
      </c>
      <c r="J117" s="11" t="str">
        <f>TRIM(Formulario!J128)</f>
        <v/>
      </c>
      <c r="K117" s="11" t="str">
        <f>TRIM(Formulario!K128)</f>
        <v/>
      </c>
      <c r="L117" s="107" t="str">
        <f>TRIM(Formulario!L128)</f>
        <v/>
      </c>
      <c r="M117" s="107" t="str">
        <f>TRIM(Formulario!M128)</f>
        <v>0</v>
      </c>
      <c r="N117" s="11" t="str">
        <f>TRIM(Formulario!H128)</f>
        <v/>
      </c>
      <c r="P117" s="17"/>
      <c r="Q117" s="104"/>
      <c r="R117" s="104"/>
      <c r="S117" s="117"/>
      <c r="T117" s="101"/>
      <c r="U117" s="101"/>
      <c r="V117" s="101"/>
      <c r="W117" s="102"/>
      <c r="X117" s="102"/>
      <c r="Y117" s="102"/>
      <c r="Z117" s="102"/>
      <c r="AA117" s="102"/>
      <c r="AB117" s="102"/>
      <c r="AC117" s="102"/>
      <c r="AD117" s="102"/>
    </row>
    <row r="118" spans="1:30">
      <c r="A118" s="8" t="str">
        <f>IF(L118="","",Formulario!B129)</f>
        <v/>
      </c>
      <c r="B118" s="119"/>
      <c r="C118" s="120"/>
      <c r="D118" s="121"/>
      <c r="E118" s="129" t="str">
        <f>IF(F118="","",Formulario!B129)</f>
        <v/>
      </c>
      <c r="F118" s="11" t="str">
        <f>TRIM(Formulario!D129)</f>
        <v/>
      </c>
      <c r="G118" s="11" t="str">
        <f>TRIM(Formulario!F129)</f>
        <v/>
      </c>
      <c r="H118" s="146" t="str">
        <f>IF(N118="",TRIM(Formulario!G129),TRIM(Formulario!G129)*N118)</f>
        <v/>
      </c>
      <c r="I118" s="107" t="str">
        <f>TRIM(Formulario!I129)</f>
        <v/>
      </c>
      <c r="J118" s="11" t="str">
        <f>TRIM(Formulario!J129)</f>
        <v/>
      </c>
      <c r="K118" s="11" t="str">
        <f>TRIM(Formulario!K129)</f>
        <v/>
      </c>
      <c r="L118" s="107" t="str">
        <f>TRIM(Formulario!L129)</f>
        <v/>
      </c>
      <c r="M118" s="107" t="str">
        <f>TRIM(Formulario!M129)</f>
        <v>0</v>
      </c>
      <c r="N118" s="11" t="str">
        <f>TRIM(Formulario!H129)</f>
        <v/>
      </c>
      <c r="P118" s="17"/>
      <c r="Q118" s="104"/>
      <c r="R118" s="104"/>
      <c r="S118" s="117"/>
      <c r="T118" s="101"/>
      <c r="U118" s="101"/>
      <c r="V118" s="101"/>
      <c r="W118" s="102"/>
      <c r="X118" s="102"/>
      <c r="Y118" s="102"/>
      <c r="Z118" s="102"/>
      <c r="AA118" s="102"/>
      <c r="AB118" s="102"/>
      <c r="AC118" s="102"/>
      <c r="AD118" s="102"/>
    </row>
    <row r="119" spans="1:30">
      <c r="A119" s="8" t="str">
        <f>IF(L119="","",Formulario!B130)</f>
        <v/>
      </c>
      <c r="B119" s="119"/>
      <c r="C119" s="120"/>
      <c r="D119" s="121"/>
      <c r="E119" s="129" t="str">
        <f>IF(F119="","",Formulario!B130)</f>
        <v/>
      </c>
      <c r="F119" s="11" t="str">
        <f>TRIM(Formulario!D130)</f>
        <v/>
      </c>
      <c r="G119" s="11" t="str">
        <f>TRIM(Formulario!F130)</f>
        <v/>
      </c>
      <c r="H119" s="146" t="str">
        <f>IF(N119="",TRIM(Formulario!G130),TRIM(Formulario!G130)*N119)</f>
        <v/>
      </c>
      <c r="I119" s="107" t="str">
        <f>TRIM(Formulario!I130)</f>
        <v/>
      </c>
      <c r="J119" s="11" t="str">
        <f>TRIM(Formulario!J130)</f>
        <v/>
      </c>
      <c r="K119" s="11" t="str">
        <f>TRIM(Formulario!K130)</f>
        <v/>
      </c>
      <c r="L119" s="107" t="str">
        <f>TRIM(Formulario!L130)</f>
        <v/>
      </c>
      <c r="M119" s="107" t="str">
        <f>TRIM(Formulario!M130)</f>
        <v>0</v>
      </c>
      <c r="N119" s="11" t="str">
        <f>TRIM(Formulario!H130)</f>
        <v/>
      </c>
      <c r="P119" s="17"/>
      <c r="Q119" s="104"/>
      <c r="R119" s="104"/>
      <c r="S119" s="117"/>
      <c r="T119" s="101"/>
      <c r="U119" s="101"/>
      <c r="V119" s="101"/>
      <c r="W119" s="102"/>
      <c r="X119" s="102"/>
      <c r="Y119" s="102"/>
      <c r="Z119" s="102"/>
      <c r="AA119" s="102"/>
      <c r="AB119" s="102"/>
      <c r="AC119" s="102"/>
      <c r="AD119" s="102"/>
    </row>
    <row r="120" spans="1:30">
      <c r="A120" s="8" t="str">
        <f>IF(L120="","",Formulario!B131)</f>
        <v/>
      </c>
      <c r="B120" s="119"/>
      <c r="C120" s="120"/>
      <c r="D120" s="121"/>
      <c r="E120" s="129" t="str">
        <f>IF(F120="","",Formulario!B131)</f>
        <v/>
      </c>
      <c r="F120" s="11" t="str">
        <f>TRIM(Formulario!D131)</f>
        <v/>
      </c>
      <c r="G120" s="11" t="str">
        <f>TRIM(Formulario!F131)</f>
        <v/>
      </c>
      <c r="H120" s="146" t="str">
        <f>IF(N120="",TRIM(Formulario!G131),TRIM(Formulario!G131)*N120)</f>
        <v/>
      </c>
      <c r="I120" s="107" t="str">
        <f>TRIM(Formulario!I131)</f>
        <v/>
      </c>
      <c r="J120" s="11" t="str">
        <f>TRIM(Formulario!J131)</f>
        <v/>
      </c>
      <c r="K120" s="11" t="str">
        <f>TRIM(Formulario!K131)</f>
        <v/>
      </c>
      <c r="L120" s="107" t="str">
        <f>TRIM(Formulario!L131)</f>
        <v/>
      </c>
      <c r="M120" s="107" t="str">
        <f>TRIM(Formulario!M131)</f>
        <v>0</v>
      </c>
      <c r="N120" s="11" t="str">
        <f>TRIM(Formulario!H131)</f>
        <v/>
      </c>
      <c r="P120" s="17"/>
      <c r="Q120" s="104"/>
      <c r="R120" s="104"/>
      <c r="S120" s="117"/>
      <c r="T120" s="101"/>
      <c r="U120" s="101"/>
      <c r="V120" s="101"/>
      <c r="W120" s="102"/>
      <c r="X120" s="102"/>
      <c r="Y120" s="102"/>
      <c r="Z120" s="102"/>
      <c r="AA120" s="102"/>
      <c r="AB120" s="102"/>
      <c r="AC120" s="102"/>
      <c r="AD120" s="102"/>
    </row>
    <row r="121" spans="1:30">
      <c r="A121" s="8" t="str">
        <f>IF(L121="","",Formulario!B132)</f>
        <v/>
      </c>
      <c r="B121" s="119"/>
      <c r="C121" s="120"/>
      <c r="D121" s="121"/>
      <c r="E121" s="129" t="str">
        <f>IF(F121="","",Formulario!B132)</f>
        <v/>
      </c>
      <c r="F121" s="11" t="str">
        <f>TRIM(Formulario!D132)</f>
        <v/>
      </c>
      <c r="G121" s="11" t="str">
        <f>TRIM(Formulario!F132)</f>
        <v/>
      </c>
      <c r="H121" s="146" t="str">
        <f>IF(N121="",TRIM(Formulario!G132),TRIM(Formulario!G132)*N121)</f>
        <v/>
      </c>
      <c r="I121" s="107" t="str">
        <f>TRIM(Formulario!I132)</f>
        <v/>
      </c>
      <c r="J121" s="11" t="str">
        <f>TRIM(Formulario!J132)</f>
        <v/>
      </c>
      <c r="K121" s="11" t="str">
        <f>TRIM(Formulario!K132)</f>
        <v/>
      </c>
      <c r="L121" s="107" t="str">
        <f>TRIM(Formulario!L132)</f>
        <v/>
      </c>
      <c r="M121" s="107" t="str">
        <f>TRIM(Formulario!M132)</f>
        <v>0</v>
      </c>
      <c r="N121" s="11" t="str">
        <f>TRIM(Formulario!H132)</f>
        <v/>
      </c>
      <c r="P121" s="17"/>
      <c r="Q121" s="104"/>
      <c r="R121" s="104"/>
      <c r="S121" s="117"/>
      <c r="T121" s="101"/>
      <c r="U121" s="101"/>
      <c r="V121" s="101"/>
      <c r="W121" s="102"/>
      <c r="X121" s="102"/>
      <c r="Y121" s="102"/>
      <c r="Z121" s="102"/>
      <c r="AA121" s="102"/>
      <c r="AB121" s="102"/>
      <c r="AC121" s="102"/>
      <c r="AD121" s="102"/>
    </row>
    <row r="122" spans="1:30">
      <c r="A122" s="8" t="str">
        <f>IF(L122="","",Formulario!B133)</f>
        <v/>
      </c>
      <c r="B122" s="119"/>
      <c r="C122" s="120"/>
      <c r="D122" s="121"/>
      <c r="E122" s="129" t="str">
        <f>IF(F122="","",Formulario!B133)</f>
        <v/>
      </c>
      <c r="F122" s="11" t="str">
        <f>TRIM(Formulario!D133)</f>
        <v/>
      </c>
      <c r="G122" s="11" t="str">
        <f>TRIM(Formulario!F133)</f>
        <v/>
      </c>
      <c r="H122" s="146" t="str">
        <f>IF(N122="",TRIM(Formulario!G133),TRIM(Formulario!G133)*N122)</f>
        <v/>
      </c>
      <c r="I122" s="107" t="str">
        <f>TRIM(Formulario!I133)</f>
        <v/>
      </c>
      <c r="J122" s="11" t="str">
        <f>TRIM(Formulario!J133)</f>
        <v/>
      </c>
      <c r="K122" s="11" t="str">
        <f>TRIM(Formulario!K133)</f>
        <v/>
      </c>
      <c r="L122" s="107" t="str">
        <f>TRIM(Formulario!L133)</f>
        <v/>
      </c>
      <c r="M122" s="107" t="str">
        <f>TRIM(Formulario!M133)</f>
        <v>0</v>
      </c>
      <c r="N122" s="11" t="str">
        <f>TRIM(Formulario!H133)</f>
        <v/>
      </c>
      <c r="P122" s="17"/>
      <c r="Q122" s="104"/>
      <c r="R122" s="104"/>
      <c r="S122" s="117"/>
      <c r="T122" s="101"/>
      <c r="U122" s="101"/>
      <c r="V122" s="101"/>
      <c r="W122" s="102"/>
      <c r="X122" s="102"/>
      <c r="Y122" s="102"/>
      <c r="Z122" s="102"/>
      <c r="AA122" s="102"/>
      <c r="AB122" s="102"/>
      <c r="AC122" s="102"/>
      <c r="AD122" s="102"/>
    </row>
    <row r="123" spans="1:30">
      <c r="A123" s="8" t="str">
        <f>IF(L123="","",Formulario!B134)</f>
        <v/>
      </c>
      <c r="B123" s="119"/>
      <c r="C123" s="120"/>
      <c r="D123" s="121"/>
      <c r="E123" s="129" t="str">
        <f>IF(F123="","",Formulario!B134)</f>
        <v/>
      </c>
      <c r="F123" s="11" t="str">
        <f>TRIM(Formulario!D134)</f>
        <v/>
      </c>
      <c r="G123" s="11" t="str">
        <f>TRIM(Formulario!F134)</f>
        <v/>
      </c>
      <c r="H123" s="146" t="str">
        <f>IF(N123="",TRIM(Formulario!G134),TRIM(Formulario!G134)*N123)</f>
        <v/>
      </c>
      <c r="I123" s="107" t="str">
        <f>TRIM(Formulario!I134)</f>
        <v/>
      </c>
      <c r="J123" s="11" t="str">
        <f>TRIM(Formulario!J134)</f>
        <v/>
      </c>
      <c r="K123" s="11" t="str">
        <f>TRIM(Formulario!K134)</f>
        <v/>
      </c>
      <c r="L123" s="107" t="str">
        <f>TRIM(Formulario!L134)</f>
        <v/>
      </c>
      <c r="M123" s="107" t="str">
        <f>TRIM(Formulario!M134)</f>
        <v>0</v>
      </c>
      <c r="N123" s="11" t="str">
        <f>TRIM(Formulario!H134)</f>
        <v/>
      </c>
      <c r="P123" s="17"/>
      <c r="Q123" s="104"/>
      <c r="R123" s="104"/>
      <c r="S123" s="117"/>
      <c r="T123" s="101"/>
      <c r="U123" s="101"/>
      <c r="V123" s="101"/>
      <c r="W123" s="102"/>
      <c r="X123" s="102"/>
      <c r="Y123" s="102"/>
      <c r="Z123" s="102"/>
      <c r="AA123" s="102"/>
      <c r="AB123" s="102"/>
      <c r="AC123" s="102"/>
      <c r="AD123" s="102"/>
    </row>
    <row r="124" spans="1:30">
      <c r="A124" s="8" t="str">
        <f>IF(L124="","",Formulario!B135)</f>
        <v/>
      </c>
      <c r="B124" s="119"/>
      <c r="C124" s="120"/>
      <c r="D124" s="121"/>
      <c r="E124" s="129" t="str">
        <f>IF(F124="","",Formulario!B135)</f>
        <v/>
      </c>
      <c r="F124" s="11" t="str">
        <f>TRIM(Formulario!D135)</f>
        <v/>
      </c>
      <c r="G124" s="11" t="str">
        <f>TRIM(Formulario!F135)</f>
        <v/>
      </c>
      <c r="H124" s="146" t="str">
        <f>IF(N124="",TRIM(Formulario!G135),TRIM(Formulario!G135)*N124)</f>
        <v/>
      </c>
      <c r="I124" s="107" t="str">
        <f>TRIM(Formulario!I135)</f>
        <v/>
      </c>
      <c r="J124" s="11" t="str">
        <f>TRIM(Formulario!J135)</f>
        <v/>
      </c>
      <c r="K124" s="11" t="str">
        <f>TRIM(Formulario!K135)</f>
        <v/>
      </c>
      <c r="L124" s="107" t="str">
        <f>TRIM(Formulario!L135)</f>
        <v/>
      </c>
      <c r="M124" s="107" t="str">
        <f>TRIM(Formulario!M135)</f>
        <v>0</v>
      </c>
      <c r="N124" s="11" t="str">
        <f>TRIM(Formulario!H135)</f>
        <v/>
      </c>
      <c r="P124" s="17"/>
      <c r="Q124" s="104"/>
      <c r="R124" s="104"/>
      <c r="S124" s="117"/>
      <c r="T124" s="101"/>
      <c r="U124" s="101"/>
      <c r="V124" s="101"/>
      <c r="W124" s="102"/>
      <c r="X124" s="102"/>
      <c r="Y124" s="102"/>
      <c r="Z124" s="102"/>
      <c r="AA124" s="102"/>
      <c r="AB124" s="102"/>
      <c r="AC124" s="102"/>
      <c r="AD124" s="102"/>
    </row>
    <row r="125" spans="1:30">
      <c r="A125" s="8" t="str">
        <f>IF(L125="","",Formulario!B136)</f>
        <v/>
      </c>
      <c r="B125" s="119"/>
      <c r="C125" s="120"/>
      <c r="D125" s="121"/>
      <c r="E125" s="129" t="str">
        <f>IF(F125="","",Formulario!B136)</f>
        <v/>
      </c>
      <c r="F125" s="11" t="str">
        <f>TRIM(Formulario!D136)</f>
        <v/>
      </c>
      <c r="G125" s="11" t="str">
        <f>TRIM(Formulario!F136)</f>
        <v/>
      </c>
      <c r="H125" s="146" t="str">
        <f>IF(N125="",TRIM(Formulario!G136),TRIM(Formulario!G136)*N125)</f>
        <v/>
      </c>
      <c r="I125" s="107" t="str">
        <f>TRIM(Formulario!I136)</f>
        <v/>
      </c>
      <c r="J125" s="11" t="str">
        <f>TRIM(Formulario!J136)</f>
        <v/>
      </c>
      <c r="K125" s="11" t="str">
        <f>TRIM(Formulario!K136)</f>
        <v/>
      </c>
      <c r="L125" s="107" t="str">
        <f>TRIM(Formulario!L136)</f>
        <v/>
      </c>
      <c r="M125" s="107" t="str">
        <f>TRIM(Formulario!M136)</f>
        <v>0</v>
      </c>
      <c r="N125" s="11" t="str">
        <f>TRIM(Formulario!H136)</f>
        <v/>
      </c>
      <c r="P125" s="17"/>
      <c r="Q125" s="104"/>
      <c r="R125" s="104"/>
      <c r="S125" s="117"/>
      <c r="T125" s="101"/>
      <c r="U125" s="101"/>
      <c r="V125" s="101"/>
      <c r="W125" s="102"/>
      <c r="X125" s="102"/>
      <c r="Y125" s="102"/>
      <c r="Z125" s="102"/>
      <c r="AA125" s="102"/>
      <c r="AB125" s="102"/>
      <c r="AC125" s="102"/>
      <c r="AD125" s="102"/>
    </row>
    <row r="126" spans="1:30">
      <c r="A126" s="8" t="str">
        <f>IF(L126="","",Formulario!B137)</f>
        <v/>
      </c>
      <c r="B126" s="119"/>
      <c r="C126" s="120"/>
      <c r="D126" s="121"/>
      <c r="E126" s="129" t="str">
        <f>IF(F126="","",Formulario!B137)</f>
        <v/>
      </c>
      <c r="F126" s="11" t="str">
        <f>TRIM(Formulario!D137)</f>
        <v/>
      </c>
      <c r="G126" s="11" t="str">
        <f>TRIM(Formulario!F137)</f>
        <v/>
      </c>
      <c r="H126" s="146" t="str">
        <f>IF(N126="",TRIM(Formulario!G137),TRIM(Formulario!G137)*N126)</f>
        <v/>
      </c>
      <c r="I126" s="107" t="str">
        <f>TRIM(Formulario!I137)</f>
        <v/>
      </c>
      <c r="J126" s="11" t="str">
        <f>TRIM(Formulario!J137)</f>
        <v/>
      </c>
      <c r="K126" s="11" t="str">
        <f>TRIM(Formulario!K137)</f>
        <v/>
      </c>
      <c r="L126" s="107" t="str">
        <f>TRIM(Formulario!L137)</f>
        <v/>
      </c>
      <c r="M126" s="107" t="str">
        <f>TRIM(Formulario!M137)</f>
        <v>0</v>
      </c>
      <c r="N126" s="11" t="str">
        <f>TRIM(Formulario!H137)</f>
        <v/>
      </c>
      <c r="P126" s="17"/>
      <c r="Q126" s="104"/>
      <c r="R126" s="104"/>
      <c r="S126" s="117"/>
      <c r="T126" s="101"/>
      <c r="U126" s="101"/>
      <c r="V126" s="101"/>
      <c r="W126" s="102"/>
      <c r="X126" s="102"/>
      <c r="Y126" s="102"/>
      <c r="Z126" s="102"/>
      <c r="AA126" s="102"/>
      <c r="AB126" s="102"/>
      <c r="AC126" s="102"/>
      <c r="AD126" s="102"/>
    </row>
    <row r="127" spans="1:30">
      <c r="A127" s="8" t="str">
        <f>IF(L127="","",Formulario!B138)</f>
        <v/>
      </c>
      <c r="B127" s="119"/>
      <c r="C127" s="120"/>
      <c r="D127" s="121"/>
      <c r="E127" s="129" t="str">
        <f>IF(F127="","",Formulario!B138)</f>
        <v/>
      </c>
      <c r="F127" s="11" t="str">
        <f>TRIM(Formulario!D138)</f>
        <v/>
      </c>
      <c r="G127" s="11" t="str">
        <f>TRIM(Formulario!F138)</f>
        <v/>
      </c>
      <c r="H127" s="146" t="str">
        <f>IF(N127="",TRIM(Formulario!G138),TRIM(Formulario!G138)*N127)</f>
        <v/>
      </c>
      <c r="I127" s="107" t="str">
        <f>TRIM(Formulario!I138)</f>
        <v/>
      </c>
      <c r="J127" s="11" t="str">
        <f>TRIM(Formulario!J138)</f>
        <v/>
      </c>
      <c r="K127" s="11" t="str">
        <f>TRIM(Formulario!K138)</f>
        <v/>
      </c>
      <c r="L127" s="107" t="str">
        <f>TRIM(Formulario!L138)</f>
        <v/>
      </c>
      <c r="M127" s="107" t="str">
        <f>TRIM(Formulario!M138)</f>
        <v>0</v>
      </c>
      <c r="N127" s="11" t="str">
        <f>TRIM(Formulario!H138)</f>
        <v/>
      </c>
      <c r="P127" s="17"/>
      <c r="Q127" s="104"/>
      <c r="R127" s="104"/>
      <c r="S127" s="117"/>
      <c r="T127" s="101"/>
      <c r="U127" s="101"/>
      <c r="V127" s="101"/>
      <c r="W127" s="102"/>
      <c r="X127" s="102"/>
      <c r="Y127" s="102"/>
      <c r="Z127" s="102"/>
      <c r="AA127" s="102"/>
      <c r="AB127" s="102"/>
      <c r="AC127" s="102"/>
      <c r="AD127" s="102"/>
    </row>
    <row r="128" spans="1:30">
      <c r="A128" s="8" t="str">
        <f>IF(L128="","",Formulario!B139)</f>
        <v/>
      </c>
      <c r="B128" s="119"/>
      <c r="C128" s="120"/>
      <c r="D128" s="121"/>
      <c r="E128" s="129" t="str">
        <f>IF(F128="","",Formulario!B139)</f>
        <v/>
      </c>
      <c r="F128" s="11" t="str">
        <f>TRIM(Formulario!D139)</f>
        <v/>
      </c>
      <c r="G128" s="11" t="str">
        <f>TRIM(Formulario!F139)</f>
        <v/>
      </c>
      <c r="H128" s="146" t="str">
        <f>IF(N128="",TRIM(Formulario!G139),TRIM(Formulario!G139)*N128)</f>
        <v/>
      </c>
      <c r="I128" s="107" t="str">
        <f>TRIM(Formulario!I139)</f>
        <v/>
      </c>
      <c r="J128" s="11" t="str">
        <f>TRIM(Formulario!J139)</f>
        <v/>
      </c>
      <c r="K128" s="11" t="str">
        <f>TRIM(Formulario!K139)</f>
        <v/>
      </c>
      <c r="L128" s="107" t="str">
        <f>TRIM(Formulario!L139)</f>
        <v/>
      </c>
      <c r="M128" s="107" t="str">
        <f>TRIM(Formulario!M139)</f>
        <v>0</v>
      </c>
      <c r="N128" s="11" t="str">
        <f>TRIM(Formulario!H139)</f>
        <v/>
      </c>
      <c r="P128" s="17"/>
      <c r="Q128" s="104"/>
      <c r="R128" s="104"/>
      <c r="S128" s="117"/>
      <c r="T128" s="101"/>
      <c r="U128" s="101"/>
      <c r="V128" s="101"/>
      <c r="W128" s="102"/>
      <c r="X128" s="102"/>
      <c r="Y128" s="102"/>
      <c r="Z128" s="102"/>
      <c r="AA128" s="102"/>
      <c r="AB128" s="102"/>
      <c r="AC128" s="102"/>
      <c r="AD128" s="102"/>
    </row>
    <row r="129" spans="1:30">
      <c r="A129" s="8" t="str">
        <f>IF(L129="","",Formulario!B140)</f>
        <v/>
      </c>
      <c r="B129" s="119"/>
      <c r="C129" s="120"/>
      <c r="D129" s="121"/>
      <c r="E129" s="129" t="str">
        <f>IF(F129="","",Formulario!B140)</f>
        <v/>
      </c>
      <c r="F129" s="11" t="str">
        <f>TRIM(Formulario!D140)</f>
        <v/>
      </c>
      <c r="G129" s="11" t="str">
        <f>TRIM(Formulario!F140)</f>
        <v/>
      </c>
      <c r="H129" s="146" t="str">
        <f>IF(N129="",TRIM(Formulario!G140),TRIM(Formulario!G140)*N129)</f>
        <v/>
      </c>
      <c r="I129" s="107" t="str">
        <f>TRIM(Formulario!I140)</f>
        <v/>
      </c>
      <c r="J129" s="11" t="str">
        <f>TRIM(Formulario!J140)</f>
        <v/>
      </c>
      <c r="K129" s="11" t="str">
        <f>TRIM(Formulario!K140)</f>
        <v/>
      </c>
      <c r="L129" s="107" t="str">
        <f>TRIM(Formulario!L140)</f>
        <v/>
      </c>
      <c r="M129" s="107" t="str">
        <f>TRIM(Formulario!M140)</f>
        <v>0</v>
      </c>
      <c r="N129" s="11" t="str">
        <f>TRIM(Formulario!H140)</f>
        <v/>
      </c>
      <c r="P129" s="17"/>
      <c r="Q129" s="104"/>
      <c r="R129" s="104"/>
      <c r="S129" s="117"/>
      <c r="T129" s="101"/>
      <c r="U129" s="101"/>
      <c r="V129" s="101"/>
      <c r="W129" s="102"/>
      <c r="X129" s="102"/>
      <c r="Y129" s="102"/>
      <c r="Z129" s="102"/>
      <c r="AA129" s="102"/>
      <c r="AB129" s="102"/>
      <c r="AC129" s="102"/>
      <c r="AD129" s="102"/>
    </row>
    <row r="130" spans="1:30">
      <c r="A130" s="8" t="str">
        <f>IF(L130="","",Formulario!B141)</f>
        <v/>
      </c>
      <c r="B130" s="119"/>
      <c r="C130" s="120"/>
      <c r="D130" s="121"/>
      <c r="E130" s="129" t="str">
        <f>IF(F130="","",Formulario!B141)</f>
        <v/>
      </c>
      <c r="F130" s="11" t="str">
        <f>TRIM(Formulario!D141)</f>
        <v/>
      </c>
      <c r="G130" s="11" t="str">
        <f>TRIM(Formulario!F141)</f>
        <v/>
      </c>
      <c r="H130" s="146" t="str">
        <f>IF(N130="",TRIM(Formulario!G141),TRIM(Formulario!G141)*N130)</f>
        <v/>
      </c>
      <c r="I130" s="107" t="str">
        <f>TRIM(Formulario!I141)</f>
        <v/>
      </c>
      <c r="J130" s="11" t="str">
        <f>TRIM(Formulario!J141)</f>
        <v/>
      </c>
      <c r="K130" s="11" t="str">
        <f>TRIM(Formulario!K141)</f>
        <v/>
      </c>
      <c r="L130" s="107" t="str">
        <f>TRIM(Formulario!L141)</f>
        <v/>
      </c>
      <c r="M130" s="107" t="str">
        <f>TRIM(Formulario!M141)</f>
        <v>0</v>
      </c>
      <c r="N130" s="11" t="str">
        <f>TRIM(Formulario!H141)</f>
        <v/>
      </c>
      <c r="P130" s="17"/>
      <c r="Q130" s="104"/>
      <c r="R130" s="104"/>
      <c r="S130" s="117"/>
      <c r="T130" s="101"/>
      <c r="U130" s="101"/>
      <c r="V130" s="101"/>
      <c r="W130" s="102"/>
      <c r="X130" s="102"/>
      <c r="Y130" s="102"/>
      <c r="Z130" s="102"/>
      <c r="AA130" s="102"/>
      <c r="AB130" s="102"/>
      <c r="AC130" s="102"/>
      <c r="AD130" s="102"/>
    </row>
    <row r="131" spans="1:30">
      <c r="A131" s="8" t="str">
        <f>IF(L131="","",Formulario!B142)</f>
        <v/>
      </c>
      <c r="B131" s="119"/>
      <c r="C131" s="120"/>
      <c r="D131" s="121"/>
      <c r="E131" s="129" t="str">
        <f>IF(F131="","",Formulario!B142)</f>
        <v/>
      </c>
      <c r="F131" s="11" t="str">
        <f>TRIM(Formulario!D142)</f>
        <v/>
      </c>
      <c r="G131" s="11" t="str">
        <f>TRIM(Formulario!F142)</f>
        <v/>
      </c>
      <c r="H131" s="146" t="str">
        <f>IF(N131="",TRIM(Formulario!G142),TRIM(Formulario!G142)*N131)</f>
        <v/>
      </c>
      <c r="I131" s="107" t="str">
        <f>TRIM(Formulario!I142)</f>
        <v/>
      </c>
      <c r="J131" s="11" t="str">
        <f>TRIM(Formulario!J142)</f>
        <v/>
      </c>
      <c r="K131" s="11" t="str">
        <f>TRIM(Formulario!K142)</f>
        <v/>
      </c>
      <c r="L131" s="107" t="str">
        <f>TRIM(Formulario!L142)</f>
        <v/>
      </c>
      <c r="M131" s="107" t="str">
        <f>TRIM(Formulario!M142)</f>
        <v>0</v>
      </c>
      <c r="N131" s="11" t="str">
        <f>TRIM(Formulario!H142)</f>
        <v/>
      </c>
      <c r="P131" s="17"/>
      <c r="Q131" s="104"/>
      <c r="R131" s="104"/>
      <c r="S131" s="117"/>
      <c r="T131" s="101"/>
      <c r="U131" s="101"/>
      <c r="V131" s="101"/>
      <c r="W131" s="102"/>
      <c r="X131" s="102"/>
      <c r="Y131" s="102"/>
      <c r="Z131" s="102"/>
      <c r="AA131" s="102"/>
      <c r="AB131" s="102"/>
      <c r="AC131" s="102"/>
      <c r="AD131" s="102"/>
    </row>
    <row r="132" spans="1:30">
      <c r="A132" s="8" t="str">
        <f>IF(L132="","",Formulario!B143)</f>
        <v/>
      </c>
      <c r="B132" s="119"/>
      <c r="C132" s="120"/>
      <c r="D132" s="121"/>
      <c r="E132" s="129" t="str">
        <f>IF(F132="","",Formulario!B143)</f>
        <v/>
      </c>
      <c r="F132" s="11" t="str">
        <f>TRIM(Formulario!D143)</f>
        <v/>
      </c>
      <c r="G132" s="11" t="str">
        <f>TRIM(Formulario!F143)</f>
        <v/>
      </c>
      <c r="H132" s="146" t="str">
        <f>IF(N132="",TRIM(Formulario!G143),TRIM(Formulario!G143)*N132)</f>
        <v/>
      </c>
      <c r="I132" s="107" t="str">
        <f>TRIM(Formulario!I143)</f>
        <v/>
      </c>
      <c r="J132" s="11" t="str">
        <f>TRIM(Formulario!J143)</f>
        <v/>
      </c>
      <c r="K132" s="11" t="str">
        <f>TRIM(Formulario!K143)</f>
        <v/>
      </c>
      <c r="L132" s="107" t="str">
        <f>TRIM(Formulario!L143)</f>
        <v/>
      </c>
      <c r="M132" s="107" t="str">
        <f>TRIM(Formulario!M143)</f>
        <v>0</v>
      </c>
      <c r="N132" s="11" t="str">
        <f>TRIM(Formulario!H143)</f>
        <v/>
      </c>
      <c r="P132" s="17"/>
      <c r="Q132" s="104"/>
      <c r="R132" s="104"/>
      <c r="S132" s="117"/>
      <c r="T132" s="101"/>
      <c r="U132" s="101"/>
      <c r="V132" s="101"/>
      <c r="W132" s="102"/>
      <c r="X132" s="102"/>
      <c r="Y132" s="102"/>
      <c r="Z132" s="102"/>
      <c r="AA132" s="102"/>
      <c r="AB132" s="102"/>
      <c r="AC132" s="102"/>
      <c r="AD132" s="102"/>
    </row>
    <row r="133" spans="1:30">
      <c r="A133" s="8" t="str">
        <f>IF(L133="","",Formulario!B144)</f>
        <v/>
      </c>
      <c r="B133" s="119"/>
      <c r="C133" s="120"/>
      <c r="D133" s="121"/>
      <c r="E133" s="129" t="str">
        <f>IF(F133="","",Formulario!B144)</f>
        <v/>
      </c>
      <c r="F133" s="11" t="str">
        <f>TRIM(Formulario!D144)</f>
        <v/>
      </c>
      <c r="G133" s="11" t="str">
        <f>TRIM(Formulario!F144)</f>
        <v/>
      </c>
      <c r="H133" s="146" t="str">
        <f>IF(N133="",TRIM(Formulario!G144),TRIM(Formulario!G144)*N133)</f>
        <v/>
      </c>
      <c r="I133" s="107" t="str">
        <f>TRIM(Formulario!I144)</f>
        <v/>
      </c>
      <c r="J133" s="11" t="str">
        <f>TRIM(Formulario!J144)</f>
        <v/>
      </c>
      <c r="K133" s="11" t="str">
        <f>TRIM(Formulario!K144)</f>
        <v/>
      </c>
      <c r="L133" s="107" t="str">
        <f>TRIM(Formulario!L144)</f>
        <v/>
      </c>
      <c r="M133" s="107" t="str">
        <f>TRIM(Formulario!M144)</f>
        <v>0</v>
      </c>
      <c r="N133" s="11" t="str">
        <f>TRIM(Formulario!H144)</f>
        <v/>
      </c>
      <c r="P133" s="17"/>
      <c r="Q133" s="104"/>
      <c r="R133" s="104"/>
      <c r="S133" s="117"/>
      <c r="T133" s="101"/>
      <c r="U133" s="101"/>
      <c r="V133" s="101"/>
      <c r="W133" s="102"/>
      <c r="X133" s="102"/>
      <c r="Y133" s="102"/>
      <c r="Z133" s="102"/>
      <c r="AA133" s="102"/>
      <c r="AB133" s="102"/>
      <c r="AC133" s="102"/>
      <c r="AD133" s="102"/>
    </row>
    <row r="134" spans="1:30">
      <c r="A134" s="8" t="str">
        <f>IF(L134="","",Formulario!B145)</f>
        <v/>
      </c>
      <c r="B134" s="119"/>
      <c r="C134" s="120"/>
      <c r="D134" s="121"/>
      <c r="E134" s="129" t="str">
        <f>IF(F134="","",Formulario!B145)</f>
        <v/>
      </c>
      <c r="F134" s="11" t="str">
        <f>TRIM(Formulario!D145)</f>
        <v/>
      </c>
      <c r="G134" s="11" t="str">
        <f>TRIM(Formulario!F145)</f>
        <v/>
      </c>
      <c r="H134" s="146" t="str">
        <f>IF(N134="",TRIM(Formulario!G145),TRIM(Formulario!G145)*N134)</f>
        <v/>
      </c>
      <c r="I134" s="107" t="str">
        <f>TRIM(Formulario!I145)</f>
        <v/>
      </c>
      <c r="J134" s="11" t="str">
        <f>TRIM(Formulario!J145)</f>
        <v/>
      </c>
      <c r="K134" s="11" t="str">
        <f>TRIM(Formulario!K145)</f>
        <v/>
      </c>
      <c r="L134" s="107" t="str">
        <f>TRIM(Formulario!L145)</f>
        <v/>
      </c>
      <c r="M134" s="107" t="str">
        <f>TRIM(Formulario!M145)</f>
        <v>0</v>
      </c>
      <c r="N134" s="11" t="str">
        <f>TRIM(Formulario!H145)</f>
        <v/>
      </c>
      <c r="P134" s="17"/>
      <c r="Q134" s="104"/>
      <c r="R134" s="104"/>
      <c r="S134" s="117"/>
      <c r="T134" s="101"/>
      <c r="U134" s="101"/>
      <c r="V134" s="101"/>
      <c r="W134" s="102"/>
      <c r="X134" s="102"/>
      <c r="Y134" s="102"/>
      <c r="Z134" s="102"/>
      <c r="AA134" s="102"/>
      <c r="AB134" s="102"/>
      <c r="AC134" s="102"/>
      <c r="AD134" s="102"/>
    </row>
    <row r="135" spans="1:30">
      <c r="A135" s="8" t="str">
        <f>IF(L135="","",Formulario!B146)</f>
        <v/>
      </c>
      <c r="B135" s="119"/>
      <c r="C135" s="120"/>
      <c r="D135" s="121"/>
      <c r="E135" s="129" t="str">
        <f>IF(F135="","",Formulario!B146)</f>
        <v/>
      </c>
      <c r="F135" s="11" t="str">
        <f>TRIM(Formulario!D146)</f>
        <v/>
      </c>
      <c r="G135" s="11" t="str">
        <f>TRIM(Formulario!F146)</f>
        <v/>
      </c>
      <c r="H135" s="146" t="str">
        <f>IF(N135="",TRIM(Formulario!G146),TRIM(Formulario!G146)*N135)</f>
        <v/>
      </c>
      <c r="I135" s="107" t="str">
        <f>TRIM(Formulario!I146)</f>
        <v/>
      </c>
      <c r="J135" s="11" t="str">
        <f>TRIM(Formulario!J146)</f>
        <v/>
      </c>
      <c r="K135" s="11" t="str">
        <f>TRIM(Formulario!K146)</f>
        <v/>
      </c>
      <c r="L135" s="107" t="str">
        <f>TRIM(Formulario!L146)</f>
        <v/>
      </c>
      <c r="M135" s="107" t="str">
        <f>TRIM(Formulario!M146)</f>
        <v>0</v>
      </c>
      <c r="N135" s="11" t="str">
        <f>TRIM(Formulario!H146)</f>
        <v/>
      </c>
      <c r="P135" s="17"/>
      <c r="Q135" s="104"/>
      <c r="R135" s="104"/>
      <c r="S135" s="117"/>
      <c r="T135" s="101"/>
      <c r="U135" s="101"/>
      <c r="V135" s="101"/>
      <c r="W135" s="102"/>
      <c r="X135" s="102"/>
      <c r="Y135" s="102"/>
      <c r="Z135" s="102"/>
      <c r="AA135" s="102"/>
      <c r="AB135" s="102"/>
      <c r="AC135" s="102"/>
      <c r="AD135" s="102"/>
    </row>
    <row r="136" spans="1:30">
      <c r="A136" s="8" t="str">
        <f>IF(L136="","",Formulario!B147)</f>
        <v/>
      </c>
      <c r="B136" s="119"/>
      <c r="C136" s="120"/>
      <c r="D136" s="121"/>
      <c r="E136" s="129" t="str">
        <f>IF(F136="","",Formulario!B147)</f>
        <v/>
      </c>
      <c r="F136" s="11" t="str">
        <f>TRIM(Formulario!D147)</f>
        <v/>
      </c>
      <c r="G136" s="11" t="str">
        <f>TRIM(Formulario!F147)</f>
        <v/>
      </c>
      <c r="H136" s="146" t="str">
        <f>IF(N136="",TRIM(Formulario!G147),TRIM(Formulario!G147)*N136)</f>
        <v/>
      </c>
      <c r="I136" s="107" t="str">
        <f>TRIM(Formulario!I147)</f>
        <v/>
      </c>
      <c r="J136" s="11" t="str">
        <f>TRIM(Formulario!J147)</f>
        <v/>
      </c>
      <c r="K136" s="11" t="str">
        <f>TRIM(Formulario!K147)</f>
        <v/>
      </c>
      <c r="L136" s="107" t="str">
        <f>TRIM(Formulario!L147)</f>
        <v/>
      </c>
      <c r="M136" s="107" t="str">
        <f>TRIM(Formulario!M147)</f>
        <v>0</v>
      </c>
      <c r="N136" s="11" t="str">
        <f>TRIM(Formulario!H147)</f>
        <v/>
      </c>
      <c r="P136" s="17"/>
      <c r="Q136" s="104"/>
      <c r="R136" s="104"/>
      <c r="S136" s="117"/>
      <c r="T136" s="101"/>
      <c r="U136" s="101"/>
      <c r="V136" s="101"/>
      <c r="W136" s="102"/>
      <c r="X136" s="102"/>
      <c r="Y136" s="102"/>
      <c r="Z136" s="102"/>
      <c r="AA136" s="102"/>
      <c r="AB136" s="102"/>
      <c r="AC136" s="102"/>
      <c r="AD136" s="102"/>
    </row>
    <row r="137" spans="1:30">
      <c r="A137" s="8" t="str">
        <f>IF(L137="","",Formulario!B148)</f>
        <v/>
      </c>
      <c r="B137" s="119"/>
      <c r="C137" s="120"/>
      <c r="D137" s="121"/>
      <c r="E137" s="129" t="str">
        <f>IF(F137="","",Formulario!B148)</f>
        <v/>
      </c>
      <c r="F137" s="11" t="str">
        <f>TRIM(Formulario!D148)</f>
        <v/>
      </c>
      <c r="G137" s="11" t="str">
        <f>TRIM(Formulario!F148)</f>
        <v/>
      </c>
      <c r="H137" s="146" t="str">
        <f>IF(N137="",TRIM(Formulario!G148),TRIM(Formulario!G148)*N137)</f>
        <v/>
      </c>
      <c r="I137" s="107" t="str">
        <f>TRIM(Formulario!I148)</f>
        <v/>
      </c>
      <c r="J137" s="11" t="str">
        <f>TRIM(Formulario!J148)</f>
        <v/>
      </c>
      <c r="K137" s="11" t="str">
        <f>TRIM(Formulario!K148)</f>
        <v/>
      </c>
      <c r="L137" s="107" t="str">
        <f>TRIM(Formulario!L148)</f>
        <v/>
      </c>
      <c r="M137" s="107" t="str">
        <f>TRIM(Formulario!M148)</f>
        <v>0</v>
      </c>
      <c r="N137" s="11" t="str">
        <f>TRIM(Formulario!H148)</f>
        <v/>
      </c>
      <c r="P137" s="17"/>
      <c r="Q137" s="104"/>
      <c r="R137" s="104"/>
      <c r="S137" s="117"/>
      <c r="T137" s="101"/>
      <c r="U137" s="101"/>
      <c r="V137" s="101"/>
      <c r="W137" s="102"/>
      <c r="X137" s="102"/>
      <c r="Y137" s="102"/>
      <c r="Z137" s="102"/>
      <c r="AA137" s="102"/>
      <c r="AB137" s="102"/>
      <c r="AC137" s="102"/>
      <c r="AD137" s="102"/>
    </row>
    <row r="138" spans="1:30">
      <c r="A138" s="8" t="str">
        <f>IF(L138="","",Formulario!B149)</f>
        <v/>
      </c>
      <c r="B138" s="119"/>
      <c r="C138" s="120"/>
      <c r="D138" s="121"/>
      <c r="E138" s="129" t="str">
        <f>IF(F138="","",Formulario!B149)</f>
        <v/>
      </c>
      <c r="F138" s="11" t="str">
        <f>TRIM(Formulario!D149)</f>
        <v/>
      </c>
      <c r="G138" s="11" t="str">
        <f>TRIM(Formulario!F149)</f>
        <v/>
      </c>
      <c r="H138" s="146" t="str">
        <f>IF(N138="",TRIM(Formulario!G149),TRIM(Formulario!G149)*N138)</f>
        <v/>
      </c>
      <c r="I138" s="107" t="str">
        <f>TRIM(Formulario!I149)</f>
        <v/>
      </c>
      <c r="J138" s="11" t="str">
        <f>TRIM(Formulario!J149)</f>
        <v/>
      </c>
      <c r="K138" s="11" t="str">
        <f>TRIM(Formulario!K149)</f>
        <v/>
      </c>
      <c r="L138" s="107" t="str">
        <f>TRIM(Formulario!L149)</f>
        <v/>
      </c>
      <c r="M138" s="107" t="str">
        <f>TRIM(Formulario!M149)</f>
        <v>0</v>
      </c>
      <c r="N138" s="11" t="str">
        <f>TRIM(Formulario!H149)</f>
        <v/>
      </c>
      <c r="P138" s="17"/>
      <c r="Q138" s="104"/>
      <c r="R138" s="104"/>
      <c r="S138" s="117"/>
      <c r="T138" s="101"/>
      <c r="U138" s="101"/>
      <c r="V138" s="101"/>
      <c r="W138" s="102"/>
      <c r="X138" s="102"/>
      <c r="Y138" s="102"/>
      <c r="Z138" s="102"/>
      <c r="AA138" s="102"/>
      <c r="AB138" s="102"/>
      <c r="AC138" s="102"/>
      <c r="AD138" s="102"/>
    </row>
    <row r="139" spans="1:30">
      <c r="A139" s="8" t="str">
        <f>IF(L139="","",Formulario!B150)</f>
        <v/>
      </c>
      <c r="B139" s="119"/>
      <c r="C139" s="120"/>
      <c r="D139" s="121"/>
      <c r="E139" s="129" t="str">
        <f>IF(F139="","",Formulario!B150)</f>
        <v/>
      </c>
      <c r="F139" s="11" t="str">
        <f>TRIM(Formulario!D150)</f>
        <v/>
      </c>
      <c r="G139" s="11" t="str">
        <f>TRIM(Formulario!F150)</f>
        <v/>
      </c>
      <c r="H139" s="146" t="str">
        <f>IF(N139="",TRIM(Formulario!G150),TRIM(Formulario!G150)*N139)</f>
        <v/>
      </c>
      <c r="I139" s="107" t="str">
        <f>TRIM(Formulario!I150)</f>
        <v/>
      </c>
      <c r="J139" s="11" t="str">
        <f>TRIM(Formulario!J150)</f>
        <v/>
      </c>
      <c r="K139" s="11" t="str">
        <f>TRIM(Formulario!K150)</f>
        <v/>
      </c>
      <c r="L139" s="107" t="str">
        <f>TRIM(Formulario!L150)</f>
        <v/>
      </c>
      <c r="M139" s="107" t="str">
        <f>TRIM(Formulario!M150)</f>
        <v>0</v>
      </c>
      <c r="N139" s="11" t="str">
        <f>TRIM(Formulario!H150)</f>
        <v/>
      </c>
      <c r="P139" s="17"/>
      <c r="Q139" s="104"/>
      <c r="R139" s="104"/>
      <c r="S139" s="117"/>
      <c r="T139" s="101"/>
      <c r="U139" s="101"/>
      <c r="V139" s="101"/>
      <c r="W139" s="102"/>
      <c r="X139" s="102"/>
      <c r="Y139" s="102"/>
      <c r="Z139" s="102"/>
      <c r="AA139" s="102"/>
      <c r="AB139" s="102"/>
      <c r="AC139" s="102"/>
      <c r="AD139" s="102"/>
    </row>
    <row r="140" spans="1:30">
      <c r="A140" s="8" t="str">
        <f>IF(L140="","",Formulario!B151)</f>
        <v/>
      </c>
      <c r="B140" s="119"/>
      <c r="C140" s="120"/>
      <c r="D140" s="121"/>
      <c r="E140" s="129" t="str">
        <f>IF(F140="","",Formulario!B151)</f>
        <v/>
      </c>
      <c r="F140" s="11" t="str">
        <f>TRIM(Formulario!D151)</f>
        <v/>
      </c>
      <c r="G140" s="11" t="str">
        <f>TRIM(Formulario!F151)</f>
        <v/>
      </c>
      <c r="H140" s="146" t="str">
        <f>IF(N140="",TRIM(Formulario!G151),TRIM(Formulario!G151)*N140)</f>
        <v/>
      </c>
      <c r="I140" s="107" t="str">
        <f>TRIM(Formulario!I151)</f>
        <v/>
      </c>
      <c r="J140" s="11" t="str">
        <f>TRIM(Formulario!J151)</f>
        <v/>
      </c>
      <c r="K140" s="11" t="str">
        <f>TRIM(Formulario!K151)</f>
        <v/>
      </c>
      <c r="L140" s="107" t="str">
        <f>TRIM(Formulario!L151)</f>
        <v/>
      </c>
      <c r="M140" s="107" t="str">
        <f>TRIM(Formulario!M151)</f>
        <v>0</v>
      </c>
      <c r="N140" s="11" t="str">
        <f>TRIM(Formulario!H151)</f>
        <v/>
      </c>
      <c r="P140" s="17"/>
      <c r="Q140" s="104"/>
      <c r="R140" s="104"/>
      <c r="S140" s="117"/>
      <c r="T140" s="101"/>
      <c r="U140" s="101"/>
      <c r="V140" s="101"/>
      <c r="W140" s="102"/>
      <c r="X140" s="102"/>
      <c r="Y140" s="102"/>
      <c r="Z140" s="102"/>
      <c r="AA140" s="102"/>
      <c r="AB140" s="102"/>
      <c r="AC140" s="102"/>
      <c r="AD140" s="102"/>
    </row>
    <row r="141" spans="1:30">
      <c r="A141" s="8" t="str">
        <f>IF(L141="","",Formulario!B152)</f>
        <v/>
      </c>
      <c r="B141" s="119"/>
      <c r="C141" s="120"/>
      <c r="D141" s="121"/>
      <c r="E141" s="129" t="str">
        <f>IF(F141="","",Formulario!B152)</f>
        <v/>
      </c>
      <c r="F141" s="11" t="str">
        <f>TRIM(Formulario!D152)</f>
        <v/>
      </c>
      <c r="G141" s="11" t="str">
        <f>TRIM(Formulario!F152)</f>
        <v/>
      </c>
      <c r="H141" s="146" t="str">
        <f>IF(N141="",TRIM(Formulario!G152),TRIM(Formulario!G152)*N141)</f>
        <v/>
      </c>
      <c r="I141" s="107" t="str">
        <f>TRIM(Formulario!I152)</f>
        <v/>
      </c>
      <c r="J141" s="11" t="str">
        <f>TRIM(Formulario!J152)</f>
        <v/>
      </c>
      <c r="K141" s="11" t="str">
        <f>TRIM(Formulario!K152)</f>
        <v/>
      </c>
      <c r="L141" s="107" t="str">
        <f>TRIM(Formulario!L152)</f>
        <v/>
      </c>
      <c r="M141" s="107" t="str">
        <f>TRIM(Formulario!M152)</f>
        <v>0</v>
      </c>
      <c r="N141" s="11" t="str">
        <f>TRIM(Formulario!H152)</f>
        <v/>
      </c>
      <c r="P141" s="17"/>
      <c r="Q141" s="104"/>
      <c r="R141" s="104"/>
      <c r="S141" s="117"/>
      <c r="T141" s="101"/>
      <c r="U141" s="101"/>
      <c r="V141" s="101"/>
      <c r="W141" s="102"/>
      <c r="X141" s="102"/>
      <c r="Y141" s="102"/>
      <c r="Z141" s="102"/>
      <c r="AA141" s="102"/>
      <c r="AB141" s="102"/>
      <c r="AC141" s="102"/>
      <c r="AD141" s="102"/>
    </row>
    <row r="142" spans="1:30">
      <c r="A142" s="8" t="str">
        <f>IF(L142="","",Formulario!B153)</f>
        <v/>
      </c>
      <c r="B142" s="119"/>
      <c r="C142" s="120"/>
      <c r="D142" s="121"/>
      <c r="E142" s="129" t="str">
        <f>IF(F142="","",Formulario!B153)</f>
        <v/>
      </c>
      <c r="F142" s="11" t="str">
        <f>TRIM(Formulario!D153)</f>
        <v/>
      </c>
      <c r="G142" s="11" t="str">
        <f>TRIM(Formulario!F153)</f>
        <v/>
      </c>
      <c r="H142" s="146" t="str">
        <f>IF(N142="",TRIM(Formulario!G153),TRIM(Formulario!G153)*N142)</f>
        <v/>
      </c>
      <c r="I142" s="107" t="str">
        <f>TRIM(Formulario!I153)</f>
        <v/>
      </c>
      <c r="J142" s="11" t="str">
        <f>TRIM(Formulario!J153)</f>
        <v/>
      </c>
      <c r="K142" s="11" t="str">
        <f>TRIM(Formulario!K153)</f>
        <v/>
      </c>
      <c r="L142" s="107" t="str">
        <f>TRIM(Formulario!L153)</f>
        <v/>
      </c>
      <c r="M142" s="107" t="str">
        <f>TRIM(Formulario!M153)</f>
        <v>0</v>
      </c>
      <c r="N142" s="11" t="str">
        <f>TRIM(Formulario!H153)</f>
        <v/>
      </c>
      <c r="P142" s="17"/>
      <c r="Q142" s="104"/>
      <c r="R142" s="104"/>
      <c r="S142" s="117"/>
      <c r="T142" s="101"/>
      <c r="U142" s="101"/>
      <c r="V142" s="101"/>
      <c r="W142" s="102"/>
      <c r="X142" s="102"/>
      <c r="Y142" s="102"/>
      <c r="Z142" s="102"/>
      <c r="AA142" s="102"/>
      <c r="AB142" s="102"/>
      <c r="AC142" s="102"/>
      <c r="AD142" s="102"/>
    </row>
    <row r="143" spans="1:30">
      <c r="A143" s="8" t="str">
        <f>IF(L143="","",Formulario!B154)</f>
        <v/>
      </c>
      <c r="B143" s="119"/>
      <c r="C143" s="120"/>
      <c r="D143" s="121"/>
      <c r="E143" s="129" t="str">
        <f>IF(F143="","",Formulario!B154)</f>
        <v/>
      </c>
      <c r="F143" s="11" t="str">
        <f>TRIM(Formulario!D154)</f>
        <v/>
      </c>
      <c r="G143" s="11" t="str">
        <f>TRIM(Formulario!F154)</f>
        <v/>
      </c>
      <c r="H143" s="146" t="str">
        <f>IF(N143="",TRIM(Formulario!G154),TRIM(Formulario!G154)*N143)</f>
        <v/>
      </c>
      <c r="I143" s="107" t="str">
        <f>TRIM(Formulario!I154)</f>
        <v/>
      </c>
      <c r="J143" s="11" t="str">
        <f>TRIM(Formulario!J154)</f>
        <v/>
      </c>
      <c r="K143" s="11" t="str">
        <f>TRIM(Formulario!K154)</f>
        <v/>
      </c>
      <c r="L143" s="107" t="str">
        <f>TRIM(Formulario!L154)</f>
        <v/>
      </c>
      <c r="M143" s="107" t="str">
        <f>TRIM(Formulario!M154)</f>
        <v>0</v>
      </c>
      <c r="N143" s="11" t="str">
        <f>TRIM(Formulario!H154)</f>
        <v/>
      </c>
      <c r="P143" s="17"/>
      <c r="Q143" s="104"/>
      <c r="R143" s="104"/>
      <c r="S143" s="117"/>
      <c r="T143" s="101"/>
      <c r="U143" s="101"/>
      <c r="V143" s="101"/>
      <c r="W143" s="102"/>
      <c r="X143" s="102"/>
      <c r="Y143" s="102"/>
      <c r="Z143" s="102"/>
      <c r="AA143" s="102"/>
      <c r="AB143" s="102"/>
      <c r="AC143" s="102"/>
      <c r="AD143" s="102"/>
    </row>
    <row r="144" spans="1:30">
      <c r="A144" s="8" t="str">
        <f>IF(L144="","",Formulario!B155)</f>
        <v/>
      </c>
      <c r="B144" s="119"/>
      <c r="C144" s="120"/>
      <c r="D144" s="121"/>
      <c r="E144" s="129" t="str">
        <f>IF(F144="","",Formulario!B155)</f>
        <v/>
      </c>
      <c r="F144" s="11" t="str">
        <f>TRIM(Formulario!D155)</f>
        <v/>
      </c>
      <c r="G144" s="11" t="str">
        <f>TRIM(Formulario!F155)</f>
        <v/>
      </c>
      <c r="H144" s="146" t="str">
        <f>IF(N144="",TRIM(Formulario!G155),TRIM(Formulario!G155)*N144)</f>
        <v/>
      </c>
      <c r="I144" s="107" t="str">
        <f>TRIM(Formulario!I155)</f>
        <v/>
      </c>
      <c r="J144" s="11" t="str">
        <f>TRIM(Formulario!J155)</f>
        <v/>
      </c>
      <c r="K144" s="11" t="str">
        <f>TRIM(Formulario!K155)</f>
        <v/>
      </c>
      <c r="L144" s="107" t="str">
        <f>TRIM(Formulario!L155)</f>
        <v/>
      </c>
      <c r="M144" s="107" t="str">
        <f>TRIM(Formulario!M155)</f>
        <v>0</v>
      </c>
      <c r="N144" s="11" t="str">
        <f>TRIM(Formulario!H155)</f>
        <v/>
      </c>
      <c r="P144" s="17"/>
      <c r="Q144" s="104"/>
      <c r="R144" s="104"/>
      <c r="S144" s="117"/>
      <c r="T144" s="101"/>
      <c r="U144" s="101"/>
      <c r="V144" s="101"/>
      <c r="W144" s="102"/>
      <c r="X144" s="102"/>
      <c r="Y144" s="102"/>
      <c r="Z144" s="102"/>
      <c r="AA144" s="102"/>
      <c r="AB144" s="102"/>
      <c r="AC144" s="102"/>
      <c r="AD144" s="102"/>
    </row>
    <row r="145" spans="1:30">
      <c r="A145" s="8" t="str">
        <f>IF(L145="","",Formulario!B156)</f>
        <v/>
      </c>
      <c r="B145" s="119"/>
      <c r="C145" s="120"/>
      <c r="D145" s="121"/>
      <c r="E145" s="129" t="str">
        <f>IF(F145="","",Formulario!B156)</f>
        <v/>
      </c>
      <c r="F145" s="11" t="str">
        <f>TRIM(Formulario!D156)</f>
        <v/>
      </c>
      <c r="G145" s="11" t="str">
        <f>TRIM(Formulario!F156)</f>
        <v/>
      </c>
      <c r="H145" s="146" t="str">
        <f>IF(N145="",TRIM(Formulario!G156),TRIM(Formulario!G156)*N145)</f>
        <v/>
      </c>
      <c r="I145" s="107" t="str">
        <f>TRIM(Formulario!I156)</f>
        <v/>
      </c>
      <c r="J145" s="11" t="str">
        <f>TRIM(Formulario!J156)</f>
        <v/>
      </c>
      <c r="K145" s="11" t="str">
        <f>TRIM(Formulario!K156)</f>
        <v/>
      </c>
      <c r="L145" s="107" t="str">
        <f>TRIM(Formulario!L156)</f>
        <v/>
      </c>
      <c r="M145" s="107" t="str">
        <f>TRIM(Formulario!M156)</f>
        <v>0</v>
      </c>
      <c r="N145" s="11" t="str">
        <f>TRIM(Formulario!H156)</f>
        <v/>
      </c>
      <c r="P145" s="17"/>
      <c r="Q145" s="104"/>
      <c r="R145" s="104"/>
      <c r="S145" s="117"/>
      <c r="T145" s="101"/>
      <c r="U145" s="101"/>
      <c r="V145" s="101"/>
      <c r="W145" s="102"/>
      <c r="X145" s="102"/>
      <c r="Y145" s="102"/>
      <c r="Z145" s="102"/>
      <c r="AA145" s="102"/>
      <c r="AB145" s="102"/>
      <c r="AC145" s="102"/>
      <c r="AD145" s="102"/>
    </row>
    <row r="146" spans="1:30">
      <c r="A146" s="8" t="str">
        <f>IF(L146="","",Formulario!B157)</f>
        <v/>
      </c>
      <c r="B146" s="119"/>
      <c r="C146" s="120"/>
      <c r="D146" s="121"/>
      <c r="E146" s="129" t="str">
        <f>IF(F146="","",Formulario!B157)</f>
        <v/>
      </c>
      <c r="F146" s="11" t="str">
        <f>TRIM(Formulario!D157)</f>
        <v/>
      </c>
      <c r="G146" s="11" t="str">
        <f>TRIM(Formulario!F157)</f>
        <v/>
      </c>
      <c r="H146" s="146" t="str">
        <f>IF(N146="",TRIM(Formulario!G157),TRIM(Formulario!G157)*N146)</f>
        <v/>
      </c>
      <c r="I146" s="107" t="str">
        <f>TRIM(Formulario!I157)</f>
        <v/>
      </c>
      <c r="J146" s="11" t="str">
        <f>TRIM(Formulario!J157)</f>
        <v/>
      </c>
      <c r="K146" s="11" t="str">
        <f>TRIM(Formulario!K157)</f>
        <v/>
      </c>
      <c r="L146" s="107" t="str">
        <f>TRIM(Formulario!L157)</f>
        <v/>
      </c>
      <c r="M146" s="107" t="str">
        <f>TRIM(Formulario!M157)</f>
        <v>0</v>
      </c>
      <c r="N146" s="11" t="str">
        <f>TRIM(Formulario!H157)</f>
        <v/>
      </c>
      <c r="P146" s="17"/>
      <c r="Q146" s="104"/>
      <c r="R146" s="104"/>
      <c r="S146" s="117"/>
      <c r="T146" s="101"/>
      <c r="U146" s="101"/>
      <c r="V146" s="101"/>
      <c r="W146" s="102"/>
      <c r="X146" s="102"/>
      <c r="Y146" s="102"/>
      <c r="Z146" s="102"/>
      <c r="AA146" s="102"/>
      <c r="AB146" s="102"/>
      <c r="AC146" s="102"/>
      <c r="AD146" s="102"/>
    </row>
    <row r="147" spans="1:30">
      <c r="A147" s="8" t="str">
        <f>IF(L147="","",Formulario!B158)</f>
        <v/>
      </c>
      <c r="B147" s="119"/>
      <c r="C147" s="120"/>
      <c r="D147" s="121"/>
      <c r="E147" s="129" t="str">
        <f>IF(F147="","",Formulario!B158)</f>
        <v/>
      </c>
      <c r="F147" s="11" t="str">
        <f>TRIM(Formulario!D158)</f>
        <v/>
      </c>
      <c r="G147" s="11" t="str">
        <f>TRIM(Formulario!F158)</f>
        <v/>
      </c>
      <c r="H147" s="146" t="str">
        <f>IF(N147="",TRIM(Formulario!G158),TRIM(Formulario!G158)*N147)</f>
        <v/>
      </c>
      <c r="I147" s="107" t="str">
        <f>TRIM(Formulario!I158)</f>
        <v/>
      </c>
      <c r="J147" s="11" t="str">
        <f>TRIM(Formulario!J158)</f>
        <v/>
      </c>
      <c r="K147" s="11" t="str">
        <f>TRIM(Formulario!K158)</f>
        <v/>
      </c>
      <c r="L147" s="107" t="str">
        <f>TRIM(Formulario!L158)</f>
        <v/>
      </c>
      <c r="M147" s="107" t="str">
        <f>TRIM(Formulario!M158)</f>
        <v>0</v>
      </c>
      <c r="N147" s="11" t="str">
        <f>TRIM(Formulario!H158)</f>
        <v/>
      </c>
      <c r="P147" s="17"/>
      <c r="Q147" s="104"/>
      <c r="R147" s="104"/>
      <c r="S147" s="117"/>
      <c r="T147" s="101"/>
      <c r="U147" s="101"/>
      <c r="V147" s="101"/>
      <c r="W147" s="102"/>
      <c r="X147" s="102"/>
      <c r="Y147" s="102"/>
      <c r="Z147" s="102"/>
      <c r="AA147" s="102"/>
      <c r="AB147" s="102"/>
      <c r="AC147" s="102"/>
      <c r="AD147" s="102"/>
    </row>
    <row r="148" spans="1:30">
      <c r="A148" s="8" t="str">
        <f>IF(L148="","",Formulario!B159)</f>
        <v/>
      </c>
      <c r="B148" s="119"/>
      <c r="C148" s="120"/>
      <c r="D148" s="121"/>
      <c r="E148" s="129" t="str">
        <f>IF(F148="","",Formulario!B159)</f>
        <v/>
      </c>
      <c r="F148" s="11" t="str">
        <f>TRIM(Formulario!D159)</f>
        <v/>
      </c>
      <c r="G148" s="11" t="str">
        <f>TRIM(Formulario!F159)</f>
        <v/>
      </c>
      <c r="H148" s="146" t="str">
        <f>IF(N148="",TRIM(Formulario!G159),TRIM(Formulario!G159)*N148)</f>
        <v/>
      </c>
      <c r="I148" s="107" t="str">
        <f>TRIM(Formulario!I159)</f>
        <v/>
      </c>
      <c r="J148" s="11" t="str">
        <f>TRIM(Formulario!J159)</f>
        <v/>
      </c>
      <c r="K148" s="11" t="str">
        <f>TRIM(Formulario!K159)</f>
        <v/>
      </c>
      <c r="L148" s="107" t="str">
        <f>TRIM(Formulario!L159)</f>
        <v/>
      </c>
      <c r="M148" s="107" t="str">
        <f>TRIM(Formulario!M159)</f>
        <v>0</v>
      </c>
      <c r="N148" s="11" t="str">
        <f>TRIM(Formulario!H159)</f>
        <v/>
      </c>
      <c r="P148" s="17"/>
      <c r="Q148" s="104"/>
      <c r="R148" s="104"/>
      <c r="S148" s="117"/>
      <c r="T148" s="101"/>
      <c r="U148" s="101"/>
      <c r="V148" s="101"/>
      <c r="W148" s="102"/>
      <c r="X148" s="102"/>
      <c r="Y148" s="102"/>
      <c r="Z148" s="102"/>
      <c r="AA148" s="102"/>
      <c r="AB148" s="102"/>
      <c r="AC148" s="102"/>
      <c r="AD148" s="102"/>
    </row>
    <row r="149" spans="1:30">
      <c r="A149" s="8" t="str">
        <f>IF(L149="","",Formulario!B160)</f>
        <v/>
      </c>
      <c r="B149" s="119"/>
      <c r="C149" s="120"/>
      <c r="D149" s="121"/>
      <c r="E149" s="129" t="str">
        <f>IF(F149="","",Formulario!B160)</f>
        <v/>
      </c>
      <c r="F149" s="11" t="str">
        <f>TRIM(Formulario!D160)</f>
        <v/>
      </c>
      <c r="G149" s="11" t="str">
        <f>TRIM(Formulario!F160)</f>
        <v/>
      </c>
      <c r="H149" s="146" t="str">
        <f>IF(N149="",TRIM(Formulario!G160),TRIM(Formulario!G160)*N149)</f>
        <v/>
      </c>
      <c r="I149" s="107" t="str">
        <f>TRIM(Formulario!I160)</f>
        <v/>
      </c>
      <c r="J149" s="11" t="str">
        <f>TRIM(Formulario!J160)</f>
        <v/>
      </c>
      <c r="K149" s="11" t="str">
        <f>TRIM(Formulario!K160)</f>
        <v/>
      </c>
      <c r="L149" s="107" t="str">
        <f>TRIM(Formulario!L160)</f>
        <v/>
      </c>
      <c r="M149" s="107" t="str">
        <f>TRIM(Formulario!M160)</f>
        <v>0</v>
      </c>
      <c r="N149" s="11" t="str">
        <f>TRIM(Formulario!H160)</f>
        <v/>
      </c>
      <c r="P149" s="17"/>
      <c r="Q149" s="104"/>
      <c r="R149" s="104"/>
      <c r="S149" s="117"/>
      <c r="T149" s="101"/>
      <c r="U149" s="101"/>
      <c r="V149" s="101"/>
      <c r="W149" s="102"/>
      <c r="X149" s="102"/>
      <c r="Y149" s="102"/>
      <c r="Z149" s="102"/>
      <c r="AA149" s="102"/>
      <c r="AB149" s="102"/>
      <c r="AC149" s="102"/>
      <c r="AD149" s="102"/>
    </row>
    <row r="150" spans="1:30">
      <c r="A150" s="8" t="str">
        <f>IF(L150="","",Formulario!B161)</f>
        <v/>
      </c>
      <c r="B150" s="119"/>
      <c r="C150" s="120"/>
      <c r="D150" s="121"/>
      <c r="E150" s="129" t="str">
        <f>IF(F150="","",Formulario!B161)</f>
        <v/>
      </c>
      <c r="F150" s="11" t="str">
        <f>TRIM(Formulario!D161)</f>
        <v/>
      </c>
      <c r="G150" s="11" t="str">
        <f>TRIM(Formulario!F161)</f>
        <v/>
      </c>
      <c r="H150" s="146" t="str">
        <f>IF(N150="",TRIM(Formulario!G161),TRIM(Formulario!G161)*N150)</f>
        <v/>
      </c>
      <c r="I150" s="107" t="str">
        <f>TRIM(Formulario!I161)</f>
        <v/>
      </c>
      <c r="J150" s="11" t="str">
        <f>TRIM(Formulario!J161)</f>
        <v/>
      </c>
      <c r="K150" s="11" t="str">
        <f>TRIM(Formulario!K161)</f>
        <v/>
      </c>
      <c r="L150" s="107" t="str">
        <f>TRIM(Formulario!L161)</f>
        <v/>
      </c>
      <c r="M150" s="107" t="str">
        <f>TRIM(Formulario!M161)</f>
        <v>0</v>
      </c>
      <c r="N150" s="11" t="str">
        <f>TRIM(Formulario!H161)</f>
        <v/>
      </c>
      <c r="P150" s="17"/>
      <c r="Q150" s="104"/>
      <c r="R150" s="104"/>
      <c r="S150" s="117"/>
      <c r="T150" s="101"/>
      <c r="U150" s="101"/>
      <c r="V150" s="101"/>
      <c r="W150" s="102"/>
      <c r="X150" s="102"/>
      <c r="Y150" s="102"/>
      <c r="Z150" s="102"/>
      <c r="AA150" s="102"/>
      <c r="AB150" s="102"/>
      <c r="AC150" s="102"/>
      <c r="AD150" s="102"/>
    </row>
    <row r="151" spans="1:30">
      <c r="A151" s="8" t="str">
        <f>IF(L151="","",Formulario!B162)</f>
        <v/>
      </c>
      <c r="B151" s="119"/>
      <c r="C151" s="120"/>
      <c r="D151" s="121"/>
      <c r="E151" s="129" t="str">
        <f>IF(F151="","",Formulario!B162)</f>
        <v/>
      </c>
      <c r="F151" s="11" t="str">
        <f>TRIM(Formulario!D162)</f>
        <v/>
      </c>
      <c r="G151" s="11" t="str">
        <f>TRIM(Formulario!F162)</f>
        <v/>
      </c>
      <c r="H151" s="146" t="str">
        <f>IF(N151="",TRIM(Formulario!G162),TRIM(Formulario!G162)*N151)</f>
        <v/>
      </c>
      <c r="I151" s="107" t="str">
        <f>TRIM(Formulario!I162)</f>
        <v/>
      </c>
      <c r="J151" s="11" t="str">
        <f>TRIM(Formulario!J162)</f>
        <v/>
      </c>
      <c r="K151" s="11" t="str">
        <f>TRIM(Formulario!K162)</f>
        <v/>
      </c>
      <c r="L151" s="107" t="str">
        <f>TRIM(Formulario!L162)</f>
        <v/>
      </c>
      <c r="M151" s="107" t="str">
        <f>TRIM(Formulario!M162)</f>
        <v>0</v>
      </c>
      <c r="N151" s="11" t="str">
        <f>TRIM(Formulario!H162)</f>
        <v/>
      </c>
      <c r="P151" s="17"/>
      <c r="Q151" s="104"/>
      <c r="R151" s="104"/>
      <c r="S151" s="117"/>
      <c r="T151" s="101"/>
      <c r="U151" s="101"/>
      <c r="V151" s="101"/>
      <c r="W151" s="102"/>
      <c r="X151" s="102"/>
      <c r="Y151" s="102"/>
      <c r="Z151" s="102"/>
      <c r="AA151" s="102"/>
      <c r="AB151" s="102"/>
      <c r="AC151" s="102"/>
      <c r="AD151" s="102"/>
    </row>
    <row r="152" spans="1:30">
      <c r="A152" s="8" t="str">
        <f>IF(L152="","",Formulario!B163)</f>
        <v/>
      </c>
      <c r="B152" s="119"/>
      <c r="C152" s="120"/>
      <c r="D152" s="121"/>
      <c r="E152" s="129" t="str">
        <f>IF(F152="","",Formulario!B163)</f>
        <v/>
      </c>
      <c r="F152" s="11" t="str">
        <f>TRIM(Formulario!D163)</f>
        <v/>
      </c>
      <c r="G152" s="11" t="str">
        <f>TRIM(Formulario!F163)</f>
        <v/>
      </c>
      <c r="H152" s="146" t="str">
        <f>IF(N152="",TRIM(Formulario!G163),TRIM(Formulario!G163)*N152)</f>
        <v/>
      </c>
      <c r="I152" s="107" t="str">
        <f>TRIM(Formulario!I163)</f>
        <v/>
      </c>
      <c r="J152" s="11" t="str">
        <f>TRIM(Formulario!J163)</f>
        <v/>
      </c>
      <c r="K152" s="11" t="str">
        <f>TRIM(Formulario!K163)</f>
        <v/>
      </c>
      <c r="L152" s="107" t="str">
        <f>TRIM(Formulario!L163)</f>
        <v/>
      </c>
      <c r="M152" s="107" t="str">
        <f>TRIM(Formulario!M163)</f>
        <v>0</v>
      </c>
      <c r="N152" s="11" t="str">
        <f>TRIM(Formulario!H163)</f>
        <v/>
      </c>
      <c r="P152" s="17"/>
      <c r="Q152" s="104"/>
      <c r="R152" s="104"/>
      <c r="S152" s="117"/>
      <c r="T152" s="101"/>
      <c r="U152" s="101"/>
      <c r="V152" s="101"/>
      <c r="W152" s="102"/>
      <c r="X152" s="102"/>
      <c r="Y152" s="102"/>
      <c r="Z152" s="102"/>
      <c r="AA152" s="102"/>
      <c r="AB152" s="102"/>
      <c r="AC152" s="102"/>
      <c r="AD152" s="102"/>
    </row>
    <row r="153" spans="1:30">
      <c r="A153" s="8" t="str">
        <f>IF(L153="","",Formulario!B164)</f>
        <v/>
      </c>
      <c r="B153" s="119"/>
      <c r="C153" s="120"/>
      <c r="D153" s="121"/>
      <c r="E153" s="129" t="str">
        <f>IF(F153="","",Formulario!B164)</f>
        <v/>
      </c>
      <c r="F153" s="11" t="str">
        <f>TRIM(Formulario!D164)</f>
        <v/>
      </c>
      <c r="G153" s="11" t="str">
        <f>TRIM(Formulario!F164)</f>
        <v/>
      </c>
      <c r="H153" s="146" t="str">
        <f>IF(N153="",TRIM(Formulario!G164),TRIM(Formulario!G164)*N153)</f>
        <v/>
      </c>
      <c r="I153" s="107" t="str">
        <f>TRIM(Formulario!I164)</f>
        <v/>
      </c>
      <c r="J153" s="11" t="str">
        <f>TRIM(Formulario!J164)</f>
        <v/>
      </c>
      <c r="K153" s="11" t="str">
        <f>TRIM(Formulario!K164)</f>
        <v/>
      </c>
      <c r="L153" s="107" t="str">
        <f>TRIM(Formulario!L164)</f>
        <v/>
      </c>
      <c r="M153" s="107" t="str">
        <f>TRIM(Formulario!M164)</f>
        <v>0</v>
      </c>
      <c r="N153" s="11" t="str">
        <f>TRIM(Formulario!H164)</f>
        <v/>
      </c>
      <c r="P153" s="17"/>
      <c r="Q153" s="104"/>
      <c r="R153" s="104"/>
      <c r="S153" s="117"/>
      <c r="T153" s="101"/>
      <c r="U153" s="101"/>
      <c r="V153" s="101"/>
      <c r="W153" s="102"/>
      <c r="X153" s="102"/>
      <c r="Y153" s="102"/>
      <c r="Z153" s="102"/>
      <c r="AA153" s="102"/>
      <c r="AB153" s="102"/>
      <c r="AC153" s="102"/>
      <c r="AD153" s="102"/>
    </row>
    <row r="154" spans="1:30">
      <c r="A154" s="8" t="str">
        <f>IF(L154="","",Formulario!B165)</f>
        <v/>
      </c>
      <c r="B154" s="119"/>
      <c r="C154" s="120"/>
      <c r="D154" s="121"/>
      <c r="E154" s="129" t="str">
        <f>IF(F154="","",Formulario!B165)</f>
        <v/>
      </c>
      <c r="F154" s="11" t="str">
        <f>TRIM(Formulario!D165)</f>
        <v/>
      </c>
      <c r="G154" s="11" t="str">
        <f>TRIM(Formulario!F165)</f>
        <v/>
      </c>
      <c r="H154" s="146" t="str">
        <f>IF(N154="",TRIM(Formulario!G165),TRIM(Formulario!G165)*N154)</f>
        <v/>
      </c>
      <c r="I154" s="107" t="str">
        <f>TRIM(Formulario!I165)</f>
        <v/>
      </c>
      <c r="J154" s="11" t="str">
        <f>TRIM(Formulario!J165)</f>
        <v/>
      </c>
      <c r="K154" s="11" t="str">
        <f>TRIM(Formulario!K165)</f>
        <v/>
      </c>
      <c r="L154" s="107" t="str">
        <f>TRIM(Formulario!L165)</f>
        <v/>
      </c>
      <c r="M154" s="107" t="str">
        <f>TRIM(Formulario!M165)</f>
        <v>0</v>
      </c>
      <c r="N154" s="11" t="str">
        <f>TRIM(Formulario!H165)</f>
        <v/>
      </c>
      <c r="P154" s="17"/>
      <c r="Q154" s="104"/>
      <c r="R154" s="104"/>
      <c r="S154" s="117"/>
      <c r="T154" s="101"/>
      <c r="U154" s="101"/>
      <c r="V154" s="101"/>
      <c r="W154" s="102"/>
      <c r="X154" s="102"/>
      <c r="Y154" s="102"/>
      <c r="Z154" s="102"/>
      <c r="AA154" s="102"/>
      <c r="AB154" s="102"/>
      <c r="AC154" s="102"/>
      <c r="AD154" s="102"/>
    </row>
    <row r="155" spans="1:30">
      <c r="A155" s="8" t="str">
        <f>IF(L155="","",Formulario!B166)</f>
        <v/>
      </c>
      <c r="B155" s="119"/>
      <c r="C155" s="120"/>
      <c r="D155" s="121"/>
      <c r="E155" s="129" t="str">
        <f>IF(F155="","",Formulario!B166)</f>
        <v/>
      </c>
      <c r="F155" s="11" t="str">
        <f>TRIM(Formulario!D166)</f>
        <v/>
      </c>
      <c r="G155" s="11" t="str">
        <f>TRIM(Formulario!F166)</f>
        <v/>
      </c>
      <c r="H155" s="146" t="str">
        <f>IF(N155="",TRIM(Formulario!G166),TRIM(Formulario!G166)*N155)</f>
        <v/>
      </c>
      <c r="I155" s="107" t="str">
        <f>TRIM(Formulario!I166)</f>
        <v/>
      </c>
      <c r="J155" s="11" t="str">
        <f>TRIM(Formulario!J166)</f>
        <v/>
      </c>
      <c r="K155" s="11" t="str">
        <f>TRIM(Formulario!K166)</f>
        <v/>
      </c>
      <c r="L155" s="107" t="str">
        <f>TRIM(Formulario!L166)</f>
        <v/>
      </c>
      <c r="M155" s="107" t="str">
        <f>TRIM(Formulario!M166)</f>
        <v>0</v>
      </c>
      <c r="N155" s="11" t="str">
        <f>TRIM(Formulario!H166)</f>
        <v/>
      </c>
      <c r="P155" s="17"/>
      <c r="Q155" s="104"/>
      <c r="R155" s="104"/>
      <c r="S155" s="117"/>
      <c r="T155" s="101"/>
      <c r="U155" s="101"/>
      <c r="V155" s="101"/>
      <c r="W155" s="102"/>
      <c r="X155" s="102"/>
      <c r="Y155" s="102"/>
      <c r="Z155" s="102"/>
      <c r="AA155" s="102"/>
      <c r="AB155" s="102"/>
      <c r="AC155" s="102"/>
      <c r="AD155" s="102"/>
    </row>
    <row r="156" spans="1:30">
      <c r="A156" s="8" t="str">
        <f>IF(L156="","",Formulario!B167)</f>
        <v/>
      </c>
      <c r="B156" s="119"/>
      <c r="C156" s="120"/>
      <c r="D156" s="121"/>
      <c r="E156" s="129" t="str">
        <f>IF(F156="","",Formulario!B167)</f>
        <v/>
      </c>
      <c r="F156" s="11" t="str">
        <f>TRIM(Formulario!D167)</f>
        <v/>
      </c>
      <c r="G156" s="11" t="str">
        <f>TRIM(Formulario!F167)</f>
        <v/>
      </c>
      <c r="H156" s="146" t="str">
        <f>IF(N156="",TRIM(Formulario!G167),TRIM(Formulario!G167)*N156)</f>
        <v/>
      </c>
      <c r="I156" s="107" t="str">
        <f>TRIM(Formulario!I167)</f>
        <v/>
      </c>
      <c r="J156" s="11" t="str">
        <f>TRIM(Formulario!J167)</f>
        <v/>
      </c>
      <c r="K156" s="11" t="str">
        <f>TRIM(Formulario!K167)</f>
        <v/>
      </c>
      <c r="L156" s="107" t="str">
        <f>TRIM(Formulario!L167)</f>
        <v/>
      </c>
      <c r="M156" s="107" t="str">
        <f>TRIM(Formulario!M167)</f>
        <v>0</v>
      </c>
      <c r="N156" s="11" t="str">
        <f>TRIM(Formulario!H167)</f>
        <v/>
      </c>
      <c r="P156" s="17"/>
      <c r="Q156" s="104"/>
      <c r="R156" s="104"/>
      <c r="S156" s="117"/>
      <c r="T156" s="101"/>
      <c r="U156" s="101"/>
      <c r="V156" s="101"/>
      <c r="W156" s="102"/>
      <c r="X156" s="102"/>
      <c r="Y156" s="102"/>
      <c r="Z156" s="102"/>
      <c r="AA156" s="102"/>
      <c r="AB156" s="102"/>
      <c r="AC156" s="102"/>
      <c r="AD156" s="102"/>
    </row>
    <row r="157" spans="1:30">
      <c r="A157" s="8" t="str">
        <f>IF(L157="","",Formulario!B168)</f>
        <v/>
      </c>
      <c r="B157" s="119"/>
      <c r="C157" s="120"/>
      <c r="D157" s="121"/>
      <c r="E157" s="129" t="str">
        <f>IF(F157="","",Formulario!B168)</f>
        <v/>
      </c>
      <c r="F157" s="11" t="str">
        <f>TRIM(Formulario!D168)</f>
        <v/>
      </c>
      <c r="G157" s="11" t="str">
        <f>TRIM(Formulario!F168)</f>
        <v/>
      </c>
      <c r="H157" s="146" t="str">
        <f>IF(N157="",TRIM(Formulario!G168),TRIM(Formulario!G168)*N157)</f>
        <v/>
      </c>
      <c r="I157" s="107" t="str">
        <f>TRIM(Formulario!I168)</f>
        <v/>
      </c>
      <c r="J157" s="11" t="str">
        <f>TRIM(Formulario!J168)</f>
        <v/>
      </c>
      <c r="K157" s="11" t="str">
        <f>TRIM(Formulario!K168)</f>
        <v/>
      </c>
      <c r="L157" s="107" t="str">
        <f>TRIM(Formulario!L168)</f>
        <v/>
      </c>
      <c r="M157" s="107" t="str">
        <f>TRIM(Formulario!M168)</f>
        <v>0</v>
      </c>
      <c r="N157" s="11" t="str">
        <f>TRIM(Formulario!H168)</f>
        <v/>
      </c>
      <c r="P157" s="17"/>
      <c r="Q157" s="104"/>
      <c r="R157" s="104"/>
      <c r="S157" s="117"/>
      <c r="T157" s="101"/>
      <c r="U157" s="101"/>
      <c r="V157" s="101"/>
      <c r="W157" s="102"/>
      <c r="X157" s="102"/>
      <c r="Y157" s="102"/>
      <c r="Z157" s="102"/>
      <c r="AA157" s="102"/>
      <c r="AB157" s="102"/>
      <c r="AC157" s="102"/>
      <c r="AD157" s="102"/>
    </row>
    <row r="158" spans="1:30">
      <c r="A158" s="8" t="str">
        <f>IF(L158="","",Formulario!B169)</f>
        <v/>
      </c>
      <c r="B158" s="119"/>
      <c r="C158" s="120"/>
      <c r="D158" s="121"/>
      <c r="E158" s="129" t="str">
        <f>IF(F158="","",Formulario!B169)</f>
        <v/>
      </c>
      <c r="F158" s="11" t="str">
        <f>TRIM(Formulario!D169)</f>
        <v/>
      </c>
      <c r="G158" s="11" t="str">
        <f>TRIM(Formulario!F169)</f>
        <v/>
      </c>
      <c r="H158" s="146" t="str">
        <f>IF(N158="",TRIM(Formulario!G169),TRIM(Formulario!G169)*N158)</f>
        <v/>
      </c>
      <c r="I158" s="107" t="str">
        <f>TRIM(Formulario!I169)</f>
        <v/>
      </c>
      <c r="J158" s="11" t="str">
        <f>TRIM(Formulario!J169)</f>
        <v/>
      </c>
      <c r="K158" s="11" t="str">
        <f>TRIM(Formulario!K169)</f>
        <v/>
      </c>
      <c r="L158" s="107" t="str">
        <f>TRIM(Formulario!L169)</f>
        <v/>
      </c>
      <c r="M158" s="107" t="str">
        <f>TRIM(Formulario!M169)</f>
        <v>0</v>
      </c>
      <c r="N158" s="11" t="str">
        <f>TRIM(Formulario!H169)</f>
        <v/>
      </c>
      <c r="P158" s="17"/>
      <c r="Q158" s="104"/>
      <c r="R158" s="104"/>
      <c r="S158" s="117"/>
      <c r="T158" s="101"/>
      <c r="U158" s="101"/>
      <c r="V158" s="101"/>
      <c r="W158" s="102"/>
      <c r="X158" s="102"/>
      <c r="Y158" s="102"/>
      <c r="Z158" s="102"/>
      <c r="AA158" s="102"/>
      <c r="AB158" s="102"/>
      <c r="AC158" s="102"/>
      <c r="AD158" s="102"/>
    </row>
    <row r="159" spans="1:30">
      <c r="A159" s="8" t="str">
        <f>IF(L159="","",Formulario!B170)</f>
        <v/>
      </c>
      <c r="B159" s="119"/>
      <c r="C159" s="120"/>
      <c r="D159" s="121"/>
      <c r="E159" s="129" t="str">
        <f>IF(F159="","",Formulario!B170)</f>
        <v/>
      </c>
      <c r="F159" s="11" t="str">
        <f>TRIM(Formulario!D170)</f>
        <v/>
      </c>
      <c r="G159" s="11" t="str">
        <f>TRIM(Formulario!F170)</f>
        <v/>
      </c>
      <c r="H159" s="146" t="str">
        <f>IF(N159="",TRIM(Formulario!G170),TRIM(Formulario!G170)*N159)</f>
        <v/>
      </c>
      <c r="I159" s="107" t="str">
        <f>TRIM(Formulario!I170)</f>
        <v/>
      </c>
      <c r="J159" s="11" t="str">
        <f>TRIM(Formulario!J170)</f>
        <v/>
      </c>
      <c r="K159" s="11" t="str">
        <f>TRIM(Formulario!K170)</f>
        <v/>
      </c>
      <c r="L159" s="107" t="str">
        <f>TRIM(Formulario!L170)</f>
        <v/>
      </c>
      <c r="M159" s="107" t="str">
        <f>TRIM(Formulario!M170)</f>
        <v>0</v>
      </c>
      <c r="N159" s="11" t="str">
        <f>TRIM(Formulario!H170)</f>
        <v/>
      </c>
      <c r="P159" s="17"/>
      <c r="Q159" s="104"/>
      <c r="R159" s="104"/>
      <c r="S159" s="117"/>
      <c r="T159" s="101"/>
      <c r="U159" s="101"/>
      <c r="V159" s="101"/>
      <c r="W159" s="102"/>
      <c r="X159" s="102"/>
      <c r="Y159" s="102"/>
      <c r="Z159" s="102"/>
      <c r="AA159" s="102"/>
      <c r="AB159" s="102"/>
      <c r="AC159" s="102"/>
      <c r="AD159" s="102"/>
    </row>
    <row r="160" spans="1:30">
      <c r="A160" s="8" t="str">
        <f>IF(L160="","",Formulario!B171)</f>
        <v/>
      </c>
      <c r="B160" s="119"/>
      <c r="C160" s="120"/>
      <c r="D160" s="121"/>
      <c r="E160" s="129" t="str">
        <f>IF(F160="","",Formulario!B171)</f>
        <v/>
      </c>
      <c r="F160" s="11" t="str">
        <f>TRIM(Formulario!D171)</f>
        <v/>
      </c>
      <c r="G160" s="11" t="str">
        <f>TRIM(Formulario!F171)</f>
        <v/>
      </c>
      <c r="H160" s="146" t="str">
        <f>IF(N160="",TRIM(Formulario!G171),TRIM(Formulario!G171)*N160)</f>
        <v/>
      </c>
      <c r="I160" s="107" t="str">
        <f>TRIM(Formulario!I171)</f>
        <v/>
      </c>
      <c r="J160" s="11" t="str">
        <f>TRIM(Formulario!J171)</f>
        <v/>
      </c>
      <c r="K160" s="11" t="str">
        <f>TRIM(Formulario!K171)</f>
        <v/>
      </c>
      <c r="L160" s="107" t="str">
        <f>TRIM(Formulario!L171)</f>
        <v/>
      </c>
      <c r="M160" s="107" t="str">
        <f>TRIM(Formulario!M171)</f>
        <v>0</v>
      </c>
      <c r="N160" s="11" t="str">
        <f>TRIM(Formulario!H171)</f>
        <v/>
      </c>
      <c r="P160" s="17"/>
      <c r="Q160" s="104"/>
      <c r="R160" s="104"/>
      <c r="S160" s="117"/>
      <c r="T160" s="101"/>
      <c r="U160" s="101"/>
      <c r="V160" s="101"/>
      <c r="W160" s="102"/>
      <c r="X160" s="102"/>
      <c r="Y160" s="102"/>
      <c r="Z160" s="102"/>
      <c r="AA160" s="102"/>
      <c r="AB160" s="102"/>
      <c r="AC160" s="102"/>
      <c r="AD160" s="102"/>
    </row>
    <row r="161" spans="1:30">
      <c r="A161" s="8" t="str">
        <f>IF(L161="","",Formulario!B172)</f>
        <v/>
      </c>
      <c r="B161" s="119"/>
      <c r="C161" s="120"/>
      <c r="D161" s="121"/>
      <c r="E161" s="129" t="str">
        <f>IF(F161="","",Formulario!B172)</f>
        <v/>
      </c>
      <c r="F161" s="11" t="str">
        <f>TRIM(Formulario!D172)</f>
        <v/>
      </c>
      <c r="G161" s="11" t="str">
        <f>TRIM(Formulario!F172)</f>
        <v/>
      </c>
      <c r="H161" s="146" t="str">
        <f>IF(N161="",TRIM(Formulario!G172),TRIM(Formulario!G172)*N161)</f>
        <v/>
      </c>
      <c r="I161" s="107" t="str">
        <f>TRIM(Formulario!I172)</f>
        <v/>
      </c>
      <c r="J161" s="11" t="str">
        <f>TRIM(Formulario!J172)</f>
        <v/>
      </c>
      <c r="K161" s="11" t="str">
        <f>TRIM(Formulario!K172)</f>
        <v/>
      </c>
      <c r="L161" s="107" t="str">
        <f>TRIM(Formulario!L172)</f>
        <v/>
      </c>
      <c r="M161" s="107" t="str">
        <f>TRIM(Formulario!M172)</f>
        <v>0</v>
      </c>
      <c r="N161" s="11" t="str">
        <f>TRIM(Formulario!H172)</f>
        <v/>
      </c>
      <c r="P161" s="17"/>
      <c r="Q161" s="104"/>
      <c r="R161" s="104"/>
      <c r="S161" s="117"/>
      <c r="T161" s="101"/>
      <c r="U161" s="101"/>
      <c r="V161" s="101"/>
      <c r="W161" s="102"/>
      <c r="X161" s="102"/>
      <c r="Y161" s="102"/>
      <c r="Z161" s="102"/>
      <c r="AA161" s="102"/>
      <c r="AB161" s="102"/>
      <c r="AC161" s="102"/>
      <c r="AD161" s="102"/>
    </row>
    <row r="162" spans="1:30">
      <c r="A162" s="8" t="str">
        <f>IF(L162="","",Formulario!B173)</f>
        <v/>
      </c>
      <c r="B162" s="119"/>
      <c r="C162" s="120"/>
      <c r="D162" s="121"/>
      <c r="E162" s="129" t="str">
        <f>IF(F162="","",Formulario!B173)</f>
        <v/>
      </c>
      <c r="F162" s="11" t="str">
        <f>TRIM(Formulario!D173)</f>
        <v/>
      </c>
      <c r="G162" s="11" t="str">
        <f>TRIM(Formulario!F173)</f>
        <v/>
      </c>
      <c r="H162" s="146" t="str">
        <f>IF(N162="",TRIM(Formulario!G173),TRIM(Formulario!G173)*N162)</f>
        <v/>
      </c>
      <c r="I162" s="107" t="str">
        <f>TRIM(Formulario!I173)</f>
        <v/>
      </c>
      <c r="J162" s="11" t="str">
        <f>TRIM(Formulario!J173)</f>
        <v/>
      </c>
      <c r="K162" s="11" t="str">
        <f>TRIM(Formulario!K173)</f>
        <v/>
      </c>
      <c r="L162" s="107" t="str">
        <f>TRIM(Formulario!L173)</f>
        <v/>
      </c>
      <c r="M162" s="107" t="str">
        <f>TRIM(Formulario!M173)</f>
        <v>0</v>
      </c>
      <c r="N162" s="11" t="str">
        <f>TRIM(Formulario!H173)</f>
        <v/>
      </c>
      <c r="P162" s="17"/>
      <c r="Q162" s="104"/>
      <c r="R162" s="104"/>
      <c r="S162" s="117"/>
      <c r="T162" s="101"/>
      <c r="U162" s="101"/>
      <c r="V162" s="101"/>
      <c r="W162" s="102"/>
      <c r="X162" s="102"/>
      <c r="Y162" s="102"/>
      <c r="Z162" s="102"/>
      <c r="AA162" s="102"/>
      <c r="AB162" s="102"/>
      <c r="AC162" s="102"/>
      <c r="AD162" s="102"/>
    </row>
    <row r="163" spans="1:30">
      <c r="A163" s="8" t="str">
        <f>IF(L163="","",Formulario!B174)</f>
        <v/>
      </c>
      <c r="B163" s="119"/>
      <c r="C163" s="120"/>
      <c r="D163" s="121"/>
      <c r="E163" s="129" t="str">
        <f>IF(F163="","",Formulario!B174)</f>
        <v/>
      </c>
      <c r="F163" s="11" t="str">
        <f>TRIM(Formulario!D174)</f>
        <v/>
      </c>
      <c r="G163" s="11" t="str">
        <f>TRIM(Formulario!F174)</f>
        <v/>
      </c>
      <c r="H163" s="146" t="str">
        <f>IF(N163="",TRIM(Formulario!G174),TRIM(Formulario!G174)*N163)</f>
        <v/>
      </c>
      <c r="I163" s="107" t="str">
        <f>TRIM(Formulario!I174)</f>
        <v/>
      </c>
      <c r="J163" s="11" t="str">
        <f>TRIM(Formulario!J174)</f>
        <v/>
      </c>
      <c r="K163" s="11" t="str">
        <f>TRIM(Formulario!K174)</f>
        <v/>
      </c>
      <c r="L163" s="107" t="str">
        <f>TRIM(Formulario!L174)</f>
        <v/>
      </c>
      <c r="M163" s="107" t="str">
        <f>TRIM(Formulario!M174)</f>
        <v>0</v>
      </c>
      <c r="N163" s="11" t="str">
        <f>TRIM(Formulario!H174)</f>
        <v/>
      </c>
      <c r="P163" s="17"/>
      <c r="Q163" s="104"/>
      <c r="R163" s="104"/>
      <c r="S163" s="117"/>
      <c r="T163" s="101"/>
      <c r="U163" s="101"/>
      <c r="V163" s="101"/>
      <c r="W163" s="102"/>
      <c r="X163" s="102"/>
      <c r="Y163" s="102"/>
      <c r="Z163" s="102"/>
      <c r="AA163" s="102"/>
      <c r="AB163" s="102"/>
      <c r="AC163" s="102"/>
      <c r="AD163" s="102"/>
    </row>
    <row r="164" spans="1:30">
      <c r="A164" s="8" t="str">
        <f>IF(L164="","",Formulario!B175)</f>
        <v/>
      </c>
      <c r="B164" s="119"/>
      <c r="C164" s="120"/>
      <c r="D164" s="121"/>
      <c r="E164" s="129" t="str">
        <f>IF(F164="","",Formulario!B175)</f>
        <v/>
      </c>
      <c r="F164" s="11" t="str">
        <f>TRIM(Formulario!D175)</f>
        <v/>
      </c>
      <c r="G164" s="11" t="str">
        <f>TRIM(Formulario!F175)</f>
        <v/>
      </c>
      <c r="H164" s="146" t="str">
        <f>IF(N164="",TRIM(Formulario!G175),TRIM(Formulario!G175)*N164)</f>
        <v/>
      </c>
      <c r="I164" s="107" t="str">
        <f>TRIM(Formulario!I175)</f>
        <v/>
      </c>
      <c r="J164" s="11" t="str">
        <f>TRIM(Formulario!J175)</f>
        <v/>
      </c>
      <c r="K164" s="11" t="str">
        <f>TRIM(Formulario!K175)</f>
        <v/>
      </c>
      <c r="L164" s="107" t="str">
        <f>TRIM(Formulario!L175)</f>
        <v/>
      </c>
      <c r="M164" s="107" t="str">
        <f>TRIM(Formulario!M175)</f>
        <v>0</v>
      </c>
      <c r="N164" s="11" t="str">
        <f>TRIM(Formulario!H175)</f>
        <v/>
      </c>
      <c r="P164" s="17"/>
      <c r="Q164" s="104"/>
      <c r="R164" s="104"/>
      <c r="S164" s="117"/>
      <c r="T164" s="101"/>
      <c r="U164" s="101"/>
      <c r="V164" s="101"/>
      <c r="W164" s="102"/>
      <c r="X164" s="102"/>
      <c r="Y164" s="102"/>
      <c r="Z164" s="102"/>
      <c r="AA164" s="102"/>
      <c r="AB164" s="102"/>
      <c r="AC164" s="102"/>
      <c r="AD164" s="102"/>
    </row>
    <row r="165" spans="1:30">
      <c r="A165" s="8" t="str">
        <f>IF(L165="","",Formulario!B176)</f>
        <v/>
      </c>
      <c r="B165" s="119"/>
      <c r="C165" s="120"/>
      <c r="D165" s="121"/>
      <c r="E165" s="129" t="str">
        <f>IF(F165="","",Formulario!B176)</f>
        <v/>
      </c>
      <c r="F165" s="11" t="str">
        <f>TRIM(Formulario!D176)</f>
        <v/>
      </c>
      <c r="G165" s="11" t="str">
        <f>TRIM(Formulario!F176)</f>
        <v/>
      </c>
      <c r="H165" s="146" t="str">
        <f>IF(N165="",TRIM(Formulario!G176),TRIM(Formulario!G176)*N165)</f>
        <v/>
      </c>
      <c r="I165" s="107" t="str">
        <f>TRIM(Formulario!I176)</f>
        <v/>
      </c>
      <c r="J165" s="11" t="str">
        <f>TRIM(Formulario!J176)</f>
        <v/>
      </c>
      <c r="K165" s="11" t="str">
        <f>TRIM(Formulario!K176)</f>
        <v/>
      </c>
      <c r="L165" s="107" t="str">
        <f>TRIM(Formulario!L176)</f>
        <v/>
      </c>
      <c r="M165" s="107" t="str">
        <f>TRIM(Formulario!M176)</f>
        <v>0</v>
      </c>
      <c r="N165" s="11" t="str">
        <f>TRIM(Formulario!H176)</f>
        <v/>
      </c>
      <c r="P165" s="17"/>
      <c r="Q165" s="104"/>
      <c r="R165" s="104"/>
      <c r="S165" s="117"/>
      <c r="T165" s="101"/>
      <c r="U165" s="101"/>
      <c r="V165" s="101"/>
      <c r="W165" s="102"/>
      <c r="X165" s="102"/>
      <c r="Y165" s="102"/>
      <c r="Z165" s="102"/>
      <c r="AA165" s="102"/>
      <c r="AB165" s="102"/>
      <c r="AC165" s="102"/>
      <c r="AD165" s="102"/>
    </row>
    <row r="166" spans="1:30">
      <c r="A166" s="8" t="str">
        <f>IF(L166="","",Formulario!B177)</f>
        <v/>
      </c>
      <c r="B166" s="119"/>
      <c r="C166" s="120"/>
      <c r="D166" s="121"/>
      <c r="E166" s="129" t="str">
        <f>IF(F166="","",Formulario!B177)</f>
        <v/>
      </c>
      <c r="F166" s="11" t="str">
        <f>TRIM(Formulario!D177)</f>
        <v/>
      </c>
      <c r="G166" s="11" t="str">
        <f>TRIM(Formulario!F177)</f>
        <v/>
      </c>
      <c r="H166" s="146" t="str">
        <f>IF(N166="",TRIM(Formulario!G177),TRIM(Formulario!G177)*N166)</f>
        <v/>
      </c>
      <c r="I166" s="107" t="str">
        <f>TRIM(Formulario!I177)</f>
        <v/>
      </c>
      <c r="J166" s="11" t="str">
        <f>TRIM(Formulario!J177)</f>
        <v/>
      </c>
      <c r="K166" s="11" t="str">
        <f>TRIM(Formulario!K177)</f>
        <v/>
      </c>
      <c r="L166" s="107" t="str">
        <f>TRIM(Formulario!L177)</f>
        <v/>
      </c>
      <c r="M166" s="107" t="str">
        <f>TRIM(Formulario!M177)</f>
        <v>0</v>
      </c>
      <c r="N166" s="11" t="str">
        <f>TRIM(Formulario!H177)</f>
        <v/>
      </c>
      <c r="P166" s="17"/>
      <c r="Q166" s="104"/>
      <c r="R166" s="104"/>
      <c r="S166" s="117"/>
      <c r="T166" s="101"/>
      <c r="U166" s="101"/>
      <c r="V166" s="101"/>
      <c r="W166" s="102"/>
      <c r="X166" s="102"/>
      <c r="Y166" s="102"/>
      <c r="Z166" s="102"/>
      <c r="AA166" s="102"/>
      <c r="AB166" s="102"/>
      <c r="AC166" s="102"/>
      <c r="AD166" s="102"/>
    </row>
    <row r="167" spans="1:30">
      <c r="A167" s="8" t="str">
        <f>IF(L167="","",Formulario!B178)</f>
        <v/>
      </c>
      <c r="B167" s="119"/>
      <c r="C167" s="120"/>
      <c r="D167" s="121"/>
      <c r="E167" s="129" t="str">
        <f>IF(F167="","",Formulario!B178)</f>
        <v/>
      </c>
      <c r="F167" s="11" t="str">
        <f>TRIM(Formulario!D178)</f>
        <v/>
      </c>
      <c r="G167" s="11" t="str">
        <f>TRIM(Formulario!F178)</f>
        <v/>
      </c>
      <c r="H167" s="146" t="str">
        <f>IF(N167="",TRIM(Formulario!G178),TRIM(Formulario!G178)*N167)</f>
        <v/>
      </c>
      <c r="I167" s="107" t="str">
        <f>TRIM(Formulario!I178)</f>
        <v/>
      </c>
      <c r="J167" s="11" t="str">
        <f>TRIM(Formulario!J178)</f>
        <v/>
      </c>
      <c r="K167" s="11" t="str">
        <f>TRIM(Formulario!K178)</f>
        <v/>
      </c>
      <c r="L167" s="107" t="str">
        <f>TRIM(Formulario!L178)</f>
        <v/>
      </c>
      <c r="M167" s="107" t="str">
        <f>TRIM(Formulario!M178)</f>
        <v>0</v>
      </c>
      <c r="N167" s="11" t="str">
        <f>TRIM(Formulario!H178)</f>
        <v/>
      </c>
      <c r="P167" s="17"/>
      <c r="Q167" s="104"/>
      <c r="R167" s="104"/>
      <c r="S167" s="117"/>
      <c r="T167" s="101"/>
      <c r="U167" s="101"/>
      <c r="V167" s="101"/>
      <c r="W167" s="102"/>
      <c r="X167" s="102"/>
      <c r="Y167" s="102"/>
      <c r="Z167" s="102"/>
      <c r="AA167" s="102"/>
      <c r="AB167" s="102"/>
      <c r="AC167" s="102"/>
      <c r="AD167" s="102"/>
    </row>
    <row r="168" spans="1:30">
      <c r="A168" s="8" t="str">
        <f>IF(L168="","",Formulario!B179)</f>
        <v/>
      </c>
      <c r="B168" s="119"/>
      <c r="C168" s="120"/>
      <c r="D168" s="121"/>
      <c r="E168" s="129" t="str">
        <f>IF(F168="","",Formulario!B179)</f>
        <v/>
      </c>
      <c r="F168" s="11" t="str">
        <f>TRIM(Formulario!D179)</f>
        <v/>
      </c>
      <c r="G168" s="11" t="str">
        <f>TRIM(Formulario!F179)</f>
        <v/>
      </c>
      <c r="H168" s="146" t="str">
        <f>IF(N168="",TRIM(Formulario!G179),TRIM(Formulario!G179)*N168)</f>
        <v/>
      </c>
      <c r="I168" s="107" t="str">
        <f>TRIM(Formulario!I179)</f>
        <v/>
      </c>
      <c r="J168" s="11" t="str">
        <f>TRIM(Formulario!J179)</f>
        <v/>
      </c>
      <c r="K168" s="11" t="str">
        <f>TRIM(Formulario!K179)</f>
        <v/>
      </c>
      <c r="L168" s="107" t="str">
        <f>TRIM(Formulario!L179)</f>
        <v/>
      </c>
      <c r="M168" s="107" t="str">
        <f>TRIM(Formulario!M179)</f>
        <v>0</v>
      </c>
      <c r="N168" s="11" t="str">
        <f>TRIM(Formulario!H179)</f>
        <v/>
      </c>
      <c r="P168" s="17"/>
      <c r="Q168" s="104"/>
      <c r="R168" s="104"/>
      <c r="S168" s="117"/>
      <c r="T168" s="101"/>
      <c r="U168" s="101"/>
      <c r="V168" s="101"/>
      <c r="W168" s="102"/>
      <c r="X168" s="102"/>
      <c r="Y168" s="102"/>
      <c r="Z168" s="102"/>
      <c r="AA168" s="102"/>
      <c r="AB168" s="102"/>
      <c r="AC168" s="102"/>
      <c r="AD168" s="102"/>
    </row>
    <row r="169" spans="1:30">
      <c r="A169" s="8" t="str">
        <f>IF(L169="","",Formulario!B180)</f>
        <v/>
      </c>
      <c r="B169" s="119"/>
      <c r="C169" s="120"/>
      <c r="D169" s="121"/>
      <c r="E169" s="129" t="str">
        <f>IF(F169="","",Formulario!B180)</f>
        <v/>
      </c>
      <c r="F169" s="11" t="str">
        <f>TRIM(Formulario!D180)</f>
        <v/>
      </c>
      <c r="G169" s="11" t="str">
        <f>TRIM(Formulario!F180)</f>
        <v/>
      </c>
      <c r="H169" s="146" t="str">
        <f>IF(N169="",TRIM(Formulario!G180),TRIM(Formulario!G180)*N169)</f>
        <v/>
      </c>
      <c r="I169" s="107" t="str">
        <f>TRIM(Formulario!I180)</f>
        <v/>
      </c>
      <c r="J169" s="11" t="str">
        <f>TRIM(Formulario!J180)</f>
        <v/>
      </c>
      <c r="K169" s="11" t="str">
        <f>TRIM(Formulario!K180)</f>
        <v/>
      </c>
      <c r="L169" s="107" t="str">
        <f>TRIM(Formulario!L180)</f>
        <v/>
      </c>
      <c r="M169" s="107" t="str">
        <f>TRIM(Formulario!M180)</f>
        <v>0</v>
      </c>
      <c r="N169" s="11" t="str">
        <f>TRIM(Formulario!H180)</f>
        <v/>
      </c>
      <c r="P169" s="17"/>
      <c r="Q169" s="104"/>
      <c r="R169" s="104"/>
      <c r="S169" s="117"/>
      <c r="T169" s="101"/>
      <c r="U169" s="101"/>
      <c r="V169" s="101"/>
      <c r="W169" s="102"/>
      <c r="X169" s="102"/>
      <c r="Y169" s="102"/>
      <c r="Z169" s="102"/>
      <c r="AA169" s="102"/>
      <c r="AB169" s="102"/>
      <c r="AC169" s="102"/>
      <c r="AD169" s="102"/>
    </row>
    <row r="170" spans="1:30">
      <c r="A170" s="8" t="str">
        <f>IF(L170="","",Formulario!B181)</f>
        <v/>
      </c>
      <c r="B170" s="119"/>
      <c r="C170" s="120"/>
      <c r="D170" s="121"/>
      <c r="E170" s="129" t="str">
        <f>IF(F170="","",Formulario!B181)</f>
        <v/>
      </c>
      <c r="F170" s="11" t="str">
        <f>TRIM(Formulario!D181)</f>
        <v/>
      </c>
      <c r="G170" s="11" t="str">
        <f>TRIM(Formulario!F181)</f>
        <v/>
      </c>
      <c r="H170" s="146" t="str">
        <f>IF(N170="",TRIM(Formulario!G181),TRIM(Formulario!G181)*N170)</f>
        <v/>
      </c>
      <c r="I170" s="107" t="str">
        <f>TRIM(Formulario!I181)</f>
        <v/>
      </c>
      <c r="J170" s="11" t="str">
        <f>TRIM(Formulario!J181)</f>
        <v/>
      </c>
      <c r="K170" s="11" t="str">
        <f>TRIM(Formulario!K181)</f>
        <v/>
      </c>
      <c r="L170" s="107" t="str">
        <f>TRIM(Formulario!L181)</f>
        <v/>
      </c>
      <c r="M170" s="107" t="str">
        <f>TRIM(Formulario!M181)</f>
        <v>0</v>
      </c>
      <c r="N170" s="11" t="str">
        <f>TRIM(Formulario!H181)</f>
        <v/>
      </c>
      <c r="P170" s="17"/>
      <c r="Q170" s="104"/>
      <c r="R170" s="104"/>
      <c r="S170" s="117"/>
      <c r="T170" s="101"/>
      <c r="U170" s="101"/>
      <c r="V170" s="101"/>
      <c r="W170" s="102"/>
      <c r="X170" s="102"/>
      <c r="Y170" s="102"/>
      <c r="Z170" s="102"/>
      <c r="AA170" s="102"/>
      <c r="AB170" s="102"/>
      <c r="AC170" s="102"/>
      <c r="AD170" s="102"/>
    </row>
    <row r="171" spans="1:30">
      <c r="A171" s="8" t="str">
        <f>IF(L171="","",Formulario!B182)</f>
        <v/>
      </c>
      <c r="B171" s="119"/>
      <c r="C171" s="120"/>
      <c r="D171" s="121"/>
      <c r="E171" s="129" t="str">
        <f>IF(F171="","",Formulario!B182)</f>
        <v/>
      </c>
      <c r="F171" s="11" t="str">
        <f>TRIM(Formulario!D182)</f>
        <v/>
      </c>
      <c r="G171" s="11" t="str">
        <f>TRIM(Formulario!F182)</f>
        <v/>
      </c>
      <c r="H171" s="146" t="str">
        <f>IF(N171="",TRIM(Formulario!G182),TRIM(Formulario!G182)*N171)</f>
        <v/>
      </c>
      <c r="I171" s="107" t="str">
        <f>TRIM(Formulario!I182)</f>
        <v/>
      </c>
      <c r="J171" s="11" t="str">
        <f>TRIM(Formulario!J182)</f>
        <v/>
      </c>
      <c r="K171" s="11" t="str">
        <f>TRIM(Formulario!K182)</f>
        <v/>
      </c>
      <c r="L171" s="107" t="str">
        <f>TRIM(Formulario!L182)</f>
        <v/>
      </c>
      <c r="M171" s="107" t="str">
        <f>TRIM(Formulario!M182)</f>
        <v>0</v>
      </c>
      <c r="N171" s="11" t="str">
        <f>TRIM(Formulario!H182)</f>
        <v/>
      </c>
      <c r="P171" s="17"/>
      <c r="Q171" s="104"/>
      <c r="R171" s="104"/>
      <c r="S171" s="117"/>
      <c r="T171" s="101"/>
      <c r="U171" s="101"/>
      <c r="V171" s="101"/>
      <c r="W171" s="102"/>
      <c r="X171" s="102"/>
      <c r="Y171" s="102"/>
      <c r="Z171" s="102"/>
      <c r="AA171" s="102"/>
      <c r="AB171" s="102"/>
      <c r="AC171" s="102"/>
      <c r="AD171" s="102"/>
    </row>
    <row r="172" spans="1:30">
      <c r="A172" s="8" t="str">
        <f>IF(L172="","",Formulario!B183)</f>
        <v/>
      </c>
      <c r="B172" s="119"/>
      <c r="C172" s="120"/>
      <c r="D172" s="121"/>
      <c r="E172" s="129" t="str">
        <f>IF(F172="","",Formulario!B183)</f>
        <v/>
      </c>
      <c r="F172" s="11" t="str">
        <f>TRIM(Formulario!D183)</f>
        <v/>
      </c>
      <c r="G172" s="11" t="str">
        <f>TRIM(Formulario!F183)</f>
        <v/>
      </c>
      <c r="H172" s="146" t="str">
        <f>IF(N172="",TRIM(Formulario!G183),TRIM(Formulario!G183)*N172)</f>
        <v/>
      </c>
      <c r="I172" s="107" t="str">
        <f>TRIM(Formulario!I183)</f>
        <v/>
      </c>
      <c r="J172" s="11" t="str">
        <f>TRIM(Formulario!J183)</f>
        <v/>
      </c>
      <c r="K172" s="11" t="str">
        <f>TRIM(Formulario!K183)</f>
        <v/>
      </c>
      <c r="L172" s="107" t="str">
        <f>TRIM(Formulario!L183)</f>
        <v/>
      </c>
      <c r="M172" s="107" t="str">
        <f>TRIM(Formulario!M183)</f>
        <v>0</v>
      </c>
      <c r="N172" s="11" t="str">
        <f>TRIM(Formulario!H183)</f>
        <v/>
      </c>
      <c r="P172" s="17"/>
      <c r="Q172" s="104"/>
      <c r="R172" s="104"/>
      <c r="S172" s="117"/>
      <c r="T172" s="101"/>
      <c r="U172" s="101"/>
      <c r="V172" s="101"/>
      <c r="W172" s="102"/>
      <c r="X172" s="102"/>
      <c r="Y172" s="102"/>
      <c r="Z172" s="102"/>
      <c r="AA172" s="102"/>
      <c r="AB172" s="102"/>
      <c r="AC172" s="102"/>
      <c r="AD172" s="102"/>
    </row>
    <row r="173" spans="1:30">
      <c r="A173" s="8" t="str">
        <f>IF(L173="","",Formulario!B184)</f>
        <v/>
      </c>
      <c r="B173" s="119"/>
      <c r="C173" s="120"/>
      <c r="D173" s="121"/>
      <c r="E173" s="129" t="str">
        <f>IF(F173="","",Formulario!B184)</f>
        <v/>
      </c>
      <c r="F173" s="11" t="str">
        <f>TRIM(Formulario!D184)</f>
        <v/>
      </c>
      <c r="G173" s="11" t="str">
        <f>TRIM(Formulario!F184)</f>
        <v/>
      </c>
      <c r="H173" s="146" t="str">
        <f>IF(N173="",TRIM(Formulario!G184),TRIM(Formulario!G184)*N173)</f>
        <v/>
      </c>
      <c r="I173" s="107" t="str">
        <f>TRIM(Formulario!I184)</f>
        <v/>
      </c>
      <c r="J173" s="11" t="str">
        <f>TRIM(Formulario!J184)</f>
        <v/>
      </c>
      <c r="K173" s="11" t="str">
        <f>TRIM(Formulario!K184)</f>
        <v/>
      </c>
      <c r="L173" s="107" t="str">
        <f>TRIM(Formulario!L184)</f>
        <v/>
      </c>
      <c r="M173" s="107" t="str">
        <f>TRIM(Formulario!M184)</f>
        <v>0</v>
      </c>
      <c r="N173" s="11" t="str">
        <f>TRIM(Formulario!H184)</f>
        <v/>
      </c>
      <c r="P173" s="17"/>
      <c r="Q173" s="104"/>
      <c r="R173" s="104"/>
      <c r="S173" s="117"/>
      <c r="T173" s="101"/>
      <c r="U173" s="101"/>
      <c r="V173" s="101"/>
      <c r="W173" s="102"/>
      <c r="X173" s="102"/>
      <c r="Y173" s="102"/>
      <c r="Z173" s="102"/>
      <c r="AA173" s="102"/>
      <c r="AB173" s="102"/>
      <c r="AC173" s="102"/>
      <c r="AD173" s="102"/>
    </row>
    <row r="174" spans="1:30">
      <c r="A174" s="8" t="str">
        <f>IF(L174="","",Formulario!B185)</f>
        <v/>
      </c>
      <c r="B174" s="119"/>
      <c r="C174" s="120"/>
      <c r="D174" s="121"/>
      <c r="E174" s="129" t="str">
        <f>IF(F174="","",Formulario!B185)</f>
        <v/>
      </c>
      <c r="F174" s="11" t="str">
        <f>TRIM(Formulario!D185)</f>
        <v/>
      </c>
      <c r="G174" s="11" t="str">
        <f>TRIM(Formulario!F185)</f>
        <v/>
      </c>
      <c r="H174" s="146" t="str">
        <f>IF(N174="",TRIM(Formulario!G185),TRIM(Formulario!G185)*N174)</f>
        <v/>
      </c>
      <c r="I174" s="107" t="str">
        <f>TRIM(Formulario!I185)</f>
        <v/>
      </c>
      <c r="J174" s="11" t="str">
        <f>TRIM(Formulario!J185)</f>
        <v/>
      </c>
      <c r="K174" s="11" t="str">
        <f>TRIM(Formulario!K185)</f>
        <v/>
      </c>
      <c r="L174" s="107" t="str">
        <f>TRIM(Formulario!L185)</f>
        <v/>
      </c>
      <c r="M174" s="107" t="str">
        <f>TRIM(Formulario!M185)</f>
        <v>0</v>
      </c>
      <c r="N174" s="11" t="str">
        <f>TRIM(Formulario!H185)</f>
        <v/>
      </c>
      <c r="P174" s="17"/>
      <c r="Q174" s="104"/>
      <c r="R174" s="104"/>
      <c r="S174" s="117"/>
      <c r="T174" s="101"/>
      <c r="U174" s="101"/>
      <c r="V174" s="101"/>
      <c r="W174" s="102"/>
      <c r="X174" s="102"/>
      <c r="Y174" s="102"/>
      <c r="Z174" s="102"/>
      <c r="AA174" s="102"/>
      <c r="AB174" s="102"/>
      <c r="AC174" s="102"/>
      <c r="AD174" s="102"/>
    </row>
    <row r="175" spans="1:30">
      <c r="A175" s="8" t="str">
        <f>IF(L175="","",Formulario!B186)</f>
        <v/>
      </c>
      <c r="B175" s="119"/>
      <c r="C175" s="120"/>
      <c r="D175" s="121"/>
      <c r="E175" s="129" t="str">
        <f>IF(F175="","",Formulario!B186)</f>
        <v/>
      </c>
      <c r="F175" s="11" t="str">
        <f>TRIM(Formulario!D186)</f>
        <v/>
      </c>
      <c r="G175" s="11" t="str">
        <f>TRIM(Formulario!F186)</f>
        <v/>
      </c>
      <c r="H175" s="146" t="str">
        <f>IF(N175="",TRIM(Formulario!G186),TRIM(Formulario!G186)*N175)</f>
        <v/>
      </c>
      <c r="I175" s="107" t="str">
        <f>TRIM(Formulario!I186)</f>
        <v/>
      </c>
      <c r="J175" s="11" t="str">
        <f>TRIM(Formulario!J186)</f>
        <v/>
      </c>
      <c r="K175" s="11" t="str">
        <f>TRIM(Formulario!K186)</f>
        <v/>
      </c>
      <c r="L175" s="107" t="str">
        <f>TRIM(Formulario!L186)</f>
        <v/>
      </c>
      <c r="M175" s="107" t="str">
        <f>TRIM(Formulario!M186)</f>
        <v>0</v>
      </c>
      <c r="N175" s="11" t="str">
        <f>TRIM(Formulario!H186)</f>
        <v/>
      </c>
      <c r="P175" s="17"/>
      <c r="Q175" s="104"/>
      <c r="R175" s="104"/>
      <c r="S175" s="117"/>
      <c r="T175" s="101"/>
      <c r="U175" s="101"/>
      <c r="V175" s="101"/>
      <c r="W175" s="102"/>
      <c r="X175" s="102"/>
      <c r="Y175" s="102"/>
      <c r="Z175" s="102"/>
      <c r="AA175" s="102"/>
      <c r="AB175" s="102"/>
      <c r="AC175" s="102"/>
      <c r="AD175" s="102"/>
    </row>
    <row r="176" spans="1:30">
      <c r="A176" s="8" t="str">
        <f>IF(L176="","",Formulario!B187)</f>
        <v/>
      </c>
      <c r="B176" s="119"/>
      <c r="C176" s="120"/>
      <c r="D176" s="121"/>
      <c r="E176" s="129" t="str">
        <f>IF(F176="","",Formulario!B187)</f>
        <v/>
      </c>
      <c r="F176" s="11" t="str">
        <f>TRIM(Formulario!D187)</f>
        <v/>
      </c>
      <c r="G176" s="11" t="str">
        <f>TRIM(Formulario!F187)</f>
        <v/>
      </c>
      <c r="H176" s="146" t="str">
        <f>IF(N176="",TRIM(Formulario!G187),TRIM(Formulario!G187)*N176)</f>
        <v/>
      </c>
      <c r="I176" s="107" t="str">
        <f>TRIM(Formulario!I187)</f>
        <v/>
      </c>
      <c r="J176" s="11" t="str">
        <f>TRIM(Formulario!J187)</f>
        <v/>
      </c>
      <c r="K176" s="11" t="str">
        <f>TRIM(Formulario!K187)</f>
        <v/>
      </c>
      <c r="L176" s="107" t="str">
        <f>TRIM(Formulario!L187)</f>
        <v/>
      </c>
      <c r="M176" s="107" t="str">
        <f>TRIM(Formulario!M187)</f>
        <v>0</v>
      </c>
      <c r="N176" s="11" t="str">
        <f>TRIM(Formulario!H187)</f>
        <v/>
      </c>
      <c r="P176" s="17"/>
      <c r="Q176" s="104"/>
      <c r="R176" s="104"/>
      <c r="S176" s="117"/>
      <c r="T176" s="101"/>
      <c r="U176" s="101"/>
      <c r="V176" s="101"/>
      <c r="W176" s="102"/>
      <c r="X176" s="102"/>
      <c r="Y176" s="102"/>
      <c r="Z176" s="102"/>
      <c r="AA176" s="102"/>
      <c r="AB176" s="102"/>
      <c r="AC176" s="102"/>
      <c r="AD176" s="102"/>
    </row>
    <row r="177" spans="1:30">
      <c r="A177" s="8" t="str">
        <f>IF(L177="","",Formulario!B188)</f>
        <v/>
      </c>
      <c r="B177" s="119"/>
      <c r="C177" s="120"/>
      <c r="D177" s="121"/>
      <c r="E177" s="129" t="str">
        <f>IF(F177="","",Formulario!B188)</f>
        <v/>
      </c>
      <c r="F177" s="11" t="str">
        <f>TRIM(Formulario!D188)</f>
        <v/>
      </c>
      <c r="G177" s="11" t="str">
        <f>TRIM(Formulario!F188)</f>
        <v/>
      </c>
      <c r="H177" s="146" t="str">
        <f>IF(N177="",TRIM(Formulario!G188),TRIM(Formulario!G188)*N177)</f>
        <v/>
      </c>
      <c r="I177" s="107" t="str">
        <f>TRIM(Formulario!I188)</f>
        <v/>
      </c>
      <c r="J177" s="11" t="str">
        <f>TRIM(Formulario!J188)</f>
        <v/>
      </c>
      <c r="K177" s="11" t="str">
        <f>TRIM(Formulario!K188)</f>
        <v/>
      </c>
      <c r="L177" s="107" t="str">
        <f>TRIM(Formulario!L188)</f>
        <v/>
      </c>
      <c r="M177" s="107" t="str">
        <f>TRIM(Formulario!M188)</f>
        <v>0</v>
      </c>
      <c r="N177" s="11" t="str">
        <f>TRIM(Formulario!H188)</f>
        <v/>
      </c>
      <c r="P177" s="17"/>
      <c r="Q177" s="104"/>
      <c r="R177" s="104"/>
      <c r="S177" s="117"/>
      <c r="T177" s="101"/>
      <c r="U177" s="101"/>
      <c r="V177" s="101"/>
      <c r="W177" s="102"/>
      <c r="X177" s="102"/>
      <c r="Y177" s="102"/>
      <c r="Z177" s="102"/>
      <c r="AA177" s="102"/>
      <c r="AB177" s="102"/>
      <c r="AC177" s="102"/>
      <c r="AD177" s="102"/>
    </row>
    <row r="178" spans="1:30">
      <c r="A178" s="8" t="str">
        <f>IF(L178="","",Formulario!B189)</f>
        <v/>
      </c>
      <c r="B178" s="119"/>
      <c r="C178" s="120"/>
      <c r="D178" s="121"/>
      <c r="E178" s="129" t="str">
        <f>IF(F178="","",Formulario!B189)</f>
        <v/>
      </c>
      <c r="F178" s="11" t="str">
        <f>TRIM(Formulario!D189)</f>
        <v/>
      </c>
      <c r="G178" s="11" t="str">
        <f>TRIM(Formulario!F189)</f>
        <v/>
      </c>
      <c r="H178" s="146" t="str">
        <f>IF(N178="",TRIM(Formulario!G189),TRIM(Formulario!G189)*N178)</f>
        <v/>
      </c>
      <c r="I178" s="107" t="str">
        <f>TRIM(Formulario!I189)</f>
        <v/>
      </c>
      <c r="J178" s="11" t="str">
        <f>TRIM(Formulario!J189)</f>
        <v/>
      </c>
      <c r="K178" s="11" t="str">
        <f>TRIM(Formulario!K189)</f>
        <v/>
      </c>
      <c r="L178" s="107" t="str">
        <f>TRIM(Formulario!L189)</f>
        <v/>
      </c>
      <c r="M178" s="107" t="str">
        <f>TRIM(Formulario!M189)</f>
        <v>0</v>
      </c>
      <c r="N178" s="11" t="str">
        <f>TRIM(Formulario!H189)</f>
        <v/>
      </c>
      <c r="P178" s="17"/>
      <c r="Q178" s="104"/>
      <c r="R178" s="104"/>
      <c r="S178" s="117"/>
      <c r="T178" s="101"/>
      <c r="U178" s="101"/>
      <c r="V178" s="101"/>
      <c r="W178" s="102"/>
      <c r="X178" s="102"/>
      <c r="Y178" s="102"/>
      <c r="Z178" s="102"/>
      <c r="AA178" s="102"/>
      <c r="AB178" s="102"/>
      <c r="AC178" s="102"/>
      <c r="AD178" s="102"/>
    </row>
    <row r="179" spans="1:30">
      <c r="A179" s="8" t="str">
        <f>IF(L179="","",Formulario!B190)</f>
        <v/>
      </c>
      <c r="B179" s="119"/>
      <c r="C179" s="120"/>
      <c r="D179" s="121"/>
      <c r="E179" s="129" t="str">
        <f>IF(F179="","",Formulario!B190)</f>
        <v/>
      </c>
      <c r="F179" s="11" t="str">
        <f>TRIM(Formulario!D190)</f>
        <v/>
      </c>
      <c r="G179" s="11" t="str">
        <f>TRIM(Formulario!F190)</f>
        <v/>
      </c>
      <c r="H179" s="146" t="str">
        <f>IF(N179="",TRIM(Formulario!G190),TRIM(Formulario!G190)*N179)</f>
        <v/>
      </c>
      <c r="I179" s="107" t="str">
        <f>TRIM(Formulario!I190)</f>
        <v/>
      </c>
      <c r="J179" s="11" t="str">
        <f>TRIM(Formulario!J190)</f>
        <v/>
      </c>
      <c r="K179" s="11" t="str">
        <f>TRIM(Formulario!K190)</f>
        <v/>
      </c>
      <c r="L179" s="107" t="str">
        <f>TRIM(Formulario!L190)</f>
        <v/>
      </c>
      <c r="M179" s="107" t="str">
        <f>TRIM(Formulario!M190)</f>
        <v>0</v>
      </c>
      <c r="N179" s="11" t="str">
        <f>TRIM(Formulario!H190)</f>
        <v/>
      </c>
      <c r="P179" s="17"/>
      <c r="Q179" s="104"/>
      <c r="R179" s="104"/>
      <c r="S179" s="117"/>
      <c r="T179" s="101"/>
      <c r="U179" s="101"/>
      <c r="V179" s="101"/>
      <c r="W179" s="102"/>
      <c r="X179" s="102"/>
      <c r="Y179" s="102"/>
      <c r="Z179" s="102"/>
      <c r="AA179" s="102"/>
      <c r="AB179" s="102"/>
      <c r="AC179" s="102"/>
      <c r="AD179" s="102"/>
    </row>
    <row r="180" spans="1:30">
      <c r="A180" s="8" t="str">
        <f>IF(L180="","",Formulario!B191)</f>
        <v/>
      </c>
      <c r="B180" s="119"/>
      <c r="C180" s="120"/>
      <c r="D180" s="121"/>
      <c r="E180" s="129" t="str">
        <f>IF(F180="","",Formulario!B191)</f>
        <v/>
      </c>
      <c r="F180" s="11" t="str">
        <f>TRIM(Formulario!D191)</f>
        <v/>
      </c>
      <c r="G180" s="11" t="str">
        <f>TRIM(Formulario!F191)</f>
        <v/>
      </c>
      <c r="H180" s="146" t="str">
        <f>IF(N180="",TRIM(Formulario!G191),TRIM(Formulario!G191)*N180)</f>
        <v/>
      </c>
      <c r="I180" s="107" t="str">
        <f>TRIM(Formulario!I191)</f>
        <v/>
      </c>
      <c r="J180" s="11" t="str">
        <f>TRIM(Formulario!J191)</f>
        <v/>
      </c>
      <c r="K180" s="11" t="str">
        <f>TRIM(Formulario!K191)</f>
        <v/>
      </c>
      <c r="L180" s="107" t="str">
        <f>TRIM(Formulario!L191)</f>
        <v/>
      </c>
      <c r="M180" s="107" t="str">
        <f>TRIM(Formulario!M191)</f>
        <v>0</v>
      </c>
      <c r="N180" s="11" t="str">
        <f>TRIM(Formulario!H191)</f>
        <v/>
      </c>
      <c r="P180" s="17"/>
      <c r="Q180" s="104"/>
      <c r="R180" s="104"/>
      <c r="S180" s="117"/>
      <c r="T180" s="101"/>
      <c r="U180" s="101"/>
      <c r="V180" s="101"/>
      <c r="W180" s="102"/>
      <c r="X180" s="102"/>
      <c r="Y180" s="102"/>
      <c r="Z180" s="102"/>
      <c r="AA180" s="102"/>
      <c r="AB180" s="102"/>
      <c r="AC180" s="102"/>
      <c r="AD180" s="102"/>
    </row>
    <row r="181" spans="1:30">
      <c r="A181" s="8" t="str">
        <f>IF(L181="","",Formulario!B192)</f>
        <v/>
      </c>
      <c r="B181" s="119"/>
      <c r="C181" s="120"/>
      <c r="D181" s="121"/>
      <c r="E181" s="129" t="str">
        <f>IF(F181="","",Formulario!B192)</f>
        <v/>
      </c>
      <c r="F181" s="11" t="str">
        <f>TRIM(Formulario!D192)</f>
        <v/>
      </c>
      <c r="G181" s="11" t="str">
        <f>TRIM(Formulario!F192)</f>
        <v/>
      </c>
      <c r="H181" s="146" t="str">
        <f>IF(N181="",TRIM(Formulario!G192),TRIM(Formulario!G192)*N181)</f>
        <v/>
      </c>
      <c r="I181" s="107" t="str">
        <f>TRIM(Formulario!I192)</f>
        <v/>
      </c>
      <c r="J181" s="11" t="str">
        <f>TRIM(Formulario!J192)</f>
        <v/>
      </c>
      <c r="K181" s="11" t="str">
        <f>TRIM(Formulario!K192)</f>
        <v/>
      </c>
      <c r="L181" s="107" t="str">
        <f>TRIM(Formulario!L192)</f>
        <v/>
      </c>
      <c r="M181" s="107" t="str">
        <f>TRIM(Formulario!M192)</f>
        <v>0</v>
      </c>
      <c r="N181" s="11" t="str">
        <f>TRIM(Formulario!H192)</f>
        <v/>
      </c>
      <c r="P181" s="17"/>
      <c r="Q181" s="104"/>
      <c r="R181" s="104"/>
      <c r="S181" s="117"/>
      <c r="T181" s="101"/>
      <c r="U181" s="101"/>
      <c r="V181" s="101"/>
      <c r="W181" s="102"/>
      <c r="X181" s="102"/>
      <c r="Y181" s="102"/>
      <c r="Z181" s="102"/>
      <c r="AA181" s="102"/>
      <c r="AB181" s="102"/>
      <c r="AC181" s="102"/>
      <c r="AD181" s="102"/>
    </row>
    <row r="182" spans="1:30">
      <c r="A182" s="8" t="str">
        <f>IF(L182="","",Formulario!B193)</f>
        <v/>
      </c>
      <c r="B182" s="119"/>
      <c r="C182" s="120"/>
      <c r="D182" s="121"/>
      <c r="E182" s="129" t="str">
        <f>IF(F182="","",Formulario!B193)</f>
        <v/>
      </c>
      <c r="F182" s="11" t="str">
        <f>TRIM(Formulario!D193)</f>
        <v/>
      </c>
      <c r="G182" s="11" t="str">
        <f>TRIM(Formulario!F193)</f>
        <v/>
      </c>
      <c r="H182" s="146" t="str">
        <f>IF(N182="",TRIM(Formulario!G193),TRIM(Formulario!G193)*N182)</f>
        <v/>
      </c>
      <c r="I182" s="107" t="str">
        <f>TRIM(Formulario!I193)</f>
        <v/>
      </c>
      <c r="J182" s="11" t="str">
        <f>TRIM(Formulario!J193)</f>
        <v/>
      </c>
      <c r="K182" s="11" t="str">
        <f>TRIM(Formulario!K193)</f>
        <v/>
      </c>
      <c r="L182" s="107" t="str">
        <f>TRIM(Formulario!L193)</f>
        <v/>
      </c>
      <c r="M182" s="107" t="str">
        <f>TRIM(Formulario!M193)</f>
        <v>0</v>
      </c>
      <c r="N182" s="11" t="str">
        <f>TRIM(Formulario!H193)</f>
        <v/>
      </c>
      <c r="P182" s="17"/>
      <c r="Q182" s="104"/>
      <c r="R182" s="104"/>
      <c r="S182" s="117"/>
      <c r="T182" s="101"/>
      <c r="U182" s="101"/>
      <c r="V182" s="101"/>
      <c r="W182" s="102"/>
      <c r="X182" s="102"/>
      <c r="Y182" s="102"/>
      <c r="Z182" s="102"/>
      <c r="AA182" s="102"/>
      <c r="AB182" s="102"/>
      <c r="AC182" s="102"/>
      <c r="AD182" s="102"/>
    </row>
    <row r="183" spans="1:30">
      <c r="A183" s="8" t="str">
        <f>IF(L183="","",Formulario!B194)</f>
        <v/>
      </c>
      <c r="B183" s="119"/>
      <c r="C183" s="120"/>
      <c r="D183" s="121"/>
      <c r="E183" s="129" t="str">
        <f>IF(F183="","",Formulario!B194)</f>
        <v/>
      </c>
      <c r="F183" s="11" t="str">
        <f>TRIM(Formulario!D194)</f>
        <v/>
      </c>
      <c r="G183" s="11" t="str">
        <f>TRIM(Formulario!F194)</f>
        <v/>
      </c>
      <c r="H183" s="146" t="str">
        <f>IF(N183="",TRIM(Formulario!G194),TRIM(Formulario!G194)*N183)</f>
        <v/>
      </c>
      <c r="I183" s="107" t="str">
        <f>TRIM(Formulario!I194)</f>
        <v/>
      </c>
      <c r="J183" s="11" t="str">
        <f>TRIM(Formulario!J194)</f>
        <v/>
      </c>
      <c r="K183" s="11" t="str">
        <f>TRIM(Formulario!K194)</f>
        <v/>
      </c>
      <c r="L183" s="107" t="str">
        <f>TRIM(Formulario!L194)</f>
        <v/>
      </c>
      <c r="M183" s="107" t="str">
        <f>TRIM(Formulario!M194)</f>
        <v>0</v>
      </c>
      <c r="N183" s="11" t="str">
        <f>TRIM(Formulario!H194)</f>
        <v/>
      </c>
      <c r="P183" s="17"/>
      <c r="Q183" s="104"/>
      <c r="R183" s="104"/>
      <c r="S183" s="117"/>
      <c r="T183" s="101"/>
      <c r="U183" s="101"/>
      <c r="V183" s="101"/>
      <c r="W183" s="102"/>
      <c r="X183" s="102"/>
      <c r="Y183" s="102"/>
      <c r="Z183" s="102"/>
      <c r="AA183" s="102"/>
      <c r="AB183" s="102"/>
      <c r="AC183" s="102"/>
      <c r="AD183" s="102"/>
    </row>
    <row r="184" spans="1:30">
      <c r="A184" s="8" t="str">
        <f>IF(L184="","",Formulario!B195)</f>
        <v/>
      </c>
      <c r="B184" s="119"/>
      <c r="C184" s="120"/>
      <c r="D184" s="121"/>
      <c r="E184" s="129" t="str">
        <f>IF(F184="","",Formulario!B195)</f>
        <v/>
      </c>
      <c r="F184" s="11" t="str">
        <f>TRIM(Formulario!D195)</f>
        <v/>
      </c>
      <c r="G184" s="11" t="str">
        <f>TRIM(Formulario!F195)</f>
        <v/>
      </c>
      <c r="H184" s="146" t="str">
        <f>IF(N184="",TRIM(Formulario!G195),TRIM(Formulario!G195)*N184)</f>
        <v/>
      </c>
      <c r="I184" s="107" t="str">
        <f>TRIM(Formulario!I195)</f>
        <v/>
      </c>
      <c r="J184" s="11" t="str">
        <f>TRIM(Formulario!J195)</f>
        <v/>
      </c>
      <c r="K184" s="11" t="str">
        <f>TRIM(Formulario!K195)</f>
        <v/>
      </c>
      <c r="L184" s="107" t="str">
        <f>TRIM(Formulario!L195)</f>
        <v/>
      </c>
      <c r="M184" s="107" t="str">
        <f>TRIM(Formulario!M195)</f>
        <v>0</v>
      </c>
      <c r="N184" s="11" t="str">
        <f>TRIM(Formulario!H195)</f>
        <v/>
      </c>
      <c r="P184" s="17"/>
      <c r="Q184" s="104"/>
      <c r="R184" s="104"/>
      <c r="S184" s="117"/>
      <c r="T184" s="101"/>
      <c r="U184" s="101"/>
      <c r="V184" s="101"/>
      <c r="W184" s="102"/>
      <c r="X184" s="102"/>
      <c r="Y184" s="102"/>
      <c r="Z184" s="102"/>
      <c r="AA184" s="102"/>
      <c r="AB184" s="102"/>
      <c r="AC184" s="102"/>
      <c r="AD184" s="102"/>
    </row>
    <row r="185" spans="1:30">
      <c r="A185" s="8" t="str">
        <f>IF(L185="","",Formulario!B196)</f>
        <v/>
      </c>
      <c r="B185" s="119"/>
      <c r="C185" s="120"/>
      <c r="D185" s="121"/>
      <c r="E185" s="129" t="str">
        <f>IF(F185="","",Formulario!B196)</f>
        <v/>
      </c>
      <c r="F185" s="11" t="str">
        <f>TRIM(Formulario!D196)</f>
        <v/>
      </c>
      <c r="G185" s="11" t="str">
        <f>TRIM(Formulario!F196)</f>
        <v/>
      </c>
      <c r="H185" s="146" t="str">
        <f>IF(N185="",TRIM(Formulario!G196),TRIM(Formulario!G196)*N185)</f>
        <v/>
      </c>
      <c r="I185" s="107" t="str">
        <f>TRIM(Formulario!I196)</f>
        <v/>
      </c>
      <c r="J185" s="11" t="str">
        <f>TRIM(Formulario!J196)</f>
        <v/>
      </c>
      <c r="K185" s="11" t="str">
        <f>TRIM(Formulario!K196)</f>
        <v/>
      </c>
      <c r="L185" s="107" t="str">
        <f>TRIM(Formulario!L196)</f>
        <v/>
      </c>
      <c r="M185" s="107" t="str">
        <f>TRIM(Formulario!M196)</f>
        <v>0</v>
      </c>
      <c r="N185" s="11" t="str">
        <f>TRIM(Formulario!H196)</f>
        <v/>
      </c>
      <c r="P185" s="17"/>
      <c r="Q185" s="104"/>
      <c r="R185" s="104"/>
      <c r="S185" s="117"/>
      <c r="T185" s="101"/>
      <c r="U185" s="101"/>
      <c r="V185" s="101"/>
      <c r="W185" s="102"/>
      <c r="X185" s="102"/>
      <c r="Y185" s="102"/>
      <c r="Z185" s="102"/>
      <c r="AA185" s="102"/>
      <c r="AB185" s="102"/>
      <c r="AC185" s="102"/>
      <c r="AD185" s="102"/>
    </row>
    <row r="186" spans="1:30">
      <c r="A186" s="8" t="str">
        <f>IF(L186="","",Formulario!B197)</f>
        <v/>
      </c>
      <c r="B186" s="119"/>
      <c r="C186" s="120"/>
      <c r="D186" s="121"/>
      <c r="E186" s="129" t="str">
        <f>IF(F186="","",Formulario!B197)</f>
        <v/>
      </c>
      <c r="F186" s="11" t="str">
        <f>TRIM(Formulario!D197)</f>
        <v/>
      </c>
      <c r="G186" s="11" t="str">
        <f>TRIM(Formulario!F197)</f>
        <v/>
      </c>
      <c r="H186" s="146" t="str">
        <f>IF(N186="",TRIM(Formulario!G197),TRIM(Formulario!G197)*N186)</f>
        <v/>
      </c>
      <c r="I186" s="107" t="str">
        <f>TRIM(Formulario!I197)</f>
        <v/>
      </c>
      <c r="J186" s="11" t="str">
        <f>TRIM(Formulario!J197)</f>
        <v/>
      </c>
      <c r="K186" s="11" t="str">
        <f>TRIM(Formulario!K197)</f>
        <v/>
      </c>
      <c r="L186" s="107" t="str">
        <f>TRIM(Formulario!L197)</f>
        <v/>
      </c>
      <c r="M186" s="107" t="str">
        <f>TRIM(Formulario!M197)</f>
        <v>0</v>
      </c>
      <c r="N186" s="11" t="str">
        <f>TRIM(Formulario!H197)</f>
        <v/>
      </c>
      <c r="P186" s="17"/>
      <c r="Q186" s="104"/>
      <c r="R186" s="104"/>
      <c r="S186" s="117"/>
      <c r="T186" s="101"/>
      <c r="U186" s="101"/>
      <c r="V186" s="101"/>
      <c r="W186" s="102"/>
      <c r="X186" s="102"/>
      <c r="Y186" s="102"/>
      <c r="Z186" s="102"/>
      <c r="AA186" s="102"/>
      <c r="AB186" s="102"/>
      <c r="AC186" s="102"/>
      <c r="AD186" s="102"/>
    </row>
    <row r="187" spans="1:30">
      <c r="A187" s="8" t="str">
        <f>IF(L187="","",Formulario!B198)</f>
        <v/>
      </c>
      <c r="B187" s="119"/>
      <c r="C187" s="120"/>
      <c r="D187" s="121"/>
      <c r="E187" s="129" t="str">
        <f>IF(F187="","",Formulario!B198)</f>
        <v/>
      </c>
      <c r="F187" s="11" t="str">
        <f>TRIM(Formulario!D198)</f>
        <v/>
      </c>
      <c r="G187" s="11" t="str">
        <f>TRIM(Formulario!F198)</f>
        <v/>
      </c>
      <c r="H187" s="146" t="str">
        <f>IF(N187="",TRIM(Formulario!G198),TRIM(Formulario!G198)*N187)</f>
        <v/>
      </c>
      <c r="I187" s="107" t="str">
        <f>TRIM(Formulario!I198)</f>
        <v/>
      </c>
      <c r="J187" s="11" t="str">
        <f>TRIM(Formulario!J198)</f>
        <v/>
      </c>
      <c r="K187" s="11" t="str">
        <f>TRIM(Formulario!K198)</f>
        <v/>
      </c>
      <c r="L187" s="107" t="str">
        <f>TRIM(Formulario!L198)</f>
        <v/>
      </c>
      <c r="M187" s="107" t="str">
        <f>TRIM(Formulario!M198)</f>
        <v>0</v>
      </c>
      <c r="N187" s="11" t="str">
        <f>TRIM(Formulario!H198)</f>
        <v/>
      </c>
      <c r="P187" s="17"/>
      <c r="Q187" s="104"/>
      <c r="R187" s="104"/>
      <c r="S187" s="117"/>
      <c r="T187" s="101"/>
      <c r="U187" s="101"/>
      <c r="V187" s="101"/>
      <c r="W187" s="102"/>
      <c r="X187" s="102"/>
      <c r="Y187" s="102"/>
      <c r="Z187" s="102"/>
      <c r="AA187" s="102"/>
      <c r="AB187" s="102"/>
      <c r="AC187" s="102"/>
      <c r="AD187" s="102"/>
    </row>
    <row r="188" spans="1:30">
      <c r="A188" s="8" t="str">
        <f>IF(L188="","",Formulario!B199)</f>
        <v/>
      </c>
      <c r="B188" s="119"/>
      <c r="C188" s="120"/>
      <c r="D188" s="121"/>
      <c r="E188" s="129" t="str">
        <f>IF(F188="","",Formulario!B199)</f>
        <v/>
      </c>
      <c r="F188" s="11" t="str">
        <f>TRIM(Formulario!D199)</f>
        <v/>
      </c>
      <c r="G188" s="11" t="str">
        <f>TRIM(Formulario!F199)</f>
        <v/>
      </c>
      <c r="H188" s="146" t="str">
        <f>IF(N188="",TRIM(Formulario!G199),TRIM(Formulario!G199)*N188)</f>
        <v/>
      </c>
      <c r="I188" s="107" t="str">
        <f>TRIM(Formulario!I199)</f>
        <v/>
      </c>
      <c r="J188" s="11" t="str">
        <f>TRIM(Formulario!J199)</f>
        <v/>
      </c>
      <c r="K188" s="11" t="str">
        <f>TRIM(Formulario!K199)</f>
        <v/>
      </c>
      <c r="L188" s="107" t="str">
        <f>TRIM(Formulario!L199)</f>
        <v/>
      </c>
      <c r="M188" s="107" t="str">
        <f>TRIM(Formulario!M199)</f>
        <v>0</v>
      </c>
      <c r="N188" s="11" t="str">
        <f>TRIM(Formulario!H199)</f>
        <v/>
      </c>
      <c r="P188" s="17"/>
      <c r="Q188" s="104"/>
      <c r="R188" s="104"/>
      <c r="S188" s="117"/>
      <c r="T188" s="101"/>
      <c r="U188" s="101"/>
      <c r="V188" s="101"/>
      <c r="W188" s="102"/>
      <c r="X188" s="102"/>
      <c r="Y188" s="102"/>
      <c r="Z188" s="102"/>
      <c r="AA188" s="102"/>
      <c r="AB188" s="102"/>
      <c r="AC188" s="102"/>
      <c r="AD188" s="102"/>
    </row>
    <row r="189" spans="1:30">
      <c r="A189" s="8" t="str">
        <f>IF(L189="","",Formulario!B200)</f>
        <v/>
      </c>
      <c r="B189" s="119"/>
      <c r="C189" s="120"/>
      <c r="D189" s="121"/>
      <c r="E189" s="129" t="str">
        <f>IF(F189="","",Formulario!B200)</f>
        <v/>
      </c>
      <c r="F189" s="11" t="str">
        <f>TRIM(Formulario!D200)</f>
        <v/>
      </c>
      <c r="G189" s="11" t="str">
        <f>TRIM(Formulario!F200)</f>
        <v/>
      </c>
      <c r="H189" s="146" t="str">
        <f>IF(N189="",TRIM(Formulario!G200),TRIM(Formulario!G200)*N189)</f>
        <v/>
      </c>
      <c r="I189" s="107" t="str">
        <f>TRIM(Formulario!I200)</f>
        <v/>
      </c>
      <c r="J189" s="11" t="str">
        <f>TRIM(Formulario!J200)</f>
        <v/>
      </c>
      <c r="K189" s="11" t="str">
        <f>TRIM(Formulario!K200)</f>
        <v/>
      </c>
      <c r="L189" s="107" t="str">
        <f>TRIM(Formulario!L200)</f>
        <v/>
      </c>
      <c r="M189" s="107" t="str">
        <f>TRIM(Formulario!M200)</f>
        <v>0</v>
      </c>
      <c r="N189" s="11" t="str">
        <f>TRIM(Formulario!H200)</f>
        <v/>
      </c>
      <c r="P189" s="17"/>
      <c r="Q189" s="104"/>
      <c r="R189" s="104"/>
      <c r="S189" s="117"/>
      <c r="T189" s="101"/>
      <c r="U189" s="101"/>
      <c r="V189" s="101"/>
      <c r="W189" s="102"/>
      <c r="X189" s="102"/>
      <c r="Y189" s="102"/>
      <c r="Z189" s="102"/>
      <c r="AA189" s="102"/>
      <c r="AB189" s="102"/>
      <c r="AC189" s="102"/>
      <c r="AD189" s="102"/>
    </row>
    <row r="190" spans="1:30">
      <c r="A190" s="8" t="str">
        <f>IF(L190="","",Formulario!B201)</f>
        <v/>
      </c>
      <c r="B190" s="119"/>
      <c r="C190" s="120"/>
      <c r="D190" s="121"/>
      <c r="E190" s="129" t="str">
        <f>IF(F190="","",Formulario!B201)</f>
        <v/>
      </c>
      <c r="F190" s="11" t="str">
        <f>TRIM(Formulario!D201)</f>
        <v/>
      </c>
      <c r="G190" s="11" t="str">
        <f>TRIM(Formulario!F201)</f>
        <v/>
      </c>
      <c r="H190" s="146" t="str">
        <f>IF(N190="",TRIM(Formulario!G201),TRIM(Formulario!G201)*N190)</f>
        <v/>
      </c>
      <c r="I190" s="107" t="str">
        <f>TRIM(Formulario!I201)</f>
        <v/>
      </c>
      <c r="J190" s="11" t="str">
        <f>TRIM(Formulario!J201)</f>
        <v/>
      </c>
      <c r="K190" s="11" t="str">
        <f>TRIM(Formulario!K201)</f>
        <v/>
      </c>
      <c r="L190" s="107" t="str">
        <f>TRIM(Formulario!L201)</f>
        <v/>
      </c>
      <c r="M190" s="107" t="str">
        <f>TRIM(Formulario!M201)</f>
        <v>0</v>
      </c>
      <c r="N190" s="11" t="str">
        <f>TRIM(Formulario!H201)</f>
        <v/>
      </c>
      <c r="P190" s="17"/>
      <c r="Q190" s="104"/>
      <c r="R190" s="104"/>
      <c r="S190" s="117"/>
      <c r="T190" s="101"/>
      <c r="U190" s="101"/>
      <c r="V190" s="101"/>
      <c r="W190" s="102"/>
      <c r="X190" s="102"/>
      <c r="Y190" s="102"/>
      <c r="Z190" s="102"/>
      <c r="AA190" s="102"/>
      <c r="AB190" s="102"/>
      <c r="AC190" s="102"/>
      <c r="AD190" s="102"/>
    </row>
    <row r="191" spans="1:30">
      <c r="A191" s="8" t="str">
        <f>IF(L191="","",Formulario!B202)</f>
        <v/>
      </c>
      <c r="B191" s="119"/>
      <c r="C191" s="120"/>
      <c r="D191" s="121"/>
      <c r="E191" s="129" t="str">
        <f>IF(F191="","",Formulario!B202)</f>
        <v/>
      </c>
      <c r="F191" s="11" t="str">
        <f>TRIM(Formulario!D202)</f>
        <v/>
      </c>
      <c r="G191" s="11" t="str">
        <f>TRIM(Formulario!F202)</f>
        <v/>
      </c>
      <c r="H191" s="146" t="str">
        <f>IF(N191="",TRIM(Formulario!G202),TRIM(Formulario!G202)*N191)</f>
        <v/>
      </c>
      <c r="I191" s="107" t="str">
        <f>TRIM(Formulario!I202)</f>
        <v/>
      </c>
      <c r="J191" s="11" t="str">
        <f>TRIM(Formulario!J202)</f>
        <v/>
      </c>
      <c r="K191" s="11" t="str">
        <f>TRIM(Formulario!K202)</f>
        <v/>
      </c>
      <c r="L191" s="107" t="str">
        <f>TRIM(Formulario!L202)</f>
        <v/>
      </c>
      <c r="M191" s="107" t="str">
        <f>TRIM(Formulario!M202)</f>
        <v>0</v>
      </c>
      <c r="N191" s="11" t="str">
        <f>TRIM(Formulario!H202)</f>
        <v/>
      </c>
      <c r="P191" s="17"/>
      <c r="Q191" s="104"/>
      <c r="R191" s="104"/>
      <c r="S191" s="117"/>
      <c r="T191" s="101"/>
      <c r="U191" s="101"/>
      <c r="V191" s="101"/>
      <c r="W191" s="102"/>
      <c r="X191" s="102"/>
      <c r="Y191" s="102"/>
      <c r="Z191" s="102"/>
      <c r="AA191" s="102"/>
      <c r="AB191" s="102"/>
      <c r="AC191" s="102"/>
      <c r="AD191" s="102"/>
    </row>
    <row r="192" spans="1:30">
      <c r="A192" s="8" t="str">
        <f>IF(L192="","",Formulario!B203)</f>
        <v/>
      </c>
      <c r="B192" s="119"/>
      <c r="C192" s="120"/>
      <c r="D192" s="121"/>
      <c r="E192" s="129" t="str">
        <f>IF(F192="","",Formulario!B203)</f>
        <v/>
      </c>
      <c r="F192" s="11" t="str">
        <f>TRIM(Formulario!D203)</f>
        <v/>
      </c>
      <c r="G192" s="11" t="str">
        <f>TRIM(Formulario!F203)</f>
        <v/>
      </c>
      <c r="H192" s="146" t="str">
        <f>IF(N192="",TRIM(Formulario!G203),TRIM(Formulario!G203)*N192)</f>
        <v/>
      </c>
      <c r="I192" s="107" t="str">
        <f>TRIM(Formulario!I203)</f>
        <v/>
      </c>
      <c r="J192" s="11" t="str">
        <f>TRIM(Formulario!J203)</f>
        <v/>
      </c>
      <c r="K192" s="11" t="str">
        <f>TRIM(Formulario!K203)</f>
        <v/>
      </c>
      <c r="L192" s="107" t="str">
        <f>TRIM(Formulario!L203)</f>
        <v/>
      </c>
      <c r="M192" s="107" t="str">
        <f>TRIM(Formulario!M203)</f>
        <v>0</v>
      </c>
      <c r="N192" s="11" t="str">
        <f>TRIM(Formulario!H203)</f>
        <v/>
      </c>
      <c r="P192" s="17"/>
      <c r="Q192" s="104"/>
      <c r="R192" s="104"/>
      <c r="S192" s="117"/>
      <c r="T192" s="101"/>
      <c r="U192" s="101"/>
      <c r="V192" s="101"/>
      <c r="W192" s="102"/>
      <c r="X192" s="102"/>
      <c r="Y192" s="102"/>
      <c r="Z192" s="102"/>
      <c r="AA192" s="102"/>
      <c r="AB192" s="102"/>
      <c r="AC192" s="102"/>
      <c r="AD192" s="102"/>
    </row>
    <row r="193" spans="1:30">
      <c r="A193" s="8" t="str">
        <f>IF(L193="","",Formulario!B204)</f>
        <v/>
      </c>
      <c r="B193" s="119"/>
      <c r="C193" s="120"/>
      <c r="D193" s="121"/>
      <c r="E193" s="129" t="str">
        <f>IF(F193="","",Formulario!B204)</f>
        <v/>
      </c>
      <c r="F193" s="11" t="str">
        <f>TRIM(Formulario!D204)</f>
        <v/>
      </c>
      <c r="G193" s="11" t="str">
        <f>TRIM(Formulario!F204)</f>
        <v/>
      </c>
      <c r="H193" s="146" t="str">
        <f>IF(N193="",TRIM(Formulario!G204),TRIM(Formulario!G204)*N193)</f>
        <v/>
      </c>
      <c r="I193" s="107" t="str">
        <f>TRIM(Formulario!I204)</f>
        <v/>
      </c>
      <c r="J193" s="11" t="str">
        <f>TRIM(Formulario!J204)</f>
        <v/>
      </c>
      <c r="K193" s="11" t="str">
        <f>TRIM(Formulario!K204)</f>
        <v/>
      </c>
      <c r="L193" s="107" t="str">
        <f>TRIM(Formulario!L204)</f>
        <v/>
      </c>
      <c r="M193" s="107" t="str">
        <f>TRIM(Formulario!M204)</f>
        <v>0</v>
      </c>
      <c r="N193" s="11" t="str">
        <f>TRIM(Formulario!H204)</f>
        <v/>
      </c>
      <c r="P193" s="17"/>
      <c r="Q193" s="104"/>
      <c r="R193" s="104"/>
      <c r="S193" s="117"/>
      <c r="T193" s="101"/>
      <c r="U193" s="101"/>
      <c r="V193" s="101"/>
      <c r="W193" s="102"/>
      <c r="X193" s="102"/>
      <c r="Y193" s="102"/>
      <c r="Z193" s="102"/>
      <c r="AA193" s="102"/>
      <c r="AB193" s="102"/>
      <c r="AC193" s="102"/>
      <c r="AD193" s="102"/>
    </row>
    <row r="194" spans="1:30">
      <c r="A194" s="8" t="str">
        <f>IF(L194="","",Formulario!B205)</f>
        <v/>
      </c>
      <c r="B194" s="119"/>
      <c r="C194" s="120"/>
      <c r="D194" s="121"/>
      <c r="E194" s="129" t="str">
        <f>IF(F194="","",Formulario!B205)</f>
        <v/>
      </c>
      <c r="F194" s="11" t="str">
        <f>TRIM(Formulario!D205)</f>
        <v/>
      </c>
      <c r="G194" s="11" t="str">
        <f>TRIM(Formulario!F205)</f>
        <v/>
      </c>
      <c r="H194" s="146" t="str">
        <f>IF(N194="",TRIM(Formulario!G205),TRIM(Formulario!G205)*N194)</f>
        <v/>
      </c>
      <c r="I194" s="107" t="str">
        <f>TRIM(Formulario!I205)</f>
        <v/>
      </c>
      <c r="J194" s="11" t="str">
        <f>TRIM(Formulario!J205)</f>
        <v/>
      </c>
      <c r="K194" s="11" t="str">
        <f>TRIM(Formulario!K205)</f>
        <v/>
      </c>
      <c r="L194" s="107" t="str">
        <f>TRIM(Formulario!L205)</f>
        <v/>
      </c>
      <c r="M194" s="107" t="str">
        <f>TRIM(Formulario!M205)</f>
        <v>0</v>
      </c>
      <c r="N194" s="11" t="str">
        <f>TRIM(Formulario!H205)</f>
        <v/>
      </c>
      <c r="P194" s="17"/>
      <c r="Q194" s="104"/>
      <c r="R194" s="104"/>
      <c r="S194" s="117"/>
      <c r="T194" s="101"/>
      <c r="U194" s="101"/>
      <c r="V194" s="101"/>
      <c r="W194" s="102"/>
      <c r="X194" s="102"/>
      <c r="Y194" s="102"/>
      <c r="Z194" s="102"/>
      <c r="AA194" s="102"/>
      <c r="AB194" s="102"/>
      <c r="AC194" s="102"/>
      <c r="AD194" s="102"/>
    </row>
    <row r="195" spans="1:30">
      <c r="A195" s="8" t="str">
        <f>IF(L195="","",Formulario!B206)</f>
        <v/>
      </c>
      <c r="B195" s="119"/>
      <c r="C195" s="120"/>
      <c r="D195" s="121"/>
      <c r="E195" s="129" t="str">
        <f>IF(F195="","",Formulario!B206)</f>
        <v/>
      </c>
      <c r="F195" s="11" t="str">
        <f>TRIM(Formulario!D206)</f>
        <v/>
      </c>
      <c r="G195" s="11" t="str">
        <f>TRIM(Formulario!F206)</f>
        <v/>
      </c>
      <c r="H195" s="146" t="str">
        <f>IF(N195="",TRIM(Formulario!G206),TRIM(Formulario!G206)*N195)</f>
        <v/>
      </c>
      <c r="I195" s="107" t="str">
        <f>TRIM(Formulario!I206)</f>
        <v/>
      </c>
      <c r="J195" s="11" t="str">
        <f>TRIM(Formulario!J206)</f>
        <v/>
      </c>
      <c r="K195" s="11" t="str">
        <f>TRIM(Formulario!K206)</f>
        <v/>
      </c>
      <c r="L195" s="107" t="str">
        <f>TRIM(Formulario!L206)</f>
        <v/>
      </c>
      <c r="M195" s="107" t="str">
        <f>TRIM(Formulario!M206)</f>
        <v>0</v>
      </c>
      <c r="N195" s="11" t="str">
        <f>TRIM(Formulario!H206)</f>
        <v/>
      </c>
      <c r="P195" s="17"/>
      <c r="Q195" s="104"/>
      <c r="R195" s="104"/>
      <c r="S195" s="117"/>
      <c r="T195" s="101"/>
      <c r="U195" s="101"/>
      <c r="V195" s="101"/>
      <c r="W195" s="102"/>
      <c r="X195" s="102"/>
      <c r="Y195" s="102"/>
      <c r="Z195" s="102"/>
      <c r="AA195" s="102"/>
      <c r="AB195" s="102"/>
      <c r="AC195" s="102"/>
      <c r="AD195" s="102"/>
    </row>
    <row r="196" spans="1:30">
      <c r="A196" s="8" t="str">
        <f>IF(L196="","",Formulario!B207)</f>
        <v/>
      </c>
      <c r="B196" s="119"/>
      <c r="C196" s="120"/>
      <c r="D196" s="121"/>
      <c r="E196" s="129" t="str">
        <f>IF(F196="","",Formulario!B207)</f>
        <v/>
      </c>
      <c r="F196" s="11" t="str">
        <f>TRIM(Formulario!D207)</f>
        <v/>
      </c>
      <c r="G196" s="11" t="str">
        <f>TRIM(Formulario!F207)</f>
        <v/>
      </c>
      <c r="H196" s="146" t="str">
        <f>IF(N196="",TRIM(Formulario!G207),TRIM(Formulario!G207)*N196)</f>
        <v/>
      </c>
      <c r="I196" s="107" t="str">
        <f>TRIM(Formulario!I207)</f>
        <v/>
      </c>
      <c r="J196" s="11" t="str">
        <f>TRIM(Formulario!J207)</f>
        <v/>
      </c>
      <c r="K196" s="11" t="str">
        <f>TRIM(Formulario!K207)</f>
        <v/>
      </c>
      <c r="L196" s="107" t="str">
        <f>TRIM(Formulario!L207)</f>
        <v/>
      </c>
      <c r="M196" s="107" t="str">
        <f>TRIM(Formulario!M207)</f>
        <v>0</v>
      </c>
      <c r="N196" s="11" t="str">
        <f>TRIM(Formulario!H207)</f>
        <v/>
      </c>
      <c r="P196" s="17"/>
      <c r="Q196" s="104"/>
      <c r="R196" s="104"/>
      <c r="S196" s="117"/>
      <c r="T196" s="101"/>
      <c r="U196" s="101"/>
      <c r="V196" s="101"/>
      <c r="W196" s="102"/>
      <c r="X196" s="102"/>
      <c r="Y196" s="102"/>
      <c r="Z196" s="102"/>
      <c r="AA196" s="102"/>
      <c r="AB196" s="102"/>
      <c r="AC196" s="102"/>
      <c r="AD196" s="102"/>
    </row>
    <row r="197" spans="1:30">
      <c r="A197" s="8" t="str">
        <f>IF(L197="","",Formulario!B208)</f>
        <v/>
      </c>
      <c r="B197" s="119"/>
      <c r="C197" s="120"/>
      <c r="D197" s="121"/>
      <c r="E197" s="129" t="str">
        <f>IF(F197="","",Formulario!B208)</f>
        <v/>
      </c>
      <c r="F197" s="11" t="str">
        <f>TRIM(Formulario!D208)</f>
        <v/>
      </c>
      <c r="G197" s="11" t="str">
        <f>TRIM(Formulario!F208)</f>
        <v/>
      </c>
      <c r="H197" s="146" t="str">
        <f>IF(N197="",TRIM(Formulario!G208),TRIM(Formulario!G208)*N197)</f>
        <v/>
      </c>
      <c r="I197" s="107" t="str">
        <f>TRIM(Formulario!I208)</f>
        <v/>
      </c>
      <c r="J197" s="11" t="str">
        <f>TRIM(Formulario!J208)</f>
        <v/>
      </c>
      <c r="K197" s="11" t="str">
        <f>TRIM(Formulario!K208)</f>
        <v/>
      </c>
      <c r="L197" s="107" t="str">
        <f>TRIM(Formulario!L208)</f>
        <v/>
      </c>
      <c r="M197" s="107" t="str">
        <f>TRIM(Formulario!M208)</f>
        <v>0</v>
      </c>
      <c r="N197" s="11" t="str">
        <f>TRIM(Formulario!H208)</f>
        <v/>
      </c>
      <c r="P197" s="17"/>
      <c r="Q197" s="104"/>
      <c r="R197" s="104"/>
      <c r="S197" s="117"/>
      <c r="T197" s="101"/>
      <c r="U197" s="101"/>
      <c r="V197" s="101"/>
      <c r="W197" s="102"/>
      <c r="X197" s="102"/>
      <c r="Y197" s="102"/>
      <c r="Z197" s="102"/>
      <c r="AA197" s="102"/>
      <c r="AB197" s="102"/>
      <c r="AC197" s="102"/>
      <c r="AD197" s="102"/>
    </row>
    <row r="198" spans="1:30">
      <c r="A198" s="8" t="str">
        <f>IF(L198="","",Formulario!B209)</f>
        <v/>
      </c>
      <c r="B198" s="119"/>
      <c r="C198" s="120"/>
      <c r="D198" s="121"/>
      <c r="E198" s="129" t="str">
        <f>IF(F198="","",Formulario!B209)</f>
        <v/>
      </c>
      <c r="F198" s="11" t="str">
        <f>TRIM(Formulario!D209)</f>
        <v/>
      </c>
      <c r="G198" s="11" t="str">
        <f>TRIM(Formulario!F209)</f>
        <v/>
      </c>
      <c r="H198" s="146" t="str">
        <f>IF(N198="",TRIM(Formulario!G209),TRIM(Formulario!G209)*N198)</f>
        <v/>
      </c>
      <c r="I198" s="107" t="str">
        <f>TRIM(Formulario!I209)</f>
        <v/>
      </c>
      <c r="J198" s="11" t="str">
        <f>TRIM(Formulario!J209)</f>
        <v/>
      </c>
      <c r="K198" s="11" t="str">
        <f>TRIM(Formulario!K209)</f>
        <v/>
      </c>
      <c r="L198" s="107" t="str">
        <f>TRIM(Formulario!L209)</f>
        <v/>
      </c>
      <c r="M198" s="107" t="str">
        <f>TRIM(Formulario!M209)</f>
        <v>0</v>
      </c>
      <c r="N198" s="11" t="str">
        <f>TRIM(Formulario!H209)</f>
        <v/>
      </c>
      <c r="P198" s="17"/>
      <c r="Q198" s="104"/>
      <c r="R198" s="104"/>
      <c r="S198" s="117"/>
      <c r="T198" s="101"/>
      <c r="U198" s="101"/>
      <c r="V198" s="101"/>
      <c r="W198" s="102"/>
      <c r="X198" s="102"/>
      <c r="Y198" s="102"/>
      <c r="Z198" s="102"/>
      <c r="AA198" s="102"/>
      <c r="AB198" s="102"/>
      <c r="AC198" s="102"/>
      <c r="AD198" s="102"/>
    </row>
    <row r="199" spans="1:30">
      <c r="A199" s="8" t="str">
        <f>IF(L199="","",Formulario!B210)</f>
        <v/>
      </c>
      <c r="B199" s="119"/>
      <c r="C199" s="120"/>
      <c r="D199" s="121"/>
      <c r="E199" s="129" t="str">
        <f>IF(F199="","",Formulario!B210)</f>
        <v/>
      </c>
      <c r="F199" s="11" t="str">
        <f>TRIM(Formulario!D210)</f>
        <v/>
      </c>
      <c r="G199" s="11" t="str">
        <f>TRIM(Formulario!F210)</f>
        <v/>
      </c>
      <c r="H199" s="146" t="str">
        <f>IF(N199="",TRIM(Formulario!G210),TRIM(Formulario!G210)*N199)</f>
        <v/>
      </c>
      <c r="I199" s="107" t="str">
        <f>TRIM(Formulario!I210)</f>
        <v/>
      </c>
      <c r="J199" s="11" t="str">
        <f>TRIM(Formulario!J210)</f>
        <v/>
      </c>
      <c r="K199" s="11" t="str">
        <f>TRIM(Formulario!K210)</f>
        <v/>
      </c>
      <c r="L199" s="107" t="str">
        <f>TRIM(Formulario!L210)</f>
        <v/>
      </c>
      <c r="M199" s="107" t="str">
        <f>TRIM(Formulario!M210)</f>
        <v>0</v>
      </c>
      <c r="N199" s="11" t="str">
        <f>TRIM(Formulario!H210)</f>
        <v/>
      </c>
      <c r="P199" s="17"/>
      <c r="Q199" s="104"/>
      <c r="R199" s="104"/>
      <c r="S199" s="117"/>
      <c r="T199" s="101"/>
      <c r="U199" s="101"/>
      <c r="V199" s="101"/>
      <c r="W199" s="102"/>
      <c r="X199" s="102"/>
      <c r="Y199" s="102"/>
      <c r="Z199" s="102"/>
      <c r="AA199" s="102"/>
      <c r="AB199" s="102"/>
      <c r="AC199" s="102"/>
      <c r="AD199" s="102"/>
    </row>
    <row r="200" spans="1:30">
      <c r="A200" s="8" t="str">
        <f>IF(L200="","",Formulario!B211)</f>
        <v/>
      </c>
      <c r="B200" s="119"/>
      <c r="C200" s="120"/>
      <c r="D200" s="121"/>
      <c r="E200" s="129" t="str">
        <f>IF(F200="","",Formulario!B211)</f>
        <v/>
      </c>
      <c r="F200" s="11" t="str">
        <f>TRIM(Formulario!D211)</f>
        <v/>
      </c>
      <c r="G200" s="11" t="str">
        <f>TRIM(Formulario!F211)</f>
        <v/>
      </c>
      <c r="H200" s="146" t="str">
        <f>IF(N200="",TRIM(Formulario!G211),TRIM(Formulario!G211)*N200)</f>
        <v/>
      </c>
      <c r="I200" s="107" t="str">
        <f>TRIM(Formulario!I211)</f>
        <v/>
      </c>
      <c r="J200" s="11" t="str">
        <f>TRIM(Formulario!J211)</f>
        <v/>
      </c>
      <c r="K200" s="11" t="str">
        <f>TRIM(Formulario!K211)</f>
        <v/>
      </c>
      <c r="L200" s="107" t="str">
        <f>TRIM(Formulario!L211)</f>
        <v/>
      </c>
      <c r="M200" s="107" t="str">
        <f>TRIM(Formulario!M211)</f>
        <v>0</v>
      </c>
      <c r="N200" s="11" t="str">
        <f>TRIM(Formulario!H211)</f>
        <v/>
      </c>
      <c r="P200" s="17"/>
      <c r="Q200" s="104"/>
      <c r="R200" s="104"/>
      <c r="S200" s="117"/>
      <c r="T200" s="101"/>
      <c r="U200" s="101"/>
      <c r="V200" s="101"/>
      <c r="W200" s="102"/>
      <c r="X200" s="102"/>
      <c r="Y200" s="102"/>
      <c r="Z200" s="102"/>
      <c r="AA200" s="102"/>
      <c r="AB200" s="102"/>
      <c r="AC200" s="102"/>
      <c r="AD200" s="102"/>
    </row>
    <row r="201" spans="1:30">
      <c r="A201" s="8" t="str">
        <f>IF(L201="","",Formulario!B212)</f>
        <v/>
      </c>
      <c r="B201" s="119"/>
      <c r="C201" s="120"/>
      <c r="D201" s="121"/>
      <c r="E201" s="129" t="str">
        <f>IF(F201="","",Formulario!B212)</f>
        <v/>
      </c>
      <c r="F201" s="11" t="str">
        <f>TRIM(Formulario!D212)</f>
        <v/>
      </c>
      <c r="G201" s="11" t="str">
        <f>TRIM(Formulario!F212)</f>
        <v/>
      </c>
      <c r="H201" s="146" t="str">
        <f>IF(N201="",TRIM(Formulario!G212),TRIM(Formulario!G212)*N201)</f>
        <v/>
      </c>
      <c r="I201" s="107" t="str">
        <f>TRIM(Formulario!I212)</f>
        <v/>
      </c>
      <c r="J201" s="11" t="str">
        <f>TRIM(Formulario!J212)</f>
        <v/>
      </c>
      <c r="K201" s="11" t="str">
        <f>TRIM(Formulario!K212)</f>
        <v/>
      </c>
      <c r="L201" s="107" t="str">
        <f>TRIM(Formulario!L212)</f>
        <v/>
      </c>
      <c r="M201" s="107" t="str">
        <f>TRIM(Formulario!M212)</f>
        <v>0</v>
      </c>
      <c r="N201" s="11" t="str">
        <f>TRIM(Formulario!H212)</f>
        <v/>
      </c>
      <c r="P201" s="17"/>
      <c r="Q201" s="104"/>
      <c r="R201" s="104"/>
      <c r="S201" s="117"/>
      <c r="T201" s="101"/>
      <c r="U201" s="101"/>
      <c r="V201" s="101"/>
      <c r="W201" s="102"/>
      <c r="X201" s="102"/>
      <c r="Y201" s="102"/>
      <c r="Z201" s="102"/>
      <c r="AA201" s="102"/>
      <c r="AB201" s="102"/>
      <c r="AC201" s="102"/>
      <c r="AD201" s="102"/>
    </row>
    <row r="202" spans="1:30">
      <c r="A202" s="8" t="str">
        <f>IF(L202="","",Formulario!B213)</f>
        <v/>
      </c>
      <c r="B202" s="119"/>
      <c r="C202" s="120"/>
      <c r="D202" s="121"/>
      <c r="E202" s="129" t="str">
        <f>IF(F202="","",Formulario!B213)</f>
        <v/>
      </c>
      <c r="F202" s="11" t="str">
        <f>TRIM(Formulario!D213)</f>
        <v/>
      </c>
      <c r="G202" s="11" t="str">
        <f>TRIM(Formulario!F213)</f>
        <v/>
      </c>
      <c r="H202" s="146" t="str">
        <f>IF(N202="",TRIM(Formulario!G213),TRIM(Formulario!G213)*N202)</f>
        <v/>
      </c>
      <c r="I202" s="107" t="str">
        <f>TRIM(Formulario!I213)</f>
        <v/>
      </c>
      <c r="J202" s="11" t="str">
        <f>TRIM(Formulario!J213)</f>
        <v/>
      </c>
      <c r="K202" s="11" t="str">
        <f>TRIM(Formulario!K213)</f>
        <v/>
      </c>
      <c r="L202" s="107" t="str">
        <f>TRIM(Formulario!L213)</f>
        <v/>
      </c>
      <c r="M202" s="107" t="str">
        <f>TRIM(Formulario!M213)</f>
        <v>0</v>
      </c>
      <c r="N202" s="11" t="str">
        <f>TRIM(Formulario!H213)</f>
        <v/>
      </c>
      <c r="P202" s="17"/>
      <c r="Q202" s="104"/>
      <c r="R202" s="104"/>
      <c r="S202" s="117"/>
      <c r="T202" s="101"/>
      <c r="U202" s="101"/>
      <c r="V202" s="101"/>
      <c r="W202" s="102"/>
      <c r="X202" s="102"/>
      <c r="Y202" s="102"/>
      <c r="Z202" s="102"/>
      <c r="AA202" s="102"/>
      <c r="AB202" s="102"/>
      <c r="AC202" s="102"/>
      <c r="AD202" s="102"/>
    </row>
    <row r="203" spans="1:30">
      <c r="A203" s="8" t="str">
        <f>IF(L203="","",Formulario!B214)</f>
        <v/>
      </c>
      <c r="B203" s="119"/>
      <c r="C203" s="120"/>
      <c r="D203" s="121"/>
      <c r="E203" s="129" t="str">
        <f>IF(F203="","",Formulario!B214)</f>
        <v/>
      </c>
      <c r="F203" s="11" t="str">
        <f>TRIM(Formulario!D214)</f>
        <v/>
      </c>
      <c r="G203" s="11" t="str">
        <f>TRIM(Formulario!F214)</f>
        <v/>
      </c>
      <c r="H203" s="146" t="str">
        <f>IF(N203="",TRIM(Formulario!G214),TRIM(Formulario!G214)*N203)</f>
        <v/>
      </c>
      <c r="I203" s="107" t="str">
        <f>TRIM(Formulario!I214)</f>
        <v/>
      </c>
      <c r="J203" s="11" t="str">
        <f>TRIM(Formulario!J214)</f>
        <v/>
      </c>
      <c r="K203" s="11" t="str">
        <f>TRIM(Formulario!K214)</f>
        <v/>
      </c>
      <c r="L203" s="107" t="str">
        <f>TRIM(Formulario!L214)</f>
        <v/>
      </c>
      <c r="M203" s="107" t="str">
        <f>TRIM(Formulario!M214)</f>
        <v>0</v>
      </c>
      <c r="N203" s="11" t="str">
        <f>TRIM(Formulario!H214)</f>
        <v/>
      </c>
      <c r="P203" s="17"/>
      <c r="Q203" s="104"/>
      <c r="R203" s="104"/>
      <c r="S203" s="117"/>
      <c r="T203" s="101"/>
      <c r="U203" s="101"/>
      <c r="V203" s="101"/>
      <c r="W203" s="102"/>
      <c r="X203" s="102"/>
      <c r="Y203" s="102"/>
      <c r="Z203" s="102"/>
      <c r="AA203" s="102"/>
      <c r="AB203" s="102"/>
      <c r="AC203" s="102"/>
      <c r="AD203" s="102"/>
    </row>
    <row r="204" spans="1:30">
      <c r="A204" s="8" t="str">
        <f>IF(L204="","",Formulario!B215)</f>
        <v/>
      </c>
      <c r="B204" s="119"/>
      <c r="C204" s="120"/>
      <c r="D204" s="121"/>
      <c r="E204" s="129" t="str">
        <f>IF(F204="","",Formulario!B215)</f>
        <v/>
      </c>
      <c r="F204" s="11" t="str">
        <f>TRIM(Formulario!D215)</f>
        <v/>
      </c>
      <c r="G204" s="11" t="str">
        <f>TRIM(Formulario!F215)</f>
        <v/>
      </c>
      <c r="H204" s="146" t="str">
        <f>IF(N204="",TRIM(Formulario!G215),TRIM(Formulario!G215)*N204)</f>
        <v/>
      </c>
      <c r="I204" s="107" t="str">
        <f>TRIM(Formulario!I215)</f>
        <v/>
      </c>
      <c r="J204" s="11" t="str">
        <f>TRIM(Formulario!J215)</f>
        <v/>
      </c>
      <c r="K204" s="11" t="str">
        <f>TRIM(Formulario!K215)</f>
        <v/>
      </c>
      <c r="L204" s="107" t="str">
        <f>TRIM(Formulario!L215)</f>
        <v/>
      </c>
      <c r="M204" s="107" t="str">
        <f>TRIM(Formulario!M215)</f>
        <v>0</v>
      </c>
      <c r="N204" s="11" t="str">
        <f>TRIM(Formulario!H215)</f>
        <v/>
      </c>
      <c r="P204" s="17"/>
      <c r="Q204" s="104"/>
      <c r="R204" s="104"/>
      <c r="S204" s="117"/>
      <c r="T204" s="101"/>
      <c r="U204" s="101"/>
      <c r="V204" s="101"/>
      <c r="W204" s="102"/>
      <c r="X204" s="102"/>
      <c r="Y204" s="102"/>
      <c r="Z204" s="102"/>
      <c r="AA204" s="102"/>
      <c r="AB204" s="102"/>
      <c r="AC204" s="102"/>
      <c r="AD204" s="102"/>
    </row>
    <row r="205" spans="1:30">
      <c r="A205" s="8" t="str">
        <f>IF(L205="","",Formulario!B216)</f>
        <v/>
      </c>
      <c r="B205" s="119"/>
      <c r="C205" s="120"/>
      <c r="D205" s="121"/>
      <c r="E205" s="129" t="str">
        <f>IF(F205="","",Formulario!B216)</f>
        <v/>
      </c>
      <c r="F205" s="11" t="str">
        <f>TRIM(Formulario!D216)</f>
        <v/>
      </c>
      <c r="G205" s="11" t="str">
        <f>TRIM(Formulario!F216)</f>
        <v/>
      </c>
      <c r="H205" s="146" t="str">
        <f>IF(N205="",TRIM(Formulario!G216),TRIM(Formulario!G216)*N205)</f>
        <v/>
      </c>
      <c r="I205" s="107" t="str">
        <f>TRIM(Formulario!I216)</f>
        <v/>
      </c>
      <c r="J205" s="11" t="str">
        <f>TRIM(Formulario!J216)</f>
        <v/>
      </c>
      <c r="K205" s="11" t="str">
        <f>TRIM(Formulario!K216)</f>
        <v/>
      </c>
      <c r="L205" s="107" t="str">
        <f>TRIM(Formulario!L216)</f>
        <v/>
      </c>
      <c r="M205" s="107" t="str">
        <f>TRIM(Formulario!M216)</f>
        <v>0</v>
      </c>
      <c r="N205" s="11" t="str">
        <f>TRIM(Formulario!H216)</f>
        <v/>
      </c>
      <c r="P205" s="17"/>
      <c r="Q205" s="104"/>
      <c r="R205" s="104"/>
      <c r="S205" s="117"/>
      <c r="T205" s="101"/>
      <c r="U205" s="101"/>
      <c r="V205" s="101"/>
      <c r="W205" s="102"/>
      <c r="X205" s="102"/>
      <c r="Y205" s="102"/>
      <c r="Z205" s="102"/>
      <c r="AA205" s="102"/>
      <c r="AB205" s="102"/>
      <c r="AC205" s="102"/>
      <c r="AD205" s="102"/>
    </row>
    <row r="206" spans="1:30">
      <c r="A206" s="8" t="str">
        <f>IF(L206="","",Formulario!B217)</f>
        <v/>
      </c>
      <c r="B206" s="119"/>
      <c r="C206" s="120"/>
      <c r="D206" s="121"/>
      <c r="E206" s="129" t="str">
        <f>IF(F206="","",Formulario!B217)</f>
        <v/>
      </c>
      <c r="F206" s="11" t="str">
        <f>TRIM(Formulario!D217)</f>
        <v/>
      </c>
      <c r="G206" s="11" t="str">
        <f>TRIM(Formulario!F217)</f>
        <v/>
      </c>
      <c r="H206" s="146" t="str">
        <f>IF(N206="",TRIM(Formulario!G217),TRIM(Formulario!G217)*N206)</f>
        <v/>
      </c>
      <c r="I206" s="107" t="str">
        <f>TRIM(Formulario!I217)</f>
        <v/>
      </c>
      <c r="J206" s="11" t="str">
        <f>TRIM(Formulario!J217)</f>
        <v/>
      </c>
      <c r="K206" s="11" t="str">
        <f>TRIM(Formulario!K217)</f>
        <v/>
      </c>
      <c r="L206" s="107" t="str">
        <f>TRIM(Formulario!L217)</f>
        <v/>
      </c>
      <c r="M206" s="107" t="str">
        <f>TRIM(Formulario!M217)</f>
        <v>0</v>
      </c>
      <c r="N206" s="11" t="str">
        <f>TRIM(Formulario!H217)</f>
        <v/>
      </c>
      <c r="P206" s="17"/>
      <c r="Q206" s="104"/>
      <c r="R206" s="104"/>
      <c r="S206" s="117"/>
      <c r="T206" s="101"/>
      <c r="U206" s="101"/>
      <c r="V206" s="101"/>
      <c r="W206" s="102"/>
      <c r="X206" s="102"/>
      <c r="Y206" s="102"/>
      <c r="Z206" s="102"/>
      <c r="AA206" s="102"/>
      <c r="AB206" s="102"/>
      <c r="AC206" s="102"/>
      <c r="AD206" s="102"/>
    </row>
    <row r="207" spans="1:30">
      <c r="A207" s="8" t="str">
        <f>IF(L207="","",Formulario!B218)</f>
        <v/>
      </c>
      <c r="B207" s="119"/>
      <c r="C207" s="120"/>
      <c r="D207" s="121"/>
      <c r="E207" s="129" t="str">
        <f>IF(F207="","",Formulario!B218)</f>
        <v/>
      </c>
      <c r="F207" s="11" t="str">
        <f>TRIM(Formulario!D218)</f>
        <v/>
      </c>
      <c r="G207" s="11" t="str">
        <f>TRIM(Formulario!F218)</f>
        <v/>
      </c>
      <c r="H207" s="146" t="str">
        <f>IF(N207="",TRIM(Formulario!G218),TRIM(Formulario!G218)*N207)</f>
        <v/>
      </c>
      <c r="I207" s="107" t="str">
        <f>TRIM(Formulario!I218)</f>
        <v/>
      </c>
      <c r="J207" s="11" t="str">
        <f>TRIM(Formulario!J218)</f>
        <v/>
      </c>
      <c r="K207" s="11" t="str">
        <f>TRIM(Formulario!K218)</f>
        <v/>
      </c>
      <c r="L207" s="107" t="str">
        <f>TRIM(Formulario!L218)</f>
        <v/>
      </c>
      <c r="M207" s="107" t="str">
        <f>TRIM(Formulario!M218)</f>
        <v>0</v>
      </c>
      <c r="N207" s="11" t="str">
        <f>TRIM(Formulario!H218)</f>
        <v/>
      </c>
      <c r="P207" s="17"/>
      <c r="Q207" s="104"/>
      <c r="R207" s="104"/>
      <c r="S207" s="117"/>
      <c r="T207" s="101"/>
      <c r="U207" s="101"/>
      <c r="V207" s="101"/>
      <c r="W207" s="102"/>
      <c r="X207" s="102"/>
      <c r="Y207" s="102"/>
      <c r="Z207" s="102"/>
      <c r="AA207" s="102"/>
      <c r="AB207" s="102"/>
      <c r="AC207" s="102"/>
      <c r="AD207" s="102"/>
    </row>
    <row r="208" spans="1:30">
      <c r="A208" s="8" t="str">
        <f>IF(L208="","",Formulario!B219)</f>
        <v/>
      </c>
      <c r="B208" s="119"/>
      <c r="C208" s="120"/>
      <c r="D208" s="121"/>
      <c r="E208" s="129" t="str">
        <f>IF(F208="","",Formulario!B219)</f>
        <v/>
      </c>
      <c r="F208" s="11" t="str">
        <f>TRIM(Formulario!D219)</f>
        <v/>
      </c>
      <c r="G208" s="11" t="str">
        <f>TRIM(Formulario!F219)</f>
        <v/>
      </c>
      <c r="H208" s="146" t="str">
        <f>IF(N208="",TRIM(Formulario!G219),TRIM(Formulario!G219)*N208)</f>
        <v/>
      </c>
      <c r="I208" s="107" t="str">
        <f>TRIM(Formulario!I219)</f>
        <v/>
      </c>
      <c r="J208" s="11" t="str">
        <f>TRIM(Formulario!J219)</f>
        <v/>
      </c>
      <c r="K208" s="11" t="str">
        <f>TRIM(Formulario!K219)</f>
        <v/>
      </c>
      <c r="L208" s="107" t="str">
        <f>TRIM(Formulario!L219)</f>
        <v/>
      </c>
      <c r="M208" s="107" t="str">
        <f>TRIM(Formulario!M219)</f>
        <v>0</v>
      </c>
      <c r="N208" s="11" t="str">
        <f>TRIM(Formulario!H219)</f>
        <v/>
      </c>
      <c r="P208" s="17"/>
      <c r="Q208" s="104"/>
      <c r="R208" s="104"/>
      <c r="S208" s="117"/>
      <c r="T208" s="101"/>
      <c r="U208" s="101"/>
      <c r="V208" s="101"/>
      <c r="W208" s="102"/>
      <c r="X208" s="102"/>
      <c r="Y208" s="102"/>
      <c r="Z208" s="102"/>
      <c r="AA208" s="102"/>
      <c r="AB208" s="102"/>
      <c r="AC208" s="102"/>
      <c r="AD208" s="102"/>
    </row>
    <row r="209" spans="1:30">
      <c r="A209" s="8" t="str">
        <f>IF(L209="","",Formulario!B220)</f>
        <v/>
      </c>
      <c r="B209" s="119"/>
      <c r="C209" s="120"/>
      <c r="D209" s="121"/>
      <c r="E209" s="129" t="str">
        <f>IF(F209="","",Formulario!B220)</f>
        <v/>
      </c>
      <c r="F209" s="11" t="str">
        <f>TRIM(Formulario!D220)</f>
        <v/>
      </c>
      <c r="G209" s="11" t="str">
        <f>TRIM(Formulario!F220)</f>
        <v/>
      </c>
      <c r="H209" s="146" t="str">
        <f>IF(N209="",TRIM(Formulario!G220),TRIM(Formulario!G220)*N209)</f>
        <v/>
      </c>
      <c r="I209" s="107" t="str">
        <f>TRIM(Formulario!I220)</f>
        <v/>
      </c>
      <c r="J209" s="11" t="str">
        <f>TRIM(Formulario!J220)</f>
        <v/>
      </c>
      <c r="K209" s="11" t="str">
        <f>TRIM(Formulario!K220)</f>
        <v/>
      </c>
      <c r="L209" s="107" t="str">
        <f>TRIM(Formulario!L220)</f>
        <v/>
      </c>
      <c r="M209" s="107" t="str">
        <f>TRIM(Formulario!M220)</f>
        <v>0</v>
      </c>
      <c r="N209" s="11" t="str">
        <f>TRIM(Formulario!H220)</f>
        <v/>
      </c>
      <c r="P209" s="17"/>
      <c r="Q209" s="104"/>
      <c r="R209" s="104"/>
      <c r="S209" s="117"/>
      <c r="T209" s="101"/>
      <c r="U209" s="101"/>
      <c r="V209" s="101"/>
      <c r="W209" s="102"/>
      <c r="X209" s="102"/>
      <c r="Y209" s="102"/>
      <c r="Z209" s="102"/>
      <c r="AA209" s="102"/>
      <c r="AB209" s="102"/>
      <c r="AC209" s="102"/>
      <c r="AD209" s="102"/>
    </row>
    <row r="210" spans="1:30">
      <c r="A210" s="8" t="str">
        <f>IF(L210="","",Formulario!B221)</f>
        <v/>
      </c>
      <c r="B210" s="119"/>
      <c r="C210" s="120"/>
      <c r="D210" s="121"/>
      <c r="E210" s="129" t="str">
        <f>IF(F210="","",Formulario!B221)</f>
        <v/>
      </c>
      <c r="F210" s="11" t="str">
        <f>TRIM(Formulario!D221)</f>
        <v/>
      </c>
      <c r="G210" s="11" t="str">
        <f>TRIM(Formulario!F221)</f>
        <v/>
      </c>
      <c r="H210" s="146" t="str">
        <f>IF(N210="",TRIM(Formulario!G221),TRIM(Formulario!G221)*N210)</f>
        <v/>
      </c>
      <c r="I210" s="107" t="str">
        <f>TRIM(Formulario!I221)</f>
        <v/>
      </c>
      <c r="J210" s="11" t="str">
        <f>TRIM(Formulario!J221)</f>
        <v/>
      </c>
      <c r="K210" s="11" t="str">
        <f>TRIM(Formulario!K221)</f>
        <v/>
      </c>
      <c r="L210" s="107" t="str">
        <f>TRIM(Formulario!L221)</f>
        <v/>
      </c>
      <c r="M210" s="107" t="str">
        <f>TRIM(Formulario!M221)</f>
        <v>0</v>
      </c>
      <c r="N210" s="11" t="str">
        <f>TRIM(Formulario!H221)</f>
        <v/>
      </c>
      <c r="P210" s="17"/>
      <c r="Q210" s="104"/>
      <c r="R210" s="104"/>
      <c r="S210" s="117"/>
      <c r="T210" s="101"/>
      <c r="U210" s="101"/>
      <c r="V210" s="101"/>
      <c r="W210" s="102"/>
      <c r="X210" s="102"/>
      <c r="Y210" s="102"/>
      <c r="Z210" s="102"/>
      <c r="AA210" s="102"/>
      <c r="AB210" s="102"/>
      <c r="AC210" s="102"/>
      <c r="AD210" s="102"/>
    </row>
    <row r="211" spans="1:30">
      <c r="A211" s="8" t="str">
        <f>IF(L211="","",Formulario!B222)</f>
        <v/>
      </c>
      <c r="B211" s="119"/>
      <c r="C211" s="120"/>
      <c r="D211" s="121"/>
      <c r="E211" s="129" t="str">
        <f>IF(F211="","",Formulario!B222)</f>
        <v/>
      </c>
      <c r="F211" s="11" t="str">
        <f>TRIM(Formulario!D222)</f>
        <v/>
      </c>
      <c r="G211" s="11" t="str">
        <f>TRIM(Formulario!F222)</f>
        <v/>
      </c>
      <c r="H211" s="146" t="str">
        <f>IF(N211="",TRIM(Formulario!G222),TRIM(Formulario!G222)*N211)</f>
        <v/>
      </c>
      <c r="I211" s="107" t="str">
        <f>TRIM(Formulario!I222)</f>
        <v/>
      </c>
      <c r="J211" s="11" t="str">
        <f>TRIM(Formulario!J222)</f>
        <v/>
      </c>
      <c r="K211" s="11" t="str">
        <f>TRIM(Formulario!K222)</f>
        <v/>
      </c>
      <c r="L211" s="107" t="str">
        <f>TRIM(Formulario!L222)</f>
        <v/>
      </c>
      <c r="M211" s="107" t="str">
        <f>TRIM(Formulario!M222)</f>
        <v>0</v>
      </c>
      <c r="N211" s="11" t="str">
        <f>TRIM(Formulario!H222)</f>
        <v/>
      </c>
      <c r="P211" s="17"/>
      <c r="Q211" s="104"/>
      <c r="R211" s="104"/>
      <c r="S211" s="117"/>
      <c r="T211" s="101"/>
      <c r="U211" s="101"/>
      <c r="V211" s="101"/>
      <c r="W211" s="102"/>
      <c r="X211" s="102"/>
      <c r="Y211" s="102"/>
      <c r="Z211" s="102"/>
      <c r="AA211" s="102"/>
      <c r="AB211" s="102"/>
      <c r="AC211" s="102"/>
      <c r="AD211" s="102"/>
    </row>
    <row r="212" spans="1:30">
      <c r="A212" s="8" t="str">
        <f>IF(L212="","",Formulario!B223)</f>
        <v/>
      </c>
      <c r="B212" s="119"/>
      <c r="C212" s="120"/>
      <c r="D212" s="121"/>
      <c r="E212" s="129" t="str">
        <f>IF(F212="","",Formulario!B223)</f>
        <v/>
      </c>
      <c r="F212" s="11" t="str">
        <f>TRIM(Formulario!D223)</f>
        <v/>
      </c>
      <c r="G212" s="11" t="str">
        <f>TRIM(Formulario!F223)</f>
        <v/>
      </c>
      <c r="H212" s="146" t="str">
        <f>IF(N212="",TRIM(Formulario!G223),TRIM(Formulario!G223)*N212)</f>
        <v/>
      </c>
      <c r="I212" s="107" t="str">
        <f>TRIM(Formulario!I223)</f>
        <v/>
      </c>
      <c r="J212" s="11" t="str">
        <f>TRIM(Formulario!J223)</f>
        <v/>
      </c>
      <c r="K212" s="11" t="str">
        <f>TRIM(Formulario!K223)</f>
        <v/>
      </c>
      <c r="L212" s="107" t="str">
        <f>TRIM(Formulario!L223)</f>
        <v/>
      </c>
      <c r="M212" s="107" t="str">
        <f>TRIM(Formulario!M223)</f>
        <v>0</v>
      </c>
      <c r="N212" s="11" t="str">
        <f>TRIM(Formulario!H223)</f>
        <v/>
      </c>
      <c r="P212" s="17"/>
      <c r="Q212" s="104"/>
      <c r="R212" s="104"/>
      <c r="S212" s="117"/>
      <c r="T212" s="101"/>
      <c r="U212" s="101"/>
      <c r="V212" s="101"/>
      <c r="W212" s="102"/>
      <c r="X212" s="102"/>
      <c r="Y212" s="102"/>
      <c r="Z212" s="102"/>
      <c r="AA212" s="102"/>
      <c r="AB212" s="102"/>
      <c r="AC212" s="102"/>
      <c r="AD212" s="102"/>
    </row>
    <row r="213" spans="1:30">
      <c r="A213" s="8" t="str">
        <f>IF(L213="","",Formulario!B224)</f>
        <v/>
      </c>
      <c r="B213" s="119"/>
      <c r="C213" s="120"/>
      <c r="D213" s="121"/>
      <c r="E213" s="129" t="str">
        <f>IF(F213="","",Formulario!B224)</f>
        <v/>
      </c>
      <c r="F213" s="11" t="str">
        <f>TRIM(Formulario!D224)</f>
        <v/>
      </c>
      <c r="G213" s="11" t="str">
        <f>TRIM(Formulario!F224)</f>
        <v/>
      </c>
      <c r="H213" s="146" t="str">
        <f>IF(N213="",TRIM(Formulario!G224),TRIM(Formulario!G224)*N213)</f>
        <v/>
      </c>
      <c r="I213" s="107" t="str">
        <f>TRIM(Formulario!I224)</f>
        <v/>
      </c>
      <c r="J213" s="11" t="str">
        <f>TRIM(Formulario!J224)</f>
        <v/>
      </c>
      <c r="K213" s="11" t="str">
        <f>TRIM(Formulario!K224)</f>
        <v/>
      </c>
      <c r="L213" s="107" t="str">
        <f>TRIM(Formulario!L224)</f>
        <v/>
      </c>
      <c r="M213" s="107" t="str">
        <f>TRIM(Formulario!M224)</f>
        <v>0</v>
      </c>
      <c r="N213" s="11" t="str">
        <f>TRIM(Formulario!H224)</f>
        <v/>
      </c>
      <c r="P213" s="17"/>
      <c r="Q213" s="104"/>
      <c r="R213" s="104"/>
      <c r="S213" s="117"/>
      <c r="T213" s="101"/>
      <c r="U213" s="101"/>
      <c r="V213" s="101"/>
      <c r="W213" s="102"/>
      <c r="X213" s="102"/>
      <c r="Y213" s="102"/>
      <c r="Z213" s="102"/>
      <c r="AA213" s="102"/>
      <c r="AB213" s="102"/>
      <c r="AC213" s="102"/>
      <c r="AD213" s="102"/>
    </row>
    <row r="214" spans="1:30">
      <c r="A214" s="8" t="str">
        <f>IF(L214="","",Formulario!B225)</f>
        <v/>
      </c>
      <c r="B214" s="119"/>
      <c r="C214" s="120"/>
      <c r="D214" s="121"/>
      <c r="E214" s="129" t="str">
        <f>IF(F214="","",Formulario!B225)</f>
        <v/>
      </c>
      <c r="F214" s="11" t="str">
        <f>TRIM(Formulario!D225)</f>
        <v/>
      </c>
      <c r="G214" s="11" t="str">
        <f>TRIM(Formulario!F225)</f>
        <v/>
      </c>
      <c r="H214" s="146" t="str">
        <f>IF(N214="",TRIM(Formulario!G225),TRIM(Formulario!G225)*N214)</f>
        <v/>
      </c>
      <c r="I214" s="107" t="str">
        <f>TRIM(Formulario!I225)</f>
        <v/>
      </c>
      <c r="J214" s="11" t="str">
        <f>TRIM(Formulario!J225)</f>
        <v/>
      </c>
      <c r="K214" s="11" t="str">
        <f>TRIM(Formulario!K225)</f>
        <v/>
      </c>
      <c r="L214" s="107" t="str">
        <f>TRIM(Formulario!L225)</f>
        <v/>
      </c>
      <c r="M214" s="107" t="str">
        <f>TRIM(Formulario!M225)</f>
        <v>0</v>
      </c>
      <c r="N214" s="11" t="str">
        <f>TRIM(Formulario!H225)</f>
        <v/>
      </c>
      <c r="P214" s="17"/>
      <c r="Q214" s="104"/>
      <c r="R214" s="104"/>
      <c r="S214" s="117"/>
      <c r="T214" s="101"/>
      <c r="U214" s="101"/>
      <c r="V214" s="101"/>
      <c r="W214" s="102"/>
      <c r="X214" s="102"/>
      <c r="Y214" s="102"/>
      <c r="Z214" s="102"/>
      <c r="AA214" s="102"/>
      <c r="AB214" s="102"/>
      <c r="AC214" s="102"/>
      <c r="AD214" s="102"/>
    </row>
    <row r="215" spans="1:30">
      <c r="A215" s="8" t="str">
        <f>IF(L215="","",Formulario!B226)</f>
        <v/>
      </c>
      <c r="B215" s="119"/>
      <c r="C215" s="120"/>
      <c r="D215" s="121"/>
      <c r="E215" s="129" t="str">
        <f>IF(F215="","",Formulario!B226)</f>
        <v/>
      </c>
      <c r="F215" s="11" t="str">
        <f>TRIM(Formulario!D226)</f>
        <v/>
      </c>
      <c r="G215" s="11" t="str">
        <f>TRIM(Formulario!F226)</f>
        <v/>
      </c>
      <c r="H215" s="146" t="str">
        <f>IF(N215="",TRIM(Formulario!G226),TRIM(Formulario!G226)*N215)</f>
        <v/>
      </c>
      <c r="I215" s="107" t="str">
        <f>TRIM(Formulario!I226)</f>
        <v/>
      </c>
      <c r="J215" s="11" t="str">
        <f>TRIM(Formulario!J226)</f>
        <v/>
      </c>
      <c r="K215" s="11" t="str">
        <f>TRIM(Formulario!K226)</f>
        <v/>
      </c>
      <c r="L215" s="107" t="str">
        <f>TRIM(Formulario!L226)</f>
        <v/>
      </c>
      <c r="M215" s="107" t="str">
        <f>TRIM(Formulario!M226)</f>
        <v>0</v>
      </c>
      <c r="N215" s="11" t="str">
        <f>TRIM(Formulario!H226)</f>
        <v/>
      </c>
      <c r="P215" s="17"/>
      <c r="Q215" s="104"/>
      <c r="R215" s="104"/>
      <c r="S215" s="117"/>
      <c r="T215" s="101"/>
      <c r="U215" s="101"/>
      <c r="V215" s="101"/>
      <c r="W215" s="102"/>
      <c r="X215" s="102"/>
      <c r="Y215" s="102"/>
      <c r="Z215" s="102"/>
      <c r="AA215" s="102"/>
      <c r="AB215" s="102"/>
      <c r="AC215" s="102"/>
      <c r="AD215" s="102"/>
    </row>
    <row r="216" spans="1:30">
      <c r="A216" s="8" t="str">
        <f>IF(L216="","",Formulario!B227)</f>
        <v/>
      </c>
      <c r="B216" s="119"/>
      <c r="C216" s="120"/>
      <c r="D216" s="121"/>
      <c r="E216" s="129" t="str">
        <f>IF(F216="","",Formulario!B227)</f>
        <v/>
      </c>
      <c r="F216" s="11" t="str">
        <f>TRIM(Formulario!D227)</f>
        <v/>
      </c>
      <c r="G216" s="11" t="str">
        <f>TRIM(Formulario!F227)</f>
        <v/>
      </c>
      <c r="H216" s="146" t="str">
        <f>IF(N216="",TRIM(Formulario!G227),TRIM(Formulario!G227)*N216)</f>
        <v/>
      </c>
      <c r="I216" s="107" t="str">
        <f>TRIM(Formulario!I227)</f>
        <v/>
      </c>
      <c r="J216" s="11" t="str">
        <f>TRIM(Formulario!J227)</f>
        <v/>
      </c>
      <c r="K216" s="11" t="str">
        <f>TRIM(Formulario!K227)</f>
        <v/>
      </c>
      <c r="L216" s="107" t="str">
        <f>TRIM(Formulario!L227)</f>
        <v/>
      </c>
      <c r="M216" s="107" t="str">
        <f>TRIM(Formulario!M227)</f>
        <v>0</v>
      </c>
      <c r="N216" s="11" t="str">
        <f>TRIM(Formulario!H227)</f>
        <v/>
      </c>
      <c r="P216" s="17"/>
      <c r="Q216" s="104"/>
      <c r="R216" s="104"/>
      <c r="S216" s="117"/>
      <c r="T216" s="101"/>
      <c r="U216" s="101"/>
      <c r="V216" s="101"/>
      <c r="W216" s="102"/>
      <c r="X216" s="102"/>
      <c r="Y216" s="102"/>
      <c r="Z216" s="102"/>
      <c r="AA216" s="102"/>
      <c r="AB216" s="102"/>
      <c r="AC216" s="102"/>
      <c r="AD216" s="102"/>
    </row>
    <row r="217" spans="1:30">
      <c r="A217" s="8" t="str">
        <f>IF(L217="","",Formulario!B228)</f>
        <v/>
      </c>
      <c r="B217" s="119"/>
      <c r="C217" s="120"/>
      <c r="D217" s="121"/>
      <c r="E217" s="129" t="str">
        <f>IF(F217="","",Formulario!B228)</f>
        <v/>
      </c>
      <c r="F217" s="11" t="str">
        <f>TRIM(Formulario!D228)</f>
        <v/>
      </c>
      <c r="G217" s="11" t="str">
        <f>TRIM(Formulario!F228)</f>
        <v/>
      </c>
      <c r="H217" s="146" t="str">
        <f>IF(N217="",TRIM(Formulario!G228),TRIM(Formulario!G228)*N217)</f>
        <v/>
      </c>
      <c r="I217" s="107" t="str">
        <f>TRIM(Formulario!I228)</f>
        <v/>
      </c>
      <c r="J217" s="11" t="str">
        <f>TRIM(Formulario!J228)</f>
        <v/>
      </c>
      <c r="K217" s="11" t="str">
        <f>TRIM(Formulario!K228)</f>
        <v/>
      </c>
      <c r="L217" s="107" t="str">
        <f>TRIM(Formulario!L228)</f>
        <v/>
      </c>
      <c r="M217" s="107" t="str">
        <f>TRIM(Formulario!M228)</f>
        <v>0</v>
      </c>
      <c r="N217" s="11" t="str">
        <f>TRIM(Formulario!H228)</f>
        <v/>
      </c>
      <c r="P217" s="17"/>
      <c r="Q217" s="104"/>
      <c r="R217" s="104"/>
      <c r="S217" s="117"/>
      <c r="T217" s="101"/>
      <c r="U217" s="101"/>
      <c r="V217" s="101"/>
      <c r="W217" s="102"/>
      <c r="X217" s="102"/>
      <c r="Y217" s="102"/>
      <c r="Z217" s="102"/>
      <c r="AA217" s="102"/>
      <c r="AB217" s="102"/>
      <c r="AC217" s="102"/>
      <c r="AD217" s="102"/>
    </row>
    <row r="218" spans="1:30">
      <c r="A218" s="8" t="str">
        <f>IF(L218="","",Formulario!B229)</f>
        <v/>
      </c>
      <c r="B218" s="119"/>
      <c r="C218" s="120"/>
      <c r="D218" s="121"/>
      <c r="E218" s="129" t="str">
        <f>IF(F218="","",Formulario!B229)</f>
        <v/>
      </c>
      <c r="F218" s="11" t="str">
        <f>TRIM(Formulario!D229)</f>
        <v/>
      </c>
      <c r="G218" s="11" t="str">
        <f>TRIM(Formulario!F229)</f>
        <v/>
      </c>
      <c r="H218" s="146" t="str">
        <f>IF(N218="",TRIM(Formulario!G229),TRIM(Formulario!G229)*N218)</f>
        <v/>
      </c>
      <c r="I218" s="107" t="str">
        <f>TRIM(Formulario!I229)</f>
        <v/>
      </c>
      <c r="J218" s="11" t="str">
        <f>TRIM(Formulario!J229)</f>
        <v/>
      </c>
      <c r="K218" s="11" t="str">
        <f>TRIM(Formulario!K229)</f>
        <v/>
      </c>
      <c r="L218" s="107" t="str">
        <f>TRIM(Formulario!L229)</f>
        <v/>
      </c>
      <c r="M218" s="107" t="str">
        <f>TRIM(Formulario!M229)</f>
        <v>0</v>
      </c>
      <c r="N218" s="11" t="str">
        <f>TRIM(Formulario!H229)</f>
        <v/>
      </c>
      <c r="P218" s="17"/>
      <c r="Q218" s="104"/>
      <c r="R218" s="104"/>
      <c r="S218" s="117"/>
      <c r="T218" s="101"/>
      <c r="U218" s="101"/>
      <c r="V218" s="101"/>
      <c r="W218" s="102"/>
      <c r="X218" s="102"/>
      <c r="Y218" s="102"/>
      <c r="Z218" s="102"/>
      <c r="AA218" s="102"/>
      <c r="AB218" s="102"/>
      <c r="AC218" s="102"/>
      <c r="AD218" s="102"/>
    </row>
    <row r="219" spans="1:30">
      <c r="A219" s="8" t="str">
        <f>IF(L219="","",Formulario!B230)</f>
        <v/>
      </c>
      <c r="B219" s="119"/>
      <c r="C219" s="120"/>
      <c r="D219" s="121"/>
      <c r="E219" s="129" t="str">
        <f>IF(F219="","",Formulario!B230)</f>
        <v/>
      </c>
      <c r="F219" s="11" t="str">
        <f>TRIM(Formulario!D230)</f>
        <v/>
      </c>
      <c r="G219" s="11" t="str">
        <f>TRIM(Formulario!F230)</f>
        <v/>
      </c>
      <c r="H219" s="146" t="str">
        <f>IF(N219="",TRIM(Formulario!G230),TRIM(Formulario!G230)*N219)</f>
        <v/>
      </c>
      <c r="I219" s="107" t="str">
        <f>TRIM(Formulario!I230)</f>
        <v/>
      </c>
      <c r="J219" s="11" t="str">
        <f>TRIM(Formulario!J230)</f>
        <v/>
      </c>
      <c r="K219" s="11" t="str">
        <f>TRIM(Formulario!K230)</f>
        <v/>
      </c>
      <c r="L219" s="107" t="str">
        <f>TRIM(Formulario!L230)</f>
        <v/>
      </c>
      <c r="M219" s="107" t="str">
        <f>TRIM(Formulario!M230)</f>
        <v>0</v>
      </c>
      <c r="N219" s="11" t="str">
        <f>TRIM(Formulario!H230)</f>
        <v/>
      </c>
      <c r="P219" s="17"/>
      <c r="Q219" s="104"/>
      <c r="R219" s="104"/>
      <c r="S219" s="117"/>
      <c r="T219" s="101"/>
      <c r="U219" s="101"/>
      <c r="V219" s="101"/>
      <c r="W219" s="102"/>
      <c r="X219" s="102"/>
      <c r="Y219" s="102"/>
      <c r="Z219" s="102"/>
      <c r="AA219" s="102"/>
      <c r="AB219" s="102"/>
      <c r="AC219" s="102"/>
      <c r="AD219" s="102"/>
    </row>
    <row r="220" spans="1:30">
      <c r="A220" s="8" t="str">
        <f>IF(L220="","",Formulario!B231)</f>
        <v/>
      </c>
      <c r="B220" s="119"/>
      <c r="C220" s="120"/>
      <c r="D220" s="121"/>
      <c r="E220" s="129" t="str">
        <f>IF(F220="","",Formulario!B231)</f>
        <v/>
      </c>
      <c r="F220" s="11" t="str">
        <f>TRIM(Formulario!D231)</f>
        <v/>
      </c>
      <c r="G220" s="11" t="str">
        <f>TRIM(Formulario!F231)</f>
        <v/>
      </c>
      <c r="H220" s="146" t="str">
        <f>IF(N220="",TRIM(Formulario!G231),TRIM(Formulario!G231)*N220)</f>
        <v/>
      </c>
      <c r="I220" s="107" t="str">
        <f>TRIM(Formulario!I231)</f>
        <v/>
      </c>
      <c r="J220" s="11" t="str">
        <f>TRIM(Formulario!J231)</f>
        <v/>
      </c>
      <c r="K220" s="11" t="str">
        <f>TRIM(Formulario!K231)</f>
        <v/>
      </c>
      <c r="L220" s="107" t="str">
        <f>TRIM(Formulario!L231)</f>
        <v/>
      </c>
      <c r="M220" s="107" t="str">
        <f>TRIM(Formulario!M231)</f>
        <v>0</v>
      </c>
      <c r="N220" s="11" t="str">
        <f>TRIM(Formulario!H231)</f>
        <v/>
      </c>
      <c r="P220" s="17"/>
      <c r="Q220" s="104"/>
      <c r="R220" s="104"/>
      <c r="S220" s="117"/>
      <c r="T220" s="101"/>
      <c r="U220" s="101"/>
      <c r="V220" s="101"/>
      <c r="W220" s="102"/>
      <c r="X220" s="102"/>
      <c r="Y220" s="102"/>
      <c r="Z220" s="102"/>
      <c r="AA220" s="102"/>
      <c r="AB220" s="102"/>
      <c r="AC220" s="102"/>
      <c r="AD220" s="102"/>
    </row>
    <row r="221" spans="1:30">
      <c r="A221" s="8" t="str">
        <f>IF(L221="","",Formulario!B232)</f>
        <v/>
      </c>
      <c r="B221" s="119"/>
      <c r="C221" s="120"/>
      <c r="D221" s="121"/>
      <c r="E221" s="129" t="str">
        <f>IF(F221="","",Formulario!B232)</f>
        <v/>
      </c>
      <c r="F221" s="11" t="str">
        <f>TRIM(Formulario!D232)</f>
        <v/>
      </c>
      <c r="G221" s="11" t="str">
        <f>TRIM(Formulario!F232)</f>
        <v/>
      </c>
      <c r="H221" s="146" t="str">
        <f>IF(N221="",TRIM(Formulario!G232),TRIM(Formulario!G232)*N221)</f>
        <v/>
      </c>
      <c r="I221" s="107" t="str">
        <f>TRIM(Formulario!I232)</f>
        <v/>
      </c>
      <c r="J221" s="11" t="str">
        <f>TRIM(Formulario!J232)</f>
        <v/>
      </c>
      <c r="K221" s="11" t="str">
        <f>TRIM(Formulario!K232)</f>
        <v/>
      </c>
      <c r="L221" s="107" t="str">
        <f>TRIM(Formulario!L232)</f>
        <v/>
      </c>
      <c r="M221" s="107" t="str">
        <f>TRIM(Formulario!M232)</f>
        <v>0</v>
      </c>
      <c r="N221" s="11" t="str">
        <f>TRIM(Formulario!H232)</f>
        <v/>
      </c>
      <c r="P221" s="17"/>
      <c r="Q221" s="104"/>
      <c r="R221" s="104"/>
      <c r="S221" s="117"/>
      <c r="T221" s="101"/>
      <c r="U221" s="101"/>
      <c r="V221" s="101"/>
      <c r="W221" s="102"/>
      <c r="X221" s="102"/>
      <c r="Y221" s="102"/>
      <c r="Z221" s="102"/>
      <c r="AA221" s="102"/>
      <c r="AB221" s="102"/>
      <c r="AC221" s="102"/>
      <c r="AD221" s="102"/>
    </row>
    <row r="222" spans="1:30">
      <c r="A222" s="8" t="str">
        <f>IF(L222="","",Formulario!B233)</f>
        <v/>
      </c>
      <c r="B222" s="119"/>
      <c r="C222" s="120"/>
      <c r="D222" s="121"/>
      <c r="E222" s="129" t="str">
        <f>IF(F222="","",Formulario!B233)</f>
        <v/>
      </c>
      <c r="F222" s="11" t="str">
        <f>TRIM(Formulario!D233)</f>
        <v/>
      </c>
      <c r="G222" s="11" t="str">
        <f>TRIM(Formulario!F233)</f>
        <v/>
      </c>
      <c r="H222" s="146" t="str">
        <f>IF(N222="",TRIM(Formulario!G233),TRIM(Formulario!G233)*N222)</f>
        <v/>
      </c>
      <c r="I222" s="107" t="str">
        <f>TRIM(Formulario!I233)</f>
        <v/>
      </c>
      <c r="J222" s="11" t="str">
        <f>TRIM(Formulario!J233)</f>
        <v/>
      </c>
      <c r="K222" s="11" t="str">
        <f>TRIM(Formulario!K233)</f>
        <v/>
      </c>
      <c r="L222" s="107" t="str">
        <f>TRIM(Formulario!L233)</f>
        <v/>
      </c>
      <c r="M222" s="107" t="str">
        <f>TRIM(Formulario!M233)</f>
        <v>0</v>
      </c>
      <c r="N222" s="11" t="str">
        <f>TRIM(Formulario!H233)</f>
        <v/>
      </c>
      <c r="P222" s="17"/>
      <c r="Q222" s="104"/>
      <c r="R222" s="104"/>
      <c r="S222" s="117"/>
      <c r="T222" s="101"/>
      <c r="U222" s="101"/>
      <c r="V222" s="101"/>
      <c r="W222" s="102"/>
      <c r="X222" s="102"/>
      <c r="Y222" s="102"/>
      <c r="Z222" s="102"/>
      <c r="AA222" s="102"/>
      <c r="AB222" s="102"/>
      <c r="AC222" s="102"/>
      <c r="AD222" s="102"/>
    </row>
    <row r="223" spans="1:30">
      <c r="A223" s="8" t="str">
        <f>IF(L223="","",Formulario!B234)</f>
        <v/>
      </c>
      <c r="B223" s="119"/>
      <c r="C223" s="120"/>
      <c r="D223" s="121"/>
      <c r="E223" s="129" t="str">
        <f>IF(F223="","",Formulario!B234)</f>
        <v/>
      </c>
      <c r="F223" s="11" t="str">
        <f>TRIM(Formulario!D234)</f>
        <v/>
      </c>
      <c r="G223" s="11" t="str">
        <f>TRIM(Formulario!F234)</f>
        <v/>
      </c>
      <c r="H223" s="146" t="str">
        <f>IF(N223="",TRIM(Formulario!G234),TRIM(Formulario!G234)*N223)</f>
        <v/>
      </c>
      <c r="I223" s="107" t="str">
        <f>TRIM(Formulario!I234)</f>
        <v/>
      </c>
      <c r="J223" s="11" t="str">
        <f>TRIM(Formulario!J234)</f>
        <v/>
      </c>
      <c r="K223" s="11" t="str">
        <f>TRIM(Formulario!K234)</f>
        <v/>
      </c>
      <c r="L223" s="107" t="str">
        <f>TRIM(Formulario!L234)</f>
        <v/>
      </c>
      <c r="M223" s="107" t="str">
        <f>TRIM(Formulario!M234)</f>
        <v>0</v>
      </c>
      <c r="N223" s="11" t="str">
        <f>TRIM(Formulario!H234)</f>
        <v/>
      </c>
      <c r="P223" s="17"/>
      <c r="Q223" s="104"/>
      <c r="R223" s="104"/>
      <c r="S223" s="117"/>
      <c r="T223" s="101"/>
      <c r="U223" s="101"/>
      <c r="V223" s="101"/>
      <c r="W223" s="102"/>
      <c r="X223" s="102"/>
      <c r="Y223" s="102"/>
      <c r="Z223" s="102"/>
      <c r="AA223" s="102"/>
      <c r="AB223" s="102"/>
      <c r="AC223" s="102"/>
      <c r="AD223" s="102"/>
    </row>
    <row r="224" spans="1:30">
      <c r="A224" s="8" t="str">
        <f>IF(L224="","",Formulario!B235)</f>
        <v/>
      </c>
      <c r="B224" s="119"/>
      <c r="C224" s="120"/>
      <c r="D224" s="121"/>
      <c r="E224" s="129" t="str">
        <f>IF(F224="","",Formulario!B235)</f>
        <v/>
      </c>
      <c r="F224" s="11" t="str">
        <f>TRIM(Formulario!D235)</f>
        <v/>
      </c>
      <c r="G224" s="11" t="str">
        <f>TRIM(Formulario!F235)</f>
        <v/>
      </c>
      <c r="H224" s="146" t="str">
        <f>IF(N224="",TRIM(Formulario!G235),TRIM(Formulario!G235)*N224)</f>
        <v/>
      </c>
      <c r="I224" s="107" t="str">
        <f>TRIM(Formulario!I235)</f>
        <v/>
      </c>
      <c r="J224" s="11" t="str">
        <f>TRIM(Formulario!J235)</f>
        <v/>
      </c>
      <c r="K224" s="11" t="str">
        <f>TRIM(Formulario!K235)</f>
        <v/>
      </c>
      <c r="L224" s="107" t="str">
        <f>TRIM(Formulario!L235)</f>
        <v/>
      </c>
      <c r="M224" s="107" t="str">
        <f>TRIM(Formulario!M235)</f>
        <v>0</v>
      </c>
      <c r="N224" s="11" t="str">
        <f>TRIM(Formulario!H235)</f>
        <v/>
      </c>
      <c r="P224" s="17"/>
      <c r="Q224" s="104"/>
      <c r="R224" s="104"/>
      <c r="S224" s="117"/>
      <c r="T224" s="101"/>
      <c r="U224" s="101"/>
      <c r="V224" s="101"/>
      <c r="W224" s="102"/>
      <c r="X224" s="102"/>
      <c r="Y224" s="102"/>
      <c r="Z224" s="102"/>
      <c r="AA224" s="102"/>
      <c r="AB224" s="102"/>
      <c r="AC224" s="102"/>
      <c r="AD224" s="102"/>
    </row>
    <row r="225" spans="1:30">
      <c r="A225" s="8" t="str">
        <f>IF(L225="","",Formulario!B236)</f>
        <v/>
      </c>
      <c r="B225" s="119"/>
      <c r="C225" s="120"/>
      <c r="D225" s="121"/>
      <c r="E225" s="129" t="str">
        <f>IF(F225="","",Formulario!B236)</f>
        <v/>
      </c>
      <c r="F225" s="11" t="str">
        <f>TRIM(Formulario!D236)</f>
        <v/>
      </c>
      <c r="G225" s="11" t="str">
        <f>TRIM(Formulario!F236)</f>
        <v/>
      </c>
      <c r="H225" s="146" t="str">
        <f>IF(N225="",TRIM(Formulario!G236),TRIM(Formulario!G236)*N225)</f>
        <v/>
      </c>
      <c r="I225" s="107" t="str">
        <f>TRIM(Formulario!I236)</f>
        <v/>
      </c>
      <c r="J225" s="11" t="str">
        <f>TRIM(Formulario!J236)</f>
        <v/>
      </c>
      <c r="K225" s="11" t="str">
        <f>TRIM(Formulario!K236)</f>
        <v/>
      </c>
      <c r="L225" s="107" t="str">
        <f>TRIM(Formulario!L236)</f>
        <v/>
      </c>
      <c r="M225" s="107" t="str">
        <f>TRIM(Formulario!M236)</f>
        <v>0</v>
      </c>
      <c r="N225" s="11" t="str">
        <f>TRIM(Formulario!H236)</f>
        <v/>
      </c>
      <c r="P225" s="17"/>
      <c r="Q225" s="104"/>
      <c r="R225" s="104"/>
      <c r="S225" s="117"/>
      <c r="T225" s="101"/>
      <c r="U225" s="101"/>
      <c r="V225" s="101"/>
      <c r="W225" s="102"/>
      <c r="X225" s="102"/>
      <c r="Y225" s="102"/>
      <c r="Z225" s="102"/>
      <c r="AA225" s="102"/>
      <c r="AB225" s="102"/>
      <c r="AC225" s="102"/>
      <c r="AD225" s="102"/>
    </row>
    <row r="226" spans="1:30">
      <c r="A226" s="8" t="str">
        <f>IF(L226="","",Formulario!B237)</f>
        <v/>
      </c>
      <c r="B226" s="119"/>
      <c r="C226" s="120"/>
      <c r="D226" s="121"/>
      <c r="E226" s="129" t="str">
        <f>IF(F226="","",Formulario!B237)</f>
        <v/>
      </c>
      <c r="F226" s="11" t="str">
        <f>TRIM(Formulario!D237)</f>
        <v/>
      </c>
      <c r="G226" s="11" t="str">
        <f>TRIM(Formulario!F237)</f>
        <v/>
      </c>
      <c r="H226" s="146" t="str">
        <f>IF(N226="",TRIM(Formulario!G237),TRIM(Formulario!G237)*N226)</f>
        <v/>
      </c>
      <c r="I226" s="107" t="str">
        <f>TRIM(Formulario!I237)</f>
        <v/>
      </c>
      <c r="J226" s="11" t="str">
        <f>TRIM(Formulario!J237)</f>
        <v/>
      </c>
      <c r="K226" s="11" t="str">
        <f>TRIM(Formulario!K237)</f>
        <v/>
      </c>
      <c r="L226" s="107" t="str">
        <f>TRIM(Formulario!L237)</f>
        <v/>
      </c>
      <c r="M226" s="107" t="str">
        <f>TRIM(Formulario!M237)</f>
        <v>0</v>
      </c>
      <c r="N226" s="11" t="str">
        <f>TRIM(Formulario!H237)</f>
        <v/>
      </c>
      <c r="P226" s="17"/>
      <c r="Q226" s="104"/>
      <c r="R226" s="104"/>
      <c r="S226" s="117"/>
      <c r="T226" s="101"/>
      <c r="U226" s="101"/>
      <c r="V226" s="101"/>
      <c r="W226" s="102"/>
      <c r="X226" s="102"/>
      <c r="Y226" s="102"/>
      <c r="Z226" s="102"/>
      <c r="AA226" s="102"/>
      <c r="AB226" s="102"/>
      <c r="AC226" s="102"/>
      <c r="AD226" s="102"/>
    </row>
    <row r="227" spans="1:30">
      <c r="A227" s="8" t="str">
        <f>IF(L227="","",Formulario!B238)</f>
        <v/>
      </c>
      <c r="B227" s="119"/>
      <c r="C227" s="120"/>
      <c r="D227" s="121"/>
      <c r="E227" s="129" t="str">
        <f>IF(F227="","",Formulario!B238)</f>
        <v/>
      </c>
      <c r="F227" s="11" t="str">
        <f>TRIM(Formulario!D238)</f>
        <v/>
      </c>
      <c r="G227" s="11" t="str">
        <f>TRIM(Formulario!F238)</f>
        <v/>
      </c>
      <c r="H227" s="146" t="str">
        <f>IF(N227="",TRIM(Formulario!G238),TRIM(Formulario!G238)*N227)</f>
        <v/>
      </c>
      <c r="I227" s="107" t="str">
        <f>TRIM(Formulario!I238)</f>
        <v/>
      </c>
      <c r="J227" s="11" t="str">
        <f>TRIM(Formulario!J238)</f>
        <v/>
      </c>
      <c r="K227" s="11" t="str">
        <f>TRIM(Formulario!K238)</f>
        <v/>
      </c>
      <c r="L227" s="107" t="str">
        <f>TRIM(Formulario!L238)</f>
        <v/>
      </c>
      <c r="M227" s="107" t="str">
        <f>TRIM(Formulario!M238)</f>
        <v>0</v>
      </c>
      <c r="N227" s="11" t="str">
        <f>TRIM(Formulario!H238)</f>
        <v/>
      </c>
      <c r="P227" s="17"/>
      <c r="Q227" s="104"/>
      <c r="R227" s="104"/>
      <c r="S227" s="117"/>
      <c r="T227" s="101"/>
      <c r="U227" s="101"/>
      <c r="V227" s="101"/>
      <c r="W227" s="102"/>
      <c r="X227" s="102"/>
      <c r="Y227" s="102"/>
      <c r="Z227" s="102"/>
      <c r="AA227" s="102"/>
      <c r="AB227" s="102"/>
      <c r="AC227" s="102"/>
      <c r="AD227" s="102"/>
    </row>
    <row r="228" spans="1:30">
      <c r="A228" s="8" t="str">
        <f>IF(L228="","",Formulario!B239)</f>
        <v/>
      </c>
      <c r="B228" s="119"/>
      <c r="C228" s="120"/>
      <c r="D228" s="121"/>
      <c r="E228" s="129" t="str">
        <f>IF(F228="","",Formulario!B239)</f>
        <v/>
      </c>
      <c r="F228" s="11" t="str">
        <f>TRIM(Formulario!D239)</f>
        <v/>
      </c>
      <c r="G228" s="11" t="str">
        <f>TRIM(Formulario!F239)</f>
        <v/>
      </c>
      <c r="H228" s="146" t="str">
        <f>IF(N228="",TRIM(Formulario!G239),TRIM(Formulario!G239)*N228)</f>
        <v/>
      </c>
      <c r="I228" s="107" t="str">
        <f>TRIM(Formulario!I239)</f>
        <v/>
      </c>
      <c r="J228" s="11" t="str">
        <f>TRIM(Formulario!J239)</f>
        <v/>
      </c>
      <c r="K228" s="11" t="str">
        <f>TRIM(Formulario!K239)</f>
        <v/>
      </c>
      <c r="L228" s="107" t="str">
        <f>TRIM(Formulario!L239)</f>
        <v/>
      </c>
      <c r="M228" s="107" t="str">
        <f>TRIM(Formulario!M239)</f>
        <v>0</v>
      </c>
      <c r="N228" s="11" t="str">
        <f>TRIM(Formulario!H239)</f>
        <v/>
      </c>
      <c r="P228" s="17"/>
      <c r="Q228" s="104"/>
      <c r="R228" s="104"/>
      <c r="S228" s="117"/>
      <c r="T228" s="101"/>
      <c r="U228" s="101"/>
      <c r="V228" s="101"/>
      <c r="W228" s="102"/>
      <c r="X228" s="102"/>
      <c r="Y228" s="102"/>
      <c r="Z228" s="102"/>
      <c r="AA228" s="102"/>
      <c r="AB228" s="102"/>
      <c r="AC228" s="102"/>
      <c r="AD228" s="102"/>
    </row>
    <row r="229" spans="1:30">
      <c r="A229" s="8" t="str">
        <f>IF(L229="","",Formulario!B240)</f>
        <v/>
      </c>
      <c r="B229" s="119"/>
      <c r="C229" s="120"/>
      <c r="D229" s="121"/>
      <c r="E229" s="129" t="str">
        <f>IF(F229="","",Formulario!B240)</f>
        <v/>
      </c>
      <c r="F229" s="11" t="str">
        <f>TRIM(Formulario!D240)</f>
        <v/>
      </c>
      <c r="G229" s="11" t="str">
        <f>TRIM(Formulario!F240)</f>
        <v/>
      </c>
      <c r="H229" s="146" t="str">
        <f>IF(N229="",TRIM(Formulario!G240),TRIM(Formulario!G240)*N229)</f>
        <v/>
      </c>
      <c r="I229" s="107" t="str">
        <f>TRIM(Formulario!I240)</f>
        <v/>
      </c>
      <c r="J229" s="11" t="str">
        <f>TRIM(Formulario!J240)</f>
        <v/>
      </c>
      <c r="K229" s="11" t="str">
        <f>TRIM(Formulario!K240)</f>
        <v/>
      </c>
      <c r="L229" s="107" t="str">
        <f>TRIM(Formulario!L240)</f>
        <v/>
      </c>
      <c r="M229" s="107" t="str">
        <f>TRIM(Formulario!M240)</f>
        <v>0</v>
      </c>
      <c r="N229" s="11" t="str">
        <f>TRIM(Formulario!H240)</f>
        <v/>
      </c>
      <c r="P229" s="17"/>
      <c r="Q229" s="104"/>
      <c r="R229" s="104"/>
      <c r="S229" s="117"/>
      <c r="T229" s="101"/>
      <c r="U229" s="101"/>
      <c r="V229" s="101"/>
      <c r="W229" s="102"/>
      <c r="X229" s="102"/>
      <c r="Y229" s="102"/>
      <c r="Z229" s="102"/>
      <c r="AA229" s="102"/>
      <c r="AB229" s="102"/>
      <c r="AC229" s="102"/>
      <c r="AD229" s="102"/>
    </row>
    <row r="230" spans="1:30">
      <c r="A230" s="8" t="str">
        <f>IF(L230="","",Formulario!B241)</f>
        <v/>
      </c>
      <c r="B230" s="119"/>
      <c r="C230" s="120"/>
      <c r="D230" s="121"/>
      <c r="E230" s="129" t="str">
        <f>IF(F230="","",Formulario!B241)</f>
        <v/>
      </c>
      <c r="F230" s="11" t="str">
        <f>TRIM(Formulario!D241)</f>
        <v/>
      </c>
      <c r="G230" s="11" t="str">
        <f>TRIM(Formulario!F241)</f>
        <v/>
      </c>
      <c r="H230" s="146" t="str">
        <f>IF(N230="",TRIM(Formulario!G241),TRIM(Formulario!G241)*N230)</f>
        <v/>
      </c>
      <c r="I230" s="107" t="str">
        <f>TRIM(Formulario!I241)</f>
        <v/>
      </c>
      <c r="J230" s="11" t="str">
        <f>TRIM(Formulario!J241)</f>
        <v/>
      </c>
      <c r="K230" s="11" t="str">
        <f>TRIM(Formulario!K241)</f>
        <v/>
      </c>
      <c r="L230" s="107" t="str">
        <f>TRIM(Formulario!L241)</f>
        <v/>
      </c>
      <c r="M230" s="107" t="str">
        <f>TRIM(Formulario!M241)</f>
        <v>0</v>
      </c>
      <c r="N230" s="11" t="str">
        <f>TRIM(Formulario!H241)</f>
        <v/>
      </c>
      <c r="P230" s="17"/>
      <c r="Q230" s="104"/>
      <c r="R230" s="104"/>
      <c r="S230" s="117"/>
      <c r="T230" s="101"/>
      <c r="U230" s="101"/>
      <c r="V230" s="101"/>
      <c r="W230" s="102"/>
      <c r="X230" s="102"/>
      <c r="Y230" s="102"/>
      <c r="Z230" s="102"/>
      <c r="AA230" s="102"/>
      <c r="AB230" s="102"/>
      <c r="AC230" s="102"/>
      <c r="AD230" s="102"/>
    </row>
    <row r="231" spans="1:30">
      <c r="A231" s="8" t="str">
        <f>IF(L231="","",Formulario!B242)</f>
        <v/>
      </c>
      <c r="B231" s="119"/>
      <c r="C231" s="120"/>
      <c r="D231" s="121"/>
      <c r="E231" s="129" t="str">
        <f>IF(F231="","",Formulario!B242)</f>
        <v/>
      </c>
      <c r="F231" s="11" t="str">
        <f>TRIM(Formulario!D242)</f>
        <v/>
      </c>
      <c r="G231" s="11" t="str">
        <f>TRIM(Formulario!F242)</f>
        <v/>
      </c>
      <c r="H231" s="146" t="str">
        <f>IF(N231="",TRIM(Formulario!G242),TRIM(Formulario!G242)*N231)</f>
        <v/>
      </c>
      <c r="I231" s="107" t="str">
        <f>TRIM(Formulario!I242)</f>
        <v/>
      </c>
      <c r="J231" s="11" t="str">
        <f>TRIM(Formulario!J242)</f>
        <v/>
      </c>
      <c r="K231" s="11" t="str">
        <f>TRIM(Formulario!K242)</f>
        <v/>
      </c>
      <c r="L231" s="107" t="str">
        <f>TRIM(Formulario!L242)</f>
        <v/>
      </c>
      <c r="M231" s="107" t="str">
        <f>TRIM(Formulario!M242)</f>
        <v>0</v>
      </c>
      <c r="N231" s="11" t="str">
        <f>TRIM(Formulario!H242)</f>
        <v/>
      </c>
      <c r="P231" s="17"/>
      <c r="Q231" s="104"/>
      <c r="R231" s="104"/>
      <c r="S231" s="117"/>
      <c r="T231" s="101"/>
      <c r="U231" s="101"/>
      <c r="V231" s="101"/>
      <c r="W231" s="102"/>
      <c r="X231" s="102"/>
      <c r="Y231" s="102"/>
      <c r="Z231" s="102"/>
      <c r="AA231" s="102"/>
      <c r="AB231" s="102"/>
      <c r="AC231" s="102"/>
      <c r="AD231" s="102"/>
    </row>
    <row r="232" spans="1:30">
      <c r="A232" s="8" t="str">
        <f>IF(L232="","",Formulario!B243)</f>
        <v/>
      </c>
      <c r="B232" s="119"/>
      <c r="C232" s="120"/>
      <c r="D232" s="121"/>
      <c r="E232" s="129" t="str">
        <f>IF(F232="","",Formulario!B243)</f>
        <v/>
      </c>
      <c r="F232" s="11" t="str">
        <f>TRIM(Formulario!D243)</f>
        <v/>
      </c>
      <c r="G232" s="11" t="str">
        <f>TRIM(Formulario!F243)</f>
        <v/>
      </c>
      <c r="H232" s="146" t="str">
        <f>IF(N232="",TRIM(Formulario!G243),TRIM(Formulario!G243)*N232)</f>
        <v/>
      </c>
      <c r="I232" s="107" t="str">
        <f>TRIM(Formulario!I243)</f>
        <v/>
      </c>
      <c r="J232" s="11" t="str">
        <f>TRIM(Formulario!J243)</f>
        <v/>
      </c>
      <c r="K232" s="11" t="str">
        <f>TRIM(Formulario!K243)</f>
        <v/>
      </c>
      <c r="L232" s="107" t="str">
        <f>TRIM(Formulario!L243)</f>
        <v/>
      </c>
      <c r="M232" s="107" t="str">
        <f>TRIM(Formulario!M243)</f>
        <v>0</v>
      </c>
      <c r="N232" s="11" t="str">
        <f>TRIM(Formulario!H243)</f>
        <v/>
      </c>
      <c r="P232" s="17"/>
      <c r="Q232" s="104"/>
      <c r="R232" s="104"/>
      <c r="S232" s="117"/>
      <c r="T232" s="101"/>
      <c r="U232" s="101"/>
      <c r="V232" s="101"/>
      <c r="W232" s="102"/>
      <c r="X232" s="102"/>
      <c r="Y232" s="102"/>
      <c r="Z232" s="102"/>
      <c r="AA232" s="102"/>
      <c r="AB232" s="102"/>
      <c r="AC232" s="102"/>
      <c r="AD232" s="102"/>
    </row>
    <row r="233" spans="1:30">
      <c r="A233" s="8" t="str">
        <f>IF(L233="","",Formulario!B244)</f>
        <v/>
      </c>
      <c r="B233" s="119"/>
      <c r="C233" s="120"/>
      <c r="D233" s="121"/>
      <c r="E233" s="129" t="str">
        <f>IF(F233="","",Formulario!B244)</f>
        <v/>
      </c>
      <c r="F233" s="11" t="str">
        <f>TRIM(Formulario!D244)</f>
        <v/>
      </c>
      <c r="G233" s="11" t="str">
        <f>TRIM(Formulario!F244)</f>
        <v/>
      </c>
      <c r="H233" s="146" t="str">
        <f>IF(N233="",TRIM(Formulario!G244),TRIM(Formulario!G244)*N233)</f>
        <v/>
      </c>
      <c r="I233" s="107" t="str">
        <f>TRIM(Formulario!I244)</f>
        <v/>
      </c>
      <c r="J233" s="11" t="str">
        <f>TRIM(Formulario!J244)</f>
        <v/>
      </c>
      <c r="K233" s="11" t="str">
        <f>TRIM(Formulario!K244)</f>
        <v/>
      </c>
      <c r="L233" s="107" t="str">
        <f>TRIM(Formulario!L244)</f>
        <v/>
      </c>
      <c r="M233" s="107" t="str">
        <f>TRIM(Formulario!M244)</f>
        <v>0</v>
      </c>
      <c r="N233" s="11" t="str">
        <f>TRIM(Formulario!H244)</f>
        <v/>
      </c>
      <c r="P233" s="17"/>
      <c r="Q233" s="104"/>
      <c r="R233" s="104"/>
      <c r="S233" s="117"/>
      <c r="T233" s="101"/>
      <c r="U233" s="101"/>
      <c r="V233" s="101"/>
      <c r="W233" s="102"/>
      <c r="X233" s="102"/>
      <c r="Y233" s="102"/>
      <c r="Z233" s="102"/>
      <c r="AA233" s="102"/>
      <c r="AB233" s="102"/>
      <c r="AC233" s="102"/>
      <c r="AD233" s="102"/>
    </row>
    <row r="234" spans="1:30">
      <c r="A234" s="8" t="str">
        <f>IF(L234="","",Formulario!B245)</f>
        <v/>
      </c>
      <c r="B234" s="119"/>
      <c r="C234" s="120"/>
      <c r="D234" s="121"/>
      <c r="E234" s="129" t="str">
        <f>IF(F234="","",Formulario!B245)</f>
        <v/>
      </c>
      <c r="F234" s="11" t="str">
        <f>TRIM(Formulario!D245)</f>
        <v/>
      </c>
      <c r="G234" s="11" t="str">
        <f>TRIM(Formulario!F245)</f>
        <v/>
      </c>
      <c r="H234" s="146" t="str">
        <f>IF(N234="",TRIM(Formulario!G245),TRIM(Formulario!G245)*N234)</f>
        <v/>
      </c>
      <c r="I234" s="107" t="str">
        <f>TRIM(Formulario!I245)</f>
        <v/>
      </c>
      <c r="J234" s="11" t="str">
        <f>TRIM(Formulario!J245)</f>
        <v/>
      </c>
      <c r="K234" s="11" t="str">
        <f>TRIM(Formulario!K245)</f>
        <v/>
      </c>
      <c r="L234" s="107" t="str">
        <f>TRIM(Formulario!L245)</f>
        <v/>
      </c>
      <c r="M234" s="107" t="str">
        <f>TRIM(Formulario!M245)</f>
        <v>0</v>
      </c>
      <c r="N234" s="11" t="str">
        <f>TRIM(Formulario!H245)</f>
        <v/>
      </c>
      <c r="P234" s="17"/>
      <c r="Q234" s="104"/>
      <c r="R234" s="104"/>
      <c r="S234" s="117"/>
      <c r="T234" s="101"/>
      <c r="U234" s="101"/>
      <c r="V234" s="101"/>
      <c r="W234" s="102"/>
      <c r="X234" s="102"/>
      <c r="Y234" s="102"/>
      <c r="Z234" s="102"/>
      <c r="AA234" s="102"/>
      <c r="AB234" s="102"/>
      <c r="AC234" s="102"/>
      <c r="AD234" s="102"/>
    </row>
    <row r="235" spans="1:30">
      <c r="A235" s="8" t="str">
        <f>IF(L235="","",Formulario!B246)</f>
        <v/>
      </c>
      <c r="B235" s="119"/>
      <c r="C235" s="120"/>
      <c r="D235" s="121"/>
      <c r="E235" s="129" t="str">
        <f>IF(F235="","",Formulario!B246)</f>
        <v/>
      </c>
      <c r="F235" s="11" t="str">
        <f>TRIM(Formulario!D246)</f>
        <v/>
      </c>
      <c r="G235" s="11" t="str">
        <f>TRIM(Formulario!F246)</f>
        <v/>
      </c>
      <c r="H235" s="146" t="str">
        <f>IF(N235="",TRIM(Formulario!G246),TRIM(Formulario!G246)*N235)</f>
        <v/>
      </c>
      <c r="I235" s="107" t="str">
        <f>TRIM(Formulario!I246)</f>
        <v/>
      </c>
      <c r="J235" s="11" t="str">
        <f>TRIM(Formulario!J246)</f>
        <v/>
      </c>
      <c r="K235" s="11" t="str">
        <f>TRIM(Formulario!K246)</f>
        <v/>
      </c>
      <c r="L235" s="107" t="str">
        <f>TRIM(Formulario!L246)</f>
        <v/>
      </c>
      <c r="M235" s="107" t="str">
        <f>TRIM(Formulario!M246)</f>
        <v>0</v>
      </c>
      <c r="N235" s="11" t="str">
        <f>TRIM(Formulario!H246)</f>
        <v/>
      </c>
      <c r="P235" s="17"/>
      <c r="Q235" s="104"/>
      <c r="R235" s="104"/>
      <c r="S235" s="117"/>
      <c r="T235" s="101"/>
      <c r="U235" s="101"/>
      <c r="V235" s="101"/>
      <c r="W235" s="102"/>
      <c r="X235" s="102"/>
      <c r="Y235" s="102"/>
      <c r="Z235" s="102"/>
      <c r="AA235" s="102"/>
      <c r="AB235" s="102"/>
      <c r="AC235" s="102"/>
      <c r="AD235" s="102"/>
    </row>
    <row r="236" spans="1:30">
      <c r="A236" s="8" t="str">
        <f>IF(L236="","",Formulario!B247)</f>
        <v/>
      </c>
      <c r="B236" s="119"/>
      <c r="C236" s="120"/>
      <c r="D236" s="121"/>
      <c r="E236" s="129" t="str">
        <f>IF(F236="","",Formulario!B247)</f>
        <v/>
      </c>
      <c r="F236" s="11" t="str">
        <f>TRIM(Formulario!D247)</f>
        <v/>
      </c>
      <c r="G236" s="11" t="str">
        <f>TRIM(Formulario!F247)</f>
        <v/>
      </c>
      <c r="H236" s="146" t="str">
        <f>IF(N236="",TRIM(Formulario!G247),TRIM(Formulario!G247)*N236)</f>
        <v/>
      </c>
      <c r="I236" s="107" t="str">
        <f>TRIM(Formulario!I247)</f>
        <v/>
      </c>
      <c r="J236" s="11" t="str">
        <f>TRIM(Formulario!J247)</f>
        <v/>
      </c>
      <c r="K236" s="11" t="str">
        <f>TRIM(Formulario!K247)</f>
        <v/>
      </c>
      <c r="L236" s="107" t="str">
        <f>TRIM(Formulario!L247)</f>
        <v/>
      </c>
      <c r="M236" s="107" t="str">
        <f>TRIM(Formulario!M247)</f>
        <v>0</v>
      </c>
      <c r="N236" s="11" t="str">
        <f>TRIM(Formulario!H247)</f>
        <v/>
      </c>
      <c r="P236" s="17"/>
      <c r="Q236" s="104"/>
      <c r="R236" s="104"/>
      <c r="S236" s="117"/>
      <c r="T236" s="101"/>
      <c r="U236" s="101"/>
      <c r="V236" s="101"/>
      <c r="W236" s="102"/>
      <c r="X236" s="102"/>
      <c r="Y236" s="102"/>
      <c r="Z236" s="102"/>
      <c r="AA236" s="102"/>
      <c r="AB236" s="102"/>
      <c r="AC236" s="102"/>
      <c r="AD236" s="102"/>
    </row>
    <row r="237" spans="1:30">
      <c r="A237" s="8" t="str">
        <f>IF(L237="","",Formulario!B248)</f>
        <v/>
      </c>
      <c r="B237" s="119"/>
      <c r="C237" s="120"/>
      <c r="D237" s="121"/>
      <c r="E237" s="129" t="str">
        <f>IF(F237="","",Formulario!B248)</f>
        <v/>
      </c>
      <c r="F237" s="11" t="str">
        <f>TRIM(Formulario!D248)</f>
        <v/>
      </c>
      <c r="G237" s="11" t="str">
        <f>TRIM(Formulario!F248)</f>
        <v/>
      </c>
      <c r="H237" s="146" t="str">
        <f>IF(N237="",TRIM(Formulario!G248),TRIM(Formulario!G248)*N237)</f>
        <v/>
      </c>
      <c r="I237" s="107" t="str">
        <f>TRIM(Formulario!I248)</f>
        <v/>
      </c>
      <c r="J237" s="11" t="str">
        <f>TRIM(Formulario!J248)</f>
        <v/>
      </c>
      <c r="K237" s="11" t="str">
        <f>TRIM(Formulario!K248)</f>
        <v/>
      </c>
      <c r="L237" s="107" t="str">
        <f>TRIM(Formulario!L248)</f>
        <v/>
      </c>
      <c r="M237" s="107" t="str">
        <f>TRIM(Formulario!M248)</f>
        <v>0</v>
      </c>
      <c r="N237" s="11" t="str">
        <f>TRIM(Formulario!H248)</f>
        <v/>
      </c>
      <c r="P237" s="17"/>
      <c r="Q237" s="104"/>
      <c r="R237" s="104"/>
      <c r="S237" s="117"/>
      <c r="T237" s="101"/>
      <c r="U237" s="101"/>
      <c r="V237" s="101"/>
      <c r="W237" s="102"/>
      <c r="X237" s="102"/>
      <c r="Y237" s="102"/>
      <c r="Z237" s="102"/>
      <c r="AA237" s="102"/>
      <c r="AB237" s="102"/>
      <c r="AC237" s="102"/>
      <c r="AD237" s="102"/>
    </row>
    <row r="238" spans="1:30">
      <c r="A238" s="8" t="str">
        <f>IF(L238="","",Formulario!B249)</f>
        <v/>
      </c>
      <c r="B238" s="119"/>
      <c r="C238" s="120"/>
      <c r="D238" s="121"/>
      <c r="E238" s="129" t="str">
        <f>IF(F238="","",Formulario!B249)</f>
        <v/>
      </c>
      <c r="F238" s="11" t="str">
        <f>TRIM(Formulario!D249)</f>
        <v/>
      </c>
      <c r="G238" s="11" t="str">
        <f>TRIM(Formulario!F249)</f>
        <v/>
      </c>
      <c r="H238" s="146" t="str">
        <f>IF(N238="",TRIM(Formulario!G249),TRIM(Formulario!G249)*N238)</f>
        <v/>
      </c>
      <c r="I238" s="107" t="str">
        <f>TRIM(Formulario!I249)</f>
        <v/>
      </c>
      <c r="J238" s="11" t="str">
        <f>TRIM(Formulario!J249)</f>
        <v/>
      </c>
      <c r="K238" s="11" t="str">
        <f>TRIM(Formulario!K249)</f>
        <v/>
      </c>
      <c r="L238" s="107" t="str">
        <f>TRIM(Formulario!L249)</f>
        <v/>
      </c>
      <c r="M238" s="107" t="str">
        <f>TRIM(Formulario!M249)</f>
        <v>0</v>
      </c>
      <c r="N238" s="11" t="str">
        <f>TRIM(Formulario!H249)</f>
        <v/>
      </c>
      <c r="P238" s="17"/>
      <c r="Q238" s="104"/>
      <c r="R238" s="104"/>
      <c r="S238" s="117"/>
      <c r="T238" s="101"/>
      <c r="U238" s="101"/>
      <c r="V238" s="101"/>
      <c r="W238" s="102"/>
      <c r="X238" s="102"/>
      <c r="Y238" s="102"/>
      <c r="Z238" s="102"/>
      <c r="AA238" s="102"/>
      <c r="AB238" s="102"/>
      <c r="AC238" s="102"/>
      <c r="AD238" s="102"/>
    </row>
    <row r="239" spans="1:30">
      <c r="A239" s="8" t="str">
        <f>IF(L239="","",Formulario!B250)</f>
        <v/>
      </c>
      <c r="B239" s="119"/>
      <c r="C239" s="120"/>
      <c r="D239" s="121"/>
      <c r="E239" s="129" t="str">
        <f>IF(F239="","",Formulario!B250)</f>
        <v/>
      </c>
      <c r="F239" s="11" t="str">
        <f>TRIM(Formulario!D250)</f>
        <v/>
      </c>
      <c r="G239" s="11" t="str">
        <f>TRIM(Formulario!F250)</f>
        <v/>
      </c>
      <c r="H239" s="146" t="str">
        <f>IF(N239="",TRIM(Formulario!G250),TRIM(Formulario!G250)*N239)</f>
        <v/>
      </c>
      <c r="I239" s="107" t="str">
        <f>TRIM(Formulario!I250)</f>
        <v/>
      </c>
      <c r="J239" s="11" t="str">
        <f>TRIM(Formulario!J250)</f>
        <v/>
      </c>
      <c r="K239" s="11" t="str">
        <f>TRIM(Formulario!K250)</f>
        <v/>
      </c>
      <c r="L239" s="107" t="str">
        <f>TRIM(Formulario!L250)</f>
        <v/>
      </c>
      <c r="M239" s="107" t="str">
        <f>TRIM(Formulario!M250)</f>
        <v>0</v>
      </c>
      <c r="N239" s="11" t="str">
        <f>TRIM(Formulario!H250)</f>
        <v/>
      </c>
      <c r="P239" s="17"/>
      <c r="Q239" s="104"/>
      <c r="R239" s="104"/>
      <c r="S239" s="117"/>
      <c r="T239" s="101"/>
      <c r="U239" s="101"/>
      <c r="V239" s="101"/>
      <c r="W239" s="102"/>
      <c r="X239" s="102"/>
      <c r="Y239" s="102"/>
      <c r="Z239" s="102"/>
      <c r="AA239" s="102"/>
      <c r="AB239" s="102"/>
      <c r="AC239" s="102"/>
      <c r="AD239" s="102"/>
    </row>
    <row r="240" spans="1:30">
      <c r="A240" s="8" t="str">
        <f>IF(L240="","",Formulario!B251)</f>
        <v/>
      </c>
      <c r="B240" s="119"/>
      <c r="C240" s="120"/>
      <c r="D240" s="121"/>
      <c r="E240" s="129" t="str">
        <f>IF(F240="","",Formulario!B251)</f>
        <v/>
      </c>
      <c r="F240" s="11" t="str">
        <f>TRIM(Formulario!D251)</f>
        <v/>
      </c>
      <c r="G240" s="11" t="str">
        <f>TRIM(Formulario!F251)</f>
        <v/>
      </c>
      <c r="H240" s="146" t="str">
        <f>IF(N240="",TRIM(Formulario!G251),TRIM(Formulario!G251)*N240)</f>
        <v/>
      </c>
      <c r="I240" s="107" t="str">
        <f>TRIM(Formulario!I251)</f>
        <v/>
      </c>
      <c r="J240" s="11" t="str">
        <f>TRIM(Formulario!J251)</f>
        <v/>
      </c>
      <c r="K240" s="11" t="str">
        <f>TRIM(Formulario!K251)</f>
        <v/>
      </c>
      <c r="L240" s="107" t="str">
        <f>TRIM(Formulario!L251)</f>
        <v/>
      </c>
      <c r="M240" s="107" t="str">
        <f>TRIM(Formulario!M251)</f>
        <v>0</v>
      </c>
      <c r="N240" s="11" t="str">
        <f>TRIM(Formulario!H251)</f>
        <v/>
      </c>
      <c r="P240" s="17"/>
      <c r="Q240" s="104"/>
      <c r="R240" s="104"/>
      <c r="S240" s="117"/>
      <c r="T240" s="101"/>
      <c r="U240" s="101"/>
      <c r="V240" s="101"/>
      <c r="W240" s="102"/>
      <c r="X240" s="102"/>
      <c r="Y240" s="102"/>
      <c r="Z240" s="102"/>
      <c r="AA240" s="102"/>
      <c r="AB240" s="102"/>
      <c r="AC240" s="102"/>
      <c r="AD240" s="102"/>
    </row>
    <row r="241" spans="1:30">
      <c r="A241" s="8" t="str">
        <f>IF(L241="","",Formulario!B252)</f>
        <v/>
      </c>
      <c r="B241" s="119"/>
      <c r="C241" s="120"/>
      <c r="D241" s="121"/>
      <c r="E241" s="129" t="str">
        <f>IF(F241="","",Formulario!B252)</f>
        <v/>
      </c>
      <c r="F241" s="11" t="str">
        <f>TRIM(Formulario!D252)</f>
        <v/>
      </c>
      <c r="G241" s="11" t="str">
        <f>TRIM(Formulario!F252)</f>
        <v/>
      </c>
      <c r="H241" s="146" t="str">
        <f>IF(N241="",TRIM(Formulario!G252),TRIM(Formulario!G252)*N241)</f>
        <v/>
      </c>
      <c r="I241" s="107" t="str">
        <f>TRIM(Formulario!I252)</f>
        <v/>
      </c>
      <c r="J241" s="11" t="str">
        <f>TRIM(Formulario!J252)</f>
        <v/>
      </c>
      <c r="K241" s="11" t="str">
        <f>TRIM(Formulario!K252)</f>
        <v/>
      </c>
      <c r="L241" s="107" t="str">
        <f>TRIM(Formulario!L252)</f>
        <v/>
      </c>
      <c r="M241" s="107" t="str">
        <f>TRIM(Formulario!M252)</f>
        <v>0</v>
      </c>
      <c r="N241" s="11" t="str">
        <f>TRIM(Formulario!H252)</f>
        <v/>
      </c>
      <c r="P241" s="17"/>
      <c r="Q241" s="104"/>
      <c r="R241" s="104"/>
      <c r="S241" s="117"/>
      <c r="T241" s="101"/>
      <c r="U241" s="101"/>
      <c r="V241" s="101"/>
      <c r="W241" s="102"/>
      <c r="X241" s="102"/>
      <c r="Y241" s="102"/>
      <c r="Z241" s="102"/>
      <c r="AA241" s="102"/>
      <c r="AB241" s="102"/>
      <c r="AC241" s="102"/>
      <c r="AD241" s="102"/>
    </row>
    <row r="242" spans="1:30">
      <c r="A242" s="8" t="str">
        <f>IF(L242="","",Formulario!B253)</f>
        <v/>
      </c>
      <c r="B242" s="119"/>
      <c r="C242" s="120"/>
      <c r="D242" s="121"/>
      <c r="E242" s="129" t="str">
        <f>IF(F242="","",Formulario!B253)</f>
        <v/>
      </c>
      <c r="F242" s="11" t="str">
        <f>TRIM(Formulario!D253)</f>
        <v/>
      </c>
      <c r="G242" s="11" t="str">
        <f>TRIM(Formulario!F253)</f>
        <v/>
      </c>
      <c r="H242" s="146" t="str">
        <f>IF(N242="",TRIM(Formulario!G253),TRIM(Formulario!G253)*N242)</f>
        <v/>
      </c>
      <c r="I242" s="107" t="str">
        <f>TRIM(Formulario!I253)</f>
        <v/>
      </c>
      <c r="J242" s="11" t="str">
        <f>TRIM(Formulario!J253)</f>
        <v/>
      </c>
      <c r="K242" s="11" t="str">
        <f>TRIM(Formulario!K253)</f>
        <v/>
      </c>
      <c r="L242" s="107" t="str">
        <f>TRIM(Formulario!L253)</f>
        <v/>
      </c>
      <c r="M242" s="107" t="str">
        <f>TRIM(Formulario!M253)</f>
        <v>0</v>
      </c>
      <c r="N242" s="11" t="str">
        <f>TRIM(Formulario!H253)</f>
        <v/>
      </c>
      <c r="P242" s="17"/>
      <c r="Q242" s="104"/>
      <c r="R242" s="104"/>
      <c r="S242" s="117"/>
      <c r="T242" s="101"/>
      <c r="U242" s="101"/>
      <c r="V242" s="101"/>
      <c r="W242" s="102"/>
      <c r="X242" s="102"/>
      <c r="Y242" s="102"/>
      <c r="Z242" s="102"/>
      <c r="AA242" s="102"/>
      <c r="AB242" s="102"/>
      <c r="AC242" s="102"/>
      <c r="AD242" s="102"/>
    </row>
    <row r="243" spans="1:30">
      <c r="A243" s="8" t="str">
        <f>IF(L243="","",Formulario!B254)</f>
        <v/>
      </c>
      <c r="B243" s="119"/>
      <c r="C243" s="120"/>
      <c r="D243" s="121"/>
      <c r="E243" s="129" t="str">
        <f>IF(F243="","",Formulario!B254)</f>
        <v/>
      </c>
      <c r="F243" s="11" t="str">
        <f>TRIM(Formulario!D254)</f>
        <v/>
      </c>
      <c r="G243" s="11" t="str">
        <f>TRIM(Formulario!F254)</f>
        <v/>
      </c>
      <c r="H243" s="146" t="str">
        <f>IF(N243="",TRIM(Formulario!G254),TRIM(Formulario!G254)*N243)</f>
        <v/>
      </c>
      <c r="I243" s="107" t="str">
        <f>TRIM(Formulario!I254)</f>
        <v/>
      </c>
      <c r="J243" s="11" t="str">
        <f>TRIM(Formulario!J254)</f>
        <v/>
      </c>
      <c r="K243" s="11" t="str">
        <f>TRIM(Formulario!K254)</f>
        <v/>
      </c>
      <c r="L243" s="107" t="str">
        <f>TRIM(Formulario!L254)</f>
        <v/>
      </c>
      <c r="M243" s="107" t="str">
        <f>TRIM(Formulario!M254)</f>
        <v>0</v>
      </c>
      <c r="N243" s="11" t="str">
        <f>TRIM(Formulario!H254)</f>
        <v/>
      </c>
      <c r="P243" s="17"/>
      <c r="Q243" s="104"/>
      <c r="R243" s="104"/>
      <c r="S243" s="117"/>
      <c r="T243" s="101"/>
      <c r="U243" s="101"/>
      <c r="V243" s="101"/>
      <c r="W243" s="102"/>
      <c r="X243" s="102"/>
      <c r="Y243" s="102"/>
      <c r="Z243" s="102"/>
      <c r="AA243" s="102"/>
      <c r="AB243" s="102"/>
      <c r="AC243" s="102"/>
      <c r="AD243" s="102"/>
    </row>
    <row r="244" spans="1:30">
      <c r="A244" s="8" t="str">
        <f>IF(L244="","",Formulario!B255)</f>
        <v/>
      </c>
      <c r="B244" s="119"/>
      <c r="C244" s="120"/>
      <c r="D244" s="121"/>
      <c r="E244" s="129" t="str">
        <f>IF(F244="","",Formulario!B255)</f>
        <v/>
      </c>
      <c r="F244" s="11" t="str">
        <f>TRIM(Formulario!D255)</f>
        <v/>
      </c>
      <c r="G244" s="11" t="str">
        <f>TRIM(Formulario!F255)</f>
        <v/>
      </c>
      <c r="H244" s="146" t="str">
        <f>IF(N244="",TRIM(Formulario!G255),TRIM(Formulario!G255)*N244)</f>
        <v/>
      </c>
      <c r="I244" s="107" t="str">
        <f>TRIM(Formulario!I255)</f>
        <v/>
      </c>
      <c r="J244" s="11" t="str">
        <f>TRIM(Formulario!J255)</f>
        <v/>
      </c>
      <c r="K244" s="11" t="str">
        <f>TRIM(Formulario!K255)</f>
        <v/>
      </c>
      <c r="L244" s="107" t="str">
        <f>TRIM(Formulario!L255)</f>
        <v/>
      </c>
      <c r="M244" s="107" t="str">
        <f>TRIM(Formulario!M255)</f>
        <v>0</v>
      </c>
      <c r="N244" s="11" t="str">
        <f>TRIM(Formulario!H255)</f>
        <v/>
      </c>
      <c r="P244" s="17"/>
      <c r="Q244" s="104"/>
      <c r="R244" s="104"/>
      <c r="S244" s="117"/>
      <c r="T244" s="101"/>
      <c r="U244" s="101"/>
      <c r="V244" s="101"/>
      <c r="W244" s="102"/>
      <c r="X244" s="102"/>
      <c r="Y244" s="102"/>
      <c r="Z244" s="102"/>
      <c r="AA244" s="102"/>
      <c r="AB244" s="102"/>
      <c r="AC244" s="102"/>
      <c r="AD244" s="102"/>
    </row>
    <row r="245" spans="1:30">
      <c r="A245" s="8" t="str">
        <f>IF(L245="","",Formulario!B256)</f>
        <v/>
      </c>
      <c r="B245" s="119"/>
      <c r="C245" s="120"/>
      <c r="D245" s="121"/>
      <c r="E245" s="129" t="str">
        <f>IF(F245="","",Formulario!B256)</f>
        <v/>
      </c>
      <c r="F245" s="11" t="str">
        <f>TRIM(Formulario!D256)</f>
        <v/>
      </c>
      <c r="G245" s="11" t="str">
        <f>TRIM(Formulario!F256)</f>
        <v/>
      </c>
      <c r="H245" s="146" t="str">
        <f>IF(N245="",TRIM(Formulario!G256),TRIM(Formulario!G256)*N245)</f>
        <v/>
      </c>
      <c r="I245" s="107" t="str">
        <f>TRIM(Formulario!I256)</f>
        <v/>
      </c>
      <c r="J245" s="11" t="str">
        <f>TRIM(Formulario!J256)</f>
        <v/>
      </c>
      <c r="K245" s="11" t="str">
        <f>TRIM(Formulario!K256)</f>
        <v/>
      </c>
      <c r="L245" s="107" t="str">
        <f>TRIM(Formulario!L256)</f>
        <v/>
      </c>
      <c r="M245" s="107" t="str">
        <f>TRIM(Formulario!M256)</f>
        <v>0</v>
      </c>
      <c r="N245" s="11" t="str">
        <f>TRIM(Formulario!H256)</f>
        <v/>
      </c>
      <c r="P245" s="17"/>
      <c r="Q245" s="104"/>
      <c r="R245" s="104"/>
      <c r="S245" s="117"/>
      <c r="T245" s="101"/>
      <c r="U245" s="101"/>
      <c r="V245" s="101"/>
      <c r="W245" s="102"/>
      <c r="X245" s="102"/>
      <c r="Y245" s="102"/>
      <c r="Z245" s="102"/>
      <c r="AA245" s="102"/>
      <c r="AB245" s="102"/>
      <c r="AC245" s="102"/>
      <c r="AD245" s="102"/>
    </row>
    <row r="246" spans="1:30">
      <c r="A246" s="8" t="str">
        <f>IF(L246="","",Formulario!B257)</f>
        <v/>
      </c>
      <c r="B246" s="119"/>
      <c r="C246" s="120"/>
      <c r="D246" s="121"/>
      <c r="E246" s="129" t="str">
        <f>IF(F246="","",Formulario!B257)</f>
        <v/>
      </c>
      <c r="F246" s="11" t="str">
        <f>TRIM(Formulario!D257)</f>
        <v/>
      </c>
      <c r="G246" s="11" t="str">
        <f>TRIM(Formulario!F257)</f>
        <v/>
      </c>
      <c r="H246" s="146" t="str">
        <f>IF(N246="",TRIM(Formulario!G257),TRIM(Formulario!G257)*N246)</f>
        <v/>
      </c>
      <c r="I246" s="107" t="str">
        <f>TRIM(Formulario!I257)</f>
        <v/>
      </c>
      <c r="J246" s="11" t="str">
        <f>TRIM(Formulario!J257)</f>
        <v/>
      </c>
      <c r="K246" s="11" t="str">
        <f>TRIM(Formulario!K257)</f>
        <v/>
      </c>
      <c r="L246" s="107" t="str">
        <f>TRIM(Formulario!L257)</f>
        <v/>
      </c>
      <c r="M246" s="107" t="str">
        <f>TRIM(Formulario!M257)</f>
        <v>0</v>
      </c>
      <c r="N246" s="11" t="str">
        <f>TRIM(Formulario!H257)</f>
        <v/>
      </c>
      <c r="P246" s="17"/>
      <c r="Q246" s="104"/>
      <c r="R246" s="104"/>
      <c r="S246" s="117"/>
      <c r="T246" s="101"/>
      <c r="U246" s="101"/>
      <c r="V246" s="101"/>
      <c r="W246" s="102"/>
      <c r="X246" s="102"/>
      <c r="Y246" s="102"/>
      <c r="Z246" s="102"/>
      <c r="AA246" s="102"/>
      <c r="AB246" s="102"/>
      <c r="AC246" s="102"/>
      <c r="AD246" s="102"/>
    </row>
    <row r="247" spans="1:30">
      <c r="A247" s="8" t="str">
        <f>IF(L247="","",Formulario!B258)</f>
        <v/>
      </c>
      <c r="B247" s="119"/>
      <c r="C247" s="120"/>
      <c r="D247" s="121"/>
      <c r="E247" s="129" t="str">
        <f>IF(F247="","",Formulario!B258)</f>
        <v/>
      </c>
      <c r="F247" s="11" t="str">
        <f>TRIM(Formulario!D258)</f>
        <v/>
      </c>
      <c r="G247" s="11" t="str">
        <f>TRIM(Formulario!F258)</f>
        <v/>
      </c>
      <c r="H247" s="146" t="str">
        <f>IF(N247="",TRIM(Formulario!G258),TRIM(Formulario!G258)*N247)</f>
        <v/>
      </c>
      <c r="I247" s="107" t="str">
        <f>TRIM(Formulario!I258)</f>
        <v/>
      </c>
      <c r="J247" s="11" t="str">
        <f>TRIM(Formulario!J258)</f>
        <v/>
      </c>
      <c r="K247" s="11" t="str">
        <f>TRIM(Formulario!K258)</f>
        <v/>
      </c>
      <c r="L247" s="107" t="str">
        <f>TRIM(Formulario!L258)</f>
        <v/>
      </c>
      <c r="M247" s="107" t="str">
        <f>TRIM(Formulario!M258)</f>
        <v>0</v>
      </c>
      <c r="N247" s="11" t="str">
        <f>TRIM(Formulario!H258)</f>
        <v/>
      </c>
      <c r="P247" s="17"/>
      <c r="Q247" s="104"/>
      <c r="R247" s="104"/>
      <c r="S247" s="117"/>
      <c r="T247" s="101"/>
      <c r="U247" s="101"/>
      <c r="V247" s="101"/>
      <c r="W247" s="102"/>
      <c r="X247" s="102"/>
      <c r="Y247" s="102"/>
      <c r="Z247" s="102"/>
      <c r="AA247" s="102"/>
      <c r="AB247" s="102"/>
      <c r="AC247" s="102"/>
      <c r="AD247" s="102"/>
    </row>
    <row r="248" spans="1:30">
      <c r="A248" s="8" t="str">
        <f>IF(L248="","",Formulario!B259)</f>
        <v/>
      </c>
      <c r="B248" s="119"/>
      <c r="C248" s="120"/>
      <c r="D248" s="121"/>
      <c r="E248" s="129" t="str">
        <f>IF(F248="","",Formulario!B259)</f>
        <v/>
      </c>
      <c r="F248" s="11" t="str">
        <f>TRIM(Formulario!D259)</f>
        <v/>
      </c>
      <c r="G248" s="11" t="str">
        <f>TRIM(Formulario!F259)</f>
        <v/>
      </c>
      <c r="H248" s="146" t="str">
        <f>IF(N248="",TRIM(Formulario!G259),TRIM(Formulario!G259)*N248)</f>
        <v/>
      </c>
      <c r="I248" s="107" t="str">
        <f>TRIM(Formulario!I259)</f>
        <v/>
      </c>
      <c r="J248" s="11" t="str">
        <f>TRIM(Formulario!J259)</f>
        <v/>
      </c>
      <c r="K248" s="11" t="str">
        <f>TRIM(Formulario!K259)</f>
        <v/>
      </c>
      <c r="L248" s="107" t="str">
        <f>TRIM(Formulario!L259)</f>
        <v/>
      </c>
      <c r="M248" s="107" t="str">
        <f>TRIM(Formulario!M259)</f>
        <v>0</v>
      </c>
      <c r="N248" s="11" t="str">
        <f>TRIM(Formulario!H259)</f>
        <v/>
      </c>
      <c r="P248" s="17"/>
      <c r="Q248" s="104"/>
      <c r="R248" s="104"/>
      <c r="S248" s="117"/>
      <c r="T248" s="101"/>
      <c r="U248" s="101"/>
      <c r="V248" s="101"/>
      <c r="W248" s="102"/>
      <c r="X248" s="102"/>
      <c r="Y248" s="102"/>
      <c r="Z248" s="102"/>
      <c r="AA248" s="102"/>
      <c r="AB248" s="102"/>
      <c r="AC248" s="102"/>
      <c r="AD248" s="102"/>
    </row>
    <row r="249" spans="1:30">
      <c r="A249" s="8" t="str">
        <f>IF(L249="","",Formulario!B260)</f>
        <v/>
      </c>
      <c r="B249" s="119"/>
      <c r="C249" s="120"/>
      <c r="D249" s="121"/>
      <c r="E249" s="129" t="str">
        <f>IF(F249="","",Formulario!B260)</f>
        <v/>
      </c>
      <c r="F249" s="11" t="str">
        <f>TRIM(Formulario!D260)</f>
        <v/>
      </c>
      <c r="G249" s="11" t="str">
        <f>TRIM(Formulario!F260)</f>
        <v/>
      </c>
      <c r="H249" s="146" t="str">
        <f>IF(N249="",TRIM(Formulario!G260),TRIM(Formulario!G260)*N249)</f>
        <v/>
      </c>
      <c r="I249" s="107" t="str">
        <f>TRIM(Formulario!I260)</f>
        <v/>
      </c>
      <c r="J249" s="11" t="str">
        <f>TRIM(Formulario!J260)</f>
        <v/>
      </c>
      <c r="K249" s="11" t="str">
        <f>TRIM(Formulario!K260)</f>
        <v/>
      </c>
      <c r="L249" s="107" t="str">
        <f>TRIM(Formulario!L260)</f>
        <v/>
      </c>
      <c r="M249" s="107" t="str">
        <f>TRIM(Formulario!M260)</f>
        <v>0</v>
      </c>
      <c r="N249" s="11" t="str">
        <f>TRIM(Formulario!H260)</f>
        <v/>
      </c>
      <c r="P249" s="17"/>
      <c r="Q249" s="104"/>
      <c r="R249" s="104"/>
      <c r="S249" s="117"/>
      <c r="T249" s="101"/>
      <c r="U249" s="101"/>
      <c r="V249" s="101"/>
      <c r="W249" s="102"/>
      <c r="X249" s="102"/>
      <c r="Y249" s="102"/>
      <c r="Z249" s="102"/>
      <c r="AA249" s="102"/>
      <c r="AB249" s="102"/>
      <c r="AC249" s="102"/>
      <c r="AD249" s="102"/>
    </row>
    <row r="250" spans="1:30">
      <c r="A250" s="8" t="str">
        <f>IF(L250="","",Formulario!B261)</f>
        <v/>
      </c>
      <c r="B250" s="119"/>
      <c r="C250" s="120"/>
      <c r="D250" s="121"/>
      <c r="E250" s="129" t="str">
        <f>IF(F250="","",Formulario!B261)</f>
        <v/>
      </c>
      <c r="F250" s="11" t="str">
        <f>TRIM(Formulario!D261)</f>
        <v/>
      </c>
      <c r="G250" s="11" t="str">
        <f>TRIM(Formulario!F261)</f>
        <v/>
      </c>
      <c r="H250" s="146" t="str">
        <f>IF(N250="",TRIM(Formulario!G261),TRIM(Formulario!G261)*N250)</f>
        <v/>
      </c>
      <c r="I250" s="107" t="str">
        <f>TRIM(Formulario!I261)</f>
        <v/>
      </c>
      <c r="J250" s="11" t="str">
        <f>TRIM(Formulario!J261)</f>
        <v/>
      </c>
      <c r="K250" s="11" t="str">
        <f>TRIM(Formulario!K261)</f>
        <v/>
      </c>
      <c r="L250" s="107" t="str">
        <f>TRIM(Formulario!L261)</f>
        <v/>
      </c>
      <c r="M250" s="107" t="str">
        <f>TRIM(Formulario!M261)</f>
        <v>0</v>
      </c>
      <c r="N250" s="11" t="str">
        <f>TRIM(Formulario!H261)</f>
        <v/>
      </c>
      <c r="P250" s="17"/>
      <c r="Q250" s="104"/>
      <c r="R250" s="104"/>
      <c r="S250" s="117"/>
      <c r="T250" s="101"/>
      <c r="U250" s="101"/>
      <c r="V250" s="101"/>
      <c r="W250" s="102"/>
      <c r="X250" s="102"/>
      <c r="Y250" s="102"/>
      <c r="Z250" s="102"/>
      <c r="AA250" s="102"/>
      <c r="AB250" s="102"/>
      <c r="AC250" s="102"/>
      <c r="AD250" s="102"/>
    </row>
    <row r="251" spans="1:30">
      <c r="A251" s="8" t="str">
        <f>IF(L251="","",Formulario!B262)</f>
        <v/>
      </c>
      <c r="B251" s="119"/>
      <c r="C251" s="120"/>
      <c r="D251" s="121"/>
      <c r="E251" s="129" t="str">
        <f>IF(F251="","",Formulario!B262)</f>
        <v/>
      </c>
      <c r="F251" s="11" t="str">
        <f>TRIM(Formulario!D262)</f>
        <v/>
      </c>
      <c r="G251" s="11" t="str">
        <f>TRIM(Formulario!F262)</f>
        <v/>
      </c>
      <c r="H251" s="146" t="str">
        <f>IF(N251="",TRIM(Formulario!G262),TRIM(Formulario!G262)*N251)</f>
        <v/>
      </c>
      <c r="I251" s="107" t="str">
        <f>TRIM(Formulario!I262)</f>
        <v/>
      </c>
      <c r="J251" s="11" t="str">
        <f>TRIM(Formulario!J262)</f>
        <v/>
      </c>
      <c r="K251" s="11" t="str">
        <f>TRIM(Formulario!K262)</f>
        <v/>
      </c>
      <c r="L251" s="107" t="str">
        <f>TRIM(Formulario!L262)</f>
        <v/>
      </c>
      <c r="M251" s="107" t="str">
        <f>TRIM(Formulario!M262)</f>
        <v>0</v>
      </c>
      <c r="N251" s="11" t="str">
        <f>TRIM(Formulario!H262)</f>
        <v/>
      </c>
      <c r="P251" s="17"/>
      <c r="Q251" s="104"/>
      <c r="R251" s="104"/>
      <c r="S251" s="117"/>
      <c r="T251" s="101"/>
      <c r="U251" s="101"/>
      <c r="V251" s="101"/>
      <c r="W251" s="102"/>
      <c r="X251" s="102"/>
      <c r="Y251" s="102"/>
      <c r="Z251" s="102"/>
      <c r="AA251" s="102"/>
      <c r="AB251" s="102"/>
      <c r="AC251" s="102"/>
      <c r="AD251" s="102"/>
    </row>
    <row r="252" spans="1:30">
      <c r="A252" s="8" t="str">
        <f>IF(L252="","",Formulario!B263)</f>
        <v/>
      </c>
      <c r="B252" s="119"/>
      <c r="C252" s="120"/>
      <c r="D252" s="121"/>
      <c r="E252" s="129" t="str">
        <f>IF(F252="","",Formulario!B263)</f>
        <v/>
      </c>
      <c r="F252" s="11" t="str">
        <f>TRIM(Formulario!D263)</f>
        <v/>
      </c>
      <c r="G252" s="11" t="str">
        <f>TRIM(Formulario!F263)</f>
        <v/>
      </c>
      <c r="H252" s="146" t="str">
        <f>IF(N252="",TRIM(Formulario!G263),TRIM(Formulario!G263)*N252)</f>
        <v/>
      </c>
      <c r="I252" s="107" t="str">
        <f>TRIM(Formulario!I263)</f>
        <v/>
      </c>
      <c r="J252" s="11" t="str">
        <f>TRIM(Formulario!J263)</f>
        <v/>
      </c>
      <c r="K252" s="11" t="str">
        <f>TRIM(Formulario!K263)</f>
        <v/>
      </c>
      <c r="L252" s="107" t="str">
        <f>TRIM(Formulario!L263)</f>
        <v/>
      </c>
      <c r="M252" s="107" t="str">
        <f>TRIM(Formulario!M263)</f>
        <v>0</v>
      </c>
      <c r="N252" s="11" t="str">
        <f>TRIM(Formulario!H263)</f>
        <v/>
      </c>
      <c r="P252" s="17"/>
      <c r="Q252" s="104"/>
      <c r="R252" s="104"/>
      <c r="S252" s="117"/>
      <c r="T252" s="101"/>
      <c r="U252" s="101"/>
      <c r="V252" s="101"/>
      <c r="W252" s="102"/>
      <c r="X252" s="102"/>
      <c r="Y252" s="102"/>
      <c r="Z252" s="102"/>
      <c r="AA252" s="102"/>
      <c r="AB252" s="102"/>
      <c r="AC252" s="102"/>
      <c r="AD252" s="102"/>
    </row>
    <row r="253" spans="1:30">
      <c r="A253" s="8" t="str">
        <f>IF(L253="","",Formulario!B264)</f>
        <v/>
      </c>
      <c r="B253" s="119"/>
      <c r="C253" s="120"/>
      <c r="D253" s="121"/>
      <c r="E253" s="129" t="str">
        <f>IF(F253="","",Formulario!B264)</f>
        <v/>
      </c>
      <c r="F253" s="11" t="str">
        <f>TRIM(Formulario!D264)</f>
        <v/>
      </c>
      <c r="G253" s="11" t="str">
        <f>TRIM(Formulario!F264)</f>
        <v/>
      </c>
      <c r="H253" s="146" t="str">
        <f>IF(N253="",TRIM(Formulario!G264),TRIM(Formulario!G264)*N253)</f>
        <v/>
      </c>
      <c r="I253" s="107" t="str">
        <f>TRIM(Formulario!I264)</f>
        <v/>
      </c>
      <c r="J253" s="11" t="str">
        <f>TRIM(Formulario!J264)</f>
        <v/>
      </c>
      <c r="K253" s="11" t="str">
        <f>TRIM(Formulario!K264)</f>
        <v/>
      </c>
      <c r="L253" s="107" t="str">
        <f>TRIM(Formulario!L264)</f>
        <v/>
      </c>
      <c r="M253" s="107" t="str">
        <f>TRIM(Formulario!M264)</f>
        <v>0</v>
      </c>
      <c r="N253" s="11" t="str">
        <f>TRIM(Formulario!H264)</f>
        <v/>
      </c>
      <c r="P253" s="17"/>
      <c r="Q253" s="104"/>
      <c r="R253" s="104"/>
      <c r="S253" s="117"/>
      <c r="T253" s="101"/>
      <c r="U253" s="101"/>
      <c r="V253" s="101"/>
      <c r="W253" s="102"/>
      <c r="X253" s="102"/>
      <c r="Y253" s="102"/>
      <c r="Z253" s="102"/>
      <c r="AA253" s="102"/>
      <c r="AB253" s="102"/>
      <c r="AC253" s="102"/>
      <c r="AD253" s="102"/>
    </row>
    <row r="254" spans="1:30">
      <c r="A254" s="8" t="str">
        <f>IF(L254="","",Formulario!B265)</f>
        <v/>
      </c>
      <c r="B254" s="119"/>
      <c r="C254" s="120"/>
      <c r="D254" s="121"/>
      <c r="E254" s="129" t="str">
        <f>IF(F254="","",Formulario!B265)</f>
        <v/>
      </c>
      <c r="F254" s="11" t="str">
        <f>TRIM(Formulario!D265)</f>
        <v/>
      </c>
      <c r="G254" s="11" t="str">
        <f>TRIM(Formulario!F265)</f>
        <v/>
      </c>
      <c r="H254" s="146" t="str">
        <f>IF(N254="",TRIM(Formulario!G265),TRIM(Formulario!G265)*N254)</f>
        <v/>
      </c>
      <c r="I254" s="107" t="str">
        <f>TRIM(Formulario!I265)</f>
        <v/>
      </c>
      <c r="J254" s="11" t="str">
        <f>TRIM(Formulario!J265)</f>
        <v/>
      </c>
      <c r="K254" s="11" t="str">
        <f>TRIM(Formulario!K265)</f>
        <v/>
      </c>
      <c r="L254" s="107" t="str">
        <f>TRIM(Formulario!L265)</f>
        <v/>
      </c>
      <c r="M254" s="107" t="str">
        <f>TRIM(Formulario!M265)</f>
        <v>0</v>
      </c>
      <c r="N254" s="11" t="str">
        <f>TRIM(Formulario!H265)</f>
        <v/>
      </c>
      <c r="P254" s="17"/>
      <c r="Q254" s="104"/>
      <c r="R254" s="104"/>
      <c r="S254" s="117"/>
      <c r="T254" s="101"/>
      <c r="U254" s="101"/>
      <c r="V254" s="101"/>
      <c r="W254" s="102"/>
      <c r="X254" s="102"/>
      <c r="Y254" s="102"/>
      <c r="Z254" s="102"/>
      <c r="AA254" s="102"/>
      <c r="AB254" s="102"/>
      <c r="AC254" s="102"/>
      <c r="AD254" s="102"/>
    </row>
    <row r="255" spans="1:30">
      <c r="A255" s="8" t="str">
        <f>IF(L255="","",Formulario!B266)</f>
        <v/>
      </c>
      <c r="B255" s="119"/>
      <c r="C255" s="120"/>
      <c r="D255" s="121"/>
      <c r="E255" s="129" t="str">
        <f>IF(F255="","",Formulario!B266)</f>
        <v/>
      </c>
      <c r="F255" s="11" t="str">
        <f>TRIM(Formulario!D266)</f>
        <v/>
      </c>
      <c r="G255" s="11" t="str">
        <f>TRIM(Formulario!F266)</f>
        <v/>
      </c>
      <c r="H255" s="146" t="str">
        <f>IF(N255="",TRIM(Formulario!G266),TRIM(Formulario!G266)*N255)</f>
        <v/>
      </c>
      <c r="I255" s="107" t="str">
        <f>TRIM(Formulario!I266)</f>
        <v/>
      </c>
      <c r="J255" s="11" t="str">
        <f>TRIM(Formulario!J266)</f>
        <v/>
      </c>
      <c r="K255" s="11" t="str">
        <f>TRIM(Formulario!K266)</f>
        <v/>
      </c>
      <c r="L255" s="107" t="str">
        <f>TRIM(Formulario!L266)</f>
        <v/>
      </c>
      <c r="M255" s="107" t="str">
        <f>TRIM(Formulario!M266)</f>
        <v>0</v>
      </c>
      <c r="N255" s="11" t="str">
        <f>TRIM(Formulario!H266)</f>
        <v/>
      </c>
      <c r="P255" s="17"/>
      <c r="Q255" s="104"/>
      <c r="R255" s="104"/>
      <c r="S255" s="117"/>
      <c r="T255" s="101"/>
      <c r="U255" s="101"/>
      <c r="V255" s="101"/>
      <c r="W255" s="102"/>
      <c r="X255" s="102"/>
      <c r="Y255" s="102"/>
      <c r="Z255" s="102"/>
      <c r="AA255" s="102"/>
      <c r="AB255" s="102"/>
      <c r="AC255" s="102"/>
      <c r="AD255" s="102"/>
    </row>
    <row r="256" spans="1:30">
      <c r="A256" s="8" t="str">
        <f>IF(L256="","",Formulario!B267)</f>
        <v/>
      </c>
      <c r="B256" s="119"/>
      <c r="C256" s="120"/>
      <c r="D256" s="121"/>
      <c r="E256" s="129" t="str">
        <f>IF(F256="","",Formulario!B267)</f>
        <v/>
      </c>
      <c r="F256" s="11" t="str">
        <f>TRIM(Formulario!D267)</f>
        <v/>
      </c>
      <c r="G256" s="11" t="str">
        <f>TRIM(Formulario!F267)</f>
        <v/>
      </c>
      <c r="H256" s="146" t="str">
        <f>IF(N256="",TRIM(Formulario!G267),TRIM(Formulario!G267)*N256)</f>
        <v/>
      </c>
      <c r="I256" s="107" t="str">
        <f>TRIM(Formulario!I267)</f>
        <v/>
      </c>
      <c r="J256" s="11" t="str">
        <f>TRIM(Formulario!J267)</f>
        <v/>
      </c>
      <c r="K256" s="11" t="str">
        <f>TRIM(Formulario!K267)</f>
        <v/>
      </c>
      <c r="L256" s="107" t="str">
        <f>TRIM(Formulario!L267)</f>
        <v/>
      </c>
      <c r="M256" s="107" t="str">
        <f>TRIM(Formulario!M267)</f>
        <v>0</v>
      </c>
      <c r="N256" s="11" t="str">
        <f>TRIM(Formulario!H267)</f>
        <v/>
      </c>
      <c r="P256" s="17"/>
      <c r="Q256" s="104"/>
      <c r="R256" s="104"/>
      <c r="S256" s="117"/>
      <c r="T256" s="101"/>
      <c r="U256" s="101"/>
      <c r="V256" s="101"/>
      <c r="W256" s="102"/>
      <c r="X256" s="102"/>
      <c r="Y256" s="102"/>
      <c r="Z256" s="102"/>
      <c r="AA256" s="102"/>
      <c r="AB256" s="102"/>
      <c r="AC256" s="102"/>
      <c r="AD256" s="102"/>
    </row>
    <row r="257" spans="1:30">
      <c r="A257" s="8" t="str">
        <f>IF(L257="","",Formulario!B268)</f>
        <v/>
      </c>
      <c r="B257" s="119"/>
      <c r="C257" s="120"/>
      <c r="D257" s="121"/>
      <c r="E257" s="129" t="str">
        <f>IF(F257="","",Formulario!B268)</f>
        <v/>
      </c>
      <c r="F257" s="11" t="str">
        <f>TRIM(Formulario!D268)</f>
        <v/>
      </c>
      <c r="G257" s="11" t="str">
        <f>TRIM(Formulario!F268)</f>
        <v/>
      </c>
      <c r="H257" s="146" t="str">
        <f>IF(N257="",TRIM(Formulario!G268),TRIM(Formulario!G268)*N257)</f>
        <v/>
      </c>
      <c r="I257" s="107" t="str">
        <f>TRIM(Formulario!I268)</f>
        <v/>
      </c>
      <c r="J257" s="11" t="str">
        <f>TRIM(Formulario!J268)</f>
        <v/>
      </c>
      <c r="K257" s="11" t="str">
        <f>TRIM(Formulario!K268)</f>
        <v/>
      </c>
      <c r="L257" s="107" t="str">
        <f>TRIM(Formulario!L268)</f>
        <v/>
      </c>
      <c r="M257" s="107" t="str">
        <f>TRIM(Formulario!M268)</f>
        <v>0</v>
      </c>
      <c r="N257" s="11" t="str">
        <f>TRIM(Formulario!H268)</f>
        <v/>
      </c>
      <c r="P257" s="17"/>
      <c r="Q257" s="104"/>
      <c r="R257" s="104"/>
      <c r="S257" s="117"/>
      <c r="T257" s="101"/>
      <c r="U257" s="101"/>
      <c r="V257" s="101"/>
      <c r="W257" s="102"/>
      <c r="X257" s="102"/>
      <c r="Y257" s="102"/>
      <c r="Z257" s="102"/>
      <c r="AA257" s="102"/>
      <c r="AB257" s="102"/>
      <c r="AC257" s="102"/>
      <c r="AD257" s="102"/>
    </row>
    <row r="258" spans="1:30">
      <c r="A258" s="8" t="str">
        <f>IF(L258="","",Formulario!B269)</f>
        <v/>
      </c>
      <c r="B258" s="119"/>
      <c r="C258" s="120"/>
      <c r="D258" s="121"/>
      <c r="E258" s="129" t="str">
        <f>IF(F258="","",Formulario!B269)</f>
        <v/>
      </c>
      <c r="F258" s="11" t="str">
        <f>TRIM(Formulario!D269)</f>
        <v/>
      </c>
      <c r="G258" s="11" t="str">
        <f>TRIM(Formulario!F269)</f>
        <v/>
      </c>
      <c r="H258" s="146" t="str">
        <f>IF(N258="",TRIM(Formulario!G269),TRIM(Formulario!G269)*N258)</f>
        <v/>
      </c>
      <c r="I258" s="107" t="str">
        <f>TRIM(Formulario!I269)</f>
        <v/>
      </c>
      <c r="J258" s="11" t="str">
        <f>TRIM(Formulario!J269)</f>
        <v/>
      </c>
      <c r="K258" s="11" t="str">
        <f>TRIM(Formulario!K269)</f>
        <v/>
      </c>
      <c r="L258" s="107" t="str">
        <f>TRIM(Formulario!L269)</f>
        <v/>
      </c>
      <c r="M258" s="107" t="str">
        <f>TRIM(Formulario!M269)</f>
        <v>0</v>
      </c>
      <c r="N258" s="11" t="str">
        <f>TRIM(Formulario!H269)</f>
        <v/>
      </c>
      <c r="P258" s="17"/>
      <c r="Q258" s="104"/>
      <c r="R258" s="104"/>
      <c r="S258" s="117"/>
      <c r="T258" s="101"/>
      <c r="U258" s="101"/>
      <c r="V258" s="101"/>
      <c r="W258" s="102"/>
      <c r="X258" s="102"/>
      <c r="Y258" s="102"/>
      <c r="Z258" s="102"/>
      <c r="AA258" s="102"/>
      <c r="AB258" s="102"/>
      <c r="AC258" s="102"/>
      <c r="AD258" s="102"/>
    </row>
    <row r="259" spans="1:30">
      <c r="A259" s="8" t="str">
        <f>IF(L259="","",Formulario!B270)</f>
        <v/>
      </c>
      <c r="B259" s="119"/>
      <c r="C259" s="120"/>
      <c r="D259" s="121"/>
      <c r="E259" s="129" t="str">
        <f>IF(F259="","",Formulario!B270)</f>
        <v/>
      </c>
      <c r="F259" s="11" t="str">
        <f>TRIM(Formulario!D270)</f>
        <v/>
      </c>
      <c r="G259" s="11" t="str">
        <f>TRIM(Formulario!F270)</f>
        <v/>
      </c>
      <c r="H259" s="146" t="str">
        <f>IF(N259="",TRIM(Formulario!G270),TRIM(Formulario!G270)*N259)</f>
        <v/>
      </c>
      <c r="I259" s="107" t="str">
        <f>TRIM(Formulario!I270)</f>
        <v/>
      </c>
      <c r="J259" s="11" t="str">
        <f>TRIM(Formulario!J270)</f>
        <v/>
      </c>
      <c r="K259" s="11" t="str">
        <f>TRIM(Formulario!K270)</f>
        <v/>
      </c>
      <c r="L259" s="107" t="str">
        <f>TRIM(Formulario!L270)</f>
        <v/>
      </c>
      <c r="M259" s="107" t="str">
        <f>TRIM(Formulario!M270)</f>
        <v>0</v>
      </c>
      <c r="N259" s="11" t="str">
        <f>TRIM(Formulario!H270)</f>
        <v/>
      </c>
      <c r="P259" s="17"/>
      <c r="Q259" s="104"/>
      <c r="R259" s="104"/>
      <c r="S259" s="117"/>
      <c r="T259" s="101"/>
      <c r="U259" s="101"/>
      <c r="V259" s="101"/>
      <c r="W259" s="102"/>
      <c r="X259" s="102"/>
      <c r="Y259" s="102"/>
      <c r="Z259" s="102"/>
      <c r="AA259" s="102"/>
      <c r="AB259" s="102"/>
      <c r="AC259" s="102"/>
      <c r="AD259" s="102"/>
    </row>
    <row r="260" spans="1:30">
      <c r="A260" s="8" t="str">
        <f>IF(L260="","",Formulario!B271)</f>
        <v/>
      </c>
      <c r="B260" s="119"/>
      <c r="C260" s="120"/>
      <c r="D260" s="121"/>
      <c r="E260" s="129" t="str">
        <f>IF(F260="","",Formulario!B271)</f>
        <v/>
      </c>
      <c r="F260" s="11" t="str">
        <f>TRIM(Formulario!D271)</f>
        <v/>
      </c>
      <c r="G260" s="11" t="str">
        <f>TRIM(Formulario!F271)</f>
        <v/>
      </c>
      <c r="H260" s="146" t="str">
        <f>IF(N260="",TRIM(Formulario!G271),TRIM(Formulario!G271)*N260)</f>
        <v/>
      </c>
      <c r="I260" s="107" t="str">
        <f>TRIM(Formulario!I271)</f>
        <v/>
      </c>
      <c r="J260" s="11" t="str">
        <f>TRIM(Formulario!J271)</f>
        <v/>
      </c>
      <c r="K260" s="11" t="str">
        <f>TRIM(Formulario!K271)</f>
        <v/>
      </c>
      <c r="L260" s="107" t="str">
        <f>TRIM(Formulario!L271)</f>
        <v/>
      </c>
      <c r="M260" s="107" t="str">
        <f>TRIM(Formulario!M271)</f>
        <v>0</v>
      </c>
      <c r="N260" s="11" t="str">
        <f>TRIM(Formulario!H271)</f>
        <v/>
      </c>
      <c r="P260" s="17"/>
      <c r="Q260" s="104"/>
      <c r="R260" s="104"/>
      <c r="S260" s="117"/>
      <c r="T260" s="101"/>
      <c r="U260" s="101"/>
      <c r="V260" s="101"/>
      <c r="W260" s="102"/>
      <c r="X260" s="102"/>
      <c r="Y260" s="102"/>
      <c r="Z260" s="102"/>
      <c r="AA260" s="102"/>
      <c r="AB260" s="102"/>
      <c r="AC260" s="102"/>
      <c r="AD260" s="102"/>
    </row>
    <row r="261" spans="1:30">
      <c r="A261" s="8" t="str">
        <f>IF(L261="","",Formulario!B272)</f>
        <v/>
      </c>
      <c r="B261" s="119"/>
      <c r="C261" s="120"/>
      <c r="D261" s="121"/>
      <c r="E261" s="129" t="str">
        <f>IF(F261="","",Formulario!B272)</f>
        <v/>
      </c>
      <c r="F261" s="11" t="str">
        <f>TRIM(Formulario!D272)</f>
        <v/>
      </c>
      <c r="G261" s="11" t="str">
        <f>TRIM(Formulario!F272)</f>
        <v/>
      </c>
      <c r="H261" s="146" t="str">
        <f>IF(N261="",TRIM(Formulario!G272),TRIM(Formulario!G272)*N261)</f>
        <v/>
      </c>
      <c r="I261" s="107" t="str">
        <f>TRIM(Formulario!I272)</f>
        <v/>
      </c>
      <c r="J261" s="11" t="str">
        <f>TRIM(Formulario!J272)</f>
        <v/>
      </c>
      <c r="K261" s="11" t="str">
        <f>TRIM(Formulario!K272)</f>
        <v/>
      </c>
      <c r="L261" s="107" t="str">
        <f>TRIM(Formulario!L272)</f>
        <v/>
      </c>
      <c r="M261" s="107" t="str">
        <f>TRIM(Formulario!M272)</f>
        <v>0</v>
      </c>
      <c r="N261" s="11" t="str">
        <f>TRIM(Formulario!H272)</f>
        <v/>
      </c>
      <c r="P261" s="17"/>
      <c r="Q261" s="104"/>
      <c r="R261" s="104"/>
      <c r="S261" s="117"/>
      <c r="T261" s="101"/>
      <c r="U261" s="101"/>
      <c r="V261" s="101"/>
      <c r="W261" s="102"/>
      <c r="X261" s="102"/>
      <c r="Y261" s="102"/>
      <c r="Z261" s="102"/>
      <c r="AA261" s="102"/>
      <c r="AB261" s="102"/>
      <c r="AC261" s="102"/>
      <c r="AD261" s="102"/>
    </row>
    <row r="262" spans="1:30">
      <c r="A262" s="8" t="str">
        <f>IF(L262="","",Formulario!B273)</f>
        <v/>
      </c>
      <c r="B262" s="119"/>
      <c r="C262" s="120"/>
      <c r="D262" s="121"/>
      <c r="E262" s="129" t="str">
        <f>IF(F262="","",Formulario!B273)</f>
        <v/>
      </c>
      <c r="F262" s="11" t="str">
        <f>TRIM(Formulario!D273)</f>
        <v/>
      </c>
      <c r="G262" s="11" t="str">
        <f>TRIM(Formulario!F273)</f>
        <v/>
      </c>
      <c r="H262" s="146" t="str">
        <f>IF(N262="",TRIM(Formulario!G273),TRIM(Formulario!G273)*N262)</f>
        <v/>
      </c>
      <c r="I262" s="107" t="str">
        <f>TRIM(Formulario!I273)</f>
        <v/>
      </c>
      <c r="J262" s="11" t="str">
        <f>TRIM(Formulario!J273)</f>
        <v/>
      </c>
      <c r="K262" s="11" t="str">
        <f>TRIM(Formulario!K273)</f>
        <v/>
      </c>
      <c r="L262" s="107" t="str">
        <f>TRIM(Formulario!L273)</f>
        <v/>
      </c>
      <c r="M262" s="107" t="str">
        <f>TRIM(Formulario!M273)</f>
        <v>0</v>
      </c>
      <c r="N262" s="11" t="str">
        <f>TRIM(Formulario!H273)</f>
        <v/>
      </c>
      <c r="P262" s="17"/>
      <c r="Q262" s="104"/>
      <c r="R262" s="104"/>
      <c r="S262" s="117"/>
      <c r="T262" s="101"/>
      <c r="U262" s="101"/>
      <c r="V262" s="101"/>
      <c r="W262" s="102"/>
      <c r="X262" s="102"/>
      <c r="Y262" s="102"/>
      <c r="Z262" s="102"/>
      <c r="AA262" s="102"/>
      <c r="AB262" s="102"/>
      <c r="AC262" s="102"/>
      <c r="AD262" s="102"/>
    </row>
    <row r="263" spans="1:30">
      <c r="A263" s="8" t="str">
        <f>IF(L263="","",Formulario!B274)</f>
        <v/>
      </c>
      <c r="B263" s="119"/>
      <c r="C263" s="120"/>
      <c r="D263" s="121"/>
      <c r="E263" s="129" t="str">
        <f>IF(F263="","",Formulario!B274)</f>
        <v/>
      </c>
      <c r="F263" s="11" t="str">
        <f>TRIM(Formulario!D274)</f>
        <v/>
      </c>
      <c r="G263" s="11" t="str">
        <f>TRIM(Formulario!F274)</f>
        <v/>
      </c>
      <c r="H263" s="146" t="str">
        <f>IF(N263="",TRIM(Formulario!G274),TRIM(Formulario!G274)*N263)</f>
        <v/>
      </c>
      <c r="I263" s="107" t="str">
        <f>TRIM(Formulario!I274)</f>
        <v/>
      </c>
      <c r="J263" s="11" t="str">
        <f>TRIM(Formulario!J274)</f>
        <v/>
      </c>
      <c r="K263" s="11" t="str">
        <f>TRIM(Formulario!K274)</f>
        <v/>
      </c>
      <c r="L263" s="107" t="str">
        <f>TRIM(Formulario!L274)</f>
        <v/>
      </c>
      <c r="M263" s="107" t="str">
        <f>TRIM(Formulario!M274)</f>
        <v>0</v>
      </c>
      <c r="N263" s="11" t="str">
        <f>TRIM(Formulario!H274)</f>
        <v/>
      </c>
      <c r="P263" s="17"/>
      <c r="Q263" s="104"/>
      <c r="R263" s="104"/>
      <c r="S263" s="117"/>
      <c r="T263" s="101"/>
      <c r="U263" s="101"/>
      <c r="V263" s="101"/>
      <c r="W263" s="102"/>
      <c r="X263" s="102"/>
      <c r="Y263" s="102"/>
      <c r="Z263" s="102"/>
      <c r="AA263" s="102"/>
      <c r="AB263" s="102"/>
      <c r="AC263" s="102"/>
      <c r="AD263" s="102"/>
    </row>
    <row r="264" spans="1:30">
      <c r="A264" s="8" t="str">
        <f>IF(L264="","",Formulario!B275)</f>
        <v/>
      </c>
      <c r="B264" s="119"/>
      <c r="C264" s="120"/>
      <c r="D264" s="121"/>
      <c r="E264" s="129" t="str">
        <f>IF(F264="","",Formulario!B275)</f>
        <v/>
      </c>
      <c r="F264" s="11" t="str">
        <f>TRIM(Formulario!D275)</f>
        <v/>
      </c>
      <c r="G264" s="11" t="str">
        <f>TRIM(Formulario!F275)</f>
        <v/>
      </c>
      <c r="H264" s="146" t="str">
        <f>IF(N264="",TRIM(Formulario!G275),TRIM(Formulario!G275)*N264)</f>
        <v/>
      </c>
      <c r="I264" s="107" t="str">
        <f>TRIM(Formulario!I275)</f>
        <v/>
      </c>
      <c r="J264" s="11" t="str">
        <f>TRIM(Formulario!J275)</f>
        <v/>
      </c>
      <c r="K264" s="11" t="str">
        <f>TRIM(Formulario!K275)</f>
        <v/>
      </c>
      <c r="L264" s="107" t="str">
        <f>TRIM(Formulario!L275)</f>
        <v/>
      </c>
      <c r="M264" s="107" t="str">
        <f>TRIM(Formulario!M275)</f>
        <v>0</v>
      </c>
      <c r="N264" s="11" t="str">
        <f>TRIM(Formulario!H275)</f>
        <v/>
      </c>
      <c r="P264" s="17"/>
      <c r="Q264" s="104"/>
      <c r="R264" s="104"/>
      <c r="S264" s="117"/>
      <c r="T264" s="101"/>
      <c r="U264" s="101"/>
      <c r="V264" s="101"/>
      <c r="W264" s="102"/>
      <c r="X264" s="102"/>
      <c r="Y264" s="102"/>
      <c r="Z264" s="102"/>
      <c r="AA264" s="102"/>
      <c r="AB264" s="102"/>
      <c r="AC264" s="102"/>
      <c r="AD264" s="102"/>
    </row>
    <row r="265" spans="1:30">
      <c r="A265" s="8" t="str">
        <f>IF(L265="","",Formulario!B276)</f>
        <v/>
      </c>
      <c r="B265" s="119"/>
      <c r="C265" s="120"/>
      <c r="D265" s="121"/>
      <c r="E265" s="129" t="str">
        <f>IF(F265="","",Formulario!B276)</f>
        <v/>
      </c>
      <c r="F265" s="11" t="str">
        <f>TRIM(Formulario!D276)</f>
        <v/>
      </c>
      <c r="G265" s="11" t="str">
        <f>TRIM(Formulario!F276)</f>
        <v/>
      </c>
      <c r="H265" s="146" t="str">
        <f>IF(N265="",TRIM(Formulario!G276),TRIM(Formulario!G276)*N265)</f>
        <v/>
      </c>
      <c r="I265" s="107" t="str">
        <f>TRIM(Formulario!I276)</f>
        <v/>
      </c>
      <c r="J265" s="11" t="str">
        <f>TRIM(Formulario!J276)</f>
        <v/>
      </c>
      <c r="K265" s="11" t="str">
        <f>TRIM(Formulario!K276)</f>
        <v/>
      </c>
      <c r="L265" s="107" t="str">
        <f>TRIM(Formulario!L276)</f>
        <v/>
      </c>
      <c r="M265" s="107" t="str">
        <f>TRIM(Formulario!M276)</f>
        <v>0</v>
      </c>
      <c r="N265" s="11" t="str">
        <f>TRIM(Formulario!H276)</f>
        <v/>
      </c>
      <c r="P265" s="17"/>
      <c r="Q265" s="104"/>
      <c r="R265" s="104"/>
      <c r="S265" s="117"/>
      <c r="T265" s="101"/>
      <c r="U265" s="101"/>
      <c r="V265" s="101"/>
      <c r="W265" s="102"/>
      <c r="X265" s="102"/>
      <c r="Y265" s="102"/>
      <c r="Z265" s="102"/>
      <c r="AA265" s="102"/>
      <c r="AB265" s="102"/>
      <c r="AC265" s="102"/>
      <c r="AD265" s="102"/>
    </row>
    <row r="266" spans="1:30">
      <c r="A266" s="8" t="str">
        <f>IF(L266="","",Formulario!B277)</f>
        <v/>
      </c>
      <c r="B266" s="119"/>
      <c r="C266" s="120"/>
      <c r="D266" s="121"/>
      <c r="E266" s="129" t="str">
        <f>IF(F266="","",Formulario!B277)</f>
        <v/>
      </c>
      <c r="F266" s="11" t="str">
        <f>TRIM(Formulario!D277)</f>
        <v/>
      </c>
      <c r="G266" s="11" t="str">
        <f>TRIM(Formulario!F277)</f>
        <v/>
      </c>
      <c r="H266" s="146" t="str">
        <f>IF(N266="",TRIM(Formulario!G277),TRIM(Formulario!G277)*N266)</f>
        <v/>
      </c>
      <c r="I266" s="107" t="str">
        <f>TRIM(Formulario!I277)</f>
        <v/>
      </c>
      <c r="J266" s="11" t="str">
        <f>TRIM(Formulario!J277)</f>
        <v/>
      </c>
      <c r="K266" s="11" t="str">
        <f>TRIM(Formulario!K277)</f>
        <v/>
      </c>
      <c r="L266" s="107" t="str">
        <f>TRIM(Formulario!L277)</f>
        <v/>
      </c>
      <c r="M266" s="107" t="str">
        <f>TRIM(Formulario!M277)</f>
        <v>0</v>
      </c>
      <c r="N266" s="11" t="str">
        <f>TRIM(Formulario!H277)</f>
        <v/>
      </c>
      <c r="P266" s="17"/>
      <c r="Q266" s="104"/>
      <c r="R266" s="104"/>
      <c r="S266" s="117"/>
      <c r="T266" s="101"/>
      <c r="U266" s="101"/>
      <c r="V266" s="101"/>
      <c r="W266" s="102"/>
      <c r="X266" s="102"/>
      <c r="Y266" s="102"/>
      <c r="Z266" s="102"/>
      <c r="AA266" s="102"/>
      <c r="AB266" s="102"/>
      <c r="AC266" s="102"/>
      <c r="AD266" s="102"/>
    </row>
    <row r="267" spans="1:30">
      <c r="A267" s="8" t="str">
        <f>IF(L267="","",Formulario!B278)</f>
        <v/>
      </c>
      <c r="B267" s="119"/>
      <c r="C267" s="120"/>
      <c r="D267" s="121"/>
      <c r="E267" s="129" t="str">
        <f>IF(F267="","",Formulario!B278)</f>
        <v/>
      </c>
      <c r="F267" s="11" t="str">
        <f>TRIM(Formulario!D278)</f>
        <v/>
      </c>
      <c r="G267" s="11" t="str">
        <f>TRIM(Formulario!F278)</f>
        <v/>
      </c>
      <c r="H267" s="146" t="str">
        <f>IF(N267="",TRIM(Formulario!G278),TRIM(Formulario!G278)*N267)</f>
        <v/>
      </c>
      <c r="I267" s="107" t="str">
        <f>TRIM(Formulario!I278)</f>
        <v/>
      </c>
      <c r="J267" s="11" t="str">
        <f>TRIM(Formulario!J278)</f>
        <v/>
      </c>
      <c r="K267" s="11" t="str">
        <f>TRIM(Formulario!K278)</f>
        <v/>
      </c>
      <c r="L267" s="107" t="str">
        <f>TRIM(Formulario!L278)</f>
        <v/>
      </c>
      <c r="M267" s="107" t="str">
        <f>TRIM(Formulario!M278)</f>
        <v>0</v>
      </c>
      <c r="N267" s="11" t="str">
        <f>TRIM(Formulario!H278)</f>
        <v/>
      </c>
      <c r="P267" s="17"/>
      <c r="Q267" s="104"/>
      <c r="R267" s="104"/>
      <c r="S267" s="117"/>
      <c r="T267" s="101"/>
      <c r="U267" s="101"/>
      <c r="V267" s="101"/>
      <c r="W267" s="102"/>
      <c r="X267" s="102"/>
      <c r="Y267" s="102"/>
      <c r="Z267" s="102"/>
      <c r="AA267" s="102"/>
      <c r="AB267" s="102"/>
      <c r="AC267" s="102"/>
      <c r="AD267" s="102"/>
    </row>
    <row r="268" spans="1:30">
      <c r="A268" s="8" t="str">
        <f>IF(L268="","",Formulario!B279)</f>
        <v/>
      </c>
      <c r="B268" s="119"/>
      <c r="C268" s="120"/>
      <c r="D268" s="121"/>
      <c r="E268" s="129" t="str">
        <f>IF(F268="","",Formulario!B279)</f>
        <v/>
      </c>
      <c r="F268" s="11" t="str">
        <f>TRIM(Formulario!D279)</f>
        <v/>
      </c>
      <c r="G268" s="11" t="str">
        <f>TRIM(Formulario!F279)</f>
        <v/>
      </c>
      <c r="H268" s="146" t="str">
        <f>IF(N268="",TRIM(Formulario!G279),TRIM(Formulario!G279)*N268)</f>
        <v/>
      </c>
      <c r="I268" s="107" t="str">
        <f>TRIM(Formulario!I279)</f>
        <v/>
      </c>
      <c r="J268" s="11" t="str">
        <f>TRIM(Formulario!J279)</f>
        <v/>
      </c>
      <c r="K268" s="11" t="str">
        <f>TRIM(Formulario!K279)</f>
        <v/>
      </c>
      <c r="L268" s="107" t="str">
        <f>TRIM(Formulario!L279)</f>
        <v/>
      </c>
      <c r="M268" s="107" t="str">
        <f>TRIM(Formulario!M279)</f>
        <v>0</v>
      </c>
      <c r="N268" s="11" t="str">
        <f>TRIM(Formulario!H279)</f>
        <v/>
      </c>
      <c r="P268" s="17"/>
      <c r="Q268" s="104"/>
      <c r="R268" s="104"/>
      <c r="S268" s="117"/>
      <c r="T268" s="101"/>
      <c r="U268" s="101"/>
      <c r="V268" s="101"/>
      <c r="W268" s="102"/>
      <c r="X268" s="102"/>
      <c r="Y268" s="102"/>
      <c r="Z268" s="102"/>
      <c r="AA268" s="102"/>
      <c r="AB268" s="102"/>
      <c r="AC268" s="102"/>
      <c r="AD268" s="102"/>
    </row>
    <row r="269" spans="1:30">
      <c r="A269" s="8" t="str">
        <f>IF(L269="","",Formulario!B280)</f>
        <v/>
      </c>
      <c r="B269" s="119"/>
      <c r="C269" s="120"/>
      <c r="D269" s="121"/>
      <c r="E269" s="129" t="str">
        <f>IF(F269="","",Formulario!B280)</f>
        <v/>
      </c>
      <c r="F269" s="11" t="str">
        <f>TRIM(Formulario!D280)</f>
        <v/>
      </c>
      <c r="G269" s="11" t="str">
        <f>TRIM(Formulario!F280)</f>
        <v/>
      </c>
      <c r="H269" s="146" t="str">
        <f>IF(N269="",TRIM(Formulario!G280),TRIM(Formulario!G280)*N269)</f>
        <v/>
      </c>
      <c r="I269" s="107" t="str">
        <f>TRIM(Formulario!I280)</f>
        <v/>
      </c>
      <c r="J269" s="11" t="str">
        <f>TRIM(Formulario!J280)</f>
        <v/>
      </c>
      <c r="K269" s="11" t="str">
        <f>TRIM(Formulario!K280)</f>
        <v/>
      </c>
      <c r="L269" s="107" t="str">
        <f>TRIM(Formulario!L280)</f>
        <v/>
      </c>
      <c r="M269" s="107" t="str">
        <f>TRIM(Formulario!M280)</f>
        <v>0</v>
      </c>
      <c r="N269" s="11" t="str">
        <f>TRIM(Formulario!H280)</f>
        <v/>
      </c>
      <c r="P269" s="17"/>
      <c r="Q269" s="104"/>
      <c r="R269" s="104"/>
      <c r="S269" s="117"/>
      <c r="T269" s="101"/>
      <c r="U269" s="101"/>
      <c r="V269" s="101"/>
      <c r="W269" s="102"/>
      <c r="X269" s="102"/>
      <c r="Y269" s="102"/>
      <c r="Z269" s="102"/>
      <c r="AA269" s="102"/>
      <c r="AB269" s="102"/>
      <c r="AC269" s="102"/>
      <c r="AD269" s="102"/>
    </row>
    <row r="270" spans="1:30">
      <c r="A270" s="8" t="str">
        <f>IF(L270="","",Formulario!B281)</f>
        <v/>
      </c>
      <c r="B270" s="119"/>
      <c r="C270" s="120"/>
      <c r="D270" s="121"/>
      <c r="E270" s="129" t="str">
        <f>IF(F270="","",Formulario!B281)</f>
        <v/>
      </c>
      <c r="F270" s="11" t="str">
        <f>TRIM(Formulario!D281)</f>
        <v/>
      </c>
      <c r="G270" s="11" t="str">
        <f>TRIM(Formulario!F281)</f>
        <v/>
      </c>
      <c r="H270" s="146" t="str">
        <f>IF(N270="",TRIM(Formulario!G281),TRIM(Formulario!G281)*N270)</f>
        <v/>
      </c>
      <c r="I270" s="107" t="str">
        <f>TRIM(Formulario!I281)</f>
        <v/>
      </c>
      <c r="J270" s="11" t="str">
        <f>TRIM(Formulario!J281)</f>
        <v/>
      </c>
      <c r="K270" s="11" t="str">
        <f>TRIM(Formulario!K281)</f>
        <v/>
      </c>
      <c r="L270" s="107" t="str">
        <f>TRIM(Formulario!L281)</f>
        <v/>
      </c>
      <c r="M270" s="107" t="str">
        <f>TRIM(Formulario!M281)</f>
        <v>0</v>
      </c>
      <c r="N270" s="11" t="str">
        <f>TRIM(Formulario!H281)</f>
        <v/>
      </c>
      <c r="P270" s="17"/>
      <c r="Q270" s="104"/>
      <c r="R270" s="104"/>
      <c r="S270" s="117"/>
      <c r="T270" s="101"/>
      <c r="U270" s="101"/>
      <c r="V270" s="101"/>
      <c r="W270" s="102"/>
      <c r="X270" s="102"/>
      <c r="Y270" s="102"/>
      <c r="Z270" s="102"/>
      <c r="AA270" s="102"/>
      <c r="AB270" s="102"/>
      <c r="AC270" s="102"/>
      <c r="AD270" s="102"/>
    </row>
    <row r="271" spans="1:30">
      <c r="A271" s="8" t="str">
        <f>IF(L271="","",Formulario!B282)</f>
        <v/>
      </c>
      <c r="B271" s="119"/>
      <c r="C271" s="120"/>
      <c r="D271" s="121"/>
      <c r="E271" s="129" t="str">
        <f>IF(F271="","",Formulario!B282)</f>
        <v/>
      </c>
      <c r="F271" s="11" t="str">
        <f>TRIM(Formulario!D282)</f>
        <v/>
      </c>
      <c r="G271" s="11" t="str">
        <f>TRIM(Formulario!F282)</f>
        <v/>
      </c>
      <c r="H271" s="146" t="str">
        <f>IF(N271="",TRIM(Formulario!G282),TRIM(Formulario!G282)*N271)</f>
        <v/>
      </c>
      <c r="I271" s="107" t="str">
        <f>TRIM(Formulario!I282)</f>
        <v/>
      </c>
      <c r="J271" s="11" t="str">
        <f>TRIM(Formulario!J282)</f>
        <v/>
      </c>
      <c r="K271" s="11" t="str">
        <f>TRIM(Formulario!K282)</f>
        <v/>
      </c>
      <c r="L271" s="107" t="str">
        <f>TRIM(Formulario!L282)</f>
        <v/>
      </c>
      <c r="M271" s="107" t="str">
        <f>TRIM(Formulario!M282)</f>
        <v>0</v>
      </c>
      <c r="N271" s="11" t="str">
        <f>TRIM(Formulario!H282)</f>
        <v/>
      </c>
      <c r="P271" s="17"/>
      <c r="Q271" s="104"/>
      <c r="R271" s="104"/>
      <c r="S271" s="117"/>
      <c r="T271" s="101"/>
      <c r="U271" s="101"/>
      <c r="V271" s="101"/>
      <c r="W271" s="102"/>
      <c r="X271" s="102"/>
      <c r="Y271" s="102"/>
      <c r="Z271" s="102"/>
      <c r="AA271" s="102"/>
      <c r="AB271" s="102"/>
      <c r="AC271" s="102"/>
      <c r="AD271" s="102"/>
    </row>
    <row r="272" spans="1:30">
      <c r="A272" s="8" t="str">
        <f>IF(L272="","",Formulario!B283)</f>
        <v/>
      </c>
      <c r="B272" s="119"/>
      <c r="C272" s="120"/>
      <c r="D272" s="121"/>
      <c r="E272" s="129" t="str">
        <f>IF(F272="","",Formulario!B283)</f>
        <v/>
      </c>
      <c r="F272" s="11" t="str">
        <f>TRIM(Formulario!D283)</f>
        <v/>
      </c>
      <c r="G272" s="11" t="str">
        <f>TRIM(Formulario!F283)</f>
        <v/>
      </c>
      <c r="H272" s="146" t="str">
        <f>IF(N272="",TRIM(Formulario!G283),TRIM(Formulario!G283)*N272)</f>
        <v/>
      </c>
      <c r="I272" s="107" t="str">
        <f>TRIM(Formulario!I283)</f>
        <v/>
      </c>
      <c r="J272" s="11" t="str">
        <f>TRIM(Formulario!J283)</f>
        <v/>
      </c>
      <c r="K272" s="11" t="str">
        <f>TRIM(Formulario!K283)</f>
        <v/>
      </c>
      <c r="L272" s="107" t="str">
        <f>TRIM(Formulario!L283)</f>
        <v/>
      </c>
      <c r="M272" s="107" t="str">
        <f>TRIM(Formulario!M283)</f>
        <v>0</v>
      </c>
      <c r="N272" s="11" t="str">
        <f>TRIM(Formulario!H283)</f>
        <v/>
      </c>
      <c r="P272" s="17"/>
      <c r="Q272" s="104"/>
      <c r="R272" s="104"/>
      <c r="S272" s="117"/>
      <c r="T272" s="101"/>
      <c r="U272" s="101"/>
      <c r="V272" s="101"/>
      <c r="W272" s="102"/>
      <c r="X272" s="102"/>
      <c r="Y272" s="102"/>
      <c r="Z272" s="102"/>
      <c r="AA272" s="102"/>
      <c r="AB272" s="102"/>
      <c r="AC272" s="102"/>
      <c r="AD272" s="102"/>
    </row>
    <row r="273" spans="1:30">
      <c r="A273" s="8" t="str">
        <f>IF(L273="","",Formulario!B284)</f>
        <v/>
      </c>
      <c r="B273" s="119"/>
      <c r="C273" s="120"/>
      <c r="D273" s="121"/>
      <c r="E273" s="129" t="str">
        <f>IF(F273="","",Formulario!B284)</f>
        <v/>
      </c>
      <c r="F273" s="11" t="str">
        <f>TRIM(Formulario!D284)</f>
        <v/>
      </c>
      <c r="G273" s="11" t="str">
        <f>TRIM(Formulario!F284)</f>
        <v/>
      </c>
      <c r="H273" s="146" t="str">
        <f>IF(N273="",TRIM(Formulario!G284),TRIM(Formulario!G284)*N273)</f>
        <v/>
      </c>
      <c r="I273" s="107" t="str">
        <f>TRIM(Formulario!I284)</f>
        <v/>
      </c>
      <c r="J273" s="11" t="str">
        <f>TRIM(Formulario!J284)</f>
        <v/>
      </c>
      <c r="K273" s="11" t="str">
        <f>TRIM(Formulario!K284)</f>
        <v/>
      </c>
      <c r="L273" s="107" t="str">
        <f>TRIM(Formulario!L284)</f>
        <v/>
      </c>
      <c r="M273" s="107" t="str">
        <f>TRIM(Formulario!M284)</f>
        <v>0</v>
      </c>
      <c r="N273" s="11" t="str">
        <f>TRIM(Formulario!H284)</f>
        <v/>
      </c>
      <c r="P273" s="17"/>
      <c r="Q273" s="104"/>
      <c r="R273" s="104"/>
      <c r="S273" s="117"/>
      <c r="T273" s="101"/>
      <c r="U273" s="101"/>
      <c r="V273" s="101"/>
      <c r="W273" s="102"/>
      <c r="X273" s="102"/>
      <c r="Y273" s="102"/>
      <c r="Z273" s="102"/>
      <c r="AA273" s="102"/>
      <c r="AB273" s="102"/>
      <c r="AC273" s="102"/>
      <c r="AD273" s="102"/>
    </row>
    <row r="274" spans="1:30">
      <c r="A274" s="8" t="str">
        <f>IF(L274="","",Formulario!B285)</f>
        <v/>
      </c>
      <c r="B274" s="119"/>
      <c r="C274" s="120"/>
      <c r="D274" s="121"/>
      <c r="E274" s="129" t="str">
        <f>IF(F274="","",Formulario!B285)</f>
        <v/>
      </c>
      <c r="F274" s="11" t="str">
        <f>TRIM(Formulario!D285)</f>
        <v/>
      </c>
      <c r="G274" s="11" t="str">
        <f>TRIM(Formulario!F285)</f>
        <v/>
      </c>
      <c r="H274" s="146" t="str">
        <f>IF(N274="",TRIM(Formulario!G285),TRIM(Formulario!G285)*N274)</f>
        <v/>
      </c>
      <c r="I274" s="107" t="str">
        <f>TRIM(Formulario!I285)</f>
        <v/>
      </c>
      <c r="J274" s="11" t="str">
        <f>TRIM(Formulario!J285)</f>
        <v/>
      </c>
      <c r="K274" s="11" t="str">
        <f>TRIM(Formulario!K285)</f>
        <v/>
      </c>
      <c r="L274" s="107" t="str">
        <f>TRIM(Formulario!L285)</f>
        <v/>
      </c>
      <c r="M274" s="107" t="str">
        <f>TRIM(Formulario!M285)</f>
        <v>0</v>
      </c>
      <c r="N274" s="11" t="str">
        <f>TRIM(Formulario!H285)</f>
        <v/>
      </c>
      <c r="P274" s="17"/>
      <c r="Q274" s="104"/>
      <c r="R274" s="104"/>
      <c r="S274" s="117"/>
      <c r="T274" s="101"/>
      <c r="U274" s="101"/>
      <c r="V274" s="101"/>
      <c r="W274" s="102"/>
      <c r="X274" s="102"/>
      <c r="Y274" s="102"/>
      <c r="Z274" s="102"/>
      <c r="AA274" s="102"/>
      <c r="AB274" s="102"/>
      <c r="AC274" s="102"/>
      <c r="AD274" s="102"/>
    </row>
    <row r="275" spans="1:30">
      <c r="A275" s="8" t="str">
        <f>IF(L275="","",Formulario!B286)</f>
        <v/>
      </c>
      <c r="B275" s="119"/>
      <c r="C275" s="120"/>
      <c r="D275" s="121"/>
      <c r="E275" s="129" t="str">
        <f>IF(F275="","",Formulario!B286)</f>
        <v/>
      </c>
      <c r="F275" s="11" t="str">
        <f>TRIM(Formulario!D286)</f>
        <v/>
      </c>
      <c r="G275" s="11" t="str">
        <f>TRIM(Formulario!F286)</f>
        <v/>
      </c>
      <c r="H275" s="146" t="str">
        <f>IF(N275="",TRIM(Formulario!G286),TRIM(Formulario!G286)*N275)</f>
        <v/>
      </c>
      <c r="I275" s="107" t="str">
        <f>TRIM(Formulario!I286)</f>
        <v/>
      </c>
      <c r="J275" s="11" t="str">
        <f>TRIM(Formulario!J286)</f>
        <v/>
      </c>
      <c r="K275" s="11" t="str">
        <f>TRIM(Formulario!K286)</f>
        <v/>
      </c>
      <c r="L275" s="107" t="str">
        <f>TRIM(Formulario!L286)</f>
        <v/>
      </c>
      <c r="M275" s="107" t="str">
        <f>TRIM(Formulario!M286)</f>
        <v>0</v>
      </c>
      <c r="N275" s="11" t="str">
        <f>TRIM(Formulario!H286)</f>
        <v/>
      </c>
      <c r="P275" s="17"/>
      <c r="Q275" s="104"/>
      <c r="R275" s="104"/>
      <c r="S275" s="117"/>
      <c r="T275" s="101"/>
      <c r="U275" s="101"/>
      <c r="V275" s="101"/>
      <c r="W275" s="102"/>
      <c r="X275" s="102"/>
      <c r="Y275" s="102"/>
      <c r="Z275" s="102"/>
      <c r="AA275" s="102"/>
      <c r="AB275" s="102"/>
      <c r="AC275" s="102"/>
      <c r="AD275" s="102"/>
    </row>
    <row r="276" spans="1:30">
      <c r="A276" s="8" t="str">
        <f>IF(L276="","",Formulario!B287)</f>
        <v/>
      </c>
      <c r="B276" s="119"/>
      <c r="C276" s="120"/>
      <c r="D276" s="121"/>
      <c r="E276" s="129" t="str">
        <f>IF(F276="","",Formulario!B287)</f>
        <v/>
      </c>
      <c r="F276" s="11" t="str">
        <f>TRIM(Formulario!D287)</f>
        <v/>
      </c>
      <c r="G276" s="11" t="str">
        <f>TRIM(Formulario!F287)</f>
        <v/>
      </c>
      <c r="H276" s="146" t="str">
        <f>IF(N276="",TRIM(Formulario!G287),TRIM(Formulario!G287)*N276)</f>
        <v/>
      </c>
      <c r="I276" s="107" t="str">
        <f>TRIM(Formulario!I287)</f>
        <v/>
      </c>
      <c r="J276" s="11" t="str">
        <f>TRIM(Formulario!J287)</f>
        <v/>
      </c>
      <c r="K276" s="11" t="str">
        <f>TRIM(Formulario!K287)</f>
        <v/>
      </c>
      <c r="L276" s="107" t="str">
        <f>TRIM(Formulario!L287)</f>
        <v/>
      </c>
      <c r="M276" s="107" t="str">
        <f>TRIM(Formulario!M287)</f>
        <v>0</v>
      </c>
      <c r="N276" s="11" t="str">
        <f>TRIM(Formulario!H287)</f>
        <v/>
      </c>
      <c r="P276" s="17"/>
      <c r="Q276" s="104"/>
      <c r="R276" s="104"/>
      <c r="S276" s="117"/>
      <c r="T276" s="101"/>
      <c r="U276" s="101"/>
      <c r="V276" s="101"/>
      <c r="W276" s="102"/>
      <c r="X276" s="102"/>
      <c r="Y276" s="102"/>
      <c r="Z276" s="102"/>
      <c r="AA276" s="102"/>
      <c r="AB276" s="102"/>
      <c r="AC276" s="102"/>
      <c r="AD276" s="102"/>
    </row>
    <row r="277" spans="1:30">
      <c r="A277" s="8" t="str">
        <f>IF(L277="","",Formulario!B288)</f>
        <v/>
      </c>
      <c r="B277" s="119"/>
      <c r="C277" s="120"/>
      <c r="D277" s="121"/>
      <c r="E277" s="129" t="str">
        <f>IF(F277="","",Formulario!B288)</f>
        <v/>
      </c>
      <c r="F277" s="11" t="str">
        <f>TRIM(Formulario!D288)</f>
        <v/>
      </c>
      <c r="G277" s="11" t="str">
        <f>TRIM(Formulario!F288)</f>
        <v/>
      </c>
      <c r="H277" s="146" t="str">
        <f>IF(N277="",TRIM(Formulario!G288),TRIM(Formulario!G288)*N277)</f>
        <v/>
      </c>
      <c r="I277" s="107" t="str">
        <f>TRIM(Formulario!I288)</f>
        <v/>
      </c>
      <c r="J277" s="11" t="str">
        <f>TRIM(Formulario!J288)</f>
        <v/>
      </c>
      <c r="K277" s="11" t="str">
        <f>TRIM(Formulario!K288)</f>
        <v/>
      </c>
      <c r="L277" s="107" t="str">
        <f>TRIM(Formulario!L288)</f>
        <v/>
      </c>
      <c r="M277" s="107" t="str">
        <f>TRIM(Formulario!M288)</f>
        <v>0</v>
      </c>
      <c r="N277" s="11" t="str">
        <f>TRIM(Formulario!H288)</f>
        <v/>
      </c>
      <c r="P277" s="17"/>
      <c r="Q277" s="104"/>
      <c r="R277" s="104"/>
      <c r="S277" s="117"/>
      <c r="T277" s="101"/>
      <c r="U277" s="101"/>
      <c r="V277" s="101"/>
      <c r="W277" s="102"/>
      <c r="X277" s="102"/>
      <c r="Y277" s="102"/>
      <c r="Z277" s="102"/>
      <c r="AA277" s="102"/>
      <c r="AB277" s="102"/>
      <c r="AC277" s="102"/>
      <c r="AD277" s="102"/>
    </row>
    <row r="278" spans="1:30">
      <c r="A278" s="8" t="str">
        <f>IF(L278="","",Formulario!B289)</f>
        <v/>
      </c>
      <c r="B278" s="119"/>
      <c r="C278" s="120"/>
      <c r="D278" s="121"/>
      <c r="E278" s="129" t="str">
        <f>IF(F278="","",Formulario!B289)</f>
        <v/>
      </c>
      <c r="F278" s="11" t="str">
        <f>TRIM(Formulario!D289)</f>
        <v/>
      </c>
      <c r="G278" s="11" t="str">
        <f>TRIM(Formulario!F289)</f>
        <v/>
      </c>
      <c r="H278" s="146" t="str">
        <f>IF(N278="",TRIM(Formulario!G289),TRIM(Formulario!G289)*N278)</f>
        <v/>
      </c>
      <c r="I278" s="107" t="str">
        <f>TRIM(Formulario!I289)</f>
        <v/>
      </c>
      <c r="J278" s="11" t="str">
        <f>TRIM(Formulario!J289)</f>
        <v/>
      </c>
      <c r="K278" s="11" t="str">
        <f>TRIM(Formulario!K289)</f>
        <v/>
      </c>
      <c r="L278" s="107" t="str">
        <f>TRIM(Formulario!L289)</f>
        <v/>
      </c>
      <c r="M278" s="107" t="str">
        <f>TRIM(Formulario!M289)</f>
        <v>0</v>
      </c>
      <c r="N278" s="11" t="str">
        <f>TRIM(Formulario!H289)</f>
        <v/>
      </c>
      <c r="P278" s="17"/>
      <c r="Q278" s="104"/>
      <c r="R278" s="104"/>
      <c r="S278" s="117"/>
      <c r="T278" s="101"/>
      <c r="U278" s="101"/>
      <c r="V278" s="101"/>
      <c r="W278" s="102"/>
      <c r="X278" s="102"/>
      <c r="Y278" s="102"/>
      <c r="Z278" s="102"/>
      <c r="AA278" s="102"/>
      <c r="AB278" s="102"/>
      <c r="AC278" s="102"/>
      <c r="AD278" s="102"/>
    </row>
    <row r="279" spans="1:30">
      <c r="A279" s="8" t="str">
        <f>IF(L279="","",Formulario!B290)</f>
        <v/>
      </c>
      <c r="B279" s="119"/>
      <c r="C279" s="120"/>
      <c r="D279" s="121"/>
      <c r="E279" s="129" t="str">
        <f>IF(F279="","",Formulario!B290)</f>
        <v/>
      </c>
      <c r="F279" s="11" t="str">
        <f>TRIM(Formulario!D290)</f>
        <v/>
      </c>
      <c r="G279" s="11" t="str">
        <f>TRIM(Formulario!F290)</f>
        <v/>
      </c>
      <c r="H279" s="146" t="str">
        <f>IF(N279="",TRIM(Formulario!G290),TRIM(Formulario!G290)*N279)</f>
        <v/>
      </c>
      <c r="I279" s="107" t="str">
        <f>TRIM(Formulario!I290)</f>
        <v/>
      </c>
      <c r="J279" s="11" t="str">
        <f>TRIM(Formulario!J290)</f>
        <v/>
      </c>
      <c r="K279" s="11" t="str">
        <f>TRIM(Formulario!K290)</f>
        <v/>
      </c>
      <c r="L279" s="107" t="str">
        <f>TRIM(Formulario!L290)</f>
        <v/>
      </c>
      <c r="M279" s="107" t="str">
        <f>TRIM(Formulario!M290)</f>
        <v>0</v>
      </c>
      <c r="N279" s="11" t="str">
        <f>TRIM(Formulario!H290)</f>
        <v/>
      </c>
      <c r="P279" s="17"/>
      <c r="Q279" s="104"/>
      <c r="R279" s="104"/>
      <c r="S279" s="117"/>
      <c r="T279" s="101"/>
      <c r="U279" s="101"/>
      <c r="V279" s="101"/>
      <c r="W279" s="102"/>
      <c r="X279" s="102"/>
      <c r="Y279" s="102"/>
      <c r="Z279" s="102"/>
      <c r="AA279" s="102"/>
      <c r="AB279" s="102"/>
      <c r="AC279" s="102"/>
      <c r="AD279" s="102"/>
    </row>
    <row r="280" spans="1:30">
      <c r="A280" s="8" t="str">
        <f>IF(L280="","",Formulario!B291)</f>
        <v/>
      </c>
      <c r="B280" s="119"/>
      <c r="C280" s="120"/>
      <c r="D280" s="121"/>
      <c r="E280" s="129" t="str">
        <f>IF(F280="","",Formulario!B291)</f>
        <v/>
      </c>
      <c r="F280" s="11" t="str">
        <f>TRIM(Formulario!D291)</f>
        <v/>
      </c>
      <c r="G280" s="11" t="str">
        <f>TRIM(Formulario!F291)</f>
        <v/>
      </c>
      <c r="H280" s="146" t="str">
        <f>IF(N280="",TRIM(Formulario!G291),TRIM(Formulario!G291)*N280)</f>
        <v/>
      </c>
      <c r="I280" s="107" t="str">
        <f>TRIM(Formulario!I291)</f>
        <v/>
      </c>
      <c r="J280" s="11" t="str">
        <f>TRIM(Formulario!J291)</f>
        <v/>
      </c>
      <c r="K280" s="11" t="str">
        <f>TRIM(Formulario!K291)</f>
        <v/>
      </c>
      <c r="L280" s="107" t="str">
        <f>TRIM(Formulario!L291)</f>
        <v/>
      </c>
      <c r="M280" s="107" t="str">
        <f>TRIM(Formulario!M291)</f>
        <v>0</v>
      </c>
      <c r="N280" s="11" t="str">
        <f>TRIM(Formulario!H291)</f>
        <v/>
      </c>
      <c r="P280" s="17"/>
      <c r="Q280" s="104"/>
      <c r="R280" s="104"/>
      <c r="S280" s="117"/>
      <c r="T280" s="101"/>
      <c r="U280" s="101"/>
      <c r="V280" s="101"/>
      <c r="W280" s="102"/>
      <c r="X280" s="102"/>
      <c r="Y280" s="102"/>
      <c r="Z280" s="102"/>
      <c r="AA280" s="102"/>
      <c r="AB280" s="102"/>
      <c r="AC280" s="102"/>
      <c r="AD280" s="102"/>
    </row>
    <row r="281" spans="1:30">
      <c r="A281" s="8" t="str">
        <f>IF(L281="","",Formulario!B292)</f>
        <v/>
      </c>
      <c r="B281" s="119"/>
      <c r="C281" s="120"/>
      <c r="D281" s="121"/>
      <c r="E281" s="129" t="str">
        <f>IF(F281="","",Formulario!B292)</f>
        <v/>
      </c>
      <c r="F281" s="11" t="str">
        <f>TRIM(Formulario!D292)</f>
        <v/>
      </c>
      <c r="G281" s="11" t="str">
        <f>TRIM(Formulario!F292)</f>
        <v/>
      </c>
      <c r="H281" s="146" t="str">
        <f>IF(N281="",TRIM(Formulario!G292),TRIM(Formulario!G292)*N281)</f>
        <v/>
      </c>
      <c r="I281" s="107" t="str">
        <f>TRIM(Formulario!I292)</f>
        <v/>
      </c>
      <c r="J281" s="11" t="str">
        <f>TRIM(Formulario!J292)</f>
        <v/>
      </c>
      <c r="K281" s="11" t="str">
        <f>TRIM(Formulario!K292)</f>
        <v/>
      </c>
      <c r="L281" s="107" t="str">
        <f>TRIM(Formulario!L292)</f>
        <v/>
      </c>
      <c r="M281" s="107" t="str">
        <f>TRIM(Formulario!M292)</f>
        <v>0</v>
      </c>
      <c r="N281" s="11" t="str">
        <f>TRIM(Formulario!H292)</f>
        <v/>
      </c>
      <c r="P281" s="17"/>
      <c r="Q281" s="104"/>
      <c r="R281" s="104"/>
      <c r="S281" s="117"/>
      <c r="T281" s="101"/>
      <c r="U281" s="101"/>
      <c r="V281" s="101"/>
      <c r="W281" s="102"/>
      <c r="X281" s="102"/>
      <c r="Y281" s="102"/>
      <c r="Z281" s="102"/>
      <c r="AA281" s="102"/>
      <c r="AB281" s="102"/>
      <c r="AC281" s="102"/>
      <c r="AD281" s="102"/>
    </row>
    <row r="282" spans="1:30">
      <c r="A282" s="8" t="str">
        <f>IF(L282="","",Formulario!B293)</f>
        <v/>
      </c>
      <c r="B282" s="119"/>
      <c r="C282" s="120"/>
      <c r="D282" s="121"/>
      <c r="E282" s="129" t="str">
        <f>IF(F282="","",Formulario!B293)</f>
        <v/>
      </c>
      <c r="F282" s="11" t="str">
        <f>TRIM(Formulario!D293)</f>
        <v/>
      </c>
      <c r="G282" s="11" t="str">
        <f>TRIM(Formulario!F293)</f>
        <v/>
      </c>
      <c r="H282" s="146" t="str">
        <f>IF(N282="",TRIM(Formulario!G293),TRIM(Formulario!G293)*N282)</f>
        <v/>
      </c>
      <c r="I282" s="107" t="str">
        <f>TRIM(Formulario!I293)</f>
        <v/>
      </c>
      <c r="J282" s="11" t="str">
        <f>TRIM(Formulario!J293)</f>
        <v/>
      </c>
      <c r="K282" s="11" t="str">
        <f>TRIM(Formulario!K293)</f>
        <v/>
      </c>
      <c r="L282" s="107" t="str">
        <f>TRIM(Formulario!L293)</f>
        <v/>
      </c>
      <c r="M282" s="107" t="str">
        <f>TRIM(Formulario!M293)</f>
        <v>0</v>
      </c>
      <c r="N282" s="11" t="str">
        <f>TRIM(Formulario!H293)</f>
        <v/>
      </c>
      <c r="P282" s="17"/>
      <c r="Q282" s="104"/>
      <c r="R282" s="104"/>
      <c r="S282" s="117"/>
      <c r="T282" s="101"/>
      <c r="U282" s="101"/>
      <c r="V282" s="101"/>
      <c r="W282" s="102"/>
      <c r="X282" s="102"/>
      <c r="Y282" s="102"/>
      <c r="Z282" s="102"/>
      <c r="AA282" s="102"/>
      <c r="AB282" s="102"/>
      <c r="AC282" s="102"/>
      <c r="AD282" s="102"/>
    </row>
    <row r="283" spans="1:30">
      <c r="A283" s="8" t="str">
        <f>IF(L283="","",Formulario!B294)</f>
        <v/>
      </c>
      <c r="B283" s="119"/>
      <c r="C283" s="120"/>
      <c r="D283" s="121"/>
      <c r="E283" s="129" t="str">
        <f>IF(F283="","",Formulario!B294)</f>
        <v/>
      </c>
      <c r="F283" s="11" t="str">
        <f>TRIM(Formulario!D294)</f>
        <v/>
      </c>
      <c r="G283" s="11" t="str">
        <f>TRIM(Formulario!F294)</f>
        <v/>
      </c>
      <c r="H283" s="146" t="str">
        <f>IF(N283="",TRIM(Formulario!G294),TRIM(Formulario!G294)*N283)</f>
        <v/>
      </c>
      <c r="I283" s="107" t="str">
        <f>TRIM(Formulario!I294)</f>
        <v/>
      </c>
      <c r="J283" s="11" t="str">
        <f>TRIM(Formulario!J294)</f>
        <v/>
      </c>
      <c r="K283" s="11" t="str">
        <f>TRIM(Formulario!K294)</f>
        <v/>
      </c>
      <c r="L283" s="107" t="str">
        <f>TRIM(Formulario!L294)</f>
        <v/>
      </c>
      <c r="M283" s="107" t="str">
        <f>TRIM(Formulario!M294)</f>
        <v>0</v>
      </c>
      <c r="N283" s="11" t="str">
        <f>TRIM(Formulario!H294)</f>
        <v/>
      </c>
      <c r="P283" s="17"/>
      <c r="Q283" s="104"/>
      <c r="R283" s="104"/>
      <c r="S283" s="117"/>
      <c r="T283" s="101"/>
      <c r="U283" s="101"/>
      <c r="V283" s="101"/>
      <c r="W283" s="102"/>
      <c r="X283" s="102"/>
      <c r="Y283" s="102"/>
      <c r="Z283" s="102"/>
      <c r="AA283" s="102"/>
      <c r="AB283" s="102"/>
      <c r="AC283" s="102"/>
      <c r="AD283" s="102"/>
    </row>
    <row r="284" spans="1:30">
      <c r="A284" s="8" t="str">
        <f>IF(L284="","",Formulario!B295)</f>
        <v/>
      </c>
      <c r="B284" s="119"/>
      <c r="C284" s="120"/>
      <c r="D284" s="121"/>
      <c r="E284" s="129" t="str">
        <f>IF(F284="","",Formulario!B295)</f>
        <v/>
      </c>
      <c r="F284" s="11" t="str">
        <f>TRIM(Formulario!D295)</f>
        <v/>
      </c>
      <c r="G284" s="11" t="str">
        <f>TRIM(Formulario!F295)</f>
        <v/>
      </c>
      <c r="H284" s="146" t="str">
        <f>IF(N284="",TRIM(Formulario!G295),TRIM(Formulario!G295)*N284)</f>
        <v/>
      </c>
      <c r="I284" s="107" t="str">
        <f>TRIM(Formulario!I295)</f>
        <v/>
      </c>
      <c r="J284" s="11" t="str">
        <f>TRIM(Formulario!J295)</f>
        <v/>
      </c>
      <c r="K284" s="11" t="str">
        <f>TRIM(Formulario!K295)</f>
        <v/>
      </c>
      <c r="L284" s="107" t="str">
        <f>TRIM(Formulario!L295)</f>
        <v/>
      </c>
      <c r="M284" s="107" t="str">
        <f>TRIM(Formulario!M295)</f>
        <v>0</v>
      </c>
      <c r="N284" s="11" t="str">
        <f>TRIM(Formulario!H295)</f>
        <v/>
      </c>
      <c r="P284" s="17"/>
      <c r="Q284" s="104"/>
      <c r="R284" s="104"/>
      <c r="S284" s="117"/>
      <c r="T284" s="101"/>
      <c r="U284" s="101"/>
      <c r="V284" s="101"/>
      <c r="W284" s="102"/>
      <c r="X284" s="102"/>
      <c r="Y284" s="102"/>
      <c r="Z284" s="102"/>
      <c r="AA284" s="102"/>
      <c r="AB284" s="102"/>
      <c r="AC284" s="102"/>
      <c r="AD284" s="102"/>
    </row>
    <row r="285" spans="1:30">
      <c r="A285" s="8" t="str">
        <f>IF(L285="","",Formulario!B296)</f>
        <v/>
      </c>
      <c r="B285" s="119"/>
      <c r="C285" s="120"/>
      <c r="D285" s="121"/>
      <c r="E285" s="129" t="str">
        <f>IF(F285="","",Formulario!B296)</f>
        <v/>
      </c>
      <c r="F285" s="11" t="str">
        <f>TRIM(Formulario!D296)</f>
        <v/>
      </c>
      <c r="G285" s="11" t="str">
        <f>TRIM(Formulario!F296)</f>
        <v/>
      </c>
      <c r="H285" s="146" t="str">
        <f>IF(N285="",TRIM(Formulario!G296),TRIM(Formulario!G296)*N285)</f>
        <v/>
      </c>
      <c r="I285" s="107" t="str">
        <f>TRIM(Formulario!I296)</f>
        <v/>
      </c>
      <c r="J285" s="11" t="str">
        <f>TRIM(Formulario!J296)</f>
        <v/>
      </c>
      <c r="K285" s="11" t="str">
        <f>TRIM(Formulario!K296)</f>
        <v/>
      </c>
      <c r="L285" s="107" t="str">
        <f>TRIM(Formulario!L296)</f>
        <v/>
      </c>
      <c r="M285" s="107" t="str">
        <f>TRIM(Formulario!M296)</f>
        <v>0</v>
      </c>
      <c r="N285" s="11" t="str">
        <f>TRIM(Formulario!H296)</f>
        <v/>
      </c>
      <c r="P285" s="17"/>
      <c r="Q285" s="104"/>
      <c r="R285" s="104"/>
      <c r="S285" s="117"/>
      <c r="T285" s="101"/>
      <c r="U285" s="101"/>
      <c r="V285" s="101"/>
      <c r="W285" s="102"/>
      <c r="X285" s="102"/>
      <c r="Y285" s="102"/>
      <c r="Z285" s="102"/>
      <c r="AA285" s="102"/>
      <c r="AB285" s="102"/>
      <c r="AC285" s="102"/>
      <c r="AD285" s="102"/>
    </row>
    <row r="286" spans="1:30">
      <c r="A286" s="8" t="str">
        <f>IF(L286="","",Formulario!B297)</f>
        <v/>
      </c>
      <c r="B286" s="119"/>
      <c r="C286" s="120"/>
      <c r="D286" s="121"/>
      <c r="E286" s="129" t="str">
        <f>IF(F286="","",Formulario!B297)</f>
        <v/>
      </c>
      <c r="F286" s="11" t="str">
        <f>TRIM(Formulario!D297)</f>
        <v/>
      </c>
      <c r="G286" s="11" t="str">
        <f>TRIM(Formulario!F297)</f>
        <v/>
      </c>
      <c r="H286" s="146" t="str">
        <f>IF(N286="",TRIM(Formulario!G297),TRIM(Formulario!G297)*N286)</f>
        <v/>
      </c>
      <c r="I286" s="107" t="str">
        <f>TRIM(Formulario!I297)</f>
        <v/>
      </c>
      <c r="J286" s="11" t="str">
        <f>TRIM(Formulario!J297)</f>
        <v/>
      </c>
      <c r="K286" s="11" t="str">
        <f>TRIM(Formulario!K297)</f>
        <v/>
      </c>
      <c r="L286" s="107" t="str">
        <f>TRIM(Formulario!L297)</f>
        <v/>
      </c>
      <c r="M286" s="107" t="str">
        <f>TRIM(Formulario!M297)</f>
        <v>0</v>
      </c>
      <c r="N286" s="11" t="str">
        <f>TRIM(Formulario!H297)</f>
        <v/>
      </c>
      <c r="P286" s="17"/>
      <c r="Q286" s="104"/>
      <c r="R286" s="104"/>
      <c r="S286" s="117"/>
      <c r="T286" s="101"/>
      <c r="U286" s="101"/>
      <c r="V286" s="101"/>
      <c r="W286" s="102"/>
      <c r="X286" s="102"/>
      <c r="Y286" s="102"/>
      <c r="Z286" s="102"/>
      <c r="AA286" s="102"/>
      <c r="AB286" s="102"/>
      <c r="AC286" s="102"/>
      <c r="AD286" s="102"/>
    </row>
    <row r="287" spans="1:30">
      <c r="A287" s="8" t="str">
        <f>IF(L287="","",Formulario!B298)</f>
        <v/>
      </c>
      <c r="B287" s="119"/>
      <c r="C287" s="120"/>
      <c r="D287" s="121"/>
      <c r="E287" s="129" t="str">
        <f>IF(F287="","",Formulario!B298)</f>
        <v/>
      </c>
      <c r="F287" s="11" t="str">
        <f>TRIM(Formulario!D298)</f>
        <v/>
      </c>
      <c r="G287" s="11" t="str">
        <f>TRIM(Formulario!F298)</f>
        <v/>
      </c>
      <c r="H287" s="146" t="str">
        <f>IF(N287="",TRIM(Formulario!G298),TRIM(Formulario!G298)*N287)</f>
        <v/>
      </c>
      <c r="I287" s="107" t="str">
        <f>TRIM(Formulario!I298)</f>
        <v/>
      </c>
      <c r="J287" s="11" t="str">
        <f>TRIM(Formulario!J298)</f>
        <v/>
      </c>
      <c r="K287" s="11" t="str">
        <f>TRIM(Formulario!K298)</f>
        <v/>
      </c>
      <c r="L287" s="107" t="str">
        <f>TRIM(Formulario!L298)</f>
        <v/>
      </c>
      <c r="M287" s="107" t="str">
        <f>TRIM(Formulario!M298)</f>
        <v>0</v>
      </c>
      <c r="N287" s="11" t="str">
        <f>TRIM(Formulario!H298)</f>
        <v/>
      </c>
      <c r="P287" s="17"/>
      <c r="Q287" s="104"/>
      <c r="R287" s="104"/>
      <c r="S287" s="117"/>
      <c r="T287" s="101"/>
      <c r="U287" s="101"/>
      <c r="V287" s="101"/>
      <c r="W287" s="102"/>
      <c r="X287" s="102"/>
      <c r="Y287" s="102"/>
      <c r="Z287" s="102"/>
      <c r="AA287" s="102"/>
      <c r="AB287" s="102"/>
      <c r="AC287" s="102"/>
      <c r="AD287" s="102"/>
    </row>
    <row r="288" spans="1:30">
      <c r="A288" s="8" t="str">
        <f>IF(L288="","",Formulario!B299)</f>
        <v/>
      </c>
      <c r="B288" s="119"/>
      <c r="C288" s="120"/>
      <c r="D288" s="121"/>
      <c r="E288" s="129" t="str">
        <f>IF(F288="","",Formulario!B299)</f>
        <v/>
      </c>
      <c r="F288" s="11" t="str">
        <f>TRIM(Formulario!D299)</f>
        <v/>
      </c>
      <c r="G288" s="11" t="str">
        <f>TRIM(Formulario!F299)</f>
        <v/>
      </c>
      <c r="H288" s="146" t="str">
        <f>IF(N288="",TRIM(Formulario!G299),TRIM(Formulario!G299)*N288)</f>
        <v/>
      </c>
      <c r="I288" s="107" t="str">
        <f>TRIM(Formulario!I299)</f>
        <v/>
      </c>
      <c r="J288" s="11" t="str">
        <f>TRIM(Formulario!J299)</f>
        <v/>
      </c>
      <c r="K288" s="11" t="str">
        <f>TRIM(Formulario!K299)</f>
        <v/>
      </c>
      <c r="L288" s="107" t="str">
        <f>TRIM(Formulario!L299)</f>
        <v/>
      </c>
      <c r="M288" s="107" t="str">
        <f>TRIM(Formulario!M299)</f>
        <v>0</v>
      </c>
      <c r="N288" s="11" t="str">
        <f>TRIM(Formulario!H299)</f>
        <v/>
      </c>
      <c r="P288" s="17"/>
      <c r="Q288" s="104"/>
      <c r="R288" s="104"/>
      <c r="S288" s="117"/>
      <c r="T288" s="101"/>
      <c r="U288" s="101"/>
      <c r="V288" s="101"/>
      <c r="W288" s="102"/>
      <c r="X288" s="102"/>
      <c r="Y288" s="102"/>
      <c r="Z288" s="102"/>
      <c r="AA288" s="102"/>
      <c r="AB288" s="102"/>
      <c r="AC288" s="102"/>
      <c r="AD288" s="102"/>
    </row>
    <row r="289" spans="1:30">
      <c r="A289" s="8" t="str">
        <f>IF(L289="","",Formulario!B300)</f>
        <v/>
      </c>
      <c r="B289" s="119"/>
      <c r="C289" s="120"/>
      <c r="D289" s="121"/>
      <c r="E289" s="129" t="str">
        <f>IF(F289="","",Formulario!B300)</f>
        <v/>
      </c>
      <c r="F289" s="11" t="str">
        <f>TRIM(Formulario!D300)</f>
        <v/>
      </c>
      <c r="G289" s="11" t="str">
        <f>TRIM(Formulario!F300)</f>
        <v/>
      </c>
      <c r="H289" s="146" t="str">
        <f>IF(N289="",TRIM(Formulario!G300),TRIM(Formulario!G300)*N289)</f>
        <v/>
      </c>
      <c r="I289" s="107" t="str">
        <f>TRIM(Formulario!I300)</f>
        <v/>
      </c>
      <c r="J289" s="11" t="str">
        <f>TRIM(Formulario!J300)</f>
        <v/>
      </c>
      <c r="K289" s="11" t="str">
        <f>TRIM(Formulario!K300)</f>
        <v/>
      </c>
      <c r="L289" s="107" t="str">
        <f>TRIM(Formulario!L300)</f>
        <v/>
      </c>
      <c r="M289" s="107" t="str">
        <f>TRIM(Formulario!M300)</f>
        <v>0</v>
      </c>
      <c r="N289" s="11" t="str">
        <f>TRIM(Formulario!H300)</f>
        <v/>
      </c>
      <c r="P289" s="17"/>
      <c r="Q289" s="104"/>
      <c r="R289" s="104"/>
      <c r="S289" s="117"/>
      <c r="T289" s="101"/>
      <c r="U289" s="101"/>
      <c r="V289" s="101"/>
      <c r="W289" s="102"/>
      <c r="X289" s="102"/>
      <c r="Y289" s="102"/>
      <c r="Z289" s="102"/>
      <c r="AA289" s="102"/>
      <c r="AB289" s="102"/>
      <c r="AC289" s="102"/>
      <c r="AD289" s="102"/>
    </row>
    <row r="290" spans="1:30">
      <c r="A290" s="8" t="str">
        <f>IF(L290="","",Formulario!B301)</f>
        <v/>
      </c>
      <c r="B290" s="119"/>
      <c r="C290" s="120"/>
      <c r="D290" s="121"/>
      <c r="E290" s="129" t="str">
        <f>IF(F290="","",Formulario!B301)</f>
        <v/>
      </c>
      <c r="F290" s="11" t="str">
        <f>TRIM(Formulario!D301)</f>
        <v/>
      </c>
      <c r="G290" s="11" t="str">
        <f>TRIM(Formulario!F301)</f>
        <v/>
      </c>
      <c r="H290" s="146" t="str">
        <f>IF(N290="",TRIM(Formulario!G301),TRIM(Formulario!G301)*N290)</f>
        <v/>
      </c>
      <c r="I290" s="107" t="str">
        <f>TRIM(Formulario!I301)</f>
        <v/>
      </c>
      <c r="J290" s="11" t="str">
        <f>TRIM(Formulario!J301)</f>
        <v/>
      </c>
      <c r="K290" s="11" t="str">
        <f>TRIM(Formulario!K301)</f>
        <v/>
      </c>
      <c r="L290" s="107" t="str">
        <f>TRIM(Formulario!L301)</f>
        <v/>
      </c>
      <c r="M290" s="107" t="str">
        <f>TRIM(Formulario!M301)</f>
        <v>0</v>
      </c>
      <c r="N290" s="11" t="str">
        <f>TRIM(Formulario!H301)</f>
        <v/>
      </c>
      <c r="P290" s="17"/>
      <c r="Q290" s="104"/>
      <c r="R290" s="104"/>
      <c r="S290" s="117"/>
      <c r="T290" s="101"/>
      <c r="U290" s="101"/>
      <c r="V290" s="101"/>
      <c r="W290" s="102"/>
      <c r="X290" s="102"/>
      <c r="Y290" s="102"/>
      <c r="Z290" s="102"/>
      <c r="AA290" s="102"/>
      <c r="AB290" s="102"/>
      <c r="AC290" s="102"/>
      <c r="AD290" s="102"/>
    </row>
    <row r="291" spans="1:30">
      <c r="A291" s="8" t="str">
        <f>IF(L291="","",Formulario!B302)</f>
        <v/>
      </c>
      <c r="B291" s="119"/>
      <c r="C291" s="120"/>
      <c r="D291" s="121"/>
      <c r="E291" s="129" t="str">
        <f>IF(F291="","",Formulario!B302)</f>
        <v/>
      </c>
      <c r="F291" s="11" t="str">
        <f>TRIM(Formulario!D302)</f>
        <v/>
      </c>
      <c r="G291" s="11" t="str">
        <f>TRIM(Formulario!F302)</f>
        <v/>
      </c>
      <c r="H291" s="146" t="str">
        <f>IF(N291="",TRIM(Formulario!G302),TRIM(Formulario!G302)*N291)</f>
        <v/>
      </c>
      <c r="I291" s="107" t="str">
        <f>TRIM(Formulario!I302)</f>
        <v/>
      </c>
      <c r="J291" s="11" t="str">
        <f>TRIM(Formulario!J302)</f>
        <v/>
      </c>
      <c r="K291" s="11" t="str">
        <f>TRIM(Formulario!K302)</f>
        <v/>
      </c>
      <c r="L291" s="107" t="str">
        <f>TRIM(Formulario!L302)</f>
        <v/>
      </c>
      <c r="M291" s="107" t="str">
        <f>TRIM(Formulario!M302)</f>
        <v>0</v>
      </c>
      <c r="N291" s="11" t="str">
        <f>TRIM(Formulario!H302)</f>
        <v/>
      </c>
      <c r="P291" s="17"/>
      <c r="Q291" s="104"/>
      <c r="R291" s="104"/>
      <c r="S291" s="117"/>
      <c r="T291" s="101"/>
      <c r="U291" s="101"/>
      <c r="V291" s="101"/>
      <c r="W291" s="102"/>
      <c r="X291" s="102"/>
      <c r="Y291" s="102"/>
      <c r="Z291" s="102"/>
      <c r="AA291" s="102"/>
      <c r="AB291" s="102"/>
      <c r="AC291" s="102"/>
      <c r="AD291" s="102"/>
    </row>
    <row r="292" spans="1:30">
      <c r="A292" s="8" t="str">
        <f>IF(L292="","",Formulario!B303)</f>
        <v/>
      </c>
      <c r="B292" s="119"/>
      <c r="C292" s="120"/>
      <c r="D292" s="121"/>
      <c r="E292" s="129" t="str">
        <f>IF(F292="","",Formulario!B303)</f>
        <v/>
      </c>
      <c r="F292" s="11" t="str">
        <f>TRIM(Formulario!D303)</f>
        <v/>
      </c>
      <c r="G292" s="11" t="str">
        <f>TRIM(Formulario!F303)</f>
        <v/>
      </c>
      <c r="H292" s="146" t="str">
        <f>IF(N292="",TRIM(Formulario!G303),TRIM(Formulario!G303)*N292)</f>
        <v/>
      </c>
      <c r="I292" s="107" t="str">
        <f>TRIM(Formulario!I303)</f>
        <v/>
      </c>
      <c r="J292" s="11" t="str">
        <f>TRIM(Formulario!J303)</f>
        <v/>
      </c>
      <c r="K292" s="11" t="str">
        <f>TRIM(Formulario!K303)</f>
        <v/>
      </c>
      <c r="L292" s="107" t="str">
        <f>TRIM(Formulario!L303)</f>
        <v/>
      </c>
      <c r="M292" s="107" t="str">
        <f>TRIM(Formulario!M303)</f>
        <v>0</v>
      </c>
      <c r="N292" s="11" t="str">
        <f>TRIM(Formulario!H303)</f>
        <v/>
      </c>
      <c r="P292" s="17"/>
      <c r="Q292" s="104"/>
      <c r="R292" s="104"/>
      <c r="S292" s="117"/>
      <c r="T292" s="101"/>
      <c r="U292" s="101"/>
      <c r="V292" s="101"/>
      <c r="W292" s="102"/>
      <c r="X292" s="102"/>
      <c r="Y292" s="102"/>
      <c r="Z292" s="102"/>
      <c r="AA292" s="102"/>
      <c r="AB292" s="102"/>
      <c r="AC292" s="102"/>
      <c r="AD292" s="102"/>
    </row>
    <row r="293" spans="1:30">
      <c r="A293" s="8" t="str">
        <f>IF(L293="","",Formulario!B304)</f>
        <v/>
      </c>
      <c r="B293" s="119"/>
      <c r="C293" s="120"/>
      <c r="D293" s="121"/>
      <c r="E293" s="129" t="str">
        <f>IF(F293="","",Formulario!B304)</f>
        <v/>
      </c>
      <c r="F293" s="11" t="str">
        <f>TRIM(Formulario!D304)</f>
        <v/>
      </c>
      <c r="G293" s="11" t="str">
        <f>TRIM(Formulario!F304)</f>
        <v/>
      </c>
      <c r="H293" s="146" t="str">
        <f>IF(N293="",TRIM(Formulario!G304),TRIM(Formulario!G304)*N293)</f>
        <v/>
      </c>
      <c r="I293" s="107" t="str">
        <f>TRIM(Formulario!I304)</f>
        <v/>
      </c>
      <c r="J293" s="11" t="str">
        <f>TRIM(Formulario!J304)</f>
        <v/>
      </c>
      <c r="K293" s="11" t="str">
        <f>TRIM(Formulario!K304)</f>
        <v/>
      </c>
      <c r="L293" s="107" t="str">
        <f>TRIM(Formulario!L304)</f>
        <v/>
      </c>
      <c r="M293" s="107" t="str">
        <f>TRIM(Formulario!M304)</f>
        <v>0</v>
      </c>
      <c r="N293" s="11" t="str">
        <f>TRIM(Formulario!H304)</f>
        <v/>
      </c>
      <c r="P293" s="17"/>
      <c r="Q293" s="104"/>
      <c r="R293" s="104"/>
      <c r="S293" s="117"/>
      <c r="T293" s="101"/>
      <c r="U293" s="101"/>
      <c r="V293" s="101"/>
      <c r="W293" s="102"/>
      <c r="X293" s="102"/>
      <c r="Y293" s="102"/>
      <c r="Z293" s="102"/>
      <c r="AA293" s="102"/>
      <c r="AB293" s="102"/>
      <c r="AC293" s="102"/>
      <c r="AD293" s="102"/>
    </row>
    <row r="294" spans="1:30">
      <c r="A294" s="8" t="str">
        <f>IF(L294="","",Formulario!B305)</f>
        <v/>
      </c>
      <c r="B294" s="119"/>
      <c r="C294" s="120"/>
      <c r="D294" s="121"/>
      <c r="E294" s="129" t="str">
        <f>IF(F294="","",Formulario!B305)</f>
        <v/>
      </c>
      <c r="F294" s="11" t="str">
        <f>TRIM(Formulario!D305)</f>
        <v/>
      </c>
      <c r="G294" s="11" t="str">
        <f>TRIM(Formulario!F305)</f>
        <v/>
      </c>
      <c r="H294" s="146" t="str">
        <f>IF(N294="",TRIM(Formulario!G305),TRIM(Formulario!G305)*N294)</f>
        <v/>
      </c>
      <c r="I294" s="107" t="str">
        <f>TRIM(Formulario!I305)</f>
        <v/>
      </c>
      <c r="J294" s="11" t="str">
        <f>TRIM(Formulario!J305)</f>
        <v/>
      </c>
      <c r="K294" s="11" t="str">
        <f>TRIM(Formulario!K305)</f>
        <v/>
      </c>
      <c r="L294" s="107" t="str">
        <f>TRIM(Formulario!L305)</f>
        <v/>
      </c>
      <c r="M294" s="107" t="str">
        <f>TRIM(Formulario!M305)</f>
        <v>0</v>
      </c>
      <c r="N294" s="11" t="str">
        <f>TRIM(Formulario!H305)</f>
        <v/>
      </c>
      <c r="P294" s="17"/>
      <c r="Q294" s="104"/>
      <c r="R294" s="104"/>
      <c r="S294" s="117"/>
      <c r="T294" s="101"/>
      <c r="U294" s="101"/>
      <c r="V294" s="101"/>
      <c r="W294" s="102"/>
      <c r="X294" s="102"/>
      <c r="Y294" s="102"/>
      <c r="Z294" s="102"/>
      <c r="AA294" s="102"/>
      <c r="AB294" s="102"/>
      <c r="AC294" s="102"/>
      <c r="AD294" s="102"/>
    </row>
    <row r="295" spans="1:30">
      <c r="A295" s="8" t="str">
        <f>IF(L295="","",Formulario!B306)</f>
        <v/>
      </c>
      <c r="B295" s="119"/>
      <c r="C295" s="120"/>
      <c r="D295" s="121"/>
      <c r="E295" s="129" t="str">
        <f>IF(F295="","",Formulario!B306)</f>
        <v/>
      </c>
      <c r="F295" s="11" t="str">
        <f>TRIM(Formulario!D306)</f>
        <v/>
      </c>
      <c r="G295" s="11" t="str">
        <f>TRIM(Formulario!F306)</f>
        <v/>
      </c>
      <c r="H295" s="146" t="str">
        <f>IF(N295="",TRIM(Formulario!G306),TRIM(Formulario!G306)*N295)</f>
        <v/>
      </c>
      <c r="I295" s="107" t="str">
        <f>TRIM(Formulario!I306)</f>
        <v/>
      </c>
      <c r="J295" s="11" t="str">
        <f>TRIM(Formulario!J306)</f>
        <v/>
      </c>
      <c r="K295" s="11" t="str">
        <f>TRIM(Formulario!K306)</f>
        <v/>
      </c>
      <c r="L295" s="107" t="str">
        <f>TRIM(Formulario!L306)</f>
        <v/>
      </c>
      <c r="M295" s="107" t="str">
        <f>TRIM(Formulario!M306)</f>
        <v>0</v>
      </c>
      <c r="N295" s="11" t="str">
        <f>TRIM(Formulario!H306)</f>
        <v/>
      </c>
      <c r="P295" s="17"/>
      <c r="Q295" s="104"/>
      <c r="R295" s="104"/>
      <c r="S295" s="117"/>
      <c r="T295" s="101"/>
      <c r="U295" s="101"/>
      <c r="V295" s="101"/>
      <c r="W295" s="102"/>
      <c r="X295" s="102"/>
      <c r="Y295" s="102"/>
      <c r="Z295" s="102"/>
      <c r="AA295" s="102"/>
      <c r="AB295" s="102"/>
      <c r="AC295" s="102"/>
      <c r="AD295" s="102"/>
    </row>
    <row r="296" spans="1:30">
      <c r="A296" s="8" t="str">
        <f>IF(L296="","",Formulario!B307)</f>
        <v/>
      </c>
      <c r="B296" s="119"/>
      <c r="C296" s="120"/>
      <c r="D296" s="121"/>
      <c r="E296" s="129" t="str">
        <f>IF(F296="","",Formulario!B307)</f>
        <v/>
      </c>
      <c r="F296" s="11" t="str">
        <f>TRIM(Formulario!D307)</f>
        <v/>
      </c>
      <c r="G296" s="11" t="str">
        <f>TRIM(Formulario!F307)</f>
        <v/>
      </c>
      <c r="H296" s="146" t="str">
        <f>IF(N296="",TRIM(Formulario!G307),TRIM(Formulario!G307)*N296)</f>
        <v/>
      </c>
      <c r="I296" s="107" t="str">
        <f>TRIM(Formulario!I307)</f>
        <v/>
      </c>
      <c r="J296" s="11" t="str">
        <f>TRIM(Formulario!J307)</f>
        <v/>
      </c>
      <c r="K296" s="11" t="str">
        <f>TRIM(Formulario!K307)</f>
        <v/>
      </c>
      <c r="L296" s="107" t="str">
        <f>TRIM(Formulario!L307)</f>
        <v/>
      </c>
      <c r="M296" s="107" t="str">
        <f>TRIM(Formulario!M307)</f>
        <v>0</v>
      </c>
      <c r="N296" s="11" t="str">
        <f>TRIM(Formulario!H307)</f>
        <v/>
      </c>
      <c r="P296" s="17"/>
      <c r="Q296" s="104"/>
      <c r="R296" s="104"/>
      <c r="S296" s="117"/>
      <c r="T296" s="101"/>
      <c r="U296" s="101"/>
      <c r="V296" s="101"/>
      <c r="W296" s="102"/>
      <c r="X296" s="102"/>
      <c r="Y296" s="102"/>
      <c r="Z296" s="102"/>
      <c r="AA296" s="102"/>
      <c r="AB296" s="102"/>
      <c r="AC296" s="102"/>
      <c r="AD296" s="102"/>
    </row>
    <row r="297" spans="1:30">
      <c r="A297" s="8" t="str">
        <f>IF(L297="","",Formulario!B308)</f>
        <v/>
      </c>
      <c r="B297" s="119"/>
      <c r="C297" s="120"/>
      <c r="D297" s="121"/>
      <c r="E297" s="129" t="str">
        <f>IF(F297="","",Formulario!B308)</f>
        <v/>
      </c>
      <c r="F297" s="11" t="str">
        <f>TRIM(Formulario!D308)</f>
        <v/>
      </c>
      <c r="G297" s="11" t="str">
        <f>TRIM(Formulario!F308)</f>
        <v/>
      </c>
      <c r="H297" s="146" t="str">
        <f>IF(N297="",TRIM(Formulario!G308),TRIM(Formulario!G308)*N297)</f>
        <v/>
      </c>
      <c r="I297" s="107" t="str">
        <f>TRIM(Formulario!I308)</f>
        <v/>
      </c>
      <c r="J297" s="11" t="str">
        <f>TRIM(Formulario!J308)</f>
        <v/>
      </c>
      <c r="K297" s="11" t="str">
        <f>TRIM(Formulario!K308)</f>
        <v/>
      </c>
      <c r="L297" s="107" t="str">
        <f>TRIM(Formulario!L308)</f>
        <v/>
      </c>
      <c r="M297" s="107" t="str">
        <f>TRIM(Formulario!M308)</f>
        <v>0</v>
      </c>
      <c r="N297" s="11" t="str">
        <f>TRIM(Formulario!H308)</f>
        <v/>
      </c>
      <c r="P297" s="17"/>
      <c r="Q297" s="104"/>
      <c r="R297" s="104"/>
      <c r="S297" s="117"/>
      <c r="T297" s="101"/>
      <c r="U297" s="101"/>
      <c r="V297" s="101"/>
      <c r="W297" s="102"/>
      <c r="X297" s="102"/>
      <c r="Y297" s="102"/>
      <c r="Z297" s="102"/>
      <c r="AA297" s="102"/>
      <c r="AB297" s="102"/>
      <c r="AC297" s="102"/>
      <c r="AD297" s="102"/>
    </row>
    <row r="298" spans="1:30">
      <c r="A298" s="8" t="str">
        <f>IF(L298="","",Formulario!B309)</f>
        <v/>
      </c>
      <c r="B298" s="119"/>
      <c r="C298" s="120"/>
      <c r="D298" s="121"/>
      <c r="E298" s="129" t="str">
        <f>IF(F298="","",Formulario!B309)</f>
        <v/>
      </c>
      <c r="F298" s="11" t="str">
        <f>TRIM(Formulario!D309)</f>
        <v/>
      </c>
      <c r="G298" s="11" t="str">
        <f>TRIM(Formulario!F309)</f>
        <v/>
      </c>
      <c r="H298" s="146" t="str">
        <f>IF(N298="",TRIM(Formulario!G309),TRIM(Formulario!G309)*N298)</f>
        <v/>
      </c>
      <c r="I298" s="107" t="str">
        <f>TRIM(Formulario!I309)</f>
        <v/>
      </c>
      <c r="J298" s="11" t="str">
        <f>TRIM(Formulario!J309)</f>
        <v/>
      </c>
      <c r="K298" s="11" t="str">
        <f>TRIM(Formulario!K309)</f>
        <v/>
      </c>
      <c r="L298" s="107" t="str">
        <f>TRIM(Formulario!L309)</f>
        <v/>
      </c>
      <c r="M298" s="107" t="str">
        <f>TRIM(Formulario!M309)</f>
        <v>0</v>
      </c>
      <c r="N298" s="11" t="str">
        <f>TRIM(Formulario!H309)</f>
        <v/>
      </c>
      <c r="P298" s="17"/>
      <c r="Q298" s="104"/>
      <c r="R298" s="104"/>
      <c r="S298" s="117"/>
      <c r="T298" s="101"/>
      <c r="U298" s="101"/>
      <c r="V298" s="101"/>
      <c r="W298" s="102"/>
      <c r="X298" s="102"/>
      <c r="Y298" s="102"/>
      <c r="Z298" s="102"/>
      <c r="AA298" s="102"/>
      <c r="AB298" s="102"/>
      <c r="AC298" s="102"/>
      <c r="AD298" s="102"/>
    </row>
    <row r="299" spans="1:30">
      <c r="A299" s="8" t="str">
        <f>IF(L299="","",Formulario!B310)</f>
        <v/>
      </c>
      <c r="B299" s="119"/>
      <c r="C299" s="120"/>
      <c r="D299" s="121"/>
      <c r="E299" s="129" t="str">
        <f>IF(F299="","",Formulario!B310)</f>
        <v/>
      </c>
      <c r="F299" s="11" t="str">
        <f>TRIM(Formulario!D310)</f>
        <v/>
      </c>
      <c r="G299" s="11" t="str">
        <f>TRIM(Formulario!F310)</f>
        <v/>
      </c>
      <c r="H299" s="146" t="str">
        <f>IF(N299="",TRIM(Formulario!G310),TRIM(Formulario!G310)*N299)</f>
        <v/>
      </c>
      <c r="I299" s="107" t="str">
        <f>TRIM(Formulario!I310)</f>
        <v/>
      </c>
      <c r="J299" s="11" t="str">
        <f>TRIM(Formulario!J310)</f>
        <v/>
      </c>
      <c r="K299" s="11" t="str">
        <f>TRIM(Formulario!K310)</f>
        <v/>
      </c>
      <c r="L299" s="107" t="str">
        <f>TRIM(Formulario!L310)</f>
        <v/>
      </c>
      <c r="M299" s="107" t="str">
        <f>TRIM(Formulario!M310)</f>
        <v>0</v>
      </c>
      <c r="N299" s="11" t="str">
        <f>TRIM(Formulario!H310)</f>
        <v/>
      </c>
      <c r="P299" s="17"/>
      <c r="Q299" s="104"/>
      <c r="R299" s="104"/>
      <c r="S299" s="117"/>
      <c r="T299" s="101"/>
      <c r="U299" s="101"/>
      <c r="V299" s="101"/>
      <c r="W299" s="102"/>
      <c r="X299" s="102"/>
      <c r="Y299" s="102"/>
      <c r="Z299" s="102"/>
      <c r="AA299" s="102"/>
      <c r="AB299" s="102"/>
      <c r="AC299" s="102"/>
      <c r="AD299" s="102"/>
    </row>
    <row r="300" spans="1:30">
      <c r="A300" s="8" t="str">
        <f>IF(L300="","",Formulario!B311)</f>
        <v/>
      </c>
      <c r="B300" s="119"/>
      <c r="C300" s="120"/>
      <c r="D300" s="121"/>
      <c r="E300" s="129" t="str">
        <f>IF(F300="","",Formulario!B311)</f>
        <v/>
      </c>
      <c r="F300" s="11" t="str">
        <f>TRIM(Formulario!D311)</f>
        <v/>
      </c>
      <c r="G300" s="11" t="str">
        <f>TRIM(Formulario!F311)</f>
        <v/>
      </c>
      <c r="H300" s="146" t="str">
        <f>IF(N300="",TRIM(Formulario!G311),TRIM(Formulario!G311)*N300)</f>
        <v/>
      </c>
      <c r="I300" s="107" t="str">
        <f>TRIM(Formulario!I311)</f>
        <v/>
      </c>
      <c r="J300" s="11" t="str">
        <f>TRIM(Formulario!J311)</f>
        <v/>
      </c>
      <c r="K300" s="11" t="str">
        <f>TRIM(Formulario!K311)</f>
        <v/>
      </c>
      <c r="L300" s="107" t="str">
        <f>TRIM(Formulario!L311)</f>
        <v/>
      </c>
      <c r="M300" s="107" t="str">
        <f>TRIM(Formulario!M311)</f>
        <v>0</v>
      </c>
      <c r="N300" s="11" t="str">
        <f>TRIM(Formulario!H311)</f>
        <v/>
      </c>
      <c r="P300" s="17"/>
      <c r="Q300" s="104"/>
      <c r="R300" s="104"/>
      <c r="S300" s="117"/>
      <c r="T300" s="101"/>
      <c r="U300" s="101"/>
      <c r="V300" s="101"/>
      <c r="W300" s="102"/>
      <c r="X300" s="102"/>
      <c r="Y300" s="102"/>
      <c r="Z300" s="102"/>
      <c r="AA300" s="102"/>
      <c r="AB300" s="102"/>
      <c r="AC300" s="102"/>
      <c r="AD300" s="102"/>
    </row>
    <row r="301" spans="1:30">
      <c r="A301" s="8" t="str">
        <f>IF(L301="","",Formulario!B312)</f>
        <v/>
      </c>
      <c r="B301" s="119"/>
      <c r="C301" s="120"/>
      <c r="D301" s="121"/>
      <c r="E301" s="129" t="str">
        <f>IF(F301="","",Formulario!B312)</f>
        <v/>
      </c>
      <c r="F301" s="11" t="str">
        <f>TRIM(Formulario!D312)</f>
        <v/>
      </c>
      <c r="G301" s="11" t="str">
        <f>TRIM(Formulario!F312)</f>
        <v/>
      </c>
      <c r="H301" s="146" t="str">
        <f>IF(N301="",TRIM(Formulario!G312),TRIM(Formulario!G312)*N301)</f>
        <v/>
      </c>
      <c r="I301" s="107" t="str">
        <f>TRIM(Formulario!I312)</f>
        <v/>
      </c>
      <c r="J301" s="11" t="str">
        <f>TRIM(Formulario!J312)</f>
        <v/>
      </c>
      <c r="K301" s="11" t="str">
        <f>TRIM(Formulario!K312)</f>
        <v/>
      </c>
      <c r="L301" s="107" t="str">
        <f>TRIM(Formulario!L312)</f>
        <v/>
      </c>
      <c r="M301" s="107" t="str">
        <f>TRIM(Formulario!M312)</f>
        <v>0</v>
      </c>
      <c r="N301" s="11" t="str">
        <f>TRIM(Formulario!H312)</f>
        <v/>
      </c>
      <c r="P301" s="17"/>
      <c r="Q301" s="104"/>
      <c r="R301" s="104"/>
      <c r="S301" s="117"/>
      <c r="T301" s="101"/>
      <c r="U301" s="101"/>
      <c r="V301" s="101"/>
      <c r="W301" s="102"/>
      <c r="X301" s="102"/>
      <c r="Y301" s="102"/>
      <c r="Z301" s="102"/>
      <c r="AA301" s="102"/>
      <c r="AB301" s="102"/>
      <c r="AC301" s="102"/>
      <c r="AD301" s="102"/>
    </row>
    <row r="302" spans="1:30">
      <c r="A302" s="8" t="str">
        <f>IF(L302="","",Formulario!B313)</f>
        <v/>
      </c>
      <c r="B302" s="119"/>
      <c r="C302" s="120"/>
      <c r="D302" s="121"/>
      <c r="E302" s="129" t="str">
        <f>IF(F302="","",Formulario!B313)</f>
        <v/>
      </c>
      <c r="F302" s="11" t="str">
        <f>TRIM(Formulario!D313)</f>
        <v/>
      </c>
      <c r="G302" s="11" t="str">
        <f>TRIM(Formulario!F313)</f>
        <v/>
      </c>
      <c r="H302" s="146" t="str">
        <f>IF(N302="",TRIM(Formulario!G313),TRIM(Formulario!G313)*N302)</f>
        <v/>
      </c>
      <c r="I302" s="107" t="str">
        <f>TRIM(Formulario!I313)</f>
        <v/>
      </c>
      <c r="J302" s="11" t="str">
        <f>TRIM(Formulario!J313)</f>
        <v/>
      </c>
      <c r="K302" s="11" t="str">
        <f>TRIM(Formulario!K313)</f>
        <v/>
      </c>
      <c r="L302" s="107" t="str">
        <f>TRIM(Formulario!L313)</f>
        <v/>
      </c>
      <c r="M302" s="107" t="str">
        <f>TRIM(Formulario!M313)</f>
        <v>0</v>
      </c>
      <c r="N302" s="11" t="str">
        <f>TRIM(Formulario!H313)</f>
        <v/>
      </c>
      <c r="P302" s="17"/>
      <c r="Q302" s="104"/>
      <c r="R302" s="104"/>
      <c r="S302" s="117"/>
      <c r="T302" s="101"/>
      <c r="U302" s="101"/>
      <c r="V302" s="101"/>
      <c r="W302" s="102"/>
      <c r="X302" s="102"/>
      <c r="Y302" s="102"/>
      <c r="Z302" s="102"/>
      <c r="AA302" s="102"/>
      <c r="AB302" s="102"/>
      <c r="AC302" s="102"/>
      <c r="AD302" s="102"/>
    </row>
    <row r="303" spans="1:30">
      <c r="A303" s="8" t="str">
        <f>IF(L303="","",Formulario!B314)</f>
        <v/>
      </c>
      <c r="B303" s="119"/>
      <c r="C303" s="120"/>
      <c r="D303" s="121"/>
      <c r="E303" s="129" t="str">
        <f>IF(F303="","",Formulario!B314)</f>
        <v/>
      </c>
      <c r="F303" s="11" t="str">
        <f>TRIM(Formulario!D314)</f>
        <v/>
      </c>
      <c r="G303" s="11" t="str">
        <f>TRIM(Formulario!F314)</f>
        <v/>
      </c>
      <c r="H303" s="146" t="str">
        <f>IF(N303="",TRIM(Formulario!G314),TRIM(Formulario!G314)*N303)</f>
        <v/>
      </c>
      <c r="I303" s="107" t="str">
        <f>TRIM(Formulario!I314)</f>
        <v/>
      </c>
      <c r="J303" s="11" t="str">
        <f>TRIM(Formulario!J314)</f>
        <v/>
      </c>
      <c r="K303" s="11" t="str">
        <f>TRIM(Formulario!K314)</f>
        <v/>
      </c>
      <c r="L303" s="107" t="str">
        <f>TRIM(Formulario!L314)</f>
        <v/>
      </c>
      <c r="M303" s="107" t="str">
        <f>TRIM(Formulario!M314)</f>
        <v>0</v>
      </c>
      <c r="N303" s="11" t="str">
        <f>TRIM(Formulario!H314)</f>
        <v/>
      </c>
      <c r="P303" s="17"/>
      <c r="Q303" s="104"/>
      <c r="R303" s="104"/>
      <c r="S303" s="117"/>
      <c r="T303" s="101"/>
      <c r="U303" s="101"/>
      <c r="V303" s="101"/>
      <c r="W303" s="102"/>
      <c r="X303" s="102"/>
      <c r="Y303" s="102"/>
      <c r="Z303" s="102"/>
      <c r="AA303" s="102"/>
      <c r="AB303" s="102"/>
      <c r="AC303" s="102"/>
      <c r="AD303" s="102"/>
    </row>
    <row r="304" spans="1:30">
      <c r="A304" s="8" t="str">
        <f>IF(L304="","",Formulario!B315)</f>
        <v/>
      </c>
      <c r="B304" s="119"/>
      <c r="C304" s="120"/>
      <c r="D304" s="121"/>
      <c r="E304" s="129" t="str">
        <f>IF(F304="","",Formulario!B315)</f>
        <v/>
      </c>
      <c r="F304" s="11" t="str">
        <f>TRIM(Formulario!D315)</f>
        <v/>
      </c>
      <c r="G304" s="11" t="str">
        <f>TRIM(Formulario!F315)</f>
        <v/>
      </c>
      <c r="H304" s="146" t="str">
        <f>IF(N304="",TRIM(Formulario!G315),TRIM(Formulario!G315)*N304)</f>
        <v/>
      </c>
      <c r="I304" s="107" t="str">
        <f>TRIM(Formulario!I315)</f>
        <v/>
      </c>
      <c r="J304" s="11" t="str">
        <f>TRIM(Formulario!J315)</f>
        <v/>
      </c>
      <c r="K304" s="11" t="str">
        <f>TRIM(Formulario!K315)</f>
        <v/>
      </c>
      <c r="L304" s="107" t="str">
        <f>TRIM(Formulario!L315)</f>
        <v/>
      </c>
      <c r="M304" s="107" t="str">
        <f>TRIM(Formulario!M315)</f>
        <v>0</v>
      </c>
      <c r="N304" s="11" t="str">
        <f>TRIM(Formulario!H315)</f>
        <v/>
      </c>
      <c r="P304" s="17"/>
      <c r="Q304" s="104"/>
      <c r="R304" s="104"/>
      <c r="S304" s="117"/>
      <c r="T304" s="101"/>
      <c r="U304" s="101"/>
      <c r="V304" s="101"/>
      <c r="W304" s="102"/>
      <c r="X304" s="102"/>
      <c r="Y304" s="102"/>
      <c r="Z304" s="102"/>
      <c r="AA304" s="102"/>
      <c r="AB304" s="102"/>
      <c r="AC304" s="102"/>
      <c r="AD304" s="102"/>
    </row>
    <row r="305" spans="1:30">
      <c r="A305" s="8" t="str">
        <f>IF(L305="","",Formulario!B316)</f>
        <v/>
      </c>
      <c r="B305" s="119"/>
      <c r="C305" s="120"/>
      <c r="D305" s="121"/>
      <c r="E305" s="129" t="str">
        <f>IF(F305="","",Formulario!B316)</f>
        <v/>
      </c>
      <c r="F305" s="11" t="str">
        <f>TRIM(Formulario!D316)</f>
        <v/>
      </c>
      <c r="G305" s="11" t="str">
        <f>TRIM(Formulario!F316)</f>
        <v/>
      </c>
      <c r="H305" s="146" t="str">
        <f>IF(N305="",TRIM(Formulario!G316),TRIM(Formulario!G316)*N305)</f>
        <v/>
      </c>
      <c r="I305" s="107" t="str">
        <f>TRIM(Formulario!I316)</f>
        <v/>
      </c>
      <c r="J305" s="11" t="str">
        <f>TRIM(Formulario!J316)</f>
        <v/>
      </c>
      <c r="K305" s="11" t="str">
        <f>TRIM(Formulario!K316)</f>
        <v/>
      </c>
      <c r="L305" s="107" t="str">
        <f>TRIM(Formulario!L316)</f>
        <v/>
      </c>
      <c r="M305" s="107" t="str">
        <f>TRIM(Formulario!M316)</f>
        <v>0</v>
      </c>
      <c r="N305" s="11" t="str">
        <f>TRIM(Formulario!H316)</f>
        <v/>
      </c>
      <c r="P305" s="17"/>
      <c r="Q305" s="104"/>
      <c r="R305" s="104"/>
      <c r="S305" s="117"/>
      <c r="T305" s="101"/>
      <c r="U305" s="101"/>
      <c r="V305" s="101"/>
      <c r="W305" s="102"/>
      <c r="X305" s="102"/>
      <c r="Y305" s="102"/>
      <c r="Z305" s="102"/>
      <c r="AA305" s="102"/>
      <c r="AB305" s="102"/>
      <c r="AC305" s="102"/>
      <c r="AD305" s="102"/>
    </row>
    <row r="306" spans="1:30">
      <c r="A306" s="8" t="str">
        <f>IF(L306="","",Formulario!B317)</f>
        <v/>
      </c>
      <c r="B306" s="119"/>
      <c r="C306" s="120"/>
      <c r="D306" s="121"/>
      <c r="E306" s="129" t="str">
        <f>IF(F306="","",Formulario!B317)</f>
        <v/>
      </c>
      <c r="F306" s="11" t="str">
        <f>TRIM(Formulario!D317)</f>
        <v/>
      </c>
      <c r="G306" s="11" t="str">
        <f>TRIM(Formulario!F317)</f>
        <v/>
      </c>
      <c r="H306" s="146" t="str">
        <f>IF(N306="",TRIM(Formulario!G317),TRIM(Formulario!G317)*N306)</f>
        <v/>
      </c>
      <c r="I306" s="107" t="str">
        <f>TRIM(Formulario!I317)</f>
        <v/>
      </c>
      <c r="J306" s="11" t="str">
        <f>TRIM(Formulario!J317)</f>
        <v/>
      </c>
      <c r="K306" s="11" t="str">
        <f>TRIM(Formulario!K317)</f>
        <v/>
      </c>
      <c r="L306" s="107" t="str">
        <f>TRIM(Formulario!L317)</f>
        <v/>
      </c>
      <c r="M306" s="107" t="str">
        <f>TRIM(Formulario!M317)</f>
        <v>0</v>
      </c>
      <c r="N306" s="11" t="str">
        <f>TRIM(Formulario!H317)</f>
        <v/>
      </c>
      <c r="P306" s="17"/>
      <c r="Q306" s="104"/>
      <c r="R306" s="104"/>
      <c r="S306" s="117"/>
      <c r="T306" s="101"/>
      <c r="U306" s="101"/>
      <c r="V306" s="101"/>
      <c r="W306" s="102"/>
      <c r="X306" s="102"/>
      <c r="Y306" s="102"/>
      <c r="Z306" s="102"/>
      <c r="AA306" s="102"/>
      <c r="AB306" s="102"/>
      <c r="AC306" s="102"/>
      <c r="AD306" s="102"/>
    </row>
    <row r="307" spans="1:30">
      <c r="A307" s="8" t="str">
        <f>IF(L307="","",Formulario!B318)</f>
        <v/>
      </c>
      <c r="B307" s="119"/>
      <c r="C307" s="120"/>
      <c r="D307" s="121"/>
      <c r="E307" s="129" t="str">
        <f>IF(F307="","",Formulario!B318)</f>
        <v/>
      </c>
      <c r="F307" s="11" t="str">
        <f>TRIM(Formulario!D318)</f>
        <v/>
      </c>
      <c r="G307" s="11" t="str">
        <f>TRIM(Formulario!F318)</f>
        <v/>
      </c>
      <c r="H307" s="146" t="str">
        <f>IF(N307="",TRIM(Formulario!G318),TRIM(Formulario!G318)*N307)</f>
        <v/>
      </c>
      <c r="I307" s="107" t="str">
        <f>TRIM(Formulario!I318)</f>
        <v/>
      </c>
      <c r="J307" s="11" t="str">
        <f>TRIM(Formulario!J318)</f>
        <v/>
      </c>
      <c r="K307" s="11" t="str">
        <f>TRIM(Formulario!K318)</f>
        <v/>
      </c>
      <c r="L307" s="107" t="str">
        <f>TRIM(Formulario!L318)</f>
        <v/>
      </c>
      <c r="M307" s="107" t="str">
        <f>TRIM(Formulario!M318)</f>
        <v>0</v>
      </c>
      <c r="N307" s="11" t="str">
        <f>TRIM(Formulario!H318)</f>
        <v/>
      </c>
      <c r="P307" s="17"/>
      <c r="Q307" s="104"/>
      <c r="R307" s="104"/>
      <c r="S307" s="117"/>
      <c r="T307" s="101"/>
      <c r="U307" s="101"/>
      <c r="V307" s="101"/>
      <c r="W307" s="102"/>
      <c r="X307" s="102"/>
      <c r="Y307" s="102"/>
      <c r="Z307" s="102"/>
      <c r="AA307" s="102"/>
      <c r="AB307" s="102"/>
      <c r="AC307" s="102"/>
      <c r="AD307" s="102"/>
    </row>
    <row r="308" spans="1:30">
      <c r="A308" s="8" t="str">
        <f>IF(L308="","",Formulario!B319)</f>
        <v/>
      </c>
      <c r="B308" s="119"/>
      <c r="C308" s="120"/>
      <c r="D308" s="121"/>
      <c r="E308" s="129" t="str">
        <f>IF(F308="","",Formulario!B319)</f>
        <v/>
      </c>
      <c r="F308" s="11" t="str">
        <f>TRIM(Formulario!D319)</f>
        <v/>
      </c>
      <c r="G308" s="11" t="str">
        <f>TRIM(Formulario!F319)</f>
        <v/>
      </c>
      <c r="H308" s="146" t="str">
        <f>IF(N308="",TRIM(Formulario!G319),TRIM(Formulario!G319)*N308)</f>
        <v/>
      </c>
      <c r="I308" s="107" t="str">
        <f>TRIM(Formulario!I319)</f>
        <v/>
      </c>
      <c r="J308" s="11" t="str">
        <f>TRIM(Formulario!J319)</f>
        <v/>
      </c>
      <c r="K308" s="11" t="str">
        <f>TRIM(Formulario!K319)</f>
        <v/>
      </c>
      <c r="L308" s="107" t="str">
        <f>TRIM(Formulario!L319)</f>
        <v/>
      </c>
      <c r="M308" s="107" t="str">
        <f>TRIM(Formulario!M319)</f>
        <v>0</v>
      </c>
      <c r="N308" s="11" t="str">
        <f>TRIM(Formulario!H319)</f>
        <v/>
      </c>
      <c r="P308" s="17"/>
      <c r="Q308" s="104"/>
      <c r="R308" s="104"/>
      <c r="S308" s="117"/>
      <c r="T308" s="101"/>
      <c r="U308" s="101"/>
      <c r="V308" s="101"/>
      <c r="W308" s="102"/>
      <c r="X308" s="102"/>
      <c r="Y308" s="102"/>
      <c r="Z308" s="102"/>
      <c r="AA308" s="102"/>
      <c r="AB308" s="102"/>
      <c r="AC308" s="102"/>
      <c r="AD308" s="102"/>
    </row>
    <row r="309" spans="1:30">
      <c r="A309" s="8" t="str">
        <f>IF(L309="","",Formulario!B320)</f>
        <v/>
      </c>
      <c r="B309" s="119"/>
      <c r="C309" s="120"/>
      <c r="D309" s="121"/>
      <c r="E309" s="129" t="str">
        <f>IF(F309="","",Formulario!B320)</f>
        <v/>
      </c>
      <c r="F309" s="11" t="str">
        <f>TRIM(Formulario!D320)</f>
        <v/>
      </c>
      <c r="G309" s="11" t="str">
        <f>TRIM(Formulario!F320)</f>
        <v/>
      </c>
      <c r="H309" s="146" t="str">
        <f>IF(N309="",TRIM(Formulario!G320),TRIM(Formulario!G320)*N309)</f>
        <v/>
      </c>
      <c r="I309" s="107" t="str">
        <f>TRIM(Formulario!I320)</f>
        <v/>
      </c>
      <c r="J309" s="11" t="str">
        <f>TRIM(Formulario!J320)</f>
        <v/>
      </c>
      <c r="K309" s="11" t="str">
        <f>TRIM(Formulario!K320)</f>
        <v/>
      </c>
      <c r="L309" s="107" t="str">
        <f>TRIM(Formulario!L320)</f>
        <v/>
      </c>
      <c r="M309" s="107" t="str">
        <f>TRIM(Formulario!M320)</f>
        <v>0</v>
      </c>
      <c r="N309" s="11" t="str">
        <f>TRIM(Formulario!H320)</f>
        <v/>
      </c>
      <c r="P309" s="17"/>
      <c r="Q309" s="104"/>
      <c r="R309" s="104"/>
      <c r="S309" s="117"/>
      <c r="T309" s="101"/>
      <c r="U309" s="101"/>
      <c r="V309" s="101"/>
      <c r="W309" s="102"/>
      <c r="X309" s="102"/>
      <c r="Y309" s="102"/>
      <c r="Z309" s="102"/>
      <c r="AA309" s="102"/>
      <c r="AB309" s="102"/>
      <c r="AC309" s="102"/>
      <c r="AD309" s="102"/>
    </row>
    <row r="310" spans="1:30">
      <c r="A310" s="8" t="str">
        <f>IF(L310="","",Formulario!B321)</f>
        <v/>
      </c>
      <c r="B310" s="119"/>
      <c r="C310" s="120"/>
      <c r="D310" s="121"/>
      <c r="E310" s="129" t="str">
        <f>IF(F310="","",Formulario!B321)</f>
        <v/>
      </c>
      <c r="F310" s="11" t="str">
        <f>TRIM(Formulario!D321)</f>
        <v/>
      </c>
      <c r="G310" s="11" t="str">
        <f>TRIM(Formulario!F321)</f>
        <v/>
      </c>
      <c r="H310" s="146" t="str">
        <f>IF(N310="",TRIM(Formulario!G321),TRIM(Formulario!G321)*N310)</f>
        <v/>
      </c>
      <c r="I310" s="107" t="str">
        <f>TRIM(Formulario!I321)</f>
        <v/>
      </c>
      <c r="J310" s="11" t="str">
        <f>TRIM(Formulario!J321)</f>
        <v/>
      </c>
      <c r="K310" s="11" t="str">
        <f>TRIM(Formulario!K321)</f>
        <v/>
      </c>
      <c r="L310" s="107" t="str">
        <f>TRIM(Formulario!L321)</f>
        <v/>
      </c>
      <c r="M310" s="107" t="str">
        <f>TRIM(Formulario!M321)</f>
        <v>0</v>
      </c>
      <c r="N310" s="11" t="str">
        <f>TRIM(Formulario!H321)</f>
        <v/>
      </c>
      <c r="P310" s="17"/>
      <c r="Q310" s="104"/>
      <c r="R310" s="104"/>
      <c r="S310" s="117"/>
      <c r="T310" s="101"/>
      <c r="U310" s="101"/>
      <c r="V310" s="101"/>
      <c r="W310" s="102"/>
      <c r="X310" s="102"/>
      <c r="Y310" s="102"/>
      <c r="Z310" s="102"/>
      <c r="AA310" s="102"/>
      <c r="AB310" s="102"/>
      <c r="AC310" s="102"/>
      <c r="AD310" s="102"/>
    </row>
    <row r="311" spans="1:30">
      <c r="A311" s="8" t="str">
        <f>IF(L311="","",Formulario!B322)</f>
        <v/>
      </c>
      <c r="B311" s="119"/>
      <c r="C311" s="120"/>
      <c r="D311" s="121"/>
      <c r="E311" s="129" t="str">
        <f>IF(F311="","",Formulario!B322)</f>
        <v/>
      </c>
      <c r="F311" s="11" t="str">
        <f>TRIM(Formulario!D322)</f>
        <v/>
      </c>
      <c r="G311" s="11" t="str">
        <f>TRIM(Formulario!F322)</f>
        <v/>
      </c>
      <c r="H311" s="146" t="str">
        <f>IF(N311="",TRIM(Formulario!G322),TRIM(Formulario!G322)*N311)</f>
        <v/>
      </c>
      <c r="I311" s="107" t="str">
        <f>TRIM(Formulario!I322)</f>
        <v/>
      </c>
      <c r="J311" s="11" t="str">
        <f>TRIM(Formulario!J322)</f>
        <v/>
      </c>
      <c r="K311" s="11" t="str">
        <f>TRIM(Formulario!K322)</f>
        <v/>
      </c>
      <c r="L311" s="107" t="str">
        <f>TRIM(Formulario!L322)</f>
        <v/>
      </c>
      <c r="M311" s="107" t="str">
        <f>TRIM(Formulario!M322)</f>
        <v>0</v>
      </c>
      <c r="N311" s="11" t="str">
        <f>TRIM(Formulario!H322)</f>
        <v/>
      </c>
      <c r="P311" s="17"/>
      <c r="Q311" s="104"/>
      <c r="R311" s="104"/>
      <c r="S311" s="117"/>
      <c r="T311" s="101"/>
      <c r="U311" s="101"/>
      <c r="V311" s="101"/>
      <c r="W311" s="102"/>
      <c r="X311" s="102"/>
      <c r="Y311" s="102"/>
      <c r="Z311" s="102"/>
      <c r="AA311" s="102"/>
      <c r="AB311" s="102"/>
      <c r="AC311" s="102"/>
      <c r="AD311" s="102"/>
    </row>
    <row r="312" spans="1:30">
      <c r="A312" s="8" t="str">
        <f>IF(L312="","",Formulario!B323)</f>
        <v/>
      </c>
      <c r="B312" s="119"/>
      <c r="C312" s="120"/>
      <c r="D312" s="121"/>
      <c r="E312" s="129" t="str">
        <f>IF(F312="","",Formulario!B323)</f>
        <v/>
      </c>
      <c r="F312" s="11" t="str">
        <f>TRIM(Formulario!D323)</f>
        <v/>
      </c>
      <c r="G312" s="11" t="str">
        <f>TRIM(Formulario!F323)</f>
        <v/>
      </c>
      <c r="H312" s="146" t="str">
        <f>IF(N312="",TRIM(Formulario!G323),TRIM(Formulario!G323)*N312)</f>
        <v/>
      </c>
      <c r="I312" s="107" t="str">
        <f>TRIM(Formulario!I323)</f>
        <v/>
      </c>
      <c r="J312" s="11" t="str">
        <f>TRIM(Formulario!J323)</f>
        <v/>
      </c>
      <c r="K312" s="11" t="str">
        <f>TRIM(Formulario!K323)</f>
        <v/>
      </c>
      <c r="L312" s="107" t="str">
        <f>TRIM(Formulario!L323)</f>
        <v/>
      </c>
      <c r="M312" s="107" t="str">
        <f>TRIM(Formulario!M323)</f>
        <v>0</v>
      </c>
      <c r="N312" s="11" t="str">
        <f>TRIM(Formulario!H323)</f>
        <v/>
      </c>
      <c r="P312" s="17"/>
      <c r="Q312" s="104"/>
      <c r="R312" s="104"/>
      <c r="S312" s="117"/>
      <c r="T312" s="101"/>
      <c r="U312" s="101"/>
      <c r="V312" s="101"/>
      <c r="W312" s="102"/>
      <c r="X312" s="102"/>
      <c r="Y312" s="102"/>
      <c r="Z312" s="102"/>
      <c r="AA312" s="102"/>
      <c r="AB312" s="102"/>
      <c r="AC312" s="102"/>
      <c r="AD312" s="102"/>
    </row>
    <row r="313" spans="1:30">
      <c r="A313" s="8" t="str">
        <f>IF(L313="","",Formulario!B324)</f>
        <v/>
      </c>
      <c r="B313" s="119"/>
      <c r="C313" s="120"/>
      <c r="D313" s="121"/>
      <c r="E313" s="129" t="str">
        <f>IF(F313="","",Formulario!B324)</f>
        <v/>
      </c>
      <c r="F313" s="11" t="str">
        <f>TRIM(Formulario!D324)</f>
        <v/>
      </c>
      <c r="G313" s="11" t="str">
        <f>TRIM(Formulario!F324)</f>
        <v/>
      </c>
      <c r="H313" s="146" t="str">
        <f>IF(N313="",TRIM(Formulario!G324),TRIM(Formulario!G324)*N313)</f>
        <v/>
      </c>
      <c r="I313" s="107" t="str">
        <f>TRIM(Formulario!I324)</f>
        <v/>
      </c>
      <c r="J313" s="11" t="str">
        <f>TRIM(Formulario!J324)</f>
        <v/>
      </c>
      <c r="K313" s="11" t="str">
        <f>TRIM(Formulario!K324)</f>
        <v/>
      </c>
      <c r="L313" s="107" t="str">
        <f>TRIM(Formulario!L324)</f>
        <v/>
      </c>
      <c r="M313" s="107" t="str">
        <f>TRIM(Formulario!M324)</f>
        <v>0</v>
      </c>
      <c r="N313" s="11" t="str">
        <f>TRIM(Formulario!H324)</f>
        <v/>
      </c>
      <c r="P313" s="17"/>
      <c r="Q313" s="104"/>
      <c r="R313" s="104"/>
      <c r="S313" s="117"/>
      <c r="T313" s="101"/>
      <c r="U313" s="101"/>
      <c r="V313" s="101"/>
      <c r="W313" s="102"/>
      <c r="X313" s="102"/>
      <c r="Y313" s="102"/>
      <c r="Z313" s="102"/>
      <c r="AA313" s="102"/>
      <c r="AB313" s="102"/>
      <c r="AC313" s="102"/>
      <c r="AD313" s="102"/>
    </row>
    <row r="314" spans="1:30">
      <c r="A314" s="8" t="str">
        <f>IF(L314="","",Formulario!B325)</f>
        <v/>
      </c>
      <c r="B314" s="119"/>
      <c r="C314" s="120"/>
      <c r="D314" s="121"/>
      <c r="E314" s="129" t="str">
        <f>IF(F314="","",Formulario!B325)</f>
        <v/>
      </c>
      <c r="F314" s="11" t="str">
        <f>TRIM(Formulario!D325)</f>
        <v/>
      </c>
      <c r="G314" s="11" t="str">
        <f>TRIM(Formulario!F325)</f>
        <v/>
      </c>
      <c r="H314" s="146" t="str">
        <f>IF(N314="",TRIM(Formulario!G325),TRIM(Formulario!G325)*N314)</f>
        <v/>
      </c>
      <c r="I314" s="107" t="str">
        <f>TRIM(Formulario!I325)</f>
        <v/>
      </c>
      <c r="J314" s="11" t="str">
        <f>TRIM(Formulario!J325)</f>
        <v/>
      </c>
      <c r="K314" s="11" t="str">
        <f>TRIM(Formulario!K325)</f>
        <v/>
      </c>
      <c r="L314" s="107" t="str">
        <f>TRIM(Formulario!L325)</f>
        <v/>
      </c>
      <c r="M314" s="107" t="str">
        <f>TRIM(Formulario!M325)</f>
        <v>0</v>
      </c>
      <c r="N314" s="11" t="str">
        <f>TRIM(Formulario!H325)</f>
        <v/>
      </c>
      <c r="P314" s="17"/>
      <c r="Q314" s="104"/>
      <c r="R314" s="104"/>
      <c r="S314" s="117"/>
      <c r="T314" s="101"/>
      <c r="U314" s="101"/>
      <c r="V314" s="101"/>
      <c r="W314" s="102"/>
      <c r="X314" s="102"/>
      <c r="Y314" s="102"/>
      <c r="Z314" s="102"/>
      <c r="AA314" s="102"/>
      <c r="AB314" s="102"/>
      <c r="AC314" s="102"/>
      <c r="AD314" s="102"/>
    </row>
    <row r="315" spans="1:30">
      <c r="A315" s="8" t="str">
        <f>IF(L315="","",Formulario!B326)</f>
        <v/>
      </c>
      <c r="B315" s="119"/>
      <c r="C315" s="120"/>
      <c r="D315" s="121"/>
      <c r="E315" s="129" t="str">
        <f>IF(F315="","",Formulario!B326)</f>
        <v/>
      </c>
      <c r="F315" s="11" t="str">
        <f>TRIM(Formulario!D326)</f>
        <v/>
      </c>
      <c r="G315" s="11" t="str">
        <f>TRIM(Formulario!F326)</f>
        <v/>
      </c>
      <c r="H315" s="146" t="str">
        <f>IF(N315="",TRIM(Formulario!G326),TRIM(Formulario!G326)*N315)</f>
        <v/>
      </c>
      <c r="I315" s="107" t="str">
        <f>TRIM(Formulario!I326)</f>
        <v/>
      </c>
      <c r="J315" s="11" t="str">
        <f>TRIM(Formulario!J326)</f>
        <v/>
      </c>
      <c r="K315" s="11" t="str">
        <f>TRIM(Formulario!K326)</f>
        <v/>
      </c>
      <c r="L315" s="107" t="str">
        <f>TRIM(Formulario!L326)</f>
        <v/>
      </c>
      <c r="M315" s="107" t="str">
        <f>TRIM(Formulario!M326)</f>
        <v>0</v>
      </c>
      <c r="N315" s="11" t="str">
        <f>TRIM(Formulario!H326)</f>
        <v/>
      </c>
      <c r="P315" s="17"/>
      <c r="Q315" s="104"/>
      <c r="R315" s="104"/>
      <c r="S315" s="117"/>
      <c r="T315" s="101"/>
      <c r="U315" s="101"/>
      <c r="V315" s="101"/>
      <c r="W315" s="102"/>
      <c r="X315" s="102"/>
      <c r="Y315" s="102"/>
      <c r="Z315" s="102"/>
      <c r="AA315" s="102"/>
      <c r="AB315" s="102"/>
      <c r="AC315" s="102"/>
      <c r="AD315" s="102"/>
    </row>
    <row r="316" spans="1:30">
      <c r="A316" s="8" t="str">
        <f>IF(L316="","",Formulario!B327)</f>
        <v/>
      </c>
      <c r="B316" s="119"/>
      <c r="C316" s="120"/>
      <c r="D316" s="121"/>
      <c r="E316" s="129" t="str">
        <f>IF(F316="","",Formulario!B327)</f>
        <v/>
      </c>
      <c r="F316" s="11" t="str">
        <f>TRIM(Formulario!D327)</f>
        <v/>
      </c>
      <c r="G316" s="11" t="str">
        <f>TRIM(Formulario!F327)</f>
        <v/>
      </c>
      <c r="H316" s="146" t="str">
        <f>IF(N316="",TRIM(Formulario!G327),TRIM(Formulario!G327)*N316)</f>
        <v/>
      </c>
      <c r="I316" s="107" t="str">
        <f>TRIM(Formulario!I327)</f>
        <v/>
      </c>
      <c r="J316" s="11" t="str">
        <f>TRIM(Formulario!J327)</f>
        <v/>
      </c>
      <c r="K316" s="11" t="str">
        <f>TRIM(Formulario!K327)</f>
        <v/>
      </c>
      <c r="L316" s="107" t="str">
        <f>TRIM(Formulario!L327)</f>
        <v/>
      </c>
      <c r="M316" s="107" t="str">
        <f>TRIM(Formulario!M327)</f>
        <v>0</v>
      </c>
      <c r="N316" s="11" t="str">
        <f>TRIM(Formulario!H327)</f>
        <v/>
      </c>
      <c r="P316" s="17"/>
      <c r="Q316" s="104"/>
      <c r="R316" s="104"/>
      <c r="S316" s="117"/>
      <c r="T316" s="101"/>
      <c r="U316" s="101"/>
      <c r="V316" s="101"/>
      <c r="W316" s="102"/>
      <c r="X316" s="102"/>
      <c r="Y316" s="102"/>
      <c r="Z316" s="102"/>
      <c r="AA316" s="102"/>
      <c r="AB316" s="102"/>
      <c r="AC316" s="102"/>
      <c r="AD316" s="102"/>
    </row>
    <row r="317" spans="1:30">
      <c r="A317" s="8" t="str">
        <f>IF(L317="","",Formulario!B328)</f>
        <v/>
      </c>
      <c r="B317" s="119"/>
      <c r="C317" s="120"/>
      <c r="D317" s="121"/>
      <c r="E317" s="129" t="str">
        <f>IF(F317="","",Formulario!B328)</f>
        <v/>
      </c>
      <c r="F317" s="11" t="str">
        <f>TRIM(Formulario!D328)</f>
        <v/>
      </c>
      <c r="G317" s="11" t="str">
        <f>TRIM(Formulario!F328)</f>
        <v/>
      </c>
      <c r="H317" s="146" t="str">
        <f>IF(N317="",TRIM(Formulario!G328),TRIM(Formulario!G328)*N317)</f>
        <v/>
      </c>
      <c r="I317" s="107" t="str">
        <f>TRIM(Formulario!I328)</f>
        <v/>
      </c>
      <c r="J317" s="11" t="str">
        <f>TRIM(Formulario!J328)</f>
        <v/>
      </c>
      <c r="K317" s="11" t="str">
        <f>TRIM(Formulario!K328)</f>
        <v/>
      </c>
      <c r="L317" s="107" t="str">
        <f>TRIM(Formulario!L328)</f>
        <v/>
      </c>
      <c r="M317" s="107" t="str">
        <f>TRIM(Formulario!M328)</f>
        <v>0</v>
      </c>
      <c r="N317" s="11" t="str">
        <f>TRIM(Formulario!H328)</f>
        <v/>
      </c>
      <c r="P317" s="17"/>
      <c r="Q317" s="104"/>
      <c r="R317" s="104"/>
      <c r="S317" s="117"/>
      <c r="T317" s="101"/>
      <c r="U317" s="101"/>
      <c r="V317" s="101"/>
      <c r="W317" s="102"/>
      <c r="X317" s="102"/>
      <c r="Y317" s="102"/>
      <c r="Z317" s="102"/>
      <c r="AA317" s="102"/>
      <c r="AB317" s="102"/>
      <c r="AC317" s="102"/>
      <c r="AD317" s="102"/>
    </row>
    <row r="318" spans="1:30">
      <c r="A318" s="8" t="str">
        <f>IF(L318="","",Formulario!B329)</f>
        <v/>
      </c>
      <c r="B318" s="119"/>
      <c r="C318" s="120"/>
      <c r="D318" s="121"/>
      <c r="E318" s="129" t="str">
        <f>IF(F318="","",Formulario!B329)</f>
        <v/>
      </c>
      <c r="F318" s="11" t="str">
        <f>TRIM(Formulario!D329)</f>
        <v/>
      </c>
      <c r="G318" s="11" t="str">
        <f>TRIM(Formulario!F329)</f>
        <v/>
      </c>
      <c r="H318" s="146" t="str">
        <f>IF(N318="",TRIM(Formulario!G329),TRIM(Formulario!G329)*N318)</f>
        <v/>
      </c>
      <c r="I318" s="107" t="str">
        <f>TRIM(Formulario!I329)</f>
        <v/>
      </c>
      <c r="J318" s="11" t="str">
        <f>TRIM(Formulario!J329)</f>
        <v/>
      </c>
      <c r="K318" s="11" t="str">
        <f>TRIM(Formulario!K329)</f>
        <v/>
      </c>
      <c r="L318" s="107" t="str">
        <f>TRIM(Formulario!L329)</f>
        <v/>
      </c>
      <c r="M318" s="107" t="str">
        <f>TRIM(Formulario!M329)</f>
        <v>0</v>
      </c>
      <c r="N318" s="11" t="str">
        <f>TRIM(Formulario!H329)</f>
        <v/>
      </c>
      <c r="P318" s="17"/>
      <c r="Q318" s="104"/>
      <c r="R318" s="104"/>
      <c r="S318" s="117"/>
      <c r="T318" s="101"/>
      <c r="U318" s="101"/>
      <c r="V318" s="101"/>
      <c r="W318" s="102"/>
      <c r="X318" s="102"/>
      <c r="Y318" s="102"/>
      <c r="Z318" s="102"/>
      <c r="AA318" s="102"/>
      <c r="AB318" s="102"/>
      <c r="AC318" s="102"/>
      <c r="AD318" s="102"/>
    </row>
    <row r="319" spans="1:30">
      <c r="A319" s="8" t="str">
        <f>IF(L319="","",Formulario!B330)</f>
        <v/>
      </c>
      <c r="B319" s="119"/>
      <c r="C319" s="120"/>
      <c r="D319" s="121"/>
      <c r="E319" s="129" t="str">
        <f>IF(F319="","",Formulario!B330)</f>
        <v/>
      </c>
      <c r="F319" s="11" t="str">
        <f>TRIM(Formulario!D330)</f>
        <v/>
      </c>
      <c r="G319" s="11" t="str">
        <f>TRIM(Formulario!F330)</f>
        <v/>
      </c>
      <c r="H319" s="146" t="str">
        <f>IF(N319="",TRIM(Formulario!G330),TRIM(Formulario!G330)*N319)</f>
        <v/>
      </c>
      <c r="I319" s="107" t="str">
        <f>TRIM(Formulario!I330)</f>
        <v/>
      </c>
      <c r="J319" s="11" t="str">
        <f>TRIM(Formulario!J330)</f>
        <v/>
      </c>
      <c r="K319" s="11" t="str">
        <f>TRIM(Formulario!K330)</f>
        <v/>
      </c>
      <c r="L319" s="107" t="str">
        <f>TRIM(Formulario!L330)</f>
        <v/>
      </c>
      <c r="M319" s="107" t="str">
        <f>TRIM(Formulario!M330)</f>
        <v>0</v>
      </c>
      <c r="N319" s="11" t="str">
        <f>TRIM(Formulario!H330)</f>
        <v/>
      </c>
      <c r="P319" s="17"/>
      <c r="Q319" s="104"/>
      <c r="R319" s="104"/>
      <c r="S319" s="117"/>
      <c r="T319" s="101"/>
      <c r="U319" s="101"/>
      <c r="V319" s="101"/>
      <c r="W319" s="102"/>
      <c r="X319" s="102"/>
      <c r="Y319" s="102"/>
      <c r="Z319" s="102"/>
      <c r="AA319" s="102"/>
      <c r="AB319" s="102"/>
      <c r="AC319" s="102"/>
      <c r="AD319" s="102"/>
    </row>
    <row r="320" spans="1:30">
      <c r="A320" s="8" t="str">
        <f>IF(L320="","",Formulario!B331)</f>
        <v/>
      </c>
      <c r="B320" s="119"/>
      <c r="C320" s="120"/>
      <c r="D320" s="121"/>
      <c r="E320" s="129" t="str">
        <f>IF(F320="","",Formulario!B331)</f>
        <v/>
      </c>
      <c r="F320" s="11" t="str">
        <f>TRIM(Formulario!D331)</f>
        <v/>
      </c>
      <c r="G320" s="11" t="str">
        <f>TRIM(Formulario!F331)</f>
        <v/>
      </c>
      <c r="H320" s="146" t="str">
        <f>IF(N320="",TRIM(Formulario!G331),TRIM(Formulario!G331)*N320)</f>
        <v/>
      </c>
      <c r="I320" s="107" t="str">
        <f>TRIM(Formulario!I331)</f>
        <v/>
      </c>
      <c r="J320" s="11" t="str">
        <f>TRIM(Formulario!J331)</f>
        <v/>
      </c>
      <c r="K320" s="11" t="str">
        <f>TRIM(Formulario!K331)</f>
        <v/>
      </c>
      <c r="L320" s="107" t="str">
        <f>TRIM(Formulario!L331)</f>
        <v/>
      </c>
      <c r="M320" s="107" t="str">
        <f>TRIM(Formulario!M331)</f>
        <v>0</v>
      </c>
      <c r="N320" s="11" t="str">
        <f>TRIM(Formulario!H331)</f>
        <v/>
      </c>
      <c r="P320" s="17"/>
      <c r="Q320" s="104"/>
      <c r="R320" s="104"/>
      <c r="S320" s="117"/>
      <c r="T320" s="101"/>
      <c r="U320" s="101"/>
      <c r="V320" s="101"/>
      <c r="W320" s="102"/>
      <c r="X320" s="102"/>
      <c r="Y320" s="102"/>
      <c r="Z320" s="102"/>
      <c r="AA320" s="102"/>
      <c r="AB320" s="102"/>
      <c r="AC320" s="102"/>
      <c r="AD320" s="102"/>
    </row>
    <row r="321" spans="1:30">
      <c r="A321" s="8" t="str">
        <f>IF(L321="","",Formulario!B332)</f>
        <v/>
      </c>
      <c r="B321" s="119"/>
      <c r="C321" s="120"/>
      <c r="D321" s="121"/>
      <c r="E321" s="129" t="str">
        <f>IF(F321="","",Formulario!B332)</f>
        <v/>
      </c>
      <c r="F321" s="11" t="str">
        <f>TRIM(Formulario!D332)</f>
        <v/>
      </c>
      <c r="G321" s="11" t="str">
        <f>TRIM(Formulario!F332)</f>
        <v/>
      </c>
      <c r="H321" s="146" t="str">
        <f>IF(N321="",TRIM(Formulario!G332),TRIM(Formulario!G332)*N321)</f>
        <v/>
      </c>
      <c r="I321" s="107" t="str">
        <f>TRIM(Formulario!I332)</f>
        <v/>
      </c>
      <c r="J321" s="11" t="str">
        <f>TRIM(Formulario!J332)</f>
        <v/>
      </c>
      <c r="K321" s="11" t="str">
        <f>TRIM(Formulario!K332)</f>
        <v/>
      </c>
      <c r="L321" s="107" t="str">
        <f>TRIM(Formulario!L332)</f>
        <v/>
      </c>
      <c r="M321" s="107" t="str">
        <f>TRIM(Formulario!M332)</f>
        <v>0</v>
      </c>
      <c r="N321" s="11" t="str">
        <f>TRIM(Formulario!H332)</f>
        <v/>
      </c>
      <c r="P321" s="17"/>
      <c r="Q321" s="104"/>
      <c r="R321" s="104"/>
      <c r="S321" s="117"/>
      <c r="T321" s="101"/>
      <c r="U321" s="101"/>
      <c r="V321" s="101"/>
      <c r="W321" s="102"/>
      <c r="X321" s="102"/>
      <c r="Y321" s="102"/>
      <c r="Z321" s="102"/>
      <c r="AA321" s="102"/>
      <c r="AB321" s="102"/>
      <c r="AC321" s="102"/>
      <c r="AD321" s="102"/>
    </row>
    <row r="322" spans="1:30">
      <c r="A322" s="8" t="str">
        <f>IF(L322="","",Formulario!B333)</f>
        <v/>
      </c>
      <c r="B322" s="119"/>
      <c r="C322" s="120"/>
      <c r="D322" s="121"/>
      <c r="E322" s="129" t="str">
        <f>IF(F322="","",Formulario!B333)</f>
        <v/>
      </c>
      <c r="F322" s="11" t="str">
        <f>TRIM(Formulario!D333)</f>
        <v/>
      </c>
      <c r="G322" s="11" t="str">
        <f>TRIM(Formulario!F333)</f>
        <v/>
      </c>
      <c r="H322" s="146" t="str">
        <f>IF(N322="",TRIM(Formulario!G333),TRIM(Formulario!G333)*N322)</f>
        <v/>
      </c>
      <c r="I322" s="107" t="str">
        <f>TRIM(Formulario!I333)</f>
        <v/>
      </c>
      <c r="J322" s="11" t="str">
        <f>TRIM(Formulario!J333)</f>
        <v/>
      </c>
      <c r="K322" s="11" t="str">
        <f>TRIM(Formulario!K333)</f>
        <v/>
      </c>
      <c r="L322" s="107" t="str">
        <f>TRIM(Formulario!L333)</f>
        <v/>
      </c>
      <c r="M322" s="107" t="str">
        <f>TRIM(Formulario!M333)</f>
        <v>0</v>
      </c>
      <c r="N322" s="11" t="str">
        <f>TRIM(Formulario!H333)</f>
        <v/>
      </c>
      <c r="P322" s="17"/>
      <c r="Q322" s="104"/>
      <c r="R322" s="104"/>
      <c r="S322" s="117"/>
      <c r="T322" s="101"/>
      <c r="U322" s="101"/>
      <c r="V322" s="101"/>
      <c r="W322" s="102"/>
      <c r="X322" s="102"/>
      <c r="Y322" s="102"/>
      <c r="Z322" s="102"/>
      <c r="AA322" s="102"/>
      <c r="AB322" s="102"/>
      <c r="AC322" s="102"/>
      <c r="AD322" s="102"/>
    </row>
    <row r="323" spans="1:30">
      <c r="A323" s="8" t="str">
        <f>IF(L323="","",Formulario!B334)</f>
        <v/>
      </c>
      <c r="B323" s="119"/>
      <c r="C323" s="120"/>
      <c r="D323" s="121"/>
      <c r="E323" s="129" t="str">
        <f>IF(F323="","",Formulario!B334)</f>
        <v/>
      </c>
      <c r="F323" s="11" t="str">
        <f>TRIM(Formulario!D334)</f>
        <v/>
      </c>
      <c r="G323" s="11" t="str">
        <f>TRIM(Formulario!F334)</f>
        <v/>
      </c>
      <c r="H323" s="146" t="str">
        <f>IF(N323="",TRIM(Formulario!G334),TRIM(Formulario!G334)*N323)</f>
        <v/>
      </c>
      <c r="I323" s="107" t="str">
        <f>TRIM(Formulario!I334)</f>
        <v/>
      </c>
      <c r="J323" s="11" t="str">
        <f>TRIM(Formulario!J334)</f>
        <v/>
      </c>
      <c r="K323" s="11" t="str">
        <f>TRIM(Formulario!K334)</f>
        <v/>
      </c>
      <c r="L323" s="107" t="str">
        <f>TRIM(Formulario!L334)</f>
        <v/>
      </c>
      <c r="M323" s="107" t="str">
        <f>TRIM(Formulario!M334)</f>
        <v>0</v>
      </c>
      <c r="N323" s="11" t="str">
        <f>TRIM(Formulario!H334)</f>
        <v/>
      </c>
      <c r="P323" s="17"/>
      <c r="Q323" s="104"/>
      <c r="R323" s="104"/>
      <c r="S323" s="117"/>
      <c r="T323" s="101"/>
      <c r="U323" s="101"/>
      <c r="V323" s="101"/>
      <c r="W323" s="102"/>
      <c r="X323" s="102"/>
      <c r="Y323" s="102"/>
      <c r="Z323" s="102"/>
      <c r="AA323" s="102"/>
      <c r="AB323" s="102"/>
      <c r="AC323" s="102"/>
      <c r="AD323" s="102"/>
    </row>
    <row r="324" spans="1:30">
      <c r="A324" s="8" t="str">
        <f>IF(L324="","",Formulario!B335)</f>
        <v/>
      </c>
      <c r="B324" s="119"/>
      <c r="C324" s="120"/>
      <c r="D324" s="121"/>
      <c r="E324" s="129" t="str">
        <f>IF(F324="","",Formulario!B335)</f>
        <v/>
      </c>
      <c r="F324" s="11" t="str">
        <f>TRIM(Formulario!D335)</f>
        <v/>
      </c>
      <c r="G324" s="11" t="str">
        <f>TRIM(Formulario!F335)</f>
        <v/>
      </c>
      <c r="H324" s="146" t="str">
        <f>IF(N324="",TRIM(Formulario!G335),TRIM(Formulario!G335)*N324)</f>
        <v/>
      </c>
      <c r="I324" s="107" t="str">
        <f>TRIM(Formulario!I335)</f>
        <v/>
      </c>
      <c r="J324" s="11" t="str">
        <f>TRIM(Formulario!J335)</f>
        <v/>
      </c>
      <c r="K324" s="11" t="str">
        <f>TRIM(Formulario!K335)</f>
        <v/>
      </c>
      <c r="L324" s="107" t="str">
        <f>TRIM(Formulario!L335)</f>
        <v/>
      </c>
      <c r="M324" s="107" t="str">
        <f>TRIM(Formulario!M335)</f>
        <v>0</v>
      </c>
      <c r="N324" s="11" t="str">
        <f>TRIM(Formulario!H335)</f>
        <v/>
      </c>
      <c r="P324" s="17"/>
      <c r="Q324" s="104"/>
      <c r="R324" s="104"/>
      <c r="S324" s="117"/>
      <c r="T324" s="101"/>
      <c r="U324" s="101"/>
      <c r="V324" s="101"/>
      <c r="W324" s="102"/>
      <c r="X324" s="102"/>
      <c r="Y324" s="102"/>
      <c r="Z324" s="102"/>
      <c r="AA324" s="102"/>
      <c r="AB324" s="102"/>
      <c r="AC324" s="102"/>
      <c r="AD324" s="102"/>
    </row>
    <row r="325" spans="1:30">
      <c r="A325" s="8" t="str">
        <f>IF(L325="","",Formulario!B336)</f>
        <v/>
      </c>
      <c r="B325" s="119"/>
      <c r="C325" s="120"/>
      <c r="D325" s="121"/>
      <c r="E325" s="129" t="str">
        <f>IF(F325="","",Formulario!B336)</f>
        <v/>
      </c>
      <c r="F325" s="11" t="str">
        <f>TRIM(Formulario!D336)</f>
        <v/>
      </c>
      <c r="G325" s="11" t="str">
        <f>TRIM(Formulario!F336)</f>
        <v/>
      </c>
      <c r="H325" s="146" t="str">
        <f>IF(N325="",TRIM(Formulario!G336),TRIM(Formulario!G336)*N325)</f>
        <v/>
      </c>
      <c r="I325" s="107" t="str">
        <f>TRIM(Formulario!I336)</f>
        <v/>
      </c>
      <c r="J325" s="11" t="str">
        <f>TRIM(Formulario!J336)</f>
        <v/>
      </c>
      <c r="K325" s="11" t="str">
        <f>TRIM(Formulario!K336)</f>
        <v/>
      </c>
      <c r="L325" s="107" t="str">
        <f>TRIM(Formulario!L336)</f>
        <v/>
      </c>
      <c r="M325" s="107" t="str">
        <f>TRIM(Formulario!M336)</f>
        <v>0</v>
      </c>
      <c r="N325" s="11" t="str">
        <f>TRIM(Formulario!H336)</f>
        <v/>
      </c>
      <c r="P325" s="17"/>
      <c r="Q325" s="104"/>
      <c r="R325" s="104"/>
      <c r="S325" s="117"/>
      <c r="T325" s="101"/>
      <c r="U325" s="101"/>
      <c r="V325" s="101"/>
      <c r="W325" s="102"/>
      <c r="X325" s="102"/>
      <c r="Y325" s="102"/>
      <c r="Z325" s="102"/>
      <c r="AA325" s="102"/>
      <c r="AB325" s="102"/>
      <c r="AC325" s="102"/>
      <c r="AD325" s="102"/>
    </row>
    <row r="326" spans="1:30">
      <c r="A326" s="8" t="str">
        <f>IF(L326="","",Formulario!B337)</f>
        <v/>
      </c>
      <c r="B326" s="119"/>
      <c r="C326" s="120"/>
      <c r="D326" s="121"/>
      <c r="E326" s="129" t="str">
        <f>IF(F326="","",Formulario!B337)</f>
        <v/>
      </c>
      <c r="F326" s="11" t="str">
        <f>TRIM(Formulario!D337)</f>
        <v/>
      </c>
      <c r="G326" s="11" t="str">
        <f>TRIM(Formulario!F337)</f>
        <v/>
      </c>
      <c r="H326" s="146" t="str">
        <f>IF(N326="",TRIM(Formulario!G337),TRIM(Formulario!G337)*N326)</f>
        <v/>
      </c>
      <c r="I326" s="107" t="str">
        <f>TRIM(Formulario!I337)</f>
        <v/>
      </c>
      <c r="J326" s="11" t="str">
        <f>TRIM(Formulario!J337)</f>
        <v/>
      </c>
      <c r="K326" s="11" t="str">
        <f>TRIM(Formulario!K337)</f>
        <v/>
      </c>
      <c r="L326" s="107" t="str">
        <f>TRIM(Formulario!L337)</f>
        <v/>
      </c>
      <c r="M326" s="107" t="str">
        <f>TRIM(Formulario!M337)</f>
        <v>0</v>
      </c>
      <c r="N326" s="11" t="str">
        <f>TRIM(Formulario!H337)</f>
        <v/>
      </c>
      <c r="P326" s="17"/>
      <c r="Q326" s="104"/>
      <c r="R326" s="104"/>
      <c r="S326" s="117"/>
      <c r="T326" s="101"/>
      <c r="U326" s="101"/>
      <c r="V326" s="101"/>
      <c r="W326" s="102"/>
      <c r="X326" s="102"/>
      <c r="Y326" s="102"/>
      <c r="Z326" s="102"/>
      <c r="AA326" s="102"/>
      <c r="AB326" s="102"/>
      <c r="AC326" s="102"/>
      <c r="AD326" s="102"/>
    </row>
    <row r="327" spans="1:30">
      <c r="A327" s="8" t="str">
        <f>IF(L327="","",Formulario!B338)</f>
        <v/>
      </c>
      <c r="B327" s="119"/>
      <c r="C327" s="120"/>
      <c r="D327" s="121"/>
      <c r="E327" s="129" t="str">
        <f>IF(F327="","",Formulario!B338)</f>
        <v/>
      </c>
      <c r="F327" s="11" t="str">
        <f>TRIM(Formulario!D338)</f>
        <v/>
      </c>
      <c r="G327" s="11" t="str">
        <f>TRIM(Formulario!F338)</f>
        <v/>
      </c>
      <c r="H327" s="146" t="str">
        <f>IF(N327="",TRIM(Formulario!G338),TRIM(Formulario!G338)*N327)</f>
        <v/>
      </c>
      <c r="I327" s="107" t="str">
        <f>TRIM(Formulario!I338)</f>
        <v/>
      </c>
      <c r="J327" s="11" t="str">
        <f>TRIM(Formulario!J338)</f>
        <v/>
      </c>
      <c r="K327" s="11" t="str">
        <f>TRIM(Formulario!K338)</f>
        <v/>
      </c>
      <c r="L327" s="107" t="str">
        <f>TRIM(Formulario!L338)</f>
        <v/>
      </c>
      <c r="M327" s="107" t="str">
        <f>TRIM(Formulario!M338)</f>
        <v>0</v>
      </c>
      <c r="N327" s="11" t="str">
        <f>TRIM(Formulario!H338)</f>
        <v/>
      </c>
      <c r="P327" s="17"/>
      <c r="Q327" s="104"/>
      <c r="R327" s="104"/>
      <c r="S327" s="117"/>
      <c r="T327" s="101"/>
      <c r="U327" s="101"/>
      <c r="V327" s="101"/>
      <c r="W327" s="102"/>
      <c r="X327" s="102"/>
      <c r="Y327" s="102"/>
      <c r="Z327" s="102"/>
      <c r="AA327" s="102"/>
      <c r="AB327" s="102"/>
      <c r="AC327" s="102"/>
      <c r="AD327" s="102"/>
    </row>
    <row r="328" spans="1:30">
      <c r="A328" s="8" t="str">
        <f>IF(L328="","",Formulario!B339)</f>
        <v/>
      </c>
      <c r="B328" s="119"/>
      <c r="C328" s="120"/>
      <c r="D328" s="121"/>
      <c r="E328" s="129" t="str">
        <f>IF(F328="","",Formulario!B339)</f>
        <v/>
      </c>
      <c r="F328" s="11" t="str">
        <f>TRIM(Formulario!D339)</f>
        <v/>
      </c>
      <c r="G328" s="11" t="str">
        <f>TRIM(Formulario!F339)</f>
        <v/>
      </c>
      <c r="H328" s="146" t="str">
        <f>IF(N328="",TRIM(Formulario!G339),TRIM(Formulario!G339)*N328)</f>
        <v/>
      </c>
      <c r="I328" s="107" t="str">
        <f>TRIM(Formulario!I339)</f>
        <v/>
      </c>
      <c r="J328" s="11" t="str">
        <f>TRIM(Formulario!J339)</f>
        <v/>
      </c>
      <c r="K328" s="11" t="str">
        <f>TRIM(Formulario!K339)</f>
        <v/>
      </c>
      <c r="L328" s="107" t="str">
        <f>TRIM(Formulario!L339)</f>
        <v/>
      </c>
      <c r="M328" s="107" t="str">
        <f>TRIM(Formulario!M339)</f>
        <v>0</v>
      </c>
      <c r="N328" s="11" t="str">
        <f>TRIM(Formulario!H339)</f>
        <v/>
      </c>
      <c r="P328" s="17"/>
      <c r="Q328" s="104"/>
      <c r="R328" s="104"/>
      <c r="S328" s="117"/>
      <c r="T328" s="101"/>
      <c r="U328" s="101"/>
      <c r="V328" s="101"/>
      <c r="W328" s="102"/>
      <c r="X328" s="102"/>
      <c r="Y328" s="102"/>
      <c r="Z328" s="102"/>
      <c r="AA328" s="102"/>
      <c r="AB328" s="102"/>
      <c r="AC328" s="102"/>
      <c r="AD328" s="102"/>
    </row>
    <row r="329" spans="1:30">
      <c r="A329" s="8" t="str">
        <f>IF(L329="","",Formulario!B340)</f>
        <v/>
      </c>
      <c r="B329" s="119"/>
      <c r="C329" s="120"/>
      <c r="D329" s="121"/>
      <c r="E329" s="129" t="str">
        <f>IF(F329="","",Formulario!B340)</f>
        <v/>
      </c>
      <c r="F329" s="11" t="str">
        <f>TRIM(Formulario!D340)</f>
        <v/>
      </c>
      <c r="G329" s="11" t="str">
        <f>TRIM(Formulario!F340)</f>
        <v/>
      </c>
      <c r="H329" s="146" t="str">
        <f>IF(N329="",TRIM(Formulario!G340),TRIM(Formulario!G340)*N329)</f>
        <v/>
      </c>
      <c r="I329" s="107" t="str">
        <f>TRIM(Formulario!I340)</f>
        <v/>
      </c>
      <c r="J329" s="11" t="str">
        <f>TRIM(Formulario!J340)</f>
        <v/>
      </c>
      <c r="K329" s="11" t="str">
        <f>TRIM(Formulario!K340)</f>
        <v/>
      </c>
      <c r="L329" s="107" t="str">
        <f>TRIM(Formulario!L340)</f>
        <v/>
      </c>
      <c r="M329" s="107" t="str">
        <f>TRIM(Formulario!M340)</f>
        <v>0</v>
      </c>
      <c r="N329" s="11" t="str">
        <f>TRIM(Formulario!H340)</f>
        <v/>
      </c>
      <c r="P329" s="17"/>
      <c r="Q329" s="104"/>
      <c r="R329" s="104"/>
      <c r="S329" s="117"/>
      <c r="T329" s="101"/>
      <c r="U329" s="101"/>
      <c r="V329" s="101"/>
      <c r="W329" s="102"/>
      <c r="X329" s="102"/>
      <c r="Y329" s="102"/>
      <c r="Z329" s="102"/>
      <c r="AA329" s="102"/>
      <c r="AB329" s="102"/>
      <c r="AC329" s="102"/>
      <c r="AD329" s="102"/>
    </row>
    <row r="330" spans="1:30">
      <c r="A330" s="8" t="str">
        <f>IF(L330="","",Formulario!B341)</f>
        <v/>
      </c>
      <c r="B330" s="119"/>
      <c r="C330" s="120"/>
      <c r="D330" s="121"/>
      <c r="E330" s="129" t="str">
        <f>IF(F330="","",Formulario!B341)</f>
        <v/>
      </c>
      <c r="F330" s="11" t="str">
        <f>TRIM(Formulario!D341)</f>
        <v/>
      </c>
      <c r="G330" s="11" t="str">
        <f>TRIM(Formulario!F341)</f>
        <v/>
      </c>
      <c r="H330" s="146" t="str">
        <f>IF(N330="",TRIM(Formulario!G341),TRIM(Formulario!G341)*N330)</f>
        <v/>
      </c>
      <c r="I330" s="107" t="str">
        <f>TRIM(Formulario!I341)</f>
        <v/>
      </c>
      <c r="J330" s="11" t="str">
        <f>TRIM(Formulario!J341)</f>
        <v/>
      </c>
      <c r="K330" s="11" t="str">
        <f>TRIM(Formulario!K341)</f>
        <v/>
      </c>
      <c r="L330" s="107" t="str">
        <f>TRIM(Formulario!L341)</f>
        <v/>
      </c>
      <c r="M330" s="107" t="str">
        <f>TRIM(Formulario!M341)</f>
        <v>0</v>
      </c>
      <c r="N330" s="11" t="str">
        <f>TRIM(Formulario!H341)</f>
        <v/>
      </c>
      <c r="P330" s="17"/>
      <c r="Q330" s="104"/>
      <c r="R330" s="104"/>
      <c r="S330" s="117"/>
      <c r="T330" s="101"/>
      <c r="U330" s="101"/>
      <c r="V330" s="101"/>
      <c r="W330" s="102"/>
      <c r="X330" s="102"/>
      <c r="Y330" s="102"/>
      <c r="Z330" s="102"/>
      <c r="AA330" s="102"/>
      <c r="AB330" s="102"/>
      <c r="AC330" s="102"/>
      <c r="AD330" s="102"/>
    </row>
    <row r="331" spans="1:30">
      <c r="A331" s="8" t="str">
        <f>IF(L331="","",Formulario!B342)</f>
        <v/>
      </c>
      <c r="B331" s="119"/>
      <c r="C331" s="120"/>
      <c r="D331" s="121"/>
      <c r="E331" s="129" t="str">
        <f>IF(F331="","",Formulario!B342)</f>
        <v/>
      </c>
      <c r="F331" s="11" t="str">
        <f>TRIM(Formulario!D342)</f>
        <v/>
      </c>
      <c r="G331" s="11" t="str">
        <f>TRIM(Formulario!F342)</f>
        <v/>
      </c>
      <c r="H331" s="146" t="str">
        <f>IF(N331="",TRIM(Formulario!G342),TRIM(Formulario!G342)*N331)</f>
        <v/>
      </c>
      <c r="I331" s="107" t="str">
        <f>TRIM(Formulario!I342)</f>
        <v/>
      </c>
      <c r="J331" s="11" t="str">
        <f>TRIM(Formulario!J342)</f>
        <v/>
      </c>
      <c r="K331" s="11" t="str">
        <f>TRIM(Formulario!K342)</f>
        <v/>
      </c>
      <c r="L331" s="107" t="str">
        <f>TRIM(Formulario!L342)</f>
        <v/>
      </c>
      <c r="M331" s="107" t="str">
        <f>TRIM(Formulario!M342)</f>
        <v>0</v>
      </c>
      <c r="N331" s="11" t="str">
        <f>TRIM(Formulario!H342)</f>
        <v/>
      </c>
      <c r="P331" s="17"/>
      <c r="Q331" s="104"/>
      <c r="R331" s="104"/>
      <c r="S331" s="117"/>
      <c r="T331" s="101"/>
      <c r="U331" s="101"/>
      <c r="V331" s="101"/>
      <c r="W331" s="102"/>
      <c r="X331" s="102"/>
      <c r="Y331" s="102"/>
      <c r="Z331" s="102"/>
      <c r="AA331" s="102"/>
      <c r="AB331" s="102"/>
      <c r="AC331" s="102"/>
      <c r="AD331" s="102"/>
    </row>
    <row r="332" spans="1:30">
      <c r="A332" s="8" t="str">
        <f>IF(L332="","",Formulario!B343)</f>
        <v/>
      </c>
      <c r="B332" s="119"/>
      <c r="C332" s="120"/>
      <c r="D332" s="121"/>
      <c r="E332" s="129" t="str">
        <f>IF(F332="","",Formulario!B343)</f>
        <v/>
      </c>
      <c r="F332" s="11" t="str">
        <f>TRIM(Formulario!D343)</f>
        <v/>
      </c>
      <c r="G332" s="11" t="str">
        <f>TRIM(Formulario!F343)</f>
        <v/>
      </c>
      <c r="H332" s="146" t="str">
        <f>IF(N332="",TRIM(Formulario!G343),TRIM(Formulario!G343)*N332)</f>
        <v/>
      </c>
      <c r="I332" s="107" t="str">
        <f>TRIM(Formulario!I343)</f>
        <v/>
      </c>
      <c r="J332" s="11" t="str">
        <f>TRIM(Formulario!J343)</f>
        <v/>
      </c>
      <c r="K332" s="11" t="str">
        <f>TRIM(Formulario!K343)</f>
        <v/>
      </c>
      <c r="L332" s="107" t="str">
        <f>TRIM(Formulario!L343)</f>
        <v/>
      </c>
      <c r="M332" s="107" t="str">
        <f>TRIM(Formulario!M343)</f>
        <v>0</v>
      </c>
      <c r="N332" s="11" t="str">
        <f>TRIM(Formulario!H343)</f>
        <v/>
      </c>
      <c r="P332" s="17"/>
      <c r="Q332" s="104"/>
      <c r="R332" s="104"/>
      <c r="S332" s="117"/>
      <c r="T332" s="101"/>
      <c r="U332" s="101"/>
      <c r="V332" s="101"/>
      <c r="W332" s="102"/>
      <c r="X332" s="102"/>
      <c r="Y332" s="102"/>
      <c r="Z332" s="102"/>
      <c r="AA332" s="102"/>
      <c r="AB332" s="102"/>
      <c r="AC332" s="102"/>
      <c r="AD332" s="102"/>
    </row>
    <row r="333" spans="1:30">
      <c r="A333" s="8" t="str">
        <f>IF(L333="","",Formulario!B344)</f>
        <v/>
      </c>
      <c r="B333" s="119"/>
      <c r="C333" s="120"/>
      <c r="D333" s="121"/>
      <c r="E333" s="129" t="str">
        <f>IF(F333="","",Formulario!B344)</f>
        <v/>
      </c>
      <c r="F333" s="11" t="str">
        <f>TRIM(Formulario!D344)</f>
        <v/>
      </c>
      <c r="G333" s="11" t="str">
        <f>TRIM(Formulario!F344)</f>
        <v/>
      </c>
      <c r="H333" s="146" t="str">
        <f>IF(N333="",TRIM(Formulario!G344),TRIM(Formulario!G344)*N333)</f>
        <v/>
      </c>
      <c r="I333" s="107" t="str">
        <f>TRIM(Formulario!I344)</f>
        <v/>
      </c>
      <c r="J333" s="11" t="str">
        <f>TRIM(Formulario!J344)</f>
        <v/>
      </c>
      <c r="K333" s="11" t="str">
        <f>TRIM(Formulario!K344)</f>
        <v/>
      </c>
      <c r="L333" s="107" t="str">
        <f>TRIM(Formulario!L344)</f>
        <v/>
      </c>
      <c r="M333" s="107" t="str">
        <f>TRIM(Formulario!M344)</f>
        <v>0</v>
      </c>
      <c r="N333" s="11" t="str">
        <f>TRIM(Formulario!H344)</f>
        <v/>
      </c>
      <c r="P333" s="17"/>
      <c r="Q333" s="104"/>
      <c r="R333" s="104"/>
      <c r="S333" s="117"/>
      <c r="T333" s="101"/>
      <c r="U333" s="101"/>
      <c r="V333" s="101"/>
      <c r="W333" s="102"/>
      <c r="X333" s="102"/>
      <c r="Y333" s="102"/>
      <c r="Z333" s="102"/>
      <c r="AA333" s="102"/>
      <c r="AB333" s="102"/>
      <c r="AC333" s="102"/>
      <c r="AD333" s="102"/>
    </row>
    <row r="334" spans="1:30">
      <c r="A334" s="8" t="str">
        <f>IF(L334="","",Formulario!B345)</f>
        <v/>
      </c>
      <c r="B334" s="119"/>
      <c r="C334" s="120"/>
      <c r="D334" s="121"/>
      <c r="E334" s="129" t="str">
        <f>IF(F334="","",Formulario!B345)</f>
        <v/>
      </c>
      <c r="F334" s="11" t="str">
        <f>TRIM(Formulario!D345)</f>
        <v/>
      </c>
      <c r="G334" s="11" t="str">
        <f>TRIM(Formulario!F345)</f>
        <v/>
      </c>
      <c r="H334" s="146" t="str">
        <f>IF(N334="",TRIM(Formulario!G345),TRIM(Formulario!G345)*N334)</f>
        <v/>
      </c>
      <c r="I334" s="107" t="str">
        <f>TRIM(Formulario!I345)</f>
        <v/>
      </c>
      <c r="J334" s="11" t="str">
        <f>TRIM(Formulario!J345)</f>
        <v/>
      </c>
      <c r="K334" s="11" t="str">
        <f>TRIM(Formulario!K345)</f>
        <v/>
      </c>
      <c r="L334" s="107" t="str">
        <f>TRIM(Formulario!L345)</f>
        <v/>
      </c>
      <c r="M334" s="107" t="str">
        <f>TRIM(Formulario!M345)</f>
        <v>0</v>
      </c>
      <c r="N334" s="11" t="str">
        <f>TRIM(Formulario!H345)</f>
        <v/>
      </c>
      <c r="P334" s="17"/>
      <c r="Q334" s="104"/>
      <c r="R334" s="104"/>
      <c r="S334" s="117"/>
      <c r="T334" s="101"/>
      <c r="U334" s="101"/>
      <c r="V334" s="101"/>
      <c r="W334" s="102"/>
      <c r="X334" s="102"/>
      <c r="Y334" s="102"/>
      <c r="Z334" s="102"/>
      <c r="AA334" s="102"/>
      <c r="AB334" s="102"/>
      <c r="AC334" s="102"/>
      <c r="AD334" s="102"/>
    </row>
    <row r="335" spans="1:30">
      <c r="A335" s="8" t="str">
        <f>IF(L335="","",Formulario!B346)</f>
        <v/>
      </c>
      <c r="B335" s="119"/>
      <c r="C335" s="120"/>
      <c r="D335" s="121"/>
      <c r="E335" s="129" t="str">
        <f>IF(F335="","",Formulario!B346)</f>
        <v/>
      </c>
      <c r="F335" s="11" t="str">
        <f>TRIM(Formulario!D346)</f>
        <v/>
      </c>
      <c r="G335" s="11" t="str">
        <f>TRIM(Formulario!F346)</f>
        <v/>
      </c>
      <c r="H335" s="146" t="str">
        <f>IF(N335="",TRIM(Formulario!G346),TRIM(Formulario!G346)*N335)</f>
        <v/>
      </c>
      <c r="I335" s="107" t="str">
        <f>TRIM(Formulario!I346)</f>
        <v/>
      </c>
      <c r="J335" s="11" t="str">
        <f>TRIM(Formulario!J346)</f>
        <v/>
      </c>
      <c r="K335" s="11" t="str">
        <f>TRIM(Formulario!K346)</f>
        <v/>
      </c>
      <c r="L335" s="107" t="str">
        <f>TRIM(Formulario!L346)</f>
        <v/>
      </c>
      <c r="M335" s="107" t="str">
        <f>TRIM(Formulario!M346)</f>
        <v>0</v>
      </c>
      <c r="N335" s="11" t="str">
        <f>TRIM(Formulario!H346)</f>
        <v/>
      </c>
      <c r="P335" s="17"/>
      <c r="Q335" s="104"/>
      <c r="R335" s="104"/>
      <c r="S335" s="117"/>
      <c r="T335" s="101"/>
      <c r="U335" s="101"/>
      <c r="V335" s="101"/>
      <c r="W335" s="102"/>
      <c r="X335" s="102"/>
      <c r="Y335" s="102"/>
      <c r="Z335" s="102"/>
      <c r="AA335" s="102"/>
      <c r="AB335" s="102"/>
      <c r="AC335" s="102"/>
      <c r="AD335" s="102"/>
    </row>
    <row r="336" spans="1:30">
      <c r="A336" s="8" t="str">
        <f>IF(L336="","",Formulario!B347)</f>
        <v/>
      </c>
      <c r="B336" s="119"/>
      <c r="C336" s="120"/>
      <c r="D336" s="121"/>
      <c r="E336" s="129" t="str">
        <f>IF(F336="","",Formulario!B347)</f>
        <v/>
      </c>
      <c r="F336" s="11" t="str">
        <f>TRIM(Formulario!D347)</f>
        <v/>
      </c>
      <c r="G336" s="11" t="str">
        <f>TRIM(Formulario!F347)</f>
        <v/>
      </c>
      <c r="H336" s="146" t="str">
        <f>IF(N336="",TRIM(Formulario!G347),TRIM(Formulario!G347)*N336)</f>
        <v/>
      </c>
      <c r="I336" s="107" t="str">
        <f>TRIM(Formulario!I347)</f>
        <v/>
      </c>
      <c r="J336" s="11" t="str">
        <f>TRIM(Formulario!J347)</f>
        <v/>
      </c>
      <c r="K336" s="11" t="str">
        <f>TRIM(Formulario!K347)</f>
        <v/>
      </c>
      <c r="L336" s="107" t="str">
        <f>TRIM(Formulario!L347)</f>
        <v/>
      </c>
      <c r="M336" s="107" t="str">
        <f>TRIM(Formulario!M347)</f>
        <v>0</v>
      </c>
      <c r="N336" s="11" t="str">
        <f>TRIM(Formulario!H347)</f>
        <v/>
      </c>
      <c r="P336" s="17"/>
      <c r="Q336" s="104"/>
      <c r="R336" s="104"/>
      <c r="S336" s="117"/>
      <c r="T336" s="101"/>
      <c r="U336" s="101"/>
      <c r="V336" s="101"/>
      <c r="W336" s="102"/>
      <c r="X336" s="102"/>
      <c r="Y336" s="102"/>
      <c r="Z336" s="102"/>
      <c r="AA336" s="102"/>
      <c r="AB336" s="102"/>
      <c r="AC336" s="102"/>
      <c r="AD336" s="102"/>
    </row>
    <row r="337" spans="1:30">
      <c r="A337" s="8" t="str">
        <f>IF(L337="","",Formulario!B348)</f>
        <v/>
      </c>
      <c r="B337" s="119"/>
      <c r="C337" s="120"/>
      <c r="D337" s="121"/>
      <c r="E337" s="129" t="str">
        <f>IF(F337="","",Formulario!B348)</f>
        <v/>
      </c>
      <c r="F337" s="11" t="str">
        <f>TRIM(Formulario!D348)</f>
        <v/>
      </c>
      <c r="G337" s="11" t="str">
        <f>TRIM(Formulario!F348)</f>
        <v/>
      </c>
      <c r="H337" s="146" t="str">
        <f>IF(N337="",TRIM(Formulario!G348),TRIM(Formulario!G348)*N337)</f>
        <v/>
      </c>
      <c r="I337" s="107" t="str">
        <f>TRIM(Formulario!I348)</f>
        <v/>
      </c>
      <c r="J337" s="11" t="str">
        <f>TRIM(Formulario!J348)</f>
        <v/>
      </c>
      <c r="K337" s="11" t="str">
        <f>TRIM(Formulario!K348)</f>
        <v/>
      </c>
      <c r="L337" s="107" t="str">
        <f>TRIM(Formulario!L348)</f>
        <v/>
      </c>
      <c r="M337" s="107" t="str">
        <f>TRIM(Formulario!M348)</f>
        <v>0</v>
      </c>
      <c r="N337" s="11" t="str">
        <f>TRIM(Formulario!H348)</f>
        <v/>
      </c>
      <c r="P337" s="17"/>
      <c r="Q337" s="104"/>
      <c r="R337" s="104"/>
      <c r="S337" s="117"/>
      <c r="T337" s="101"/>
      <c r="U337" s="101"/>
      <c r="V337" s="101"/>
      <c r="W337" s="102"/>
      <c r="X337" s="102"/>
      <c r="Y337" s="102"/>
      <c r="Z337" s="102"/>
      <c r="AA337" s="102"/>
      <c r="AB337" s="102"/>
      <c r="AC337" s="102"/>
      <c r="AD337" s="102"/>
    </row>
    <row r="338" spans="1:30">
      <c r="A338" s="8" t="str">
        <f>IF(L338="","",Formulario!B349)</f>
        <v/>
      </c>
      <c r="B338" s="119"/>
      <c r="C338" s="120"/>
      <c r="D338" s="121"/>
      <c r="E338" s="129" t="str">
        <f>IF(F338="","",Formulario!B349)</f>
        <v/>
      </c>
      <c r="F338" s="11" t="str">
        <f>TRIM(Formulario!D349)</f>
        <v/>
      </c>
      <c r="G338" s="11" t="str">
        <f>TRIM(Formulario!F349)</f>
        <v/>
      </c>
      <c r="H338" s="146" t="str">
        <f>IF(N338="",TRIM(Formulario!G349),TRIM(Formulario!G349)*N338)</f>
        <v/>
      </c>
      <c r="I338" s="107" t="str">
        <f>TRIM(Formulario!I349)</f>
        <v/>
      </c>
      <c r="J338" s="11" t="str">
        <f>TRIM(Formulario!J349)</f>
        <v/>
      </c>
      <c r="K338" s="11" t="str">
        <f>TRIM(Formulario!K349)</f>
        <v/>
      </c>
      <c r="L338" s="107" t="str">
        <f>TRIM(Formulario!L349)</f>
        <v/>
      </c>
      <c r="M338" s="107" t="str">
        <f>TRIM(Formulario!M349)</f>
        <v>0</v>
      </c>
      <c r="N338" s="11" t="str">
        <f>TRIM(Formulario!H349)</f>
        <v/>
      </c>
      <c r="P338" s="17"/>
      <c r="Q338" s="104"/>
      <c r="R338" s="104"/>
      <c r="S338" s="117"/>
      <c r="T338" s="101"/>
      <c r="U338" s="101"/>
      <c r="V338" s="101"/>
      <c r="W338" s="102"/>
      <c r="X338" s="102"/>
      <c r="Y338" s="102"/>
      <c r="Z338" s="102"/>
      <c r="AA338" s="102"/>
      <c r="AB338" s="102"/>
      <c r="AC338" s="102"/>
      <c r="AD338" s="102"/>
    </row>
    <row r="339" spans="1:30">
      <c r="A339" s="8" t="str">
        <f>IF(L339="","",Formulario!B350)</f>
        <v/>
      </c>
      <c r="B339" s="119"/>
      <c r="C339" s="120"/>
      <c r="D339" s="121"/>
      <c r="E339" s="129" t="str">
        <f>IF(F339="","",Formulario!B350)</f>
        <v/>
      </c>
      <c r="F339" s="11" t="str">
        <f>TRIM(Formulario!D350)</f>
        <v/>
      </c>
      <c r="G339" s="11" t="str">
        <f>TRIM(Formulario!F350)</f>
        <v/>
      </c>
      <c r="H339" s="146" t="str">
        <f>IF(N339="",TRIM(Formulario!G350),TRIM(Formulario!G350)*N339)</f>
        <v/>
      </c>
      <c r="I339" s="107" t="str">
        <f>TRIM(Formulario!I350)</f>
        <v/>
      </c>
      <c r="J339" s="11" t="str">
        <f>TRIM(Formulario!J350)</f>
        <v/>
      </c>
      <c r="K339" s="11" t="str">
        <f>TRIM(Formulario!K350)</f>
        <v/>
      </c>
      <c r="L339" s="107" t="str">
        <f>TRIM(Formulario!L350)</f>
        <v/>
      </c>
      <c r="M339" s="107" t="str">
        <f>TRIM(Formulario!M350)</f>
        <v>0</v>
      </c>
      <c r="N339" s="11" t="str">
        <f>TRIM(Formulario!H350)</f>
        <v/>
      </c>
      <c r="P339" s="17"/>
      <c r="Q339" s="104"/>
      <c r="R339" s="104"/>
      <c r="S339" s="117"/>
      <c r="T339" s="101"/>
      <c r="U339" s="101"/>
      <c r="V339" s="101"/>
      <c r="W339" s="102"/>
      <c r="X339" s="102"/>
      <c r="Y339" s="102"/>
      <c r="Z339" s="102"/>
      <c r="AA339" s="102"/>
      <c r="AB339" s="102"/>
      <c r="AC339" s="102"/>
      <c r="AD339" s="102"/>
    </row>
    <row r="340" spans="1:30">
      <c r="A340" s="8" t="str">
        <f>IF(L340="","",Formulario!B351)</f>
        <v/>
      </c>
      <c r="B340" s="119"/>
      <c r="C340" s="120"/>
      <c r="D340" s="121"/>
      <c r="E340" s="129" t="str">
        <f>IF(F340="","",Formulario!B351)</f>
        <v/>
      </c>
      <c r="F340" s="11" t="str">
        <f>TRIM(Formulario!D351)</f>
        <v/>
      </c>
      <c r="G340" s="11" t="str">
        <f>TRIM(Formulario!F351)</f>
        <v/>
      </c>
      <c r="H340" s="146" t="str">
        <f>IF(N340="",TRIM(Formulario!G351),TRIM(Formulario!G351)*N340)</f>
        <v/>
      </c>
      <c r="I340" s="107" t="str">
        <f>TRIM(Formulario!I351)</f>
        <v/>
      </c>
      <c r="J340" s="11" t="str">
        <f>TRIM(Formulario!J351)</f>
        <v/>
      </c>
      <c r="K340" s="11" t="str">
        <f>TRIM(Formulario!K351)</f>
        <v/>
      </c>
      <c r="L340" s="107" t="str">
        <f>TRIM(Formulario!L351)</f>
        <v/>
      </c>
      <c r="M340" s="107" t="str">
        <f>TRIM(Formulario!M351)</f>
        <v>0</v>
      </c>
      <c r="N340" s="11" t="str">
        <f>TRIM(Formulario!H351)</f>
        <v/>
      </c>
      <c r="P340" s="17"/>
      <c r="Q340" s="104"/>
      <c r="R340" s="104"/>
      <c r="S340" s="117"/>
      <c r="T340" s="101"/>
      <c r="U340" s="101"/>
      <c r="V340" s="101"/>
      <c r="W340" s="102"/>
      <c r="X340" s="102"/>
      <c r="Y340" s="102"/>
      <c r="Z340" s="102"/>
      <c r="AA340" s="102"/>
      <c r="AB340" s="102"/>
      <c r="AC340" s="102"/>
      <c r="AD340" s="102"/>
    </row>
    <row r="341" spans="1:30">
      <c r="A341" s="8" t="str">
        <f>IF(L341="","",Formulario!B352)</f>
        <v/>
      </c>
      <c r="B341" s="119"/>
      <c r="C341" s="120"/>
      <c r="D341" s="121"/>
      <c r="E341" s="129" t="str">
        <f>IF(F341="","",Formulario!B352)</f>
        <v/>
      </c>
      <c r="F341" s="11" t="str">
        <f>TRIM(Formulario!D352)</f>
        <v/>
      </c>
      <c r="G341" s="11" t="str">
        <f>TRIM(Formulario!F352)</f>
        <v/>
      </c>
      <c r="H341" s="146" t="str">
        <f>IF(N341="",TRIM(Formulario!G352),TRIM(Formulario!G352)*N341)</f>
        <v/>
      </c>
      <c r="I341" s="107" t="str">
        <f>TRIM(Formulario!I352)</f>
        <v/>
      </c>
      <c r="J341" s="11" t="str">
        <f>TRIM(Formulario!J352)</f>
        <v/>
      </c>
      <c r="K341" s="11" t="str">
        <f>TRIM(Formulario!K352)</f>
        <v/>
      </c>
      <c r="L341" s="107" t="str">
        <f>TRIM(Formulario!L352)</f>
        <v/>
      </c>
      <c r="M341" s="107" t="str">
        <f>TRIM(Formulario!M352)</f>
        <v>0</v>
      </c>
      <c r="N341" s="11" t="str">
        <f>TRIM(Formulario!H352)</f>
        <v/>
      </c>
      <c r="P341" s="17"/>
      <c r="Q341" s="104"/>
      <c r="R341" s="104"/>
      <c r="S341" s="117"/>
      <c r="T341" s="101"/>
      <c r="U341" s="101"/>
      <c r="V341" s="101"/>
      <c r="W341" s="102"/>
      <c r="X341" s="102"/>
      <c r="Y341" s="102"/>
      <c r="Z341" s="102"/>
      <c r="AA341" s="102"/>
      <c r="AB341" s="102"/>
      <c r="AC341" s="102"/>
      <c r="AD341" s="102"/>
    </row>
    <row r="342" spans="1:30">
      <c r="A342" s="8" t="str">
        <f>IF(L342="","",Formulario!B353)</f>
        <v/>
      </c>
      <c r="B342" s="119"/>
      <c r="C342" s="120"/>
      <c r="D342" s="121"/>
      <c r="E342" s="129" t="str">
        <f>IF(F342="","",Formulario!B353)</f>
        <v/>
      </c>
      <c r="F342" s="11" t="str">
        <f>TRIM(Formulario!D353)</f>
        <v/>
      </c>
      <c r="G342" s="11" t="str">
        <f>TRIM(Formulario!F353)</f>
        <v/>
      </c>
      <c r="H342" s="146" t="str">
        <f>IF(N342="",TRIM(Formulario!G353),TRIM(Formulario!G353)*N342)</f>
        <v/>
      </c>
      <c r="I342" s="107" t="str">
        <f>TRIM(Formulario!I353)</f>
        <v/>
      </c>
      <c r="J342" s="11" t="str">
        <f>TRIM(Formulario!J353)</f>
        <v/>
      </c>
      <c r="K342" s="11" t="str">
        <f>TRIM(Formulario!K353)</f>
        <v/>
      </c>
      <c r="L342" s="107" t="str">
        <f>TRIM(Formulario!L353)</f>
        <v/>
      </c>
      <c r="M342" s="107" t="str">
        <f>TRIM(Formulario!M353)</f>
        <v>0</v>
      </c>
      <c r="N342" s="11" t="str">
        <f>TRIM(Formulario!H353)</f>
        <v/>
      </c>
      <c r="P342" s="17"/>
      <c r="Q342" s="104"/>
      <c r="R342" s="104"/>
      <c r="S342" s="117"/>
      <c r="T342" s="101"/>
      <c r="U342" s="101"/>
      <c r="V342" s="101"/>
      <c r="W342" s="102"/>
      <c r="X342" s="102"/>
      <c r="Y342" s="102"/>
      <c r="Z342" s="102"/>
      <c r="AA342" s="102"/>
      <c r="AB342" s="102"/>
      <c r="AC342" s="102"/>
      <c r="AD342" s="102"/>
    </row>
    <row r="343" spans="1:30">
      <c r="A343" s="8" t="str">
        <f>IF(L343="","",Formulario!B354)</f>
        <v/>
      </c>
      <c r="B343" s="119"/>
      <c r="C343" s="120"/>
      <c r="D343" s="121"/>
      <c r="E343" s="129" t="str">
        <f>IF(F343="","",Formulario!B354)</f>
        <v/>
      </c>
      <c r="F343" s="11" t="str">
        <f>TRIM(Formulario!D354)</f>
        <v/>
      </c>
      <c r="G343" s="11" t="str">
        <f>TRIM(Formulario!F354)</f>
        <v/>
      </c>
      <c r="H343" s="146" t="str">
        <f>IF(N343="",TRIM(Formulario!G354),TRIM(Formulario!G354)*N343)</f>
        <v/>
      </c>
      <c r="I343" s="107" t="str">
        <f>TRIM(Formulario!I354)</f>
        <v/>
      </c>
      <c r="J343" s="11" t="str">
        <f>TRIM(Formulario!J354)</f>
        <v/>
      </c>
      <c r="K343" s="11" t="str">
        <f>TRIM(Formulario!K354)</f>
        <v/>
      </c>
      <c r="L343" s="107" t="str">
        <f>TRIM(Formulario!L354)</f>
        <v/>
      </c>
      <c r="M343" s="107" t="str">
        <f>TRIM(Formulario!M354)</f>
        <v>0</v>
      </c>
      <c r="N343" s="11" t="str">
        <f>TRIM(Formulario!H354)</f>
        <v/>
      </c>
      <c r="P343" s="17"/>
      <c r="Q343" s="104"/>
      <c r="R343" s="104"/>
      <c r="S343" s="117"/>
      <c r="T343" s="101"/>
      <c r="U343" s="101"/>
      <c r="V343" s="101"/>
      <c r="W343" s="102"/>
      <c r="X343" s="102"/>
      <c r="Y343" s="102"/>
      <c r="Z343" s="102"/>
      <c r="AA343" s="102"/>
      <c r="AB343" s="102"/>
      <c r="AC343" s="102"/>
      <c r="AD343" s="102"/>
    </row>
    <row r="344" spans="1:30">
      <c r="A344" s="8" t="str">
        <f>IF(L344="","",Formulario!B355)</f>
        <v/>
      </c>
      <c r="B344" s="119"/>
      <c r="C344" s="120"/>
      <c r="D344" s="121"/>
      <c r="E344" s="129" t="str">
        <f>IF(F344="","",Formulario!B355)</f>
        <v/>
      </c>
      <c r="F344" s="11" t="str">
        <f>TRIM(Formulario!D355)</f>
        <v/>
      </c>
      <c r="G344" s="11" t="str">
        <f>TRIM(Formulario!F355)</f>
        <v/>
      </c>
      <c r="H344" s="146" t="str">
        <f>IF(N344="",TRIM(Formulario!G355),TRIM(Formulario!G355)*N344)</f>
        <v/>
      </c>
      <c r="I344" s="107" t="str">
        <f>TRIM(Formulario!I355)</f>
        <v/>
      </c>
      <c r="J344" s="11" t="str">
        <f>TRIM(Formulario!J355)</f>
        <v/>
      </c>
      <c r="K344" s="11" t="str">
        <f>TRIM(Formulario!K355)</f>
        <v/>
      </c>
      <c r="L344" s="107" t="str">
        <f>TRIM(Formulario!L355)</f>
        <v/>
      </c>
      <c r="M344" s="107" t="str">
        <f>TRIM(Formulario!M355)</f>
        <v>0</v>
      </c>
      <c r="N344" s="11" t="str">
        <f>TRIM(Formulario!H355)</f>
        <v/>
      </c>
      <c r="P344" s="17"/>
      <c r="Q344" s="104"/>
      <c r="R344" s="104"/>
      <c r="S344" s="117"/>
      <c r="T344" s="101"/>
      <c r="U344" s="101"/>
      <c r="V344" s="101"/>
      <c r="W344" s="102"/>
      <c r="X344" s="102"/>
      <c r="Y344" s="102"/>
      <c r="Z344" s="102"/>
      <c r="AA344" s="102"/>
      <c r="AB344" s="102"/>
      <c r="AC344" s="102"/>
      <c r="AD344" s="102"/>
    </row>
    <row r="345" spans="1:30">
      <c r="A345" s="8" t="str">
        <f>IF(L345="","",Formulario!B356)</f>
        <v/>
      </c>
      <c r="B345" s="119"/>
      <c r="C345" s="120"/>
      <c r="D345" s="121"/>
      <c r="E345" s="129" t="str">
        <f>IF(F345="","",Formulario!B356)</f>
        <v/>
      </c>
      <c r="F345" s="11" t="str">
        <f>TRIM(Formulario!D356)</f>
        <v/>
      </c>
      <c r="G345" s="11" t="str">
        <f>TRIM(Formulario!F356)</f>
        <v/>
      </c>
      <c r="H345" s="146" t="str">
        <f>IF(N345="",TRIM(Formulario!G356),TRIM(Formulario!G356)*N345)</f>
        <v/>
      </c>
      <c r="I345" s="107" t="str">
        <f>TRIM(Formulario!I356)</f>
        <v/>
      </c>
      <c r="J345" s="11" t="str">
        <f>TRIM(Formulario!J356)</f>
        <v/>
      </c>
      <c r="K345" s="11" t="str">
        <f>TRIM(Formulario!K356)</f>
        <v/>
      </c>
      <c r="L345" s="107" t="str">
        <f>TRIM(Formulario!L356)</f>
        <v/>
      </c>
      <c r="M345" s="107" t="str">
        <f>TRIM(Formulario!M356)</f>
        <v>0</v>
      </c>
      <c r="N345" s="11" t="str">
        <f>TRIM(Formulario!H356)</f>
        <v/>
      </c>
      <c r="P345" s="17"/>
      <c r="Q345" s="104"/>
      <c r="R345" s="104"/>
      <c r="S345" s="117"/>
      <c r="T345" s="101"/>
      <c r="U345" s="101"/>
      <c r="V345" s="101"/>
      <c r="W345" s="102"/>
      <c r="X345" s="102"/>
      <c r="Y345" s="102"/>
      <c r="Z345" s="102"/>
      <c r="AA345" s="102"/>
      <c r="AB345" s="102"/>
      <c r="AC345" s="102"/>
      <c r="AD345" s="102"/>
    </row>
    <row r="346" spans="1:30">
      <c r="A346" s="8" t="str">
        <f>IF(L346="","",Formulario!B357)</f>
        <v/>
      </c>
      <c r="B346" s="119"/>
      <c r="C346" s="120"/>
      <c r="D346" s="121"/>
      <c r="E346" s="129" t="str">
        <f>IF(F346="","",Formulario!B357)</f>
        <v/>
      </c>
      <c r="F346" s="11" t="str">
        <f>TRIM(Formulario!D357)</f>
        <v/>
      </c>
      <c r="G346" s="11" t="str">
        <f>TRIM(Formulario!F357)</f>
        <v/>
      </c>
      <c r="H346" s="146" t="str">
        <f>IF(N346="",TRIM(Formulario!G357),TRIM(Formulario!G357)*N346)</f>
        <v/>
      </c>
      <c r="I346" s="107" t="str">
        <f>TRIM(Formulario!I357)</f>
        <v/>
      </c>
      <c r="J346" s="11" t="str">
        <f>TRIM(Formulario!J357)</f>
        <v/>
      </c>
      <c r="K346" s="11" t="str">
        <f>TRIM(Formulario!K357)</f>
        <v/>
      </c>
      <c r="L346" s="107" t="str">
        <f>TRIM(Formulario!L357)</f>
        <v/>
      </c>
      <c r="M346" s="107" t="str">
        <f>TRIM(Formulario!M357)</f>
        <v>0</v>
      </c>
      <c r="N346" s="11" t="str">
        <f>TRIM(Formulario!H357)</f>
        <v/>
      </c>
      <c r="P346" s="17"/>
      <c r="Q346" s="104"/>
      <c r="R346" s="104"/>
      <c r="S346" s="117"/>
      <c r="T346" s="101"/>
      <c r="U346" s="101"/>
      <c r="V346" s="101"/>
      <c r="W346" s="102"/>
      <c r="X346" s="102"/>
      <c r="Y346" s="102"/>
      <c r="Z346" s="102"/>
      <c r="AA346" s="102"/>
      <c r="AB346" s="102"/>
      <c r="AC346" s="102"/>
      <c r="AD346" s="102"/>
    </row>
    <row r="347" spans="1:30">
      <c r="A347" s="8" t="str">
        <f>IF(L347="","",Formulario!B358)</f>
        <v/>
      </c>
      <c r="B347" s="119"/>
      <c r="C347" s="120"/>
      <c r="D347" s="121"/>
      <c r="E347" s="129" t="str">
        <f>IF(F347="","",Formulario!B358)</f>
        <v/>
      </c>
      <c r="F347" s="11" t="str">
        <f>TRIM(Formulario!D358)</f>
        <v/>
      </c>
      <c r="G347" s="11" t="str">
        <f>TRIM(Formulario!F358)</f>
        <v/>
      </c>
      <c r="H347" s="146" t="str">
        <f>IF(N347="",TRIM(Formulario!G358),TRIM(Formulario!G358)*N347)</f>
        <v/>
      </c>
      <c r="I347" s="107" t="str">
        <f>TRIM(Formulario!I358)</f>
        <v/>
      </c>
      <c r="J347" s="11" t="str">
        <f>TRIM(Formulario!J358)</f>
        <v/>
      </c>
      <c r="K347" s="11" t="str">
        <f>TRIM(Formulario!K358)</f>
        <v/>
      </c>
      <c r="L347" s="107" t="str">
        <f>TRIM(Formulario!L358)</f>
        <v/>
      </c>
      <c r="M347" s="107" t="str">
        <f>TRIM(Formulario!M358)</f>
        <v>0</v>
      </c>
      <c r="N347" s="11" t="str">
        <f>TRIM(Formulario!H358)</f>
        <v/>
      </c>
      <c r="P347" s="17"/>
      <c r="Q347" s="104"/>
      <c r="R347" s="104"/>
      <c r="S347" s="117"/>
      <c r="T347" s="101"/>
      <c r="U347" s="101"/>
      <c r="V347" s="101"/>
      <c r="W347" s="102"/>
      <c r="X347" s="102"/>
      <c r="Y347" s="102"/>
      <c r="Z347" s="102"/>
      <c r="AA347" s="102"/>
      <c r="AB347" s="102"/>
      <c r="AC347" s="102"/>
      <c r="AD347" s="102"/>
    </row>
    <row r="348" spans="1:30">
      <c r="A348" s="8" t="str">
        <f>IF(L348="","",Formulario!B359)</f>
        <v/>
      </c>
      <c r="B348" s="119"/>
      <c r="C348" s="120"/>
      <c r="D348" s="121"/>
      <c r="E348" s="129" t="str">
        <f>IF(F348="","",Formulario!B359)</f>
        <v/>
      </c>
      <c r="F348" s="11" t="str">
        <f>TRIM(Formulario!D359)</f>
        <v/>
      </c>
      <c r="G348" s="11" t="str">
        <f>TRIM(Formulario!F359)</f>
        <v/>
      </c>
      <c r="H348" s="146" t="str">
        <f>IF(N348="",TRIM(Formulario!G359),TRIM(Formulario!G359)*N348)</f>
        <v/>
      </c>
      <c r="I348" s="107" t="str">
        <f>TRIM(Formulario!I359)</f>
        <v/>
      </c>
      <c r="J348" s="11" t="str">
        <f>TRIM(Formulario!J359)</f>
        <v/>
      </c>
      <c r="K348" s="11" t="str">
        <f>TRIM(Formulario!K359)</f>
        <v/>
      </c>
      <c r="L348" s="107" t="str">
        <f>TRIM(Formulario!L359)</f>
        <v/>
      </c>
      <c r="M348" s="107" t="str">
        <f>TRIM(Formulario!M359)</f>
        <v>0</v>
      </c>
      <c r="N348" s="11" t="str">
        <f>TRIM(Formulario!H359)</f>
        <v/>
      </c>
      <c r="P348" s="17"/>
      <c r="Q348" s="104"/>
      <c r="R348" s="104"/>
      <c r="S348" s="117"/>
      <c r="T348" s="101"/>
      <c r="U348" s="101"/>
      <c r="V348" s="101"/>
      <c r="W348" s="102"/>
      <c r="X348" s="102"/>
      <c r="Y348" s="102"/>
      <c r="Z348" s="102"/>
      <c r="AA348" s="102"/>
      <c r="AB348" s="102"/>
      <c r="AC348" s="102"/>
      <c r="AD348" s="102"/>
    </row>
    <row r="349" spans="1:30">
      <c r="A349" s="8" t="str">
        <f>IF(L349="","",Formulario!B360)</f>
        <v/>
      </c>
      <c r="B349" s="119"/>
      <c r="C349" s="120"/>
      <c r="D349" s="121"/>
      <c r="E349" s="129" t="str">
        <f>IF(F349="","",Formulario!B360)</f>
        <v/>
      </c>
      <c r="F349" s="11" t="str">
        <f>TRIM(Formulario!D360)</f>
        <v/>
      </c>
      <c r="G349" s="11" t="str">
        <f>TRIM(Formulario!F360)</f>
        <v/>
      </c>
      <c r="H349" s="146" t="str">
        <f>IF(N349="",TRIM(Formulario!G360),TRIM(Formulario!G360)*N349)</f>
        <v/>
      </c>
      <c r="I349" s="107" t="str">
        <f>TRIM(Formulario!I360)</f>
        <v/>
      </c>
      <c r="J349" s="11" t="str">
        <f>TRIM(Formulario!J360)</f>
        <v/>
      </c>
      <c r="K349" s="11" t="str">
        <f>TRIM(Formulario!K360)</f>
        <v/>
      </c>
      <c r="L349" s="107" t="str">
        <f>TRIM(Formulario!L360)</f>
        <v/>
      </c>
      <c r="M349" s="107" t="str">
        <f>TRIM(Formulario!M360)</f>
        <v>0</v>
      </c>
      <c r="N349" s="11" t="str">
        <f>TRIM(Formulario!H360)</f>
        <v/>
      </c>
      <c r="P349" s="17"/>
      <c r="Q349" s="104"/>
      <c r="R349" s="104"/>
      <c r="S349" s="117"/>
      <c r="T349" s="101"/>
      <c r="U349" s="101"/>
      <c r="V349" s="101"/>
      <c r="W349" s="102"/>
      <c r="X349" s="102"/>
      <c r="Y349" s="102"/>
      <c r="Z349" s="102"/>
      <c r="AA349" s="102"/>
      <c r="AB349" s="102"/>
      <c r="AC349" s="102"/>
      <c r="AD349" s="102"/>
    </row>
    <row r="350" spans="1:30">
      <c r="A350" s="8" t="str">
        <f>IF(L350="","",Formulario!B361)</f>
        <v/>
      </c>
      <c r="B350" s="119"/>
      <c r="C350" s="120"/>
      <c r="D350" s="121"/>
      <c r="E350" s="129" t="str">
        <f>IF(F350="","",Formulario!B361)</f>
        <v/>
      </c>
      <c r="F350" s="11" t="str">
        <f>TRIM(Formulario!D361)</f>
        <v/>
      </c>
      <c r="G350" s="11" t="str">
        <f>TRIM(Formulario!F361)</f>
        <v/>
      </c>
      <c r="H350" s="146" t="str">
        <f>IF(N350="",TRIM(Formulario!G361),TRIM(Formulario!G361)*N350)</f>
        <v/>
      </c>
      <c r="I350" s="107" t="str">
        <f>TRIM(Formulario!I361)</f>
        <v/>
      </c>
      <c r="J350" s="11" t="str">
        <f>TRIM(Formulario!J361)</f>
        <v/>
      </c>
      <c r="K350" s="11" t="str">
        <f>TRIM(Formulario!K361)</f>
        <v/>
      </c>
      <c r="L350" s="107" t="str">
        <f>TRIM(Formulario!L361)</f>
        <v/>
      </c>
      <c r="M350" s="107" t="str">
        <f>TRIM(Formulario!M361)</f>
        <v>0</v>
      </c>
      <c r="N350" s="11" t="str">
        <f>TRIM(Formulario!H361)</f>
        <v/>
      </c>
      <c r="P350" s="17"/>
      <c r="Q350" s="104"/>
      <c r="R350" s="104"/>
      <c r="S350" s="117"/>
      <c r="T350" s="101"/>
      <c r="U350" s="101"/>
      <c r="V350" s="101"/>
      <c r="W350" s="102"/>
      <c r="X350" s="102"/>
      <c r="Y350" s="102"/>
      <c r="Z350" s="102"/>
      <c r="AA350" s="102"/>
      <c r="AB350" s="102"/>
      <c r="AC350" s="102"/>
      <c r="AD350" s="102"/>
    </row>
    <row r="351" spans="1:30">
      <c r="A351" s="8" t="str">
        <f>IF(L351="","",Formulario!B362)</f>
        <v/>
      </c>
      <c r="B351" s="119"/>
      <c r="C351" s="120"/>
      <c r="D351" s="121"/>
      <c r="E351" s="129" t="str">
        <f>IF(F351="","",Formulario!B362)</f>
        <v/>
      </c>
      <c r="F351" s="11" t="str">
        <f>TRIM(Formulario!D362)</f>
        <v/>
      </c>
      <c r="G351" s="11" t="str">
        <f>TRIM(Formulario!F362)</f>
        <v/>
      </c>
      <c r="H351" s="146" t="str">
        <f>IF(N351="",TRIM(Formulario!G362),TRIM(Formulario!G362)*N351)</f>
        <v/>
      </c>
      <c r="I351" s="107" t="str">
        <f>TRIM(Formulario!I362)</f>
        <v/>
      </c>
      <c r="J351" s="11" t="str">
        <f>TRIM(Formulario!J362)</f>
        <v/>
      </c>
      <c r="K351" s="11" t="str">
        <f>TRIM(Formulario!K362)</f>
        <v/>
      </c>
      <c r="L351" s="107" t="str">
        <f>TRIM(Formulario!L362)</f>
        <v/>
      </c>
      <c r="M351" s="107" t="str">
        <f>TRIM(Formulario!M362)</f>
        <v>0</v>
      </c>
      <c r="N351" s="11" t="str">
        <f>TRIM(Formulario!H362)</f>
        <v/>
      </c>
      <c r="P351" s="17"/>
      <c r="Q351" s="104"/>
      <c r="R351" s="104"/>
      <c r="S351" s="117"/>
      <c r="T351" s="101"/>
      <c r="U351" s="101"/>
      <c r="V351" s="101"/>
      <c r="W351" s="102"/>
      <c r="X351" s="102"/>
      <c r="Y351" s="102"/>
      <c r="Z351" s="102"/>
      <c r="AA351" s="102"/>
      <c r="AB351" s="102"/>
      <c r="AC351" s="102"/>
      <c r="AD351" s="102"/>
    </row>
    <row r="352" spans="1:30">
      <c r="A352" s="8" t="str">
        <f>IF(L352="","",Formulario!B363)</f>
        <v/>
      </c>
      <c r="B352" s="119"/>
      <c r="C352" s="120"/>
      <c r="D352" s="121"/>
      <c r="E352" s="129" t="str">
        <f>IF(F352="","",Formulario!B363)</f>
        <v/>
      </c>
      <c r="F352" s="11" t="str">
        <f>TRIM(Formulario!D363)</f>
        <v/>
      </c>
      <c r="G352" s="11" t="str">
        <f>TRIM(Formulario!F363)</f>
        <v/>
      </c>
      <c r="H352" s="146" t="str">
        <f>IF(N352="",TRIM(Formulario!G363),TRIM(Formulario!G363)*N352)</f>
        <v/>
      </c>
      <c r="I352" s="107" t="str">
        <f>TRIM(Formulario!I363)</f>
        <v/>
      </c>
      <c r="J352" s="11" t="str">
        <f>TRIM(Formulario!J363)</f>
        <v/>
      </c>
      <c r="K352" s="11" t="str">
        <f>TRIM(Formulario!K363)</f>
        <v/>
      </c>
      <c r="L352" s="107" t="str">
        <f>TRIM(Formulario!L363)</f>
        <v/>
      </c>
      <c r="M352" s="107" t="str">
        <f>TRIM(Formulario!M363)</f>
        <v>0</v>
      </c>
      <c r="N352" s="11" t="str">
        <f>TRIM(Formulario!H363)</f>
        <v/>
      </c>
      <c r="P352" s="17"/>
      <c r="Q352" s="104"/>
      <c r="R352" s="104"/>
      <c r="S352" s="117"/>
      <c r="T352" s="101"/>
      <c r="U352" s="101"/>
      <c r="V352" s="101"/>
      <c r="W352" s="102"/>
      <c r="X352" s="102"/>
      <c r="Y352" s="102"/>
      <c r="Z352" s="102"/>
      <c r="AA352" s="102"/>
      <c r="AB352" s="102"/>
      <c r="AC352" s="102"/>
      <c r="AD352" s="102"/>
    </row>
    <row r="353" spans="1:30">
      <c r="A353" s="8" t="str">
        <f>IF(L353="","",Formulario!B364)</f>
        <v/>
      </c>
      <c r="B353" s="119"/>
      <c r="C353" s="120"/>
      <c r="D353" s="121"/>
      <c r="E353" s="129" t="str">
        <f>IF(F353="","",Formulario!B364)</f>
        <v/>
      </c>
      <c r="F353" s="11" t="str">
        <f>TRIM(Formulario!D364)</f>
        <v/>
      </c>
      <c r="G353" s="11" t="str">
        <f>TRIM(Formulario!F364)</f>
        <v/>
      </c>
      <c r="H353" s="146" t="str">
        <f>IF(N353="",TRIM(Formulario!G364),TRIM(Formulario!G364)*N353)</f>
        <v/>
      </c>
      <c r="I353" s="107" t="str">
        <f>TRIM(Formulario!I364)</f>
        <v/>
      </c>
      <c r="J353" s="11" t="str">
        <f>TRIM(Formulario!J364)</f>
        <v/>
      </c>
      <c r="K353" s="11" t="str">
        <f>TRIM(Formulario!K364)</f>
        <v/>
      </c>
      <c r="L353" s="107" t="str">
        <f>TRIM(Formulario!L364)</f>
        <v/>
      </c>
      <c r="M353" s="107" t="str">
        <f>TRIM(Formulario!M364)</f>
        <v>0</v>
      </c>
      <c r="N353" s="11" t="str">
        <f>TRIM(Formulario!H364)</f>
        <v/>
      </c>
      <c r="P353" s="17"/>
      <c r="Q353" s="104"/>
      <c r="R353" s="104"/>
      <c r="S353" s="117"/>
      <c r="T353" s="101"/>
      <c r="U353" s="101"/>
      <c r="V353" s="101"/>
      <c r="W353" s="102"/>
      <c r="X353" s="102"/>
      <c r="Y353" s="102"/>
      <c r="Z353" s="102"/>
      <c r="AA353" s="102"/>
      <c r="AB353" s="102"/>
      <c r="AC353" s="102"/>
      <c r="AD353" s="102"/>
    </row>
    <row r="354" spans="1:30">
      <c r="A354" s="8" t="str">
        <f>IF(L354="","",Formulario!B365)</f>
        <v/>
      </c>
      <c r="B354" s="119"/>
      <c r="C354" s="120"/>
      <c r="D354" s="121"/>
      <c r="E354" s="129" t="str">
        <f>IF(F354="","",Formulario!B365)</f>
        <v/>
      </c>
      <c r="F354" s="11" t="str">
        <f>TRIM(Formulario!D365)</f>
        <v/>
      </c>
      <c r="G354" s="11" t="str">
        <f>TRIM(Formulario!F365)</f>
        <v/>
      </c>
      <c r="H354" s="146" t="str">
        <f>IF(N354="",TRIM(Formulario!G365),TRIM(Formulario!G365)*N354)</f>
        <v/>
      </c>
      <c r="I354" s="107" t="str">
        <f>TRIM(Formulario!I365)</f>
        <v/>
      </c>
      <c r="J354" s="11" t="str">
        <f>TRIM(Formulario!J365)</f>
        <v/>
      </c>
      <c r="K354" s="11" t="str">
        <f>TRIM(Formulario!K365)</f>
        <v/>
      </c>
      <c r="L354" s="107" t="str">
        <f>TRIM(Formulario!L365)</f>
        <v/>
      </c>
      <c r="M354" s="107" t="str">
        <f>TRIM(Formulario!M365)</f>
        <v>0</v>
      </c>
      <c r="N354" s="11" t="str">
        <f>TRIM(Formulario!H365)</f>
        <v/>
      </c>
      <c r="P354" s="17"/>
      <c r="Q354" s="104"/>
      <c r="R354" s="104"/>
      <c r="S354" s="117"/>
      <c r="T354" s="101"/>
      <c r="U354" s="101"/>
      <c r="V354" s="101"/>
      <c r="W354" s="102"/>
      <c r="X354" s="102"/>
      <c r="Y354" s="102"/>
      <c r="Z354" s="102"/>
      <c r="AA354" s="102"/>
      <c r="AB354" s="102"/>
      <c r="AC354" s="102"/>
      <c r="AD354" s="102"/>
    </row>
    <row r="355" spans="1:30">
      <c r="A355" s="8" t="str">
        <f>IF(L355="","",Formulario!B366)</f>
        <v/>
      </c>
      <c r="B355" s="119"/>
      <c r="C355" s="120"/>
      <c r="D355" s="121"/>
      <c r="E355" s="129" t="str">
        <f>IF(F355="","",Formulario!B366)</f>
        <v/>
      </c>
      <c r="F355" s="11" t="str">
        <f>TRIM(Formulario!D366)</f>
        <v/>
      </c>
      <c r="G355" s="11" t="str">
        <f>TRIM(Formulario!F366)</f>
        <v/>
      </c>
      <c r="H355" s="146" t="str">
        <f>IF(N355="",TRIM(Formulario!G366),TRIM(Formulario!G366)*N355)</f>
        <v/>
      </c>
      <c r="I355" s="107" t="str">
        <f>TRIM(Formulario!I366)</f>
        <v/>
      </c>
      <c r="J355" s="11" t="str">
        <f>TRIM(Formulario!J366)</f>
        <v/>
      </c>
      <c r="K355" s="11" t="str">
        <f>TRIM(Formulario!K366)</f>
        <v/>
      </c>
      <c r="L355" s="107" t="str">
        <f>TRIM(Formulario!L366)</f>
        <v/>
      </c>
      <c r="M355" s="107" t="str">
        <f>TRIM(Formulario!M366)</f>
        <v>0</v>
      </c>
      <c r="N355" s="11" t="str">
        <f>TRIM(Formulario!H366)</f>
        <v/>
      </c>
      <c r="P355" s="17"/>
      <c r="Q355" s="104"/>
      <c r="R355" s="104"/>
      <c r="S355" s="117"/>
      <c r="T355" s="101"/>
      <c r="U355" s="101"/>
      <c r="V355" s="101"/>
      <c r="W355" s="102"/>
      <c r="X355" s="102"/>
      <c r="Y355" s="102"/>
      <c r="Z355" s="102"/>
      <c r="AA355" s="102"/>
      <c r="AB355" s="102"/>
      <c r="AC355" s="102"/>
      <c r="AD355" s="102"/>
    </row>
    <row r="356" spans="1:30">
      <c r="A356" s="8" t="str">
        <f>IF(L356="","",Formulario!B367)</f>
        <v/>
      </c>
      <c r="B356" s="119"/>
      <c r="C356" s="120"/>
      <c r="D356" s="121"/>
      <c r="E356" s="129" t="str">
        <f>IF(F356="","",Formulario!B367)</f>
        <v/>
      </c>
      <c r="F356" s="11" t="str">
        <f>TRIM(Formulario!D367)</f>
        <v/>
      </c>
      <c r="G356" s="11" t="str">
        <f>TRIM(Formulario!F367)</f>
        <v/>
      </c>
      <c r="H356" s="146" t="str">
        <f>IF(N356="",TRIM(Formulario!G367),TRIM(Formulario!G367)*N356)</f>
        <v/>
      </c>
      <c r="I356" s="107" t="str">
        <f>TRIM(Formulario!I367)</f>
        <v/>
      </c>
      <c r="J356" s="11" t="str">
        <f>TRIM(Formulario!J367)</f>
        <v/>
      </c>
      <c r="K356" s="11" t="str">
        <f>TRIM(Formulario!K367)</f>
        <v/>
      </c>
      <c r="L356" s="107" t="str">
        <f>TRIM(Formulario!L367)</f>
        <v/>
      </c>
      <c r="M356" s="107" t="str">
        <f>TRIM(Formulario!M367)</f>
        <v>0</v>
      </c>
      <c r="N356" s="11" t="str">
        <f>TRIM(Formulario!H367)</f>
        <v/>
      </c>
      <c r="P356" s="17"/>
      <c r="Q356" s="104"/>
      <c r="R356" s="104"/>
      <c r="S356" s="117"/>
      <c r="T356" s="101"/>
      <c r="U356" s="101"/>
      <c r="V356" s="101"/>
      <c r="W356" s="102"/>
      <c r="X356" s="102"/>
      <c r="Y356" s="102"/>
      <c r="Z356" s="102"/>
      <c r="AA356" s="102"/>
      <c r="AB356" s="102"/>
      <c r="AC356" s="102"/>
      <c r="AD356" s="102"/>
    </row>
    <row r="357" spans="1:30">
      <c r="A357" s="8" t="str">
        <f>IF(L357="","",Formulario!B368)</f>
        <v/>
      </c>
      <c r="B357" s="119"/>
      <c r="C357" s="120"/>
      <c r="D357" s="121"/>
      <c r="E357" s="129" t="str">
        <f>IF(F357="","",Formulario!B368)</f>
        <v/>
      </c>
      <c r="F357" s="11" t="str">
        <f>TRIM(Formulario!D368)</f>
        <v/>
      </c>
      <c r="G357" s="11" t="str">
        <f>TRIM(Formulario!F368)</f>
        <v/>
      </c>
      <c r="H357" s="146" t="str">
        <f>IF(N357="",TRIM(Formulario!G368),TRIM(Formulario!G368)*N357)</f>
        <v/>
      </c>
      <c r="I357" s="107" t="str">
        <f>TRIM(Formulario!I368)</f>
        <v/>
      </c>
      <c r="J357" s="11" t="str">
        <f>TRIM(Formulario!J368)</f>
        <v/>
      </c>
      <c r="K357" s="11" t="str">
        <f>TRIM(Formulario!K368)</f>
        <v/>
      </c>
      <c r="L357" s="107" t="str">
        <f>TRIM(Formulario!L368)</f>
        <v/>
      </c>
      <c r="M357" s="107" t="str">
        <f>TRIM(Formulario!M368)</f>
        <v>0</v>
      </c>
      <c r="N357" s="11" t="str">
        <f>TRIM(Formulario!H368)</f>
        <v/>
      </c>
      <c r="P357" s="17"/>
      <c r="Q357" s="104"/>
      <c r="R357" s="104"/>
      <c r="S357" s="117"/>
      <c r="T357" s="101"/>
      <c r="U357" s="101"/>
      <c r="V357" s="101"/>
      <c r="W357" s="102"/>
      <c r="X357" s="102"/>
      <c r="Y357" s="102"/>
      <c r="Z357" s="102"/>
      <c r="AA357" s="102"/>
      <c r="AB357" s="102"/>
      <c r="AC357" s="102"/>
      <c r="AD357" s="102"/>
    </row>
    <row r="358" spans="1:30">
      <c r="A358" s="8" t="str">
        <f>IF(L358="","",Formulario!B369)</f>
        <v/>
      </c>
      <c r="B358" s="119"/>
      <c r="C358" s="120"/>
      <c r="D358" s="121"/>
      <c r="E358" s="129" t="str">
        <f>IF(F358="","",Formulario!B369)</f>
        <v/>
      </c>
      <c r="F358" s="11" t="str">
        <f>TRIM(Formulario!D369)</f>
        <v/>
      </c>
      <c r="G358" s="11" t="str">
        <f>TRIM(Formulario!F369)</f>
        <v/>
      </c>
      <c r="H358" s="146" t="str">
        <f>IF(N358="",TRIM(Formulario!G369),TRIM(Formulario!G369)*N358)</f>
        <v/>
      </c>
      <c r="I358" s="107" t="str">
        <f>TRIM(Formulario!I369)</f>
        <v/>
      </c>
      <c r="J358" s="11" t="str">
        <f>TRIM(Formulario!J369)</f>
        <v/>
      </c>
      <c r="K358" s="11" t="str">
        <f>TRIM(Formulario!K369)</f>
        <v/>
      </c>
      <c r="L358" s="107" t="str">
        <f>TRIM(Formulario!L369)</f>
        <v/>
      </c>
      <c r="M358" s="107" t="str">
        <f>TRIM(Formulario!M369)</f>
        <v>0</v>
      </c>
      <c r="N358" s="11" t="str">
        <f>TRIM(Formulario!H369)</f>
        <v/>
      </c>
      <c r="P358" s="17"/>
      <c r="Q358" s="104"/>
      <c r="R358" s="104"/>
      <c r="S358" s="117"/>
      <c r="T358" s="101"/>
      <c r="U358" s="101"/>
      <c r="V358" s="101"/>
      <c r="W358" s="102"/>
      <c r="X358" s="102"/>
      <c r="Y358" s="102"/>
      <c r="Z358" s="102"/>
      <c r="AA358" s="102"/>
      <c r="AB358" s="102"/>
      <c r="AC358" s="102"/>
      <c r="AD358" s="102"/>
    </row>
    <row r="359" spans="1:30">
      <c r="A359" s="8" t="str">
        <f>IF(L359="","",Formulario!B370)</f>
        <v/>
      </c>
      <c r="B359" s="119"/>
      <c r="C359" s="120"/>
      <c r="D359" s="121"/>
      <c r="E359" s="129" t="str">
        <f>IF(F359="","",Formulario!B370)</f>
        <v/>
      </c>
      <c r="F359" s="11" t="str">
        <f>TRIM(Formulario!D370)</f>
        <v/>
      </c>
      <c r="G359" s="11" t="str">
        <f>TRIM(Formulario!F370)</f>
        <v/>
      </c>
      <c r="H359" s="146" t="str">
        <f>IF(N359="",TRIM(Formulario!G370),TRIM(Formulario!G370)*N359)</f>
        <v/>
      </c>
      <c r="I359" s="107" t="str">
        <f>TRIM(Formulario!I370)</f>
        <v/>
      </c>
      <c r="J359" s="11" t="str">
        <f>TRIM(Formulario!J370)</f>
        <v/>
      </c>
      <c r="K359" s="11" t="str">
        <f>TRIM(Formulario!K370)</f>
        <v/>
      </c>
      <c r="L359" s="107" t="str">
        <f>TRIM(Formulario!L370)</f>
        <v/>
      </c>
      <c r="M359" s="107" t="str">
        <f>TRIM(Formulario!M370)</f>
        <v>0</v>
      </c>
      <c r="N359" s="11" t="str">
        <f>TRIM(Formulario!H370)</f>
        <v/>
      </c>
      <c r="P359" s="17"/>
      <c r="Q359" s="104"/>
      <c r="R359" s="104"/>
      <c r="S359" s="117"/>
      <c r="T359" s="101"/>
      <c r="U359" s="101"/>
      <c r="V359" s="101"/>
      <c r="W359" s="102"/>
      <c r="X359" s="102"/>
      <c r="Y359" s="102"/>
      <c r="Z359" s="102"/>
      <c r="AA359" s="102"/>
      <c r="AB359" s="102"/>
      <c r="AC359" s="102"/>
      <c r="AD359" s="102"/>
    </row>
    <row r="360" spans="1:30">
      <c r="A360" s="8" t="str">
        <f>IF(L360="","",Formulario!B371)</f>
        <v/>
      </c>
      <c r="B360" s="119"/>
      <c r="C360" s="120"/>
      <c r="D360" s="121"/>
      <c r="E360" s="129" t="str">
        <f>IF(F360="","",Formulario!B371)</f>
        <v/>
      </c>
      <c r="F360" s="11" t="str">
        <f>TRIM(Formulario!D371)</f>
        <v/>
      </c>
      <c r="G360" s="11" t="str">
        <f>TRIM(Formulario!F371)</f>
        <v/>
      </c>
      <c r="H360" s="146" t="str">
        <f>IF(N360="",TRIM(Formulario!G371),TRIM(Formulario!G371)*N360)</f>
        <v/>
      </c>
      <c r="I360" s="107" t="str">
        <f>TRIM(Formulario!I371)</f>
        <v/>
      </c>
      <c r="J360" s="11" t="str">
        <f>TRIM(Formulario!J371)</f>
        <v/>
      </c>
      <c r="K360" s="11" t="str">
        <f>TRIM(Formulario!K371)</f>
        <v/>
      </c>
      <c r="L360" s="107" t="str">
        <f>TRIM(Formulario!L371)</f>
        <v/>
      </c>
      <c r="M360" s="107" t="str">
        <f>TRIM(Formulario!M371)</f>
        <v>0</v>
      </c>
      <c r="N360" s="11" t="str">
        <f>TRIM(Formulario!H371)</f>
        <v/>
      </c>
      <c r="P360" s="17"/>
      <c r="Q360" s="104"/>
      <c r="R360" s="104"/>
      <c r="S360" s="117"/>
      <c r="T360" s="101"/>
      <c r="U360" s="101"/>
      <c r="V360" s="101"/>
      <c r="W360" s="102"/>
      <c r="X360" s="102"/>
      <c r="Y360" s="102"/>
      <c r="Z360" s="102"/>
      <c r="AA360" s="102"/>
      <c r="AB360" s="102"/>
      <c r="AC360" s="102"/>
      <c r="AD360" s="102"/>
    </row>
    <row r="361" spans="1:30">
      <c r="A361" s="8" t="str">
        <f>IF(L361="","",Formulario!B372)</f>
        <v/>
      </c>
      <c r="B361" s="119"/>
      <c r="C361" s="120"/>
      <c r="D361" s="121"/>
      <c r="E361" s="129" t="str">
        <f>IF(F361="","",Formulario!B372)</f>
        <v/>
      </c>
      <c r="F361" s="11" t="str">
        <f>TRIM(Formulario!D372)</f>
        <v/>
      </c>
      <c r="G361" s="11" t="str">
        <f>TRIM(Formulario!F372)</f>
        <v/>
      </c>
      <c r="H361" s="146" t="str">
        <f>IF(N361="",TRIM(Formulario!G372),TRIM(Formulario!G372)*N361)</f>
        <v/>
      </c>
      <c r="I361" s="107" t="str">
        <f>TRIM(Formulario!I372)</f>
        <v/>
      </c>
      <c r="J361" s="11" t="str">
        <f>TRIM(Formulario!J372)</f>
        <v/>
      </c>
      <c r="K361" s="11" t="str">
        <f>TRIM(Formulario!K372)</f>
        <v/>
      </c>
      <c r="L361" s="107" t="str">
        <f>TRIM(Formulario!L372)</f>
        <v/>
      </c>
      <c r="M361" s="107" t="str">
        <f>TRIM(Formulario!M372)</f>
        <v>0</v>
      </c>
      <c r="N361" s="11" t="str">
        <f>TRIM(Formulario!H372)</f>
        <v/>
      </c>
      <c r="P361" s="17"/>
      <c r="Q361" s="104"/>
      <c r="R361" s="104"/>
      <c r="S361" s="117"/>
      <c r="T361" s="101"/>
      <c r="U361" s="101"/>
      <c r="V361" s="101"/>
      <c r="W361" s="102"/>
      <c r="X361" s="102"/>
      <c r="Y361" s="102"/>
      <c r="Z361" s="102"/>
      <c r="AA361" s="102"/>
      <c r="AB361" s="102"/>
      <c r="AC361" s="102"/>
      <c r="AD361" s="102"/>
    </row>
    <row r="362" spans="1:30">
      <c r="A362" s="8" t="str">
        <f>IF(L362="","",Formulario!B373)</f>
        <v/>
      </c>
      <c r="B362" s="119"/>
      <c r="C362" s="120"/>
      <c r="D362" s="121"/>
      <c r="E362" s="129" t="str">
        <f>IF(F362="","",Formulario!B373)</f>
        <v/>
      </c>
      <c r="F362" s="11" t="str">
        <f>TRIM(Formulario!D373)</f>
        <v/>
      </c>
      <c r="G362" s="11" t="str">
        <f>TRIM(Formulario!F373)</f>
        <v/>
      </c>
      <c r="H362" s="146" t="str">
        <f>IF(N362="",TRIM(Formulario!G373),TRIM(Formulario!G373)*N362)</f>
        <v/>
      </c>
      <c r="I362" s="107" t="str">
        <f>TRIM(Formulario!I373)</f>
        <v/>
      </c>
      <c r="J362" s="11" t="str">
        <f>TRIM(Formulario!J373)</f>
        <v/>
      </c>
      <c r="K362" s="11" t="str">
        <f>TRIM(Formulario!K373)</f>
        <v/>
      </c>
      <c r="L362" s="107" t="str">
        <f>TRIM(Formulario!L373)</f>
        <v/>
      </c>
      <c r="M362" s="107" t="str">
        <f>TRIM(Formulario!M373)</f>
        <v>0</v>
      </c>
      <c r="N362" s="11" t="str">
        <f>TRIM(Formulario!H373)</f>
        <v/>
      </c>
      <c r="P362" s="17"/>
      <c r="Q362" s="104"/>
      <c r="R362" s="104"/>
      <c r="S362" s="117"/>
      <c r="T362" s="101"/>
      <c r="U362" s="101"/>
      <c r="V362" s="101"/>
      <c r="W362" s="102"/>
      <c r="X362" s="102"/>
      <c r="Y362" s="102"/>
      <c r="Z362" s="102"/>
      <c r="AA362" s="102"/>
      <c r="AB362" s="102"/>
      <c r="AC362" s="102"/>
      <c r="AD362" s="102"/>
    </row>
    <row r="363" spans="1:30">
      <c r="A363" s="8" t="str">
        <f>IF(L363="","",Formulario!B374)</f>
        <v/>
      </c>
      <c r="B363" s="119"/>
      <c r="C363" s="120"/>
      <c r="D363" s="121"/>
      <c r="E363" s="129" t="str">
        <f>IF(F363="","",Formulario!B374)</f>
        <v/>
      </c>
      <c r="F363" s="11" t="str">
        <f>TRIM(Formulario!D374)</f>
        <v/>
      </c>
      <c r="G363" s="11" t="str">
        <f>TRIM(Formulario!F374)</f>
        <v/>
      </c>
      <c r="H363" s="146" t="str">
        <f>IF(N363="",TRIM(Formulario!G374),TRIM(Formulario!G374)*N363)</f>
        <v/>
      </c>
      <c r="I363" s="107" t="str">
        <f>TRIM(Formulario!I374)</f>
        <v/>
      </c>
      <c r="J363" s="11" t="str">
        <f>TRIM(Formulario!J374)</f>
        <v/>
      </c>
      <c r="K363" s="11" t="str">
        <f>TRIM(Formulario!K374)</f>
        <v/>
      </c>
      <c r="L363" s="107" t="str">
        <f>TRIM(Formulario!L374)</f>
        <v/>
      </c>
      <c r="M363" s="107" t="str">
        <f>TRIM(Formulario!M374)</f>
        <v>0</v>
      </c>
      <c r="N363" s="11" t="str">
        <f>TRIM(Formulario!H374)</f>
        <v/>
      </c>
      <c r="P363" s="17"/>
      <c r="Q363" s="104"/>
      <c r="R363" s="104"/>
      <c r="S363" s="117"/>
      <c r="T363" s="101"/>
      <c r="U363" s="101"/>
      <c r="V363" s="101"/>
      <c r="W363" s="102"/>
      <c r="X363" s="102"/>
      <c r="Y363" s="102"/>
      <c r="Z363" s="102"/>
      <c r="AA363" s="102"/>
      <c r="AB363" s="102"/>
      <c r="AC363" s="102"/>
      <c r="AD363" s="102"/>
    </row>
    <row r="364" spans="1:30">
      <c r="A364" s="8" t="str">
        <f>IF(L364="","",Formulario!B375)</f>
        <v/>
      </c>
      <c r="B364" s="119"/>
      <c r="C364" s="120"/>
      <c r="D364" s="121"/>
      <c r="E364" s="129" t="str">
        <f>IF(F364="","",Formulario!B375)</f>
        <v/>
      </c>
      <c r="F364" s="11" t="str">
        <f>TRIM(Formulario!D375)</f>
        <v/>
      </c>
      <c r="G364" s="11" t="str">
        <f>TRIM(Formulario!F375)</f>
        <v/>
      </c>
      <c r="H364" s="146" t="str">
        <f>IF(N364="",TRIM(Formulario!G375),TRIM(Formulario!G375)*N364)</f>
        <v/>
      </c>
      <c r="I364" s="107" t="str">
        <f>TRIM(Formulario!I375)</f>
        <v/>
      </c>
      <c r="J364" s="11" t="str">
        <f>TRIM(Formulario!J375)</f>
        <v/>
      </c>
      <c r="K364" s="11" t="str">
        <f>TRIM(Formulario!K375)</f>
        <v/>
      </c>
      <c r="L364" s="107" t="str">
        <f>TRIM(Formulario!L375)</f>
        <v/>
      </c>
      <c r="M364" s="107" t="str">
        <f>TRIM(Formulario!M375)</f>
        <v>0</v>
      </c>
      <c r="N364" s="11" t="str">
        <f>TRIM(Formulario!H375)</f>
        <v/>
      </c>
      <c r="P364" s="17"/>
      <c r="Q364" s="104"/>
      <c r="R364" s="104"/>
      <c r="S364" s="117"/>
      <c r="T364" s="101"/>
      <c r="U364" s="101"/>
      <c r="V364" s="101"/>
      <c r="W364" s="102"/>
      <c r="X364" s="102"/>
      <c r="Y364" s="102"/>
      <c r="Z364" s="102"/>
      <c r="AA364" s="102"/>
      <c r="AB364" s="102"/>
      <c r="AC364" s="102"/>
      <c r="AD364" s="102"/>
    </row>
    <row r="365" spans="1:30">
      <c r="A365" s="8" t="str">
        <f>IF(L365="","",Formulario!B376)</f>
        <v/>
      </c>
      <c r="B365" s="119"/>
      <c r="C365" s="120"/>
      <c r="D365" s="121"/>
      <c r="E365" s="129" t="str">
        <f>IF(F365="","",Formulario!B376)</f>
        <v/>
      </c>
      <c r="F365" s="11" t="str">
        <f>TRIM(Formulario!D376)</f>
        <v/>
      </c>
      <c r="G365" s="11" t="str">
        <f>TRIM(Formulario!F376)</f>
        <v/>
      </c>
      <c r="H365" s="146" t="str">
        <f>IF(N365="",TRIM(Formulario!G376),TRIM(Formulario!G376)*N365)</f>
        <v/>
      </c>
      <c r="I365" s="107" t="str">
        <f>TRIM(Formulario!I376)</f>
        <v/>
      </c>
      <c r="J365" s="11" t="str">
        <f>TRIM(Formulario!J376)</f>
        <v/>
      </c>
      <c r="K365" s="11" t="str">
        <f>TRIM(Formulario!K376)</f>
        <v/>
      </c>
      <c r="L365" s="107" t="str">
        <f>TRIM(Formulario!L376)</f>
        <v/>
      </c>
      <c r="M365" s="107" t="str">
        <f>TRIM(Formulario!M376)</f>
        <v>0</v>
      </c>
      <c r="N365" s="11" t="str">
        <f>TRIM(Formulario!H376)</f>
        <v/>
      </c>
      <c r="P365" s="17"/>
      <c r="Q365" s="104"/>
      <c r="R365" s="104"/>
      <c r="S365" s="117"/>
      <c r="T365" s="101"/>
      <c r="U365" s="101"/>
      <c r="V365" s="101"/>
      <c r="W365" s="102"/>
      <c r="X365" s="102"/>
      <c r="Y365" s="102"/>
      <c r="Z365" s="102"/>
      <c r="AA365" s="102"/>
      <c r="AB365" s="102"/>
      <c r="AC365" s="102"/>
      <c r="AD365" s="102"/>
    </row>
    <row r="366" spans="1:30">
      <c r="A366" s="8" t="str">
        <f>IF(L366="","",Formulario!B377)</f>
        <v/>
      </c>
      <c r="B366" s="119"/>
      <c r="C366" s="120"/>
      <c r="D366" s="121"/>
      <c r="E366" s="129" t="str">
        <f>IF(F366="","",Formulario!B377)</f>
        <v/>
      </c>
      <c r="F366" s="11" t="str">
        <f>TRIM(Formulario!D377)</f>
        <v/>
      </c>
      <c r="G366" s="11" t="str">
        <f>TRIM(Formulario!F377)</f>
        <v/>
      </c>
      <c r="H366" s="146" t="str">
        <f>IF(N366="",TRIM(Formulario!G377),TRIM(Formulario!G377)*N366)</f>
        <v/>
      </c>
      <c r="I366" s="107" t="str">
        <f>TRIM(Formulario!I377)</f>
        <v/>
      </c>
      <c r="J366" s="11" t="str">
        <f>TRIM(Formulario!J377)</f>
        <v/>
      </c>
      <c r="K366" s="11" t="str">
        <f>TRIM(Formulario!K377)</f>
        <v/>
      </c>
      <c r="L366" s="107" t="str">
        <f>TRIM(Formulario!L377)</f>
        <v/>
      </c>
      <c r="M366" s="107" t="str">
        <f>TRIM(Formulario!M377)</f>
        <v>0</v>
      </c>
      <c r="N366" s="11" t="str">
        <f>TRIM(Formulario!H377)</f>
        <v/>
      </c>
      <c r="P366" s="17"/>
      <c r="Q366" s="104"/>
      <c r="R366" s="104"/>
      <c r="S366" s="117"/>
      <c r="T366" s="101"/>
      <c r="U366" s="101"/>
      <c r="V366" s="101"/>
      <c r="W366" s="102"/>
      <c r="X366" s="102"/>
      <c r="Y366" s="102"/>
      <c r="Z366" s="102"/>
      <c r="AA366" s="102"/>
      <c r="AB366" s="102"/>
      <c r="AC366" s="102"/>
      <c r="AD366" s="102"/>
    </row>
    <row r="367" spans="1:30">
      <c r="A367" s="8" t="str">
        <f>IF(L367="","",Formulario!B378)</f>
        <v/>
      </c>
      <c r="B367" s="119"/>
      <c r="C367" s="120"/>
      <c r="D367" s="121"/>
      <c r="E367" s="129" t="str">
        <f>IF(F367="","",Formulario!B378)</f>
        <v/>
      </c>
      <c r="F367" s="11" t="str">
        <f>TRIM(Formulario!D378)</f>
        <v/>
      </c>
      <c r="G367" s="11" t="str">
        <f>TRIM(Formulario!F378)</f>
        <v/>
      </c>
      <c r="H367" s="146" t="str">
        <f>IF(N367="",TRIM(Formulario!G378),TRIM(Formulario!G378)*N367)</f>
        <v/>
      </c>
      <c r="I367" s="107" t="str">
        <f>TRIM(Formulario!I378)</f>
        <v/>
      </c>
      <c r="J367" s="11" t="str">
        <f>TRIM(Formulario!J378)</f>
        <v/>
      </c>
      <c r="K367" s="11" t="str">
        <f>TRIM(Formulario!K378)</f>
        <v/>
      </c>
      <c r="L367" s="107" t="str">
        <f>TRIM(Formulario!L378)</f>
        <v/>
      </c>
      <c r="M367" s="107" t="str">
        <f>TRIM(Formulario!M378)</f>
        <v>0</v>
      </c>
      <c r="N367" s="11" t="str">
        <f>TRIM(Formulario!H378)</f>
        <v/>
      </c>
      <c r="P367" s="17"/>
      <c r="Q367" s="104"/>
      <c r="R367" s="104"/>
      <c r="S367" s="117"/>
      <c r="T367" s="101"/>
      <c r="U367" s="101"/>
      <c r="V367" s="101"/>
      <c r="W367" s="102"/>
      <c r="X367" s="102"/>
      <c r="Y367" s="102"/>
      <c r="Z367" s="102"/>
      <c r="AA367" s="102"/>
      <c r="AB367" s="102"/>
      <c r="AC367" s="102"/>
      <c r="AD367" s="102"/>
    </row>
    <row r="368" spans="1:30">
      <c r="A368" s="8" t="str">
        <f>IF(L368="","",Formulario!B379)</f>
        <v/>
      </c>
      <c r="B368" s="119"/>
      <c r="C368" s="120"/>
      <c r="D368" s="121"/>
      <c r="E368" s="129" t="str">
        <f>IF(F368="","",Formulario!B379)</f>
        <v/>
      </c>
      <c r="F368" s="11" t="str">
        <f>TRIM(Formulario!D379)</f>
        <v/>
      </c>
      <c r="G368" s="11" t="str">
        <f>TRIM(Formulario!F379)</f>
        <v/>
      </c>
      <c r="H368" s="146" t="str">
        <f>IF(N368="",TRIM(Formulario!G379),TRIM(Formulario!G379)*N368)</f>
        <v/>
      </c>
      <c r="I368" s="107" t="str">
        <f>TRIM(Formulario!I379)</f>
        <v/>
      </c>
      <c r="J368" s="11" t="str">
        <f>TRIM(Formulario!J379)</f>
        <v/>
      </c>
      <c r="K368" s="11" t="str">
        <f>TRIM(Formulario!K379)</f>
        <v/>
      </c>
      <c r="L368" s="107" t="str">
        <f>TRIM(Formulario!L379)</f>
        <v/>
      </c>
      <c r="M368" s="107" t="str">
        <f>TRIM(Formulario!M379)</f>
        <v>0</v>
      </c>
      <c r="N368" s="11" t="str">
        <f>TRIM(Formulario!H379)</f>
        <v/>
      </c>
      <c r="P368" s="17"/>
      <c r="Q368" s="104"/>
      <c r="R368" s="104"/>
      <c r="S368" s="117"/>
      <c r="T368" s="101"/>
      <c r="U368" s="101"/>
      <c r="V368" s="101"/>
      <c r="W368" s="102"/>
      <c r="X368" s="102"/>
      <c r="Y368" s="102"/>
      <c r="Z368" s="102"/>
      <c r="AA368" s="102"/>
      <c r="AB368" s="102"/>
      <c r="AC368" s="102"/>
      <c r="AD368" s="102"/>
    </row>
    <row r="369" spans="1:30">
      <c r="A369" s="8" t="str">
        <f>IF(L369="","",Formulario!B380)</f>
        <v/>
      </c>
      <c r="B369" s="119"/>
      <c r="C369" s="120"/>
      <c r="D369" s="121"/>
      <c r="E369" s="129" t="str">
        <f>IF(F369="","",Formulario!B380)</f>
        <v/>
      </c>
      <c r="F369" s="11" t="str">
        <f>TRIM(Formulario!D380)</f>
        <v/>
      </c>
      <c r="G369" s="11" t="str">
        <f>TRIM(Formulario!F380)</f>
        <v/>
      </c>
      <c r="H369" s="146" t="str">
        <f>IF(N369="",TRIM(Formulario!G380),TRIM(Formulario!G380)*N369)</f>
        <v/>
      </c>
      <c r="I369" s="107" t="str">
        <f>TRIM(Formulario!I380)</f>
        <v/>
      </c>
      <c r="J369" s="11" t="str">
        <f>TRIM(Formulario!J380)</f>
        <v/>
      </c>
      <c r="K369" s="11" t="str">
        <f>TRIM(Formulario!K380)</f>
        <v/>
      </c>
      <c r="L369" s="107" t="str">
        <f>TRIM(Formulario!L380)</f>
        <v/>
      </c>
      <c r="M369" s="107" t="str">
        <f>TRIM(Formulario!M380)</f>
        <v>0</v>
      </c>
      <c r="N369" s="11" t="str">
        <f>TRIM(Formulario!H380)</f>
        <v/>
      </c>
      <c r="P369" s="17"/>
      <c r="Q369" s="104"/>
      <c r="R369" s="104"/>
      <c r="S369" s="117"/>
      <c r="T369" s="101"/>
      <c r="U369" s="101"/>
      <c r="V369" s="101"/>
      <c r="W369" s="102"/>
      <c r="X369" s="102"/>
      <c r="Y369" s="102"/>
      <c r="Z369" s="102"/>
      <c r="AA369" s="102"/>
      <c r="AB369" s="102"/>
      <c r="AC369" s="102"/>
      <c r="AD369" s="102"/>
    </row>
    <row r="370" spans="1:30">
      <c r="A370" s="8" t="str">
        <f>IF(L370="","",Formulario!B381)</f>
        <v/>
      </c>
      <c r="B370" s="119"/>
      <c r="C370" s="120"/>
      <c r="D370" s="121"/>
      <c r="E370" s="129" t="str">
        <f>IF(F370="","",Formulario!B381)</f>
        <v/>
      </c>
      <c r="F370" s="11" t="str">
        <f>TRIM(Formulario!D381)</f>
        <v/>
      </c>
      <c r="G370" s="11" t="str">
        <f>TRIM(Formulario!F381)</f>
        <v/>
      </c>
      <c r="H370" s="146" t="str">
        <f>IF(N370="",TRIM(Formulario!G381),TRIM(Formulario!G381)*N370)</f>
        <v/>
      </c>
      <c r="I370" s="107" t="str">
        <f>TRIM(Formulario!I381)</f>
        <v/>
      </c>
      <c r="J370" s="11" t="str">
        <f>TRIM(Formulario!J381)</f>
        <v/>
      </c>
      <c r="K370" s="11" t="str">
        <f>TRIM(Formulario!K381)</f>
        <v/>
      </c>
      <c r="L370" s="107" t="str">
        <f>TRIM(Formulario!L381)</f>
        <v/>
      </c>
      <c r="M370" s="107" t="str">
        <f>TRIM(Formulario!M381)</f>
        <v>0</v>
      </c>
      <c r="N370" s="11" t="str">
        <f>TRIM(Formulario!H381)</f>
        <v/>
      </c>
      <c r="P370" s="17"/>
      <c r="Q370" s="104"/>
      <c r="R370" s="104"/>
      <c r="S370" s="117"/>
      <c r="T370" s="101"/>
      <c r="U370" s="101"/>
      <c r="V370" s="101"/>
      <c r="W370" s="102"/>
      <c r="X370" s="102"/>
      <c r="Y370" s="102"/>
      <c r="Z370" s="102"/>
      <c r="AA370" s="102"/>
      <c r="AB370" s="102"/>
      <c r="AC370" s="102"/>
      <c r="AD370" s="102"/>
    </row>
    <row r="371" spans="1:30">
      <c r="A371" s="8" t="str">
        <f>IF(L371="","",Formulario!B382)</f>
        <v/>
      </c>
      <c r="B371" s="119"/>
      <c r="C371" s="120"/>
      <c r="D371" s="121"/>
      <c r="E371" s="129" t="str">
        <f>IF(F371="","",Formulario!B382)</f>
        <v/>
      </c>
      <c r="F371" s="11" t="str">
        <f>TRIM(Formulario!D382)</f>
        <v/>
      </c>
      <c r="G371" s="11" t="str">
        <f>TRIM(Formulario!F382)</f>
        <v/>
      </c>
      <c r="H371" s="146" t="str">
        <f>IF(N371="",TRIM(Formulario!G382),TRIM(Formulario!G382)*N371)</f>
        <v/>
      </c>
      <c r="I371" s="107" t="str">
        <f>TRIM(Formulario!I382)</f>
        <v/>
      </c>
      <c r="J371" s="11" t="str">
        <f>TRIM(Formulario!J382)</f>
        <v/>
      </c>
      <c r="K371" s="11" t="str">
        <f>TRIM(Formulario!K382)</f>
        <v/>
      </c>
      <c r="L371" s="107" t="str">
        <f>TRIM(Formulario!L382)</f>
        <v/>
      </c>
      <c r="M371" s="107" t="str">
        <f>TRIM(Formulario!M382)</f>
        <v>0</v>
      </c>
      <c r="N371" s="11" t="str">
        <f>TRIM(Formulario!H382)</f>
        <v/>
      </c>
      <c r="P371" s="17"/>
      <c r="Q371" s="104"/>
      <c r="R371" s="104"/>
      <c r="S371" s="117"/>
      <c r="T371" s="101"/>
      <c r="U371" s="101"/>
      <c r="V371" s="101"/>
      <c r="W371" s="102"/>
      <c r="X371" s="102"/>
      <c r="Y371" s="102"/>
      <c r="Z371" s="102"/>
      <c r="AA371" s="102"/>
      <c r="AB371" s="102"/>
      <c r="AC371" s="102"/>
      <c r="AD371" s="102"/>
    </row>
    <row r="372" spans="1:30">
      <c r="A372" s="8" t="str">
        <f>IF(L372="","",Formulario!B383)</f>
        <v/>
      </c>
      <c r="B372" s="119"/>
      <c r="C372" s="120"/>
      <c r="D372" s="121"/>
      <c r="E372" s="129" t="str">
        <f>IF(F372="","",Formulario!B383)</f>
        <v/>
      </c>
      <c r="F372" s="11" t="str">
        <f>TRIM(Formulario!D383)</f>
        <v/>
      </c>
      <c r="G372" s="11" t="str">
        <f>TRIM(Formulario!F383)</f>
        <v/>
      </c>
      <c r="H372" s="146" t="str">
        <f>IF(N372="",TRIM(Formulario!G383),TRIM(Formulario!G383)*N372)</f>
        <v/>
      </c>
      <c r="I372" s="107" t="str">
        <f>TRIM(Formulario!I383)</f>
        <v/>
      </c>
      <c r="J372" s="11" t="str">
        <f>TRIM(Formulario!J383)</f>
        <v/>
      </c>
      <c r="K372" s="11" t="str">
        <f>TRIM(Formulario!K383)</f>
        <v/>
      </c>
      <c r="L372" s="107" t="str">
        <f>TRIM(Formulario!L383)</f>
        <v/>
      </c>
      <c r="M372" s="107" t="str">
        <f>TRIM(Formulario!M383)</f>
        <v>0</v>
      </c>
      <c r="N372" s="11" t="str">
        <f>TRIM(Formulario!H383)</f>
        <v/>
      </c>
      <c r="P372" s="17"/>
      <c r="Q372" s="104"/>
      <c r="R372" s="104"/>
      <c r="S372" s="117"/>
      <c r="T372" s="101"/>
      <c r="U372" s="101"/>
      <c r="V372" s="101"/>
      <c r="W372" s="102"/>
      <c r="X372" s="102"/>
      <c r="Y372" s="102"/>
      <c r="Z372" s="102"/>
      <c r="AA372" s="102"/>
      <c r="AB372" s="102"/>
      <c r="AC372" s="102"/>
      <c r="AD372" s="102"/>
    </row>
    <row r="373" spans="1:30">
      <c r="A373" s="8" t="str">
        <f>IF(L373="","",Formulario!B384)</f>
        <v/>
      </c>
      <c r="B373" s="119"/>
      <c r="C373" s="120"/>
      <c r="D373" s="121"/>
      <c r="E373" s="129" t="str">
        <f>IF(F373="","",Formulario!B384)</f>
        <v/>
      </c>
      <c r="F373" s="11" t="str">
        <f>TRIM(Formulario!D384)</f>
        <v/>
      </c>
      <c r="G373" s="11" t="str">
        <f>TRIM(Formulario!F384)</f>
        <v/>
      </c>
      <c r="H373" s="146" t="str">
        <f>IF(N373="",TRIM(Formulario!G384),TRIM(Formulario!G384)*N373)</f>
        <v/>
      </c>
      <c r="I373" s="107" t="str">
        <f>TRIM(Formulario!I384)</f>
        <v/>
      </c>
      <c r="J373" s="11" t="str">
        <f>TRIM(Formulario!J384)</f>
        <v/>
      </c>
      <c r="K373" s="11" t="str">
        <f>TRIM(Formulario!K384)</f>
        <v/>
      </c>
      <c r="L373" s="107" t="str">
        <f>TRIM(Formulario!L384)</f>
        <v/>
      </c>
      <c r="M373" s="107" t="str">
        <f>TRIM(Formulario!M384)</f>
        <v>0</v>
      </c>
      <c r="N373" s="11" t="str">
        <f>TRIM(Formulario!H384)</f>
        <v/>
      </c>
      <c r="P373" s="17"/>
      <c r="Q373" s="104"/>
      <c r="R373" s="104"/>
      <c r="S373" s="117"/>
      <c r="T373" s="101"/>
      <c r="U373" s="101"/>
      <c r="V373" s="101"/>
      <c r="W373" s="102"/>
      <c r="X373" s="102"/>
      <c r="Y373" s="102"/>
      <c r="Z373" s="102"/>
      <c r="AA373" s="102"/>
      <c r="AB373" s="102"/>
      <c r="AC373" s="102"/>
      <c r="AD373" s="102"/>
    </row>
    <row r="374" spans="1:30">
      <c r="A374" s="8" t="str">
        <f>IF(L374="","",Formulario!B385)</f>
        <v/>
      </c>
      <c r="B374" s="119"/>
      <c r="C374" s="120"/>
      <c r="D374" s="121"/>
      <c r="E374" s="129" t="str">
        <f>IF(F374="","",Formulario!B385)</f>
        <v/>
      </c>
      <c r="F374" s="11" t="str">
        <f>TRIM(Formulario!D385)</f>
        <v/>
      </c>
      <c r="G374" s="11" t="str">
        <f>TRIM(Formulario!F385)</f>
        <v/>
      </c>
      <c r="H374" s="146" t="str">
        <f>IF(N374="",TRIM(Formulario!G385),TRIM(Formulario!G385)*N374)</f>
        <v/>
      </c>
      <c r="I374" s="107" t="str">
        <f>TRIM(Formulario!I385)</f>
        <v/>
      </c>
      <c r="J374" s="11" t="str">
        <f>TRIM(Formulario!J385)</f>
        <v/>
      </c>
      <c r="K374" s="11" t="str">
        <f>TRIM(Formulario!K385)</f>
        <v/>
      </c>
      <c r="L374" s="107" t="str">
        <f>TRIM(Formulario!L385)</f>
        <v/>
      </c>
      <c r="M374" s="107" t="str">
        <f>TRIM(Formulario!M385)</f>
        <v>0</v>
      </c>
      <c r="N374" s="11" t="str">
        <f>TRIM(Formulario!H385)</f>
        <v/>
      </c>
      <c r="P374" s="17"/>
      <c r="Q374" s="104"/>
      <c r="R374" s="104"/>
      <c r="S374" s="117"/>
      <c r="T374" s="101"/>
      <c r="U374" s="101"/>
      <c r="V374" s="101"/>
      <c r="W374" s="102"/>
      <c r="X374" s="102"/>
      <c r="Y374" s="102"/>
      <c r="Z374" s="102"/>
      <c r="AA374" s="102"/>
      <c r="AB374" s="102"/>
      <c r="AC374" s="102"/>
      <c r="AD374" s="102"/>
    </row>
    <row r="375" spans="1:30">
      <c r="A375" s="8" t="str">
        <f>IF(L375="","",Formulario!B386)</f>
        <v/>
      </c>
      <c r="B375" s="119"/>
      <c r="C375" s="120"/>
      <c r="D375" s="121"/>
      <c r="E375" s="129" t="str">
        <f>IF(F375="","",Formulario!B386)</f>
        <v/>
      </c>
      <c r="F375" s="11" t="str">
        <f>TRIM(Formulario!D386)</f>
        <v/>
      </c>
      <c r="G375" s="11" t="str">
        <f>TRIM(Formulario!F386)</f>
        <v/>
      </c>
      <c r="H375" s="146" t="str">
        <f>IF(N375="",TRIM(Formulario!G386),TRIM(Formulario!G386)*N375)</f>
        <v/>
      </c>
      <c r="I375" s="107" t="str">
        <f>TRIM(Formulario!I386)</f>
        <v/>
      </c>
      <c r="J375" s="11" t="str">
        <f>TRIM(Formulario!J386)</f>
        <v/>
      </c>
      <c r="K375" s="11" t="str">
        <f>TRIM(Formulario!K386)</f>
        <v/>
      </c>
      <c r="L375" s="107" t="str">
        <f>TRIM(Formulario!L386)</f>
        <v/>
      </c>
      <c r="M375" s="107" t="str">
        <f>TRIM(Formulario!M386)</f>
        <v>0</v>
      </c>
      <c r="N375" s="11" t="str">
        <f>TRIM(Formulario!H386)</f>
        <v/>
      </c>
      <c r="P375" s="17"/>
      <c r="Q375" s="104"/>
      <c r="R375" s="104"/>
      <c r="S375" s="117"/>
      <c r="T375" s="101"/>
      <c r="U375" s="101"/>
      <c r="V375" s="101"/>
      <c r="W375" s="102"/>
      <c r="X375" s="102"/>
      <c r="Y375" s="102"/>
      <c r="Z375" s="102"/>
      <c r="AA375" s="102"/>
      <c r="AB375" s="102"/>
      <c r="AC375" s="102"/>
      <c r="AD375" s="102"/>
    </row>
    <row r="376" spans="1:30">
      <c r="A376" s="8" t="str">
        <f>IF(L376="","",Formulario!B387)</f>
        <v/>
      </c>
      <c r="B376" s="119"/>
      <c r="C376" s="120"/>
      <c r="D376" s="121"/>
      <c r="E376" s="129" t="str">
        <f>IF(F376="","",Formulario!B387)</f>
        <v/>
      </c>
      <c r="F376" s="11" t="str">
        <f>TRIM(Formulario!D387)</f>
        <v/>
      </c>
      <c r="G376" s="11" t="str">
        <f>TRIM(Formulario!F387)</f>
        <v/>
      </c>
      <c r="H376" s="146" t="str">
        <f>IF(N376="",TRIM(Formulario!G387),TRIM(Formulario!G387)*N376)</f>
        <v/>
      </c>
      <c r="I376" s="107" t="str">
        <f>TRIM(Formulario!I387)</f>
        <v/>
      </c>
      <c r="J376" s="11" t="str">
        <f>TRIM(Formulario!J387)</f>
        <v/>
      </c>
      <c r="K376" s="11" t="str">
        <f>TRIM(Formulario!K387)</f>
        <v/>
      </c>
      <c r="L376" s="107" t="str">
        <f>TRIM(Formulario!L387)</f>
        <v/>
      </c>
      <c r="M376" s="107" t="str">
        <f>TRIM(Formulario!M387)</f>
        <v>0</v>
      </c>
      <c r="N376" s="11" t="str">
        <f>TRIM(Formulario!H387)</f>
        <v/>
      </c>
      <c r="P376" s="17"/>
      <c r="Q376" s="104"/>
      <c r="R376" s="104"/>
      <c r="S376" s="117"/>
      <c r="T376" s="101"/>
      <c r="U376" s="101"/>
      <c r="V376" s="101"/>
      <c r="W376" s="102"/>
      <c r="X376" s="102"/>
      <c r="Y376" s="102"/>
      <c r="Z376" s="102"/>
      <c r="AA376" s="102"/>
      <c r="AB376" s="102"/>
      <c r="AC376" s="102"/>
      <c r="AD376" s="102"/>
    </row>
    <row r="377" spans="1:30">
      <c r="A377" s="8" t="str">
        <f>IF(L377="","",Formulario!B388)</f>
        <v/>
      </c>
      <c r="B377" s="119"/>
      <c r="C377" s="120"/>
      <c r="D377" s="121"/>
      <c r="E377" s="129" t="str">
        <f>IF(F377="","",Formulario!B388)</f>
        <v/>
      </c>
      <c r="F377" s="11" t="str">
        <f>TRIM(Formulario!D388)</f>
        <v/>
      </c>
      <c r="G377" s="11" t="str">
        <f>TRIM(Formulario!F388)</f>
        <v/>
      </c>
      <c r="H377" s="146" t="str">
        <f>IF(N377="",TRIM(Formulario!G388),TRIM(Formulario!G388)*N377)</f>
        <v/>
      </c>
      <c r="I377" s="107" t="str">
        <f>TRIM(Formulario!I388)</f>
        <v/>
      </c>
      <c r="J377" s="11" t="str">
        <f>TRIM(Formulario!J388)</f>
        <v/>
      </c>
      <c r="K377" s="11" t="str">
        <f>TRIM(Formulario!K388)</f>
        <v/>
      </c>
      <c r="L377" s="107" t="str">
        <f>TRIM(Formulario!L388)</f>
        <v/>
      </c>
      <c r="M377" s="107" t="str">
        <f>TRIM(Formulario!M388)</f>
        <v>0</v>
      </c>
      <c r="N377" s="11" t="str">
        <f>TRIM(Formulario!H388)</f>
        <v/>
      </c>
      <c r="P377" s="17"/>
      <c r="Q377" s="104"/>
      <c r="R377" s="104"/>
      <c r="S377" s="117"/>
      <c r="T377" s="101"/>
      <c r="U377" s="101"/>
      <c r="V377" s="101"/>
      <c r="W377" s="102"/>
      <c r="X377" s="102"/>
      <c r="Y377" s="102"/>
      <c r="Z377" s="102"/>
      <c r="AA377" s="102"/>
      <c r="AB377" s="102"/>
      <c r="AC377" s="102"/>
      <c r="AD377" s="102"/>
    </row>
    <row r="378" spans="1:30">
      <c r="A378" s="8" t="str">
        <f>IF(L378="","",Formulario!B389)</f>
        <v/>
      </c>
      <c r="B378" s="119"/>
      <c r="C378" s="120"/>
      <c r="D378" s="121"/>
      <c r="E378" s="129" t="str">
        <f>IF(F378="","",Formulario!B389)</f>
        <v/>
      </c>
      <c r="F378" s="11" t="str">
        <f>TRIM(Formulario!D389)</f>
        <v/>
      </c>
      <c r="G378" s="11" t="str">
        <f>TRIM(Formulario!F389)</f>
        <v/>
      </c>
      <c r="H378" s="146" t="str">
        <f>IF(N378="",TRIM(Formulario!G389),TRIM(Formulario!G389)*N378)</f>
        <v/>
      </c>
      <c r="I378" s="107" t="str">
        <f>TRIM(Formulario!I389)</f>
        <v/>
      </c>
      <c r="J378" s="11" t="str">
        <f>TRIM(Formulario!J389)</f>
        <v/>
      </c>
      <c r="K378" s="11" t="str">
        <f>TRIM(Formulario!K389)</f>
        <v/>
      </c>
      <c r="L378" s="107" t="str">
        <f>TRIM(Formulario!L389)</f>
        <v/>
      </c>
      <c r="M378" s="107" t="str">
        <f>TRIM(Formulario!M389)</f>
        <v>0</v>
      </c>
      <c r="N378" s="11" t="str">
        <f>TRIM(Formulario!H389)</f>
        <v/>
      </c>
      <c r="P378" s="17"/>
      <c r="Q378" s="104"/>
      <c r="R378" s="104"/>
      <c r="S378" s="117"/>
      <c r="T378" s="101"/>
      <c r="U378" s="101"/>
      <c r="V378" s="101"/>
      <c r="W378" s="102"/>
      <c r="X378" s="102"/>
      <c r="Y378" s="102"/>
      <c r="Z378" s="102"/>
      <c r="AA378" s="102"/>
      <c r="AB378" s="102"/>
      <c r="AC378" s="102"/>
      <c r="AD378" s="102"/>
    </row>
    <row r="379" spans="1:30">
      <c r="A379" s="8" t="str">
        <f>IF(L379="","",Formulario!B390)</f>
        <v/>
      </c>
      <c r="B379" s="119"/>
      <c r="C379" s="120"/>
      <c r="D379" s="121"/>
      <c r="E379" s="129" t="str">
        <f>IF(F379="","",Formulario!B390)</f>
        <v/>
      </c>
      <c r="F379" s="11" t="str">
        <f>TRIM(Formulario!D390)</f>
        <v/>
      </c>
      <c r="G379" s="11" t="str">
        <f>TRIM(Formulario!F390)</f>
        <v/>
      </c>
      <c r="H379" s="146" t="str">
        <f>IF(N379="",TRIM(Formulario!G390),TRIM(Formulario!G390)*N379)</f>
        <v/>
      </c>
      <c r="I379" s="107" t="str">
        <f>TRIM(Formulario!I390)</f>
        <v/>
      </c>
      <c r="J379" s="11" t="str">
        <f>TRIM(Formulario!J390)</f>
        <v/>
      </c>
      <c r="K379" s="11" t="str">
        <f>TRIM(Formulario!K390)</f>
        <v/>
      </c>
      <c r="L379" s="107" t="str">
        <f>TRIM(Formulario!L390)</f>
        <v/>
      </c>
      <c r="M379" s="107" t="str">
        <f>TRIM(Formulario!M390)</f>
        <v>0</v>
      </c>
      <c r="N379" s="11" t="str">
        <f>TRIM(Formulario!H390)</f>
        <v/>
      </c>
      <c r="P379" s="17"/>
      <c r="Q379" s="104"/>
      <c r="R379" s="104"/>
      <c r="S379" s="117"/>
      <c r="T379" s="101"/>
      <c r="U379" s="101"/>
      <c r="V379" s="101"/>
      <c r="W379" s="102"/>
      <c r="X379" s="102"/>
      <c r="Y379" s="102"/>
      <c r="Z379" s="102"/>
      <c r="AA379" s="102"/>
      <c r="AB379" s="102"/>
      <c r="AC379" s="102"/>
      <c r="AD379" s="102"/>
    </row>
    <row r="380" spans="1:30">
      <c r="A380" s="8" t="str">
        <f>IF(L380="","",Formulario!B391)</f>
        <v/>
      </c>
      <c r="B380" s="119"/>
      <c r="C380" s="120"/>
      <c r="D380" s="121"/>
      <c r="E380" s="129" t="str">
        <f>IF(F380="","",Formulario!B391)</f>
        <v/>
      </c>
      <c r="F380" s="11" t="str">
        <f>TRIM(Formulario!D391)</f>
        <v/>
      </c>
      <c r="G380" s="11" t="str">
        <f>TRIM(Formulario!F391)</f>
        <v/>
      </c>
      <c r="H380" s="146" t="str">
        <f>IF(N380="",TRIM(Formulario!G391),TRIM(Formulario!G391)*N380)</f>
        <v/>
      </c>
      <c r="I380" s="107" t="str">
        <f>TRIM(Formulario!I391)</f>
        <v/>
      </c>
      <c r="J380" s="11" t="str">
        <f>TRIM(Formulario!J391)</f>
        <v/>
      </c>
      <c r="K380" s="11" t="str">
        <f>TRIM(Formulario!K391)</f>
        <v/>
      </c>
      <c r="L380" s="107" t="str">
        <f>TRIM(Formulario!L391)</f>
        <v/>
      </c>
      <c r="M380" s="107" t="str">
        <f>TRIM(Formulario!M391)</f>
        <v>0</v>
      </c>
      <c r="N380" s="11" t="str">
        <f>TRIM(Formulario!H391)</f>
        <v/>
      </c>
      <c r="P380" s="17"/>
      <c r="Q380" s="104"/>
      <c r="R380" s="104"/>
      <c r="S380" s="117"/>
      <c r="T380" s="101"/>
      <c r="U380" s="101"/>
      <c r="V380" s="101"/>
      <c r="W380" s="102"/>
      <c r="X380" s="102"/>
      <c r="Y380" s="102"/>
      <c r="Z380" s="102"/>
      <c r="AA380" s="102"/>
      <c r="AB380" s="102"/>
      <c r="AC380" s="102"/>
      <c r="AD380" s="102"/>
    </row>
    <row r="381" spans="1:30">
      <c r="A381" s="8" t="str">
        <f>IF(L381="","",Formulario!B392)</f>
        <v/>
      </c>
      <c r="B381" s="119"/>
      <c r="C381" s="120"/>
      <c r="D381" s="121"/>
      <c r="E381" s="129" t="str">
        <f>IF(F381="","",Formulario!B392)</f>
        <v/>
      </c>
      <c r="F381" s="11" t="str">
        <f>TRIM(Formulario!D392)</f>
        <v/>
      </c>
      <c r="G381" s="11" t="str">
        <f>TRIM(Formulario!F392)</f>
        <v/>
      </c>
      <c r="H381" s="146" t="str">
        <f>IF(N381="",TRIM(Formulario!G392),TRIM(Formulario!G392)*N381)</f>
        <v/>
      </c>
      <c r="I381" s="107" t="str">
        <f>TRIM(Formulario!I392)</f>
        <v/>
      </c>
      <c r="J381" s="11" t="str">
        <f>TRIM(Formulario!J392)</f>
        <v/>
      </c>
      <c r="K381" s="11" t="str">
        <f>TRIM(Formulario!K392)</f>
        <v/>
      </c>
      <c r="L381" s="107" t="str">
        <f>TRIM(Formulario!L392)</f>
        <v/>
      </c>
      <c r="M381" s="107" t="str">
        <f>TRIM(Formulario!M392)</f>
        <v>0</v>
      </c>
      <c r="N381" s="11" t="str">
        <f>TRIM(Formulario!H392)</f>
        <v/>
      </c>
      <c r="P381" s="17"/>
      <c r="Q381" s="104"/>
      <c r="R381" s="104"/>
      <c r="S381" s="117"/>
      <c r="T381" s="101"/>
      <c r="U381" s="101"/>
      <c r="V381" s="101"/>
      <c r="W381" s="102"/>
      <c r="X381" s="102"/>
      <c r="Y381" s="102"/>
      <c r="Z381" s="102"/>
      <c r="AA381" s="102"/>
      <c r="AB381" s="102"/>
      <c r="AC381" s="102"/>
      <c r="AD381" s="102"/>
    </row>
    <row r="382" spans="1:30">
      <c r="A382" s="8" t="str">
        <f>IF(L382="","",Formulario!B393)</f>
        <v/>
      </c>
      <c r="B382" s="119"/>
      <c r="C382" s="120"/>
      <c r="D382" s="121"/>
      <c r="E382" s="129" t="str">
        <f>IF(F382="","",Formulario!B393)</f>
        <v/>
      </c>
      <c r="F382" s="11" t="str">
        <f>TRIM(Formulario!D393)</f>
        <v/>
      </c>
      <c r="G382" s="11" t="str">
        <f>TRIM(Formulario!F393)</f>
        <v/>
      </c>
      <c r="H382" s="146" t="str">
        <f>IF(N382="",TRIM(Formulario!G393),TRIM(Formulario!G393)*N382)</f>
        <v/>
      </c>
      <c r="I382" s="107" t="str">
        <f>TRIM(Formulario!I393)</f>
        <v/>
      </c>
      <c r="J382" s="11" t="str">
        <f>TRIM(Formulario!J393)</f>
        <v/>
      </c>
      <c r="K382" s="11" t="str">
        <f>TRIM(Formulario!K393)</f>
        <v/>
      </c>
      <c r="L382" s="107" t="str">
        <f>TRIM(Formulario!L393)</f>
        <v/>
      </c>
      <c r="M382" s="107" t="str">
        <f>TRIM(Formulario!M393)</f>
        <v>0</v>
      </c>
      <c r="N382" s="11" t="str">
        <f>TRIM(Formulario!H393)</f>
        <v/>
      </c>
      <c r="P382" s="17"/>
      <c r="Q382" s="104"/>
      <c r="R382" s="104"/>
      <c r="S382" s="117"/>
      <c r="T382" s="101"/>
      <c r="U382" s="101"/>
      <c r="V382" s="101"/>
      <c r="W382" s="102"/>
      <c r="X382" s="102"/>
      <c r="Y382" s="102"/>
      <c r="Z382" s="102"/>
      <c r="AA382" s="102"/>
      <c r="AB382" s="102"/>
      <c r="AC382" s="102"/>
      <c r="AD382" s="102"/>
    </row>
    <row r="383" spans="1:30">
      <c r="A383" s="8" t="str">
        <f>IF(L383="","",Formulario!B394)</f>
        <v/>
      </c>
      <c r="B383" s="119"/>
      <c r="C383" s="120"/>
      <c r="D383" s="121"/>
      <c r="E383" s="129" t="str">
        <f>IF(F383="","",Formulario!B394)</f>
        <v/>
      </c>
      <c r="F383" s="11" t="str">
        <f>TRIM(Formulario!D394)</f>
        <v/>
      </c>
      <c r="G383" s="11" t="str">
        <f>TRIM(Formulario!F394)</f>
        <v/>
      </c>
      <c r="H383" s="146" t="str">
        <f>IF(N383="",TRIM(Formulario!G394),TRIM(Formulario!G394)*N383)</f>
        <v/>
      </c>
      <c r="I383" s="107" t="str">
        <f>TRIM(Formulario!I394)</f>
        <v/>
      </c>
      <c r="J383" s="11" t="str">
        <f>TRIM(Formulario!J394)</f>
        <v/>
      </c>
      <c r="K383" s="11" t="str">
        <f>TRIM(Formulario!K394)</f>
        <v/>
      </c>
      <c r="L383" s="107" t="str">
        <f>TRIM(Formulario!L394)</f>
        <v/>
      </c>
      <c r="M383" s="107" t="str">
        <f>TRIM(Formulario!M394)</f>
        <v>0</v>
      </c>
      <c r="N383" s="11" t="str">
        <f>TRIM(Formulario!H394)</f>
        <v/>
      </c>
      <c r="P383" s="17"/>
      <c r="Q383" s="104"/>
      <c r="R383" s="104"/>
      <c r="S383" s="117"/>
      <c r="T383" s="101"/>
      <c r="U383" s="101"/>
      <c r="V383" s="101"/>
      <c r="W383" s="102"/>
      <c r="X383" s="102"/>
      <c r="Y383" s="102"/>
      <c r="Z383" s="102"/>
      <c r="AA383" s="102"/>
      <c r="AB383" s="102"/>
      <c r="AC383" s="102"/>
      <c r="AD383" s="102"/>
    </row>
    <row r="384" spans="1:30">
      <c r="A384" s="8" t="str">
        <f>IF(L384="","",Formulario!B395)</f>
        <v/>
      </c>
      <c r="B384" s="119"/>
      <c r="C384" s="120"/>
      <c r="D384" s="121"/>
      <c r="E384" s="129" t="str">
        <f>IF(F384="","",Formulario!B395)</f>
        <v/>
      </c>
      <c r="F384" s="11" t="str">
        <f>TRIM(Formulario!D395)</f>
        <v/>
      </c>
      <c r="G384" s="11" t="str">
        <f>TRIM(Formulario!F395)</f>
        <v/>
      </c>
      <c r="H384" s="146" t="str">
        <f>IF(N384="",TRIM(Formulario!G395),TRIM(Formulario!G395)*N384)</f>
        <v/>
      </c>
      <c r="I384" s="107" t="str">
        <f>TRIM(Formulario!I395)</f>
        <v/>
      </c>
      <c r="J384" s="11" t="str">
        <f>TRIM(Formulario!J395)</f>
        <v/>
      </c>
      <c r="K384" s="11" t="str">
        <f>TRIM(Formulario!K395)</f>
        <v/>
      </c>
      <c r="L384" s="107" t="str">
        <f>TRIM(Formulario!L395)</f>
        <v/>
      </c>
      <c r="M384" s="107" t="str">
        <f>TRIM(Formulario!M395)</f>
        <v>0</v>
      </c>
      <c r="N384" s="11" t="str">
        <f>TRIM(Formulario!H395)</f>
        <v/>
      </c>
      <c r="P384" s="17"/>
      <c r="Q384" s="104"/>
      <c r="R384" s="104"/>
      <c r="S384" s="117"/>
      <c r="T384" s="101"/>
      <c r="U384" s="101"/>
      <c r="V384" s="101"/>
      <c r="W384" s="102"/>
      <c r="X384" s="102"/>
      <c r="Y384" s="102"/>
      <c r="Z384" s="102"/>
      <c r="AA384" s="102"/>
      <c r="AB384" s="102"/>
      <c r="AC384" s="102"/>
      <c r="AD384" s="102"/>
    </row>
    <row r="385" spans="1:30">
      <c r="A385" s="8" t="str">
        <f>IF(L385="","",Formulario!B396)</f>
        <v/>
      </c>
      <c r="B385" s="119"/>
      <c r="C385" s="120"/>
      <c r="D385" s="121"/>
      <c r="E385" s="129" t="str">
        <f>IF(F385="","",Formulario!B396)</f>
        <v/>
      </c>
      <c r="F385" s="11" t="str">
        <f>TRIM(Formulario!D396)</f>
        <v/>
      </c>
      <c r="G385" s="11" t="str">
        <f>TRIM(Formulario!F396)</f>
        <v/>
      </c>
      <c r="H385" s="146" t="str">
        <f>IF(N385="",TRIM(Formulario!G396),TRIM(Formulario!G396)*N385)</f>
        <v/>
      </c>
      <c r="I385" s="107" t="str">
        <f>TRIM(Formulario!I396)</f>
        <v/>
      </c>
      <c r="J385" s="11" t="str">
        <f>TRIM(Formulario!J396)</f>
        <v/>
      </c>
      <c r="K385" s="11" t="str">
        <f>TRIM(Formulario!K396)</f>
        <v/>
      </c>
      <c r="L385" s="107" t="str">
        <f>TRIM(Formulario!L396)</f>
        <v/>
      </c>
      <c r="M385" s="107" t="str">
        <f>TRIM(Formulario!M396)</f>
        <v>0</v>
      </c>
      <c r="N385" s="11" t="str">
        <f>TRIM(Formulario!H396)</f>
        <v/>
      </c>
      <c r="P385" s="17"/>
      <c r="Q385" s="104"/>
      <c r="R385" s="104"/>
      <c r="S385" s="117"/>
      <c r="T385" s="101"/>
      <c r="U385" s="101"/>
      <c r="V385" s="101"/>
      <c r="W385" s="102"/>
      <c r="X385" s="102"/>
      <c r="Y385" s="102"/>
      <c r="Z385" s="102"/>
      <c r="AA385" s="102"/>
      <c r="AB385" s="102"/>
      <c r="AC385" s="102"/>
      <c r="AD385" s="102"/>
    </row>
    <row r="386" spans="1:30">
      <c r="A386" s="8" t="str">
        <f>IF(L386="","",Formulario!B397)</f>
        <v/>
      </c>
      <c r="B386" s="119"/>
      <c r="C386" s="120"/>
      <c r="D386" s="121"/>
      <c r="E386" s="129" t="str">
        <f>IF(F386="","",Formulario!B397)</f>
        <v/>
      </c>
      <c r="F386" s="11" t="str">
        <f>TRIM(Formulario!D397)</f>
        <v/>
      </c>
      <c r="G386" s="11" t="str">
        <f>TRIM(Formulario!F397)</f>
        <v/>
      </c>
      <c r="H386" s="146" t="str">
        <f>IF(N386="",TRIM(Formulario!G397),TRIM(Formulario!G397)*N386)</f>
        <v/>
      </c>
      <c r="I386" s="107" t="str">
        <f>TRIM(Formulario!I397)</f>
        <v/>
      </c>
      <c r="J386" s="11" t="str">
        <f>TRIM(Formulario!J397)</f>
        <v/>
      </c>
      <c r="K386" s="11" t="str">
        <f>TRIM(Formulario!K397)</f>
        <v/>
      </c>
      <c r="L386" s="107" t="str">
        <f>TRIM(Formulario!L397)</f>
        <v/>
      </c>
      <c r="M386" s="107" t="str">
        <f>TRIM(Formulario!M397)</f>
        <v>0</v>
      </c>
      <c r="N386" s="11" t="str">
        <f>TRIM(Formulario!H397)</f>
        <v/>
      </c>
      <c r="P386" s="17"/>
      <c r="Q386" s="104"/>
      <c r="R386" s="104"/>
      <c r="S386" s="117"/>
      <c r="T386" s="101"/>
      <c r="U386" s="101"/>
      <c r="V386" s="101"/>
      <c r="W386" s="102"/>
      <c r="X386" s="102"/>
      <c r="Y386" s="102"/>
      <c r="Z386" s="102"/>
      <c r="AA386" s="102"/>
      <c r="AB386" s="102"/>
      <c r="AC386" s="102"/>
      <c r="AD386" s="102"/>
    </row>
    <row r="387" spans="1:30">
      <c r="A387" s="8" t="str">
        <f>IF(L387="","",Formulario!B398)</f>
        <v/>
      </c>
      <c r="B387" s="119"/>
      <c r="C387" s="120"/>
      <c r="D387" s="121"/>
      <c r="E387" s="129" t="str">
        <f>IF(F387="","",Formulario!B398)</f>
        <v/>
      </c>
      <c r="F387" s="11" t="str">
        <f>TRIM(Formulario!D398)</f>
        <v/>
      </c>
      <c r="G387" s="11" t="str">
        <f>TRIM(Formulario!F398)</f>
        <v/>
      </c>
      <c r="H387" s="146" t="str">
        <f>IF(N387="",TRIM(Formulario!G398),TRIM(Formulario!G398)*N387)</f>
        <v/>
      </c>
      <c r="I387" s="107" t="str">
        <f>TRIM(Formulario!I398)</f>
        <v/>
      </c>
      <c r="J387" s="11" t="str">
        <f>TRIM(Formulario!J398)</f>
        <v/>
      </c>
      <c r="K387" s="11" t="str">
        <f>TRIM(Formulario!K398)</f>
        <v/>
      </c>
      <c r="L387" s="107" t="str">
        <f>TRIM(Formulario!L398)</f>
        <v/>
      </c>
      <c r="M387" s="107" t="str">
        <f>TRIM(Formulario!M398)</f>
        <v>0</v>
      </c>
      <c r="N387" s="11" t="str">
        <f>TRIM(Formulario!H398)</f>
        <v/>
      </c>
      <c r="P387" s="17"/>
      <c r="Q387" s="104"/>
      <c r="R387" s="104"/>
      <c r="S387" s="117"/>
      <c r="T387" s="101"/>
      <c r="U387" s="101"/>
      <c r="V387" s="101"/>
      <c r="W387" s="102"/>
      <c r="X387" s="102"/>
      <c r="Y387" s="102"/>
      <c r="Z387" s="102"/>
      <c r="AA387" s="102"/>
      <c r="AB387" s="102"/>
      <c r="AC387" s="102"/>
      <c r="AD387" s="102"/>
    </row>
    <row r="388" spans="1:30">
      <c r="A388" s="8" t="str">
        <f>IF(L388="","",Formulario!B399)</f>
        <v/>
      </c>
      <c r="B388" s="119"/>
      <c r="C388" s="120"/>
      <c r="D388" s="121"/>
      <c r="E388" s="129" t="str">
        <f>IF(F388="","",Formulario!B399)</f>
        <v/>
      </c>
      <c r="F388" s="11" t="str">
        <f>TRIM(Formulario!D399)</f>
        <v/>
      </c>
      <c r="G388" s="11" t="str">
        <f>TRIM(Formulario!F399)</f>
        <v/>
      </c>
      <c r="H388" s="146" t="str">
        <f>IF(N388="",TRIM(Formulario!G399),TRIM(Formulario!G399)*N388)</f>
        <v/>
      </c>
      <c r="I388" s="107" t="str">
        <f>TRIM(Formulario!I399)</f>
        <v/>
      </c>
      <c r="J388" s="11" t="str">
        <f>TRIM(Formulario!J399)</f>
        <v/>
      </c>
      <c r="K388" s="11" t="str">
        <f>TRIM(Formulario!K399)</f>
        <v/>
      </c>
      <c r="L388" s="107" t="str">
        <f>TRIM(Formulario!L399)</f>
        <v/>
      </c>
      <c r="M388" s="107" t="str">
        <f>TRIM(Formulario!M399)</f>
        <v>0</v>
      </c>
      <c r="N388" s="11" t="str">
        <f>TRIM(Formulario!H399)</f>
        <v/>
      </c>
      <c r="P388" s="17"/>
      <c r="Q388" s="104"/>
      <c r="R388" s="104"/>
      <c r="S388" s="117"/>
      <c r="T388" s="101"/>
      <c r="U388" s="101"/>
      <c r="V388" s="101"/>
      <c r="W388" s="102"/>
      <c r="X388" s="102"/>
      <c r="Y388" s="102"/>
      <c r="Z388" s="102"/>
      <c r="AA388" s="102"/>
      <c r="AB388" s="102"/>
      <c r="AC388" s="102"/>
      <c r="AD388" s="102"/>
    </row>
    <row r="389" spans="1:30">
      <c r="A389" s="8" t="str">
        <f>IF(L389="","",Formulario!B400)</f>
        <v/>
      </c>
      <c r="B389" s="119"/>
      <c r="C389" s="120"/>
      <c r="D389" s="121"/>
      <c r="E389" s="129" t="str">
        <f>IF(F389="","",Formulario!B400)</f>
        <v/>
      </c>
      <c r="F389" s="11" t="str">
        <f>TRIM(Formulario!D400)</f>
        <v/>
      </c>
      <c r="G389" s="11" t="str">
        <f>TRIM(Formulario!F400)</f>
        <v/>
      </c>
      <c r="H389" s="146" t="str">
        <f>IF(N389="",TRIM(Formulario!G400),TRIM(Formulario!G400)*N389)</f>
        <v/>
      </c>
      <c r="I389" s="107" t="str">
        <f>TRIM(Formulario!I400)</f>
        <v/>
      </c>
      <c r="J389" s="11" t="str">
        <f>TRIM(Formulario!J400)</f>
        <v/>
      </c>
      <c r="K389" s="11" t="str">
        <f>TRIM(Formulario!K400)</f>
        <v/>
      </c>
      <c r="L389" s="107" t="str">
        <f>TRIM(Formulario!L400)</f>
        <v/>
      </c>
      <c r="M389" s="107" t="str">
        <f>TRIM(Formulario!M400)</f>
        <v>0</v>
      </c>
      <c r="N389" s="11" t="str">
        <f>TRIM(Formulario!H400)</f>
        <v/>
      </c>
      <c r="P389" s="17"/>
      <c r="Q389" s="104"/>
      <c r="R389" s="104"/>
      <c r="S389" s="117"/>
      <c r="T389" s="101"/>
      <c r="U389" s="101"/>
      <c r="V389" s="101"/>
      <c r="W389" s="102"/>
      <c r="X389" s="102"/>
      <c r="Y389" s="102"/>
      <c r="Z389" s="102"/>
      <c r="AA389" s="102"/>
      <c r="AB389" s="102"/>
      <c r="AC389" s="102"/>
      <c r="AD389" s="102"/>
    </row>
    <row r="390" spans="1:30">
      <c r="A390" s="8" t="str">
        <f>IF(L390="","",Formulario!B401)</f>
        <v/>
      </c>
      <c r="B390" s="119"/>
      <c r="C390" s="120"/>
      <c r="D390" s="121"/>
      <c r="E390" s="129" t="str">
        <f>IF(F390="","",Formulario!B401)</f>
        <v/>
      </c>
      <c r="F390" s="11" t="str">
        <f>TRIM(Formulario!D401)</f>
        <v/>
      </c>
      <c r="G390" s="11" t="str">
        <f>TRIM(Formulario!F401)</f>
        <v/>
      </c>
      <c r="H390" s="146" t="str">
        <f>IF(N390="",TRIM(Formulario!G401),TRIM(Formulario!G401)*N390)</f>
        <v/>
      </c>
      <c r="I390" s="107" t="str">
        <f>TRIM(Formulario!I401)</f>
        <v/>
      </c>
      <c r="J390" s="11" t="str">
        <f>TRIM(Formulario!J401)</f>
        <v/>
      </c>
      <c r="K390" s="11" t="str">
        <f>TRIM(Formulario!K401)</f>
        <v/>
      </c>
      <c r="L390" s="107" t="str">
        <f>TRIM(Formulario!L401)</f>
        <v/>
      </c>
      <c r="M390" s="107" t="str">
        <f>TRIM(Formulario!M401)</f>
        <v>0</v>
      </c>
      <c r="N390" s="11" t="str">
        <f>TRIM(Formulario!H401)</f>
        <v/>
      </c>
      <c r="P390" s="17"/>
      <c r="Q390" s="104"/>
      <c r="R390" s="104"/>
      <c r="S390" s="117"/>
      <c r="T390" s="101"/>
      <c r="U390" s="101"/>
      <c r="V390" s="101"/>
      <c r="W390" s="102"/>
      <c r="X390" s="102"/>
      <c r="Y390" s="102"/>
      <c r="Z390" s="102"/>
      <c r="AA390" s="102"/>
      <c r="AB390" s="102"/>
      <c r="AC390" s="102"/>
      <c r="AD390" s="102"/>
    </row>
    <row r="391" spans="1:30">
      <c r="A391" s="8" t="str">
        <f>IF(L391="","",Formulario!B402)</f>
        <v/>
      </c>
      <c r="B391" s="119"/>
      <c r="C391" s="120"/>
      <c r="D391" s="121"/>
      <c r="E391" s="129" t="str">
        <f>IF(F391="","",Formulario!B402)</f>
        <v/>
      </c>
      <c r="F391" s="11" t="str">
        <f>TRIM(Formulario!D402)</f>
        <v/>
      </c>
      <c r="G391" s="11" t="str">
        <f>TRIM(Formulario!F402)</f>
        <v/>
      </c>
      <c r="H391" s="146" t="str">
        <f>IF(N391="",TRIM(Formulario!G402),TRIM(Formulario!G402)*N391)</f>
        <v/>
      </c>
      <c r="I391" s="107" t="str">
        <f>TRIM(Formulario!I402)</f>
        <v/>
      </c>
      <c r="J391" s="11" t="str">
        <f>TRIM(Formulario!J402)</f>
        <v/>
      </c>
      <c r="K391" s="11" t="str">
        <f>TRIM(Formulario!K402)</f>
        <v/>
      </c>
      <c r="L391" s="107" t="str">
        <f>TRIM(Formulario!L402)</f>
        <v/>
      </c>
      <c r="M391" s="107" t="str">
        <f>TRIM(Formulario!M402)</f>
        <v>0</v>
      </c>
      <c r="N391" s="11" t="str">
        <f>TRIM(Formulario!H402)</f>
        <v/>
      </c>
      <c r="P391" s="17"/>
      <c r="Q391" s="104"/>
      <c r="R391" s="104"/>
      <c r="S391" s="117"/>
      <c r="T391" s="101"/>
      <c r="U391" s="101"/>
      <c r="V391" s="101"/>
      <c r="W391" s="102"/>
      <c r="X391" s="102"/>
      <c r="Y391" s="102"/>
      <c r="Z391" s="102"/>
      <c r="AA391" s="102"/>
      <c r="AB391" s="102"/>
      <c r="AC391" s="102"/>
      <c r="AD391" s="102"/>
    </row>
    <row r="392" spans="1:30">
      <c r="A392" s="8" t="str">
        <f>IF(L392="","",Formulario!B403)</f>
        <v/>
      </c>
      <c r="B392" s="119"/>
      <c r="C392" s="120"/>
      <c r="D392" s="121"/>
      <c r="E392" s="129" t="str">
        <f>IF(F392="","",Formulario!B403)</f>
        <v/>
      </c>
      <c r="F392" s="11" t="str">
        <f>TRIM(Formulario!D403)</f>
        <v/>
      </c>
      <c r="G392" s="11" t="str">
        <f>TRIM(Formulario!F403)</f>
        <v/>
      </c>
      <c r="H392" s="146" t="str">
        <f>IF(N392="",TRIM(Formulario!G403),TRIM(Formulario!G403)*N392)</f>
        <v/>
      </c>
      <c r="I392" s="107" t="str">
        <f>TRIM(Formulario!I403)</f>
        <v/>
      </c>
      <c r="J392" s="11" t="str">
        <f>TRIM(Formulario!J403)</f>
        <v/>
      </c>
      <c r="K392" s="11" t="str">
        <f>TRIM(Formulario!K403)</f>
        <v/>
      </c>
      <c r="L392" s="107" t="str">
        <f>TRIM(Formulario!L403)</f>
        <v/>
      </c>
      <c r="M392" s="107" t="str">
        <f>TRIM(Formulario!M403)</f>
        <v>0</v>
      </c>
      <c r="N392" s="11" t="str">
        <f>TRIM(Formulario!H403)</f>
        <v/>
      </c>
      <c r="P392" s="17"/>
      <c r="Q392" s="104"/>
      <c r="R392" s="104"/>
      <c r="S392" s="117"/>
      <c r="T392" s="101"/>
      <c r="U392" s="101"/>
      <c r="V392" s="101"/>
      <c r="W392" s="102"/>
      <c r="X392" s="102"/>
      <c r="Y392" s="102"/>
      <c r="Z392" s="102"/>
      <c r="AA392" s="102"/>
      <c r="AB392" s="102"/>
      <c r="AC392" s="102"/>
      <c r="AD392" s="102"/>
    </row>
    <row r="393" spans="1:30">
      <c r="A393" s="8" t="str">
        <f>IF(L393="","",Formulario!B404)</f>
        <v/>
      </c>
      <c r="B393" s="119"/>
      <c r="C393" s="120"/>
      <c r="D393" s="121"/>
      <c r="E393" s="129" t="str">
        <f>IF(F393="","",Formulario!B404)</f>
        <v/>
      </c>
      <c r="F393" s="11" t="str">
        <f>TRIM(Formulario!D404)</f>
        <v/>
      </c>
      <c r="G393" s="11" t="str">
        <f>TRIM(Formulario!F404)</f>
        <v/>
      </c>
      <c r="H393" s="146" t="str">
        <f>IF(N393="",TRIM(Formulario!G404),TRIM(Formulario!G404)*N393)</f>
        <v/>
      </c>
      <c r="I393" s="107" t="str">
        <f>TRIM(Formulario!I404)</f>
        <v/>
      </c>
      <c r="J393" s="11" t="str">
        <f>TRIM(Formulario!J404)</f>
        <v/>
      </c>
      <c r="K393" s="11" t="str">
        <f>TRIM(Formulario!K404)</f>
        <v/>
      </c>
      <c r="L393" s="107" t="str">
        <f>TRIM(Formulario!L404)</f>
        <v/>
      </c>
      <c r="M393" s="107" t="str">
        <f>TRIM(Formulario!M404)</f>
        <v>0</v>
      </c>
      <c r="N393" s="11" t="str">
        <f>TRIM(Formulario!H404)</f>
        <v/>
      </c>
      <c r="P393" s="17"/>
      <c r="Q393" s="104"/>
      <c r="R393" s="104"/>
      <c r="S393" s="117"/>
      <c r="T393" s="101"/>
      <c r="U393" s="101"/>
      <c r="V393" s="101"/>
      <c r="W393" s="102"/>
      <c r="X393" s="102"/>
      <c r="Y393" s="102"/>
      <c r="Z393" s="102"/>
      <c r="AA393" s="102"/>
      <c r="AB393" s="102"/>
      <c r="AC393" s="102"/>
      <c r="AD393" s="102"/>
    </row>
    <row r="394" spans="1:30">
      <c r="A394" s="8" t="str">
        <f>IF(L394="","",Formulario!B405)</f>
        <v/>
      </c>
      <c r="B394" s="119"/>
      <c r="C394" s="120"/>
      <c r="D394" s="121"/>
      <c r="E394" s="129" t="str">
        <f>IF(F394="","",Formulario!B405)</f>
        <v/>
      </c>
      <c r="F394" s="11" t="str">
        <f>TRIM(Formulario!D405)</f>
        <v/>
      </c>
      <c r="G394" s="11" t="str">
        <f>TRIM(Formulario!F405)</f>
        <v/>
      </c>
      <c r="H394" s="146" t="str">
        <f>IF(N394="",TRIM(Formulario!G405),TRIM(Formulario!G405)*N394)</f>
        <v/>
      </c>
      <c r="I394" s="107" t="str">
        <f>TRIM(Formulario!I405)</f>
        <v/>
      </c>
      <c r="J394" s="11" t="str">
        <f>TRIM(Formulario!J405)</f>
        <v/>
      </c>
      <c r="K394" s="11" t="str">
        <f>TRIM(Formulario!K405)</f>
        <v/>
      </c>
      <c r="L394" s="107" t="str">
        <f>TRIM(Formulario!L405)</f>
        <v/>
      </c>
      <c r="M394" s="107" t="str">
        <f>TRIM(Formulario!M405)</f>
        <v>0</v>
      </c>
      <c r="N394" s="11" t="str">
        <f>TRIM(Formulario!H405)</f>
        <v/>
      </c>
      <c r="P394" s="17"/>
      <c r="Q394" s="104"/>
      <c r="R394" s="104"/>
      <c r="S394" s="117"/>
      <c r="T394" s="101"/>
      <c r="U394" s="101"/>
      <c r="V394" s="101"/>
      <c r="W394" s="102"/>
      <c r="X394" s="102"/>
      <c r="Y394" s="102"/>
      <c r="Z394" s="102"/>
      <c r="AA394" s="102"/>
      <c r="AB394" s="102"/>
      <c r="AC394" s="102"/>
      <c r="AD394" s="102"/>
    </row>
    <row r="395" spans="1:30">
      <c r="A395" s="8" t="str">
        <f>IF(L395="","",Formulario!B406)</f>
        <v/>
      </c>
      <c r="B395" s="119"/>
      <c r="C395" s="120"/>
      <c r="D395" s="121"/>
      <c r="E395" s="129" t="str">
        <f>IF(F395="","",Formulario!B406)</f>
        <v/>
      </c>
      <c r="F395" s="11" t="str">
        <f>TRIM(Formulario!D406)</f>
        <v/>
      </c>
      <c r="G395" s="11" t="str">
        <f>TRIM(Formulario!F406)</f>
        <v/>
      </c>
      <c r="H395" s="146" t="str">
        <f>IF(N395="",TRIM(Formulario!G406),TRIM(Formulario!G406)*N395)</f>
        <v/>
      </c>
      <c r="I395" s="107" t="str">
        <f>TRIM(Formulario!I406)</f>
        <v/>
      </c>
      <c r="J395" s="11" t="str">
        <f>TRIM(Formulario!J406)</f>
        <v/>
      </c>
      <c r="K395" s="11" t="str">
        <f>TRIM(Formulario!K406)</f>
        <v/>
      </c>
      <c r="L395" s="107" t="str">
        <f>TRIM(Formulario!L406)</f>
        <v/>
      </c>
      <c r="M395" s="107" t="str">
        <f>TRIM(Formulario!M406)</f>
        <v>0</v>
      </c>
      <c r="N395" s="11" t="str">
        <f>TRIM(Formulario!H406)</f>
        <v/>
      </c>
      <c r="P395" s="17"/>
      <c r="Q395" s="104"/>
      <c r="R395" s="104"/>
      <c r="S395" s="117"/>
      <c r="T395" s="101"/>
      <c r="U395" s="101"/>
      <c r="V395" s="101"/>
      <c r="W395" s="102"/>
      <c r="X395" s="102"/>
      <c r="Y395" s="102"/>
      <c r="Z395" s="102"/>
      <c r="AA395" s="102"/>
      <c r="AB395" s="102"/>
      <c r="AC395" s="102"/>
      <c r="AD395" s="102"/>
    </row>
    <row r="396" spans="1:30">
      <c r="A396" s="8" t="str">
        <f>IF(L396="","",Formulario!B407)</f>
        <v/>
      </c>
      <c r="B396" s="119"/>
      <c r="C396" s="120"/>
      <c r="D396" s="121"/>
      <c r="E396" s="129" t="str">
        <f>IF(F396="","",Formulario!B407)</f>
        <v/>
      </c>
      <c r="F396" s="11" t="str">
        <f>TRIM(Formulario!D407)</f>
        <v/>
      </c>
      <c r="G396" s="11" t="str">
        <f>TRIM(Formulario!F407)</f>
        <v/>
      </c>
      <c r="H396" s="146" t="str">
        <f>IF(N396="",TRIM(Formulario!G407),TRIM(Formulario!G407)*N396)</f>
        <v/>
      </c>
      <c r="I396" s="107" t="str">
        <f>TRIM(Formulario!I407)</f>
        <v/>
      </c>
      <c r="J396" s="11" t="str">
        <f>TRIM(Formulario!J407)</f>
        <v/>
      </c>
      <c r="K396" s="11" t="str">
        <f>TRIM(Formulario!K407)</f>
        <v/>
      </c>
      <c r="L396" s="107" t="str">
        <f>TRIM(Formulario!L407)</f>
        <v/>
      </c>
      <c r="M396" s="107" t="str">
        <f>TRIM(Formulario!M407)</f>
        <v>0</v>
      </c>
      <c r="N396" s="11" t="str">
        <f>TRIM(Formulario!H407)</f>
        <v/>
      </c>
      <c r="P396" s="17"/>
      <c r="Q396" s="104"/>
      <c r="R396" s="104"/>
      <c r="S396" s="117"/>
      <c r="T396" s="101"/>
      <c r="U396" s="101"/>
      <c r="V396" s="101"/>
      <c r="W396" s="102"/>
      <c r="X396" s="102"/>
      <c r="Y396" s="102"/>
      <c r="Z396" s="102"/>
      <c r="AA396" s="102"/>
      <c r="AB396" s="102"/>
      <c r="AC396" s="102"/>
      <c r="AD396" s="102"/>
    </row>
    <row r="397" spans="1:30">
      <c r="A397" s="8" t="str">
        <f>IF(L397="","",Formulario!B408)</f>
        <v/>
      </c>
      <c r="B397" s="119"/>
      <c r="C397" s="120"/>
      <c r="D397" s="121"/>
      <c r="E397" s="129" t="str">
        <f>IF(F397="","",Formulario!B408)</f>
        <v/>
      </c>
      <c r="F397" s="11" t="str">
        <f>TRIM(Formulario!D408)</f>
        <v/>
      </c>
      <c r="G397" s="11" t="str">
        <f>TRIM(Formulario!F408)</f>
        <v/>
      </c>
      <c r="H397" s="146" t="str">
        <f>IF(N397="",TRIM(Formulario!G408),TRIM(Formulario!G408)*N397)</f>
        <v/>
      </c>
      <c r="I397" s="107" t="str">
        <f>TRIM(Formulario!I408)</f>
        <v/>
      </c>
      <c r="J397" s="11" t="str">
        <f>TRIM(Formulario!J408)</f>
        <v/>
      </c>
      <c r="K397" s="11" t="str">
        <f>TRIM(Formulario!K408)</f>
        <v/>
      </c>
      <c r="L397" s="107" t="str">
        <f>TRIM(Formulario!L408)</f>
        <v/>
      </c>
      <c r="M397" s="107" t="str">
        <f>TRIM(Formulario!M408)</f>
        <v>0</v>
      </c>
      <c r="N397" s="11" t="str">
        <f>TRIM(Formulario!H408)</f>
        <v/>
      </c>
      <c r="P397" s="17"/>
      <c r="Q397" s="104"/>
      <c r="R397" s="104"/>
      <c r="S397" s="117"/>
      <c r="T397" s="101"/>
      <c r="U397" s="101"/>
      <c r="V397" s="101"/>
      <c r="W397" s="102"/>
      <c r="X397" s="102"/>
      <c r="Y397" s="102"/>
      <c r="Z397" s="102"/>
      <c r="AA397" s="102"/>
      <c r="AB397" s="102"/>
      <c r="AC397" s="102"/>
      <c r="AD397" s="102"/>
    </row>
    <row r="398" spans="1:30">
      <c r="A398" s="8" t="str">
        <f>IF(L398="","",Formulario!B409)</f>
        <v/>
      </c>
      <c r="B398" s="119"/>
      <c r="C398" s="120"/>
      <c r="D398" s="121"/>
      <c r="E398" s="129" t="str">
        <f>IF(F398="","",Formulario!B409)</f>
        <v/>
      </c>
      <c r="F398" s="11" t="str">
        <f>TRIM(Formulario!D409)</f>
        <v/>
      </c>
      <c r="G398" s="11" t="str">
        <f>TRIM(Formulario!F409)</f>
        <v/>
      </c>
      <c r="H398" s="146" t="str">
        <f>IF(N398="",TRIM(Formulario!G409),TRIM(Formulario!G409)*N398)</f>
        <v/>
      </c>
      <c r="I398" s="107" t="str">
        <f>TRIM(Formulario!I409)</f>
        <v/>
      </c>
      <c r="J398" s="11" t="str">
        <f>TRIM(Formulario!J409)</f>
        <v/>
      </c>
      <c r="K398" s="11" t="str">
        <f>TRIM(Formulario!K409)</f>
        <v/>
      </c>
      <c r="L398" s="107" t="str">
        <f>TRIM(Formulario!L409)</f>
        <v/>
      </c>
      <c r="M398" s="107" t="str">
        <f>TRIM(Formulario!M409)</f>
        <v>0</v>
      </c>
      <c r="N398" s="11" t="str">
        <f>TRIM(Formulario!H409)</f>
        <v/>
      </c>
      <c r="P398" s="17"/>
      <c r="Q398" s="104"/>
      <c r="R398" s="104"/>
      <c r="S398" s="117"/>
      <c r="T398" s="101"/>
      <c r="U398" s="101"/>
      <c r="V398" s="101"/>
      <c r="W398" s="102"/>
      <c r="X398" s="102"/>
      <c r="Y398" s="102"/>
      <c r="Z398" s="102"/>
      <c r="AA398" s="102"/>
      <c r="AB398" s="102"/>
      <c r="AC398" s="102"/>
      <c r="AD398" s="102"/>
    </row>
    <row r="399" spans="1:30">
      <c r="A399" s="8" t="str">
        <f>IF(L399="","",Formulario!B410)</f>
        <v/>
      </c>
      <c r="B399" s="119"/>
      <c r="C399" s="120"/>
      <c r="D399" s="121"/>
      <c r="E399" s="129" t="str">
        <f>IF(F399="","",Formulario!B410)</f>
        <v/>
      </c>
      <c r="F399" s="11" t="str">
        <f>TRIM(Formulario!D410)</f>
        <v/>
      </c>
      <c r="G399" s="11" t="str">
        <f>TRIM(Formulario!F410)</f>
        <v/>
      </c>
      <c r="H399" s="146" t="str">
        <f>IF(N399="",TRIM(Formulario!G410),TRIM(Formulario!G410)*N399)</f>
        <v/>
      </c>
      <c r="I399" s="107" t="str">
        <f>TRIM(Formulario!I410)</f>
        <v/>
      </c>
      <c r="J399" s="11" t="str">
        <f>TRIM(Formulario!J410)</f>
        <v/>
      </c>
      <c r="K399" s="11" t="str">
        <f>TRIM(Formulario!K410)</f>
        <v/>
      </c>
      <c r="L399" s="107" t="str">
        <f>TRIM(Formulario!L410)</f>
        <v/>
      </c>
      <c r="M399" s="107" t="str">
        <f>TRIM(Formulario!M410)</f>
        <v>0</v>
      </c>
      <c r="N399" s="11" t="str">
        <f>TRIM(Formulario!H410)</f>
        <v/>
      </c>
      <c r="P399" s="17"/>
      <c r="Q399" s="104"/>
      <c r="R399" s="104"/>
      <c r="S399" s="117"/>
      <c r="T399" s="101"/>
      <c r="U399" s="101"/>
      <c r="V399" s="101"/>
      <c r="W399" s="102"/>
      <c r="X399" s="102"/>
      <c r="Y399" s="102"/>
      <c r="Z399" s="102"/>
      <c r="AA399" s="102"/>
      <c r="AB399" s="102"/>
      <c r="AC399" s="102"/>
      <c r="AD399" s="102"/>
    </row>
    <row r="400" spans="1:30">
      <c r="A400" s="8" t="str">
        <f>IF(L400="","",Formulario!B411)</f>
        <v/>
      </c>
      <c r="B400" s="119"/>
      <c r="C400" s="120"/>
      <c r="D400" s="121"/>
      <c r="E400" s="129" t="str">
        <f>IF(F400="","",Formulario!B411)</f>
        <v/>
      </c>
      <c r="F400" s="11" t="str">
        <f>TRIM(Formulario!D411)</f>
        <v/>
      </c>
      <c r="G400" s="11" t="str">
        <f>TRIM(Formulario!F411)</f>
        <v/>
      </c>
      <c r="H400" s="146" t="str">
        <f>IF(N400="",TRIM(Formulario!G411),TRIM(Formulario!G411)*N400)</f>
        <v/>
      </c>
      <c r="I400" s="107" t="str">
        <f>TRIM(Formulario!I411)</f>
        <v/>
      </c>
      <c r="J400" s="11" t="str">
        <f>TRIM(Formulario!J411)</f>
        <v/>
      </c>
      <c r="K400" s="11" t="str">
        <f>TRIM(Formulario!K411)</f>
        <v/>
      </c>
      <c r="L400" s="107" t="str">
        <f>TRIM(Formulario!L411)</f>
        <v/>
      </c>
      <c r="M400" s="107" t="str">
        <f>TRIM(Formulario!M411)</f>
        <v>0</v>
      </c>
      <c r="N400" s="11" t="str">
        <f>TRIM(Formulario!H411)</f>
        <v/>
      </c>
      <c r="P400" s="17"/>
      <c r="Q400" s="104"/>
      <c r="R400" s="104"/>
      <c r="S400" s="117"/>
      <c r="T400" s="101"/>
      <c r="U400" s="101"/>
      <c r="V400" s="101"/>
      <c r="W400" s="102"/>
      <c r="X400" s="102"/>
      <c r="Y400" s="102"/>
      <c r="Z400" s="102"/>
      <c r="AA400" s="102"/>
      <c r="AB400" s="102"/>
      <c r="AC400" s="102"/>
      <c r="AD400" s="102"/>
    </row>
    <row r="401" spans="1:30">
      <c r="A401" s="8" t="str">
        <f>IF(L401="","",Formulario!B412)</f>
        <v/>
      </c>
      <c r="B401" s="119"/>
      <c r="C401" s="120"/>
      <c r="D401" s="121"/>
      <c r="E401" s="129" t="str">
        <f>IF(F401="","",Formulario!B412)</f>
        <v/>
      </c>
      <c r="F401" s="11" t="str">
        <f>TRIM(Formulario!D412)</f>
        <v/>
      </c>
      <c r="G401" s="11" t="str">
        <f>TRIM(Formulario!F412)</f>
        <v/>
      </c>
      <c r="H401" s="146" t="str">
        <f>IF(N401="",TRIM(Formulario!G412),TRIM(Formulario!G412)*N401)</f>
        <v/>
      </c>
      <c r="I401" s="107" t="str">
        <f>TRIM(Formulario!I412)</f>
        <v/>
      </c>
      <c r="J401" s="11" t="str">
        <f>TRIM(Formulario!J412)</f>
        <v/>
      </c>
      <c r="K401" s="11" t="str">
        <f>TRIM(Formulario!K412)</f>
        <v/>
      </c>
      <c r="L401" s="107" t="str">
        <f>TRIM(Formulario!L412)</f>
        <v/>
      </c>
      <c r="M401" s="107" t="str">
        <f>TRIM(Formulario!M412)</f>
        <v>0</v>
      </c>
      <c r="N401" s="11" t="str">
        <f>TRIM(Formulario!H412)</f>
        <v/>
      </c>
      <c r="P401" s="17"/>
      <c r="Q401" s="104"/>
      <c r="R401" s="104"/>
      <c r="S401" s="117"/>
      <c r="T401" s="101"/>
      <c r="U401" s="101"/>
      <c r="V401" s="101"/>
      <c r="W401" s="102"/>
      <c r="X401" s="102"/>
      <c r="Y401" s="102"/>
      <c r="Z401" s="102"/>
      <c r="AA401" s="102"/>
      <c r="AB401" s="102"/>
      <c r="AC401" s="102"/>
      <c r="AD401" s="102"/>
    </row>
    <row r="402" spans="1:30">
      <c r="A402" s="8" t="str">
        <f>IF(L402="","",Formulario!B413)</f>
        <v/>
      </c>
      <c r="B402" s="119"/>
      <c r="C402" s="120"/>
      <c r="D402" s="121"/>
      <c r="E402" s="129" t="str">
        <f>IF(F402="","",Formulario!B413)</f>
        <v/>
      </c>
      <c r="F402" s="11" t="str">
        <f>TRIM(Formulario!D413)</f>
        <v/>
      </c>
      <c r="G402" s="11" t="str">
        <f>TRIM(Formulario!F413)</f>
        <v/>
      </c>
      <c r="H402" s="146" t="str">
        <f>IF(N402="",TRIM(Formulario!G413),TRIM(Formulario!G413)*N402)</f>
        <v/>
      </c>
      <c r="I402" s="107" t="str">
        <f>TRIM(Formulario!I413)</f>
        <v/>
      </c>
      <c r="J402" s="11" t="str">
        <f>TRIM(Formulario!J413)</f>
        <v/>
      </c>
      <c r="K402" s="11" t="str">
        <f>TRIM(Formulario!K413)</f>
        <v/>
      </c>
      <c r="L402" s="107" t="str">
        <f>TRIM(Formulario!L413)</f>
        <v/>
      </c>
      <c r="M402" s="107" t="str">
        <f>TRIM(Formulario!M413)</f>
        <v>0</v>
      </c>
      <c r="N402" s="11" t="str">
        <f>TRIM(Formulario!H413)</f>
        <v/>
      </c>
      <c r="P402" s="17"/>
      <c r="Q402" s="104"/>
      <c r="R402" s="104"/>
      <c r="S402" s="117"/>
      <c r="T402" s="101"/>
      <c r="U402" s="101"/>
      <c r="V402" s="101"/>
      <c r="W402" s="102"/>
      <c r="X402" s="102"/>
      <c r="Y402" s="102"/>
      <c r="Z402" s="102"/>
      <c r="AA402" s="102"/>
      <c r="AB402" s="102"/>
      <c r="AC402" s="102"/>
      <c r="AD402" s="102"/>
    </row>
    <row r="403" spans="1:30">
      <c r="A403" s="8" t="str">
        <f>IF(L403="","",Formulario!B414)</f>
        <v/>
      </c>
      <c r="B403" s="119"/>
      <c r="C403" s="120"/>
      <c r="D403" s="121"/>
      <c r="E403" s="129" t="str">
        <f>IF(F403="","",Formulario!B414)</f>
        <v/>
      </c>
      <c r="F403" s="11" t="str">
        <f>TRIM(Formulario!D414)</f>
        <v/>
      </c>
      <c r="G403" s="11" t="str">
        <f>TRIM(Formulario!F414)</f>
        <v/>
      </c>
      <c r="H403" s="146" t="str">
        <f>IF(N403="",TRIM(Formulario!G414),TRIM(Formulario!G414)*N403)</f>
        <v/>
      </c>
      <c r="I403" s="107" t="str">
        <f>TRIM(Formulario!I414)</f>
        <v/>
      </c>
      <c r="J403" s="11" t="str">
        <f>TRIM(Formulario!J414)</f>
        <v/>
      </c>
      <c r="K403" s="11" t="str">
        <f>TRIM(Formulario!K414)</f>
        <v/>
      </c>
      <c r="L403" s="107" t="str">
        <f>TRIM(Formulario!L414)</f>
        <v/>
      </c>
      <c r="M403" s="107" t="str">
        <f>TRIM(Formulario!M414)</f>
        <v>0</v>
      </c>
      <c r="N403" s="11" t="str">
        <f>TRIM(Formulario!H414)</f>
        <v/>
      </c>
      <c r="P403" s="17"/>
      <c r="Q403" s="104"/>
      <c r="R403" s="104"/>
      <c r="S403" s="117"/>
      <c r="T403" s="101"/>
      <c r="U403" s="101"/>
      <c r="V403" s="101"/>
      <c r="W403" s="102"/>
      <c r="X403" s="102"/>
      <c r="Y403" s="102"/>
      <c r="Z403" s="102"/>
      <c r="AA403" s="102"/>
      <c r="AB403" s="102"/>
      <c r="AC403" s="102"/>
      <c r="AD403" s="102"/>
    </row>
    <row r="404" spans="1:30">
      <c r="A404" s="8" t="str">
        <f>IF(L404="","",Formulario!B415)</f>
        <v/>
      </c>
      <c r="B404" s="119"/>
      <c r="C404" s="120"/>
      <c r="D404" s="121"/>
      <c r="E404" s="129" t="str">
        <f>IF(F404="","",Formulario!B415)</f>
        <v/>
      </c>
      <c r="F404" s="11" t="str">
        <f>TRIM(Formulario!D415)</f>
        <v/>
      </c>
      <c r="G404" s="11" t="str">
        <f>TRIM(Formulario!F415)</f>
        <v/>
      </c>
      <c r="H404" s="146" t="str">
        <f>IF(N404="",TRIM(Formulario!G415),TRIM(Formulario!G415)*N404)</f>
        <v/>
      </c>
      <c r="I404" s="107" t="str">
        <f>TRIM(Formulario!I415)</f>
        <v/>
      </c>
      <c r="J404" s="11" t="str">
        <f>TRIM(Formulario!J415)</f>
        <v/>
      </c>
      <c r="K404" s="11" t="str">
        <f>TRIM(Formulario!K415)</f>
        <v/>
      </c>
      <c r="L404" s="107" t="str">
        <f>TRIM(Formulario!L415)</f>
        <v/>
      </c>
      <c r="M404" s="107" t="str">
        <f>TRIM(Formulario!M415)</f>
        <v>0</v>
      </c>
      <c r="N404" s="11" t="str">
        <f>TRIM(Formulario!H415)</f>
        <v/>
      </c>
      <c r="P404" s="17"/>
      <c r="Q404" s="104"/>
      <c r="R404" s="104"/>
      <c r="S404" s="117"/>
      <c r="T404" s="101"/>
      <c r="U404" s="101"/>
      <c r="V404" s="101"/>
      <c r="W404" s="102"/>
      <c r="X404" s="102"/>
      <c r="Y404" s="102"/>
      <c r="Z404" s="102"/>
      <c r="AA404" s="102"/>
      <c r="AB404" s="102"/>
      <c r="AC404" s="102"/>
      <c r="AD404" s="102"/>
    </row>
    <row r="405" spans="1:30">
      <c r="A405" s="8" t="str">
        <f>IF(L405="","",Formulario!B416)</f>
        <v/>
      </c>
      <c r="B405" s="119"/>
      <c r="C405" s="120"/>
      <c r="D405" s="121"/>
      <c r="E405" s="129" t="str">
        <f>IF(F405="","",Formulario!B416)</f>
        <v/>
      </c>
      <c r="F405" s="11" t="str">
        <f>TRIM(Formulario!D416)</f>
        <v/>
      </c>
      <c r="G405" s="11" t="str">
        <f>TRIM(Formulario!F416)</f>
        <v/>
      </c>
      <c r="H405" s="146" t="str">
        <f>IF(N405="",TRIM(Formulario!G416),TRIM(Formulario!G416)*N405)</f>
        <v/>
      </c>
      <c r="I405" s="107" t="str">
        <f>TRIM(Formulario!I416)</f>
        <v/>
      </c>
      <c r="J405" s="11" t="str">
        <f>TRIM(Formulario!J416)</f>
        <v/>
      </c>
      <c r="K405" s="11" t="str">
        <f>TRIM(Formulario!K416)</f>
        <v/>
      </c>
      <c r="L405" s="107" t="str">
        <f>TRIM(Formulario!L416)</f>
        <v/>
      </c>
      <c r="M405" s="107" t="str">
        <f>TRIM(Formulario!M416)</f>
        <v>0</v>
      </c>
      <c r="N405" s="11" t="str">
        <f>TRIM(Formulario!H416)</f>
        <v/>
      </c>
      <c r="P405" s="17"/>
      <c r="Q405" s="104"/>
      <c r="R405" s="104"/>
      <c r="S405" s="117"/>
      <c r="T405" s="101"/>
      <c r="U405" s="101"/>
      <c r="V405" s="101"/>
      <c r="W405" s="102"/>
      <c r="X405" s="102"/>
      <c r="Y405" s="102"/>
      <c r="Z405" s="102"/>
      <c r="AA405" s="102"/>
      <c r="AB405" s="102"/>
      <c r="AC405" s="102"/>
      <c r="AD405" s="102"/>
    </row>
    <row r="406" spans="1:30">
      <c r="A406" s="8" t="str">
        <f>IF(L406="","",Formulario!B417)</f>
        <v/>
      </c>
      <c r="B406" s="119"/>
      <c r="C406" s="120"/>
      <c r="D406" s="121"/>
      <c r="E406" s="129" t="str">
        <f>IF(F406="","",Formulario!B417)</f>
        <v/>
      </c>
      <c r="F406" s="11" t="str">
        <f>TRIM(Formulario!D417)</f>
        <v/>
      </c>
      <c r="G406" s="11" t="str">
        <f>TRIM(Formulario!F417)</f>
        <v/>
      </c>
      <c r="H406" s="146" t="str">
        <f>IF(N406="",TRIM(Formulario!G417),TRIM(Formulario!G417)*N406)</f>
        <v/>
      </c>
      <c r="I406" s="107" t="str">
        <f>TRIM(Formulario!I417)</f>
        <v/>
      </c>
      <c r="J406" s="11" t="str">
        <f>TRIM(Formulario!J417)</f>
        <v/>
      </c>
      <c r="K406" s="11" t="str">
        <f>TRIM(Formulario!K417)</f>
        <v/>
      </c>
      <c r="L406" s="107" t="str">
        <f>TRIM(Formulario!L417)</f>
        <v/>
      </c>
      <c r="M406" s="107" t="str">
        <f>TRIM(Formulario!M417)</f>
        <v>0</v>
      </c>
      <c r="N406" s="11" t="str">
        <f>TRIM(Formulario!H417)</f>
        <v/>
      </c>
      <c r="P406" s="17"/>
      <c r="Q406" s="104"/>
      <c r="R406" s="104"/>
      <c r="S406" s="117"/>
      <c r="T406" s="101"/>
      <c r="U406" s="101"/>
      <c r="V406" s="101"/>
      <c r="W406" s="102"/>
      <c r="X406" s="102"/>
      <c r="Y406" s="102"/>
      <c r="Z406" s="102"/>
      <c r="AA406" s="102"/>
      <c r="AB406" s="102"/>
      <c r="AC406" s="102"/>
      <c r="AD406" s="102"/>
    </row>
    <row r="407" spans="1:30">
      <c r="A407" s="8" t="str">
        <f>IF(L407="","",Formulario!B418)</f>
        <v/>
      </c>
      <c r="B407" s="119"/>
      <c r="C407" s="120"/>
      <c r="D407" s="121"/>
      <c r="E407" s="129" t="str">
        <f>IF(F407="","",Formulario!B418)</f>
        <v/>
      </c>
      <c r="F407" s="11" t="str">
        <f>TRIM(Formulario!D418)</f>
        <v/>
      </c>
      <c r="G407" s="11" t="str">
        <f>TRIM(Formulario!F418)</f>
        <v/>
      </c>
      <c r="H407" s="146" t="str">
        <f>IF(N407="",TRIM(Formulario!G418),TRIM(Formulario!G418)*N407)</f>
        <v/>
      </c>
      <c r="I407" s="107" t="str">
        <f>TRIM(Formulario!I418)</f>
        <v/>
      </c>
      <c r="J407" s="11" t="str">
        <f>TRIM(Formulario!J418)</f>
        <v/>
      </c>
      <c r="K407" s="11" t="str">
        <f>TRIM(Formulario!K418)</f>
        <v/>
      </c>
      <c r="L407" s="107" t="str">
        <f>TRIM(Formulario!L418)</f>
        <v/>
      </c>
      <c r="M407" s="107" t="str">
        <f>TRIM(Formulario!M418)</f>
        <v>0</v>
      </c>
      <c r="N407" s="11" t="str">
        <f>TRIM(Formulario!H418)</f>
        <v/>
      </c>
      <c r="P407" s="17"/>
      <c r="Q407" s="104"/>
      <c r="R407" s="104"/>
      <c r="S407" s="117"/>
      <c r="T407" s="101"/>
      <c r="U407" s="101"/>
      <c r="V407" s="101"/>
      <c r="W407" s="102"/>
      <c r="X407" s="102"/>
      <c r="Y407" s="102"/>
      <c r="Z407" s="102"/>
      <c r="AA407" s="102"/>
      <c r="AB407" s="102"/>
      <c r="AC407" s="102"/>
      <c r="AD407" s="102"/>
    </row>
    <row r="408" spans="1:30">
      <c r="A408" s="8" t="str">
        <f>IF(L408="","",Formulario!B419)</f>
        <v/>
      </c>
      <c r="B408" s="119"/>
      <c r="C408" s="120"/>
      <c r="D408" s="121"/>
      <c r="E408" s="129" t="str">
        <f>IF(F408="","",Formulario!B419)</f>
        <v/>
      </c>
      <c r="F408" s="11" t="str">
        <f>TRIM(Formulario!D419)</f>
        <v/>
      </c>
      <c r="G408" s="11" t="str">
        <f>TRIM(Formulario!F419)</f>
        <v/>
      </c>
      <c r="H408" s="146" t="str">
        <f>IF(N408="",TRIM(Formulario!G419),TRIM(Formulario!G419)*N408)</f>
        <v/>
      </c>
      <c r="I408" s="107" t="str">
        <f>TRIM(Formulario!I419)</f>
        <v/>
      </c>
      <c r="J408" s="11" t="str">
        <f>TRIM(Formulario!J419)</f>
        <v/>
      </c>
      <c r="K408" s="11" t="str">
        <f>TRIM(Formulario!K419)</f>
        <v/>
      </c>
      <c r="L408" s="107" t="str">
        <f>TRIM(Formulario!L419)</f>
        <v/>
      </c>
      <c r="M408" s="107" t="str">
        <f>TRIM(Formulario!M419)</f>
        <v>0</v>
      </c>
      <c r="N408" s="11" t="str">
        <f>TRIM(Formulario!H419)</f>
        <v/>
      </c>
      <c r="P408" s="17"/>
      <c r="Q408" s="104"/>
      <c r="R408" s="104"/>
      <c r="S408" s="117"/>
      <c r="T408" s="101"/>
      <c r="U408" s="101"/>
      <c r="V408" s="101"/>
      <c r="W408" s="102"/>
      <c r="X408" s="102"/>
      <c r="Y408" s="102"/>
      <c r="Z408" s="102"/>
      <c r="AA408" s="102"/>
      <c r="AB408" s="102"/>
      <c r="AC408" s="102"/>
      <c r="AD408" s="102"/>
    </row>
    <row r="409" spans="1:30">
      <c r="A409" s="8" t="str">
        <f>IF(L409="","",Formulario!B420)</f>
        <v/>
      </c>
      <c r="B409" s="119"/>
      <c r="C409" s="120"/>
      <c r="D409" s="121"/>
      <c r="E409" s="129" t="str">
        <f>IF(F409="","",Formulario!B420)</f>
        <v/>
      </c>
      <c r="F409" s="11" t="str">
        <f>TRIM(Formulario!D420)</f>
        <v/>
      </c>
      <c r="G409" s="11" t="str">
        <f>TRIM(Formulario!F420)</f>
        <v/>
      </c>
      <c r="H409" s="146" t="str">
        <f>IF(N409="",TRIM(Formulario!G420),TRIM(Formulario!G420)*N409)</f>
        <v/>
      </c>
      <c r="I409" s="107" t="str">
        <f>TRIM(Formulario!I420)</f>
        <v/>
      </c>
      <c r="J409" s="11" t="str">
        <f>TRIM(Formulario!J420)</f>
        <v/>
      </c>
      <c r="K409" s="11" t="str">
        <f>TRIM(Formulario!K420)</f>
        <v/>
      </c>
      <c r="L409" s="107" t="str">
        <f>TRIM(Formulario!L420)</f>
        <v/>
      </c>
      <c r="M409" s="107" t="str">
        <f>TRIM(Formulario!M420)</f>
        <v>0</v>
      </c>
      <c r="N409" s="11" t="str">
        <f>TRIM(Formulario!H420)</f>
        <v/>
      </c>
      <c r="P409" s="17"/>
      <c r="Q409" s="104"/>
      <c r="R409" s="104"/>
      <c r="S409" s="117"/>
      <c r="T409" s="101"/>
      <c r="U409" s="101"/>
      <c r="V409" s="101"/>
      <c r="W409" s="102"/>
      <c r="X409" s="102"/>
      <c r="Y409" s="102"/>
      <c r="Z409" s="102"/>
      <c r="AA409" s="102"/>
      <c r="AB409" s="102"/>
      <c r="AC409" s="102"/>
      <c r="AD409" s="102"/>
    </row>
    <row r="410" spans="1:30">
      <c r="A410" s="8" t="str">
        <f>IF(L410="","",Formulario!B421)</f>
        <v/>
      </c>
      <c r="B410" s="119"/>
      <c r="C410" s="120"/>
      <c r="D410" s="121"/>
      <c r="E410" s="129" t="str">
        <f>IF(F410="","",Formulario!B421)</f>
        <v/>
      </c>
      <c r="F410" s="11" t="str">
        <f>TRIM(Formulario!D421)</f>
        <v/>
      </c>
      <c r="G410" s="11" t="str">
        <f>TRIM(Formulario!F421)</f>
        <v/>
      </c>
      <c r="H410" s="146" t="str">
        <f>IF(N410="",TRIM(Formulario!G421),TRIM(Formulario!G421)*N410)</f>
        <v/>
      </c>
      <c r="I410" s="107" t="str">
        <f>TRIM(Formulario!I421)</f>
        <v/>
      </c>
      <c r="J410" s="11" t="str">
        <f>TRIM(Formulario!J421)</f>
        <v/>
      </c>
      <c r="K410" s="11" t="str">
        <f>TRIM(Formulario!K421)</f>
        <v/>
      </c>
      <c r="L410" s="107" t="str">
        <f>TRIM(Formulario!L421)</f>
        <v/>
      </c>
      <c r="M410" s="107" t="str">
        <f>TRIM(Formulario!M421)</f>
        <v>0</v>
      </c>
      <c r="N410" s="11" t="str">
        <f>TRIM(Formulario!H421)</f>
        <v/>
      </c>
      <c r="P410" s="17"/>
      <c r="Q410" s="104"/>
      <c r="R410" s="104"/>
      <c r="S410" s="117"/>
      <c r="T410" s="101"/>
      <c r="U410" s="101"/>
      <c r="V410" s="101"/>
      <c r="W410" s="102"/>
      <c r="X410" s="102"/>
      <c r="Y410" s="102"/>
      <c r="Z410" s="102"/>
      <c r="AA410" s="102"/>
      <c r="AB410" s="102"/>
      <c r="AC410" s="102"/>
      <c r="AD410" s="102"/>
    </row>
    <row r="411" spans="1:30">
      <c r="A411" s="8" t="str">
        <f>IF(L411="","",Formulario!B422)</f>
        <v/>
      </c>
      <c r="B411" s="119"/>
      <c r="C411" s="120"/>
      <c r="D411" s="121"/>
      <c r="E411" s="129" t="str">
        <f>IF(F411="","",Formulario!B422)</f>
        <v/>
      </c>
      <c r="F411" s="11" t="str">
        <f>TRIM(Formulario!D422)</f>
        <v/>
      </c>
      <c r="G411" s="11" t="str">
        <f>TRIM(Formulario!F422)</f>
        <v/>
      </c>
      <c r="H411" s="146" t="str">
        <f>IF(N411="",TRIM(Formulario!G422),TRIM(Formulario!G422)*N411)</f>
        <v/>
      </c>
      <c r="I411" s="107" t="str">
        <f>TRIM(Formulario!I422)</f>
        <v/>
      </c>
      <c r="J411" s="11" t="str">
        <f>TRIM(Formulario!J422)</f>
        <v/>
      </c>
      <c r="K411" s="11" t="str">
        <f>TRIM(Formulario!K422)</f>
        <v/>
      </c>
      <c r="L411" s="107" t="str">
        <f>TRIM(Formulario!L422)</f>
        <v/>
      </c>
      <c r="M411" s="107" t="str">
        <f>TRIM(Formulario!M422)</f>
        <v>0</v>
      </c>
      <c r="N411" s="11" t="str">
        <f>TRIM(Formulario!H422)</f>
        <v/>
      </c>
      <c r="P411" s="17"/>
      <c r="Q411" s="104"/>
      <c r="R411" s="104"/>
      <c r="S411" s="117"/>
      <c r="T411" s="101"/>
      <c r="U411" s="101"/>
      <c r="V411" s="101"/>
      <c r="W411" s="102"/>
      <c r="X411" s="102"/>
      <c r="Y411" s="102"/>
      <c r="Z411" s="102"/>
      <c r="AA411" s="102"/>
      <c r="AB411" s="102"/>
      <c r="AC411" s="102"/>
      <c r="AD411" s="102"/>
    </row>
    <row r="412" spans="1:30">
      <c r="A412" s="8" t="str">
        <f>IF(L412="","",Formulario!B423)</f>
        <v/>
      </c>
      <c r="B412" s="119"/>
      <c r="C412" s="120"/>
      <c r="D412" s="121"/>
      <c r="E412" s="129" t="str">
        <f>IF(F412="","",Formulario!B423)</f>
        <v/>
      </c>
      <c r="F412" s="11" t="str">
        <f>TRIM(Formulario!D423)</f>
        <v/>
      </c>
      <c r="G412" s="11" t="str">
        <f>TRIM(Formulario!F423)</f>
        <v/>
      </c>
      <c r="H412" s="146" t="str">
        <f>IF(N412="",TRIM(Formulario!G423),TRIM(Formulario!G423)*N412)</f>
        <v/>
      </c>
      <c r="I412" s="107" t="str">
        <f>TRIM(Formulario!I423)</f>
        <v/>
      </c>
      <c r="J412" s="11" t="str">
        <f>TRIM(Formulario!J423)</f>
        <v/>
      </c>
      <c r="K412" s="11" t="str">
        <f>TRIM(Formulario!K423)</f>
        <v/>
      </c>
      <c r="L412" s="107" t="str">
        <f>TRIM(Formulario!L423)</f>
        <v/>
      </c>
      <c r="M412" s="107" t="str">
        <f>TRIM(Formulario!M423)</f>
        <v>0</v>
      </c>
      <c r="N412" s="11" t="str">
        <f>TRIM(Formulario!H423)</f>
        <v/>
      </c>
      <c r="P412" s="17"/>
      <c r="Q412" s="104"/>
      <c r="R412" s="104"/>
      <c r="S412" s="117"/>
      <c r="T412" s="101"/>
      <c r="U412" s="101"/>
      <c r="V412" s="101"/>
      <c r="W412" s="102"/>
      <c r="X412" s="102"/>
      <c r="Y412" s="102"/>
      <c r="Z412" s="102"/>
      <c r="AA412" s="102"/>
      <c r="AB412" s="102"/>
      <c r="AC412" s="102"/>
      <c r="AD412" s="102"/>
    </row>
    <row r="413" spans="1:30">
      <c r="A413" s="8" t="str">
        <f>IF(L413="","",Formulario!B424)</f>
        <v/>
      </c>
      <c r="B413" s="119"/>
      <c r="C413" s="120"/>
      <c r="D413" s="121"/>
      <c r="E413" s="129" t="str">
        <f>IF(F413="","",Formulario!B424)</f>
        <v/>
      </c>
      <c r="F413" s="11" t="str">
        <f>TRIM(Formulario!D424)</f>
        <v/>
      </c>
      <c r="G413" s="11" t="str">
        <f>TRIM(Formulario!F424)</f>
        <v/>
      </c>
      <c r="H413" s="146" t="str">
        <f>IF(N413="",TRIM(Formulario!G424),TRIM(Formulario!G424)*N413)</f>
        <v/>
      </c>
      <c r="I413" s="107" t="str">
        <f>TRIM(Formulario!I424)</f>
        <v/>
      </c>
      <c r="J413" s="11" t="str">
        <f>TRIM(Formulario!J424)</f>
        <v/>
      </c>
      <c r="K413" s="11" t="str">
        <f>TRIM(Formulario!K424)</f>
        <v/>
      </c>
      <c r="L413" s="107" t="str">
        <f>TRIM(Formulario!L424)</f>
        <v/>
      </c>
      <c r="M413" s="107" t="str">
        <f>TRIM(Formulario!M424)</f>
        <v>0</v>
      </c>
      <c r="N413" s="11" t="str">
        <f>TRIM(Formulario!H424)</f>
        <v/>
      </c>
      <c r="P413" s="17"/>
      <c r="Q413" s="104"/>
      <c r="R413" s="104"/>
      <c r="S413" s="117"/>
      <c r="T413" s="101"/>
      <c r="U413" s="101"/>
      <c r="V413" s="101"/>
      <c r="W413" s="102"/>
      <c r="X413" s="102"/>
      <c r="Y413" s="102"/>
      <c r="Z413" s="102"/>
      <c r="AA413" s="102"/>
      <c r="AB413" s="102"/>
      <c r="AC413" s="102"/>
      <c r="AD413" s="102"/>
    </row>
    <row r="414" spans="1:30">
      <c r="A414" s="8" t="str">
        <f>IF(L414="","",Formulario!B425)</f>
        <v/>
      </c>
      <c r="B414" s="119"/>
      <c r="C414" s="120"/>
      <c r="D414" s="121"/>
      <c r="E414" s="129" t="str">
        <f>IF(F414="","",Formulario!B425)</f>
        <v/>
      </c>
      <c r="F414" s="11" t="str">
        <f>TRIM(Formulario!D425)</f>
        <v/>
      </c>
      <c r="G414" s="11" t="str">
        <f>TRIM(Formulario!F425)</f>
        <v/>
      </c>
      <c r="H414" s="146" t="str">
        <f>IF(N414="",TRIM(Formulario!G425),TRIM(Formulario!G425)*N414)</f>
        <v/>
      </c>
      <c r="I414" s="107" t="str">
        <f>TRIM(Formulario!I425)</f>
        <v/>
      </c>
      <c r="J414" s="11" t="str">
        <f>TRIM(Formulario!J425)</f>
        <v/>
      </c>
      <c r="K414" s="11" t="str">
        <f>TRIM(Formulario!K425)</f>
        <v/>
      </c>
      <c r="L414" s="107" t="str">
        <f>TRIM(Formulario!L425)</f>
        <v/>
      </c>
      <c r="M414" s="107" t="str">
        <f>TRIM(Formulario!M425)</f>
        <v>0</v>
      </c>
      <c r="N414" s="11" t="str">
        <f>TRIM(Formulario!H425)</f>
        <v/>
      </c>
      <c r="P414" s="17"/>
      <c r="Q414" s="104"/>
      <c r="R414" s="104"/>
      <c r="S414" s="117"/>
      <c r="T414" s="101"/>
      <c r="U414" s="101"/>
      <c r="V414" s="101"/>
      <c r="W414" s="102"/>
      <c r="X414" s="102"/>
      <c r="Y414" s="102"/>
      <c r="Z414" s="102"/>
      <c r="AA414" s="102"/>
      <c r="AB414" s="102"/>
      <c r="AC414" s="102"/>
      <c r="AD414" s="102"/>
    </row>
    <row r="415" spans="1:30">
      <c r="A415" s="8" t="str">
        <f>IF(L415="","",Formulario!B426)</f>
        <v/>
      </c>
      <c r="B415" s="119"/>
      <c r="C415" s="120"/>
      <c r="D415" s="121"/>
      <c r="E415" s="129" t="str">
        <f>IF(F415="","",Formulario!B426)</f>
        <v/>
      </c>
      <c r="F415" s="11" t="str">
        <f>TRIM(Formulario!D426)</f>
        <v/>
      </c>
      <c r="G415" s="11" t="str">
        <f>TRIM(Formulario!F426)</f>
        <v/>
      </c>
      <c r="H415" s="146" t="str">
        <f>IF(N415="",TRIM(Formulario!G426),TRIM(Formulario!G426)*N415)</f>
        <v/>
      </c>
      <c r="I415" s="107" t="str">
        <f>TRIM(Formulario!I426)</f>
        <v/>
      </c>
      <c r="J415" s="11" t="str">
        <f>TRIM(Formulario!J426)</f>
        <v/>
      </c>
      <c r="K415" s="11" t="str">
        <f>TRIM(Formulario!K426)</f>
        <v/>
      </c>
      <c r="L415" s="107" t="str">
        <f>TRIM(Formulario!L426)</f>
        <v/>
      </c>
      <c r="M415" s="107" t="str">
        <f>TRIM(Formulario!M426)</f>
        <v>0</v>
      </c>
      <c r="N415" s="11" t="str">
        <f>TRIM(Formulario!H426)</f>
        <v/>
      </c>
      <c r="P415" s="17"/>
      <c r="Q415" s="104"/>
      <c r="R415" s="104"/>
      <c r="S415" s="117"/>
      <c r="T415" s="101"/>
      <c r="U415" s="101"/>
      <c r="V415" s="101"/>
      <c r="W415" s="102"/>
      <c r="X415" s="102"/>
      <c r="Y415" s="102"/>
      <c r="Z415" s="102"/>
      <c r="AA415" s="102"/>
      <c r="AB415" s="102"/>
      <c r="AC415" s="102"/>
      <c r="AD415" s="102"/>
    </row>
    <row r="416" spans="1:30">
      <c r="A416" s="8" t="str">
        <f>IF(L416="","",Formulario!B427)</f>
        <v/>
      </c>
      <c r="B416" s="119"/>
      <c r="C416" s="120"/>
      <c r="D416" s="121"/>
      <c r="E416" s="129" t="str">
        <f>IF(F416="","",Formulario!B427)</f>
        <v/>
      </c>
      <c r="F416" s="11" t="str">
        <f>TRIM(Formulario!D427)</f>
        <v/>
      </c>
      <c r="G416" s="11" t="str">
        <f>TRIM(Formulario!F427)</f>
        <v/>
      </c>
      <c r="H416" s="146" t="str">
        <f>IF(N416="",TRIM(Formulario!G427),TRIM(Formulario!G427)*N416)</f>
        <v/>
      </c>
      <c r="I416" s="107" t="str">
        <f>TRIM(Formulario!I427)</f>
        <v/>
      </c>
      <c r="J416" s="11" t="str">
        <f>TRIM(Formulario!J427)</f>
        <v/>
      </c>
      <c r="K416" s="11" t="str">
        <f>TRIM(Formulario!K427)</f>
        <v/>
      </c>
      <c r="L416" s="107" t="str">
        <f>TRIM(Formulario!L427)</f>
        <v/>
      </c>
      <c r="M416" s="107" t="str">
        <f>TRIM(Formulario!M427)</f>
        <v>0</v>
      </c>
      <c r="N416" s="11" t="str">
        <f>TRIM(Formulario!H427)</f>
        <v/>
      </c>
      <c r="P416" s="17"/>
      <c r="Q416" s="104"/>
      <c r="R416" s="104"/>
      <c r="S416" s="117"/>
      <c r="T416" s="101"/>
      <c r="U416" s="101"/>
      <c r="V416" s="101"/>
      <c r="W416" s="102"/>
      <c r="X416" s="102"/>
      <c r="Y416" s="102"/>
      <c r="Z416" s="102"/>
      <c r="AA416" s="102"/>
      <c r="AB416" s="102"/>
      <c r="AC416" s="102"/>
      <c r="AD416" s="102"/>
    </row>
    <row r="417" spans="1:30">
      <c r="A417" s="8" t="str">
        <f>IF(L417="","",Formulario!B428)</f>
        <v/>
      </c>
      <c r="B417" s="119"/>
      <c r="C417" s="120"/>
      <c r="D417" s="121"/>
      <c r="E417" s="129" t="str">
        <f>IF(F417="","",Formulario!B428)</f>
        <v/>
      </c>
      <c r="F417" s="11" t="str">
        <f>TRIM(Formulario!D428)</f>
        <v/>
      </c>
      <c r="G417" s="11" t="str">
        <f>TRIM(Formulario!F428)</f>
        <v/>
      </c>
      <c r="H417" s="146" t="str">
        <f>IF(N417="",TRIM(Formulario!G428),TRIM(Formulario!G428)*N417)</f>
        <v/>
      </c>
      <c r="I417" s="107" t="str">
        <f>TRIM(Formulario!I428)</f>
        <v/>
      </c>
      <c r="J417" s="11" t="str">
        <f>TRIM(Formulario!J428)</f>
        <v/>
      </c>
      <c r="K417" s="11" t="str">
        <f>TRIM(Formulario!K428)</f>
        <v/>
      </c>
      <c r="L417" s="107" t="str">
        <f>TRIM(Formulario!L428)</f>
        <v/>
      </c>
      <c r="M417" s="107" t="str">
        <f>TRIM(Formulario!M428)</f>
        <v>0</v>
      </c>
      <c r="N417" s="11" t="str">
        <f>TRIM(Formulario!H428)</f>
        <v/>
      </c>
      <c r="P417" s="17"/>
      <c r="Q417" s="104"/>
      <c r="R417" s="104"/>
      <c r="S417" s="117"/>
      <c r="T417" s="101"/>
      <c r="U417" s="101"/>
      <c r="V417" s="101"/>
      <c r="W417" s="102"/>
      <c r="X417" s="102"/>
      <c r="Y417" s="102"/>
      <c r="Z417" s="102"/>
      <c r="AA417" s="102"/>
      <c r="AB417" s="102"/>
      <c r="AC417" s="102"/>
      <c r="AD417" s="102"/>
    </row>
    <row r="418" spans="1:30">
      <c r="A418" s="8" t="str">
        <f>IF(L418="","",Formulario!B429)</f>
        <v/>
      </c>
      <c r="B418" s="119"/>
      <c r="C418" s="120"/>
      <c r="D418" s="121"/>
      <c r="E418" s="129" t="str">
        <f>IF(F418="","",Formulario!B429)</f>
        <v/>
      </c>
      <c r="F418" s="11" t="str">
        <f>TRIM(Formulario!D429)</f>
        <v/>
      </c>
      <c r="G418" s="11" t="str">
        <f>TRIM(Formulario!F429)</f>
        <v/>
      </c>
      <c r="H418" s="146" t="str">
        <f>IF(N418="",TRIM(Formulario!G429),TRIM(Formulario!G429)*N418)</f>
        <v/>
      </c>
      <c r="I418" s="107" t="str">
        <f>TRIM(Formulario!I429)</f>
        <v/>
      </c>
      <c r="J418" s="11" t="str">
        <f>TRIM(Formulario!J429)</f>
        <v/>
      </c>
      <c r="K418" s="11" t="str">
        <f>TRIM(Formulario!K429)</f>
        <v/>
      </c>
      <c r="L418" s="107" t="str">
        <f>TRIM(Formulario!L429)</f>
        <v/>
      </c>
      <c r="M418" s="107" t="str">
        <f>TRIM(Formulario!M429)</f>
        <v>0</v>
      </c>
      <c r="N418" s="11" t="str">
        <f>TRIM(Formulario!H429)</f>
        <v/>
      </c>
      <c r="P418" s="17"/>
      <c r="Q418" s="104"/>
      <c r="R418" s="104"/>
      <c r="S418" s="117"/>
      <c r="T418" s="101"/>
      <c r="U418" s="101"/>
      <c r="V418" s="101"/>
      <c r="W418" s="102"/>
      <c r="X418" s="102"/>
      <c r="Y418" s="102"/>
      <c r="Z418" s="102"/>
      <c r="AA418" s="102"/>
      <c r="AB418" s="102"/>
      <c r="AC418" s="102"/>
      <c r="AD418" s="102"/>
    </row>
    <row r="419" spans="1:30">
      <c r="A419" s="8" t="str">
        <f>IF(L419="","",Formulario!B430)</f>
        <v/>
      </c>
      <c r="B419" s="119"/>
      <c r="C419" s="120"/>
      <c r="D419" s="121"/>
      <c r="E419" s="129" t="str">
        <f>IF(F419="","",Formulario!B430)</f>
        <v/>
      </c>
      <c r="F419" s="11" t="str">
        <f>TRIM(Formulario!D430)</f>
        <v/>
      </c>
      <c r="G419" s="11" t="str">
        <f>TRIM(Formulario!F430)</f>
        <v/>
      </c>
      <c r="H419" s="146" t="str">
        <f>IF(N419="",TRIM(Formulario!G430),TRIM(Formulario!G430)*N419)</f>
        <v/>
      </c>
      <c r="I419" s="107" t="str">
        <f>TRIM(Formulario!I430)</f>
        <v/>
      </c>
      <c r="J419" s="11" t="str">
        <f>TRIM(Formulario!J430)</f>
        <v/>
      </c>
      <c r="K419" s="11" t="str">
        <f>TRIM(Formulario!K430)</f>
        <v/>
      </c>
      <c r="L419" s="107" t="str">
        <f>TRIM(Formulario!L430)</f>
        <v/>
      </c>
      <c r="M419" s="107" t="str">
        <f>TRIM(Formulario!M430)</f>
        <v>0</v>
      </c>
      <c r="N419" s="11" t="str">
        <f>TRIM(Formulario!H430)</f>
        <v/>
      </c>
      <c r="P419" s="17"/>
      <c r="Q419" s="104"/>
      <c r="R419" s="104"/>
      <c r="S419" s="117"/>
      <c r="T419" s="101"/>
      <c r="U419" s="101"/>
      <c r="V419" s="101"/>
      <c r="W419" s="102"/>
      <c r="X419" s="102"/>
      <c r="Y419" s="102"/>
      <c r="Z419" s="102"/>
      <c r="AA419" s="102"/>
      <c r="AB419" s="102"/>
      <c r="AC419" s="102"/>
      <c r="AD419" s="102"/>
    </row>
    <row r="420" spans="1:30">
      <c r="A420" s="8" t="str">
        <f>IF(L420="","",Formulario!B431)</f>
        <v/>
      </c>
      <c r="B420" s="119"/>
      <c r="C420" s="120"/>
      <c r="D420" s="121"/>
      <c r="E420" s="129" t="str">
        <f>IF(F420="","",Formulario!B431)</f>
        <v/>
      </c>
      <c r="F420" s="11" t="str">
        <f>TRIM(Formulario!D431)</f>
        <v/>
      </c>
      <c r="G420" s="11" t="str">
        <f>TRIM(Formulario!F431)</f>
        <v/>
      </c>
      <c r="H420" s="146" t="str">
        <f>IF(N420="",TRIM(Formulario!G431),TRIM(Formulario!G431)*N420)</f>
        <v/>
      </c>
      <c r="I420" s="107" t="str">
        <f>TRIM(Formulario!I431)</f>
        <v/>
      </c>
      <c r="J420" s="11" t="str">
        <f>TRIM(Formulario!J431)</f>
        <v/>
      </c>
      <c r="K420" s="11" t="str">
        <f>TRIM(Formulario!K431)</f>
        <v/>
      </c>
      <c r="L420" s="107" t="str">
        <f>TRIM(Formulario!L431)</f>
        <v/>
      </c>
      <c r="M420" s="107" t="str">
        <f>TRIM(Formulario!M431)</f>
        <v>0</v>
      </c>
      <c r="N420" s="11" t="str">
        <f>TRIM(Formulario!H431)</f>
        <v/>
      </c>
      <c r="P420" s="17"/>
      <c r="Q420" s="104"/>
      <c r="R420" s="104"/>
      <c r="S420" s="117"/>
      <c r="T420" s="101"/>
      <c r="U420" s="101"/>
      <c r="V420" s="101"/>
      <c r="W420" s="102"/>
      <c r="X420" s="102"/>
      <c r="Y420" s="102"/>
      <c r="Z420" s="102"/>
      <c r="AA420" s="102"/>
      <c r="AB420" s="102"/>
      <c r="AC420" s="102"/>
      <c r="AD420" s="102"/>
    </row>
    <row r="421" spans="1:30">
      <c r="A421" s="8" t="str">
        <f>IF(L421="","",Formulario!B432)</f>
        <v/>
      </c>
      <c r="B421" s="119"/>
      <c r="C421" s="120"/>
      <c r="D421" s="121"/>
      <c r="E421" s="129" t="str">
        <f>IF(F421="","",Formulario!B432)</f>
        <v/>
      </c>
      <c r="F421" s="11" t="str">
        <f>TRIM(Formulario!D432)</f>
        <v/>
      </c>
      <c r="G421" s="11" t="str">
        <f>TRIM(Formulario!F432)</f>
        <v/>
      </c>
      <c r="H421" s="146" t="str">
        <f>IF(N421="",TRIM(Formulario!G432),TRIM(Formulario!G432)*N421)</f>
        <v/>
      </c>
      <c r="I421" s="107" t="str">
        <f>TRIM(Formulario!I432)</f>
        <v/>
      </c>
      <c r="J421" s="11" t="str">
        <f>TRIM(Formulario!J432)</f>
        <v/>
      </c>
      <c r="K421" s="11" t="str">
        <f>TRIM(Formulario!K432)</f>
        <v/>
      </c>
      <c r="L421" s="107" t="str">
        <f>TRIM(Formulario!L432)</f>
        <v/>
      </c>
      <c r="M421" s="107" t="str">
        <f>TRIM(Formulario!M432)</f>
        <v>0</v>
      </c>
      <c r="N421" s="11" t="str">
        <f>TRIM(Formulario!H432)</f>
        <v/>
      </c>
      <c r="P421" s="17"/>
      <c r="Q421" s="104"/>
      <c r="R421" s="104"/>
      <c r="S421" s="117"/>
      <c r="T421" s="101"/>
      <c r="U421" s="101"/>
      <c r="V421" s="101"/>
      <c r="W421" s="102"/>
      <c r="X421" s="102"/>
      <c r="Y421" s="102"/>
      <c r="Z421" s="102"/>
      <c r="AA421" s="102"/>
      <c r="AB421" s="102"/>
      <c r="AC421" s="102"/>
      <c r="AD421" s="102"/>
    </row>
    <row r="422" spans="1:30">
      <c r="A422" s="8" t="str">
        <f>IF(L422="","",Formulario!B433)</f>
        <v/>
      </c>
      <c r="B422" s="119"/>
      <c r="C422" s="120"/>
      <c r="D422" s="121"/>
      <c r="E422" s="129" t="str">
        <f>IF(F422="","",Formulario!B433)</f>
        <v/>
      </c>
      <c r="F422" s="11" t="str">
        <f>TRIM(Formulario!D433)</f>
        <v/>
      </c>
      <c r="G422" s="11" t="str">
        <f>TRIM(Formulario!F433)</f>
        <v/>
      </c>
      <c r="H422" s="146" t="str">
        <f>IF(N422="",TRIM(Formulario!G433),TRIM(Formulario!G433)*N422)</f>
        <v/>
      </c>
      <c r="I422" s="107" t="str">
        <f>TRIM(Formulario!I433)</f>
        <v/>
      </c>
      <c r="J422" s="11" t="str">
        <f>TRIM(Formulario!J433)</f>
        <v/>
      </c>
      <c r="K422" s="11" t="str">
        <f>TRIM(Formulario!K433)</f>
        <v/>
      </c>
      <c r="L422" s="107" t="str">
        <f>TRIM(Formulario!L433)</f>
        <v/>
      </c>
      <c r="M422" s="107" t="str">
        <f>TRIM(Formulario!M433)</f>
        <v>0</v>
      </c>
      <c r="N422" s="11" t="str">
        <f>TRIM(Formulario!H433)</f>
        <v/>
      </c>
      <c r="P422" s="17"/>
      <c r="Q422" s="104"/>
      <c r="R422" s="104"/>
      <c r="S422" s="117"/>
      <c r="T422" s="101"/>
      <c r="U422" s="101"/>
      <c r="V422" s="101"/>
      <c r="W422" s="102"/>
      <c r="X422" s="102"/>
      <c r="Y422" s="102"/>
      <c r="Z422" s="102"/>
      <c r="AA422" s="102"/>
      <c r="AB422" s="102"/>
      <c r="AC422" s="102"/>
      <c r="AD422" s="102"/>
    </row>
    <row r="423" spans="1:30">
      <c r="A423" s="8" t="str">
        <f>IF(L423="","",Formulario!B434)</f>
        <v/>
      </c>
      <c r="B423" s="119"/>
      <c r="C423" s="120"/>
      <c r="D423" s="121"/>
      <c r="E423" s="129" t="str">
        <f>IF(F423="","",Formulario!B434)</f>
        <v/>
      </c>
      <c r="F423" s="11" t="str">
        <f>TRIM(Formulario!D434)</f>
        <v/>
      </c>
      <c r="G423" s="11" t="str">
        <f>TRIM(Formulario!F434)</f>
        <v/>
      </c>
      <c r="H423" s="146" t="str">
        <f>IF(N423="",TRIM(Formulario!G434),TRIM(Formulario!G434)*N423)</f>
        <v/>
      </c>
      <c r="I423" s="107" t="str">
        <f>TRIM(Formulario!I434)</f>
        <v/>
      </c>
      <c r="J423" s="11" t="str">
        <f>TRIM(Formulario!J434)</f>
        <v/>
      </c>
      <c r="K423" s="11" t="str">
        <f>TRIM(Formulario!K434)</f>
        <v/>
      </c>
      <c r="L423" s="107" t="str">
        <f>TRIM(Formulario!L434)</f>
        <v/>
      </c>
      <c r="M423" s="107" t="str">
        <f>TRIM(Formulario!M434)</f>
        <v>0</v>
      </c>
      <c r="N423" s="11" t="str">
        <f>TRIM(Formulario!H434)</f>
        <v/>
      </c>
      <c r="P423" s="17"/>
      <c r="Q423" s="104"/>
      <c r="R423" s="104"/>
      <c r="S423" s="117"/>
      <c r="T423" s="101"/>
      <c r="U423" s="101"/>
      <c r="V423" s="101"/>
      <c r="W423" s="102"/>
      <c r="X423" s="102"/>
      <c r="Y423" s="102"/>
      <c r="Z423" s="102"/>
      <c r="AA423" s="102"/>
      <c r="AB423" s="102"/>
      <c r="AC423" s="102"/>
      <c r="AD423" s="102"/>
    </row>
    <row r="424" spans="1:30">
      <c r="A424" s="8" t="str">
        <f>IF(L424="","",Formulario!B435)</f>
        <v/>
      </c>
      <c r="B424" s="119"/>
      <c r="C424" s="120"/>
      <c r="D424" s="121"/>
      <c r="E424" s="129" t="str">
        <f>IF(F424="","",Formulario!B435)</f>
        <v/>
      </c>
      <c r="F424" s="11" t="str">
        <f>TRIM(Formulario!D435)</f>
        <v/>
      </c>
      <c r="G424" s="11" t="str">
        <f>TRIM(Formulario!F435)</f>
        <v/>
      </c>
      <c r="H424" s="146" t="str">
        <f>IF(N424="",TRIM(Formulario!G435),TRIM(Formulario!G435)*N424)</f>
        <v/>
      </c>
      <c r="I424" s="107" t="str">
        <f>TRIM(Formulario!I435)</f>
        <v/>
      </c>
      <c r="J424" s="11" t="str">
        <f>TRIM(Formulario!J435)</f>
        <v/>
      </c>
      <c r="K424" s="11" t="str">
        <f>TRIM(Formulario!K435)</f>
        <v/>
      </c>
      <c r="L424" s="107" t="str">
        <f>TRIM(Formulario!L435)</f>
        <v/>
      </c>
      <c r="M424" s="107" t="str">
        <f>TRIM(Formulario!M435)</f>
        <v>0</v>
      </c>
      <c r="N424" s="11" t="str">
        <f>TRIM(Formulario!H435)</f>
        <v/>
      </c>
      <c r="P424" s="17"/>
      <c r="Q424" s="104"/>
      <c r="R424" s="104"/>
      <c r="S424" s="117"/>
      <c r="T424" s="101"/>
      <c r="U424" s="101"/>
      <c r="V424" s="101"/>
      <c r="W424" s="102"/>
      <c r="X424" s="102"/>
      <c r="Y424" s="102"/>
      <c r="Z424" s="102"/>
      <c r="AA424" s="102"/>
      <c r="AB424" s="102"/>
      <c r="AC424" s="102"/>
      <c r="AD424" s="102"/>
    </row>
    <row r="425" spans="1:30">
      <c r="A425" s="8" t="str">
        <f>IF(L425="","",Formulario!B436)</f>
        <v/>
      </c>
      <c r="B425" s="119"/>
      <c r="C425" s="120"/>
      <c r="D425" s="121"/>
      <c r="E425" s="129" t="str">
        <f>IF(F425="","",Formulario!B436)</f>
        <v/>
      </c>
      <c r="F425" s="11" t="str">
        <f>TRIM(Formulario!D436)</f>
        <v/>
      </c>
      <c r="G425" s="11" t="str">
        <f>TRIM(Formulario!F436)</f>
        <v/>
      </c>
      <c r="H425" s="146" t="str">
        <f>IF(N425="",TRIM(Formulario!G436),TRIM(Formulario!G436)*N425)</f>
        <v/>
      </c>
      <c r="I425" s="107" t="str">
        <f>TRIM(Formulario!I436)</f>
        <v/>
      </c>
      <c r="J425" s="11" t="str">
        <f>TRIM(Formulario!J436)</f>
        <v/>
      </c>
      <c r="K425" s="11" t="str">
        <f>TRIM(Formulario!K436)</f>
        <v/>
      </c>
      <c r="L425" s="107" t="str">
        <f>TRIM(Formulario!L436)</f>
        <v/>
      </c>
      <c r="M425" s="107" t="str">
        <f>TRIM(Formulario!M436)</f>
        <v>0</v>
      </c>
      <c r="N425" s="11" t="str">
        <f>TRIM(Formulario!H436)</f>
        <v/>
      </c>
      <c r="P425" s="17"/>
      <c r="Q425" s="104"/>
      <c r="R425" s="104"/>
      <c r="S425" s="117"/>
      <c r="T425" s="101"/>
      <c r="U425" s="101"/>
      <c r="V425" s="101"/>
      <c r="W425" s="102"/>
      <c r="X425" s="102"/>
      <c r="Y425" s="102"/>
      <c r="Z425" s="102"/>
      <c r="AA425" s="102"/>
      <c r="AB425" s="102"/>
      <c r="AC425" s="102"/>
      <c r="AD425" s="102"/>
    </row>
    <row r="426" spans="1:30">
      <c r="A426" s="8" t="str">
        <f>IF(L426="","",Formulario!B437)</f>
        <v/>
      </c>
      <c r="B426" s="119"/>
      <c r="C426" s="120"/>
      <c r="D426" s="121"/>
      <c r="E426" s="129" t="str">
        <f>IF(F426="","",Formulario!B437)</f>
        <v/>
      </c>
      <c r="F426" s="11" t="str">
        <f>TRIM(Formulario!D437)</f>
        <v/>
      </c>
      <c r="G426" s="11" t="str">
        <f>TRIM(Formulario!F437)</f>
        <v/>
      </c>
      <c r="H426" s="146" t="str">
        <f>IF(N426="",TRIM(Formulario!G437),TRIM(Formulario!G437)*N426)</f>
        <v/>
      </c>
      <c r="I426" s="107" t="str">
        <f>TRIM(Formulario!I437)</f>
        <v/>
      </c>
      <c r="J426" s="11" t="str">
        <f>TRIM(Formulario!J437)</f>
        <v/>
      </c>
      <c r="K426" s="11" t="str">
        <f>TRIM(Formulario!K437)</f>
        <v/>
      </c>
      <c r="L426" s="107" t="str">
        <f>TRIM(Formulario!L437)</f>
        <v/>
      </c>
      <c r="M426" s="107" t="str">
        <f>TRIM(Formulario!M437)</f>
        <v>0</v>
      </c>
      <c r="N426" s="11" t="str">
        <f>TRIM(Formulario!H437)</f>
        <v/>
      </c>
      <c r="P426" s="17"/>
      <c r="Q426" s="104"/>
      <c r="R426" s="104"/>
      <c r="S426" s="117"/>
      <c r="T426" s="101"/>
      <c r="U426" s="101"/>
      <c r="V426" s="101"/>
      <c r="W426" s="102"/>
      <c r="X426" s="102"/>
      <c r="Y426" s="102"/>
      <c r="Z426" s="102"/>
      <c r="AA426" s="102"/>
      <c r="AB426" s="102"/>
      <c r="AC426" s="102"/>
      <c r="AD426" s="102"/>
    </row>
    <row r="427" spans="1:30">
      <c r="A427" s="8" t="str">
        <f>IF(L427="","",Formulario!B438)</f>
        <v/>
      </c>
      <c r="B427" s="119"/>
      <c r="C427" s="120"/>
      <c r="D427" s="121"/>
      <c r="E427" s="129" t="str">
        <f>IF(F427="","",Formulario!B438)</f>
        <v/>
      </c>
      <c r="F427" s="11" t="str">
        <f>TRIM(Formulario!D438)</f>
        <v/>
      </c>
      <c r="G427" s="11" t="str">
        <f>TRIM(Formulario!F438)</f>
        <v/>
      </c>
      <c r="H427" s="146" t="str">
        <f>IF(N427="",TRIM(Formulario!G438),TRIM(Formulario!G438)*N427)</f>
        <v/>
      </c>
      <c r="I427" s="107" t="str">
        <f>TRIM(Formulario!I438)</f>
        <v/>
      </c>
      <c r="J427" s="11" t="str">
        <f>TRIM(Formulario!J438)</f>
        <v/>
      </c>
      <c r="K427" s="11" t="str">
        <f>TRIM(Formulario!K438)</f>
        <v/>
      </c>
      <c r="L427" s="107" t="str">
        <f>TRIM(Formulario!L438)</f>
        <v/>
      </c>
      <c r="M427" s="107" t="str">
        <f>TRIM(Formulario!M438)</f>
        <v>0</v>
      </c>
      <c r="N427" s="11" t="str">
        <f>TRIM(Formulario!H438)</f>
        <v/>
      </c>
      <c r="P427" s="17"/>
      <c r="Q427" s="104"/>
      <c r="R427" s="104"/>
      <c r="S427" s="117"/>
      <c r="T427" s="101"/>
      <c r="U427" s="101"/>
      <c r="V427" s="101"/>
      <c r="W427" s="102"/>
      <c r="X427" s="102"/>
      <c r="Y427" s="102"/>
      <c r="Z427" s="102"/>
      <c r="AA427" s="102"/>
      <c r="AB427" s="102"/>
      <c r="AC427" s="102"/>
      <c r="AD427" s="102"/>
    </row>
    <row r="428" spans="1:30">
      <c r="A428" s="8" t="str">
        <f>IF(L428="","",Formulario!B439)</f>
        <v/>
      </c>
      <c r="B428" s="119"/>
      <c r="C428" s="120"/>
      <c r="D428" s="121"/>
      <c r="E428" s="129" t="str">
        <f>IF(F428="","",Formulario!B439)</f>
        <v/>
      </c>
      <c r="F428" s="11" t="str">
        <f>TRIM(Formulario!D439)</f>
        <v/>
      </c>
      <c r="G428" s="11" t="str">
        <f>TRIM(Formulario!F439)</f>
        <v/>
      </c>
      <c r="H428" s="146" t="str">
        <f>IF(N428="",TRIM(Formulario!G439),TRIM(Formulario!G439)*N428)</f>
        <v/>
      </c>
      <c r="I428" s="107" t="str">
        <f>TRIM(Formulario!I439)</f>
        <v/>
      </c>
      <c r="J428" s="11" t="str">
        <f>TRIM(Formulario!J439)</f>
        <v/>
      </c>
      <c r="K428" s="11" t="str">
        <f>TRIM(Formulario!K439)</f>
        <v/>
      </c>
      <c r="L428" s="107" t="str">
        <f>TRIM(Formulario!L439)</f>
        <v/>
      </c>
      <c r="M428" s="107" t="str">
        <f>TRIM(Formulario!M439)</f>
        <v>0</v>
      </c>
      <c r="N428" s="11" t="str">
        <f>TRIM(Formulario!H439)</f>
        <v/>
      </c>
      <c r="P428" s="17"/>
      <c r="Q428" s="104"/>
      <c r="R428" s="104"/>
      <c r="S428" s="117"/>
      <c r="T428" s="101"/>
      <c r="U428" s="101"/>
      <c r="V428" s="101"/>
      <c r="W428" s="102"/>
      <c r="X428" s="102"/>
      <c r="Y428" s="102"/>
      <c r="Z428" s="102"/>
      <c r="AA428" s="102"/>
      <c r="AB428" s="102"/>
      <c r="AC428" s="102"/>
      <c r="AD428" s="102"/>
    </row>
    <row r="429" spans="1:30">
      <c r="A429" s="8" t="str">
        <f>IF(L429="","",Formulario!B440)</f>
        <v/>
      </c>
      <c r="B429" s="119"/>
      <c r="C429" s="120"/>
      <c r="D429" s="121"/>
      <c r="E429" s="129" t="str">
        <f>IF(F429="","",Formulario!B440)</f>
        <v/>
      </c>
      <c r="F429" s="11" t="str">
        <f>TRIM(Formulario!D440)</f>
        <v/>
      </c>
      <c r="G429" s="11" t="str">
        <f>TRIM(Formulario!F440)</f>
        <v/>
      </c>
      <c r="H429" s="146" t="str">
        <f>IF(N429="",TRIM(Formulario!G440),TRIM(Formulario!G440)*N429)</f>
        <v/>
      </c>
      <c r="I429" s="107" t="str">
        <f>TRIM(Formulario!I440)</f>
        <v/>
      </c>
      <c r="J429" s="11" t="str">
        <f>TRIM(Formulario!J440)</f>
        <v/>
      </c>
      <c r="K429" s="11" t="str">
        <f>TRIM(Formulario!K440)</f>
        <v/>
      </c>
      <c r="L429" s="107" t="str">
        <f>TRIM(Formulario!L440)</f>
        <v/>
      </c>
      <c r="M429" s="107" t="str">
        <f>TRIM(Formulario!M440)</f>
        <v>0</v>
      </c>
      <c r="N429" s="11" t="str">
        <f>TRIM(Formulario!H440)</f>
        <v/>
      </c>
      <c r="P429" s="17"/>
      <c r="Q429" s="104"/>
      <c r="R429" s="104"/>
      <c r="S429" s="117"/>
      <c r="T429" s="101"/>
      <c r="U429" s="101"/>
      <c r="V429" s="101"/>
      <c r="W429" s="102"/>
      <c r="X429" s="102"/>
      <c r="Y429" s="102"/>
      <c r="Z429" s="102"/>
      <c r="AA429" s="102"/>
      <c r="AB429" s="102"/>
      <c r="AC429" s="102"/>
      <c r="AD429" s="102"/>
    </row>
    <row r="430" spans="1:30">
      <c r="A430" s="8" t="str">
        <f>IF(L430="","",Formulario!B441)</f>
        <v/>
      </c>
      <c r="B430" s="119"/>
      <c r="C430" s="120"/>
      <c r="D430" s="121"/>
      <c r="E430" s="129" t="str">
        <f>IF(F430="","",Formulario!B441)</f>
        <v/>
      </c>
      <c r="F430" s="11" t="str">
        <f>TRIM(Formulario!D441)</f>
        <v/>
      </c>
      <c r="G430" s="11" t="str">
        <f>TRIM(Formulario!F441)</f>
        <v/>
      </c>
      <c r="H430" s="146" t="str">
        <f>IF(N430="",TRIM(Formulario!G441),TRIM(Formulario!G441)*N430)</f>
        <v/>
      </c>
      <c r="I430" s="107" t="str">
        <f>TRIM(Formulario!I441)</f>
        <v/>
      </c>
      <c r="J430" s="11" t="str">
        <f>TRIM(Formulario!J441)</f>
        <v/>
      </c>
      <c r="K430" s="11" t="str">
        <f>TRIM(Formulario!K441)</f>
        <v/>
      </c>
      <c r="L430" s="107" t="str">
        <f>TRIM(Formulario!L441)</f>
        <v/>
      </c>
      <c r="M430" s="107" t="str">
        <f>TRIM(Formulario!M441)</f>
        <v>0</v>
      </c>
      <c r="N430" s="11" t="str">
        <f>TRIM(Formulario!H441)</f>
        <v/>
      </c>
      <c r="P430" s="17"/>
      <c r="Q430" s="104"/>
      <c r="R430" s="104"/>
      <c r="S430" s="117"/>
      <c r="T430" s="101"/>
      <c r="U430" s="101"/>
      <c r="V430" s="101"/>
      <c r="W430" s="102"/>
      <c r="X430" s="102"/>
      <c r="Y430" s="102"/>
      <c r="Z430" s="102"/>
      <c r="AA430" s="102"/>
      <c r="AB430" s="102"/>
      <c r="AC430" s="102"/>
      <c r="AD430" s="102"/>
    </row>
    <row r="431" spans="1:30">
      <c r="A431" s="8" t="str">
        <f>IF(L431="","",Formulario!B442)</f>
        <v/>
      </c>
      <c r="B431" s="119"/>
      <c r="C431" s="120"/>
      <c r="D431" s="121"/>
      <c r="E431" s="129" t="str">
        <f>IF(F431="","",Formulario!B442)</f>
        <v/>
      </c>
      <c r="F431" s="11" t="str">
        <f>TRIM(Formulario!D442)</f>
        <v/>
      </c>
      <c r="G431" s="11" t="str">
        <f>TRIM(Formulario!F442)</f>
        <v/>
      </c>
      <c r="H431" s="146" t="str">
        <f>IF(N431="",TRIM(Formulario!G442),TRIM(Formulario!G442)*N431)</f>
        <v/>
      </c>
      <c r="I431" s="107" t="str">
        <f>TRIM(Formulario!I442)</f>
        <v/>
      </c>
      <c r="J431" s="11" t="str">
        <f>TRIM(Formulario!J442)</f>
        <v/>
      </c>
      <c r="K431" s="11" t="str">
        <f>TRIM(Formulario!K442)</f>
        <v/>
      </c>
      <c r="L431" s="107" t="str">
        <f>TRIM(Formulario!L442)</f>
        <v/>
      </c>
      <c r="M431" s="107" t="str">
        <f>TRIM(Formulario!M442)</f>
        <v>0</v>
      </c>
      <c r="N431" s="11" t="str">
        <f>TRIM(Formulario!H442)</f>
        <v/>
      </c>
      <c r="P431" s="17"/>
      <c r="Q431" s="104"/>
      <c r="R431" s="104"/>
      <c r="S431" s="117"/>
      <c r="T431" s="101"/>
      <c r="U431" s="101"/>
      <c r="V431" s="101"/>
      <c r="W431" s="102"/>
      <c r="X431" s="102"/>
      <c r="Y431" s="102"/>
      <c r="Z431" s="102"/>
      <c r="AA431" s="102"/>
      <c r="AB431" s="102"/>
      <c r="AC431" s="102"/>
      <c r="AD431" s="102"/>
    </row>
    <row r="432" spans="1:30">
      <c r="A432" s="8" t="str">
        <f>IF(L432="","",Formulario!B443)</f>
        <v/>
      </c>
      <c r="B432" s="119"/>
      <c r="C432" s="120"/>
      <c r="D432" s="121"/>
      <c r="E432" s="129" t="str">
        <f>IF(F432="","",Formulario!B443)</f>
        <v/>
      </c>
      <c r="F432" s="11" t="str">
        <f>TRIM(Formulario!D443)</f>
        <v/>
      </c>
      <c r="G432" s="11" t="str">
        <f>TRIM(Formulario!F443)</f>
        <v/>
      </c>
      <c r="H432" s="146" t="str">
        <f>IF(N432="",TRIM(Formulario!G443),TRIM(Formulario!G443)*N432)</f>
        <v/>
      </c>
      <c r="I432" s="107" t="str">
        <f>TRIM(Formulario!I443)</f>
        <v/>
      </c>
      <c r="J432" s="11" t="str">
        <f>TRIM(Formulario!J443)</f>
        <v/>
      </c>
      <c r="K432" s="11" t="str">
        <f>TRIM(Formulario!K443)</f>
        <v/>
      </c>
      <c r="L432" s="107" t="str">
        <f>TRIM(Formulario!L443)</f>
        <v/>
      </c>
      <c r="M432" s="107" t="str">
        <f>TRIM(Formulario!M443)</f>
        <v>0</v>
      </c>
      <c r="N432" s="11" t="str">
        <f>TRIM(Formulario!H443)</f>
        <v/>
      </c>
      <c r="P432" s="17"/>
      <c r="Q432" s="104"/>
      <c r="R432" s="104"/>
      <c r="S432" s="117"/>
      <c r="T432" s="101"/>
      <c r="U432" s="101"/>
      <c r="V432" s="101"/>
      <c r="W432" s="102"/>
      <c r="X432" s="102"/>
      <c r="Y432" s="102"/>
      <c r="Z432" s="102"/>
      <c r="AA432" s="102"/>
      <c r="AB432" s="102"/>
      <c r="AC432" s="102"/>
      <c r="AD432" s="102"/>
    </row>
    <row r="433" spans="1:30">
      <c r="A433" s="8" t="str">
        <f>IF(L433="","",Formulario!B444)</f>
        <v/>
      </c>
      <c r="B433" s="119"/>
      <c r="C433" s="120"/>
      <c r="D433" s="121"/>
      <c r="E433" s="129" t="str">
        <f>IF(F433="","",Formulario!B444)</f>
        <v/>
      </c>
      <c r="F433" s="11" t="str">
        <f>TRIM(Formulario!D444)</f>
        <v/>
      </c>
      <c r="G433" s="11" t="str">
        <f>TRIM(Formulario!F444)</f>
        <v/>
      </c>
      <c r="H433" s="146" t="str">
        <f>IF(N433="",TRIM(Formulario!G444),TRIM(Formulario!G444)*N433)</f>
        <v/>
      </c>
      <c r="I433" s="107" t="str">
        <f>TRIM(Formulario!I444)</f>
        <v/>
      </c>
      <c r="J433" s="11" t="str">
        <f>TRIM(Formulario!J444)</f>
        <v/>
      </c>
      <c r="K433" s="11" t="str">
        <f>TRIM(Formulario!K444)</f>
        <v/>
      </c>
      <c r="L433" s="107" t="str">
        <f>TRIM(Formulario!L444)</f>
        <v/>
      </c>
      <c r="M433" s="107" t="str">
        <f>TRIM(Formulario!M444)</f>
        <v>0</v>
      </c>
      <c r="N433" s="11" t="str">
        <f>TRIM(Formulario!H444)</f>
        <v/>
      </c>
      <c r="P433" s="17"/>
      <c r="Q433" s="104"/>
      <c r="R433" s="104"/>
      <c r="S433" s="117"/>
      <c r="T433" s="101"/>
      <c r="U433" s="101"/>
      <c r="V433" s="101"/>
      <c r="W433" s="102"/>
      <c r="X433" s="102"/>
      <c r="Y433" s="102"/>
      <c r="Z433" s="102"/>
      <c r="AA433" s="102"/>
      <c r="AB433" s="102"/>
      <c r="AC433" s="102"/>
      <c r="AD433" s="102"/>
    </row>
    <row r="434" spans="1:30">
      <c r="A434" s="8" t="str">
        <f>IF(L434="","",Formulario!B445)</f>
        <v/>
      </c>
      <c r="B434" s="119"/>
      <c r="C434" s="120"/>
      <c r="D434" s="121"/>
      <c r="E434" s="129" t="str">
        <f>IF(F434="","",Formulario!B445)</f>
        <v/>
      </c>
      <c r="F434" s="11" t="str">
        <f>TRIM(Formulario!D445)</f>
        <v/>
      </c>
      <c r="G434" s="11" t="str">
        <f>TRIM(Formulario!F445)</f>
        <v/>
      </c>
      <c r="H434" s="146" t="str">
        <f>IF(N434="",TRIM(Formulario!G445),TRIM(Formulario!G445)*N434)</f>
        <v/>
      </c>
      <c r="I434" s="107" t="str">
        <f>TRIM(Formulario!I445)</f>
        <v/>
      </c>
      <c r="J434" s="11" t="str">
        <f>TRIM(Formulario!J445)</f>
        <v/>
      </c>
      <c r="K434" s="11" t="str">
        <f>TRIM(Formulario!K445)</f>
        <v/>
      </c>
      <c r="L434" s="107" t="str">
        <f>TRIM(Formulario!L445)</f>
        <v/>
      </c>
      <c r="M434" s="107" t="str">
        <f>TRIM(Formulario!M445)</f>
        <v>0</v>
      </c>
      <c r="N434" s="11" t="str">
        <f>TRIM(Formulario!H445)</f>
        <v/>
      </c>
      <c r="P434" s="17"/>
      <c r="Q434" s="104"/>
      <c r="R434" s="104"/>
      <c r="S434" s="117"/>
      <c r="T434" s="101"/>
      <c r="U434" s="101"/>
      <c r="V434" s="101"/>
      <c r="W434" s="102"/>
      <c r="X434" s="102"/>
      <c r="Y434" s="102"/>
      <c r="Z434" s="102"/>
      <c r="AA434" s="102"/>
      <c r="AB434" s="102"/>
      <c r="AC434" s="102"/>
      <c r="AD434" s="102"/>
    </row>
    <row r="435" spans="1:30">
      <c r="A435" s="8" t="str">
        <f>IF(L435="","",Formulario!B446)</f>
        <v/>
      </c>
      <c r="B435" s="119"/>
      <c r="C435" s="120"/>
      <c r="D435" s="121"/>
      <c r="E435" s="129" t="str">
        <f>IF(F435="","",Formulario!B446)</f>
        <v/>
      </c>
      <c r="F435" s="11" t="str">
        <f>TRIM(Formulario!D446)</f>
        <v/>
      </c>
      <c r="G435" s="11" t="str">
        <f>TRIM(Formulario!F446)</f>
        <v/>
      </c>
      <c r="H435" s="146" t="str">
        <f>IF(N435="",TRIM(Formulario!G446),TRIM(Formulario!G446)*N435)</f>
        <v/>
      </c>
      <c r="I435" s="107" t="str">
        <f>TRIM(Formulario!I446)</f>
        <v/>
      </c>
      <c r="J435" s="11" t="str">
        <f>TRIM(Formulario!J446)</f>
        <v/>
      </c>
      <c r="K435" s="11" t="str">
        <f>TRIM(Formulario!K446)</f>
        <v/>
      </c>
      <c r="L435" s="107" t="str">
        <f>TRIM(Formulario!L446)</f>
        <v/>
      </c>
      <c r="M435" s="107" t="str">
        <f>TRIM(Formulario!M446)</f>
        <v>0</v>
      </c>
      <c r="N435" s="11" t="str">
        <f>TRIM(Formulario!H446)</f>
        <v/>
      </c>
      <c r="P435" s="17"/>
      <c r="Q435" s="104"/>
      <c r="R435" s="104"/>
      <c r="S435" s="117"/>
      <c r="T435" s="101"/>
      <c r="U435" s="101"/>
      <c r="V435" s="101"/>
      <c r="W435" s="102"/>
      <c r="X435" s="102"/>
      <c r="Y435" s="102"/>
      <c r="Z435" s="102"/>
      <c r="AA435" s="102"/>
      <c r="AB435" s="102"/>
      <c r="AC435" s="102"/>
      <c r="AD435" s="102"/>
    </row>
    <row r="436" spans="1:30">
      <c r="A436" s="8" t="str">
        <f>IF(L436="","",Formulario!B447)</f>
        <v/>
      </c>
      <c r="B436" s="119"/>
      <c r="C436" s="120"/>
      <c r="D436" s="121"/>
      <c r="E436" s="129" t="str">
        <f>IF(F436="","",Formulario!B447)</f>
        <v/>
      </c>
      <c r="F436" s="11" t="str">
        <f>TRIM(Formulario!D447)</f>
        <v/>
      </c>
      <c r="G436" s="11" t="str">
        <f>TRIM(Formulario!F447)</f>
        <v/>
      </c>
      <c r="H436" s="146" t="str">
        <f>IF(N436="",TRIM(Formulario!G447),TRIM(Formulario!G447)*N436)</f>
        <v/>
      </c>
      <c r="I436" s="107" t="str">
        <f>TRIM(Formulario!I447)</f>
        <v/>
      </c>
      <c r="J436" s="11" t="str">
        <f>TRIM(Formulario!J447)</f>
        <v/>
      </c>
      <c r="K436" s="11" t="str">
        <f>TRIM(Formulario!K447)</f>
        <v/>
      </c>
      <c r="L436" s="107" t="str">
        <f>TRIM(Formulario!L447)</f>
        <v/>
      </c>
      <c r="M436" s="107" t="str">
        <f>TRIM(Formulario!M447)</f>
        <v>0</v>
      </c>
      <c r="N436" s="11" t="str">
        <f>TRIM(Formulario!H447)</f>
        <v/>
      </c>
      <c r="P436" s="17"/>
      <c r="Q436" s="104"/>
      <c r="R436" s="104"/>
      <c r="S436" s="117"/>
      <c r="T436" s="101"/>
      <c r="U436" s="101"/>
      <c r="V436" s="101"/>
      <c r="W436" s="102"/>
      <c r="X436" s="102"/>
      <c r="Y436" s="102"/>
      <c r="Z436" s="102"/>
      <c r="AA436" s="102"/>
      <c r="AB436" s="102"/>
      <c r="AC436" s="102"/>
      <c r="AD436" s="102"/>
    </row>
    <row r="437" spans="1:30">
      <c r="A437" s="8" t="str">
        <f>IF(L437="","",Formulario!B448)</f>
        <v/>
      </c>
      <c r="B437" s="119"/>
      <c r="C437" s="120"/>
      <c r="D437" s="121"/>
      <c r="E437" s="129" t="str">
        <f>IF(F437="","",Formulario!B448)</f>
        <v/>
      </c>
      <c r="F437" s="11" t="str">
        <f>TRIM(Formulario!D448)</f>
        <v/>
      </c>
      <c r="G437" s="11" t="str">
        <f>TRIM(Formulario!F448)</f>
        <v/>
      </c>
      <c r="H437" s="146" t="str">
        <f>IF(N437="",TRIM(Formulario!G448),TRIM(Formulario!G448)*N437)</f>
        <v/>
      </c>
      <c r="I437" s="107" t="str">
        <f>TRIM(Formulario!I448)</f>
        <v/>
      </c>
      <c r="J437" s="11" t="str">
        <f>TRIM(Formulario!J448)</f>
        <v/>
      </c>
      <c r="K437" s="11" t="str">
        <f>TRIM(Formulario!K448)</f>
        <v/>
      </c>
      <c r="L437" s="107" t="str">
        <f>TRIM(Formulario!L448)</f>
        <v/>
      </c>
      <c r="M437" s="107" t="str">
        <f>TRIM(Formulario!M448)</f>
        <v>0</v>
      </c>
      <c r="N437" s="11" t="str">
        <f>TRIM(Formulario!H448)</f>
        <v/>
      </c>
      <c r="P437" s="17"/>
      <c r="Q437" s="104"/>
      <c r="R437" s="104"/>
      <c r="S437" s="117"/>
      <c r="T437" s="101"/>
      <c r="U437" s="101"/>
      <c r="V437" s="101"/>
      <c r="W437" s="102"/>
      <c r="X437" s="102"/>
      <c r="Y437" s="102"/>
      <c r="Z437" s="102"/>
      <c r="AA437" s="102"/>
      <c r="AB437" s="102"/>
      <c r="AC437" s="102"/>
      <c r="AD437" s="102"/>
    </row>
    <row r="438" spans="1:30">
      <c r="A438" s="8" t="str">
        <f>IF(L438="","",Formulario!B449)</f>
        <v/>
      </c>
      <c r="B438" s="119"/>
      <c r="C438" s="120"/>
      <c r="D438" s="121"/>
      <c r="E438" s="129" t="str">
        <f>IF(F438="","",Formulario!B449)</f>
        <v/>
      </c>
      <c r="F438" s="11" t="str">
        <f>TRIM(Formulario!D449)</f>
        <v/>
      </c>
      <c r="G438" s="11" t="str">
        <f>TRIM(Formulario!F449)</f>
        <v/>
      </c>
      <c r="H438" s="146" t="str">
        <f>IF(N438="",TRIM(Formulario!G449),TRIM(Formulario!G449)*N438)</f>
        <v/>
      </c>
      <c r="I438" s="107" t="str">
        <f>TRIM(Formulario!I449)</f>
        <v/>
      </c>
      <c r="J438" s="11" t="str">
        <f>TRIM(Formulario!J449)</f>
        <v/>
      </c>
      <c r="K438" s="11" t="str">
        <f>TRIM(Formulario!K449)</f>
        <v/>
      </c>
      <c r="L438" s="107" t="str">
        <f>TRIM(Formulario!L449)</f>
        <v/>
      </c>
      <c r="M438" s="107" t="str">
        <f>TRIM(Formulario!M449)</f>
        <v>0</v>
      </c>
      <c r="N438" s="11" t="str">
        <f>TRIM(Formulario!H449)</f>
        <v/>
      </c>
      <c r="P438" s="17"/>
      <c r="Q438" s="104"/>
      <c r="R438" s="104"/>
      <c r="S438" s="117"/>
      <c r="T438" s="101"/>
      <c r="U438" s="101"/>
      <c r="V438" s="101"/>
      <c r="W438" s="102"/>
      <c r="X438" s="102"/>
      <c r="Y438" s="102"/>
      <c r="Z438" s="102"/>
      <c r="AA438" s="102"/>
      <c r="AB438" s="102"/>
      <c r="AC438" s="102"/>
      <c r="AD438" s="102"/>
    </row>
    <row r="439" spans="1:30">
      <c r="A439" s="8" t="str">
        <f>IF(L439="","",Formulario!B450)</f>
        <v/>
      </c>
      <c r="B439" s="119"/>
      <c r="C439" s="120"/>
      <c r="D439" s="121"/>
      <c r="E439" s="129" t="str">
        <f>IF(F439="","",Formulario!B450)</f>
        <v/>
      </c>
      <c r="F439" s="11" t="str">
        <f>TRIM(Formulario!D450)</f>
        <v/>
      </c>
      <c r="G439" s="11" t="str">
        <f>TRIM(Formulario!F450)</f>
        <v/>
      </c>
      <c r="H439" s="146" t="str">
        <f>IF(N439="",TRIM(Formulario!G450),TRIM(Formulario!G450)*N439)</f>
        <v/>
      </c>
      <c r="I439" s="107" t="str">
        <f>TRIM(Formulario!I450)</f>
        <v/>
      </c>
      <c r="J439" s="11" t="str">
        <f>TRIM(Formulario!J450)</f>
        <v/>
      </c>
      <c r="K439" s="11" t="str">
        <f>TRIM(Formulario!K450)</f>
        <v/>
      </c>
      <c r="L439" s="107" t="str">
        <f>TRIM(Formulario!L450)</f>
        <v/>
      </c>
      <c r="M439" s="107" t="str">
        <f>TRIM(Formulario!M450)</f>
        <v>0</v>
      </c>
      <c r="N439" s="11" t="str">
        <f>TRIM(Formulario!H450)</f>
        <v/>
      </c>
      <c r="P439" s="17"/>
      <c r="Q439" s="104"/>
      <c r="R439" s="104"/>
      <c r="S439" s="117"/>
      <c r="T439" s="101"/>
      <c r="U439" s="101"/>
      <c r="V439" s="101"/>
      <c r="W439" s="102"/>
      <c r="X439" s="102"/>
      <c r="Y439" s="102"/>
      <c r="Z439" s="102"/>
      <c r="AA439" s="102"/>
      <c r="AB439" s="102"/>
      <c r="AC439" s="102"/>
      <c r="AD439" s="102"/>
    </row>
    <row r="440" spans="1:30">
      <c r="A440" s="8" t="str">
        <f>IF(L440="","",Formulario!B451)</f>
        <v/>
      </c>
      <c r="B440" s="119"/>
      <c r="C440" s="120"/>
      <c r="D440" s="121"/>
      <c r="E440" s="129" t="str">
        <f>IF(F440="","",Formulario!B451)</f>
        <v/>
      </c>
      <c r="F440" s="11" t="str">
        <f>TRIM(Formulario!D451)</f>
        <v/>
      </c>
      <c r="G440" s="11" t="str">
        <f>TRIM(Formulario!F451)</f>
        <v/>
      </c>
      <c r="H440" s="146" t="str">
        <f>IF(N440="",TRIM(Formulario!G451),TRIM(Formulario!G451)*N440)</f>
        <v/>
      </c>
      <c r="I440" s="107" t="str">
        <f>TRIM(Formulario!I451)</f>
        <v/>
      </c>
      <c r="J440" s="11" t="str">
        <f>TRIM(Formulario!J451)</f>
        <v/>
      </c>
      <c r="K440" s="11" t="str">
        <f>TRIM(Formulario!K451)</f>
        <v/>
      </c>
      <c r="L440" s="107" t="str">
        <f>TRIM(Formulario!L451)</f>
        <v/>
      </c>
      <c r="M440" s="107" t="str">
        <f>TRIM(Formulario!M451)</f>
        <v>0</v>
      </c>
      <c r="N440" s="11" t="str">
        <f>TRIM(Formulario!H451)</f>
        <v/>
      </c>
      <c r="P440" s="17"/>
      <c r="Q440" s="104"/>
      <c r="R440" s="104"/>
      <c r="S440" s="117"/>
      <c r="T440" s="101"/>
      <c r="U440" s="101"/>
      <c r="V440" s="101"/>
      <c r="W440" s="102"/>
      <c r="X440" s="102"/>
      <c r="Y440" s="102"/>
      <c r="Z440" s="102"/>
      <c r="AA440" s="102"/>
      <c r="AB440" s="102"/>
      <c r="AC440" s="102"/>
      <c r="AD440" s="102"/>
    </row>
    <row r="441" spans="1:30">
      <c r="A441" s="8" t="str">
        <f>IF(L441="","",Formulario!B452)</f>
        <v/>
      </c>
      <c r="B441" s="119"/>
      <c r="C441" s="120"/>
      <c r="D441" s="121"/>
      <c r="E441" s="129" t="str">
        <f>IF(F441="","",Formulario!B452)</f>
        <v/>
      </c>
      <c r="F441" s="11" t="str">
        <f>TRIM(Formulario!D452)</f>
        <v/>
      </c>
      <c r="G441" s="11" t="str">
        <f>TRIM(Formulario!F452)</f>
        <v/>
      </c>
      <c r="H441" s="146" t="str">
        <f>IF(N441="",TRIM(Formulario!G452),TRIM(Formulario!G452)*N441)</f>
        <v/>
      </c>
      <c r="I441" s="107" t="str">
        <f>TRIM(Formulario!I452)</f>
        <v/>
      </c>
      <c r="J441" s="11" t="str">
        <f>TRIM(Formulario!J452)</f>
        <v/>
      </c>
      <c r="K441" s="11" t="str">
        <f>TRIM(Formulario!K452)</f>
        <v/>
      </c>
      <c r="L441" s="107" t="str">
        <f>TRIM(Formulario!L452)</f>
        <v/>
      </c>
      <c r="M441" s="107" t="str">
        <f>TRIM(Formulario!M452)</f>
        <v>0</v>
      </c>
      <c r="N441" s="11" t="str">
        <f>TRIM(Formulario!H452)</f>
        <v/>
      </c>
      <c r="P441" s="17"/>
      <c r="Q441" s="104"/>
      <c r="R441" s="104"/>
      <c r="S441" s="117"/>
      <c r="T441" s="101"/>
      <c r="U441" s="101"/>
      <c r="V441" s="101"/>
      <c r="W441" s="102"/>
      <c r="X441" s="102"/>
      <c r="Y441" s="102"/>
      <c r="Z441" s="102"/>
      <c r="AA441" s="102"/>
      <c r="AB441" s="102"/>
      <c r="AC441" s="102"/>
      <c r="AD441" s="102"/>
    </row>
    <row r="442" spans="1:30">
      <c r="A442" s="8" t="str">
        <f>IF(L442="","",Formulario!B453)</f>
        <v/>
      </c>
      <c r="B442" s="119"/>
      <c r="C442" s="120"/>
      <c r="D442" s="121"/>
      <c r="E442" s="129" t="str">
        <f>IF(F442="","",Formulario!B453)</f>
        <v/>
      </c>
      <c r="F442" s="11" t="str">
        <f>TRIM(Formulario!D453)</f>
        <v/>
      </c>
      <c r="G442" s="11" t="str">
        <f>TRIM(Formulario!F453)</f>
        <v/>
      </c>
      <c r="H442" s="146" t="str">
        <f>IF(N442="",TRIM(Formulario!G453),TRIM(Formulario!G453)*N442)</f>
        <v/>
      </c>
      <c r="I442" s="107" t="str">
        <f>TRIM(Formulario!I453)</f>
        <v/>
      </c>
      <c r="J442" s="11" t="str">
        <f>TRIM(Formulario!J453)</f>
        <v/>
      </c>
      <c r="K442" s="11" t="str">
        <f>TRIM(Formulario!K453)</f>
        <v/>
      </c>
      <c r="L442" s="107" t="str">
        <f>TRIM(Formulario!L453)</f>
        <v/>
      </c>
      <c r="M442" s="107" t="str">
        <f>TRIM(Formulario!M453)</f>
        <v>0</v>
      </c>
      <c r="N442" s="11" t="str">
        <f>TRIM(Formulario!H453)</f>
        <v/>
      </c>
      <c r="P442" s="17"/>
      <c r="Q442" s="104"/>
      <c r="R442" s="104"/>
      <c r="S442" s="117"/>
      <c r="T442" s="101"/>
      <c r="U442" s="101"/>
      <c r="V442" s="101"/>
      <c r="W442" s="102"/>
      <c r="X442" s="102"/>
      <c r="Y442" s="102"/>
      <c r="Z442" s="102"/>
      <c r="AA442" s="102"/>
      <c r="AB442" s="102"/>
      <c r="AC442" s="102"/>
      <c r="AD442" s="102"/>
    </row>
    <row r="443" spans="1:30">
      <c r="A443" s="8" t="str">
        <f>IF(L443="","",Formulario!B454)</f>
        <v/>
      </c>
      <c r="B443" s="119"/>
      <c r="C443" s="120"/>
      <c r="D443" s="121"/>
      <c r="E443" s="129" t="str">
        <f>IF(F443="","",Formulario!B454)</f>
        <v/>
      </c>
      <c r="F443" s="11" t="str">
        <f>TRIM(Formulario!D454)</f>
        <v/>
      </c>
      <c r="G443" s="11" t="str">
        <f>TRIM(Formulario!F454)</f>
        <v/>
      </c>
      <c r="H443" s="146" t="str">
        <f>IF(N443="",TRIM(Formulario!G454),TRIM(Formulario!G454)*N443)</f>
        <v/>
      </c>
      <c r="I443" s="107" t="str">
        <f>TRIM(Formulario!I454)</f>
        <v/>
      </c>
      <c r="J443" s="11" t="str">
        <f>TRIM(Formulario!J454)</f>
        <v/>
      </c>
      <c r="K443" s="11" t="str">
        <f>TRIM(Formulario!K454)</f>
        <v/>
      </c>
      <c r="L443" s="107" t="str">
        <f>TRIM(Formulario!L454)</f>
        <v/>
      </c>
      <c r="M443" s="107" t="str">
        <f>TRIM(Formulario!M454)</f>
        <v>0</v>
      </c>
      <c r="N443" s="11" t="str">
        <f>TRIM(Formulario!H454)</f>
        <v/>
      </c>
      <c r="P443" s="17"/>
      <c r="Q443" s="104"/>
      <c r="R443" s="104"/>
      <c r="S443" s="117"/>
      <c r="T443" s="101"/>
      <c r="U443" s="101"/>
      <c r="V443" s="101"/>
      <c r="W443" s="102"/>
      <c r="X443" s="102"/>
      <c r="Y443" s="102"/>
      <c r="Z443" s="102"/>
      <c r="AA443" s="102"/>
      <c r="AB443" s="102"/>
      <c r="AC443" s="102"/>
      <c r="AD443" s="102"/>
    </row>
    <row r="444" spans="1:30">
      <c r="A444" s="8" t="str">
        <f>IF(L444="","",Formulario!B455)</f>
        <v/>
      </c>
      <c r="B444" s="119"/>
      <c r="C444" s="120"/>
      <c r="D444" s="121"/>
      <c r="E444" s="129" t="str">
        <f>IF(F444="","",Formulario!B455)</f>
        <v/>
      </c>
      <c r="F444" s="11" t="str">
        <f>TRIM(Formulario!D455)</f>
        <v/>
      </c>
      <c r="G444" s="11" t="str">
        <f>TRIM(Formulario!F455)</f>
        <v/>
      </c>
      <c r="H444" s="146" t="str">
        <f>IF(N444="",TRIM(Formulario!G455),TRIM(Formulario!G455)*N444)</f>
        <v/>
      </c>
      <c r="I444" s="107" t="str">
        <f>TRIM(Formulario!I455)</f>
        <v/>
      </c>
      <c r="J444" s="11" t="str">
        <f>TRIM(Formulario!J455)</f>
        <v/>
      </c>
      <c r="K444" s="11" t="str">
        <f>TRIM(Formulario!K455)</f>
        <v/>
      </c>
      <c r="L444" s="107" t="str">
        <f>TRIM(Formulario!L455)</f>
        <v/>
      </c>
      <c r="M444" s="107" t="str">
        <f>TRIM(Formulario!M455)</f>
        <v>0</v>
      </c>
      <c r="N444" s="11" t="str">
        <f>TRIM(Formulario!H455)</f>
        <v/>
      </c>
      <c r="P444" s="17"/>
      <c r="Q444" s="104"/>
      <c r="R444" s="104"/>
      <c r="S444" s="117"/>
      <c r="T444" s="101"/>
      <c r="U444" s="101"/>
      <c r="V444" s="101"/>
      <c r="W444" s="102"/>
      <c r="X444" s="102"/>
      <c r="Y444" s="102"/>
      <c r="Z444" s="102"/>
      <c r="AA444" s="102"/>
      <c r="AB444" s="102"/>
      <c r="AC444" s="102"/>
      <c r="AD444" s="102"/>
    </row>
    <row r="445" spans="1:30">
      <c r="A445" s="8" t="str">
        <f>IF(L445="","",Formulario!B456)</f>
        <v/>
      </c>
      <c r="B445" s="119"/>
      <c r="C445" s="120"/>
      <c r="D445" s="121"/>
      <c r="E445" s="129" t="str">
        <f>IF(F445="","",Formulario!B456)</f>
        <v/>
      </c>
      <c r="F445" s="11" t="str">
        <f>TRIM(Formulario!D456)</f>
        <v/>
      </c>
      <c r="G445" s="11" t="str">
        <f>TRIM(Formulario!F456)</f>
        <v/>
      </c>
      <c r="H445" s="146" t="str">
        <f>IF(N445="",TRIM(Formulario!G456),TRIM(Formulario!G456)*N445)</f>
        <v/>
      </c>
      <c r="I445" s="107" t="str">
        <f>TRIM(Formulario!I456)</f>
        <v/>
      </c>
      <c r="J445" s="11" t="str">
        <f>TRIM(Formulario!J456)</f>
        <v/>
      </c>
      <c r="K445" s="11" t="str">
        <f>TRIM(Formulario!K456)</f>
        <v/>
      </c>
      <c r="L445" s="107" t="str">
        <f>TRIM(Formulario!L456)</f>
        <v/>
      </c>
      <c r="M445" s="107" t="str">
        <f>TRIM(Formulario!M456)</f>
        <v>0</v>
      </c>
      <c r="N445" s="11" t="str">
        <f>TRIM(Formulario!H456)</f>
        <v/>
      </c>
      <c r="P445" s="17"/>
      <c r="Q445" s="104"/>
      <c r="R445" s="104"/>
      <c r="S445" s="117"/>
      <c r="T445" s="101"/>
      <c r="U445" s="101"/>
      <c r="V445" s="101"/>
      <c r="W445" s="102"/>
      <c r="X445" s="102"/>
      <c r="Y445" s="102"/>
      <c r="Z445" s="102"/>
      <c r="AA445" s="102"/>
      <c r="AB445" s="102"/>
      <c r="AC445" s="102"/>
      <c r="AD445" s="102"/>
    </row>
    <row r="446" spans="1:30">
      <c r="A446" s="8" t="str">
        <f>IF(L446="","",Formulario!B457)</f>
        <v/>
      </c>
      <c r="B446" s="119"/>
      <c r="C446" s="120"/>
      <c r="D446" s="121"/>
      <c r="E446" s="129" t="str">
        <f>IF(F446="","",Formulario!B457)</f>
        <v/>
      </c>
      <c r="F446" s="11" t="str">
        <f>TRIM(Formulario!D457)</f>
        <v/>
      </c>
      <c r="G446" s="11" t="str">
        <f>TRIM(Formulario!F457)</f>
        <v/>
      </c>
      <c r="H446" s="146" t="str">
        <f>IF(N446="",TRIM(Formulario!G457),TRIM(Formulario!G457)*N446)</f>
        <v/>
      </c>
      <c r="I446" s="107" t="str">
        <f>TRIM(Formulario!I457)</f>
        <v/>
      </c>
      <c r="J446" s="11" t="str">
        <f>TRIM(Formulario!J457)</f>
        <v/>
      </c>
      <c r="K446" s="11" t="str">
        <f>TRIM(Formulario!K457)</f>
        <v/>
      </c>
      <c r="L446" s="107" t="str">
        <f>TRIM(Formulario!L457)</f>
        <v/>
      </c>
      <c r="M446" s="107" t="str">
        <f>TRIM(Formulario!M457)</f>
        <v>0</v>
      </c>
      <c r="N446" s="11" t="str">
        <f>TRIM(Formulario!H457)</f>
        <v/>
      </c>
      <c r="P446" s="17"/>
      <c r="Q446" s="104"/>
      <c r="R446" s="104"/>
      <c r="S446" s="117"/>
      <c r="T446" s="101"/>
      <c r="U446" s="101"/>
      <c r="V446" s="101"/>
      <c r="W446" s="102"/>
      <c r="X446" s="102"/>
      <c r="Y446" s="102"/>
      <c r="Z446" s="102"/>
      <c r="AA446" s="102"/>
      <c r="AB446" s="102"/>
      <c r="AC446" s="102"/>
      <c r="AD446" s="102"/>
    </row>
    <row r="447" spans="1:30">
      <c r="A447" s="8" t="str">
        <f>IF(L447="","",Formulario!B458)</f>
        <v/>
      </c>
      <c r="B447" s="119"/>
      <c r="C447" s="120"/>
      <c r="D447" s="121"/>
      <c r="E447" s="129" t="str">
        <f>IF(F447="","",Formulario!B458)</f>
        <v/>
      </c>
      <c r="F447" s="11" t="str">
        <f>TRIM(Formulario!D458)</f>
        <v/>
      </c>
      <c r="G447" s="11" t="str">
        <f>TRIM(Formulario!F458)</f>
        <v/>
      </c>
      <c r="H447" s="146" t="str">
        <f>IF(N447="",TRIM(Formulario!G458),TRIM(Formulario!G458)*N447)</f>
        <v/>
      </c>
      <c r="I447" s="107" t="str">
        <f>TRIM(Formulario!I458)</f>
        <v/>
      </c>
      <c r="J447" s="11" t="str">
        <f>TRIM(Formulario!J458)</f>
        <v/>
      </c>
      <c r="K447" s="11" t="str">
        <f>TRIM(Formulario!K458)</f>
        <v/>
      </c>
      <c r="L447" s="107" t="str">
        <f>TRIM(Formulario!L458)</f>
        <v/>
      </c>
      <c r="M447" s="107" t="str">
        <f>TRIM(Formulario!M458)</f>
        <v>0</v>
      </c>
      <c r="N447" s="11" t="str">
        <f>TRIM(Formulario!H458)</f>
        <v/>
      </c>
      <c r="P447" s="17"/>
      <c r="Q447" s="104"/>
      <c r="R447" s="104"/>
      <c r="S447" s="117"/>
      <c r="T447" s="101"/>
      <c r="U447" s="101"/>
      <c r="V447" s="101"/>
      <c r="W447" s="102"/>
      <c r="X447" s="102"/>
      <c r="Y447" s="102"/>
      <c r="Z447" s="102"/>
      <c r="AA447" s="102"/>
      <c r="AB447" s="102"/>
      <c r="AC447" s="102"/>
      <c r="AD447" s="102"/>
    </row>
    <row r="448" spans="1:30">
      <c r="A448" s="8" t="str">
        <f>IF(L448="","",Formulario!B459)</f>
        <v/>
      </c>
      <c r="B448" s="119"/>
      <c r="C448" s="120"/>
      <c r="D448" s="121"/>
      <c r="E448" s="129" t="str">
        <f>IF(F448="","",Formulario!B459)</f>
        <v/>
      </c>
      <c r="F448" s="11" t="str">
        <f>TRIM(Formulario!D459)</f>
        <v/>
      </c>
      <c r="G448" s="11" t="str">
        <f>TRIM(Formulario!F459)</f>
        <v/>
      </c>
      <c r="H448" s="146" t="str">
        <f>IF(N448="",TRIM(Formulario!G459),TRIM(Formulario!G459)*N448)</f>
        <v/>
      </c>
      <c r="I448" s="107" t="str">
        <f>TRIM(Formulario!I459)</f>
        <v/>
      </c>
      <c r="J448" s="11" t="str">
        <f>TRIM(Formulario!J459)</f>
        <v/>
      </c>
      <c r="K448" s="11" t="str">
        <f>TRIM(Formulario!K459)</f>
        <v/>
      </c>
      <c r="L448" s="107" t="str">
        <f>TRIM(Formulario!L459)</f>
        <v/>
      </c>
      <c r="M448" s="107" t="str">
        <f>TRIM(Formulario!M459)</f>
        <v>0</v>
      </c>
      <c r="N448" s="11" t="str">
        <f>TRIM(Formulario!H459)</f>
        <v/>
      </c>
      <c r="P448" s="17"/>
      <c r="Q448" s="104"/>
      <c r="R448" s="104"/>
      <c r="S448" s="117"/>
      <c r="T448" s="101"/>
      <c r="U448" s="101"/>
      <c r="V448" s="101"/>
      <c r="W448" s="102"/>
      <c r="X448" s="102"/>
      <c r="Y448" s="102"/>
      <c r="Z448" s="102"/>
      <c r="AA448" s="102"/>
      <c r="AB448" s="102"/>
      <c r="AC448" s="102"/>
      <c r="AD448" s="102"/>
    </row>
    <row r="449" spans="1:30">
      <c r="A449" s="8" t="str">
        <f>IF(L449="","",Formulario!B460)</f>
        <v/>
      </c>
      <c r="B449" s="119"/>
      <c r="C449" s="120"/>
      <c r="D449" s="121"/>
      <c r="E449" s="129" t="str">
        <f>IF(F449="","",Formulario!B460)</f>
        <v/>
      </c>
      <c r="F449" s="11" t="str">
        <f>TRIM(Formulario!D460)</f>
        <v/>
      </c>
      <c r="G449" s="11" t="str">
        <f>TRIM(Formulario!F460)</f>
        <v/>
      </c>
      <c r="H449" s="146" t="str">
        <f>IF(N449="",TRIM(Formulario!G460),TRIM(Formulario!G460)*N449)</f>
        <v/>
      </c>
      <c r="I449" s="107" t="str">
        <f>TRIM(Formulario!I460)</f>
        <v/>
      </c>
      <c r="J449" s="11" t="str">
        <f>TRIM(Formulario!J460)</f>
        <v/>
      </c>
      <c r="K449" s="11" t="str">
        <f>TRIM(Formulario!K460)</f>
        <v/>
      </c>
      <c r="L449" s="107" t="str">
        <f>TRIM(Formulario!L460)</f>
        <v/>
      </c>
      <c r="M449" s="107" t="str">
        <f>TRIM(Formulario!M460)</f>
        <v>0</v>
      </c>
      <c r="N449" s="11" t="str">
        <f>TRIM(Formulario!H460)</f>
        <v/>
      </c>
      <c r="P449" s="17"/>
      <c r="Q449" s="104"/>
      <c r="R449" s="104"/>
      <c r="S449" s="117"/>
      <c r="T449" s="101"/>
      <c r="U449" s="101"/>
      <c r="V449" s="101"/>
      <c r="W449" s="102"/>
      <c r="X449" s="102"/>
      <c r="Y449" s="102"/>
      <c r="Z449" s="102"/>
      <c r="AA449" s="102"/>
      <c r="AB449" s="102"/>
      <c r="AC449" s="102"/>
      <c r="AD449" s="102"/>
    </row>
    <row r="450" spans="1:30">
      <c r="A450" s="8" t="str">
        <f>IF(L450="","",Formulario!B461)</f>
        <v/>
      </c>
      <c r="B450" s="119"/>
      <c r="C450" s="120"/>
      <c r="D450" s="121"/>
      <c r="E450" s="129" t="str">
        <f>IF(F450="","",Formulario!B461)</f>
        <v/>
      </c>
      <c r="F450" s="11" t="str">
        <f>TRIM(Formulario!D461)</f>
        <v/>
      </c>
      <c r="G450" s="11" t="str">
        <f>TRIM(Formulario!F461)</f>
        <v/>
      </c>
      <c r="H450" s="146" t="str">
        <f>IF(N450="",TRIM(Formulario!G461),TRIM(Formulario!G461)*N450)</f>
        <v/>
      </c>
      <c r="I450" s="107" t="str">
        <f>TRIM(Formulario!I461)</f>
        <v/>
      </c>
      <c r="J450" s="11" t="str">
        <f>TRIM(Formulario!J461)</f>
        <v/>
      </c>
      <c r="K450" s="11" t="str">
        <f>TRIM(Formulario!K461)</f>
        <v/>
      </c>
      <c r="L450" s="107" t="str">
        <f>TRIM(Formulario!L461)</f>
        <v/>
      </c>
      <c r="M450" s="107" t="str">
        <f>TRIM(Formulario!M461)</f>
        <v>0</v>
      </c>
      <c r="N450" s="11" t="str">
        <f>TRIM(Formulario!H461)</f>
        <v/>
      </c>
      <c r="P450" s="17"/>
      <c r="Q450" s="104"/>
      <c r="R450" s="104"/>
      <c r="S450" s="117"/>
      <c r="T450" s="101"/>
      <c r="U450" s="101"/>
      <c r="V450" s="101"/>
      <c r="W450" s="102"/>
      <c r="X450" s="102"/>
      <c r="Y450" s="102"/>
      <c r="Z450" s="102"/>
      <c r="AA450" s="102"/>
      <c r="AB450" s="102"/>
      <c r="AC450" s="102"/>
      <c r="AD450" s="102"/>
    </row>
    <row r="451" spans="1:30">
      <c r="A451" s="8" t="str">
        <f>IF(L451="","",Formulario!B462)</f>
        <v/>
      </c>
      <c r="B451" s="119"/>
      <c r="C451" s="120"/>
      <c r="D451" s="121"/>
      <c r="E451" s="129" t="str">
        <f>IF(F451="","",Formulario!B462)</f>
        <v/>
      </c>
      <c r="F451" s="11" t="str">
        <f>TRIM(Formulario!D462)</f>
        <v/>
      </c>
      <c r="G451" s="11" t="str">
        <f>TRIM(Formulario!F462)</f>
        <v/>
      </c>
      <c r="H451" s="146" t="str">
        <f>IF(N451="",TRIM(Formulario!G462),TRIM(Formulario!G462)*N451)</f>
        <v/>
      </c>
      <c r="I451" s="107" t="str">
        <f>TRIM(Formulario!I462)</f>
        <v/>
      </c>
      <c r="J451" s="11" t="str">
        <f>TRIM(Formulario!J462)</f>
        <v/>
      </c>
      <c r="K451" s="11" t="str">
        <f>TRIM(Formulario!K462)</f>
        <v/>
      </c>
      <c r="L451" s="107" t="str">
        <f>TRIM(Formulario!L462)</f>
        <v/>
      </c>
      <c r="M451" s="107" t="str">
        <f>TRIM(Formulario!M462)</f>
        <v>0</v>
      </c>
      <c r="N451" s="11" t="str">
        <f>TRIM(Formulario!H462)</f>
        <v/>
      </c>
      <c r="P451" s="17"/>
      <c r="Q451" s="104"/>
      <c r="R451" s="104"/>
      <c r="S451" s="117"/>
      <c r="T451" s="101"/>
      <c r="U451" s="101"/>
      <c r="V451" s="101"/>
      <c r="W451" s="102"/>
      <c r="X451" s="102"/>
      <c r="Y451" s="102"/>
      <c r="Z451" s="102"/>
      <c r="AA451" s="102"/>
      <c r="AB451" s="102"/>
      <c r="AC451" s="102"/>
      <c r="AD451" s="102"/>
    </row>
    <row r="452" spans="1:30">
      <c r="A452" s="8" t="str">
        <f>IF(L452="","",Formulario!B463)</f>
        <v/>
      </c>
      <c r="B452" s="119"/>
      <c r="C452" s="120"/>
      <c r="D452" s="121"/>
      <c r="E452" s="129" t="str">
        <f>IF(F452="","",Formulario!B463)</f>
        <v/>
      </c>
      <c r="F452" s="11" t="str">
        <f>TRIM(Formulario!D463)</f>
        <v/>
      </c>
      <c r="G452" s="11" t="str">
        <f>TRIM(Formulario!F463)</f>
        <v/>
      </c>
      <c r="H452" s="146" t="str">
        <f>IF(N452="",TRIM(Formulario!G463),TRIM(Formulario!G463)*N452)</f>
        <v/>
      </c>
      <c r="I452" s="107" t="str">
        <f>TRIM(Formulario!I463)</f>
        <v/>
      </c>
      <c r="J452" s="11" t="str">
        <f>TRIM(Formulario!J463)</f>
        <v/>
      </c>
      <c r="K452" s="11" t="str">
        <f>TRIM(Formulario!K463)</f>
        <v/>
      </c>
      <c r="L452" s="107" t="str">
        <f>TRIM(Formulario!L463)</f>
        <v/>
      </c>
      <c r="M452" s="107" t="str">
        <f>TRIM(Formulario!M463)</f>
        <v>0</v>
      </c>
      <c r="N452" s="11" t="str">
        <f>TRIM(Formulario!H463)</f>
        <v/>
      </c>
      <c r="P452" s="17"/>
      <c r="Q452" s="104"/>
      <c r="R452" s="104"/>
      <c r="S452" s="117"/>
      <c r="T452" s="101"/>
      <c r="U452" s="101"/>
      <c r="V452" s="101"/>
      <c r="W452" s="102"/>
      <c r="X452" s="102"/>
      <c r="Y452" s="102"/>
      <c r="Z452" s="102"/>
      <c r="AA452" s="102"/>
      <c r="AB452" s="102"/>
      <c r="AC452" s="102"/>
      <c r="AD452" s="102"/>
    </row>
    <row r="453" spans="1:30">
      <c r="A453" s="8" t="str">
        <f>IF(L453="","",Formulario!B464)</f>
        <v/>
      </c>
      <c r="B453" s="119"/>
      <c r="C453" s="120"/>
      <c r="D453" s="121"/>
      <c r="E453" s="129" t="str">
        <f>IF(F453="","",Formulario!B464)</f>
        <v/>
      </c>
      <c r="F453" s="11" t="str">
        <f>TRIM(Formulario!D464)</f>
        <v/>
      </c>
      <c r="G453" s="11" t="str">
        <f>TRIM(Formulario!F464)</f>
        <v/>
      </c>
      <c r="H453" s="146" t="str">
        <f>IF(N453="",TRIM(Formulario!G464),TRIM(Formulario!G464)*N453)</f>
        <v/>
      </c>
      <c r="I453" s="107" t="str">
        <f>TRIM(Formulario!I464)</f>
        <v/>
      </c>
      <c r="J453" s="11" t="str">
        <f>TRIM(Formulario!J464)</f>
        <v/>
      </c>
      <c r="K453" s="11" t="str">
        <f>TRIM(Formulario!K464)</f>
        <v/>
      </c>
      <c r="L453" s="107" t="str">
        <f>TRIM(Formulario!L464)</f>
        <v/>
      </c>
      <c r="M453" s="107" t="str">
        <f>TRIM(Formulario!M464)</f>
        <v>0</v>
      </c>
      <c r="N453" s="11" t="str">
        <f>TRIM(Formulario!H464)</f>
        <v/>
      </c>
      <c r="P453" s="17"/>
      <c r="Q453" s="104"/>
      <c r="R453" s="104"/>
      <c r="S453" s="117"/>
      <c r="T453" s="101"/>
      <c r="U453" s="101"/>
      <c r="V453" s="101"/>
      <c r="W453" s="102"/>
      <c r="X453" s="102"/>
      <c r="Y453" s="102"/>
      <c r="Z453" s="102"/>
      <c r="AA453" s="102"/>
      <c r="AB453" s="102"/>
      <c r="AC453" s="102"/>
      <c r="AD453" s="102"/>
    </row>
    <row r="454" spans="1:30">
      <c r="A454" s="8" t="str">
        <f>IF(L454="","",Formulario!B465)</f>
        <v/>
      </c>
      <c r="B454" s="119"/>
      <c r="C454" s="120"/>
      <c r="D454" s="121"/>
      <c r="E454" s="129" t="str">
        <f>IF(F454="","",Formulario!B465)</f>
        <v/>
      </c>
      <c r="F454" s="11" t="str">
        <f>TRIM(Formulario!D465)</f>
        <v/>
      </c>
      <c r="G454" s="11" t="str">
        <f>TRIM(Formulario!F465)</f>
        <v/>
      </c>
      <c r="H454" s="146" t="str">
        <f>IF(N454="",TRIM(Formulario!G465),TRIM(Formulario!G465)*N454)</f>
        <v/>
      </c>
      <c r="I454" s="107" t="str">
        <f>TRIM(Formulario!I465)</f>
        <v/>
      </c>
      <c r="J454" s="11" t="str">
        <f>TRIM(Formulario!J465)</f>
        <v/>
      </c>
      <c r="K454" s="11" t="str">
        <f>TRIM(Formulario!K465)</f>
        <v/>
      </c>
      <c r="L454" s="107" t="str">
        <f>TRIM(Formulario!L465)</f>
        <v/>
      </c>
      <c r="M454" s="107" t="str">
        <f>TRIM(Formulario!M465)</f>
        <v>0</v>
      </c>
      <c r="N454" s="11" t="str">
        <f>TRIM(Formulario!H465)</f>
        <v/>
      </c>
      <c r="P454" s="17"/>
      <c r="Q454" s="104"/>
      <c r="R454" s="104"/>
      <c r="S454" s="117"/>
      <c r="T454" s="101"/>
      <c r="U454" s="101"/>
      <c r="V454" s="101"/>
      <c r="W454" s="102"/>
      <c r="X454" s="102"/>
      <c r="Y454" s="102"/>
      <c r="Z454" s="102"/>
      <c r="AA454" s="102"/>
      <c r="AB454" s="102"/>
      <c r="AC454" s="102"/>
      <c r="AD454" s="102"/>
    </row>
    <row r="455" spans="1:30">
      <c r="A455" s="8" t="str">
        <f>IF(L455="","",Formulario!B466)</f>
        <v/>
      </c>
      <c r="B455" s="119"/>
      <c r="C455" s="120"/>
      <c r="D455" s="121"/>
      <c r="E455" s="129" t="str">
        <f>IF(F455="","",Formulario!B466)</f>
        <v/>
      </c>
      <c r="F455" s="11" t="str">
        <f>TRIM(Formulario!D466)</f>
        <v/>
      </c>
      <c r="G455" s="11" t="str">
        <f>TRIM(Formulario!F466)</f>
        <v/>
      </c>
      <c r="H455" s="146" t="str">
        <f>IF(N455="",TRIM(Formulario!G466),TRIM(Formulario!G466)*N455)</f>
        <v/>
      </c>
      <c r="I455" s="107" t="str">
        <f>TRIM(Formulario!I466)</f>
        <v/>
      </c>
      <c r="J455" s="11" t="str">
        <f>TRIM(Formulario!J466)</f>
        <v/>
      </c>
      <c r="K455" s="11" t="str">
        <f>TRIM(Formulario!K466)</f>
        <v/>
      </c>
      <c r="L455" s="107" t="str">
        <f>TRIM(Formulario!L466)</f>
        <v/>
      </c>
      <c r="M455" s="107" t="str">
        <f>TRIM(Formulario!M466)</f>
        <v>0</v>
      </c>
      <c r="N455" s="11" t="str">
        <f>TRIM(Formulario!H466)</f>
        <v/>
      </c>
      <c r="P455" s="17"/>
      <c r="Q455" s="104"/>
      <c r="R455" s="104"/>
      <c r="S455" s="117"/>
      <c r="T455" s="101"/>
      <c r="U455" s="101"/>
      <c r="V455" s="101"/>
      <c r="W455" s="102"/>
      <c r="X455" s="102"/>
      <c r="Y455" s="102"/>
      <c r="Z455" s="102"/>
      <c r="AA455" s="102"/>
      <c r="AB455" s="102"/>
      <c r="AC455" s="102"/>
      <c r="AD455" s="102"/>
    </row>
    <row r="456" spans="1:30">
      <c r="A456" s="8" t="str">
        <f>IF(L456="","",Formulario!B467)</f>
        <v/>
      </c>
      <c r="B456" s="119"/>
      <c r="C456" s="120"/>
      <c r="D456" s="121"/>
      <c r="E456" s="129" t="str">
        <f>IF(F456="","",Formulario!B467)</f>
        <v/>
      </c>
      <c r="F456" s="11" t="str">
        <f>TRIM(Formulario!D467)</f>
        <v/>
      </c>
      <c r="G456" s="11" t="str">
        <f>TRIM(Formulario!F467)</f>
        <v/>
      </c>
      <c r="H456" s="146" t="str">
        <f>IF(N456="",TRIM(Formulario!G467),TRIM(Formulario!G467)*N456)</f>
        <v/>
      </c>
      <c r="I456" s="107" t="str">
        <f>TRIM(Formulario!I467)</f>
        <v/>
      </c>
      <c r="J456" s="11" t="str">
        <f>TRIM(Formulario!J467)</f>
        <v/>
      </c>
      <c r="K456" s="11" t="str">
        <f>TRIM(Formulario!K467)</f>
        <v/>
      </c>
      <c r="L456" s="107" t="str">
        <f>TRIM(Formulario!L467)</f>
        <v/>
      </c>
      <c r="M456" s="107" t="str">
        <f>TRIM(Formulario!M467)</f>
        <v>0</v>
      </c>
      <c r="N456" s="11" t="str">
        <f>TRIM(Formulario!H467)</f>
        <v/>
      </c>
      <c r="P456" s="17"/>
      <c r="Q456" s="104"/>
      <c r="R456" s="104"/>
      <c r="S456" s="117"/>
      <c r="T456" s="101"/>
      <c r="U456" s="101"/>
      <c r="V456" s="101"/>
      <c r="W456" s="102"/>
      <c r="X456" s="102"/>
      <c r="Y456" s="102"/>
      <c r="Z456" s="102"/>
      <c r="AA456" s="102"/>
      <c r="AB456" s="102"/>
      <c r="AC456" s="102"/>
      <c r="AD456" s="102"/>
    </row>
    <row r="457" spans="1:30">
      <c r="A457" s="8" t="str">
        <f>IF(L457="","",Formulario!B468)</f>
        <v/>
      </c>
      <c r="B457" s="119"/>
      <c r="C457" s="120"/>
      <c r="D457" s="121"/>
      <c r="E457" s="129" t="str">
        <f>IF(F457="","",Formulario!B468)</f>
        <v/>
      </c>
      <c r="F457" s="11" t="str">
        <f>TRIM(Formulario!D468)</f>
        <v/>
      </c>
      <c r="G457" s="11" t="str">
        <f>TRIM(Formulario!F468)</f>
        <v/>
      </c>
      <c r="H457" s="146" t="str">
        <f>IF(N457="",TRIM(Formulario!G468),TRIM(Formulario!G468)*N457)</f>
        <v/>
      </c>
      <c r="I457" s="107" t="str">
        <f>TRIM(Formulario!I468)</f>
        <v/>
      </c>
      <c r="J457" s="11" t="str">
        <f>TRIM(Formulario!J468)</f>
        <v/>
      </c>
      <c r="K457" s="11" t="str">
        <f>TRIM(Formulario!K468)</f>
        <v/>
      </c>
      <c r="L457" s="107" t="str">
        <f>TRIM(Formulario!L468)</f>
        <v/>
      </c>
      <c r="M457" s="107" t="str">
        <f>TRIM(Formulario!M468)</f>
        <v>0</v>
      </c>
      <c r="N457" s="11" t="str">
        <f>TRIM(Formulario!H468)</f>
        <v/>
      </c>
      <c r="P457" s="17"/>
      <c r="Q457" s="104"/>
      <c r="R457" s="104"/>
      <c r="S457" s="117"/>
      <c r="T457" s="101"/>
      <c r="U457" s="101"/>
      <c r="V457" s="101"/>
      <c r="W457" s="102"/>
      <c r="X457" s="102"/>
      <c r="Y457" s="102"/>
      <c r="Z457" s="102"/>
      <c r="AA457" s="102"/>
      <c r="AB457" s="102"/>
      <c r="AC457" s="102"/>
      <c r="AD457" s="102"/>
    </row>
    <row r="458" spans="1:30">
      <c r="A458" s="8" t="str">
        <f>IF(L458="","",Formulario!B469)</f>
        <v/>
      </c>
      <c r="B458" s="119"/>
      <c r="C458" s="120"/>
      <c r="D458" s="121"/>
      <c r="E458" s="129" t="str">
        <f>IF(F458="","",Formulario!B469)</f>
        <v/>
      </c>
      <c r="F458" s="11" t="str">
        <f>TRIM(Formulario!D469)</f>
        <v/>
      </c>
      <c r="G458" s="11" t="str">
        <f>TRIM(Formulario!F469)</f>
        <v/>
      </c>
      <c r="H458" s="146" t="str">
        <f>IF(N458="",TRIM(Formulario!G469),TRIM(Formulario!G469)*N458)</f>
        <v/>
      </c>
      <c r="I458" s="107" t="str">
        <f>TRIM(Formulario!I469)</f>
        <v/>
      </c>
      <c r="J458" s="11" t="str">
        <f>TRIM(Formulario!J469)</f>
        <v/>
      </c>
      <c r="K458" s="11" t="str">
        <f>TRIM(Formulario!K469)</f>
        <v/>
      </c>
      <c r="L458" s="107" t="str">
        <f>TRIM(Formulario!L469)</f>
        <v/>
      </c>
      <c r="M458" s="107" t="str">
        <f>TRIM(Formulario!M469)</f>
        <v>0</v>
      </c>
      <c r="N458" s="11" t="str">
        <f>TRIM(Formulario!H469)</f>
        <v/>
      </c>
      <c r="P458" s="17"/>
      <c r="Q458" s="104"/>
      <c r="R458" s="104"/>
      <c r="S458" s="117"/>
      <c r="T458" s="101"/>
      <c r="U458" s="101"/>
      <c r="V458" s="101"/>
      <c r="W458" s="102"/>
      <c r="X458" s="102"/>
      <c r="Y458" s="102"/>
      <c r="Z458" s="102"/>
      <c r="AA458" s="102"/>
      <c r="AB458" s="102"/>
      <c r="AC458" s="102"/>
      <c r="AD458" s="102"/>
    </row>
    <row r="459" spans="1:30">
      <c r="A459" s="8" t="str">
        <f>IF(L459="","",Formulario!B470)</f>
        <v/>
      </c>
      <c r="B459" s="119"/>
      <c r="C459" s="120"/>
      <c r="D459" s="121"/>
      <c r="E459" s="129" t="str">
        <f>IF(F459="","",Formulario!B470)</f>
        <v/>
      </c>
      <c r="F459" s="11" t="str">
        <f>TRIM(Formulario!D470)</f>
        <v/>
      </c>
      <c r="G459" s="11" t="str">
        <f>TRIM(Formulario!F470)</f>
        <v/>
      </c>
      <c r="H459" s="146" t="str">
        <f>IF(N459="",TRIM(Formulario!G470),TRIM(Formulario!G470)*N459)</f>
        <v/>
      </c>
      <c r="I459" s="107" t="str">
        <f>TRIM(Formulario!I470)</f>
        <v/>
      </c>
      <c r="J459" s="11" t="str">
        <f>TRIM(Formulario!J470)</f>
        <v/>
      </c>
      <c r="K459" s="11" t="str">
        <f>TRIM(Formulario!K470)</f>
        <v/>
      </c>
      <c r="L459" s="107" t="str">
        <f>TRIM(Formulario!L470)</f>
        <v/>
      </c>
      <c r="M459" s="107" t="str">
        <f>TRIM(Formulario!M470)</f>
        <v>0</v>
      </c>
      <c r="N459" s="11" t="str">
        <f>TRIM(Formulario!H470)</f>
        <v/>
      </c>
      <c r="P459" s="17"/>
      <c r="Q459" s="104"/>
      <c r="R459" s="104"/>
      <c r="S459" s="117"/>
      <c r="T459" s="101"/>
      <c r="U459" s="101"/>
      <c r="V459" s="101"/>
      <c r="W459" s="102"/>
      <c r="X459" s="102"/>
      <c r="Y459" s="102"/>
      <c r="Z459" s="102"/>
      <c r="AA459" s="102"/>
      <c r="AB459" s="102"/>
      <c r="AC459" s="102"/>
      <c r="AD459" s="102"/>
    </row>
    <row r="460" spans="1:30">
      <c r="A460" s="8" t="str">
        <f>IF(L460="","",Formulario!B471)</f>
        <v/>
      </c>
      <c r="B460" s="119"/>
      <c r="C460" s="120"/>
      <c r="D460" s="121"/>
      <c r="E460" s="129" t="str">
        <f>IF(F460="","",Formulario!B471)</f>
        <v/>
      </c>
      <c r="F460" s="11" t="str">
        <f>TRIM(Formulario!D471)</f>
        <v/>
      </c>
      <c r="G460" s="11" t="str">
        <f>TRIM(Formulario!F471)</f>
        <v/>
      </c>
      <c r="H460" s="146" t="str">
        <f>IF(N460="",TRIM(Formulario!G471),TRIM(Formulario!G471)*N460)</f>
        <v/>
      </c>
      <c r="I460" s="107" t="str">
        <f>TRIM(Formulario!I471)</f>
        <v/>
      </c>
      <c r="J460" s="11" t="str">
        <f>TRIM(Formulario!J471)</f>
        <v/>
      </c>
      <c r="K460" s="11" t="str">
        <f>TRIM(Formulario!K471)</f>
        <v/>
      </c>
      <c r="L460" s="107" t="str">
        <f>TRIM(Formulario!L471)</f>
        <v/>
      </c>
      <c r="M460" s="107" t="str">
        <f>TRIM(Formulario!M471)</f>
        <v>0</v>
      </c>
      <c r="N460" s="11" t="str">
        <f>TRIM(Formulario!H471)</f>
        <v/>
      </c>
      <c r="P460" s="17"/>
      <c r="Q460" s="104"/>
      <c r="R460" s="104"/>
      <c r="S460" s="117"/>
      <c r="T460" s="101"/>
      <c r="U460" s="101"/>
      <c r="V460" s="101"/>
      <c r="W460" s="102"/>
      <c r="X460" s="102"/>
      <c r="Y460" s="102"/>
      <c r="Z460" s="102"/>
      <c r="AA460" s="102"/>
      <c r="AB460" s="102"/>
      <c r="AC460" s="102"/>
      <c r="AD460" s="102"/>
    </row>
    <row r="461" spans="1:30">
      <c r="A461" s="8" t="str">
        <f>IF(L461="","",Formulario!B472)</f>
        <v/>
      </c>
      <c r="B461" s="119"/>
      <c r="C461" s="120"/>
      <c r="D461" s="121"/>
      <c r="E461" s="129" t="str">
        <f>IF(F461="","",Formulario!B472)</f>
        <v/>
      </c>
      <c r="F461" s="11" t="str">
        <f>TRIM(Formulario!D472)</f>
        <v/>
      </c>
      <c r="G461" s="11" t="str">
        <f>TRIM(Formulario!F472)</f>
        <v/>
      </c>
      <c r="H461" s="146" t="str">
        <f>IF(N461="",TRIM(Formulario!G472),TRIM(Formulario!G472)*N461)</f>
        <v/>
      </c>
      <c r="I461" s="107" t="str">
        <f>TRIM(Formulario!I472)</f>
        <v/>
      </c>
      <c r="J461" s="11" t="str">
        <f>TRIM(Formulario!J472)</f>
        <v/>
      </c>
      <c r="K461" s="11" t="str">
        <f>TRIM(Formulario!K472)</f>
        <v/>
      </c>
      <c r="L461" s="107" t="str">
        <f>TRIM(Formulario!L472)</f>
        <v/>
      </c>
      <c r="M461" s="107" t="str">
        <f>TRIM(Formulario!M472)</f>
        <v>0</v>
      </c>
      <c r="N461" s="11" t="str">
        <f>TRIM(Formulario!H472)</f>
        <v/>
      </c>
      <c r="P461" s="17"/>
      <c r="Q461" s="104"/>
      <c r="R461" s="104"/>
      <c r="S461" s="117"/>
      <c r="T461" s="101"/>
      <c r="U461" s="101"/>
      <c r="V461" s="101"/>
      <c r="W461" s="102"/>
      <c r="X461" s="102"/>
      <c r="Y461" s="102"/>
      <c r="Z461" s="102"/>
      <c r="AA461" s="102"/>
      <c r="AB461" s="102"/>
      <c r="AC461" s="102"/>
      <c r="AD461" s="102"/>
    </row>
    <row r="462" spans="1:30">
      <c r="A462" s="8" t="str">
        <f>IF(L462="","",Formulario!B473)</f>
        <v/>
      </c>
      <c r="B462" s="119"/>
      <c r="C462" s="120"/>
      <c r="D462" s="121"/>
      <c r="E462" s="129" t="str">
        <f>IF(F462="","",Formulario!B473)</f>
        <v/>
      </c>
      <c r="F462" s="11" t="str">
        <f>TRIM(Formulario!D473)</f>
        <v/>
      </c>
      <c r="G462" s="11" t="str">
        <f>TRIM(Formulario!F473)</f>
        <v/>
      </c>
      <c r="H462" s="146" t="str">
        <f>IF(N462="",TRIM(Formulario!G473),TRIM(Formulario!G473)*N462)</f>
        <v/>
      </c>
      <c r="I462" s="107" t="str">
        <f>TRIM(Formulario!I473)</f>
        <v/>
      </c>
      <c r="J462" s="11" t="str">
        <f>TRIM(Formulario!J473)</f>
        <v/>
      </c>
      <c r="K462" s="11" t="str">
        <f>TRIM(Formulario!K473)</f>
        <v/>
      </c>
      <c r="L462" s="107" t="str">
        <f>TRIM(Formulario!L473)</f>
        <v/>
      </c>
      <c r="M462" s="107" t="str">
        <f>TRIM(Formulario!M473)</f>
        <v>0</v>
      </c>
      <c r="N462" s="11" t="str">
        <f>TRIM(Formulario!H473)</f>
        <v/>
      </c>
      <c r="P462" s="17"/>
      <c r="Q462" s="104"/>
      <c r="R462" s="104"/>
      <c r="S462" s="117"/>
      <c r="T462" s="101"/>
      <c r="U462" s="101"/>
      <c r="V462" s="101"/>
      <c r="W462" s="102"/>
      <c r="X462" s="102"/>
      <c r="Y462" s="102"/>
      <c r="Z462" s="102"/>
      <c r="AA462" s="102"/>
      <c r="AB462" s="102"/>
      <c r="AC462" s="102"/>
      <c r="AD462" s="102"/>
    </row>
    <row r="463" spans="1:30">
      <c r="A463" s="8" t="str">
        <f>IF(L463="","",Formulario!B474)</f>
        <v/>
      </c>
      <c r="B463" s="119"/>
      <c r="C463" s="120"/>
      <c r="D463" s="121"/>
      <c r="E463" s="129" t="str">
        <f>IF(F463="","",Formulario!B474)</f>
        <v/>
      </c>
      <c r="F463" s="11" t="str">
        <f>TRIM(Formulario!D474)</f>
        <v/>
      </c>
      <c r="G463" s="11" t="str">
        <f>TRIM(Formulario!F474)</f>
        <v/>
      </c>
      <c r="H463" s="146" t="str">
        <f>IF(N463="",TRIM(Formulario!G474),TRIM(Formulario!G474)*N463)</f>
        <v/>
      </c>
      <c r="I463" s="107" t="str">
        <f>TRIM(Formulario!I474)</f>
        <v/>
      </c>
      <c r="J463" s="11" t="str">
        <f>TRIM(Formulario!J474)</f>
        <v/>
      </c>
      <c r="K463" s="11" t="str">
        <f>TRIM(Formulario!K474)</f>
        <v/>
      </c>
      <c r="L463" s="107" t="str">
        <f>TRIM(Formulario!L474)</f>
        <v/>
      </c>
      <c r="M463" s="107" t="str">
        <f>TRIM(Formulario!M474)</f>
        <v>0</v>
      </c>
      <c r="N463" s="11" t="str">
        <f>TRIM(Formulario!H474)</f>
        <v/>
      </c>
      <c r="P463" s="17"/>
      <c r="Q463" s="104"/>
      <c r="R463" s="104"/>
      <c r="S463" s="117"/>
      <c r="T463" s="101"/>
      <c r="U463" s="101"/>
      <c r="V463" s="101"/>
      <c r="W463" s="102"/>
      <c r="X463" s="102"/>
      <c r="Y463" s="102"/>
      <c r="Z463" s="102"/>
      <c r="AA463" s="102"/>
      <c r="AB463" s="102"/>
      <c r="AC463" s="102"/>
      <c r="AD463" s="102"/>
    </row>
    <row r="464" spans="1:30">
      <c r="A464" s="8" t="str">
        <f>IF(L464="","",Formulario!B475)</f>
        <v/>
      </c>
      <c r="B464" s="119"/>
      <c r="C464" s="120"/>
      <c r="D464" s="121"/>
      <c r="E464" s="129" t="str">
        <f>IF(F464="","",Formulario!B475)</f>
        <v/>
      </c>
      <c r="F464" s="11" t="str">
        <f>TRIM(Formulario!D475)</f>
        <v/>
      </c>
      <c r="G464" s="11" t="str">
        <f>TRIM(Formulario!F475)</f>
        <v/>
      </c>
      <c r="H464" s="146" t="str">
        <f>IF(N464="",TRIM(Formulario!G475),TRIM(Formulario!G475)*N464)</f>
        <v/>
      </c>
      <c r="I464" s="107" t="str">
        <f>TRIM(Formulario!I475)</f>
        <v/>
      </c>
      <c r="J464" s="11" t="str">
        <f>TRIM(Formulario!J475)</f>
        <v/>
      </c>
      <c r="K464" s="11" t="str">
        <f>TRIM(Formulario!K475)</f>
        <v/>
      </c>
      <c r="L464" s="107" t="str">
        <f>TRIM(Formulario!L475)</f>
        <v/>
      </c>
      <c r="M464" s="107" t="str">
        <f>TRIM(Formulario!M475)</f>
        <v>0</v>
      </c>
      <c r="N464" s="11" t="str">
        <f>TRIM(Formulario!H475)</f>
        <v/>
      </c>
      <c r="P464" s="17"/>
      <c r="Q464" s="104"/>
      <c r="R464" s="104"/>
      <c r="S464" s="117"/>
      <c r="T464" s="101"/>
      <c r="U464" s="101"/>
      <c r="V464" s="101"/>
      <c r="W464" s="102"/>
      <c r="X464" s="102"/>
      <c r="Y464" s="102"/>
      <c r="Z464" s="102"/>
      <c r="AA464" s="102"/>
      <c r="AB464" s="102"/>
      <c r="AC464" s="102"/>
      <c r="AD464" s="102"/>
    </row>
    <row r="465" spans="1:30">
      <c r="A465" s="8" t="str">
        <f>IF(L465="","",Formulario!B476)</f>
        <v/>
      </c>
      <c r="B465" s="119"/>
      <c r="C465" s="120"/>
      <c r="D465" s="121"/>
      <c r="E465" s="129" t="str">
        <f>IF(F465="","",Formulario!B476)</f>
        <v/>
      </c>
      <c r="F465" s="11" t="str">
        <f>TRIM(Formulario!D476)</f>
        <v/>
      </c>
      <c r="G465" s="11" t="str">
        <f>TRIM(Formulario!F476)</f>
        <v/>
      </c>
      <c r="H465" s="146" t="str">
        <f>IF(N465="",TRIM(Formulario!G476),TRIM(Formulario!G476)*N465)</f>
        <v/>
      </c>
      <c r="I465" s="107" t="str">
        <f>TRIM(Formulario!I476)</f>
        <v/>
      </c>
      <c r="J465" s="11" t="str">
        <f>TRIM(Formulario!J476)</f>
        <v/>
      </c>
      <c r="K465" s="11" t="str">
        <f>TRIM(Formulario!K476)</f>
        <v/>
      </c>
      <c r="L465" s="107" t="str">
        <f>TRIM(Formulario!L476)</f>
        <v/>
      </c>
      <c r="M465" s="107" t="str">
        <f>TRIM(Formulario!M476)</f>
        <v>0</v>
      </c>
      <c r="N465" s="11" t="str">
        <f>TRIM(Formulario!H476)</f>
        <v/>
      </c>
      <c r="P465" s="17"/>
      <c r="Q465" s="104"/>
      <c r="R465" s="104"/>
      <c r="S465" s="117"/>
      <c r="T465" s="101"/>
      <c r="U465" s="101"/>
      <c r="V465" s="101"/>
      <c r="W465" s="102"/>
      <c r="X465" s="102"/>
      <c r="Y465" s="102"/>
      <c r="Z465" s="102"/>
      <c r="AA465" s="102"/>
      <c r="AB465" s="102"/>
      <c r="AC465" s="102"/>
      <c r="AD465" s="102"/>
    </row>
    <row r="466" spans="1:30">
      <c r="A466" s="8" t="str">
        <f>IF(L466="","",Formulario!B477)</f>
        <v/>
      </c>
      <c r="B466" s="119"/>
      <c r="C466" s="120"/>
      <c r="D466" s="121"/>
      <c r="E466" s="129" t="str">
        <f>IF(F466="","",Formulario!B477)</f>
        <v/>
      </c>
      <c r="F466" s="11" t="str">
        <f>TRIM(Formulario!D477)</f>
        <v/>
      </c>
      <c r="G466" s="11" t="str">
        <f>TRIM(Formulario!F477)</f>
        <v/>
      </c>
      <c r="H466" s="146" t="str">
        <f>IF(N466="",TRIM(Formulario!G477),TRIM(Formulario!G477)*N466)</f>
        <v/>
      </c>
      <c r="I466" s="107" t="str">
        <f>TRIM(Formulario!I477)</f>
        <v/>
      </c>
      <c r="J466" s="11" t="str">
        <f>TRIM(Formulario!J477)</f>
        <v/>
      </c>
      <c r="K466" s="11" t="str">
        <f>TRIM(Formulario!K477)</f>
        <v/>
      </c>
      <c r="L466" s="107" t="str">
        <f>TRIM(Formulario!L477)</f>
        <v/>
      </c>
      <c r="M466" s="107" t="str">
        <f>TRIM(Formulario!M477)</f>
        <v>0</v>
      </c>
      <c r="N466" s="11" t="str">
        <f>TRIM(Formulario!H477)</f>
        <v/>
      </c>
      <c r="P466" s="17"/>
      <c r="Q466" s="104"/>
      <c r="R466" s="104"/>
      <c r="S466" s="117"/>
      <c r="T466" s="101"/>
      <c r="U466" s="101"/>
      <c r="V466" s="101"/>
      <c r="W466" s="102"/>
      <c r="X466" s="102"/>
      <c r="Y466" s="102"/>
      <c r="Z466" s="102"/>
      <c r="AA466" s="102"/>
      <c r="AB466" s="102"/>
      <c r="AC466" s="102"/>
      <c r="AD466" s="102"/>
    </row>
    <row r="467" spans="1:30">
      <c r="A467" s="8" t="str">
        <f>IF(L467="","",Formulario!B478)</f>
        <v/>
      </c>
      <c r="B467" s="119"/>
      <c r="C467" s="120"/>
      <c r="D467" s="121"/>
      <c r="E467" s="129" t="str">
        <f>IF(F467="","",Formulario!B478)</f>
        <v/>
      </c>
      <c r="F467" s="11" t="str">
        <f>TRIM(Formulario!D478)</f>
        <v/>
      </c>
      <c r="G467" s="11" t="str">
        <f>TRIM(Formulario!F478)</f>
        <v/>
      </c>
      <c r="H467" s="146" t="str">
        <f>IF(N467="",TRIM(Formulario!G478),TRIM(Formulario!G478)*N467)</f>
        <v/>
      </c>
      <c r="I467" s="107" t="str">
        <f>TRIM(Formulario!I478)</f>
        <v/>
      </c>
      <c r="J467" s="11" t="str">
        <f>TRIM(Formulario!J478)</f>
        <v/>
      </c>
      <c r="K467" s="11" t="str">
        <f>TRIM(Formulario!K478)</f>
        <v/>
      </c>
      <c r="L467" s="107" t="str">
        <f>TRIM(Formulario!L478)</f>
        <v/>
      </c>
      <c r="M467" s="107" t="str">
        <f>TRIM(Formulario!M478)</f>
        <v>0</v>
      </c>
      <c r="N467" s="11" t="str">
        <f>TRIM(Formulario!H478)</f>
        <v/>
      </c>
      <c r="P467" s="17"/>
      <c r="Q467" s="104"/>
      <c r="R467" s="104"/>
      <c r="S467" s="117"/>
      <c r="T467" s="101"/>
      <c r="U467" s="101"/>
      <c r="V467" s="101"/>
      <c r="W467" s="102"/>
      <c r="X467" s="102"/>
      <c r="Y467" s="102"/>
      <c r="Z467" s="102"/>
      <c r="AA467" s="102"/>
      <c r="AB467" s="102"/>
      <c r="AC467" s="102"/>
      <c r="AD467" s="102"/>
    </row>
    <row r="468" spans="1:30">
      <c r="A468" s="8" t="str">
        <f>IF(L468="","",Formulario!B479)</f>
        <v/>
      </c>
      <c r="B468" s="119"/>
      <c r="C468" s="120"/>
      <c r="D468" s="121"/>
      <c r="E468" s="129" t="str">
        <f>IF(F468="","",Formulario!B479)</f>
        <v/>
      </c>
      <c r="F468" s="11" t="str">
        <f>TRIM(Formulario!D479)</f>
        <v/>
      </c>
      <c r="G468" s="11" t="str">
        <f>TRIM(Formulario!F479)</f>
        <v/>
      </c>
      <c r="H468" s="146" t="str">
        <f>IF(N468="",TRIM(Formulario!G479),TRIM(Formulario!G479)*N468)</f>
        <v/>
      </c>
      <c r="I468" s="107" t="str">
        <f>TRIM(Formulario!I479)</f>
        <v/>
      </c>
      <c r="J468" s="11" t="str">
        <f>TRIM(Formulario!J479)</f>
        <v/>
      </c>
      <c r="K468" s="11" t="str">
        <f>TRIM(Formulario!K479)</f>
        <v/>
      </c>
      <c r="L468" s="107" t="str">
        <f>TRIM(Formulario!L479)</f>
        <v/>
      </c>
      <c r="M468" s="107" t="str">
        <f>TRIM(Formulario!M479)</f>
        <v>0</v>
      </c>
      <c r="N468" s="11" t="str">
        <f>TRIM(Formulario!H479)</f>
        <v/>
      </c>
      <c r="P468" s="17"/>
      <c r="Q468" s="104"/>
      <c r="R468" s="104"/>
      <c r="S468" s="117"/>
      <c r="T468" s="101"/>
      <c r="U468" s="101"/>
      <c r="V468" s="101"/>
      <c r="W468" s="102"/>
      <c r="X468" s="102"/>
      <c r="Y468" s="102"/>
      <c r="Z468" s="102"/>
      <c r="AA468" s="102"/>
      <c r="AB468" s="102"/>
      <c r="AC468" s="102"/>
      <c r="AD468" s="102"/>
    </row>
    <row r="469" spans="1:30">
      <c r="A469" s="8" t="str">
        <f>IF(L469="","",Formulario!B480)</f>
        <v/>
      </c>
      <c r="B469" s="119"/>
      <c r="C469" s="120"/>
      <c r="D469" s="121"/>
      <c r="E469" s="129" t="str">
        <f>IF(F469="","",Formulario!B480)</f>
        <v/>
      </c>
      <c r="F469" s="11" t="str">
        <f>TRIM(Formulario!D480)</f>
        <v/>
      </c>
      <c r="G469" s="11" t="str">
        <f>TRIM(Formulario!F480)</f>
        <v/>
      </c>
      <c r="H469" s="146" t="str">
        <f>IF(N469="",TRIM(Formulario!G480),TRIM(Formulario!G480)*N469)</f>
        <v/>
      </c>
      <c r="I469" s="107" t="str">
        <f>TRIM(Formulario!I480)</f>
        <v/>
      </c>
      <c r="J469" s="11" t="str">
        <f>TRIM(Formulario!J480)</f>
        <v/>
      </c>
      <c r="K469" s="11" t="str">
        <f>TRIM(Formulario!K480)</f>
        <v/>
      </c>
      <c r="L469" s="107" t="str">
        <f>TRIM(Formulario!L480)</f>
        <v/>
      </c>
      <c r="M469" s="107" t="str">
        <f>TRIM(Formulario!M480)</f>
        <v>0</v>
      </c>
      <c r="N469" s="11" t="str">
        <f>TRIM(Formulario!H480)</f>
        <v/>
      </c>
      <c r="P469" s="17"/>
      <c r="Q469" s="104"/>
      <c r="R469" s="104"/>
      <c r="S469" s="117"/>
      <c r="T469" s="101"/>
      <c r="U469" s="101"/>
      <c r="V469" s="101"/>
      <c r="W469" s="102"/>
      <c r="X469" s="102"/>
      <c r="Y469" s="102"/>
      <c r="Z469" s="102"/>
      <c r="AA469" s="102"/>
      <c r="AB469" s="102"/>
      <c r="AC469" s="102"/>
      <c r="AD469" s="102"/>
    </row>
    <row r="470" spans="1:30">
      <c r="A470" s="8" t="str">
        <f>IF(L470="","",Formulario!B481)</f>
        <v/>
      </c>
      <c r="B470" s="119"/>
      <c r="C470" s="120"/>
      <c r="D470" s="121"/>
      <c r="E470" s="129" t="str">
        <f>IF(F470="","",Formulario!B481)</f>
        <v/>
      </c>
      <c r="F470" s="11" t="str">
        <f>TRIM(Formulario!D481)</f>
        <v/>
      </c>
      <c r="G470" s="11" t="str">
        <f>TRIM(Formulario!F481)</f>
        <v/>
      </c>
      <c r="H470" s="146" t="str">
        <f>IF(N470="",TRIM(Formulario!G481),TRIM(Formulario!G481)*N470)</f>
        <v/>
      </c>
      <c r="I470" s="107" t="str">
        <f>TRIM(Formulario!I481)</f>
        <v/>
      </c>
      <c r="J470" s="11" t="str">
        <f>TRIM(Formulario!J481)</f>
        <v/>
      </c>
      <c r="K470" s="11" t="str">
        <f>TRIM(Formulario!K481)</f>
        <v/>
      </c>
      <c r="L470" s="107" t="str">
        <f>TRIM(Formulario!L481)</f>
        <v/>
      </c>
      <c r="M470" s="107" t="str">
        <f>TRIM(Formulario!M481)</f>
        <v>0</v>
      </c>
      <c r="N470" s="11" t="str">
        <f>TRIM(Formulario!H481)</f>
        <v/>
      </c>
      <c r="P470" s="17"/>
      <c r="Q470" s="104"/>
      <c r="R470" s="104"/>
      <c r="S470" s="117"/>
      <c r="T470" s="101"/>
      <c r="U470" s="101"/>
      <c r="V470" s="101"/>
      <c r="W470" s="102"/>
      <c r="X470" s="102"/>
      <c r="Y470" s="102"/>
      <c r="Z470" s="102"/>
      <c r="AA470" s="102"/>
      <c r="AB470" s="102"/>
      <c r="AC470" s="102"/>
      <c r="AD470" s="102"/>
    </row>
    <row r="471" spans="1:30">
      <c r="A471" s="8" t="str">
        <f>IF(L471="","",Formulario!B482)</f>
        <v/>
      </c>
      <c r="B471" s="119"/>
      <c r="C471" s="120"/>
      <c r="D471" s="121"/>
      <c r="E471" s="129" t="str">
        <f>IF(F471="","",Formulario!B482)</f>
        <v/>
      </c>
      <c r="F471" s="11" t="str">
        <f>TRIM(Formulario!D482)</f>
        <v/>
      </c>
      <c r="G471" s="11" t="str">
        <f>TRIM(Formulario!F482)</f>
        <v/>
      </c>
      <c r="H471" s="146" t="str">
        <f>IF(N471="",TRIM(Formulario!G482),TRIM(Formulario!G482)*N471)</f>
        <v/>
      </c>
      <c r="I471" s="107" t="str">
        <f>TRIM(Formulario!I482)</f>
        <v/>
      </c>
      <c r="J471" s="11" t="str">
        <f>TRIM(Formulario!J482)</f>
        <v/>
      </c>
      <c r="K471" s="11" t="str">
        <f>TRIM(Formulario!K482)</f>
        <v/>
      </c>
      <c r="L471" s="107" t="str">
        <f>TRIM(Formulario!L482)</f>
        <v/>
      </c>
      <c r="M471" s="107" t="str">
        <f>TRIM(Formulario!M482)</f>
        <v>0</v>
      </c>
      <c r="N471" s="11" t="str">
        <f>TRIM(Formulario!H482)</f>
        <v/>
      </c>
      <c r="P471" s="17"/>
      <c r="Q471" s="104"/>
      <c r="R471" s="104"/>
      <c r="S471" s="117"/>
      <c r="T471" s="101"/>
      <c r="U471" s="101"/>
      <c r="V471" s="101"/>
      <c r="W471" s="102"/>
      <c r="X471" s="102"/>
      <c r="Y471" s="102"/>
      <c r="Z471" s="102"/>
      <c r="AA471" s="102"/>
      <c r="AB471" s="102"/>
      <c r="AC471" s="102"/>
      <c r="AD471" s="102"/>
    </row>
    <row r="472" spans="1:30">
      <c r="A472" s="8" t="str">
        <f>IF(L472="","",Formulario!B483)</f>
        <v/>
      </c>
      <c r="B472" s="119"/>
      <c r="C472" s="120"/>
      <c r="D472" s="121"/>
      <c r="E472" s="129" t="str">
        <f>IF(F472="","",Formulario!B483)</f>
        <v/>
      </c>
      <c r="F472" s="11" t="str">
        <f>TRIM(Formulario!D483)</f>
        <v/>
      </c>
      <c r="G472" s="11" t="str">
        <f>TRIM(Formulario!F483)</f>
        <v/>
      </c>
      <c r="H472" s="146" t="str">
        <f>IF(N472="",TRIM(Formulario!G483),TRIM(Formulario!G483)*N472)</f>
        <v/>
      </c>
      <c r="I472" s="107" t="str">
        <f>TRIM(Formulario!I483)</f>
        <v/>
      </c>
      <c r="J472" s="11" t="str">
        <f>TRIM(Formulario!J483)</f>
        <v/>
      </c>
      <c r="K472" s="11" t="str">
        <f>TRIM(Formulario!K483)</f>
        <v/>
      </c>
      <c r="L472" s="107" t="str">
        <f>TRIM(Formulario!L483)</f>
        <v/>
      </c>
      <c r="M472" s="107" t="str">
        <f>TRIM(Formulario!M483)</f>
        <v>0</v>
      </c>
      <c r="N472" s="11" t="str">
        <f>TRIM(Formulario!H483)</f>
        <v/>
      </c>
      <c r="P472" s="17"/>
      <c r="Q472" s="104"/>
      <c r="R472" s="104"/>
      <c r="S472" s="117"/>
      <c r="T472" s="101"/>
      <c r="U472" s="101"/>
      <c r="V472" s="101"/>
      <c r="W472" s="102"/>
      <c r="X472" s="102"/>
      <c r="Y472" s="102"/>
      <c r="Z472" s="102"/>
      <c r="AA472" s="102"/>
      <c r="AB472" s="102"/>
      <c r="AC472" s="102"/>
      <c r="AD472" s="102"/>
    </row>
    <row r="473" spans="1:30">
      <c r="A473" s="8" t="str">
        <f>IF(L473="","",Formulario!B484)</f>
        <v/>
      </c>
      <c r="B473" s="119"/>
      <c r="C473" s="120"/>
      <c r="D473" s="121"/>
      <c r="E473" s="129" t="str">
        <f>IF(F473="","",Formulario!B484)</f>
        <v/>
      </c>
      <c r="F473" s="11" t="str">
        <f>TRIM(Formulario!D484)</f>
        <v/>
      </c>
      <c r="G473" s="11" t="str">
        <f>TRIM(Formulario!F484)</f>
        <v/>
      </c>
      <c r="H473" s="146" t="str">
        <f>IF(N473="",TRIM(Formulario!G484),TRIM(Formulario!G484)*N473)</f>
        <v/>
      </c>
      <c r="I473" s="107" t="str">
        <f>TRIM(Formulario!I484)</f>
        <v/>
      </c>
      <c r="J473" s="11" t="str">
        <f>TRIM(Formulario!J484)</f>
        <v/>
      </c>
      <c r="K473" s="11" t="str">
        <f>TRIM(Formulario!K484)</f>
        <v/>
      </c>
      <c r="L473" s="107" t="str">
        <f>TRIM(Formulario!L484)</f>
        <v/>
      </c>
      <c r="M473" s="107" t="str">
        <f>TRIM(Formulario!M484)</f>
        <v>0</v>
      </c>
      <c r="N473" s="11" t="str">
        <f>TRIM(Formulario!H484)</f>
        <v/>
      </c>
      <c r="P473" s="17"/>
      <c r="Q473" s="104"/>
      <c r="R473" s="104"/>
      <c r="S473" s="117"/>
      <c r="T473" s="101"/>
      <c r="U473" s="101"/>
      <c r="V473" s="101"/>
      <c r="W473" s="102"/>
      <c r="X473" s="102"/>
      <c r="Y473" s="102"/>
      <c r="Z473" s="102"/>
      <c r="AA473" s="102"/>
      <c r="AB473" s="102"/>
      <c r="AC473" s="102"/>
      <c r="AD473" s="102"/>
    </row>
    <row r="474" spans="1:30">
      <c r="A474" s="8" t="str">
        <f>IF(L474="","",Formulario!B485)</f>
        <v/>
      </c>
      <c r="B474" s="119"/>
      <c r="C474" s="120"/>
      <c r="D474" s="121"/>
      <c r="E474" s="129" t="str">
        <f>IF(F474="","",Formulario!B485)</f>
        <v/>
      </c>
      <c r="F474" s="11" t="str">
        <f>TRIM(Formulario!D485)</f>
        <v/>
      </c>
      <c r="G474" s="11" t="str">
        <f>TRIM(Formulario!F485)</f>
        <v/>
      </c>
      <c r="H474" s="146" t="str">
        <f>IF(N474="",TRIM(Formulario!G485),TRIM(Formulario!G485)*N474)</f>
        <v/>
      </c>
      <c r="I474" s="107" t="str">
        <f>TRIM(Formulario!I485)</f>
        <v/>
      </c>
      <c r="J474" s="11" t="str">
        <f>TRIM(Formulario!J485)</f>
        <v/>
      </c>
      <c r="K474" s="11" t="str">
        <f>TRIM(Formulario!K485)</f>
        <v/>
      </c>
      <c r="L474" s="107" t="str">
        <f>TRIM(Formulario!L485)</f>
        <v/>
      </c>
      <c r="M474" s="107" t="str">
        <f>TRIM(Formulario!M485)</f>
        <v>0</v>
      </c>
      <c r="N474" s="11" t="str">
        <f>TRIM(Formulario!H485)</f>
        <v/>
      </c>
      <c r="P474" s="17"/>
      <c r="Q474" s="104"/>
      <c r="R474" s="104"/>
      <c r="S474" s="117"/>
      <c r="T474" s="101"/>
      <c r="U474" s="101"/>
      <c r="V474" s="101"/>
      <c r="W474" s="102"/>
      <c r="X474" s="102"/>
      <c r="Y474" s="102"/>
      <c r="Z474" s="102"/>
      <c r="AA474" s="102"/>
      <c r="AB474" s="102"/>
      <c r="AC474" s="102"/>
      <c r="AD474" s="102"/>
    </row>
    <row r="475" spans="1:30">
      <c r="A475" s="8" t="str">
        <f>IF(L475="","",Formulario!B486)</f>
        <v/>
      </c>
      <c r="B475" s="119"/>
      <c r="C475" s="120"/>
      <c r="D475" s="121"/>
      <c r="E475" s="129" t="str">
        <f>IF(F475="","",Formulario!B486)</f>
        <v/>
      </c>
      <c r="F475" s="11" t="str">
        <f>TRIM(Formulario!D486)</f>
        <v/>
      </c>
      <c r="G475" s="11" t="str">
        <f>TRIM(Formulario!F486)</f>
        <v/>
      </c>
      <c r="H475" s="146" t="str">
        <f>IF(N475="",TRIM(Formulario!G486),TRIM(Formulario!G486)*N475)</f>
        <v/>
      </c>
      <c r="I475" s="107" t="str">
        <f>TRIM(Formulario!I486)</f>
        <v/>
      </c>
      <c r="J475" s="11" t="str">
        <f>TRIM(Formulario!J486)</f>
        <v/>
      </c>
      <c r="K475" s="11" t="str">
        <f>TRIM(Formulario!K486)</f>
        <v/>
      </c>
      <c r="L475" s="107" t="str">
        <f>TRIM(Formulario!L486)</f>
        <v/>
      </c>
      <c r="M475" s="107" t="str">
        <f>TRIM(Formulario!M486)</f>
        <v>0</v>
      </c>
      <c r="N475" s="11" t="str">
        <f>TRIM(Formulario!H486)</f>
        <v/>
      </c>
      <c r="P475" s="17"/>
      <c r="Q475" s="104"/>
      <c r="R475" s="104"/>
      <c r="S475" s="117"/>
      <c r="T475" s="101"/>
      <c r="U475" s="101"/>
      <c r="V475" s="101"/>
      <c r="W475" s="102"/>
      <c r="X475" s="102"/>
      <c r="Y475" s="102"/>
      <c r="Z475" s="102"/>
      <c r="AA475" s="102"/>
      <c r="AB475" s="102"/>
      <c r="AC475" s="102"/>
      <c r="AD475" s="102"/>
    </row>
    <row r="476" spans="1:30">
      <c r="A476" s="8" t="str">
        <f>IF(L476="","",Formulario!B487)</f>
        <v/>
      </c>
      <c r="B476" s="119"/>
      <c r="C476" s="120"/>
      <c r="D476" s="121"/>
      <c r="E476" s="129" t="str">
        <f>IF(F476="","",Formulario!B487)</f>
        <v/>
      </c>
      <c r="F476" s="11" t="str">
        <f>TRIM(Formulario!D487)</f>
        <v/>
      </c>
      <c r="G476" s="11" t="str">
        <f>TRIM(Formulario!F487)</f>
        <v/>
      </c>
      <c r="H476" s="146" t="str">
        <f>IF(N476="",TRIM(Formulario!G487),TRIM(Formulario!G487)*N476)</f>
        <v/>
      </c>
      <c r="I476" s="107" t="str">
        <f>TRIM(Formulario!I487)</f>
        <v/>
      </c>
      <c r="J476" s="11" t="str">
        <f>TRIM(Formulario!J487)</f>
        <v/>
      </c>
      <c r="K476" s="11" t="str">
        <f>TRIM(Formulario!K487)</f>
        <v/>
      </c>
      <c r="L476" s="107" t="str">
        <f>TRIM(Formulario!L487)</f>
        <v/>
      </c>
      <c r="M476" s="107" t="str">
        <f>TRIM(Formulario!M487)</f>
        <v>0</v>
      </c>
      <c r="N476" s="11" t="str">
        <f>TRIM(Formulario!H487)</f>
        <v/>
      </c>
      <c r="P476" s="17"/>
      <c r="Q476" s="104"/>
      <c r="R476" s="104"/>
      <c r="S476" s="117"/>
      <c r="T476" s="101"/>
      <c r="U476" s="101"/>
      <c r="V476" s="101"/>
      <c r="W476" s="102"/>
      <c r="X476" s="102"/>
      <c r="Y476" s="102"/>
      <c r="Z476" s="102"/>
      <c r="AA476" s="102"/>
      <c r="AB476" s="102"/>
      <c r="AC476" s="102"/>
      <c r="AD476" s="102"/>
    </row>
    <row r="477" spans="1:30">
      <c r="A477" s="8" t="str">
        <f>IF(L477="","",Formulario!B488)</f>
        <v/>
      </c>
      <c r="B477" s="119"/>
      <c r="C477" s="120"/>
      <c r="D477" s="121"/>
      <c r="E477" s="129" t="str">
        <f>IF(F477="","",Formulario!B488)</f>
        <v/>
      </c>
      <c r="F477" s="11" t="str">
        <f>TRIM(Formulario!D488)</f>
        <v/>
      </c>
      <c r="G477" s="11" t="str">
        <f>TRIM(Formulario!F488)</f>
        <v/>
      </c>
      <c r="H477" s="146" t="str">
        <f>IF(N477="",TRIM(Formulario!G488),TRIM(Formulario!G488)*N477)</f>
        <v/>
      </c>
      <c r="I477" s="107" t="str">
        <f>TRIM(Formulario!I488)</f>
        <v/>
      </c>
      <c r="J477" s="11" t="str">
        <f>TRIM(Formulario!J488)</f>
        <v/>
      </c>
      <c r="K477" s="11" t="str">
        <f>TRIM(Formulario!K488)</f>
        <v/>
      </c>
      <c r="L477" s="107" t="str">
        <f>TRIM(Formulario!L488)</f>
        <v/>
      </c>
      <c r="M477" s="107" t="str">
        <f>TRIM(Formulario!M488)</f>
        <v>0</v>
      </c>
      <c r="N477" s="11" t="str">
        <f>TRIM(Formulario!H488)</f>
        <v/>
      </c>
      <c r="P477" s="17"/>
      <c r="Q477" s="104"/>
      <c r="R477" s="104"/>
      <c r="S477" s="117"/>
      <c r="T477" s="101"/>
      <c r="U477" s="101"/>
      <c r="V477" s="101"/>
      <c r="W477" s="102"/>
      <c r="X477" s="102"/>
      <c r="Y477" s="102"/>
      <c r="Z477" s="102"/>
      <c r="AA477" s="102"/>
      <c r="AB477" s="102"/>
      <c r="AC477" s="102"/>
      <c r="AD477" s="102"/>
    </row>
    <row r="478" spans="1:30">
      <c r="A478" s="8" t="str">
        <f>IF(L478="","",Formulario!B489)</f>
        <v/>
      </c>
      <c r="B478" s="119"/>
      <c r="C478" s="120"/>
      <c r="D478" s="121"/>
      <c r="E478" s="129" t="str">
        <f>IF(F478="","",Formulario!B489)</f>
        <v/>
      </c>
      <c r="F478" s="11" t="str">
        <f>TRIM(Formulario!D489)</f>
        <v/>
      </c>
      <c r="G478" s="11" t="str">
        <f>TRIM(Formulario!F489)</f>
        <v/>
      </c>
      <c r="H478" s="146" t="str">
        <f>IF(N478="",TRIM(Formulario!G489),TRIM(Formulario!G489)*N478)</f>
        <v/>
      </c>
      <c r="I478" s="107" t="str">
        <f>TRIM(Formulario!I489)</f>
        <v/>
      </c>
      <c r="J478" s="11" t="str">
        <f>TRIM(Formulario!J489)</f>
        <v/>
      </c>
      <c r="K478" s="11" t="str">
        <f>TRIM(Formulario!K489)</f>
        <v/>
      </c>
      <c r="L478" s="107" t="str">
        <f>TRIM(Formulario!L489)</f>
        <v/>
      </c>
      <c r="M478" s="107" t="str">
        <f>TRIM(Formulario!M489)</f>
        <v>0</v>
      </c>
      <c r="N478" s="11" t="str">
        <f>TRIM(Formulario!H489)</f>
        <v/>
      </c>
      <c r="P478" s="17"/>
      <c r="Q478" s="104"/>
      <c r="R478" s="104"/>
      <c r="S478" s="117"/>
      <c r="T478" s="101"/>
      <c r="U478" s="101"/>
      <c r="V478" s="101"/>
      <c r="W478" s="102"/>
      <c r="X478" s="102"/>
      <c r="Y478" s="102"/>
      <c r="Z478" s="102"/>
      <c r="AA478" s="102"/>
      <c r="AB478" s="102"/>
      <c r="AC478" s="102"/>
      <c r="AD478" s="102"/>
    </row>
    <row r="479" spans="1:30">
      <c r="A479" s="8" t="str">
        <f>IF(L479="","",Formulario!B490)</f>
        <v/>
      </c>
      <c r="B479" s="119"/>
      <c r="C479" s="120"/>
      <c r="D479" s="121"/>
      <c r="E479" s="129" t="str">
        <f>IF(F479="","",Formulario!B490)</f>
        <v/>
      </c>
      <c r="F479" s="11" t="str">
        <f>TRIM(Formulario!D490)</f>
        <v/>
      </c>
      <c r="G479" s="11" t="str">
        <f>TRIM(Formulario!F490)</f>
        <v/>
      </c>
      <c r="H479" s="146" t="str">
        <f>IF(N479="",TRIM(Formulario!G490),TRIM(Formulario!G490)*N479)</f>
        <v/>
      </c>
      <c r="I479" s="107" t="str">
        <f>TRIM(Formulario!I490)</f>
        <v/>
      </c>
      <c r="J479" s="11" t="str">
        <f>TRIM(Formulario!J490)</f>
        <v/>
      </c>
      <c r="K479" s="11" t="str">
        <f>TRIM(Formulario!K490)</f>
        <v/>
      </c>
      <c r="L479" s="107" t="str">
        <f>TRIM(Formulario!L490)</f>
        <v/>
      </c>
      <c r="M479" s="107" t="str">
        <f>TRIM(Formulario!M490)</f>
        <v>0</v>
      </c>
      <c r="N479" s="11" t="str">
        <f>TRIM(Formulario!H490)</f>
        <v/>
      </c>
      <c r="P479" s="17"/>
      <c r="Q479" s="104"/>
      <c r="R479" s="104"/>
      <c r="S479" s="117"/>
      <c r="T479" s="101"/>
      <c r="U479" s="101"/>
      <c r="V479" s="101"/>
      <c r="W479" s="102"/>
      <c r="X479" s="102"/>
      <c r="Y479" s="102"/>
      <c r="Z479" s="102"/>
      <c r="AA479" s="102"/>
      <c r="AB479" s="102"/>
      <c r="AC479" s="102"/>
      <c r="AD479" s="102"/>
    </row>
    <row r="480" spans="1:30">
      <c r="A480" s="8" t="str">
        <f>IF(L480="","",Formulario!B491)</f>
        <v/>
      </c>
      <c r="B480" s="119"/>
      <c r="C480" s="120"/>
      <c r="D480" s="121"/>
      <c r="E480" s="129" t="str">
        <f>IF(F480="","",Formulario!B491)</f>
        <v/>
      </c>
      <c r="F480" s="11" t="str">
        <f>TRIM(Formulario!D491)</f>
        <v/>
      </c>
      <c r="G480" s="11" t="str">
        <f>TRIM(Formulario!F491)</f>
        <v/>
      </c>
      <c r="H480" s="146" t="str">
        <f>IF(N480="",TRIM(Formulario!G491),TRIM(Formulario!G491)*N480)</f>
        <v/>
      </c>
      <c r="I480" s="107" t="str">
        <f>TRIM(Formulario!I491)</f>
        <v/>
      </c>
      <c r="J480" s="11" t="str">
        <f>TRIM(Formulario!J491)</f>
        <v/>
      </c>
      <c r="K480" s="11" t="str">
        <f>TRIM(Formulario!K491)</f>
        <v/>
      </c>
      <c r="L480" s="107" t="str">
        <f>TRIM(Formulario!L491)</f>
        <v/>
      </c>
      <c r="M480" s="107" t="str">
        <f>TRIM(Formulario!M491)</f>
        <v>0</v>
      </c>
      <c r="N480" s="11" t="str">
        <f>TRIM(Formulario!H491)</f>
        <v/>
      </c>
      <c r="P480" s="17"/>
      <c r="Q480" s="104"/>
      <c r="R480" s="104"/>
      <c r="S480" s="117"/>
      <c r="T480" s="101"/>
      <c r="U480" s="101"/>
      <c r="V480" s="101"/>
      <c r="W480" s="102"/>
      <c r="X480" s="102"/>
      <c r="Y480" s="102"/>
      <c r="Z480" s="102"/>
      <c r="AA480" s="102"/>
      <c r="AB480" s="102"/>
      <c r="AC480" s="102"/>
      <c r="AD480" s="102"/>
    </row>
    <row r="481" spans="1:30">
      <c r="A481" s="8" t="str">
        <f>IF(L481="","",Formulario!B492)</f>
        <v/>
      </c>
      <c r="B481" s="119"/>
      <c r="C481" s="120"/>
      <c r="D481" s="121"/>
      <c r="E481" s="129" t="str">
        <f>IF(F481="","",Formulario!B492)</f>
        <v/>
      </c>
      <c r="F481" s="11" t="str">
        <f>TRIM(Formulario!D492)</f>
        <v/>
      </c>
      <c r="G481" s="11" t="str">
        <f>TRIM(Formulario!F492)</f>
        <v/>
      </c>
      <c r="H481" s="146" t="str">
        <f>IF(N481="",TRIM(Formulario!G492),TRIM(Formulario!G492)*N481)</f>
        <v/>
      </c>
      <c r="I481" s="107" t="str">
        <f>TRIM(Formulario!I492)</f>
        <v/>
      </c>
      <c r="J481" s="11" t="str">
        <f>TRIM(Formulario!J492)</f>
        <v/>
      </c>
      <c r="K481" s="11" t="str">
        <f>TRIM(Formulario!K492)</f>
        <v/>
      </c>
      <c r="L481" s="107" t="str">
        <f>TRIM(Formulario!L492)</f>
        <v/>
      </c>
      <c r="M481" s="107" t="str">
        <f>TRIM(Formulario!M492)</f>
        <v>0</v>
      </c>
      <c r="N481" s="11" t="str">
        <f>TRIM(Formulario!H492)</f>
        <v/>
      </c>
      <c r="P481" s="17"/>
      <c r="Q481" s="104"/>
      <c r="R481" s="104"/>
      <c r="S481" s="117"/>
      <c r="T481" s="101"/>
      <c r="U481" s="101"/>
      <c r="V481" s="101"/>
      <c r="W481" s="102"/>
      <c r="X481" s="102"/>
      <c r="Y481" s="102"/>
      <c r="Z481" s="102"/>
      <c r="AA481" s="102"/>
      <c r="AB481" s="102"/>
      <c r="AC481" s="102"/>
      <c r="AD481" s="102"/>
    </row>
    <row r="482" spans="1:30">
      <c r="A482" s="8" t="str">
        <f>IF(L482="","",Formulario!B493)</f>
        <v/>
      </c>
      <c r="B482" s="119"/>
      <c r="C482" s="120"/>
      <c r="D482" s="121"/>
      <c r="E482" s="129" t="str">
        <f>IF(F482="","",Formulario!B493)</f>
        <v/>
      </c>
      <c r="F482" s="11" t="str">
        <f>TRIM(Formulario!D493)</f>
        <v/>
      </c>
      <c r="G482" s="11" t="str">
        <f>TRIM(Formulario!F493)</f>
        <v/>
      </c>
      <c r="H482" s="146" t="str">
        <f>IF(N482="",TRIM(Formulario!G493),TRIM(Formulario!G493)*N482)</f>
        <v/>
      </c>
      <c r="I482" s="107" t="str">
        <f>TRIM(Formulario!I493)</f>
        <v/>
      </c>
      <c r="J482" s="11" t="str">
        <f>TRIM(Formulario!J493)</f>
        <v/>
      </c>
      <c r="K482" s="11" t="str">
        <f>TRIM(Formulario!K493)</f>
        <v/>
      </c>
      <c r="L482" s="107" t="str">
        <f>TRIM(Formulario!L493)</f>
        <v/>
      </c>
      <c r="M482" s="107" t="str">
        <f>TRIM(Formulario!M493)</f>
        <v>0</v>
      </c>
      <c r="N482" s="11" t="str">
        <f>TRIM(Formulario!H493)</f>
        <v/>
      </c>
      <c r="P482" s="17"/>
      <c r="Q482" s="104"/>
      <c r="R482" s="104"/>
      <c r="S482" s="117"/>
      <c r="T482" s="101"/>
      <c r="U482" s="101"/>
      <c r="V482" s="101"/>
      <c r="W482" s="102"/>
      <c r="X482" s="102"/>
      <c r="Y482" s="102"/>
      <c r="Z482" s="102"/>
      <c r="AA482" s="102"/>
      <c r="AB482" s="102"/>
      <c r="AC482" s="102"/>
      <c r="AD482" s="102"/>
    </row>
    <row r="483" spans="1:30">
      <c r="A483" s="8" t="str">
        <f>IF(L483="","",Formulario!B494)</f>
        <v/>
      </c>
      <c r="B483" s="119"/>
      <c r="C483" s="120"/>
      <c r="D483" s="121"/>
      <c r="E483" s="129" t="str">
        <f>IF(F483="","",Formulario!B494)</f>
        <v/>
      </c>
      <c r="F483" s="11" t="str">
        <f>TRIM(Formulario!D494)</f>
        <v/>
      </c>
      <c r="G483" s="11" t="str">
        <f>TRIM(Formulario!F494)</f>
        <v/>
      </c>
      <c r="H483" s="146" t="str">
        <f>IF(N483="",TRIM(Formulario!G494),TRIM(Formulario!G494)*N483)</f>
        <v/>
      </c>
      <c r="I483" s="107" t="str">
        <f>TRIM(Formulario!I494)</f>
        <v/>
      </c>
      <c r="J483" s="11" t="str">
        <f>TRIM(Formulario!J494)</f>
        <v/>
      </c>
      <c r="K483" s="11" t="str">
        <f>TRIM(Formulario!K494)</f>
        <v/>
      </c>
      <c r="L483" s="107" t="str">
        <f>TRIM(Formulario!L494)</f>
        <v/>
      </c>
      <c r="M483" s="107" t="str">
        <f>TRIM(Formulario!M494)</f>
        <v>0</v>
      </c>
      <c r="N483" s="11" t="str">
        <f>TRIM(Formulario!H494)</f>
        <v/>
      </c>
      <c r="P483" s="17"/>
      <c r="Q483" s="104"/>
      <c r="R483" s="104"/>
      <c r="S483" s="117"/>
      <c r="T483" s="101"/>
      <c r="U483" s="101"/>
      <c r="V483" s="101"/>
      <c r="W483" s="102"/>
      <c r="X483" s="102"/>
      <c r="Y483" s="102"/>
      <c r="Z483" s="102"/>
      <c r="AA483" s="102"/>
      <c r="AB483" s="102"/>
      <c r="AC483" s="102"/>
      <c r="AD483" s="102"/>
    </row>
    <row r="484" spans="1:30">
      <c r="A484" s="8" t="str">
        <f>IF(L484="","",Formulario!B495)</f>
        <v/>
      </c>
      <c r="B484" s="119"/>
      <c r="C484" s="120"/>
      <c r="D484" s="121"/>
      <c r="E484" s="129" t="str">
        <f>IF(F484="","",Formulario!B495)</f>
        <v/>
      </c>
      <c r="F484" s="11" t="str">
        <f>TRIM(Formulario!D495)</f>
        <v/>
      </c>
      <c r="G484" s="11" t="str">
        <f>TRIM(Formulario!F495)</f>
        <v/>
      </c>
      <c r="H484" s="146" t="str">
        <f>IF(N484="",TRIM(Formulario!G495),TRIM(Formulario!G495)*N484)</f>
        <v/>
      </c>
      <c r="I484" s="107" t="str">
        <f>TRIM(Formulario!I495)</f>
        <v/>
      </c>
      <c r="J484" s="11" t="str">
        <f>TRIM(Formulario!J495)</f>
        <v/>
      </c>
      <c r="K484" s="11" t="str">
        <f>TRIM(Formulario!K495)</f>
        <v/>
      </c>
      <c r="L484" s="107" t="str">
        <f>TRIM(Formulario!L495)</f>
        <v/>
      </c>
      <c r="M484" s="107" t="str">
        <f>TRIM(Formulario!M495)</f>
        <v>0</v>
      </c>
      <c r="N484" s="11" t="str">
        <f>TRIM(Formulario!H495)</f>
        <v/>
      </c>
      <c r="P484" s="17"/>
      <c r="Q484" s="104"/>
      <c r="R484" s="104"/>
      <c r="S484" s="117"/>
      <c r="T484" s="101"/>
      <c r="U484" s="101"/>
      <c r="V484" s="101"/>
      <c r="W484" s="102"/>
      <c r="X484" s="102"/>
      <c r="Y484" s="102"/>
      <c r="Z484" s="102"/>
      <c r="AA484" s="102"/>
      <c r="AB484" s="102"/>
      <c r="AC484" s="102"/>
      <c r="AD484" s="102"/>
    </row>
    <row r="485" spans="1:30">
      <c r="A485" s="8" t="str">
        <f>IF(L485="","",Formulario!B496)</f>
        <v/>
      </c>
      <c r="B485" s="119"/>
      <c r="C485" s="120"/>
      <c r="D485" s="121"/>
      <c r="E485" s="129" t="str">
        <f>IF(F485="","",Formulario!B496)</f>
        <v/>
      </c>
      <c r="F485" s="11" t="str">
        <f>TRIM(Formulario!D496)</f>
        <v/>
      </c>
      <c r="G485" s="11" t="str">
        <f>TRIM(Formulario!F496)</f>
        <v/>
      </c>
      <c r="H485" s="146" t="str">
        <f>IF(N485="",TRIM(Formulario!G496),TRIM(Formulario!G496)*N485)</f>
        <v/>
      </c>
      <c r="I485" s="107" t="str">
        <f>TRIM(Formulario!I496)</f>
        <v/>
      </c>
      <c r="J485" s="11" t="str">
        <f>TRIM(Formulario!J496)</f>
        <v/>
      </c>
      <c r="K485" s="11" t="str">
        <f>TRIM(Formulario!K496)</f>
        <v/>
      </c>
      <c r="L485" s="107" t="str">
        <f>TRIM(Formulario!L496)</f>
        <v/>
      </c>
      <c r="M485" s="107" t="str">
        <f>TRIM(Formulario!M496)</f>
        <v>0</v>
      </c>
      <c r="N485" s="11" t="str">
        <f>TRIM(Formulario!H496)</f>
        <v/>
      </c>
      <c r="P485" s="17"/>
      <c r="Q485" s="104"/>
      <c r="R485" s="104"/>
      <c r="S485" s="117"/>
      <c r="T485" s="101"/>
      <c r="U485" s="101"/>
      <c r="V485" s="101"/>
      <c r="W485" s="102"/>
      <c r="X485" s="102"/>
      <c r="Y485" s="102"/>
      <c r="Z485" s="102"/>
      <c r="AA485" s="102"/>
      <c r="AB485" s="102"/>
      <c r="AC485" s="102"/>
      <c r="AD485" s="102"/>
    </row>
    <row r="486" spans="1:30">
      <c r="A486" s="8" t="str">
        <f>IF(L486="","",Formulario!B497)</f>
        <v/>
      </c>
      <c r="B486" s="119"/>
      <c r="C486" s="120"/>
      <c r="D486" s="121"/>
      <c r="E486" s="129" t="str">
        <f>IF(F486="","",Formulario!B497)</f>
        <v/>
      </c>
      <c r="F486" s="11" t="str">
        <f>TRIM(Formulario!D497)</f>
        <v/>
      </c>
      <c r="G486" s="11" t="str">
        <f>TRIM(Formulario!F497)</f>
        <v/>
      </c>
      <c r="H486" s="146" t="str">
        <f>IF(N486="",TRIM(Formulario!G497),TRIM(Formulario!G497)*N486)</f>
        <v/>
      </c>
      <c r="I486" s="107" t="str">
        <f>TRIM(Formulario!I497)</f>
        <v/>
      </c>
      <c r="J486" s="11" t="str">
        <f>TRIM(Formulario!J497)</f>
        <v/>
      </c>
      <c r="K486" s="11" t="str">
        <f>TRIM(Formulario!K497)</f>
        <v/>
      </c>
      <c r="L486" s="107" t="str">
        <f>TRIM(Formulario!L497)</f>
        <v/>
      </c>
      <c r="M486" s="107" t="str">
        <f>TRIM(Formulario!M497)</f>
        <v>0</v>
      </c>
      <c r="N486" s="11" t="str">
        <f>TRIM(Formulario!H497)</f>
        <v/>
      </c>
      <c r="P486" s="17"/>
      <c r="Q486" s="104"/>
      <c r="R486" s="104"/>
      <c r="S486" s="117"/>
      <c r="T486" s="101"/>
      <c r="U486" s="101"/>
      <c r="V486" s="101"/>
      <c r="W486" s="102"/>
      <c r="X486" s="102"/>
      <c r="Y486" s="102"/>
      <c r="Z486" s="102"/>
      <c r="AA486" s="102"/>
      <c r="AB486" s="102"/>
      <c r="AC486" s="102"/>
      <c r="AD486" s="102"/>
    </row>
    <row r="487" spans="1:30">
      <c r="A487" s="8" t="str">
        <f>IF(L487="","",Formulario!B498)</f>
        <v/>
      </c>
      <c r="B487" s="119"/>
      <c r="C487" s="120"/>
      <c r="D487" s="121"/>
      <c r="E487" s="129" t="str">
        <f>IF(F487="","",Formulario!B498)</f>
        <v/>
      </c>
      <c r="F487" s="11" t="str">
        <f>TRIM(Formulario!D498)</f>
        <v/>
      </c>
      <c r="G487" s="11" t="str">
        <f>TRIM(Formulario!F498)</f>
        <v/>
      </c>
      <c r="H487" s="146" t="str">
        <f>IF(N487="",TRIM(Formulario!G498),TRIM(Formulario!G498)*N487)</f>
        <v/>
      </c>
      <c r="I487" s="107" t="str">
        <f>TRIM(Formulario!I498)</f>
        <v/>
      </c>
      <c r="J487" s="11" t="str">
        <f>TRIM(Formulario!J498)</f>
        <v/>
      </c>
      <c r="K487" s="11" t="str">
        <f>TRIM(Formulario!K498)</f>
        <v/>
      </c>
      <c r="L487" s="107" t="str">
        <f>TRIM(Formulario!L498)</f>
        <v/>
      </c>
      <c r="M487" s="107" t="str">
        <f>TRIM(Formulario!M498)</f>
        <v>0</v>
      </c>
      <c r="N487" s="11" t="str">
        <f>TRIM(Formulario!H498)</f>
        <v/>
      </c>
      <c r="P487" s="17"/>
      <c r="Q487" s="104"/>
      <c r="R487" s="104"/>
      <c r="S487" s="117"/>
      <c r="T487" s="101"/>
      <c r="U487" s="101"/>
      <c r="V487" s="101"/>
      <c r="W487" s="102"/>
      <c r="X487" s="102"/>
      <c r="Y487" s="102"/>
      <c r="Z487" s="102"/>
      <c r="AA487" s="102"/>
      <c r="AB487" s="102"/>
      <c r="AC487" s="102"/>
      <c r="AD487" s="102"/>
    </row>
    <row r="488" spans="1:30">
      <c r="A488" s="8" t="str">
        <f>IF(L488="","",Formulario!B499)</f>
        <v/>
      </c>
      <c r="B488" s="119"/>
      <c r="C488" s="120"/>
      <c r="D488" s="121"/>
      <c r="E488" s="129" t="str">
        <f>IF(F488="","",Formulario!B499)</f>
        <v/>
      </c>
      <c r="F488" s="11" t="str">
        <f>TRIM(Formulario!D499)</f>
        <v/>
      </c>
      <c r="G488" s="11" t="str">
        <f>TRIM(Formulario!F499)</f>
        <v/>
      </c>
      <c r="H488" s="146" t="str">
        <f>IF(N488="",TRIM(Formulario!G499),TRIM(Formulario!G499)*N488)</f>
        <v/>
      </c>
      <c r="I488" s="107" t="str">
        <f>TRIM(Formulario!I499)</f>
        <v/>
      </c>
      <c r="J488" s="11" t="str">
        <f>TRIM(Formulario!J499)</f>
        <v/>
      </c>
      <c r="K488" s="11" t="str">
        <f>TRIM(Formulario!K499)</f>
        <v/>
      </c>
      <c r="L488" s="107" t="str">
        <f>TRIM(Formulario!L499)</f>
        <v/>
      </c>
      <c r="M488" s="107" t="str">
        <f>TRIM(Formulario!M499)</f>
        <v>0</v>
      </c>
      <c r="N488" s="11" t="str">
        <f>TRIM(Formulario!H499)</f>
        <v/>
      </c>
      <c r="P488" s="17"/>
      <c r="Q488" s="104"/>
      <c r="R488" s="104"/>
      <c r="S488" s="117"/>
      <c r="T488" s="101"/>
      <c r="U488" s="101"/>
      <c r="V488" s="101"/>
      <c r="W488" s="102"/>
      <c r="X488" s="102"/>
      <c r="Y488" s="102"/>
      <c r="Z488" s="102"/>
      <c r="AA488" s="102"/>
      <c r="AB488" s="102"/>
      <c r="AC488" s="102"/>
      <c r="AD488" s="102"/>
    </row>
    <row r="489" spans="1:30">
      <c r="A489" s="8" t="str">
        <f>IF(L489="","",Formulario!B500)</f>
        <v/>
      </c>
      <c r="B489" s="119"/>
      <c r="C489" s="120"/>
      <c r="D489" s="121"/>
      <c r="E489" s="129" t="str">
        <f>IF(F489="","",Formulario!B500)</f>
        <v/>
      </c>
      <c r="F489" s="11" t="str">
        <f>TRIM(Formulario!D500)</f>
        <v/>
      </c>
      <c r="G489" s="11" t="str">
        <f>TRIM(Formulario!F500)</f>
        <v/>
      </c>
      <c r="H489" s="146" t="str">
        <f>IF(N489="",TRIM(Formulario!G500),TRIM(Formulario!G500)*N489)</f>
        <v/>
      </c>
      <c r="I489" s="107" t="str">
        <f>TRIM(Formulario!I500)</f>
        <v/>
      </c>
      <c r="J489" s="11" t="str">
        <f>TRIM(Formulario!J500)</f>
        <v/>
      </c>
      <c r="K489" s="11" t="str">
        <f>TRIM(Formulario!K500)</f>
        <v/>
      </c>
      <c r="L489" s="107" t="str">
        <f>TRIM(Formulario!L500)</f>
        <v/>
      </c>
      <c r="M489" s="107" t="str">
        <f>TRIM(Formulario!M500)</f>
        <v>0</v>
      </c>
      <c r="N489" s="11" t="str">
        <f>TRIM(Formulario!H500)</f>
        <v/>
      </c>
      <c r="P489" s="17"/>
      <c r="Q489" s="104"/>
      <c r="R489" s="104"/>
      <c r="S489" s="117"/>
      <c r="T489" s="101"/>
      <c r="U489" s="101"/>
      <c r="V489" s="101"/>
      <c r="W489" s="102"/>
      <c r="X489" s="102"/>
      <c r="Y489" s="102"/>
      <c r="Z489" s="102"/>
      <c r="AA489" s="102"/>
      <c r="AB489" s="102"/>
      <c r="AC489" s="102"/>
      <c r="AD489" s="102"/>
    </row>
    <row r="490" spans="1:30">
      <c r="A490" s="8" t="str">
        <f>IF(L490="","",Formulario!B501)</f>
        <v/>
      </c>
      <c r="B490" s="119"/>
      <c r="C490" s="120"/>
      <c r="D490" s="121"/>
      <c r="E490" s="129" t="str">
        <f>IF(F490="","",Formulario!B501)</f>
        <v/>
      </c>
      <c r="F490" s="11" t="str">
        <f>TRIM(Formulario!D501)</f>
        <v/>
      </c>
      <c r="G490" s="11" t="str">
        <f>TRIM(Formulario!F501)</f>
        <v/>
      </c>
      <c r="H490" s="146" t="str">
        <f>IF(N490="",TRIM(Formulario!G501),TRIM(Formulario!G501)*N490)</f>
        <v/>
      </c>
      <c r="I490" s="107" t="str">
        <f>TRIM(Formulario!I501)</f>
        <v/>
      </c>
      <c r="J490" s="11" t="str">
        <f>TRIM(Formulario!J501)</f>
        <v/>
      </c>
      <c r="K490" s="11" t="str">
        <f>TRIM(Formulario!K501)</f>
        <v/>
      </c>
      <c r="L490" s="107" t="str">
        <f>TRIM(Formulario!L501)</f>
        <v/>
      </c>
      <c r="M490" s="107" t="str">
        <f>TRIM(Formulario!M501)</f>
        <v>0</v>
      </c>
      <c r="N490" s="11" t="str">
        <f>TRIM(Formulario!H501)</f>
        <v/>
      </c>
      <c r="P490" s="17"/>
      <c r="Q490" s="104"/>
      <c r="R490" s="104"/>
      <c r="S490" s="117"/>
      <c r="T490" s="101"/>
      <c r="U490" s="101"/>
      <c r="V490" s="101"/>
      <c r="W490" s="102"/>
      <c r="X490" s="102"/>
      <c r="Y490" s="102"/>
      <c r="Z490" s="102"/>
      <c r="AA490" s="102"/>
      <c r="AB490" s="102"/>
      <c r="AC490" s="102"/>
      <c r="AD490" s="102"/>
    </row>
    <row r="491" spans="1:30">
      <c r="A491" s="8" t="str">
        <f>IF(L491="","",Formulario!B502)</f>
        <v/>
      </c>
      <c r="B491" s="119"/>
      <c r="C491" s="120"/>
      <c r="D491" s="121"/>
      <c r="E491" s="129" t="str">
        <f>IF(F491="","",Formulario!B502)</f>
        <v/>
      </c>
      <c r="F491" s="11" t="str">
        <f>TRIM(Formulario!D502)</f>
        <v/>
      </c>
      <c r="G491" s="11" t="str">
        <f>TRIM(Formulario!F502)</f>
        <v/>
      </c>
      <c r="H491" s="146" t="str">
        <f>IF(N491="",TRIM(Formulario!G502),TRIM(Formulario!G502)*N491)</f>
        <v/>
      </c>
      <c r="I491" s="107" t="str">
        <f>TRIM(Formulario!I502)</f>
        <v/>
      </c>
      <c r="J491" s="11" t="str">
        <f>TRIM(Formulario!J502)</f>
        <v/>
      </c>
      <c r="K491" s="11" t="str">
        <f>TRIM(Formulario!K502)</f>
        <v/>
      </c>
      <c r="L491" s="107" t="str">
        <f>TRIM(Formulario!L502)</f>
        <v/>
      </c>
      <c r="M491" s="107" t="str">
        <f>TRIM(Formulario!M502)</f>
        <v>0</v>
      </c>
      <c r="N491" s="11" t="str">
        <f>TRIM(Formulario!H502)</f>
        <v/>
      </c>
      <c r="P491" s="17"/>
      <c r="Q491" s="104"/>
      <c r="R491" s="104"/>
      <c r="S491" s="117"/>
      <c r="T491" s="101"/>
      <c r="U491" s="101"/>
      <c r="V491" s="101"/>
      <c r="W491" s="102"/>
      <c r="X491" s="102"/>
      <c r="Y491" s="102"/>
      <c r="Z491" s="102"/>
      <c r="AA491" s="102"/>
      <c r="AB491" s="102"/>
      <c r="AC491" s="102"/>
      <c r="AD491" s="102"/>
    </row>
    <row r="492" spans="1:30">
      <c r="A492" s="8" t="str">
        <f>IF(L492="","",Formulario!B503)</f>
        <v/>
      </c>
      <c r="B492" s="119"/>
      <c r="C492" s="120"/>
      <c r="D492" s="121"/>
      <c r="E492" s="129" t="str">
        <f>IF(F492="","",Formulario!B503)</f>
        <v/>
      </c>
      <c r="F492" s="11" t="str">
        <f>TRIM(Formulario!D503)</f>
        <v/>
      </c>
      <c r="G492" s="11" t="str">
        <f>TRIM(Formulario!F503)</f>
        <v/>
      </c>
      <c r="H492" s="146" t="str">
        <f>IF(N492="",TRIM(Formulario!G503),TRIM(Formulario!G503)*N492)</f>
        <v/>
      </c>
      <c r="I492" s="107" t="str">
        <f>TRIM(Formulario!I503)</f>
        <v/>
      </c>
      <c r="J492" s="11" t="str">
        <f>TRIM(Formulario!J503)</f>
        <v/>
      </c>
      <c r="K492" s="11" t="str">
        <f>TRIM(Formulario!K503)</f>
        <v/>
      </c>
      <c r="L492" s="107" t="str">
        <f>TRIM(Formulario!L503)</f>
        <v/>
      </c>
      <c r="M492" s="107" t="str">
        <f>TRIM(Formulario!M503)</f>
        <v>0</v>
      </c>
      <c r="N492" s="11" t="str">
        <f>TRIM(Formulario!H503)</f>
        <v/>
      </c>
      <c r="P492" s="17"/>
      <c r="Q492" s="104"/>
      <c r="R492" s="104"/>
      <c r="S492" s="117"/>
      <c r="T492" s="101"/>
      <c r="U492" s="101"/>
      <c r="V492" s="101"/>
      <c r="W492" s="102"/>
      <c r="X492" s="102"/>
      <c r="Y492" s="102"/>
      <c r="Z492" s="102"/>
      <c r="AA492" s="102"/>
      <c r="AB492" s="102"/>
      <c r="AC492" s="102"/>
      <c r="AD492" s="102"/>
    </row>
    <row r="493" spans="1:30">
      <c r="A493" s="8" t="str">
        <f>IF(L493="","",Formulario!B504)</f>
        <v/>
      </c>
      <c r="B493" s="119"/>
      <c r="C493" s="120"/>
      <c r="D493" s="121"/>
      <c r="E493" s="129" t="str">
        <f>IF(F493="","",Formulario!B504)</f>
        <v/>
      </c>
      <c r="F493" s="11" t="str">
        <f>TRIM(Formulario!D504)</f>
        <v/>
      </c>
      <c r="G493" s="11" t="str">
        <f>TRIM(Formulario!F504)</f>
        <v/>
      </c>
      <c r="H493" s="146" t="str">
        <f>IF(N493="",TRIM(Formulario!G504),TRIM(Formulario!G504)*N493)</f>
        <v/>
      </c>
      <c r="I493" s="107" t="str">
        <f>TRIM(Formulario!I504)</f>
        <v/>
      </c>
      <c r="J493" s="11" t="str">
        <f>TRIM(Formulario!J504)</f>
        <v/>
      </c>
      <c r="K493" s="11" t="str">
        <f>TRIM(Formulario!K504)</f>
        <v/>
      </c>
      <c r="L493" s="107" t="str">
        <f>TRIM(Formulario!L504)</f>
        <v/>
      </c>
      <c r="M493" s="107" t="str">
        <f>TRIM(Formulario!M504)</f>
        <v>0</v>
      </c>
      <c r="N493" s="11" t="str">
        <f>TRIM(Formulario!H504)</f>
        <v/>
      </c>
      <c r="P493" s="17"/>
      <c r="Q493" s="104"/>
      <c r="R493" s="104"/>
      <c r="S493" s="117"/>
      <c r="T493" s="101"/>
      <c r="U493" s="101"/>
      <c r="V493" s="101"/>
      <c r="W493" s="102"/>
      <c r="X493" s="102"/>
      <c r="Y493" s="102"/>
      <c r="Z493" s="102"/>
      <c r="AA493" s="102"/>
      <c r="AB493" s="102"/>
      <c r="AC493" s="102"/>
      <c r="AD493" s="102"/>
    </row>
    <row r="494" spans="1:30">
      <c r="A494" s="8" t="str">
        <f>IF(L494="","",Formulario!B505)</f>
        <v/>
      </c>
      <c r="B494" s="119"/>
      <c r="C494" s="120"/>
      <c r="D494" s="121"/>
      <c r="E494" s="129" t="str">
        <f>IF(F494="","",Formulario!B505)</f>
        <v/>
      </c>
      <c r="F494" s="11" t="str">
        <f>TRIM(Formulario!D505)</f>
        <v/>
      </c>
      <c r="G494" s="11" t="str">
        <f>TRIM(Formulario!F505)</f>
        <v/>
      </c>
      <c r="H494" s="146" t="str">
        <f>IF(N494="",TRIM(Formulario!G505),TRIM(Formulario!G505)*N494)</f>
        <v/>
      </c>
      <c r="I494" s="107" t="str">
        <f>TRIM(Formulario!I505)</f>
        <v/>
      </c>
      <c r="J494" s="11" t="str">
        <f>TRIM(Formulario!J505)</f>
        <v/>
      </c>
      <c r="K494" s="11" t="str">
        <f>TRIM(Formulario!K505)</f>
        <v/>
      </c>
      <c r="L494" s="107" t="str">
        <f>TRIM(Formulario!L505)</f>
        <v/>
      </c>
      <c r="M494" s="107" t="str">
        <f>TRIM(Formulario!M505)</f>
        <v>0</v>
      </c>
      <c r="N494" s="11" t="str">
        <f>TRIM(Formulario!H505)</f>
        <v/>
      </c>
      <c r="P494" s="17"/>
      <c r="Q494" s="104"/>
      <c r="R494" s="104"/>
      <c r="S494" s="117"/>
      <c r="T494" s="101"/>
      <c r="U494" s="101"/>
      <c r="V494" s="101"/>
      <c r="W494" s="102"/>
      <c r="X494" s="102"/>
      <c r="Y494" s="102"/>
      <c r="Z494" s="102"/>
      <c r="AA494" s="102"/>
      <c r="AB494" s="102"/>
      <c r="AC494" s="102"/>
      <c r="AD494" s="102"/>
    </row>
    <row r="495" spans="1:30">
      <c r="A495" s="8" t="str">
        <f>IF(L495="","",Formulario!B506)</f>
        <v/>
      </c>
      <c r="B495" s="119"/>
      <c r="C495" s="120"/>
      <c r="D495" s="121"/>
      <c r="E495" s="129" t="str">
        <f>IF(F495="","",Formulario!B506)</f>
        <v/>
      </c>
      <c r="F495" s="11" t="str">
        <f>TRIM(Formulario!D506)</f>
        <v/>
      </c>
      <c r="G495" s="11" t="str">
        <f>TRIM(Formulario!F506)</f>
        <v/>
      </c>
      <c r="H495" s="146" t="str">
        <f>IF(N495="",TRIM(Formulario!G506),TRIM(Formulario!G506)*N495)</f>
        <v/>
      </c>
      <c r="I495" s="107" t="str">
        <f>TRIM(Formulario!I506)</f>
        <v/>
      </c>
      <c r="J495" s="11" t="str">
        <f>TRIM(Formulario!J506)</f>
        <v/>
      </c>
      <c r="K495" s="11" t="str">
        <f>TRIM(Formulario!K506)</f>
        <v/>
      </c>
      <c r="L495" s="107" t="str">
        <f>TRIM(Formulario!L506)</f>
        <v/>
      </c>
      <c r="M495" s="107" t="str">
        <f>TRIM(Formulario!M506)</f>
        <v>0</v>
      </c>
      <c r="N495" s="11" t="str">
        <f>TRIM(Formulario!H506)</f>
        <v/>
      </c>
      <c r="P495" s="17"/>
      <c r="Q495" s="104"/>
      <c r="R495" s="104"/>
      <c r="S495" s="117"/>
      <c r="T495" s="101"/>
      <c r="U495" s="101"/>
      <c r="V495" s="101"/>
      <c r="W495" s="102"/>
      <c r="X495" s="102"/>
      <c r="Y495" s="102"/>
      <c r="Z495" s="102"/>
      <c r="AA495" s="102"/>
      <c r="AB495" s="102"/>
      <c r="AC495" s="102"/>
      <c r="AD495" s="102"/>
    </row>
    <row r="496" spans="1:30">
      <c r="A496" s="8" t="str">
        <f>IF(L496="","",Formulario!B507)</f>
        <v/>
      </c>
      <c r="B496" s="119"/>
      <c r="C496" s="120"/>
      <c r="D496" s="121"/>
      <c r="E496" s="129" t="str">
        <f>IF(F496="","",Formulario!B507)</f>
        <v/>
      </c>
      <c r="F496" s="11" t="str">
        <f>TRIM(Formulario!D507)</f>
        <v/>
      </c>
      <c r="G496" s="11" t="str">
        <f>TRIM(Formulario!F507)</f>
        <v/>
      </c>
      <c r="H496" s="146" t="str">
        <f>IF(N496="",TRIM(Formulario!G507),TRIM(Formulario!G507)*N496)</f>
        <v/>
      </c>
      <c r="I496" s="107" t="str">
        <f>TRIM(Formulario!I507)</f>
        <v/>
      </c>
      <c r="J496" s="11" t="str">
        <f>TRIM(Formulario!J507)</f>
        <v/>
      </c>
      <c r="K496" s="11" t="str">
        <f>TRIM(Formulario!K507)</f>
        <v/>
      </c>
      <c r="L496" s="107" t="str">
        <f>TRIM(Formulario!L507)</f>
        <v/>
      </c>
      <c r="M496" s="107" t="str">
        <f>TRIM(Formulario!M507)</f>
        <v>0</v>
      </c>
      <c r="N496" s="11" t="str">
        <f>TRIM(Formulario!H507)</f>
        <v/>
      </c>
      <c r="P496" s="17"/>
      <c r="Q496" s="104"/>
      <c r="R496" s="104"/>
      <c r="S496" s="117"/>
      <c r="T496" s="101"/>
      <c r="U496" s="101"/>
      <c r="V496" s="101"/>
      <c r="W496" s="102"/>
      <c r="X496" s="102"/>
      <c r="Y496" s="102"/>
      <c r="Z496" s="102"/>
      <c r="AA496" s="102"/>
      <c r="AB496" s="102"/>
      <c r="AC496" s="102"/>
      <c r="AD496" s="102"/>
    </row>
    <row r="497" spans="1:30">
      <c r="A497" s="8" t="str">
        <f>IF(L497="","",Formulario!B508)</f>
        <v/>
      </c>
      <c r="B497" s="119"/>
      <c r="C497" s="120"/>
      <c r="D497" s="121"/>
      <c r="E497" s="129" t="str">
        <f>IF(F497="","",Formulario!B508)</f>
        <v/>
      </c>
      <c r="F497" s="11" t="str">
        <f>TRIM(Formulario!D508)</f>
        <v/>
      </c>
      <c r="G497" s="11" t="str">
        <f>TRIM(Formulario!F508)</f>
        <v/>
      </c>
      <c r="H497" s="146" t="str">
        <f>IF(N497="",TRIM(Formulario!G508),TRIM(Formulario!G508)*N497)</f>
        <v/>
      </c>
      <c r="I497" s="107" t="str">
        <f>TRIM(Formulario!I508)</f>
        <v/>
      </c>
      <c r="J497" s="11" t="str">
        <f>TRIM(Formulario!J508)</f>
        <v/>
      </c>
      <c r="K497" s="11" t="str">
        <f>TRIM(Formulario!K508)</f>
        <v/>
      </c>
      <c r="L497" s="107" t="str">
        <f>TRIM(Formulario!L508)</f>
        <v/>
      </c>
      <c r="M497" s="107" t="str">
        <f>TRIM(Formulario!M508)</f>
        <v>0</v>
      </c>
      <c r="N497" s="11" t="str">
        <f>TRIM(Formulario!H508)</f>
        <v/>
      </c>
      <c r="P497" s="17"/>
      <c r="Q497" s="104"/>
      <c r="R497" s="104"/>
      <c r="S497" s="117"/>
      <c r="T497" s="101"/>
      <c r="U497" s="101"/>
      <c r="V497" s="101"/>
      <c r="W497" s="102"/>
      <c r="X497" s="102"/>
      <c r="Y497" s="102"/>
      <c r="Z497" s="102"/>
      <c r="AA497" s="102"/>
      <c r="AB497" s="102"/>
      <c r="AC497" s="102"/>
      <c r="AD497" s="102"/>
    </row>
    <row r="498" spans="1:30">
      <c r="A498" s="8" t="str">
        <f>IF(L498="","",Formulario!B509)</f>
        <v/>
      </c>
      <c r="B498" s="119"/>
      <c r="C498" s="120"/>
      <c r="D498" s="121"/>
      <c r="E498" s="129" t="str">
        <f>IF(F498="","",Formulario!B509)</f>
        <v/>
      </c>
      <c r="F498" s="11" t="str">
        <f>TRIM(Formulario!D509)</f>
        <v/>
      </c>
      <c r="G498" s="11" t="str">
        <f>TRIM(Formulario!F509)</f>
        <v/>
      </c>
      <c r="H498" s="146" t="str">
        <f>IF(N498="",TRIM(Formulario!G509),TRIM(Formulario!G509)*N498)</f>
        <v/>
      </c>
      <c r="I498" s="107" t="str">
        <f>TRIM(Formulario!I509)</f>
        <v/>
      </c>
      <c r="J498" s="11" t="str">
        <f>TRIM(Formulario!J509)</f>
        <v/>
      </c>
      <c r="K498" s="11" t="str">
        <f>TRIM(Formulario!K509)</f>
        <v/>
      </c>
      <c r="L498" s="107" t="str">
        <f>TRIM(Formulario!L509)</f>
        <v/>
      </c>
      <c r="M498" s="107" t="str">
        <f>TRIM(Formulario!M509)</f>
        <v>0</v>
      </c>
      <c r="N498" s="11" t="str">
        <f>TRIM(Formulario!H509)</f>
        <v/>
      </c>
      <c r="P498" s="17"/>
      <c r="Q498" s="104"/>
      <c r="R498" s="104"/>
      <c r="S498" s="117"/>
      <c r="T498" s="101"/>
      <c r="U498" s="101"/>
      <c r="V498" s="101"/>
      <c r="W498" s="102"/>
      <c r="X498" s="102"/>
      <c r="Y498" s="102"/>
      <c r="Z498" s="102"/>
      <c r="AA498" s="102"/>
      <c r="AB498" s="102"/>
      <c r="AC498" s="102"/>
      <c r="AD498" s="102"/>
    </row>
    <row r="499" spans="1:30">
      <c r="A499" s="8" t="str">
        <f>IF(L499="","",Formulario!B510)</f>
        <v/>
      </c>
      <c r="B499" s="119"/>
      <c r="C499" s="120"/>
      <c r="D499" s="121"/>
      <c r="E499" s="129" t="str">
        <f>IF(F499="","",Formulario!B510)</f>
        <v/>
      </c>
      <c r="F499" s="11" t="str">
        <f>TRIM(Formulario!D510)</f>
        <v/>
      </c>
      <c r="G499" s="11" t="str">
        <f>TRIM(Formulario!F510)</f>
        <v/>
      </c>
      <c r="H499" s="146" t="str">
        <f>IF(N499="",TRIM(Formulario!G510),TRIM(Formulario!G510)*N499)</f>
        <v/>
      </c>
      <c r="I499" s="107" t="str">
        <f>TRIM(Formulario!I510)</f>
        <v/>
      </c>
      <c r="J499" s="11" t="str">
        <f>TRIM(Formulario!J510)</f>
        <v/>
      </c>
      <c r="K499" s="11" t="str">
        <f>TRIM(Formulario!K510)</f>
        <v/>
      </c>
      <c r="L499" s="107" t="str">
        <f>TRIM(Formulario!L510)</f>
        <v/>
      </c>
      <c r="M499" s="107" t="str">
        <f>TRIM(Formulario!M510)</f>
        <v>0</v>
      </c>
      <c r="N499" s="11" t="str">
        <f>TRIM(Formulario!H510)</f>
        <v/>
      </c>
      <c r="P499" s="17"/>
      <c r="Q499" s="104"/>
      <c r="R499" s="104"/>
      <c r="S499" s="117"/>
      <c r="T499" s="101"/>
      <c r="U499" s="101"/>
      <c r="V499" s="101"/>
      <c r="W499" s="102"/>
      <c r="X499" s="102"/>
      <c r="Y499" s="102"/>
      <c r="Z499" s="102"/>
      <c r="AA499" s="102"/>
      <c r="AB499" s="102"/>
      <c r="AC499" s="102"/>
      <c r="AD499" s="102"/>
    </row>
    <row r="500" spans="1:30">
      <c r="A500" s="8" t="str">
        <f>IF(L500="","",Formulario!B511)</f>
        <v/>
      </c>
      <c r="B500" s="119"/>
      <c r="C500" s="120"/>
      <c r="D500" s="121"/>
      <c r="E500" s="129" t="str">
        <f>IF(F500="","",Formulario!B511)</f>
        <v/>
      </c>
      <c r="F500" s="11" t="str">
        <f>TRIM(Formulario!D511)</f>
        <v/>
      </c>
      <c r="G500" s="11" t="str">
        <f>TRIM(Formulario!F511)</f>
        <v/>
      </c>
      <c r="H500" s="146" t="str">
        <f>IF(N500="",TRIM(Formulario!G511),TRIM(Formulario!G511)*N500)</f>
        <v/>
      </c>
      <c r="I500" s="107" t="str">
        <f>TRIM(Formulario!I511)</f>
        <v/>
      </c>
      <c r="J500" s="11" t="str">
        <f>TRIM(Formulario!J511)</f>
        <v/>
      </c>
      <c r="K500" s="11" t="str">
        <f>TRIM(Formulario!K511)</f>
        <v/>
      </c>
      <c r="L500" s="107" t="str">
        <f>TRIM(Formulario!L511)</f>
        <v/>
      </c>
      <c r="M500" s="107" t="str">
        <f>TRIM(Formulario!M511)</f>
        <v>0</v>
      </c>
      <c r="N500" s="11" t="str">
        <f>TRIM(Formulario!H511)</f>
        <v/>
      </c>
      <c r="P500" s="17"/>
      <c r="Q500" s="104"/>
      <c r="R500" s="104"/>
      <c r="S500" s="117"/>
      <c r="T500" s="101"/>
      <c r="U500" s="101"/>
      <c r="V500" s="101"/>
      <c r="W500" s="102"/>
      <c r="X500" s="102"/>
      <c r="Y500" s="102"/>
      <c r="Z500" s="102"/>
      <c r="AA500" s="102"/>
      <c r="AB500" s="102"/>
      <c r="AC500" s="102"/>
      <c r="AD500" s="102"/>
    </row>
    <row r="501" spans="1:30">
      <c r="A501" s="8" t="str">
        <f>IF(L501="","",Formulario!B512)</f>
        <v/>
      </c>
      <c r="B501" s="119"/>
      <c r="C501" s="120"/>
      <c r="D501" s="121"/>
      <c r="E501" s="129" t="str">
        <f>IF(F501="","",Formulario!B512)</f>
        <v/>
      </c>
      <c r="F501" s="11" t="str">
        <f>TRIM(Formulario!D512)</f>
        <v/>
      </c>
      <c r="G501" s="11" t="str">
        <f>TRIM(Formulario!F512)</f>
        <v/>
      </c>
      <c r="H501" s="146" t="str">
        <f>IF(N501="",TRIM(Formulario!G512),TRIM(Formulario!G512)*N501)</f>
        <v/>
      </c>
      <c r="I501" s="107" t="str">
        <f>TRIM(Formulario!I512)</f>
        <v/>
      </c>
      <c r="J501" s="11" t="str">
        <f>TRIM(Formulario!J512)</f>
        <v/>
      </c>
      <c r="K501" s="11" t="str">
        <f>TRIM(Formulario!K512)</f>
        <v/>
      </c>
      <c r="L501" s="107" t="str">
        <f>TRIM(Formulario!L512)</f>
        <v/>
      </c>
      <c r="M501" s="107" t="str">
        <f>TRIM(Formulario!M512)</f>
        <v>0</v>
      </c>
      <c r="N501" s="11" t="str">
        <f>TRIM(Formulario!H512)</f>
        <v/>
      </c>
      <c r="P501" s="17"/>
      <c r="Q501" s="104"/>
      <c r="R501" s="104"/>
      <c r="S501" s="117"/>
      <c r="T501" s="101"/>
      <c r="U501" s="101"/>
      <c r="V501" s="101"/>
      <c r="W501" s="102"/>
      <c r="X501" s="102"/>
      <c r="Y501" s="102"/>
      <c r="Z501" s="102"/>
      <c r="AA501" s="102"/>
      <c r="AB501" s="102"/>
      <c r="AC501" s="102"/>
      <c r="AD501" s="102"/>
    </row>
    <row r="502" spans="1:30">
      <c r="A502" s="8" t="str">
        <f>IF(L502="","",Formulario!B513)</f>
        <v/>
      </c>
      <c r="B502" s="119"/>
      <c r="C502" s="120"/>
      <c r="D502" s="121"/>
      <c r="E502" s="129" t="str">
        <f>IF(F502="","",Formulario!B513)</f>
        <v/>
      </c>
      <c r="F502" s="11" t="str">
        <f>TRIM(Formulario!D513)</f>
        <v/>
      </c>
      <c r="G502" s="11" t="str">
        <f>TRIM(Formulario!F513)</f>
        <v/>
      </c>
      <c r="H502" s="146" t="str">
        <f>IF(N502="",TRIM(Formulario!G513),TRIM(Formulario!G513)*N502)</f>
        <v/>
      </c>
      <c r="I502" s="107" t="str">
        <f>TRIM(Formulario!I513)</f>
        <v/>
      </c>
      <c r="J502" s="11" t="str">
        <f>TRIM(Formulario!J513)</f>
        <v/>
      </c>
      <c r="K502" s="11" t="str">
        <f>TRIM(Formulario!K513)</f>
        <v/>
      </c>
      <c r="L502" s="107" t="str">
        <f>TRIM(Formulario!L513)</f>
        <v/>
      </c>
      <c r="M502" s="107" t="str">
        <f>TRIM(Formulario!M513)</f>
        <v>0</v>
      </c>
      <c r="N502" s="11" t="str">
        <f>TRIM(Formulario!H513)</f>
        <v/>
      </c>
      <c r="P502" s="17"/>
      <c r="Q502" s="104"/>
      <c r="R502" s="104"/>
      <c r="S502" s="117"/>
      <c r="T502" s="101"/>
      <c r="U502" s="101"/>
      <c r="V502" s="101"/>
      <c r="W502" s="102"/>
      <c r="X502" s="102"/>
      <c r="Y502" s="102"/>
      <c r="Z502" s="102"/>
      <c r="AA502" s="102"/>
      <c r="AB502" s="102"/>
      <c r="AC502" s="102"/>
      <c r="AD502" s="102"/>
    </row>
    <row r="503" spans="1:30">
      <c r="A503" s="8" t="str">
        <f>IF(L503="","",Formulario!B514)</f>
        <v/>
      </c>
      <c r="B503" s="119"/>
      <c r="C503" s="120"/>
      <c r="D503" s="121"/>
      <c r="E503" s="129" t="str">
        <f>IF(F503="","",Formulario!B514)</f>
        <v/>
      </c>
      <c r="F503" s="11" t="str">
        <f>TRIM(Formulario!D514)</f>
        <v/>
      </c>
      <c r="G503" s="11" t="str">
        <f>TRIM(Formulario!F514)</f>
        <v/>
      </c>
      <c r="H503" s="146" t="str">
        <f>IF(N503="",TRIM(Formulario!G514),TRIM(Formulario!G514)*N503)</f>
        <v/>
      </c>
      <c r="I503" s="107" t="str">
        <f>TRIM(Formulario!I514)</f>
        <v/>
      </c>
      <c r="J503" s="11" t="str">
        <f>TRIM(Formulario!J514)</f>
        <v/>
      </c>
      <c r="K503" s="11" t="str">
        <f>TRIM(Formulario!K514)</f>
        <v/>
      </c>
      <c r="L503" s="107" t="str">
        <f>TRIM(Formulario!L514)</f>
        <v/>
      </c>
      <c r="M503" s="107" t="str">
        <f>TRIM(Formulario!M514)</f>
        <v>0</v>
      </c>
      <c r="N503" s="11" t="str">
        <f>TRIM(Formulario!H514)</f>
        <v/>
      </c>
      <c r="P503" s="17"/>
      <c r="Q503" s="104"/>
      <c r="R503" s="104"/>
      <c r="S503" s="117"/>
      <c r="T503" s="101"/>
      <c r="U503" s="101"/>
      <c r="V503" s="101"/>
      <c r="W503" s="102"/>
      <c r="X503" s="102"/>
      <c r="Y503" s="102"/>
      <c r="Z503" s="102"/>
      <c r="AA503" s="102"/>
      <c r="AB503" s="102"/>
      <c r="AC503" s="102"/>
      <c r="AD503" s="102"/>
    </row>
    <row r="504" spans="1:30">
      <c r="A504" s="8" t="str">
        <f>IF(L504="","",Formulario!B515)</f>
        <v/>
      </c>
      <c r="B504" s="119"/>
      <c r="C504" s="120"/>
      <c r="D504" s="121"/>
      <c r="E504" s="129" t="str">
        <f>IF(F504="","",Formulario!B515)</f>
        <v/>
      </c>
      <c r="F504" s="11" t="str">
        <f>TRIM(Formulario!D515)</f>
        <v/>
      </c>
      <c r="G504" s="11" t="str">
        <f>TRIM(Formulario!F515)</f>
        <v/>
      </c>
      <c r="H504" s="146" t="str">
        <f>IF(N504="",TRIM(Formulario!G515),TRIM(Formulario!G515)*N504)</f>
        <v/>
      </c>
      <c r="I504" s="107" t="str">
        <f>TRIM(Formulario!I515)</f>
        <v/>
      </c>
      <c r="J504" s="11" t="str">
        <f>TRIM(Formulario!J515)</f>
        <v/>
      </c>
      <c r="K504" s="11" t="str">
        <f>TRIM(Formulario!K515)</f>
        <v/>
      </c>
      <c r="L504" s="107" t="str">
        <f>TRIM(Formulario!L515)</f>
        <v/>
      </c>
      <c r="M504" s="107" t="str">
        <f>TRIM(Formulario!M515)</f>
        <v>0</v>
      </c>
      <c r="N504" s="11" t="str">
        <f>TRIM(Formulario!H515)</f>
        <v/>
      </c>
      <c r="P504" s="17"/>
      <c r="Q504" s="104"/>
      <c r="R504" s="104"/>
      <c r="S504" s="117"/>
      <c r="T504" s="101"/>
      <c r="U504" s="101"/>
      <c r="V504" s="101"/>
      <c r="W504" s="102"/>
      <c r="X504" s="102"/>
      <c r="Y504" s="102"/>
      <c r="Z504" s="102"/>
      <c r="AA504" s="102"/>
      <c r="AB504" s="102"/>
      <c r="AC504" s="102"/>
      <c r="AD504" s="102"/>
    </row>
    <row r="505" spans="1:30">
      <c r="A505" s="8" t="str">
        <f>IF(L505="","",Formulario!B516)</f>
        <v/>
      </c>
      <c r="B505" s="119"/>
      <c r="C505" s="120"/>
      <c r="D505" s="121"/>
      <c r="E505" s="129" t="str">
        <f>IF(F505="","",Formulario!B516)</f>
        <v/>
      </c>
      <c r="F505" s="11" t="str">
        <f>TRIM(Formulario!D516)</f>
        <v/>
      </c>
      <c r="G505" s="11" t="str">
        <f>TRIM(Formulario!F516)</f>
        <v/>
      </c>
      <c r="H505" s="146" t="str">
        <f>IF(N505="",TRIM(Formulario!G516),TRIM(Formulario!G516)*N505)</f>
        <v/>
      </c>
      <c r="I505" s="107" t="str">
        <f>TRIM(Formulario!I516)</f>
        <v/>
      </c>
      <c r="J505" s="11" t="str">
        <f>TRIM(Formulario!J516)</f>
        <v/>
      </c>
      <c r="K505" s="11" t="str">
        <f>TRIM(Formulario!K516)</f>
        <v/>
      </c>
      <c r="L505" s="107" t="str">
        <f>TRIM(Formulario!L516)</f>
        <v/>
      </c>
      <c r="M505" s="107" t="str">
        <f>TRIM(Formulario!M516)</f>
        <v>0</v>
      </c>
      <c r="N505" s="11" t="str">
        <f>TRIM(Formulario!H516)</f>
        <v/>
      </c>
      <c r="P505" s="17"/>
      <c r="Q505" s="104"/>
      <c r="R505" s="104"/>
      <c r="S505" s="117"/>
      <c r="T505" s="101"/>
      <c r="U505" s="101"/>
      <c r="V505" s="101"/>
      <c r="W505" s="102"/>
      <c r="X505" s="102"/>
      <c r="Y505" s="102"/>
      <c r="Z505" s="102"/>
      <c r="AA505" s="102"/>
      <c r="AB505" s="102"/>
      <c r="AC505" s="102"/>
      <c r="AD505" s="102"/>
    </row>
    <row r="506" spans="1:30">
      <c r="A506" s="8" t="str">
        <f>IF(L506="","",Formulario!B517)</f>
        <v/>
      </c>
      <c r="B506" s="119"/>
      <c r="C506" s="120"/>
      <c r="D506" s="121"/>
      <c r="E506" s="129" t="str">
        <f>IF(F506="","",Formulario!B517)</f>
        <v/>
      </c>
      <c r="F506" s="11" t="str">
        <f>TRIM(Formulario!D517)</f>
        <v/>
      </c>
      <c r="G506" s="11" t="str">
        <f>TRIM(Formulario!F517)</f>
        <v/>
      </c>
      <c r="H506" s="146" t="str">
        <f>IF(N506="",TRIM(Formulario!G517),TRIM(Formulario!G517)*N506)</f>
        <v/>
      </c>
      <c r="I506" s="107" t="str">
        <f>TRIM(Formulario!I517)</f>
        <v/>
      </c>
      <c r="J506" s="11" t="str">
        <f>TRIM(Formulario!J517)</f>
        <v/>
      </c>
      <c r="K506" s="11" t="str">
        <f>TRIM(Formulario!K517)</f>
        <v/>
      </c>
      <c r="L506" s="107" t="str">
        <f>TRIM(Formulario!L517)</f>
        <v/>
      </c>
      <c r="M506" s="107" t="str">
        <f>TRIM(Formulario!M517)</f>
        <v>0</v>
      </c>
      <c r="N506" s="11" t="str">
        <f>TRIM(Formulario!H517)</f>
        <v/>
      </c>
      <c r="P506" s="17"/>
      <c r="Q506" s="104"/>
      <c r="R506" s="104"/>
      <c r="S506" s="117"/>
      <c r="T506" s="101"/>
      <c r="U506" s="101"/>
      <c r="V506" s="101"/>
      <c r="W506" s="102"/>
      <c r="X506" s="102"/>
      <c r="Y506" s="102"/>
      <c r="Z506" s="102"/>
      <c r="AA506" s="102"/>
      <c r="AB506" s="102"/>
      <c r="AC506" s="102"/>
      <c r="AD506" s="102"/>
    </row>
    <row r="507" spans="1:30">
      <c r="A507" s="8" t="str">
        <f>IF(L507="","",Formulario!B518)</f>
        <v/>
      </c>
      <c r="B507" s="119"/>
      <c r="C507" s="120"/>
      <c r="D507" s="121"/>
      <c r="E507" s="129" t="str">
        <f>IF(F507="","",Formulario!B518)</f>
        <v/>
      </c>
      <c r="F507" s="11" t="str">
        <f>TRIM(Formulario!D518)</f>
        <v/>
      </c>
      <c r="G507" s="11" t="str">
        <f>TRIM(Formulario!F518)</f>
        <v/>
      </c>
      <c r="H507" s="146" t="str">
        <f>IF(N507="",TRIM(Formulario!G518),TRIM(Formulario!G518)*N507)</f>
        <v/>
      </c>
      <c r="I507" s="107" t="str">
        <f>TRIM(Formulario!I518)</f>
        <v/>
      </c>
      <c r="J507" s="11" t="str">
        <f>TRIM(Formulario!J518)</f>
        <v/>
      </c>
      <c r="K507" s="11" t="str">
        <f>TRIM(Formulario!K518)</f>
        <v/>
      </c>
      <c r="L507" s="107" t="str">
        <f>TRIM(Formulario!L518)</f>
        <v/>
      </c>
      <c r="M507" s="107" t="str">
        <f>TRIM(Formulario!M518)</f>
        <v>0</v>
      </c>
      <c r="N507" s="11" t="str">
        <f>TRIM(Formulario!H518)</f>
        <v/>
      </c>
      <c r="P507" s="17"/>
      <c r="Q507" s="104"/>
      <c r="R507" s="104"/>
      <c r="S507" s="117"/>
      <c r="T507" s="101"/>
      <c r="U507" s="101"/>
      <c r="V507" s="101"/>
      <c r="W507" s="102"/>
      <c r="X507" s="102"/>
      <c r="Y507" s="102"/>
      <c r="Z507" s="102"/>
      <c r="AA507" s="102"/>
      <c r="AB507" s="102"/>
      <c r="AC507" s="102"/>
      <c r="AD507" s="102"/>
    </row>
    <row r="508" spans="1:30">
      <c r="A508" s="8" t="str">
        <f>IF(L508="","",Formulario!B519)</f>
        <v/>
      </c>
      <c r="B508" s="119"/>
      <c r="C508" s="120"/>
      <c r="D508" s="121"/>
      <c r="E508" s="129" t="str">
        <f>IF(F508="","",Formulario!B519)</f>
        <v/>
      </c>
      <c r="F508" s="11" t="str">
        <f>TRIM(Formulario!D519)</f>
        <v/>
      </c>
      <c r="G508" s="11" t="str">
        <f>TRIM(Formulario!F519)</f>
        <v/>
      </c>
      <c r="H508" s="146" t="str">
        <f>IF(N508="",TRIM(Formulario!G519),TRIM(Formulario!G519)*N508)</f>
        <v/>
      </c>
      <c r="I508" s="107" t="str">
        <f>TRIM(Formulario!I519)</f>
        <v/>
      </c>
      <c r="J508" s="11" t="str">
        <f>TRIM(Formulario!J519)</f>
        <v/>
      </c>
      <c r="K508" s="11" t="str">
        <f>TRIM(Formulario!K519)</f>
        <v/>
      </c>
      <c r="L508" s="107" t="str">
        <f>TRIM(Formulario!L519)</f>
        <v/>
      </c>
      <c r="M508" s="107" t="str">
        <f>TRIM(Formulario!M519)</f>
        <v>0</v>
      </c>
      <c r="N508" s="11" t="str">
        <f>TRIM(Formulario!H519)</f>
        <v/>
      </c>
      <c r="P508" s="17"/>
      <c r="Q508" s="104"/>
      <c r="R508" s="104"/>
      <c r="S508" s="117"/>
      <c r="T508" s="101"/>
      <c r="U508" s="101"/>
      <c r="V508" s="101"/>
      <c r="W508" s="102"/>
      <c r="X508" s="102"/>
      <c r="Y508" s="102"/>
      <c r="Z508" s="102"/>
      <c r="AA508" s="102"/>
      <c r="AB508" s="102"/>
      <c r="AC508" s="102"/>
      <c r="AD508" s="102"/>
    </row>
    <row r="509" spans="1:30">
      <c r="A509" s="8" t="str">
        <f>IF(L509="","",Formulario!B520)</f>
        <v/>
      </c>
      <c r="B509" s="119"/>
      <c r="C509" s="120"/>
      <c r="D509" s="121"/>
      <c r="E509" s="129" t="str">
        <f>IF(F509="","",Formulario!B520)</f>
        <v/>
      </c>
      <c r="F509" s="11" t="str">
        <f>TRIM(Formulario!D520)</f>
        <v/>
      </c>
      <c r="G509" s="11" t="str">
        <f>TRIM(Formulario!F520)</f>
        <v/>
      </c>
      <c r="H509" s="146" t="str">
        <f>IF(N509="",TRIM(Formulario!G520),TRIM(Formulario!G520)*N509)</f>
        <v/>
      </c>
      <c r="I509" s="107" t="str">
        <f>TRIM(Formulario!I520)</f>
        <v/>
      </c>
      <c r="J509" s="11" t="str">
        <f>TRIM(Formulario!J520)</f>
        <v/>
      </c>
      <c r="K509" s="11" t="str">
        <f>TRIM(Formulario!K520)</f>
        <v/>
      </c>
      <c r="L509" s="107" t="str">
        <f>TRIM(Formulario!L520)</f>
        <v/>
      </c>
      <c r="M509" s="107" t="str">
        <f>TRIM(Formulario!M520)</f>
        <v>0</v>
      </c>
      <c r="N509" s="11" t="str">
        <f>TRIM(Formulario!H520)</f>
        <v/>
      </c>
      <c r="P509" s="17"/>
      <c r="Q509" s="104"/>
      <c r="R509" s="104"/>
      <c r="S509" s="117"/>
      <c r="T509" s="101"/>
      <c r="U509" s="101"/>
      <c r="V509" s="101"/>
      <c r="W509" s="102"/>
      <c r="X509" s="102"/>
      <c r="Y509" s="102"/>
      <c r="Z509" s="102"/>
      <c r="AA509" s="102"/>
      <c r="AB509" s="102"/>
      <c r="AC509" s="102"/>
      <c r="AD509" s="102"/>
    </row>
    <row r="510" spans="1:30">
      <c r="A510" s="8" t="str">
        <f>IF(L510="","",Formulario!B521)</f>
        <v/>
      </c>
      <c r="B510" s="119"/>
      <c r="C510" s="120"/>
      <c r="D510" s="121"/>
      <c r="E510" s="129" t="str">
        <f>IF(F510="","",Formulario!B521)</f>
        <v/>
      </c>
      <c r="F510" s="11" t="str">
        <f>TRIM(Formulario!D521)</f>
        <v/>
      </c>
      <c r="G510" s="11" t="str">
        <f>TRIM(Formulario!F521)</f>
        <v/>
      </c>
      <c r="H510" s="146" t="str">
        <f>IF(N510="",TRIM(Formulario!G521),TRIM(Formulario!G521)*N510)</f>
        <v/>
      </c>
      <c r="I510" s="107" t="str">
        <f>TRIM(Formulario!I521)</f>
        <v/>
      </c>
      <c r="J510" s="11" t="str">
        <f>TRIM(Formulario!J521)</f>
        <v/>
      </c>
      <c r="K510" s="11" t="str">
        <f>TRIM(Formulario!K521)</f>
        <v/>
      </c>
      <c r="L510" s="107" t="str">
        <f>TRIM(Formulario!L521)</f>
        <v/>
      </c>
      <c r="M510" s="107" t="str">
        <f>TRIM(Formulario!M521)</f>
        <v>0</v>
      </c>
      <c r="N510" s="11" t="str">
        <f>TRIM(Formulario!H521)</f>
        <v/>
      </c>
      <c r="P510" s="17"/>
      <c r="Q510" s="104"/>
      <c r="R510" s="104"/>
      <c r="S510" s="117"/>
      <c r="T510" s="101"/>
      <c r="U510" s="101"/>
      <c r="V510" s="101"/>
      <c r="W510" s="102"/>
      <c r="X510" s="102"/>
      <c r="Y510" s="102"/>
      <c r="Z510" s="102"/>
      <c r="AA510" s="102"/>
      <c r="AB510" s="102"/>
      <c r="AC510" s="102"/>
      <c r="AD510" s="102"/>
    </row>
    <row r="511" spans="1:30">
      <c r="A511" s="8" t="str">
        <f>IF(L511="","",Formulario!B522)</f>
        <v/>
      </c>
      <c r="B511" s="119"/>
      <c r="C511" s="120"/>
      <c r="D511" s="121"/>
      <c r="E511" s="129" t="str">
        <f>IF(F511="","",Formulario!B522)</f>
        <v/>
      </c>
      <c r="F511" s="11" t="str">
        <f>TRIM(Formulario!D522)</f>
        <v/>
      </c>
      <c r="G511" s="11" t="str">
        <f>TRIM(Formulario!F522)</f>
        <v/>
      </c>
      <c r="H511" s="146" t="str">
        <f>IF(N511="",TRIM(Formulario!G522),TRIM(Formulario!G522)*N511)</f>
        <v/>
      </c>
      <c r="I511" s="107" t="str">
        <f>TRIM(Formulario!I522)</f>
        <v/>
      </c>
      <c r="J511" s="11" t="str">
        <f>TRIM(Formulario!J522)</f>
        <v/>
      </c>
      <c r="K511" s="11" t="str">
        <f>TRIM(Formulario!K522)</f>
        <v/>
      </c>
      <c r="L511" s="107" t="str">
        <f>TRIM(Formulario!L522)</f>
        <v/>
      </c>
      <c r="M511" s="107" t="str">
        <f>TRIM(Formulario!M522)</f>
        <v>0</v>
      </c>
      <c r="N511" s="11" t="str">
        <f>TRIM(Formulario!H522)</f>
        <v/>
      </c>
      <c r="P511" s="17"/>
      <c r="Q511" s="104"/>
      <c r="R511" s="104"/>
      <c r="S511" s="117"/>
      <c r="T511" s="101"/>
      <c r="U511" s="101"/>
      <c r="V511" s="101"/>
      <c r="W511" s="102"/>
      <c r="X511" s="102"/>
      <c r="Y511" s="102"/>
      <c r="Z511" s="102"/>
      <c r="AA511" s="102"/>
      <c r="AB511" s="102"/>
      <c r="AC511" s="102"/>
      <c r="AD511" s="102"/>
    </row>
    <row r="512" spans="1:30">
      <c r="A512" s="8" t="str">
        <f>IF(L512="","",Formulario!B523)</f>
        <v/>
      </c>
      <c r="B512" s="119"/>
      <c r="C512" s="120"/>
      <c r="D512" s="121"/>
      <c r="E512" s="129" t="str">
        <f>IF(F512="","",Formulario!B523)</f>
        <v/>
      </c>
      <c r="F512" s="11" t="str">
        <f>TRIM(Formulario!D523)</f>
        <v/>
      </c>
      <c r="G512" s="11" t="str">
        <f>TRIM(Formulario!F523)</f>
        <v/>
      </c>
      <c r="H512" s="146" t="str">
        <f>IF(N512="",TRIM(Formulario!G523),TRIM(Formulario!G523)*N512)</f>
        <v/>
      </c>
      <c r="I512" s="107" t="str">
        <f>TRIM(Formulario!I523)</f>
        <v/>
      </c>
      <c r="J512" s="11" t="str">
        <f>TRIM(Formulario!J523)</f>
        <v/>
      </c>
      <c r="K512" s="11" t="str">
        <f>TRIM(Formulario!K523)</f>
        <v/>
      </c>
      <c r="L512" s="107" t="str">
        <f>TRIM(Formulario!L523)</f>
        <v/>
      </c>
      <c r="M512" s="107" t="str">
        <f>TRIM(Formulario!M523)</f>
        <v>0</v>
      </c>
      <c r="N512" s="11" t="str">
        <f>TRIM(Formulario!H523)</f>
        <v/>
      </c>
      <c r="P512" s="17"/>
      <c r="Q512" s="104"/>
      <c r="R512" s="104"/>
      <c r="S512" s="117"/>
      <c r="T512" s="101"/>
      <c r="U512" s="101"/>
      <c r="V512" s="101"/>
      <c r="W512" s="102"/>
      <c r="X512" s="102"/>
      <c r="Y512" s="102"/>
      <c r="Z512" s="102"/>
      <c r="AA512" s="102"/>
      <c r="AB512" s="102"/>
      <c r="AC512" s="102"/>
      <c r="AD512" s="102"/>
    </row>
    <row r="513" spans="1:49">
      <c r="A513" s="8" t="str">
        <f>IF(L513="","",Formulario!B524)</f>
        <v/>
      </c>
      <c r="B513" s="119"/>
      <c r="C513" s="120"/>
      <c r="D513" s="121"/>
      <c r="E513" s="129" t="str">
        <f>IF(F513="","",Formulario!B524)</f>
        <v/>
      </c>
      <c r="F513" s="11" t="str">
        <f>TRIM(Formulario!D524)</f>
        <v/>
      </c>
      <c r="G513" s="11" t="str">
        <f>TRIM(Formulario!F524)</f>
        <v/>
      </c>
      <c r="H513" s="146" t="str">
        <f>IF(N513="",TRIM(Formulario!G524),TRIM(Formulario!G524)*N513)</f>
        <v/>
      </c>
      <c r="I513" s="107" t="str">
        <f>TRIM(Formulario!I524)</f>
        <v/>
      </c>
      <c r="J513" s="11" t="str">
        <f>TRIM(Formulario!J524)</f>
        <v/>
      </c>
      <c r="K513" s="11" t="str">
        <f>TRIM(Formulario!K524)</f>
        <v/>
      </c>
      <c r="L513" s="107" t="str">
        <f>TRIM(Formulario!L524)</f>
        <v/>
      </c>
      <c r="M513" s="107" t="str">
        <f>TRIM(Formulario!M524)</f>
        <v>0</v>
      </c>
      <c r="N513" s="11" t="str">
        <f>TRIM(Formulario!H524)</f>
        <v/>
      </c>
      <c r="P513" s="17"/>
      <c r="Q513" s="104"/>
      <c r="R513" s="104"/>
      <c r="S513" s="117"/>
      <c r="T513" s="101"/>
      <c r="U513" s="101"/>
      <c r="V513" s="101"/>
      <c r="W513" s="102"/>
      <c r="X513" s="102"/>
      <c r="Y513" s="102"/>
      <c r="Z513" s="102"/>
      <c r="AA513" s="102"/>
      <c r="AB513" s="102"/>
      <c r="AC513" s="102"/>
      <c r="AD513" s="102"/>
    </row>
    <row r="514" spans="1:49">
      <c r="A514" s="8" t="str">
        <f>IF(L514="","",Formulario!B525)</f>
        <v/>
      </c>
      <c r="B514" s="119"/>
      <c r="C514" s="120"/>
      <c r="D514" s="121"/>
      <c r="E514" s="129" t="str">
        <f>IF(F514="","",Formulario!B525)</f>
        <v/>
      </c>
      <c r="F514" s="11" t="str">
        <f>TRIM(Formulario!D525)</f>
        <v/>
      </c>
      <c r="G514" s="11" t="str">
        <f>TRIM(Formulario!F525)</f>
        <v/>
      </c>
      <c r="H514" s="146" t="str">
        <f>IF(N514="",TRIM(Formulario!G525),TRIM(Formulario!G525)*N514)</f>
        <v/>
      </c>
      <c r="I514" s="107" t="str">
        <f>TRIM(Formulario!I525)</f>
        <v/>
      </c>
      <c r="J514" s="11" t="str">
        <f>TRIM(Formulario!J525)</f>
        <v/>
      </c>
      <c r="K514" s="11" t="str">
        <f>TRIM(Formulario!K525)</f>
        <v/>
      </c>
      <c r="L514" s="107" t="str">
        <f>TRIM(Formulario!L525)</f>
        <v/>
      </c>
      <c r="M514" s="107" t="str">
        <f>TRIM(Formulario!M525)</f>
        <v>0</v>
      </c>
      <c r="N514" s="11" t="str">
        <f>TRIM(Formulario!H525)</f>
        <v/>
      </c>
      <c r="P514" s="17"/>
      <c r="Q514" s="104"/>
      <c r="R514" s="104"/>
      <c r="S514" s="117"/>
      <c r="T514" s="101"/>
      <c r="U514" s="101"/>
      <c r="V514" s="101"/>
      <c r="W514" s="102"/>
      <c r="X514" s="102"/>
      <c r="Y514" s="102"/>
      <c r="Z514" s="102"/>
      <c r="AA514" s="102"/>
      <c r="AB514" s="102"/>
      <c r="AC514" s="102"/>
      <c r="AD514" s="102"/>
    </row>
    <row r="515" spans="1:49">
      <c r="A515" s="8" t="str">
        <f>IF(L515="","",Formulario!B526)</f>
        <v/>
      </c>
      <c r="B515" s="119"/>
      <c r="C515" s="120"/>
      <c r="D515" s="121"/>
      <c r="E515" s="129" t="str">
        <f>IF(F515="","",Formulario!B526)</f>
        <v/>
      </c>
      <c r="F515" s="11" t="str">
        <f>TRIM(Formulario!D526)</f>
        <v/>
      </c>
      <c r="G515" s="11" t="str">
        <f>TRIM(Formulario!F526)</f>
        <v/>
      </c>
      <c r="H515" s="146" t="str">
        <f>IF(N515="",TRIM(Formulario!G526),TRIM(Formulario!G526)*N515)</f>
        <v/>
      </c>
      <c r="I515" s="107" t="str">
        <f>TRIM(Formulario!I526)</f>
        <v/>
      </c>
      <c r="J515" s="11" t="str">
        <f>TRIM(Formulario!J526)</f>
        <v/>
      </c>
      <c r="K515" s="11" t="str">
        <f>TRIM(Formulario!K526)</f>
        <v/>
      </c>
      <c r="L515" s="107" t="str">
        <f>TRIM(Formulario!L526)</f>
        <v/>
      </c>
      <c r="M515" s="107" t="str">
        <f>TRIM(Formulario!M526)</f>
        <v>0</v>
      </c>
      <c r="N515" s="11" t="str">
        <f>TRIM(Formulario!H526)</f>
        <v/>
      </c>
      <c r="P515" s="17"/>
      <c r="Q515" s="104"/>
      <c r="R515" s="104"/>
      <c r="S515" s="117"/>
      <c r="T515" s="101"/>
      <c r="U515" s="101"/>
      <c r="V515" s="101"/>
      <c r="W515" s="102"/>
      <c r="X515" s="102"/>
      <c r="Y515" s="102"/>
      <c r="Z515" s="102"/>
      <c r="AA515" s="102"/>
      <c r="AB515" s="102"/>
      <c r="AC515" s="102"/>
      <c r="AD515" s="102"/>
      <c r="AE515" s="102"/>
      <c r="AF515" s="102"/>
      <c r="AG515" s="102"/>
      <c r="AH515" s="102"/>
      <c r="AI515" s="102"/>
      <c r="AJ515" s="102"/>
      <c r="AK515" s="102"/>
      <c r="AL515" s="102"/>
      <c r="AM515" s="102"/>
      <c r="AN515" s="102"/>
      <c r="AO515" s="102"/>
      <c r="AP515" s="102"/>
      <c r="AQ515" s="102"/>
      <c r="AR515" s="102"/>
      <c r="AS515" s="102"/>
      <c r="AT515" s="102"/>
      <c r="AU515" s="102"/>
      <c r="AV515" s="102"/>
      <c r="AW515" s="102"/>
    </row>
    <row r="516" spans="1:49">
      <c r="A516" s="8" t="str">
        <f>IF(L516="","",Formulario!B527)</f>
        <v/>
      </c>
      <c r="B516" s="119"/>
      <c r="C516" s="120"/>
      <c r="D516" s="121"/>
      <c r="E516" s="129" t="str">
        <f>IF(F516="","",Formulario!B527)</f>
        <v/>
      </c>
      <c r="F516" s="11" t="str">
        <f>TRIM(Formulario!D527)</f>
        <v/>
      </c>
      <c r="G516" s="11" t="str">
        <f>TRIM(Formulario!F527)</f>
        <v/>
      </c>
      <c r="H516" s="146" t="str">
        <f>IF(N516="",TRIM(Formulario!G527),TRIM(Formulario!G527)*N516)</f>
        <v/>
      </c>
      <c r="I516" s="107" t="str">
        <f>TRIM(Formulario!I527)</f>
        <v/>
      </c>
      <c r="J516" s="11" t="str">
        <f>TRIM(Formulario!J527)</f>
        <v/>
      </c>
      <c r="K516" s="11" t="str">
        <f>TRIM(Formulario!K527)</f>
        <v/>
      </c>
      <c r="L516" s="107" t="str">
        <f>TRIM(Formulario!L527)</f>
        <v/>
      </c>
      <c r="M516" s="107" t="str">
        <f>TRIM(Formulario!M527)</f>
        <v>0</v>
      </c>
      <c r="N516" s="11" t="str">
        <f>TRIM(Formulario!H527)</f>
        <v/>
      </c>
      <c r="P516" s="17"/>
      <c r="Q516" s="104"/>
      <c r="R516" s="104"/>
      <c r="S516" s="117"/>
      <c r="T516" s="101"/>
      <c r="U516" s="101"/>
      <c r="V516" s="101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</row>
    <row r="517" spans="1:49">
      <c r="A517" s="8" t="str">
        <f>IF(L517="","",Formulario!B528)</f>
        <v/>
      </c>
      <c r="B517" s="119"/>
      <c r="C517" s="120"/>
      <c r="D517" s="121"/>
      <c r="E517" s="129" t="str">
        <f>IF(F517="","",Formulario!B528)</f>
        <v/>
      </c>
      <c r="F517" s="11" t="str">
        <f>TRIM(Formulario!D528)</f>
        <v/>
      </c>
      <c r="G517" s="11" t="str">
        <f>TRIM(Formulario!F528)</f>
        <v/>
      </c>
      <c r="H517" s="146" t="str">
        <f>IF(N517="",TRIM(Formulario!G528),TRIM(Formulario!G528)*N517)</f>
        <v/>
      </c>
      <c r="I517" s="107" t="str">
        <f>TRIM(Formulario!I528)</f>
        <v/>
      </c>
      <c r="J517" s="11" t="str">
        <f>TRIM(Formulario!J528)</f>
        <v/>
      </c>
      <c r="K517" s="11" t="str">
        <f>TRIM(Formulario!K528)</f>
        <v/>
      </c>
      <c r="L517" s="107" t="str">
        <f>TRIM(Formulario!L528)</f>
        <v/>
      </c>
      <c r="M517" s="107" t="str">
        <f>TRIM(Formulario!M528)</f>
        <v>0</v>
      </c>
      <c r="N517" s="11" t="str">
        <f>TRIM(Formulario!H528)</f>
        <v/>
      </c>
      <c r="P517" s="17"/>
      <c r="Q517" s="104"/>
      <c r="R517" s="104"/>
      <c r="S517" s="117"/>
      <c r="T517" s="101"/>
      <c r="U517" s="101"/>
      <c r="V517" s="101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</row>
    <row r="518" spans="1:49">
      <c r="A518" s="8" t="str">
        <f>IF(L518="","",Formulario!B529)</f>
        <v/>
      </c>
      <c r="B518" s="119"/>
      <c r="C518" s="120"/>
      <c r="D518" s="121"/>
      <c r="E518" s="129" t="str">
        <f>IF(F518="","",Formulario!B529)</f>
        <v/>
      </c>
      <c r="F518" s="11" t="str">
        <f>TRIM(Formulario!D529)</f>
        <v/>
      </c>
      <c r="G518" s="11" t="str">
        <f>TRIM(Formulario!F529)</f>
        <v/>
      </c>
      <c r="H518" s="146" t="str">
        <f>IF(N518="",TRIM(Formulario!G529),TRIM(Formulario!G529)*N518)</f>
        <v/>
      </c>
      <c r="I518" s="107" t="str">
        <f>TRIM(Formulario!I529)</f>
        <v/>
      </c>
      <c r="J518" s="11" t="str">
        <f>TRIM(Formulario!J529)</f>
        <v/>
      </c>
      <c r="K518" s="11" t="str">
        <f>TRIM(Formulario!K529)</f>
        <v/>
      </c>
      <c r="L518" s="107" t="str">
        <f>TRIM(Formulario!L529)</f>
        <v/>
      </c>
      <c r="M518" s="107" t="str">
        <f>TRIM(Formulario!M529)</f>
        <v>0</v>
      </c>
      <c r="N518" s="11" t="str">
        <f>TRIM(Formulario!H529)</f>
        <v/>
      </c>
      <c r="P518" s="17"/>
      <c r="Q518" s="104"/>
      <c r="R518" s="104"/>
      <c r="S518" s="117"/>
      <c r="T518" s="101"/>
      <c r="U518" s="101"/>
      <c r="V518" s="101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</row>
    <row r="519" spans="1:49">
      <c r="A519" s="8" t="str">
        <f>IF(L519="","",Formulario!B530)</f>
        <v/>
      </c>
      <c r="B519" s="119"/>
      <c r="C519" s="120"/>
      <c r="D519" s="121"/>
      <c r="E519" s="129" t="str">
        <f>IF(F519="","",Formulario!B530)</f>
        <v/>
      </c>
      <c r="F519" s="11" t="str">
        <f>TRIM(Formulario!D530)</f>
        <v/>
      </c>
      <c r="G519" s="11" t="str">
        <f>TRIM(Formulario!F530)</f>
        <v/>
      </c>
      <c r="H519" s="146" t="str">
        <f>IF(N519="",TRIM(Formulario!G530),TRIM(Formulario!G530)*N519)</f>
        <v/>
      </c>
      <c r="I519" s="107" t="str">
        <f>TRIM(Formulario!I530)</f>
        <v/>
      </c>
      <c r="J519" s="11" t="str">
        <f>TRIM(Formulario!J530)</f>
        <v/>
      </c>
      <c r="K519" s="11" t="str">
        <f>TRIM(Formulario!K530)</f>
        <v/>
      </c>
      <c r="L519" s="107" t="str">
        <f>TRIM(Formulario!L530)</f>
        <v/>
      </c>
      <c r="M519" s="107" t="str">
        <f>TRIM(Formulario!M530)</f>
        <v>0</v>
      </c>
      <c r="N519" s="11" t="str">
        <f>TRIM(Formulario!H530)</f>
        <v/>
      </c>
      <c r="P519" s="17"/>
      <c r="Q519" s="104"/>
      <c r="R519" s="104"/>
      <c r="S519" s="117"/>
      <c r="T519" s="101"/>
      <c r="U519" s="101"/>
      <c r="V519" s="101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</row>
    <row r="520" spans="1:49">
      <c r="A520" s="8" t="str">
        <f>IF(L520="","",Formulario!B531)</f>
        <v/>
      </c>
      <c r="B520" s="119"/>
      <c r="C520" s="120"/>
      <c r="D520" s="121"/>
      <c r="E520" s="129" t="str">
        <f>IF(F520="","",Formulario!B531)</f>
        <v/>
      </c>
      <c r="F520" s="11" t="str">
        <f>TRIM(Formulario!D531)</f>
        <v/>
      </c>
      <c r="G520" s="11" t="str">
        <f>TRIM(Formulario!F531)</f>
        <v/>
      </c>
      <c r="H520" s="146" t="str">
        <f>IF(N520="",TRIM(Formulario!G531),TRIM(Formulario!G531)*N520)</f>
        <v/>
      </c>
      <c r="I520" s="107" t="str">
        <f>TRIM(Formulario!I531)</f>
        <v/>
      </c>
      <c r="J520" s="11" t="str">
        <f>TRIM(Formulario!J531)</f>
        <v/>
      </c>
      <c r="K520" s="11" t="str">
        <f>TRIM(Formulario!K531)</f>
        <v/>
      </c>
      <c r="L520" s="107" t="str">
        <f>TRIM(Formulario!L531)</f>
        <v/>
      </c>
      <c r="M520" s="107" t="str">
        <f>TRIM(Formulario!M531)</f>
        <v>0</v>
      </c>
      <c r="N520" s="11" t="str">
        <f>TRIM(Formulario!H531)</f>
        <v/>
      </c>
      <c r="P520" s="17"/>
      <c r="Q520" s="104"/>
      <c r="R520" s="104"/>
      <c r="S520" s="117"/>
      <c r="T520" s="101"/>
      <c r="U520" s="101"/>
      <c r="V520" s="101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</row>
    <row r="521" spans="1:49">
      <c r="A521" s="8" t="str">
        <f>IF(L521="","",Formulario!B532)</f>
        <v/>
      </c>
      <c r="B521" s="119"/>
      <c r="C521" s="120"/>
      <c r="D521" s="121"/>
      <c r="E521" s="129" t="str">
        <f>IF(F521="","",Formulario!B532)</f>
        <v/>
      </c>
      <c r="F521" s="11" t="str">
        <f>TRIM(Formulario!D532)</f>
        <v/>
      </c>
      <c r="G521" s="11" t="str">
        <f>TRIM(Formulario!F532)</f>
        <v/>
      </c>
      <c r="H521" s="146" t="str">
        <f>IF(N521="",TRIM(Formulario!G532),TRIM(Formulario!G532)*N521)</f>
        <v/>
      </c>
      <c r="I521" s="107" t="str">
        <f>TRIM(Formulario!I532)</f>
        <v/>
      </c>
      <c r="J521" s="11" t="str">
        <f>TRIM(Formulario!J532)</f>
        <v/>
      </c>
      <c r="K521" s="11" t="str">
        <f>TRIM(Formulario!K532)</f>
        <v/>
      </c>
      <c r="L521" s="107" t="str">
        <f>TRIM(Formulario!L532)</f>
        <v/>
      </c>
      <c r="M521" s="107" t="str">
        <f>TRIM(Formulario!M532)</f>
        <v>0</v>
      </c>
      <c r="N521" s="11" t="str">
        <f>TRIM(Formulario!H532)</f>
        <v/>
      </c>
      <c r="P521" s="17"/>
      <c r="Q521" s="104"/>
      <c r="R521" s="104"/>
      <c r="S521" s="117"/>
      <c r="T521" s="101"/>
      <c r="U521" s="101"/>
      <c r="V521" s="101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</row>
    <row r="522" spans="1:49">
      <c r="A522" s="8" t="str">
        <f>IF(L522="","",Formulario!B533)</f>
        <v/>
      </c>
      <c r="B522" s="119"/>
      <c r="C522" s="120"/>
      <c r="D522" s="121"/>
      <c r="E522" s="129" t="str">
        <f>IF(F522="","",Formulario!B533)</f>
        <v/>
      </c>
      <c r="F522" s="11" t="str">
        <f>TRIM(Formulario!D533)</f>
        <v/>
      </c>
      <c r="G522" s="11" t="str">
        <f>TRIM(Formulario!F533)</f>
        <v/>
      </c>
      <c r="H522" s="146" t="str">
        <f>IF(N522="",TRIM(Formulario!G533),TRIM(Formulario!G533)*N522)</f>
        <v/>
      </c>
      <c r="I522" s="107" t="str">
        <f>TRIM(Formulario!I533)</f>
        <v/>
      </c>
      <c r="J522" s="11" t="str">
        <f>TRIM(Formulario!J533)</f>
        <v/>
      </c>
      <c r="K522" s="11" t="str">
        <f>TRIM(Formulario!K533)</f>
        <v/>
      </c>
      <c r="L522" s="107" t="str">
        <f>TRIM(Formulario!L533)</f>
        <v/>
      </c>
      <c r="M522" s="107" t="str">
        <f>TRIM(Formulario!M533)</f>
        <v>0</v>
      </c>
      <c r="N522" s="11" t="str">
        <f>TRIM(Formulario!H533)</f>
        <v/>
      </c>
      <c r="P522" s="17"/>
      <c r="Q522" s="104"/>
      <c r="R522" s="104"/>
      <c r="S522" s="117"/>
      <c r="T522" s="101"/>
      <c r="U522" s="101"/>
      <c r="V522" s="101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</row>
    <row r="523" spans="1:49">
      <c r="A523" s="8" t="str">
        <f>IF(L523="","",Formulario!B534)</f>
        <v/>
      </c>
      <c r="B523" s="119"/>
      <c r="C523" s="120"/>
      <c r="D523" s="121"/>
      <c r="E523" s="129" t="str">
        <f>IF(F523="","",Formulario!B534)</f>
        <v/>
      </c>
      <c r="F523" s="11" t="str">
        <f>TRIM(Formulario!D534)</f>
        <v/>
      </c>
      <c r="G523" s="11" t="str">
        <f>TRIM(Formulario!F534)</f>
        <v/>
      </c>
      <c r="H523" s="146" t="str">
        <f>IF(N523="",TRIM(Formulario!G534),TRIM(Formulario!G534)*N523)</f>
        <v/>
      </c>
      <c r="I523" s="107" t="str">
        <f>TRIM(Formulario!I534)</f>
        <v/>
      </c>
      <c r="J523" s="11" t="str">
        <f>TRIM(Formulario!J534)</f>
        <v/>
      </c>
      <c r="K523" s="11" t="str">
        <f>TRIM(Formulario!K534)</f>
        <v/>
      </c>
      <c r="L523" s="107" t="str">
        <f>TRIM(Formulario!L534)</f>
        <v/>
      </c>
      <c r="M523" s="107" t="str">
        <f>TRIM(Formulario!M534)</f>
        <v>0</v>
      </c>
      <c r="N523" s="11" t="str">
        <f>TRIM(Formulario!H534)</f>
        <v/>
      </c>
      <c r="P523" s="17"/>
      <c r="Q523" s="104"/>
      <c r="R523" s="104"/>
      <c r="S523" s="117"/>
      <c r="T523" s="101"/>
      <c r="U523" s="101"/>
      <c r="V523" s="101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</row>
    <row r="524" spans="1:49">
      <c r="A524" s="8" t="str">
        <f>IF(L524="","",Formulario!B535)</f>
        <v/>
      </c>
      <c r="B524" s="119"/>
      <c r="C524" s="120"/>
      <c r="D524" s="121"/>
      <c r="E524" s="129" t="str">
        <f>IF(F524="","",Formulario!B535)</f>
        <v/>
      </c>
      <c r="F524" s="11" t="str">
        <f>TRIM(Formulario!D535)</f>
        <v/>
      </c>
      <c r="G524" s="11" t="str">
        <f>TRIM(Formulario!F535)</f>
        <v/>
      </c>
      <c r="H524" s="146" t="str">
        <f>IF(N524="",TRIM(Formulario!G535),TRIM(Formulario!G535)*N524)</f>
        <v/>
      </c>
      <c r="I524" s="107" t="str">
        <f>TRIM(Formulario!I535)</f>
        <v/>
      </c>
      <c r="J524" s="11" t="str">
        <f>TRIM(Formulario!J535)</f>
        <v/>
      </c>
      <c r="K524" s="11" t="str">
        <f>TRIM(Formulario!K535)</f>
        <v/>
      </c>
      <c r="L524" s="107" t="str">
        <f>TRIM(Formulario!L535)</f>
        <v/>
      </c>
      <c r="M524" s="107" t="str">
        <f>TRIM(Formulario!M535)</f>
        <v>0</v>
      </c>
      <c r="N524" s="11" t="str">
        <f>TRIM(Formulario!H535)</f>
        <v/>
      </c>
      <c r="P524" s="17"/>
      <c r="Q524" s="104"/>
      <c r="R524" s="104"/>
      <c r="S524" s="117"/>
      <c r="T524" s="101"/>
      <c r="U524" s="101"/>
      <c r="V524" s="101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</row>
    <row r="525" spans="1:49">
      <c r="A525" s="8" t="str">
        <f>IF(L525="","",Formulario!B536)</f>
        <v/>
      </c>
      <c r="B525" s="119"/>
      <c r="C525" s="120"/>
      <c r="D525" s="121"/>
      <c r="E525" s="129" t="str">
        <f>IF(F525="","",Formulario!B536)</f>
        <v/>
      </c>
      <c r="F525" s="11" t="str">
        <f>TRIM(Formulario!D536)</f>
        <v/>
      </c>
      <c r="G525" s="11" t="str">
        <f>TRIM(Formulario!F536)</f>
        <v/>
      </c>
      <c r="H525" s="146" t="str">
        <f>IF(N525="",TRIM(Formulario!G536),TRIM(Formulario!G536)*N525)</f>
        <v/>
      </c>
      <c r="I525" s="107" t="str">
        <f>TRIM(Formulario!I536)</f>
        <v/>
      </c>
      <c r="J525" s="11" t="str">
        <f>TRIM(Formulario!J536)</f>
        <v/>
      </c>
      <c r="K525" s="11" t="str">
        <f>TRIM(Formulario!K536)</f>
        <v/>
      </c>
      <c r="L525" s="107" t="str">
        <f>TRIM(Formulario!L536)</f>
        <v/>
      </c>
      <c r="M525" s="107" t="str">
        <f>TRIM(Formulario!M536)</f>
        <v>0</v>
      </c>
      <c r="N525" s="11" t="str">
        <f>TRIM(Formulario!H536)</f>
        <v/>
      </c>
      <c r="P525" s="17"/>
      <c r="Q525" s="104"/>
      <c r="R525" s="104"/>
      <c r="S525" s="117"/>
      <c r="T525" s="101"/>
      <c r="U525" s="101"/>
      <c r="V525" s="101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</row>
    <row r="526" spans="1:49">
      <c r="A526" s="8" t="str">
        <f>IF(L526="","",Formulario!B537)</f>
        <v/>
      </c>
      <c r="B526" s="119"/>
      <c r="C526" s="120"/>
      <c r="D526" s="121"/>
      <c r="E526" s="129" t="str">
        <f>IF(F526="","",Formulario!B537)</f>
        <v/>
      </c>
      <c r="F526" s="11" t="str">
        <f>TRIM(Formulario!D537)</f>
        <v/>
      </c>
      <c r="G526" s="11" t="str">
        <f>TRIM(Formulario!F537)</f>
        <v/>
      </c>
      <c r="H526" s="146" t="str">
        <f>IF(N526="",TRIM(Formulario!G537),TRIM(Formulario!G537)*N526)</f>
        <v/>
      </c>
      <c r="I526" s="107" t="str">
        <f>TRIM(Formulario!I537)</f>
        <v/>
      </c>
      <c r="J526" s="11" t="str">
        <f>TRIM(Formulario!J537)</f>
        <v/>
      </c>
      <c r="K526" s="11" t="str">
        <f>TRIM(Formulario!K537)</f>
        <v/>
      </c>
      <c r="L526" s="107" t="str">
        <f>TRIM(Formulario!L537)</f>
        <v/>
      </c>
      <c r="M526" s="107" t="str">
        <f>TRIM(Formulario!M537)</f>
        <v>0</v>
      </c>
      <c r="N526" s="11" t="str">
        <f>TRIM(Formulario!H537)</f>
        <v/>
      </c>
      <c r="P526" s="17"/>
      <c r="Q526" s="104"/>
      <c r="R526" s="104"/>
      <c r="S526" s="117"/>
      <c r="T526" s="101"/>
      <c r="U526" s="101"/>
      <c r="V526" s="101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</row>
    <row r="527" spans="1:49">
      <c r="A527" s="8" t="str">
        <f>IF(L527="","",Formulario!B538)</f>
        <v/>
      </c>
      <c r="B527" s="119"/>
      <c r="C527" s="120"/>
      <c r="D527" s="121"/>
      <c r="E527" s="129" t="str">
        <f>IF(F527="","",Formulario!B538)</f>
        <v/>
      </c>
      <c r="F527" s="11" t="str">
        <f>TRIM(Formulario!D538)</f>
        <v/>
      </c>
      <c r="G527" s="11" t="str">
        <f>TRIM(Formulario!F538)</f>
        <v/>
      </c>
      <c r="H527" s="146" t="str">
        <f>IF(N527="",TRIM(Formulario!G538),TRIM(Formulario!G538)*N527)</f>
        <v/>
      </c>
      <c r="I527" s="107" t="str">
        <f>TRIM(Formulario!I538)</f>
        <v/>
      </c>
      <c r="J527" s="11" t="str">
        <f>TRIM(Formulario!J538)</f>
        <v/>
      </c>
      <c r="K527" s="11" t="str">
        <f>TRIM(Formulario!K538)</f>
        <v/>
      </c>
      <c r="L527" s="107" t="str">
        <f>TRIM(Formulario!L538)</f>
        <v/>
      </c>
      <c r="M527" s="107" t="str">
        <f>TRIM(Formulario!M538)</f>
        <v>0</v>
      </c>
      <c r="N527" s="11" t="str">
        <f>TRIM(Formulario!H538)</f>
        <v/>
      </c>
      <c r="P527" s="17"/>
      <c r="Q527" s="104"/>
      <c r="R527" s="104"/>
      <c r="S527" s="117"/>
      <c r="T527" s="101"/>
      <c r="U527" s="101"/>
      <c r="V527" s="101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</row>
    <row r="528" spans="1:49">
      <c r="A528" s="8" t="str">
        <f>IF(L528="","",Formulario!B539)</f>
        <v/>
      </c>
      <c r="B528" s="119"/>
      <c r="C528" s="120"/>
      <c r="D528" s="121"/>
      <c r="E528" s="129" t="str">
        <f>IF(F528="","",Formulario!B539)</f>
        <v/>
      </c>
      <c r="F528" s="11" t="str">
        <f>TRIM(Formulario!D539)</f>
        <v/>
      </c>
      <c r="G528" s="11" t="str">
        <f>TRIM(Formulario!F539)</f>
        <v/>
      </c>
      <c r="H528" s="146" t="str">
        <f>IF(N528="",TRIM(Formulario!G539),TRIM(Formulario!G539)*N528)</f>
        <v/>
      </c>
      <c r="I528" s="107" t="str">
        <f>TRIM(Formulario!I539)</f>
        <v/>
      </c>
      <c r="J528" s="11" t="str">
        <f>TRIM(Formulario!J539)</f>
        <v/>
      </c>
      <c r="K528" s="11" t="str">
        <f>TRIM(Formulario!K539)</f>
        <v/>
      </c>
      <c r="L528" s="107" t="str">
        <f>TRIM(Formulario!L539)</f>
        <v/>
      </c>
      <c r="M528" s="107" t="str">
        <f>TRIM(Formulario!M539)</f>
        <v>0</v>
      </c>
      <c r="N528" s="11" t="str">
        <f>TRIM(Formulario!H539)</f>
        <v/>
      </c>
      <c r="P528" s="17"/>
      <c r="Q528" s="104"/>
      <c r="R528" s="104"/>
      <c r="S528" s="117"/>
      <c r="T528" s="101"/>
      <c r="U528" s="101"/>
      <c r="V528" s="101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</row>
    <row r="529" spans="1:49">
      <c r="A529" s="8" t="str">
        <f>IF(L529="","",Formulario!B540)</f>
        <v/>
      </c>
      <c r="B529" s="119"/>
      <c r="C529" s="120"/>
      <c r="D529" s="121"/>
      <c r="E529" s="129" t="str">
        <f>IF(F529="","",Formulario!B540)</f>
        <v/>
      </c>
      <c r="F529" s="11" t="str">
        <f>TRIM(Formulario!D540)</f>
        <v/>
      </c>
      <c r="G529" s="11" t="str">
        <f>TRIM(Formulario!F540)</f>
        <v/>
      </c>
      <c r="H529" s="146" t="str">
        <f>IF(N529="",TRIM(Formulario!G540),TRIM(Formulario!G540)*N529)</f>
        <v/>
      </c>
      <c r="I529" s="107" t="str">
        <f>TRIM(Formulario!I540)</f>
        <v/>
      </c>
      <c r="J529" s="11" t="str">
        <f>TRIM(Formulario!J540)</f>
        <v/>
      </c>
      <c r="K529" s="11" t="str">
        <f>TRIM(Formulario!K540)</f>
        <v/>
      </c>
      <c r="L529" s="107" t="str">
        <f>TRIM(Formulario!L540)</f>
        <v/>
      </c>
      <c r="M529" s="107" t="str">
        <f>TRIM(Formulario!M540)</f>
        <v>0</v>
      </c>
      <c r="N529" s="11" t="str">
        <f>TRIM(Formulario!H540)</f>
        <v/>
      </c>
      <c r="P529" s="17"/>
      <c r="Q529" s="104"/>
      <c r="R529" s="104"/>
      <c r="S529" s="117"/>
      <c r="T529" s="101"/>
      <c r="U529" s="101"/>
      <c r="V529" s="101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</row>
    <row r="530" spans="1:49">
      <c r="A530" s="8" t="str">
        <f>IF(L530="","",Formulario!B541)</f>
        <v/>
      </c>
      <c r="B530" s="119"/>
      <c r="C530" s="120"/>
      <c r="D530" s="121"/>
      <c r="E530" s="129" t="str">
        <f>IF(F530="","",Formulario!B541)</f>
        <v/>
      </c>
      <c r="F530" s="11" t="str">
        <f>TRIM(Formulario!D541)</f>
        <v/>
      </c>
      <c r="G530" s="11" t="str">
        <f>TRIM(Formulario!F541)</f>
        <v/>
      </c>
      <c r="H530" s="146" t="str">
        <f>IF(N530="",TRIM(Formulario!G541),TRIM(Formulario!G541)*N530)</f>
        <v/>
      </c>
      <c r="I530" s="107" t="str">
        <f>TRIM(Formulario!I541)</f>
        <v/>
      </c>
      <c r="J530" s="11" t="str">
        <f>TRIM(Formulario!J541)</f>
        <v/>
      </c>
      <c r="K530" s="11" t="str">
        <f>TRIM(Formulario!K541)</f>
        <v/>
      </c>
      <c r="L530" s="107" t="str">
        <f>TRIM(Formulario!L541)</f>
        <v/>
      </c>
      <c r="M530" s="107" t="str">
        <f>TRIM(Formulario!M541)</f>
        <v>0</v>
      </c>
      <c r="N530" s="11" t="str">
        <f>TRIM(Formulario!H541)</f>
        <v/>
      </c>
      <c r="P530" s="17"/>
      <c r="Q530" s="104"/>
      <c r="R530" s="104"/>
      <c r="S530" s="117"/>
      <c r="T530" s="101"/>
      <c r="U530" s="101"/>
      <c r="V530" s="101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</row>
    <row r="531" spans="1:49">
      <c r="A531" s="8" t="str">
        <f>IF(L531="","",Formulario!B542)</f>
        <v/>
      </c>
      <c r="B531" s="119"/>
      <c r="C531" s="120"/>
      <c r="D531" s="121"/>
      <c r="E531" s="129" t="str">
        <f>IF(F531="","",Formulario!B542)</f>
        <v/>
      </c>
      <c r="F531" s="11" t="str">
        <f>TRIM(Formulario!D542)</f>
        <v/>
      </c>
      <c r="G531" s="11" t="str">
        <f>TRIM(Formulario!F542)</f>
        <v/>
      </c>
      <c r="H531" s="146" t="str">
        <f>IF(N531="",TRIM(Formulario!G542),TRIM(Formulario!G542)*N531)</f>
        <v/>
      </c>
      <c r="I531" s="107" t="str">
        <f>TRIM(Formulario!I542)</f>
        <v/>
      </c>
      <c r="J531" s="11" t="str">
        <f>TRIM(Formulario!J542)</f>
        <v/>
      </c>
      <c r="K531" s="11" t="str">
        <f>TRIM(Formulario!K542)</f>
        <v/>
      </c>
      <c r="L531" s="107" t="str">
        <f>TRIM(Formulario!L542)</f>
        <v/>
      </c>
      <c r="M531" s="107" t="str">
        <f>TRIM(Formulario!M542)</f>
        <v>0</v>
      </c>
      <c r="N531" s="11" t="str">
        <f>TRIM(Formulario!H542)</f>
        <v/>
      </c>
      <c r="P531" s="17"/>
      <c r="Q531" s="104"/>
      <c r="R531" s="104"/>
      <c r="S531" s="117"/>
      <c r="T531" s="101"/>
      <c r="U531" s="101"/>
      <c r="V531" s="101"/>
      <c r="W531" s="102"/>
      <c r="X531" s="102"/>
      <c r="Y531" s="102"/>
      <c r="Z531" s="102"/>
      <c r="AA531" s="102"/>
      <c r="AB531" s="102"/>
      <c r="AC531" s="102"/>
      <c r="AD531" s="102"/>
      <c r="AE531" s="102"/>
      <c r="AF531" s="102"/>
      <c r="AG531" s="102"/>
      <c r="AH531" s="102"/>
      <c r="AI531" s="102"/>
      <c r="AJ531" s="102"/>
      <c r="AK531" s="102"/>
      <c r="AL531" s="102"/>
      <c r="AM531" s="102"/>
      <c r="AN531" s="102"/>
      <c r="AO531" s="102"/>
      <c r="AP531" s="102"/>
      <c r="AQ531" s="102"/>
      <c r="AR531" s="102"/>
      <c r="AS531" s="102"/>
      <c r="AT531" s="102"/>
      <c r="AU531" s="102"/>
      <c r="AV531" s="102"/>
      <c r="AW531" s="102"/>
    </row>
    <row r="532" spans="1:49">
      <c r="A532" s="8" t="str">
        <f>IF(L532="","",Formulario!B543)</f>
        <v/>
      </c>
      <c r="B532" s="119"/>
      <c r="C532" s="120"/>
      <c r="D532" s="121"/>
      <c r="E532" s="129" t="str">
        <f>IF(F532="","",Formulario!B543)</f>
        <v/>
      </c>
      <c r="F532" s="11" t="str">
        <f>TRIM(Formulario!D543)</f>
        <v/>
      </c>
      <c r="G532" s="11" t="str">
        <f>TRIM(Formulario!F543)</f>
        <v/>
      </c>
      <c r="H532" s="146" t="str">
        <f>IF(N532="",TRIM(Formulario!G543),TRIM(Formulario!G543)*N532)</f>
        <v/>
      </c>
      <c r="I532" s="107" t="str">
        <f>TRIM(Formulario!I543)</f>
        <v/>
      </c>
      <c r="J532" s="11" t="str">
        <f>TRIM(Formulario!J543)</f>
        <v/>
      </c>
      <c r="K532" s="11" t="str">
        <f>TRIM(Formulario!K543)</f>
        <v/>
      </c>
      <c r="L532" s="107" t="str">
        <f>TRIM(Formulario!L543)</f>
        <v/>
      </c>
      <c r="M532" s="107" t="str">
        <f>TRIM(Formulario!M543)</f>
        <v>0</v>
      </c>
      <c r="N532" s="11" t="str">
        <f>TRIM(Formulario!H543)</f>
        <v/>
      </c>
      <c r="P532" s="17"/>
      <c r="Q532" s="104"/>
      <c r="R532" s="104"/>
      <c r="S532" s="117"/>
      <c r="T532" s="101"/>
      <c r="U532" s="101"/>
      <c r="V532" s="101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</row>
    <row r="533" spans="1:49">
      <c r="A533" s="8" t="str">
        <f>IF(L533="","",Formulario!B544)</f>
        <v/>
      </c>
      <c r="B533" s="119"/>
      <c r="C533" s="120"/>
      <c r="D533" s="121"/>
      <c r="E533" s="129" t="str">
        <f>IF(F533="","",Formulario!B544)</f>
        <v/>
      </c>
      <c r="F533" s="11" t="str">
        <f>TRIM(Formulario!D544)</f>
        <v/>
      </c>
      <c r="G533" s="11" t="str">
        <f>TRIM(Formulario!F544)</f>
        <v/>
      </c>
      <c r="H533" s="146" t="str">
        <f>IF(N533="",TRIM(Formulario!G544),TRIM(Formulario!G544)*N533)</f>
        <v/>
      </c>
      <c r="I533" s="107" t="str">
        <f>TRIM(Formulario!I544)</f>
        <v/>
      </c>
      <c r="J533" s="11" t="str">
        <f>TRIM(Formulario!J544)</f>
        <v/>
      </c>
      <c r="K533" s="11" t="str">
        <f>TRIM(Formulario!K544)</f>
        <v/>
      </c>
      <c r="L533" s="107" t="str">
        <f>TRIM(Formulario!L544)</f>
        <v/>
      </c>
      <c r="M533" s="107" t="str">
        <f>TRIM(Formulario!M544)</f>
        <v>0</v>
      </c>
      <c r="N533" s="11" t="str">
        <f>TRIM(Formulario!H544)</f>
        <v/>
      </c>
      <c r="P533" s="17"/>
      <c r="Q533" s="104"/>
      <c r="R533" s="104"/>
      <c r="S533" s="117"/>
      <c r="T533" s="101"/>
      <c r="U533" s="101"/>
      <c r="V533" s="101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</row>
    <row r="534" spans="1:49">
      <c r="A534" s="8" t="str">
        <f>IF(L534="","",Formulario!B545)</f>
        <v/>
      </c>
      <c r="B534" s="119"/>
      <c r="C534" s="120"/>
      <c r="D534" s="121"/>
      <c r="E534" s="129" t="str">
        <f>IF(F534="","",Formulario!B545)</f>
        <v/>
      </c>
      <c r="F534" s="11" t="str">
        <f>TRIM(Formulario!D545)</f>
        <v/>
      </c>
      <c r="G534" s="11" t="str">
        <f>TRIM(Formulario!F545)</f>
        <v/>
      </c>
      <c r="H534" s="146" t="str">
        <f>IF(N534="",TRIM(Formulario!G545),TRIM(Formulario!G545)*N534)</f>
        <v/>
      </c>
      <c r="I534" s="107" t="str">
        <f>TRIM(Formulario!I545)</f>
        <v/>
      </c>
      <c r="J534" s="11" t="str">
        <f>TRIM(Formulario!J545)</f>
        <v/>
      </c>
      <c r="K534" s="11" t="str">
        <f>TRIM(Formulario!K545)</f>
        <v/>
      </c>
      <c r="L534" s="107" t="str">
        <f>TRIM(Formulario!L545)</f>
        <v/>
      </c>
      <c r="M534" s="107" t="str">
        <f>TRIM(Formulario!M545)</f>
        <v>0</v>
      </c>
      <c r="N534" s="11" t="str">
        <f>TRIM(Formulario!H545)</f>
        <v/>
      </c>
      <c r="P534" s="17"/>
      <c r="Q534" s="104"/>
      <c r="R534" s="104"/>
      <c r="S534" s="117"/>
      <c r="T534" s="101"/>
      <c r="U534" s="101"/>
      <c r="V534" s="101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</row>
    <row r="535" spans="1:49">
      <c r="A535" s="8" t="str">
        <f>IF(L535="","",Formulario!B546)</f>
        <v/>
      </c>
      <c r="B535" s="119"/>
      <c r="C535" s="120"/>
      <c r="D535" s="121"/>
      <c r="E535" s="129" t="str">
        <f>IF(F535="","",Formulario!B546)</f>
        <v/>
      </c>
      <c r="F535" s="11" t="str">
        <f>TRIM(Formulario!D546)</f>
        <v/>
      </c>
      <c r="G535" s="11" t="str">
        <f>TRIM(Formulario!F546)</f>
        <v/>
      </c>
      <c r="H535" s="146" t="str">
        <f>IF(N535="",TRIM(Formulario!G546),TRIM(Formulario!G546)*N535)</f>
        <v/>
      </c>
      <c r="I535" s="107" t="str">
        <f>TRIM(Formulario!I546)</f>
        <v/>
      </c>
      <c r="J535" s="11" t="str">
        <f>TRIM(Formulario!J546)</f>
        <v/>
      </c>
      <c r="K535" s="11" t="str">
        <f>TRIM(Formulario!K546)</f>
        <v/>
      </c>
      <c r="L535" s="107" t="str">
        <f>TRIM(Formulario!L546)</f>
        <v/>
      </c>
      <c r="M535" s="107" t="str">
        <f>TRIM(Formulario!M546)</f>
        <v>0</v>
      </c>
      <c r="N535" s="11" t="str">
        <f>TRIM(Formulario!H546)</f>
        <v/>
      </c>
      <c r="P535" s="17"/>
      <c r="Q535" s="104"/>
      <c r="R535" s="104"/>
      <c r="S535" s="117"/>
      <c r="T535" s="101"/>
      <c r="U535" s="101"/>
      <c r="V535" s="101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</row>
    <row r="536" spans="1:49">
      <c r="A536" s="8" t="str">
        <f>IF(L536="","",Formulario!B547)</f>
        <v/>
      </c>
      <c r="B536" s="119"/>
      <c r="C536" s="120"/>
      <c r="D536" s="121"/>
      <c r="E536" s="129" t="str">
        <f>IF(F536="","",Formulario!B547)</f>
        <v/>
      </c>
      <c r="F536" s="11" t="str">
        <f>TRIM(Formulario!D547)</f>
        <v/>
      </c>
      <c r="G536" s="11" t="str">
        <f>TRIM(Formulario!F547)</f>
        <v/>
      </c>
      <c r="H536" s="146" t="str">
        <f>IF(N536="",TRIM(Formulario!G547),TRIM(Formulario!G547)*N536)</f>
        <v/>
      </c>
      <c r="I536" s="107" t="str">
        <f>TRIM(Formulario!I547)</f>
        <v/>
      </c>
      <c r="J536" s="11" t="str">
        <f>TRIM(Formulario!J547)</f>
        <v/>
      </c>
      <c r="K536" s="11" t="str">
        <f>TRIM(Formulario!K547)</f>
        <v/>
      </c>
      <c r="L536" s="107" t="str">
        <f>TRIM(Formulario!L547)</f>
        <v/>
      </c>
      <c r="M536" s="107" t="str">
        <f>TRIM(Formulario!M547)</f>
        <v>0</v>
      </c>
      <c r="N536" s="11" t="str">
        <f>TRIM(Formulario!H547)</f>
        <v/>
      </c>
      <c r="P536" s="17"/>
      <c r="Q536" s="104"/>
      <c r="R536" s="104"/>
      <c r="S536" s="117"/>
      <c r="T536" s="101"/>
      <c r="U536" s="101"/>
      <c r="V536" s="101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</row>
    <row r="537" spans="1:49">
      <c r="A537" s="8" t="str">
        <f>IF(L537="","",Formulario!B548)</f>
        <v/>
      </c>
      <c r="B537" s="119"/>
      <c r="C537" s="120"/>
      <c r="D537" s="121"/>
      <c r="E537" s="129" t="str">
        <f>IF(F537="","",Formulario!B548)</f>
        <v/>
      </c>
      <c r="F537" s="11" t="str">
        <f>TRIM(Formulario!D548)</f>
        <v/>
      </c>
      <c r="G537" s="11" t="str">
        <f>TRIM(Formulario!F548)</f>
        <v/>
      </c>
      <c r="H537" s="146" t="str">
        <f>IF(N537="",TRIM(Formulario!G548),TRIM(Formulario!G548)*N537)</f>
        <v/>
      </c>
      <c r="I537" s="107" t="str">
        <f>TRIM(Formulario!I548)</f>
        <v/>
      </c>
      <c r="J537" s="11" t="str">
        <f>TRIM(Formulario!J548)</f>
        <v/>
      </c>
      <c r="K537" s="11" t="str">
        <f>TRIM(Formulario!K548)</f>
        <v/>
      </c>
      <c r="L537" s="107" t="str">
        <f>TRIM(Formulario!L548)</f>
        <v/>
      </c>
      <c r="M537" s="107" t="str">
        <f>TRIM(Formulario!M548)</f>
        <v>0</v>
      </c>
      <c r="N537" s="11" t="str">
        <f>TRIM(Formulario!H548)</f>
        <v/>
      </c>
      <c r="P537" s="17"/>
      <c r="Q537" s="104"/>
      <c r="R537" s="104"/>
      <c r="S537" s="117"/>
      <c r="T537" s="101"/>
      <c r="U537" s="101"/>
      <c r="V537" s="101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</row>
    <row r="538" spans="1:49">
      <c r="A538" s="8" t="str">
        <f>IF(L538="","",Formulario!B549)</f>
        <v/>
      </c>
      <c r="B538" s="119"/>
      <c r="C538" s="120"/>
      <c r="D538" s="121"/>
      <c r="E538" s="129" t="str">
        <f>IF(F538="","",Formulario!B549)</f>
        <v/>
      </c>
      <c r="F538" s="11" t="str">
        <f>TRIM(Formulario!D549)</f>
        <v/>
      </c>
      <c r="G538" s="11" t="str">
        <f>TRIM(Formulario!F549)</f>
        <v/>
      </c>
      <c r="H538" s="146" t="str">
        <f>IF(N538="",TRIM(Formulario!G549),TRIM(Formulario!G549)*N538)</f>
        <v/>
      </c>
      <c r="I538" s="107" t="str">
        <f>TRIM(Formulario!I549)</f>
        <v/>
      </c>
      <c r="J538" s="11" t="str">
        <f>TRIM(Formulario!J549)</f>
        <v/>
      </c>
      <c r="K538" s="11" t="str">
        <f>TRIM(Formulario!K549)</f>
        <v/>
      </c>
      <c r="L538" s="107" t="str">
        <f>TRIM(Formulario!L549)</f>
        <v/>
      </c>
      <c r="M538" s="107" t="str">
        <f>TRIM(Formulario!M549)</f>
        <v>0</v>
      </c>
      <c r="N538" s="11" t="str">
        <f>TRIM(Formulario!H549)</f>
        <v/>
      </c>
      <c r="P538" s="17"/>
      <c r="Q538" s="104"/>
      <c r="R538" s="104"/>
      <c r="S538" s="117"/>
      <c r="T538" s="101"/>
      <c r="U538" s="101"/>
      <c r="V538" s="101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</row>
    <row r="539" spans="1:49">
      <c r="A539" s="8" t="str">
        <f>IF(L539="","",Formulario!B550)</f>
        <v/>
      </c>
      <c r="B539" s="119"/>
      <c r="C539" s="120"/>
      <c r="D539" s="121"/>
      <c r="E539" s="129" t="str">
        <f>IF(F539="","",Formulario!B550)</f>
        <v/>
      </c>
      <c r="F539" s="11" t="str">
        <f>TRIM(Formulario!D550)</f>
        <v/>
      </c>
      <c r="G539" s="11" t="str">
        <f>TRIM(Formulario!F550)</f>
        <v/>
      </c>
      <c r="H539" s="146" t="str">
        <f>IF(N539="",TRIM(Formulario!G550),TRIM(Formulario!G550)*N539)</f>
        <v/>
      </c>
      <c r="I539" s="107" t="str">
        <f>TRIM(Formulario!I550)</f>
        <v/>
      </c>
      <c r="J539" s="11" t="str">
        <f>TRIM(Formulario!J550)</f>
        <v/>
      </c>
      <c r="K539" s="11" t="str">
        <f>TRIM(Formulario!K550)</f>
        <v/>
      </c>
      <c r="L539" s="107" t="str">
        <f>TRIM(Formulario!L550)</f>
        <v/>
      </c>
      <c r="M539" s="107" t="str">
        <f>TRIM(Formulario!M550)</f>
        <v>0</v>
      </c>
      <c r="N539" s="11" t="str">
        <f>TRIM(Formulario!H550)</f>
        <v/>
      </c>
      <c r="P539" s="17"/>
      <c r="Q539" s="104"/>
      <c r="R539" s="104"/>
      <c r="S539" s="117"/>
      <c r="T539" s="101"/>
      <c r="U539" s="101"/>
      <c r="V539" s="101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</row>
    <row r="540" spans="1:49">
      <c r="A540" s="8" t="str">
        <f>IF(L540="","",Formulario!B551)</f>
        <v/>
      </c>
      <c r="B540" s="119"/>
      <c r="C540" s="120"/>
      <c r="D540" s="121"/>
      <c r="E540" s="129" t="str">
        <f>IF(F540="","",Formulario!B551)</f>
        <v/>
      </c>
      <c r="F540" s="11" t="str">
        <f>TRIM(Formulario!D551)</f>
        <v/>
      </c>
      <c r="G540" s="11" t="str">
        <f>TRIM(Formulario!F551)</f>
        <v/>
      </c>
      <c r="H540" s="146" t="str">
        <f>IF(N540="",TRIM(Formulario!G551),TRIM(Formulario!G551)*N540)</f>
        <v/>
      </c>
      <c r="I540" s="107" t="str">
        <f>TRIM(Formulario!I551)</f>
        <v/>
      </c>
      <c r="J540" s="11" t="str">
        <f>TRIM(Formulario!J551)</f>
        <v/>
      </c>
      <c r="K540" s="11" t="str">
        <f>TRIM(Formulario!K551)</f>
        <v/>
      </c>
      <c r="L540" s="107" t="str">
        <f>TRIM(Formulario!L551)</f>
        <v/>
      </c>
      <c r="M540" s="107" t="str">
        <f>TRIM(Formulario!M551)</f>
        <v>0</v>
      </c>
      <c r="N540" s="11" t="str">
        <f>TRIM(Formulario!H551)</f>
        <v/>
      </c>
      <c r="P540" s="17"/>
      <c r="Q540" s="104"/>
      <c r="R540" s="104"/>
      <c r="S540" s="117"/>
      <c r="T540" s="101"/>
      <c r="U540" s="101"/>
      <c r="V540" s="101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</row>
    <row r="541" spans="1:49">
      <c r="A541" s="8" t="str">
        <f>IF(L541="","",Formulario!B552)</f>
        <v/>
      </c>
      <c r="B541" s="119"/>
      <c r="C541" s="120"/>
      <c r="D541" s="121"/>
      <c r="E541" s="129" t="str">
        <f>IF(F541="","",Formulario!B552)</f>
        <v/>
      </c>
      <c r="F541" s="11" t="str">
        <f>TRIM(Formulario!D552)</f>
        <v/>
      </c>
      <c r="G541" s="11" t="str">
        <f>TRIM(Formulario!F552)</f>
        <v/>
      </c>
      <c r="H541" s="146" t="str">
        <f>IF(N541="",TRIM(Formulario!G552),TRIM(Formulario!G552)*N541)</f>
        <v/>
      </c>
      <c r="I541" s="107" t="str">
        <f>TRIM(Formulario!I552)</f>
        <v/>
      </c>
      <c r="J541" s="11" t="str">
        <f>TRIM(Formulario!J552)</f>
        <v/>
      </c>
      <c r="K541" s="11" t="str">
        <f>TRIM(Formulario!K552)</f>
        <v/>
      </c>
      <c r="L541" s="107" t="str">
        <f>TRIM(Formulario!L552)</f>
        <v/>
      </c>
      <c r="M541" s="107" t="str">
        <f>TRIM(Formulario!M552)</f>
        <v>0</v>
      </c>
      <c r="N541" s="11" t="str">
        <f>TRIM(Formulario!H552)</f>
        <v/>
      </c>
      <c r="P541" s="17"/>
      <c r="Q541" s="104"/>
      <c r="R541" s="104"/>
      <c r="S541" s="117"/>
      <c r="T541" s="101"/>
      <c r="U541" s="101"/>
      <c r="V541" s="101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</row>
    <row r="542" spans="1:49">
      <c r="A542" s="8" t="str">
        <f>IF(L542="","",Formulario!B553)</f>
        <v/>
      </c>
      <c r="B542" s="119"/>
      <c r="C542" s="120"/>
      <c r="D542" s="121"/>
      <c r="E542" s="129" t="str">
        <f>IF(F542="","",Formulario!B553)</f>
        <v/>
      </c>
      <c r="F542" s="11" t="str">
        <f>TRIM(Formulario!D553)</f>
        <v/>
      </c>
      <c r="G542" s="11" t="str">
        <f>TRIM(Formulario!F553)</f>
        <v/>
      </c>
      <c r="H542" s="146" t="str">
        <f>IF(N542="",TRIM(Formulario!G553),TRIM(Formulario!G553)*N542)</f>
        <v/>
      </c>
      <c r="I542" s="107" t="str">
        <f>TRIM(Formulario!I553)</f>
        <v/>
      </c>
      <c r="J542" s="11" t="str">
        <f>TRIM(Formulario!J553)</f>
        <v/>
      </c>
      <c r="K542" s="11" t="str">
        <f>TRIM(Formulario!K553)</f>
        <v/>
      </c>
      <c r="L542" s="107" t="str">
        <f>TRIM(Formulario!L553)</f>
        <v/>
      </c>
      <c r="M542" s="107" t="str">
        <f>TRIM(Formulario!M553)</f>
        <v>0</v>
      </c>
      <c r="N542" s="11" t="str">
        <f>TRIM(Formulario!H553)</f>
        <v/>
      </c>
      <c r="P542" s="17"/>
      <c r="Q542" s="104"/>
      <c r="R542" s="104"/>
      <c r="S542" s="117"/>
      <c r="T542" s="101"/>
      <c r="U542" s="101"/>
      <c r="V542" s="101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</row>
    <row r="543" spans="1:49">
      <c r="A543" s="8" t="str">
        <f>IF(L543="","",Formulario!B554)</f>
        <v/>
      </c>
      <c r="B543" s="119"/>
      <c r="C543" s="120"/>
      <c r="D543" s="121"/>
      <c r="E543" s="129" t="str">
        <f>IF(F543="","",Formulario!B554)</f>
        <v/>
      </c>
      <c r="F543" s="11" t="str">
        <f>TRIM(Formulario!D554)</f>
        <v/>
      </c>
      <c r="G543" s="11" t="str">
        <f>TRIM(Formulario!F554)</f>
        <v/>
      </c>
      <c r="H543" s="146" t="str">
        <f>IF(N543="",TRIM(Formulario!G554),TRIM(Formulario!G554)*N543)</f>
        <v/>
      </c>
      <c r="I543" s="107" t="str">
        <f>TRIM(Formulario!I554)</f>
        <v/>
      </c>
      <c r="J543" s="11" t="str">
        <f>TRIM(Formulario!J554)</f>
        <v/>
      </c>
      <c r="K543" s="11" t="str">
        <f>TRIM(Formulario!K554)</f>
        <v/>
      </c>
      <c r="L543" s="107" t="str">
        <f>TRIM(Formulario!L554)</f>
        <v/>
      </c>
      <c r="M543" s="107" t="str">
        <f>TRIM(Formulario!M554)</f>
        <v>0</v>
      </c>
      <c r="N543" s="11" t="str">
        <f>TRIM(Formulario!H554)</f>
        <v/>
      </c>
      <c r="P543" s="17"/>
      <c r="Q543" s="104"/>
      <c r="R543" s="104"/>
      <c r="S543" s="117"/>
      <c r="T543" s="101"/>
      <c r="U543" s="101"/>
      <c r="V543" s="101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</row>
    <row r="544" spans="1:49">
      <c r="A544" s="8" t="str">
        <f>IF(L544="","",Formulario!B555)</f>
        <v/>
      </c>
      <c r="B544" s="119"/>
      <c r="C544" s="120"/>
      <c r="D544" s="121"/>
      <c r="E544" s="129" t="str">
        <f>IF(F544="","",Formulario!B555)</f>
        <v/>
      </c>
      <c r="F544" s="11" t="str">
        <f>TRIM(Formulario!D555)</f>
        <v/>
      </c>
      <c r="G544" s="11" t="str">
        <f>TRIM(Formulario!F555)</f>
        <v/>
      </c>
      <c r="H544" s="146" t="str">
        <f>IF(N544="",TRIM(Formulario!G555),TRIM(Formulario!G555)*N544)</f>
        <v/>
      </c>
      <c r="I544" s="107" t="str">
        <f>TRIM(Formulario!I555)</f>
        <v/>
      </c>
      <c r="J544" s="11" t="str">
        <f>TRIM(Formulario!J555)</f>
        <v/>
      </c>
      <c r="K544" s="11" t="str">
        <f>TRIM(Formulario!K555)</f>
        <v/>
      </c>
      <c r="L544" s="107" t="str">
        <f>TRIM(Formulario!L555)</f>
        <v/>
      </c>
      <c r="M544" s="107" t="str">
        <f>TRIM(Formulario!M555)</f>
        <v>0</v>
      </c>
      <c r="N544" s="11" t="str">
        <f>TRIM(Formulario!H555)</f>
        <v/>
      </c>
      <c r="P544" s="17"/>
      <c r="Q544" s="104"/>
      <c r="R544" s="104"/>
      <c r="S544" s="117"/>
      <c r="T544" s="101"/>
      <c r="U544" s="101"/>
      <c r="V544" s="101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</row>
    <row r="545" spans="1:49">
      <c r="A545" s="8" t="str">
        <f>IF(L545="","",Formulario!B556)</f>
        <v/>
      </c>
      <c r="B545" s="119"/>
      <c r="C545" s="120"/>
      <c r="D545" s="121"/>
      <c r="E545" s="129" t="str">
        <f>IF(F545="","",Formulario!B556)</f>
        <v/>
      </c>
      <c r="F545" s="11" t="str">
        <f>TRIM(Formulario!D556)</f>
        <v/>
      </c>
      <c r="G545" s="11" t="str">
        <f>TRIM(Formulario!F556)</f>
        <v/>
      </c>
      <c r="H545" s="146" t="str">
        <f>IF(N545="",TRIM(Formulario!G556),TRIM(Formulario!G556)*N545)</f>
        <v/>
      </c>
      <c r="I545" s="107" t="str">
        <f>TRIM(Formulario!I556)</f>
        <v/>
      </c>
      <c r="J545" s="11" t="str">
        <f>TRIM(Formulario!J556)</f>
        <v/>
      </c>
      <c r="K545" s="11" t="str">
        <f>TRIM(Formulario!K556)</f>
        <v/>
      </c>
      <c r="L545" s="107" t="str">
        <f>TRIM(Formulario!L556)</f>
        <v/>
      </c>
      <c r="M545" s="107" t="str">
        <f>TRIM(Formulario!M556)</f>
        <v>0</v>
      </c>
      <c r="N545" s="11" t="str">
        <f>TRIM(Formulario!H556)</f>
        <v/>
      </c>
      <c r="P545" s="17"/>
      <c r="Q545" s="104"/>
      <c r="R545" s="104"/>
      <c r="S545" s="117"/>
      <c r="T545" s="101"/>
      <c r="U545" s="101"/>
      <c r="V545" s="101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</row>
    <row r="546" spans="1:49">
      <c r="A546" s="8" t="str">
        <f>IF(L546="","",Formulario!B557)</f>
        <v/>
      </c>
      <c r="B546" s="119"/>
      <c r="C546" s="120"/>
      <c r="D546" s="121"/>
      <c r="E546" s="129" t="str">
        <f>IF(F546="","",Formulario!B557)</f>
        <v/>
      </c>
      <c r="F546" s="11" t="str">
        <f>TRIM(Formulario!D557)</f>
        <v/>
      </c>
      <c r="G546" s="11" t="str">
        <f>TRIM(Formulario!F557)</f>
        <v/>
      </c>
      <c r="H546" s="146" t="str">
        <f>IF(N546="",TRIM(Formulario!G557),TRIM(Formulario!G557)*N546)</f>
        <v/>
      </c>
      <c r="I546" s="107" t="str">
        <f>TRIM(Formulario!I557)</f>
        <v/>
      </c>
      <c r="J546" s="11" t="str">
        <f>TRIM(Formulario!J557)</f>
        <v/>
      </c>
      <c r="K546" s="11" t="str">
        <f>TRIM(Formulario!K557)</f>
        <v/>
      </c>
      <c r="L546" s="107" t="str">
        <f>TRIM(Formulario!L557)</f>
        <v/>
      </c>
      <c r="M546" s="107" t="str">
        <f>TRIM(Formulario!M557)</f>
        <v>0</v>
      </c>
      <c r="N546" s="11" t="str">
        <f>TRIM(Formulario!H557)</f>
        <v/>
      </c>
      <c r="P546" s="17"/>
      <c r="Q546" s="104"/>
      <c r="R546" s="104"/>
      <c r="S546" s="117"/>
      <c r="T546" s="101"/>
      <c r="U546" s="101"/>
      <c r="V546" s="101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</row>
    <row r="547" spans="1:49">
      <c r="A547" s="8" t="str">
        <f>IF(L547="","",Formulario!B558)</f>
        <v/>
      </c>
      <c r="B547" s="119"/>
      <c r="C547" s="120"/>
      <c r="D547" s="121"/>
      <c r="E547" s="129" t="str">
        <f>IF(F547="","",Formulario!B558)</f>
        <v/>
      </c>
      <c r="F547" s="11" t="str">
        <f>TRIM(Formulario!D558)</f>
        <v/>
      </c>
      <c r="G547" s="11" t="str">
        <f>TRIM(Formulario!F558)</f>
        <v/>
      </c>
      <c r="H547" s="146" t="str">
        <f>IF(N547="",TRIM(Formulario!G558),TRIM(Formulario!G558)*N547)</f>
        <v/>
      </c>
      <c r="I547" s="107" t="str">
        <f>TRIM(Formulario!I558)</f>
        <v/>
      </c>
      <c r="J547" s="11" t="str">
        <f>TRIM(Formulario!J558)</f>
        <v/>
      </c>
      <c r="K547" s="11" t="str">
        <f>TRIM(Formulario!K558)</f>
        <v/>
      </c>
      <c r="L547" s="107" t="str">
        <f>TRIM(Formulario!L558)</f>
        <v/>
      </c>
      <c r="M547" s="107" t="str">
        <f>TRIM(Formulario!M558)</f>
        <v>0</v>
      </c>
      <c r="N547" s="11" t="str">
        <f>TRIM(Formulario!H558)</f>
        <v/>
      </c>
      <c r="P547" s="17"/>
      <c r="Q547" s="104"/>
      <c r="R547" s="104"/>
      <c r="S547" s="117"/>
      <c r="T547" s="101"/>
      <c r="U547" s="101"/>
      <c r="V547" s="101"/>
      <c r="W547" s="102"/>
      <c r="X547" s="102"/>
      <c r="Y547" s="102"/>
      <c r="Z547" s="102"/>
      <c r="AA547" s="102"/>
      <c r="AB547" s="102"/>
      <c r="AC547" s="102"/>
      <c r="AD547" s="102"/>
      <c r="AE547" s="102"/>
      <c r="AF547" s="102"/>
      <c r="AG547" s="102"/>
      <c r="AH547" s="102"/>
      <c r="AI547" s="102"/>
      <c r="AJ547" s="102"/>
      <c r="AK547" s="102"/>
      <c r="AL547" s="102"/>
      <c r="AM547" s="102"/>
      <c r="AN547" s="102"/>
      <c r="AO547" s="102"/>
      <c r="AP547" s="102"/>
      <c r="AQ547" s="102"/>
      <c r="AR547" s="102"/>
      <c r="AS547" s="102"/>
      <c r="AT547" s="102"/>
      <c r="AU547" s="102"/>
      <c r="AV547" s="102"/>
      <c r="AW547" s="102"/>
    </row>
    <row r="548" spans="1:49">
      <c r="A548" s="8" t="str">
        <f>IF(L548="","",Formulario!B559)</f>
        <v/>
      </c>
      <c r="B548" s="119"/>
      <c r="C548" s="120"/>
      <c r="D548" s="121"/>
      <c r="E548" s="129" t="str">
        <f>IF(F548="","",Formulario!B559)</f>
        <v/>
      </c>
      <c r="F548" s="11" t="str">
        <f>TRIM(Formulario!D559)</f>
        <v/>
      </c>
      <c r="G548" s="11" t="str">
        <f>TRIM(Formulario!F559)</f>
        <v/>
      </c>
      <c r="H548" s="146" t="str">
        <f>IF(N548="",TRIM(Formulario!G559),TRIM(Formulario!G559)*N548)</f>
        <v/>
      </c>
      <c r="I548" s="107" t="str">
        <f>TRIM(Formulario!I559)</f>
        <v/>
      </c>
      <c r="J548" s="11" t="str">
        <f>TRIM(Formulario!J559)</f>
        <v/>
      </c>
      <c r="K548" s="11" t="str">
        <f>TRIM(Formulario!K559)</f>
        <v/>
      </c>
      <c r="L548" s="107" t="str">
        <f>TRIM(Formulario!L559)</f>
        <v/>
      </c>
      <c r="M548" s="107" t="str">
        <f>TRIM(Formulario!M559)</f>
        <v>0</v>
      </c>
      <c r="N548" s="11" t="str">
        <f>TRIM(Formulario!H559)</f>
        <v/>
      </c>
      <c r="P548" s="17"/>
      <c r="Q548" s="104"/>
      <c r="R548" s="104"/>
      <c r="S548" s="117"/>
      <c r="T548" s="101"/>
      <c r="U548" s="101"/>
      <c r="V548" s="101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</row>
    <row r="549" spans="1:49">
      <c r="A549" s="8" t="str">
        <f>IF(L549="","",Formulario!B560)</f>
        <v/>
      </c>
      <c r="B549" s="119"/>
      <c r="C549" s="120"/>
      <c r="D549" s="121"/>
      <c r="E549" s="129" t="str">
        <f>IF(F549="","",Formulario!B560)</f>
        <v/>
      </c>
      <c r="F549" s="11" t="str">
        <f>TRIM(Formulario!D560)</f>
        <v/>
      </c>
      <c r="G549" s="11" t="str">
        <f>TRIM(Formulario!F560)</f>
        <v/>
      </c>
      <c r="H549" s="146" t="str">
        <f>IF(N549="",TRIM(Formulario!G560),TRIM(Formulario!G560)*N549)</f>
        <v/>
      </c>
      <c r="I549" s="107" t="str">
        <f>TRIM(Formulario!I560)</f>
        <v/>
      </c>
      <c r="J549" s="11" t="str">
        <f>TRIM(Formulario!J560)</f>
        <v/>
      </c>
      <c r="K549" s="11" t="str">
        <f>TRIM(Formulario!K560)</f>
        <v/>
      </c>
      <c r="L549" s="107" t="str">
        <f>TRIM(Formulario!L560)</f>
        <v/>
      </c>
      <c r="M549" s="107" t="str">
        <f>TRIM(Formulario!M560)</f>
        <v>0</v>
      </c>
      <c r="N549" s="11" t="str">
        <f>TRIM(Formulario!H560)</f>
        <v/>
      </c>
      <c r="P549" s="17"/>
      <c r="Q549" s="104"/>
      <c r="R549" s="104"/>
      <c r="S549" s="117"/>
      <c r="T549" s="101"/>
      <c r="U549" s="101"/>
      <c r="V549" s="101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</row>
    <row r="550" spans="1:49">
      <c r="A550" s="8" t="str">
        <f>IF(L550="","",Formulario!B561)</f>
        <v/>
      </c>
      <c r="B550" s="119"/>
      <c r="C550" s="120"/>
      <c r="D550" s="121"/>
      <c r="E550" s="129" t="str">
        <f>IF(F550="","",Formulario!B561)</f>
        <v/>
      </c>
      <c r="F550" s="11" t="str">
        <f>TRIM(Formulario!D561)</f>
        <v/>
      </c>
      <c r="G550" s="11" t="str">
        <f>TRIM(Formulario!F561)</f>
        <v/>
      </c>
      <c r="H550" s="146" t="str">
        <f>IF(N550="",TRIM(Formulario!G561),TRIM(Formulario!G561)*N550)</f>
        <v/>
      </c>
      <c r="I550" s="107" t="str">
        <f>TRIM(Formulario!I561)</f>
        <v/>
      </c>
      <c r="J550" s="11" t="str">
        <f>TRIM(Formulario!J561)</f>
        <v/>
      </c>
      <c r="K550" s="11" t="str">
        <f>TRIM(Formulario!K561)</f>
        <v/>
      </c>
      <c r="L550" s="107" t="str">
        <f>TRIM(Formulario!L561)</f>
        <v/>
      </c>
      <c r="M550" s="107" t="str">
        <f>TRIM(Formulario!M561)</f>
        <v>0</v>
      </c>
      <c r="N550" s="11" t="str">
        <f>TRIM(Formulario!H561)</f>
        <v/>
      </c>
      <c r="P550" s="17"/>
      <c r="Q550" s="104"/>
      <c r="R550" s="104"/>
      <c r="S550" s="117"/>
      <c r="T550" s="101"/>
      <c r="U550" s="101"/>
      <c r="V550" s="101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</row>
    <row r="551" spans="1:49">
      <c r="A551" s="8" t="str">
        <f>IF(L551="","",Formulario!B562)</f>
        <v/>
      </c>
      <c r="B551" s="119"/>
      <c r="C551" s="120"/>
      <c r="D551" s="121"/>
      <c r="E551" s="129" t="str">
        <f>IF(F551="","",Formulario!B562)</f>
        <v/>
      </c>
      <c r="F551" s="11" t="str">
        <f>TRIM(Formulario!D562)</f>
        <v/>
      </c>
      <c r="G551" s="11" t="str">
        <f>TRIM(Formulario!F562)</f>
        <v/>
      </c>
      <c r="H551" s="146" t="str">
        <f>IF(N551="",TRIM(Formulario!G562),TRIM(Formulario!G562)*N551)</f>
        <v/>
      </c>
      <c r="I551" s="107" t="str">
        <f>TRIM(Formulario!I562)</f>
        <v/>
      </c>
      <c r="J551" s="11" t="str">
        <f>TRIM(Formulario!J562)</f>
        <v/>
      </c>
      <c r="K551" s="11" t="str">
        <f>TRIM(Formulario!K562)</f>
        <v/>
      </c>
      <c r="L551" s="107" t="str">
        <f>TRIM(Formulario!L562)</f>
        <v/>
      </c>
      <c r="M551" s="107" t="str">
        <f>TRIM(Formulario!M562)</f>
        <v>0</v>
      </c>
      <c r="N551" s="11" t="str">
        <f>TRIM(Formulario!H562)</f>
        <v/>
      </c>
      <c r="P551" s="17"/>
      <c r="Q551" s="104"/>
      <c r="R551" s="104"/>
      <c r="S551" s="117"/>
      <c r="T551" s="101"/>
      <c r="U551" s="101"/>
      <c r="V551" s="101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</row>
    <row r="552" spans="1:49">
      <c r="A552" s="8" t="str">
        <f>IF(L552="","",Formulario!B563)</f>
        <v/>
      </c>
      <c r="B552" s="119"/>
      <c r="C552" s="120"/>
      <c r="D552" s="121"/>
      <c r="E552" s="129" t="str">
        <f>IF(F552="","",Formulario!B563)</f>
        <v/>
      </c>
      <c r="F552" s="11" t="str">
        <f>TRIM(Formulario!D563)</f>
        <v/>
      </c>
      <c r="G552" s="11" t="str">
        <f>TRIM(Formulario!F563)</f>
        <v/>
      </c>
      <c r="H552" s="146" t="str">
        <f>IF(N552="",TRIM(Formulario!G563),TRIM(Formulario!G563)*N552)</f>
        <v/>
      </c>
      <c r="I552" s="107" t="str">
        <f>TRIM(Formulario!I563)</f>
        <v/>
      </c>
      <c r="J552" s="11" t="str">
        <f>TRIM(Formulario!J563)</f>
        <v/>
      </c>
      <c r="K552" s="11" t="str">
        <f>TRIM(Formulario!K563)</f>
        <v/>
      </c>
      <c r="L552" s="107" t="str">
        <f>TRIM(Formulario!L563)</f>
        <v/>
      </c>
      <c r="M552" s="107" t="str">
        <f>TRIM(Formulario!M563)</f>
        <v>0</v>
      </c>
      <c r="N552" s="11" t="str">
        <f>TRIM(Formulario!H563)</f>
        <v/>
      </c>
      <c r="P552" s="17"/>
      <c r="Q552" s="104"/>
      <c r="R552" s="104"/>
      <c r="S552" s="117"/>
      <c r="T552" s="101"/>
      <c r="U552" s="101"/>
      <c r="V552" s="101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</row>
    <row r="553" spans="1:49">
      <c r="A553" s="8" t="str">
        <f>IF(L553="","",Formulario!B564)</f>
        <v/>
      </c>
      <c r="B553" s="119"/>
      <c r="C553" s="120"/>
      <c r="D553" s="121"/>
      <c r="E553" s="129" t="str">
        <f>IF(F553="","",Formulario!B564)</f>
        <v/>
      </c>
      <c r="F553" s="11" t="str">
        <f>TRIM(Formulario!D564)</f>
        <v/>
      </c>
      <c r="G553" s="11" t="str">
        <f>TRIM(Formulario!F564)</f>
        <v/>
      </c>
      <c r="H553" s="146" t="str">
        <f>IF(N553="",TRIM(Formulario!G564),TRIM(Formulario!G564)*N553)</f>
        <v/>
      </c>
      <c r="I553" s="107" t="str">
        <f>TRIM(Formulario!I564)</f>
        <v/>
      </c>
      <c r="J553" s="11" t="str">
        <f>TRIM(Formulario!J564)</f>
        <v/>
      </c>
      <c r="K553" s="11" t="str">
        <f>TRIM(Formulario!K564)</f>
        <v/>
      </c>
      <c r="L553" s="107" t="str">
        <f>TRIM(Formulario!L564)</f>
        <v/>
      </c>
      <c r="M553" s="107" t="str">
        <f>TRIM(Formulario!M564)</f>
        <v>0</v>
      </c>
      <c r="N553" s="11" t="str">
        <f>TRIM(Formulario!H564)</f>
        <v/>
      </c>
      <c r="P553" s="17"/>
      <c r="Q553" s="104"/>
      <c r="R553" s="104"/>
      <c r="S553" s="117"/>
      <c r="T553" s="101"/>
      <c r="U553" s="101"/>
      <c r="V553" s="101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</row>
    <row r="554" spans="1:49">
      <c r="A554" s="8" t="str">
        <f>IF(L554="","",Formulario!B565)</f>
        <v/>
      </c>
      <c r="B554" s="119"/>
      <c r="C554" s="120"/>
      <c r="D554" s="121"/>
      <c r="E554" s="129" t="str">
        <f>IF(F554="","",Formulario!B565)</f>
        <v/>
      </c>
      <c r="F554" s="11" t="str">
        <f>TRIM(Formulario!D565)</f>
        <v/>
      </c>
      <c r="G554" s="11" t="str">
        <f>TRIM(Formulario!F565)</f>
        <v/>
      </c>
      <c r="H554" s="146" t="str">
        <f>IF(N554="",TRIM(Formulario!G565),TRIM(Formulario!G565)*N554)</f>
        <v/>
      </c>
      <c r="I554" s="107" t="str">
        <f>TRIM(Formulario!I565)</f>
        <v/>
      </c>
      <c r="J554" s="11" t="str">
        <f>TRIM(Formulario!J565)</f>
        <v/>
      </c>
      <c r="K554" s="11" t="str">
        <f>TRIM(Formulario!K565)</f>
        <v/>
      </c>
      <c r="L554" s="107" t="str">
        <f>TRIM(Formulario!L565)</f>
        <v/>
      </c>
      <c r="M554" s="107" t="str">
        <f>TRIM(Formulario!M565)</f>
        <v>0</v>
      </c>
      <c r="N554" s="11" t="str">
        <f>TRIM(Formulario!H565)</f>
        <v/>
      </c>
      <c r="P554" s="17"/>
      <c r="Q554" s="104"/>
      <c r="R554" s="104"/>
      <c r="S554" s="117"/>
      <c r="T554" s="101"/>
      <c r="U554" s="101"/>
      <c r="V554" s="101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</row>
    <row r="555" spans="1:49">
      <c r="A555" s="8" t="str">
        <f>IF(L555="","",Formulario!B566)</f>
        <v/>
      </c>
      <c r="B555" s="119"/>
      <c r="C555" s="120"/>
      <c r="D555" s="121"/>
      <c r="E555" s="129" t="str">
        <f>IF(F555="","",Formulario!B566)</f>
        <v/>
      </c>
      <c r="F555" s="11" t="str">
        <f>TRIM(Formulario!D566)</f>
        <v/>
      </c>
      <c r="G555" s="11" t="str">
        <f>TRIM(Formulario!F566)</f>
        <v/>
      </c>
      <c r="H555" s="146" t="str">
        <f>IF(N555="",TRIM(Formulario!G566),TRIM(Formulario!G566)*N555)</f>
        <v/>
      </c>
      <c r="I555" s="107" t="str">
        <f>TRIM(Formulario!I566)</f>
        <v/>
      </c>
      <c r="J555" s="11" t="str">
        <f>TRIM(Formulario!J566)</f>
        <v/>
      </c>
      <c r="K555" s="11" t="str">
        <f>TRIM(Formulario!K566)</f>
        <v/>
      </c>
      <c r="L555" s="107" t="str">
        <f>TRIM(Formulario!L566)</f>
        <v/>
      </c>
      <c r="M555" s="107" t="str">
        <f>TRIM(Formulario!M566)</f>
        <v>0</v>
      </c>
      <c r="N555" s="11" t="str">
        <f>TRIM(Formulario!H566)</f>
        <v/>
      </c>
      <c r="P555" s="17"/>
      <c r="Q555" s="104"/>
      <c r="R555" s="104"/>
      <c r="S555" s="117"/>
      <c r="T555" s="101"/>
      <c r="U555" s="101"/>
      <c r="V555" s="101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</row>
    <row r="556" spans="1:49">
      <c r="A556" s="8" t="str">
        <f>IF(L556="","",Formulario!B567)</f>
        <v/>
      </c>
      <c r="B556" s="119"/>
      <c r="C556" s="120"/>
      <c r="D556" s="121"/>
      <c r="E556" s="129" t="str">
        <f>IF(F556="","",Formulario!B567)</f>
        <v/>
      </c>
      <c r="F556" s="11" t="str">
        <f>TRIM(Formulario!D567)</f>
        <v/>
      </c>
      <c r="G556" s="11" t="str">
        <f>TRIM(Formulario!F567)</f>
        <v/>
      </c>
      <c r="H556" s="146" t="str">
        <f>IF(N556="",TRIM(Formulario!G567),TRIM(Formulario!G567)*N556)</f>
        <v/>
      </c>
      <c r="I556" s="107" t="str">
        <f>TRIM(Formulario!I567)</f>
        <v/>
      </c>
      <c r="J556" s="11" t="str">
        <f>TRIM(Formulario!J567)</f>
        <v/>
      </c>
      <c r="K556" s="11" t="str">
        <f>TRIM(Formulario!K567)</f>
        <v/>
      </c>
      <c r="L556" s="107" t="str">
        <f>TRIM(Formulario!L567)</f>
        <v/>
      </c>
      <c r="M556" s="107" t="str">
        <f>TRIM(Formulario!M567)</f>
        <v>0</v>
      </c>
      <c r="N556" s="11" t="str">
        <f>TRIM(Formulario!H567)</f>
        <v/>
      </c>
      <c r="P556" s="17"/>
      <c r="Q556" s="104"/>
      <c r="R556" s="104"/>
      <c r="S556" s="117"/>
      <c r="T556" s="101"/>
      <c r="U556" s="101"/>
      <c r="V556" s="101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</row>
    <row r="557" spans="1:49">
      <c r="A557" s="8" t="str">
        <f>IF(L557="","",Formulario!B568)</f>
        <v/>
      </c>
      <c r="B557" s="119"/>
      <c r="C557" s="120"/>
      <c r="D557" s="121"/>
      <c r="E557" s="129" t="str">
        <f>IF(F557="","",Formulario!B568)</f>
        <v/>
      </c>
      <c r="F557" s="11" t="str">
        <f>TRIM(Formulario!D568)</f>
        <v/>
      </c>
      <c r="G557" s="11" t="str">
        <f>TRIM(Formulario!F568)</f>
        <v/>
      </c>
      <c r="H557" s="146" t="str">
        <f>IF(N557="",TRIM(Formulario!G568),TRIM(Formulario!G568)*N557)</f>
        <v/>
      </c>
      <c r="I557" s="107" t="str">
        <f>TRIM(Formulario!I568)</f>
        <v/>
      </c>
      <c r="J557" s="11" t="str">
        <f>TRIM(Formulario!J568)</f>
        <v/>
      </c>
      <c r="K557" s="11" t="str">
        <f>TRIM(Formulario!K568)</f>
        <v/>
      </c>
      <c r="L557" s="107" t="str">
        <f>TRIM(Formulario!L568)</f>
        <v/>
      </c>
      <c r="M557" s="107" t="str">
        <f>TRIM(Formulario!M568)</f>
        <v>0</v>
      </c>
      <c r="N557" s="11" t="str">
        <f>TRIM(Formulario!H568)</f>
        <v/>
      </c>
      <c r="P557" s="17"/>
      <c r="Q557" s="104"/>
      <c r="R557" s="104"/>
      <c r="S557" s="117"/>
      <c r="T557" s="101"/>
      <c r="U557" s="101"/>
      <c r="V557" s="101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</row>
    <row r="558" spans="1:49">
      <c r="A558" s="8" t="str">
        <f>IF(L558="","",Formulario!B569)</f>
        <v/>
      </c>
      <c r="B558" s="119"/>
      <c r="C558" s="120"/>
      <c r="D558" s="121"/>
      <c r="E558" s="129" t="str">
        <f>IF(F558="","",Formulario!B569)</f>
        <v/>
      </c>
      <c r="F558" s="11" t="str">
        <f>TRIM(Formulario!D569)</f>
        <v/>
      </c>
      <c r="G558" s="11" t="str">
        <f>TRIM(Formulario!F569)</f>
        <v/>
      </c>
      <c r="H558" s="146" t="str">
        <f>IF(N558="",TRIM(Formulario!G569),TRIM(Formulario!G569)*N558)</f>
        <v/>
      </c>
      <c r="I558" s="107" t="str">
        <f>TRIM(Formulario!I569)</f>
        <v/>
      </c>
      <c r="J558" s="11" t="str">
        <f>TRIM(Formulario!J569)</f>
        <v/>
      </c>
      <c r="K558" s="11" t="str">
        <f>TRIM(Formulario!K569)</f>
        <v/>
      </c>
      <c r="L558" s="107" t="str">
        <f>TRIM(Formulario!L569)</f>
        <v/>
      </c>
      <c r="M558" s="107" t="str">
        <f>TRIM(Formulario!M569)</f>
        <v>0</v>
      </c>
      <c r="N558" s="11" t="str">
        <f>TRIM(Formulario!H569)</f>
        <v/>
      </c>
      <c r="P558" s="17"/>
      <c r="Q558" s="104"/>
      <c r="R558" s="104"/>
      <c r="S558" s="117"/>
      <c r="T558" s="101"/>
      <c r="U558" s="101"/>
      <c r="V558" s="101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</row>
    <row r="559" spans="1:49">
      <c r="A559" s="8" t="str">
        <f>IF(L559="","",Formulario!B570)</f>
        <v/>
      </c>
      <c r="B559" s="119"/>
      <c r="C559" s="120"/>
      <c r="D559" s="121"/>
      <c r="E559" s="129" t="str">
        <f>IF(F559="","",Formulario!B570)</f>
        <v/>
      </c>
      <c r="F559" s="11" t="str">
        <f>TRIM(Formulario!D570)</f>
        <v/>
      </c>
      <c r="G559" s="11" t="str">
        <f>TRIM(Formulario!F570)</f>
        <v/>
      </c>
      <c r="H559" s="146" t="str">
        <f>IF(N559="",TRIM(Formulario!G570),TRIM(Formulario!G570)*N559)</f>
        <v/>
      </c>
      <c r="I559" s="107" t="str">
        <f>TRIM(Formulario!I570)</f>
        <v/>
      </c>
      <c r="J559" s="11" t="str">
        <f>TRIM(Formulario!J570)</f>
        <v/>
      </c>
      <c r="K559" s="11" t="str">
        <f>TRIM(Formulario!K570)</f>
        <v/>
      </c>
      <c r="L559" s="107" t="str">
        <f>TRIM(Formulario!L570)</f>
        <v/>
      </c>
      <c r="M559" s="107" t="str">
        <f>TRIM(Formulario!M570)</f>
        <v>0</v>
      </c>
      <c r="N559" s="11" t="str">
        <f>TRIM(Formulario!H570)</f>
        <v/>
      </c>
      <c r="P559" s="17"/>
      <c r="Q559" s="104"/>
      <c r="R559" s="104"/>
      <c r="S559" s="117"/>
      <c r="T559" s="101"/>
      <c r="U559" s="101"/>
      <c r="V559" s="101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</row>
    <row r="560" spans="1:49">
      <c r="A560" s="8" t="str">
        <f>IF(L560="","",Formulario!B571)</f>
        <v/>
      </c>
      <c r="B560" s="119"/>
      <c r="C560" s="120"/>
      <c r="D560" s="121"/>
      <c r="E560" s="129" t="str">
        <f>IF(F560="","",Formulario!B571)</f>
        <v/>
      </c>
      <c r="F560" s="11" t="str">
        <f>TRIM(Formulario!D571)</f>
        <v/>
      </c>
      <c r="G560" s="11" t="str">
        <f>TRIM(Formulario!F571)</f>
        <v/>
      </c>
      <c r="H560" s="146" t="str">
        <f>IF(N560="",TRIM(Formulario!G571),TRIM(Formulario!G571)*N560)</f>
        <v/>
      </c>
      <c r="I560" s="107" t="str">
        <f>TRIM(Formulario!I571)</f>
        <v/>
      </c>
      <c r="J560" s="11" t="str">
        <f>TRIM(Formulario!J571)</f>
        <v/>
      </c>
      <c r="K560" s="11" t="str">
        <f>TRIM(Formulario!K571)</f>
        <v/>
      </c>
      <c r="L560" s="107" t="str">
        <f>TRIM(Formulario!L571)</f>
        <v/>
      </c>
      <c r="M560" s="107" t="str">
        <f>TRIM(Formulario!M571)</f>
        <v>0</v>
      </c>
      <c r="N560" s="11" t="str">
        <f>TRIM(Formulario!H571)</f>
        <v/>
      </c>
      <c r="P560" s="17"/>
      <c r="Q560" s="104"/>
      <c r="R560" s="104"/>
      <c r="S560" s="117"/>
      <c r="T560" s="101"/>
      <c r="U560" s="101"/>
      <c r="V560" s="101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</row>
    <row r="561" spans="1:49">
      <c r="A561" s="8" t="str">
        <f>IF(L561="","",Formulario!B572)</f>
        <v/>
      </c>
      <c r="B561" s="119"/>
      <c r="C561" s="120"/>
      <c r="D561" s="121"/>
      <c r="E561" s="129" t="str">
        <f>IF(F561="","",Formulario!B572)</f>
        <v/>
      </c>
      <c r="F561" s="11" t="str">
        <f>TRIM(Formulario!D572)</f>
        <v/>
      </c>
      <c r="G561" s="11" t="str">
        <f>TRIM(Formulario!F572)</f>
        <v/>
      </c>
      <c r="H561" s="146" t="str">
        <f>IF(N561="",TRIM(Formulario!G572),TRIM(Formulario!G572)*N561)</f>
        <v/>
      </c>
      <c r="I561" s="107" t="str">
        <f>TRIM(Formulario!I572)</f>
        <v/>
      </c>
      <c r="J561" s="11" t="str">
        <f>TRIM(Formulario!J572)</f>
        <v/>
      </c>
      <c r="K561" s="11" t="str">
        <f>TRIM(Formulario!K572)</f>
        <v/>
      </c>
      <c r="L561" s="107" t="str">
        <f>TRIM(Formulario!L572)</f>
        <v/>
      </c>
      <c r="M561" s="107" t="str">
        <f>TRIM(Formulario!M572)</f>
        <v>0</v>
      </c>
      <c r="N561" s="11" t="str">
        <f>TRIM(Formulario!H572)</f>
        <v/>
      </c>
      <c r="P561" s="17"/>
      <c r="Q561" s="104"/>
      <c r="R561" s="104"/>
      <c r="S561" s="117"/>
      <c r="T561" s="101"/>
      <c r="U561" s="101"/>
      <c r="V561" s="101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</row>
    <row r="562" spans="1:49">
      <c r="A562" s="8" t="str">
        <f>IF(L562="","",Formulario!B573)</f>
        <v/>
      </c>
      <c r="B562" s="119"/>
      <c r="C562" s="120"/>
      <c r="D562" s="121"/>
      <c r="E562" s="129" t="str">
        <f>IF(F562="","",Formulario!B573)</f>
        <v/>
      </c>
      <c r="F562" s="11" t="str">
        <f>TRIM(Formulario!D573)</f>
        <v/>
      </c>
      <c r="G562" s="11" t="str">
        <f>TRIM(Formulario!F573)</f>
        <v/>
      </c>
      <c r="H562" s="146" t="str">
        <f>IF(N562="",TRIM(Formulario!G573),TRIM(Formulario!G573)*N562)</f>
        <v/>
      </c>
      <c r="I562" s="107" t="str">
        <f>TRIM(Formulario!I573)</f>
        <v/>
      </c>
      <c r="J562" s="11" t="str">
        <f>TRIM(Formulario!J573)</f>
        <v/>
      </c>
      <c r="K562" s="11" t="str">
        <f>TRIM(Formulario!K573)</f>
        <v/>
      </c>
      <c r="L562" s="107" t="str">
        <f>TRIM(Formulario!L573)</f>
        <v/>
      </c>
      <c r="M562" s="107" t="str">
        <f>TRIM(Formulario!M573)</f>
        <v>0</v>
      </c>
      <c r="N562" s="11" t="str">
        <f>TRIM(Formulario!H573)</f>
        <v/>
      </c>
      <c r="P562" s="17"/>
      <c r="Q562" s="104"/>
      <c r="R562" s="104"/>
      <c r="S562" s="117"/>
      <c r="T562" s="101"/>
      <c r="U562" s="101"/>
      <c r="V562" s="101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</row>
    <row r="563" spans="1:49">
      <c r="A563" s="8" t="str">
        <f>IF(L563="","",Formulario!B574)</f>
        <v/>
      </c>
      <c r="B563" s="119"/>
      <c r="C563" s="120"/>
      <c r="D563" s="121"/>
      <c r="E563" s="129" t="str">
        <f>IF(F563="","",Formulario!B574)</f>
        <v/>
      </c>
      <c r="F563" s="11" t="str">
        <f>TRIM(Formulario!D574)</f>
        <v/>
      </c>
      <c r="G563" s="11" t="str">
        <f>TRIM(Formulario!F574)</f>
        <v/>
      </c>
      <c r="H563" s="146" t="str">
        <f>IF(N563="",TRIM(Formulario!G574),TRIM(Formulario!G574)*N563)</f>
        <v/>
      </c>
      <c r="I563" s="107" t="str">
        <f>TRIM(Formulario!I574)</f>
        <v/>
      </c>
      <c r="J563" s="11" t="str">
        <f>TRIM(Formulario!J574)</f>
        <v/>
      </c>
      <c r="K563" s="11" t="str">
        <f>TRIM(Formulario!K574)</f>
        <v/>
      </c>
      <c r="L563" s="107" t="str">
        <f>TRIM(Formulario!L574)</f>
        <v/>
      </c>
      <c r="M563" s="107" t="str">
        <f>TRIM(Formulario!M574)</f>
        <v>0</v>
      </c>
      <c r="N563" s="11" t="str">
        <f>TRIM(Formulario!H574)</f>
        <v/>
      </c>
      <c r="P563" s="17"/>
      <c r="Q563" s="104"/>
      <c r="R563" s="104"/>
      <c r="S563" s="117"/>
      <c r="T563" s="101"/>
      <c r="U563" s="101"/>
      <c r="V563" s="101"/>
      <c r="W563" s="102"/>
      <c r="X563" s="102"/>
      <c r="Y563" s="102"/>
      <c r="Z563" s="102"/>
      <c r="AA563" s="102"/>
      <c r="AB563" s="102"/>
      <c r="AC563" s="102"/>
      <c r="AD563" s="102"/>
      <c r="AE563" s="102"/>
      <c r="AF563" s="102"/>
      <c r="AG563" s="102"/>
      <c r="AH563" s="102"/>
      <c r="AI563" s="102"/>
      <c r="AJ563" s="102"/>
      <c r="AK563" s="102"/>
      <c r="AL563" s="102"/>
      <c r="AM563" s="102"/>
      <c r="AN563" s="102"/>
      <c r="AO563" s="102"/>
      <c r="AP563" s="102"/>
      <c r="AQ563" s="102"/>
      <c r="AR563" s="102"/>
      <c r="AS563" s="102"/>
      <c r="AT563" s="102"/>
      <c r="AU563" s="102"/>
      <c r="AV563" s="102"/>
      <c r="AW563" s="102"/>
    </row>
    <row r="564" spans="1:49">
      <c r="A564" s="8" t="str">
        <f>IF(L564="","",Formulario!B575)</f>
        <v/>
      </c>
      <c r="B564" s="119"/>
      <c r="C564" s="120"/>
      <c r="D564" s="121"/>
      <c r="E564" s="129" t="str">
        <f>IF(F564="","",Formulario!B575)</f>
        <v/>
      </c>
      <c r="F564" s="11" t="str">
        <f>TRIM(Formulario!D575)</f>
        <v/>
      </c>
      <c r="G564" s="11" t="str">
        <f>TRIM(Formulario!F575)</f>
        <v/>
      </c>
      <c r="H564" s="146" t="str">
        <f>IF(N564="",TRIM(Formulario!G575),TRIM(Formulario!G575)*N564)</f>
        <v/>
      </c>
      <c r="I564" s="107" t="str">
        <f>TRIM(Formulario!I575)</f>
        <v/>
      </c>
      <c r="J564" s="11" t="str">
        <f>TRIM(Formulario!J575)</f>
        <v/>
      </c>
      <c r="K564" s="11" t="str">
        <f>TRIM(Formulario!K575)</f>
        <v/>
      </c>
      <c r="L564" s="107" t="str">
        <f>TRIM(Formulario!L575)</f>
        <v/>
      </c>
      <c r="M564" s="107" t="str">
        <f>TRIM(Formulario!M575)</f>
        <v>0</v>
      </c>
      <c r="N564" s="11" t="str">
        <f>TRIM(Formulario!H575)</f>
        <v/>
      </c>
      <c r="P564" s="17"/>
      <c r="Q564" s="104"/>
      <c r="R564" s="104"/>
      <c r="S564" s="117"/>
      <c r="T564" s="101"/>
      <c r="U564" s="101"/>
      <c r="V564" s="101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</row>
    <row r="565" spans="1:49">
      <c r="A565" s="8" t="str">
        <f>IF(L565="","",Formulario!B576)</f>
        <v/>
      </c>
      <c r="B565" s="119"/>
      <c r="C565" s="120"/>
      <c r="D565" s="121"/>
      <c r="E565" s="129" t="str">
        <f>IF(F565="","",Formulario!B576)</f>
        <v/>
      </c>
      <c r="F565" s="11" t="str">
        <f>TRIM(Formulario!D576)</f>
        <v/>
      </c>
      <c r="G565" s="11" t="str">
        <f>TRIM(Formulario!F576)</f>
        <v/>
      </c>
      <c r="H565" s="146" t="str">
        <f>IF(N565="",TRIM(Formulario!G576),TRIM(Formulario!G576)*N565)</f>
        <v/>
      </c>
      <c r="I565" s="107" t="str">
        <f>TRIM(Formulario!I576)</f>
        <v/>
      </c>
      <c r="J565" s="11" t="str">
        <f>TRIM(Formulario!J576)</f>
        <v/>
      </c>
      <c r="K565" s="11" t="str">
        <f>TRIM(Formulario!K576)</f>
        <v/>
      </c>
      <c r="L565" s="107" t="str">
        <f>TRIM(Formulario!L576)</f>
        <v/>
      </c>
      <c r="M565" s="107" t="str">
        <f>TRIM(Formulario!M576)</f>
        <v>0</v>
      </c>
      <c r="N565" s="11" t="str">
        <f>TRIM(Formulario!H576)</f>
        <v/>
      </c>
      <c r="P565" s="17"/>
      <c r="Q565" s="104"/>
      <c r="R565" s="104"/>
      <c r="S565" s="117"/>
      <c r="T565" s="101"/>
      <c r="U565" s="101"/>
      <c r="V565" s="101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</row>
    <row r="566" spans="1:49">
      <c r="A566" s="8" t="str">
        <f>IF(L566="","",Formulario!B577)</f>
        <v/>
      </c>
      <c r="B566" s="119"/>
      <c r="C566" s="120"/>
      <c r="D566" s="121"/>
      <c r="E566" s="129" t="str">
        <f>IF(F566="","",Formulario!B577)</f>
        <v/>
      </c>
      <c r="F566" s="11" t="str">
        <f>TRIM(Formulario!D577)</f>
        <v/>
      </c>
      <c r="G566" s="11" t="str">
        <f>TRIM(Formulario!F577)</f>
        <v/>
      </c>
      <c r="H566" s="146" t="str">
        <f>IF(N566="",TRIM(Formulario!G577),TRIM(Formulario!G577)*N566)</f>
        <v/>
      </c>
      <c r="I566" s="107" t="str">
        <f>TRIM(Formulario!I577)</f>
        <v/>
      </c>
      <c r="J566" s="11" t="str">
        <f>TRIM(Formulario!J577)</f>
        <v/>
      </c>
      <c r="K566" s="11" t="str">
        <f>TRIM(Formulario!K577)</f>
        <v/>
      </c>
      <c r="L566" s="107" t="str">
        <f>TRIM(Formulario!L577)</f>
        <v/>
      </c>
      <c r="M566" s="107" t="str">
        <f>TRIM(Formulario!M577)</f>
        <v>0</v>
      </c>
      <c r="N566" s="11" t="str">
        <f>TRIM(Formulario!H577)</f>
        <v/>
      </c>
      <c r="P566" s="17"/>
      <c r="Q566" s="104"/>
      <c r="R566" s="104"/>
      <c r="S566" s="117"/>
      <c r="T566" s="101"/>
      <c r="U566" s="101"/>
      <c r="V566" s="101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</row>
    <row r="567" spans="1:49">
      <c r="A567" s="8" t="str">
        <f>IF(L567="","",Formulario!B578)</f>
        <v/>
      </c>
      <c r="B567" s="119"/>
      <c r="C567" s="120"/>
      <c r="D567" s="121"/>
      <c r="E567" s="129" t="str">
        <f>IF(F567="","",Formulario!B578)</f>
        <v/>
      </c>
      <c r="F567" s="11" t="str">
        <f>TRIM(Formulario!D578)</f>
        <v/>
      </c>
      <c r="G567" s="11" t="str">
        <f>TRIM(Formulario!F578)</f>
        <v/>
      </c>
      <c r="H567" s="146" t="str">
        <f>IF(N567="",TRIM(Formulario!G578),TRIM(Formulario!G578)*N567)</f>
        <v/>
      </c>
      <c r="I567" s="107" t="str">
        <f>TRIM(Formulario!I578)</f>
        <v/>
      </c>
      <c r="J567" s="11" t="str">
        <f>TRIM(Formulario!J578)</f>
        <v/>
      </c>
      <c r="K567" s="11" t="str">
        <f>TRIM(Formulario!K578)</f>
        <v/>
      </c>
      <c r="L567" s="107" t="str">
        <f>TRIM(Formulario!L578)</f>
        <v/>
      </c>
      <c r="M567" s="107" t="str">
        <f>TRIM(Formulario!M578)</f>
        <v>0</v>
      </c>
      <c r="N567" s="11" t="str">
        <f>TRIM(Formulario!H578)</f>
        <v/>
      </c>
      <c r="P567" s="17"/>
      <c r="Q567" s="104"/>
      <c r="R567" s="104"/>
      <c r="S567" s="117"/>
      <c r="T567" s="101"/>
      <c r="U567" s="101"/>
      <c r="V567" s="101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</row>
    <row r="568" spans="1:49">
      <c r="A568" s="8" t="str">
        <f>IF(L568="","",Formulario!B579)</f>
        <v/>
      </c>
      <c r="B568" s="119"/>
      <c r="C568" s="120"/>
      <c r="D568" s="121"/>
      <c r="E568" s="129" t="str">
        <f>IF(F568="","",Formulario!B579)</f>
        <v/>
      </c>
      <c r="F568" s="11" t="str">
        <f>TRIM(Formulario!D579)</f>
        <v/>
      </c>
      <c r="G568" s="11" t="str">
        <f>TRIM(Formulario!F579)</f>
        <v/>
      </c>
      <c r="H568" s="146" t="str">
        <f>IF(N568="",TRIM(Formulario!G579),TRIM(Formulario!G579)*N568)</f>
        <v/>
      </c>
      <c r="I568" s="107" t="str">
        <f>TRIM(Formulario!I579)</f>
        <v/>
      </c>
      <c r="J568" s="11" t="str">
        <f>TRIM(Formulario!J579)</f>
        <v/>
      </c>
      <c r="K568" s="11" t="str">
        <f>TRIM(Formulario!K579)</f>
        <v/>
      </c>
      <c r="L568" s="107" t="str">
        <f>TRIM(Formulario!L579)</f>
        <v/>
      </c>
      <c r="M568" s="107" t="str">
        <f>TRIM(Formulario!M579)</f>
        <v>0</v>
      </c>
      <c r="N568" s="11" t="str">
        <f>TRIM(Formulario!H579)</f>
        <v/>
      </c>
      <c r="P568" s="17"/>
      <c r="Q568" s="104"/>
      <c r="R568" s="104"/>
      <c r="S568" s="117"/>
      <c r="T568" s="101"/>
      <c r="U568" s="101"/>
      <c r="V568" s="101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</row>
    <row r="569" spans="1:49">
      <c r="A569" s="8" t="str">
        <f>IF(L569="","",Formulario!B580)</f>
        <v/>
      </c>
      <c r="B569" s="119"/>
      <c r="C569" s="120"/>
      <c r="D569" s="121"/>
      <c r="E569" s="129" t="str">
        <f>IF(F569="","",Formulario!B580)</f>
        <v/>
      </c>
      <c r="F569" s="11" t="str">
        <f>TRIM(Formulario!D580)</f>
        <v/>
      </c>
      <c r="G569" s="11" t="str">
        <f>TRIM(Formulario!F580)</f>
        <v/>
      </c>
      <c r="H569" s="146" t="str">
        <f>IF(N569="",TRIM(Formulario!G580),TRIM(Formulario!G580)*N569)</f>
        <v/>
      </c>
      <c r="I569" s="107" t="str">
        <f>TRIM(Formulario!I580)</f>
        <v/>
      </c>
      <c r="J569" s="11" t="str">
        <f>TRIM(Formulario!J580)</f>
        <v/>
      </c>
      <c r="K569" s="11" t="str">
        <f>TRIM(Formulario!K580)</f>
        <v/>
      </c>
      <c r="L569" s="107" t="str">
        <f>TRIM(Formulario!L580)</f>
        <v/>
      </c>
      <c r="M569" s="107" t="str">
        <f>TRIM(Formulario!M580)</f>
        <v>0</v>
      </c>
      <c r="N569" s="11" t="str">
        <f>TRIM(Formulario!H580)</f>
        <v/>
      </c>
      <c r="P569" s="17"/>
      <c r="Q569" s="104"/>
      <c r="R569" s="104"/>
      <c r="S569" s="117"/>
      <c r="T569" s="101"/>
      <c r="U569" s="101"/>
      <c r="V569" s="101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</row>
    <row r="570" spans="1:49">
      <c r="A570" s="8" t="str">
        <f>IF(L570="","",Formulario!B581)</f>
        <v/>
      </c>
      <c r="B570" s="119"/>
      <c r="C570" s="120"/>
      <c r="D570" s="121"/>
      <c r="E570" s="129" t="str">
        <f>IF(F570="","",Formulario!B581)</f>
        <v/>
      </c>
      <c r="F570" s="11" t="str">
        <f>TRIM(Formulario!D581)</f>
        <v/>
      </c>
      <c r="G570" s="11" t="str">
        <f>TRIM(Formulario!F581)</f>
        <v/>
      </c>
      <c r="H570" s="146" t="str">
        <f>IF(N570="",TRIM(Formulario!G581),TRIM(Formulario!G581)*N570)</f>
        <v/>
      </c>
      <c r="I570" s="107" t="str">
        <f>TRIM(Formulario!I581)</f>
        <v/>
      </c>
      <c r="J570" s="11" t="str">
        <f>TRIM(Formulario!J581)</f>
        <v/>
      </c>
      <c r="K570" s="11" t="str">
        <f>TRIM(Formulario!K581)</f>
        <v/>
      </c>
      <c r="L570" s="107" t="str">
        <f>TRIM(Formulario!L581)</f>
        <v/>
      </c>
      <c r="M570" s="107" t="str">
        <f>TRIM(Formulario!M581)</f>
        <v>0</v>
      </c>
      <c r="N570" s="11" t="str">
        <f>TRIM(Formulario!H581)</f>
        <v/>
      </c>
      <c r="P570" s="17"/>
      <c r="Q570" s="104"/>
      <c r="R570" s="104"/>
      <c r="S570" s="117"/>
      <c r="T570" s="101"/>
      <c r="U570" s="101"/>
      <c r="V570" s="101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</row>
    <row r="571" spans="1:49">
      <c r="A571" s="8" t="str">
        <f>IF(L571="","",Formulario!B582)</f>
        <v/>
      </c>
      <c r="B571" s="119"/>
      <c r="C571" s="120"/>
      <c r="D571" s="121"/>
      <c r="E571" s="129" t="str">
        <f>IF(F571="","",Formulario!B582)</f>
        <v/>
      </c>
      <c r="F571" s="11" t="str">
        <f>TRIM(Formulario!D582)</f>
        <v/>
      </c>
      <c r="G571" s="11" t="str">
        <f>TRIM(Formulario!F582)</f>
        <v/>
      </c>
      <c r="H571" s="146" t="str">
        <f>IF(N571="",TRIM(Formulario!G582),TRIM(Formulario!G582)*N571)</f>
        <v/>
      </c>
      <c r="I571" s="107" t="str">
        <f>TRIM(Formulario!I582)</f>
        <v/>
      </c>
      <c r="J571" s="11" t="str">
        <f>TRIM(Formulario!J582)</f>
        <v/>
      </c>
      <c r="K571" s="11" t="str">
        <f>TRIM(Formulario!K582)</f>
        <v/>
      </c>
      <c r="L571" s="107" t="str">
        <f>TRIM(Formulario!L582)</f>
        <v/>
      </c>
      <c r="M571" s="107" t="str">
        <f>TRIM(Formulario!M582)</f>
        <v>0</v>
      </c>
      <c r="N571" s="11" t="str">
        <f>TRIM(Formulario!H582)</f>
        <v/>
      </c>
      <c r="P571" s="17"/>
      <c r="Q571" s="104"/>
      <c r="R571" s="104"/>
      <c r="S571" s="117"/>
      <c r="T571" s="101"/>
      <c r="U571" s="101"/>
      <c r="V571" s="101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</row>
    <row r="572" spans="1:49">
      <c r="A572" s="8" t="str">
        <f>IF(L572="","",Formulario!B583)</f>
        <v/>
      </c>
      <c r="B572" s="119"/>
      <c r="C572" s="120"/>
      <c r="D572" s="121"/>
      <c r="E572" s="129" t="str">
        <f>IF(F572="","",Formulario!B583)</f>
        <v/>
      </c>
      <c r="F572" s="11" t="str">
        <f>TRIM(Formulario!D583)</f>
        <v/>
      </c>
      <c r="G572" s="11" t="str">
        <f>TRIM(Formulario!F583)</f>
        <v/>
      </c>
      <c r="H572" s="146" t="str">
        <f>IF(N572="",TRIM(Formulario!G583),TRIM(Formulario!G583)*N572)</f>
        <v/>
      </c>
      <c r="I572" s="107" t="str">
        <f>TRIM(Formulario!I583)</f>
        <v/>
      </c>
      <c r="J572" s="11" t="str">
        <f>TRIM(Formulario!J583)</f>
        <v/>
      </c>
      <c r="K572" s="11" t="str">
        <f>TRIM(Formulario!K583)</f>
        <v/>
      </c>
      <c r="L572" s="107" t="str">
        <f>TRIM(Formulario!L583)</f>
        <v/>
      </c>
      <c r="M572" s="107" t="str">
        <f>TRIM(Formulario!M583)</f>
        <v>0</v>
      </c>
      <c r="N572" s="11" t="str">
        <f>TRIM(Formulario!H583)</f>
        <v/>
      </c>
      <c r="P572" s="17"/>
      <c r="Q572" s="104"/>
      <c r="R572" s="104"/>
      <c r="S572" s="117"/>
      <c r="T572" s="101"/>
      <c r="U572" s="101"/>
      <c r="V572" s="101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</row>
    <row r="573" spans="1:49">
      <c r="A573" s="8" t="str">
        <f>IF(L573="","",Formulario!B584)</f>
        <v/>
      </c>
      <c r="B573" s="119"/>
      <c r="C573" s="120"/>
      <c r="D573" s="121"/>
      <c r="E573" s="129" t="str">
        <f>IF(F573="","",Formulario!B584)</f>
        <v/>
      </c>
      <c r="F573" s="11" t="str">
        <f>TRIM(Formulario!D584)</f>
        <v/>
      </c>
      <c r="G573" s="11" t="str">
        <f>TRIM(Formulario!F584)</f>
        <v/>
      </c>
      <c r="H573" s="146" t="str">
        <f>IF(N573="",TRIM(Formulario!G584),TRIM(Formulario!G584)*N573)</f>
        <v/>
      </c>
      <c r="I573" s="107" t="str">
        <f>TRIM(Formulario!I584)</f>
        <v/>
      </c>
      <c r="J573" s="11" t="str">
        <f>TRIM(Formulario!J584)</f>
        <v/>
      </c>
      <c r="K573" s="11" t="str">
        <f>TRIM(Formulario!K584)</f>
        <v/>
      </c>
      <c r="L573" s="107" t="str">
        <f>TRIM(Formulario!L584)</f>
        <v/>
      </c>
      <c r="M573" s="107" t="str">
        <f>TRIM(Formulario!M584)</f>
        <v>0</v>
      </c>
      <c r="N573" s="11" t="str">
        <f>TRIM(Formulario!H584)</f>
        <v/>
      </c>
      <c r="P573" s="17"/>
      <c r="Q573" s="104"/>
      <c r="R573" s="104"/>
      <c r="S573" s="117"/>
      <c r="T573" s="101"/>
      <c r="U573" s="101"/>
      <c r="V573" s="101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</row>
    <row r="574" spans="1:49">
      <c r="A574" s="8" t="str">
        <f>IF(L574="","",Formulario!B585)</f>
        <v/>
      </c>
      <c r="B574" s="119"/>
      <c r="C574" s="120"/>
      <c r="D574" s="121"/>
      <c r="E574" s="129" t="str">
        <f>IF(F574="","",Formulario!B585)</f>
        <v/>
      </c>
      <c r="F574" s="11" t="str">
        <f>TRIM(Formulario!D585)</f>
        <v/>
      </c>
      <c r="G574" s="11" t="str">
        <f>TRIM(Formulario!F585)</f>
        <v/>
      </c>
      <c r="H574" s="146" t="str">
        <f>IF(N574="",TRIM(Formulario!G585),TRIM(Formulario!G585)*N574)</f>
        <v/>
      </c>
      <c r="I574" s="107" t="str">
        <f>TRIM(Formulario!I585)</f>
        <v/>
      </c>
      <c r="J574" s="11" t="str">
        <f>TRIM(Formulario!J585)</f>
        <v/>
      </c>
      <c r="K574" s="11" t="str">
        <f>TRIM(Formulario!K585)</f>
        <v/>
      </c>
      <c r="L574" s="107" t="str">
        <f>TRIM(Formulario!L585)</f>
        <v/>
      </c>
      <c r="M574" s="107" t="str">
        <f>TRIM(Formulario!M585)</f>
        <v>0</v>
      </c>
      <c r="N574" s="11" t="str">
        <f>TRIM(Formulario!H585)</f>
        <v/>
      </c>
      <c r="P574" s="17"/>
      <c r="Q574" s="104"/>
      <c r="R574" s="104"/>
      <c r="S574" s="117"/>
      <c r="T574" s="101"/>
      <c r="U574" s="101"/>
      <c r="V574" s="101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</row>
    <row r="575" spans="1:49">
      <c r="A575" s="8" t="str">
        <f>IF(L575="","",Formulario!B586)</f>
        <v/>
      </c>
      <c r="B575" s="119"/>
      <c r="C575" s="120"/>
      <c r="D575" s="121"/>
      <c r="E575" s="129" t="str">
        <f>IF(F575="","",Formulario!B586)</f>
        <v/>
      </c>
      <c r="F575" s="11" t="str">
        <f>TRIM(Formulario!D586)</f>
        <v/>
      </c>
      <c r="G575" s="11" t="str">
        <f>TRIM(Formulario!F586)</f>
        <v/>
      </c>
      <c r="H575" s="146" t="str">
        <f>IF(N575="",TRIM(Formulario!G586),TRIM(Formulario!G586)*N575)</f>
        <v/>
      </c>
      <c r="I575" s="107" t="str">
        <f>TRIM(Formulario!I586)</f>
        <v/>
      </c>
      <c r="J575" s="11" t="str">
        <f>TRIM(Formulario!J586)</f>
        <v/>
      </c>
      <c r="K575" s="11" t="str">
        <f>TRIM(Formulario!K586)</f>
        <v/>
      </c>
      <c r="L575" s="107" t="str">
        <f>TRIM(Formulario!L586)</f>
        <v/>
      </c>
      <c r="M575" s="107" t="str">
        <f>TRIM(Formulario!M586)</f>
        <v>0</v>
      </c>
      <c r="N575" s="11" t="str">
        <f>TRIM(Formulario!H586)</f>
        <v/>
      </c>
      <c r="P575" s="17"/>
      <c r="Q575" s="104"/>
      <c r="R575" s="104"/>
      <c r="S575" s="117"/>
      <c r="T575" s="101"/>
      <c r="U575" s="101"/>
      <c r="V575" s="101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</row>
    <row r="576" spans="1:49">
      <c r="A576" s="8" t="str">
        <f>IF(L576="","",Formulario!B587)</f>
        <v/>
      </c>
      <c r="B576" s="119"/>
      <c r="C576" s="120"/>
      <c r="D576" s="121"/>
      <c r="E576" s="129" t="str">
        <f>IF(F576="","",Formulario!B587)</f>
        <v/>
      </c>
      <c r="F576" s="11" t="str">
        <f>TRIM(Formulario!D587)</f>
        <v/>
      </c>
      <c r="G576" s="11" t="str">
        <f>TRIM(Formulario!F587)</f>
        <v/>
      </c>
      <c r="H576" s="146" t="str">
        <f>IF(N576="",TRIM(Formulario!G587),TRIM(Formulario!G587)*N576)</f>
        <v/>
      </c>
      <c r="I576" s="107" t="str">
        <f>TRIM(Formulario!I587)</f>
        <v/>
      </c>
      <c r="J576" s="11" t="str">
        <f>TRIM(Formulario!J587)</f>
        <v/>
      </c>
      <c r="K576" s="11" t="str">
        <f>TRIM(Formulario!K587)</f>
        <v/>
      </c>
      <c r="L576" s="107" t="str">
        <f>TRIM(Formulario!L587)</f>
        <v/>
      </c>
      <c r="M576" s="107" t="str">
        <f>TRIM(Formulario!M587)</f>
        <v>0</v>
      </c>
      <c r="N576" s="11" t="str">
        <f>TRIM(Formulario!H587)</f>
        <v/>
      </c>
      <c r="P576" s="17"/>
      <c r="Q576" s="104"/>
      <c r="R576" s="104"/>
      <c r="S576" s="117"/>
      <c r="T576" s="101"/>
      <c r="U576" s="101"/>
      <c r="V576" s="101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</row>
    <row r="577" spans="1:49">
      <c r="A577" s="8" t="str">
        <f>IF(L577="","",Formulario!B588)</f>
        <v/>
      </c>
      <c r="B577" s="119"/>
      <c r="C577" s="120"/>
      <c r="D577" s="121"/>
      <c r="E577" s="129" t="str">
        <f>IF(F577="","",Formulario!B588)</f>
        <v/>
      </c>
      <c r="F577" s="11" t="str">
        <f>TRIM(Formulario!D588)</f>
        <v/>
      </c>
      <c r="G577" s="11" t="str">
        <f>TRIM(Formulario!F588)</f>
        <v/>
      </c>
      <c r="H577" s="146" t="str">
        <f>IF(N577="",TRIM(Formulario!G588),TRIM(Formulario!G588)*N577)</f>
        <v/>
      </c>
      <c r="I577" s="107" t="str">
        <f>TRIM(Formulario!I588)</f>
        <v/>
      </c>
      <c r="J577" s="11" t="str">
        <f>TRIM(Formulario!J588)</f>
        <v/>
      </c>
      <c r="K577" s="11" t="str">
        <f>TRIM(Formulario!K588)</f>
        <v/>
      </c>
      <c r="L577" s="107" t="str">
        <f>TRIM(Formulario!L588)</f>
        <v/>
      </c>
      <c r="M577" s="107" t="str">
        <f>TRIM(Formulario!M588)</f>
        <v>0</v>
      </c>
      <c r="N577" s="11" t="str">
        <f>TRIM(Formulario!H588)</f>
        <v/>
      </c>
      <c r="P577" s="17"/>
      <c r="Q577" s="104"/>
      <c r="R577" s="104"/>
      <c r="S577" s="117"/>
      <c r="T577" s="101"/>
      <c r="U577" s="101"/>
      <c r="V577" s="101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</row>
    <row r="578" spans="1:49">
      <c r="A578" s="8" t="str">
        <f>IF(L578="","",Formulario!B589)</f>
        <v/>
      </c>
      <c r="B578" s="119"/>
      <c r="C578" s="120"/>
      <c r="D578" s="121"/>
      <c r="E578" s="129" t="str">
        <f>IF(F578="","",Formulario!B589)</f>
        <v/>
      </c>
      <c r="F578" s="11" t="str">
        <f>TRIM(Formulario!D589)</f>
        <v/>
      </c>
      <c r="G578" s="11" t="str">
        <f>TRIM(Formulario!F589)</f>
        <v/>
      </c>
      <c r="H578" s="146" t="str">
        <f>IF(N578="",TRIM(Formulario!G589),TRIM(Formulario!G589)*N578)</f>
        <v/>
      </c>
      <c r="I578" s="107" t="str">
        <f>TRIM(Formulario!I589)</f>
        <v/>
      </c>
      <c r="J578" s="11" t="str">
        <f>TRIM(Formulario!J589)</f>
        <v/>
      </c>
      <c r="K578" s="11" t="str">
        <f>TRIM(Formulario!K589)</f>
        <v/>
      </c>
      <c r="L578" s="107" t="str">
        <f>TRIM(Formulario!L589)</f>
        <v/>
      </c>
      <c r="M578" s="107" t="str">
        <f>TRIM(Formulario!M589)</f>
        <v>0</v>
      </c>
      <c r="N578" s="11" t="str">
        <f>TRIM(Formulario!H589)</f>
        <v/>
      </c>
      <c r="P578" s="17"/>
      <c r="Q578" s="104"/>
      <c r="R578" s="104"/>
      <c r="S578" s="117"/>
      <c r="T578" s="101"/>
      <c r="U578" s="101"/>
      <c r="V578" s="101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</row>
    <row r="579" spans="1:49">
      <c r="A579" s="8" t="str">
        <f>IF(L579="","",Formulario!B590)</f>
        <v/>
      </c>
      <c r="B579" s="119"/>
      <c r="C579" s="120"/>
      <c r="D579" s="121"/>
      <c r="E579" s="129" t="str">
        <f>IF(F579="","",Formulario!B590)</f>
        <v/>
      </c>
      <c r="F579" s="11" t="str">
        <f>TRIM(Formulario!D590)</f>
        <v/>
      </c>
      <c r="G579" s="11" t="str">
        <f>TRIM(Formulario!F590)</f>
        <v/>
      </c>
      <c r="H579" s="146" t="str">
        <f>IF(N579="",TRIM(Formulario!G590),TRIM(Formulario!G590)*N579)</f>
        <v/>
      </c>
      <c r="I579" s="107" t="str">
        <f>TRIM(Formulario!I590)</f>
        <v/>
      </c>
      <c r="J579" s="11" t="str">
        <f>TRIM(Formulario!J590)</f>
        <v/>
      </c>
      <c r="K579" s="11" t="str">
        <f>TRIM(Formulario!K590)</f>
        <v/>
      </c>
      <c r="L579" s="107" t="str">
        <f>TRIM(Formulario!L590)</f>
        <v/>
      </c>
      <c r="M579" s="107" t="str">
        <f>TRIM(Formulario!M590)</f>
        <v>0</v>
      </c>
      <c r="N579" s="11" t="str">
        <f>TRIM(Formulario!H590)</f>
        <v/>
      </c>
      <c r="P579" s="17"/>
      <c r="Q579" s="104"/>
      <c r="R579" s="104"/>
      <c r="S579" s="117"/>
      <c r="T579" s="101"/>
      <c r="U579" s="101"/>
      <c r="V579" s="101"/>
      <c r="W579" s="102"/>
      <c r="X579" s="102"/>
      <c r="Y579" s="102"/>
      <c r="Z579" s="102"/>
      <c r="AA579" s="102"/>
      <c r="AB579" s="102"/>
      <c r="AC579" s="102"/>
      <c r="AD579" s="102"/>
      <c r="AE579" s="102"/>
      <c r="AF579" s="102"/>
      <c r="AG579" s="102"/>
      <c r="AH579" s="102"/>
      <c r="AI579" s="102"/>
      <c r="AJ579" s="102"/>
      <c r="AK579" s="102"/>
      <c r="AL579" s="102"/>
      <c r="AM579" s="102"/>
      <c r="AN579" s="102"/>
      <c r="AO579" s="102"/>
      <c r="AP579" s="102"/>
      <c r="AQ579" s="102"/>
      <c r="AR579" s="102"/>
      <c r="AS579" s="102"/>
      <c r="AT579" s="102"/>
      <c r="AU579" s="102"/>
      <c r="AV579" s="102"/>
      <c r="AW579" s="102"/>
    </row>
    <row r="580" spans="1:49">
      <c r="A580" s="8" t="str">
        <f>IF(L580="","",Formulario!B591)</f>
        <v/>
      </c>
      <c r="B580" s="119"/>
      <c r="C580" s="120"/>
      <c r="D580" s="121"/>
      <c r="E580" s="129" t="str">
        <f>IF(F580="","",Formulario!B591)</f>
        <v/>
      </c>
      <c r="F580" s="11" t="str">
        <f>TRIM(Formulario!D591)</f>
        <v/>
      </c>
      <c r="G580" s="11" t="str">
        <f>TRIM(Formulario!F591)</f>
        <v/>
      </c>
      <c r="H580" s="146" t="str">
        <f>IF(N580="",TRIM(Formulario!G591),TRIM(Formulario!G591)*N580)</f>
        <v/>
      </c>
      <c r="I580" s="107" t="str">
        <f>TRIM(Formulario!I591)</f>
        <v/>
      </c>
      <c r="J580" s="11" t="str">
        <f>TRIM(Formulario!J591)</f>
        <v/>
      </c>
      <c r="K580" s="11" t="str">
        <f>TRIM(Formulario!K591)</f>
        <v/>
      </c>
      <c r="L580" s="107" t="str">
        <f>TRIM(Formulario!L591)</f>
        <v/>
      </c>
      <c r="M580" s="107" t="str">
        <f>TRIM(Formulario!M591)</f>
        <v>0</v>
      </c>
      <c r="N580" s="11" t="str">
        <f>TRIM(Formulario!H591)</f>
        <v/>
      </c>
      <c r="P580" s="17"/>
      <c r="Q580" s="104"/>
      <c r="R580" s="104"/>
      <c r="S580" s="117"/>
      <c r="T580" s="101"/>
      <c r="U580" s="101"/>
      <c r="V580" s="101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</row>
    <row r="581" spans="1:49">
      <c r="A581" s="8" t="str">
        <f>IF(L581="","",Formulario!B592)</f>
        <v/>
      </c>
      <c r="B581" s="119"/>
      <c r="C581" s="120"/>
      <c r="D581" s="121"/>
      <c r="E581" s="129" t="str">
        <f>IF(F581="","",Formulario!B592)</f>
        <v/>
      </c>
      <c r="F581" s="11" t="str">
        <f>TRIM(Formulario!D592)</f>
        <v/>
      </c>
      <c r="G581" s="11" t="str">
        <f>TRIM(Formulario!F592)</f>
        <v/>
      </c>
      <c r="H581" s="146" t="str">
        <f>IF(N581="",TRIM(Formulario!G592),TRIM(Formulario!G592)*N581)</f>
        <v/>
      </c>
      <c r="I581" s="107" t="str">
        <f>TRIM(Formulario!I592)</f>
        <v/>
      </c>
      <c r="J581" s="11" t="str">
        <f>TRIM(Formulario!J592)</f>
        <v/>
      </c>
      <c r="K581" s="11" t="str">
        <f>TRIM(Formulario!K592)</f>
        <v/>
      </c>
      <c r="L581" s="107" t="str">
        <f>TRIM(Formulario!L592)</f>
        <v/>
      </c>
      <c r="M581" s="107" t="str">
        <f>TRIM(Formulario!M592)</f>
        <v/>
      </c>
      <c r="N581" s="11" t="str">
        <f>TRIM(Formulario!H592)</f>
        <v/>
      </c>
      <c r="P581" s="17"/>
      <c r="Q581" s="104"/>
      <c r="R581" s="104"/>
      <c r="S581" s="117"/>
      <c r="T581" s="101"/>
      <c r="U581" s="101"/>
      <c r="V581" s="101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</row>
    <row r="582" spans="1:49">
      <c r="A582" s="8" t="str">
        <f>IF(L582="","",Formulario!B593)</f>
        <v/>
      </c>
      <c r="B582" s="119"/>
      <c r="C582" s="120"/>
      <c r="D582" s="121"/>
      <c r="E582" s="129" t="str">
        <f>IF(F582="","",Formulario!B593)</f>
        <v/>
      </c>
      <c r="F582" s="11" t="str">
        <f>TRIM(Formulario!D593)</f>
        <v/>
      </c>
      <c r="G582" s="11" t="str">
        <f>TRIM(Formulario!F593)</f>
        <v/>
      </c>
      <c r="H582" s="146" t="str">
        <f>IF(N582="",TRIM(Formulario!G593),TRIM(Formulario!G593)*N582)</f>
        <v/>
      </c>
      <c r="I582" s="107" t="str">
        <f>TRIM(Formulario!I593)</f>
        <v/>
      </c>
      <c r="J582" s="11" t="str">
        <f>TRIM(Formulario!J593)</f>
        <v/>
      </c>
      <c r="K582" s="11" t="str">
        <f>TRIM(Formulario!K593)</f>
        <v/>
      </c>
      <c r="L582" s="107" t="str">
        <f>TRIM(Formulario!L593)</f>
        <v/>
      </c>
      <c r="M582" s="107" t="str">
        <f>TRIM(Formulario!M593)</f>
        <v/>
      </c>
      <c r="N582" s="11" t="str">
        <f>TRIM(Formulario!H593)</f>
        <v/>
      </c>
      <c r="P582" s="17"/>
      <c r="Q582" s="104"/>
      <c r="R582" s="104"/>
      <c r="S582" s="117"/>
      <c r="T582" s="101"/>
      <c r="U582" s="101"/>
      <c r="V582" s="101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</row>
    <row r="583" spans="1:49">
      <c r="A583" s="8" t="str">
        <f>IF(L583="","",Formulario!B594)</f>
        <v/>
      </c>
      <c r="B583" s="119"/>
      <c r="C583" s="120"/>
      <c r="D583" s="121"/>
      <c r="E583" s="129" t="str">
        <f>IF(F583="","",Formulario!B594)</f>
        <v/>
      </c>
      <c r="F583" s="11" t="str">
        <f>TRIM(Formulario!D594)</f>
        <v/>
      </c>
      <c r="G583" s="11" t="str">
        <f>TRIM(Formulario!F594)</f>
        <v/>
      </c>
      <c r="H583" s="146" t="str">
        <f>IF(N583="",TRIM(Formulario!G594),TRIM(Formulario!G594)*N583)</f>
        <v/>
      </c>
      <c r="I583" s="107" t="str">
        <f>TRIM(Formulario!I594)</f>
        <v/>
      </c>
      <c r="J583" s="11" t="str">
        <f>TRIM(Formulario!J594)</f>
        <v/>
      </c>
      <c r="K583" s="11" t="str">
        <f>TRIM(Formulario!K594)</f>
        <v/>
      </c>
      <c r="L583" s="107" t="str">
        <f>TRIM(Formulario!L594)</f>
        <v/>
      </c>
      <c r="M583" s="107" t="str">
        <f>TRIM(Formulario!M594)</f>
        <v/>
      </c>
      <c r="N583" s="11" t="str">
        <f>TRIM(Formulario!H594)</f>
        <v/>
      </c>
      <c r="P583" s="17"/>
      <c r="Q583" s="104"/>
      <c r="R583" s="104"/>
      <c r="S583" s="117"/>
      <c r="T583" s="101"/>
      <c r="U583" s="101"/>
      <c r="V583" s="101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</row>
    <row r="584" spans="1:49">
      <c r="A584" s="8" t="str">
        <f>IF(L584="","",Formulario!B595)</f>
        <v/>
      </c>
      <c r="B584" s="119"/>
      <c r="C584" s="120"/>
      <c r="D584" s="121"/>
      <c r="E584" s="129" t="str">
        <f>IF(F584="","",Formulario!B595)</f>
        <v/>
      </c>
      <c r="F584" s="11" t="str">
        <f>TRIM(Formulario!D595)</f>
        <v/>
      </c>
      <c r="G584" s="11" t="str">
        <f>TRIM(Formulario!F595)</f>
        <v/>
      </c>
      <c r="H584" s="146" t="str">
        <f>IF(N584="",TRIM(Formulario!G595),TRIM(Formulario!G595)*N584)</f>
        <v/>
      </c>
      <c r="I584" s="107" t="str">
        <f>TRIM(Formulario!I595)</f>
        <v/>
      </c>
      <c r="J584" s="11" t="str">
        <f>TRIM(Formulario!J595)</f>
        <v/>
      </c>
      <c r="K584" s="11" t="str">
        <f>TRIM(Formulario!K595)</f>
        <v/>
      </c>
      <c r="L584" s="107" t="str">
        <f>TRIM(Formulario!L595)</f>
        <v/>
      </c>
      <c r="M584" s="107" t="str">
        <f>TRIM(Formulario!M595)</f>
        <v/>
      </c>
      <c r="N584" s="11" t="str">
        <f>TRIM(Formulario!H595)</f>
        <v/>
      </c>
      <c r="P584" s="17"/>
      <c r="Q584" s="104"/>
      <c r="R584" s="104"/>
      <c r="S584" s="117"/>
      <c r="T584" s="101"/>
      <c r="U584" s="101"/>
      <c r="V584" s="101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</row>
    <row r="585" spans="1:49">
      <c r="A585" s="8" t="str">
        <f>IF(L585="","",Formulario!B596)</f>
        <v/>
      </c>
      <c r="B585" s="119"/>
      <c r="C585" s="120"/>
      <c r="D585" s="121"/>
      <c r="E585" s="129" t="str">
        <f>IF(F585="","",Formulario!B596)</f>
        <v/>
      </c>
      <c r="F585" s="11" t="str">
        <f>TRIM(Formulario!D596)</f>
        <v/>
      </c>
      <c r="G585" s="11" t="str">
        <f>TRIM(Formulario!F596)</f>
        <v/>
      </c>
      <c r="H585" s="146" t="str">
        <f>IF(N585="",TRIM(Formulario!G596),TRIM(Formulario!G596)*N585)</f>
        <v/>
      </c>
      <c r="I585" s="107" t="str">
        <f>TRIM(Formulario!I596)</f>
        <v/>
      </c>
      <c r="J585" s="11" t="str">
        <f>TRIM(Formulario!J596)</f>
        <v/>
      </c>
      <c r="K585" s="11" t="str">
        <f>TRIM(Formulario!K596)</f>
        <v/>
      </c>
      <c r="L585" s="107" t="str">
        <f>TRIM(Formulario!L596)</f>
        <v/>
      </c>
      <c r="M585" s="107" t="str">
        <f>TRIM(Formulario!M596)</f>
        <v/>
      </c>
      <c r="N585" s="11" t="str">
        <f>TRIM(Formulario!H596)</f>
        <v/>
      </c>
      <c r="P585" s="17"/>
      <c r="Q585" s="104"/>
      <c r="R585" s="104"/>
      <c r="S585" s="117"/>
      <c r="T585" s="101"/>
      <c r="U585" s="101"/>
      <c r="V585" s="101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</row>
    <row r="586" spans="1:49">
      <c r="A586" s="8" t="str">
        <f>IF(L586="","",Formulario!B597)</f>
        <v/>
      </c>
      <c r="B586" s="119"/>
      <c r="C586" s="120"/>
      <c r="D586" s="121"/>
      <c r="E586" s="129" t="str">
        <f>IF(F586="","",Formulario!B597)</f>
        <v/>
      </c>
      <c r="F586" s="11" t="str">
        <f>TRIM(Formulario!D597)</f>
        <v/>
      </c>
      <c r="G586" s="11" t="str">
        <f>TRIM(Formulario!F597)</f>
        <v/>
      </c>
      <c r="H586" s="146" t="str">
        <f>IF(N586="",TRIM(Formulario!G597),TRIM(Formulario!G597)*N586)</f>
        <v/>
      </c>
      <c r="I586" s="107" t="str">
        <f>TRIM(Formulario!I597)</f>
        <v/>
      </c>
      <c r="J586" s="11" t="str">
        <f>TRIM(Formulario!J597)</f>
        <v/>
      </c>
      <c r="K586" s="11" t="str">
        <f>TRIM(Formulario!K597)</f>
        <v/>
      </c>
      <c r="L586" s="107" t="str">
        <f>TRIM(Formulario!L597)</f>
        <v/>
      </c>
      <c r="M586" s="107" t="str">
        <f>TRIM(Formulario!M597)</f>
        <v/>
      </c>
      <c r="N586" s="11" t="str">
        <f>TRIM(Formulario!H597)</f>
        <v/>
      </c>
      <c r="P586" s="17"/>
      <c r="Q586" s="104"/>
      <c r="R586" s="104"/>
      <c r="S586" s="117"/>
      <c r="T586" s="101"/>
      <c r="U586" s="101"/>
      <c r="V586" s="101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</row>
    <row r="587" spans="1:49">
      <c r="A587" s="8" t="str">
        <f>IF(L587="","",Formulario!B598)</f>
        <v/>
      </c>
      <c r="B587" s="119"/>
      <c r="C587" s="120"/>
      <c r="D587" s="121"/>
      <c r="E587" s="129" t="str">
        <f>IF(F587="","",Formulario!B598)</f>
        <v/>
      </c>
      <c r="F587" s="11" t="str">
        <f>TRIM(Formulario!D598)</f>
        <v/>
      </c>
      <c r="G587" s="11" t="str">
        <f>TRIM(Formulario!F598)</f>
        <v/>
      </c>
      <c r="H587" s="146" t="str">
        <f>IF(N587="",TRIM(Formulario!G598),TRIM(Formulario!G598)*N587)</f>
        <v/>
      </c>
      <c r="I587" s="107" t="str">
        <f>TRIM(Formulario!I598)</f>
        <v/>
      </c>
      <c r="J587" s="11" t="str">
        <f>TRIM(Formulario!J598)</f>
        <v/>
      </c>
      <c r="K587" s="11" t="str">
        <f>TRIM(Formulario!K598)</f>
        <v/>
      </c>
      <c r="L587" s="107" t="str">
        <f>TRIM(Formulario!L598)</f>
        <v/>
      </c>
      <c r="M587" s="107" t="str">
        <f>TRIM(Formulario!M598)</f>
        <v/>
      </c>
      <c r="N587" s="11" t="str">
        <f>TRIM(Formulario!H598)</f>
        <v/>
      </c>
      <c r="P587" s="17"/>
      <c r="Q587" s="104"/>
      <c r="R587" s="104"/>
      <c r="S587" s="117"/>
      <c r="T587" s="101"/>
      <c r="U587" s="101"/>
      <c r="V587" s="101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</row>
    <row r="588" spans="1:49">
      <c r="A588" s="8" t="str">
        <f>IF(L588="","",Formulario!B599)</f>
        <v/>
      </c>
      <c r="B588" s="119"/>
      <c r="C588" s="120"/>
      <c r="D588" s="121"/>
      <c r="E588" s="129" t="str">
        <f>IF(F588="","",Formulario!B599)</f>
        <v/>
      </c>
      <c r="F588" s="11" t="str">
        <f>TRIM(Formulario!D599)</f>
        <v/>
      </c>
      <c r="G588" s="11" t="str">
        <f>TRIM(Formulario!F599)</f>
        <v/>
      </c>
      <c r="H588" s="146" t="str">
        <f>IF(N588="",TRIM(Formulario!G599),TRIM(Formulario!G599)*N588)</f>
        <v/>
      </c>
      <c r="I588" s="107" t="str">
        <f>TRIM(Formulario!I599)</f>
        <v/>
      </c>
      <c r="J588" s="11" t="str">
        <f>TRIM(Formulario!J599)</f>
        <v/>
      </c>
      <c r="K588" s="11" t="str">
        <f>TRIM(Formulario!K599)</f>
        <v/>
      </c>
      <c r="L588" s="107" t="str">
        <f>TRIM(Formulario!L599)</f>
        <v/>
      </c>
      <c r="M588" s="107" t="str">
        <f>TRIM(Formulario!M599)</f>
        <v/>
      </c>
      <c r="N588" s="11" t="str">
        <f>TRIM(Formulario!H599)</f>
        <v/>
      </c>
      <c r="P588" s="17"/>
      <c r="Q588" s="104"/>
      <c r="R588" s="104"/>
      <c r="S588" s="117"/>
      <c r="T588" s="101"/>
      <c r="U588" s="101"/>
      <c r="V588" s="101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</row>
    <row r="589" spans="1:49">
      <c r="A589" s="8" t="str">
        <f>IF(L589="","",Formulario!B600)</f>
        <v/>
      </c>
      <c r="B589" s="119"/>
      <c r="C589" s="120"/>
      <c r="D589" s="121"/>
      <c r="E589" s="129" t="str">
        <f>IF(F589="","",Formulario!B600)</f>
        <v/>
      </c>
      <c r="F589" s="11" t="str">
        <f>TRIM(Formulario!D600)</f>
        <v/>
      </c>
      <c r="G589" s="11" t="str">
        <f>TRIM(Formulario!F600)</f>
        <v/>
      </c>
      <c r="H589" s="146" t="str">
        <f>IF(N589="",TRIM(Formulario!G600),TRIM(Formulario!G600)*N589)</f>
        <v/>
      </c>
      <c r="I589" s="107" t="str">
        <f>TRIM(Formulario!I600)</f>
        <v/>
      </c>
      <c r="J589" s="11" t="str">
        <f>TRIM(Formulario!J600)</f>
        <v/>
      </c>
      <c r="K589" s="11" t="str">
        <f>TRIM(Formulario!K600)</f>
        <v/>
      </c>
      <c r="L589" s="107" t="str">
        <f>TRIM(Formulario!L600)</f>
        <v/>
      </c>
      <c r="M589" s="107" t="str">
        <f>TRIM(Formulario!M600)</f>
        <v/>
      </c>
      <c r="N589" s="11" t="str">
        <f>TRIM(Formulario!H600)</f>
        <v/>
      </c>
      <c r="P589" s="17"/>
      <c r="Q589" s="104"/>
      <c r="R589" s="104"/>
      <c r="S589" s="117"/>
      <c r="T589" s="101"/>
      <c r="U589" s="101"/>
      <c r="V589" s="101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</row>
    <row r="590" spans="1:49">
      <c r="A590" s="8" t="str">
        <f>IF(L590="","",Formulario!B601)</f>
        <v/>
      </c>
      <c r="B590" s="119"/>
      <c r="C590" s="120"/>
      <c r="D590" s="121"/>
      <c r="E590" s="129" t="str">
        <f>IF(F590="","",Formulario!B601)</f>
        <v/>
      </c>
      <c r="F590" s="11" t="str">
        <f>TRIM(Formulario!D601)</f>
        <v/>
      </c>
      <c r="G590" s="11" t="str">
        <f>TRIM(Formulario!F601)</f>
        <v/>
      </c>
      <c r="H590" s="146" t="str">
        <f>IF(N590="",TRIM(Formulario!G601),TRIM(Formulario!G601)*N590)</f>
        <v/>
      </c>
      <c r="I590" s="107" t="str">
        <f>TRIM(Formulario!I601)</f>
        <v/>
      </c>
      <c r="J590" s="11" t="str">
        <f>TRIM(Formulario!J601)</f>
        <v/>
      </c>
      <c r="K590" s="11" t="str">
        <f>TRIM(Formulario!K601)</f>
        <v/>
      </c>
      <c r="L590" s="107" t="str">
        <f>TRIM(Formulario!L601)</f>
        <v/>
      </c>
      <c r="M590" s="107" t="str">
        <f>TRIM(Formulario!M601)</f>
        <v/>
      </c>
      <c r="N590" s="11" t="str">
        <f>TRIM(Formulario!H601)</f>
        <v/>
      </c>
      <c r="P590" s="17"/>
      <c r="Q590" s="104"/>
      <c r="R590" s="104"/>
      <c r="S590" s="117"/>
      <c r="T590" s="101"/>
      <c r="U590" s="101"/>
      <c r="V590" s="101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</row>
    <row r="591" spans="1:49">
      <c r="A591" s="8" t="str">
        <f>IF(L591="","",Formulario!B602)</f>
        <v/>
      </c>
      <c r="B591" s="119"/>
      <c r="C591" s="120"/>
      <c r="D591" s="121"/>
      <c r="E591" s="129" t="str">
        <f>IF(F591="","",Formulario!B602)</f>
        <v/>
      </c>
      <c r="F591" s="11" t="str">
        <f>TRIM(Formulario!D602)</f>
        <v/>
      </c>
      <c r="G591" s="11" t="str">
        <f>TRIM(Formulario!F602)</f>
        <v/>
      </c>
      <c r="H591" s="146" t="str">
        <f>IF(N591="",TRIM(Formulario!G602),TRIM(Formulario!G602)*N591)</f>
        <v/>
      </c>
      <c r="I591" s="107" t="str">
        <f>TRIM(Formulario!I602)</f>
        <v/>
      </c>
      <c r="J591" s="11" t="str">
        <f>TRIM(Formulario!J602)</f>
        <v/>
      </c>
      <c r="K591" s="11" t="str">
        <f>TRIM(Formulario!K602)</f>
        <v/>
      </c>
      <c r="L591" s="107" t="str">
        <f>TRIM(Formulario!L602)</f>
        <v/>
      </c>
      <c r="M591" s="107" t="str">
        <f>TRIM(Formulario!M602)</f>
        <v/>
      </c>
      <c r="N591" s="11" t="str">
        <f>TRIM(Formulario!H602)</f>
        <v/>
      </c>
      <c r="P591" s="17"/>
      <c r="Q591" s="104"/>
      <c r="R591" s="104"/>
      <c r="S591" s="117"/>
      <c r="T591" s="101"/>
      <c r="U591" s="101"/>
      <c r="V591" s="101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</row>
    <row r="592" spans="1:49">
      <c r="A592" s="8" t="str">
        <f>IF(L592="","",Formulario!B603)</f>
        <v/>
      </c>
      <c r="B592" s="119"/>
      <c r="C592" s="120"/>
      <c r="D592" s="121"/>
      <c r="E592" s="129" t="str">
        <f>IF(F592="","",Formulario!B603)</f>
        <v/>
      </c>
      <c r="F592" s="11" t="str">
        <f>TRIM(Formulario!D603)</f>
        <v/>
      </c>
      <c r="G592" s="11" t="str">
        <f>TRIM(Formulario!F603)</f>
        <v/>
      </c>
      <c r="H592" s="146" t="str">
        <f>IF(N592="",TRIM(Formulario!G603),TRIM(Formulario!G603)*N592)</f>
        <v/>
      </c>
      <c r="I592" s="107" t="str">
        <f>TRIM(Formulario!I603)</f>
        <v/>
      </c>
      <c r="J592" s="11" t="str">
        <f>TRIM(Formulario!J603)</f>
        <v/>
      </c>
      <c r="K592" s="11" t="str">
        <f>TRIM(Formulario!K603)</f>
        <v/>
      </c>
      <c r="L592" s="107" t="str">
        <f>TRIM(Formulario!L603)</f>
        <v/>
      </c>
      <c r="M592" s="107" t="str">
        <f>TRIM(Formulario!M603)</f>
        <v/>
      </c>
      <c r="N592" s="11" t="str">
        <f>TRIM(Formulario!H603)</f>
        <v/>
      </c>
      <c r="P592" s="17"/>
      <c r="Q592" s="104"/>
      <c r="R592" s="104"/>
      <c r="S592" s="117"/>
      <c r="T592" s="101"/>
      <c r="U592" s="101"/>
      <c r="V592" s="101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</row>
    <row r="593" spans="1:49">
      <c r="A593" s="8" t="str">
        <f>IF(L593="","",Formulario!B604)</f>
        <v/>
      </c>
      <c r="B593" s="119"/>
      <c r="C593" s="120"/>
      <c r="D593" s="121"/>
      <c r="E593" s="129" t="str">
        <f>IF(F593="","",Formulario!B604)</f>
        <v/>
      </c>
      <c r="F593" s="11" t="str">
        <f>TRIM(Formulario!D604)</f>
        <v/>
      </c>
      <c r="G593" s="11" t="str">
        <f>TRIM(Formulario!F604)</f>
        <v/>
      </c>
      <c r="H593" s="146" t="str">
        <f>IF(N593="",TRIM(Formulario!G604),TRIM(Formulario!G604)*N593)</f>
        <v/>
      </c>
      <c r="I593" s="107" t="str">
        <f>TRIM(Formulario!I604)</f>
        <v/>
      </c>
      <c r="J593" s="11" t="str">
        <f>TRIM(Formulario!J604)</f>
        <v/>
      </c>
      <c r="K593" s="11" t="str">
        <f>TRIM(Formulario!K604)</f>
        <v/>
      </c>
      <c r="L593" s="107" t="str">
        <f>TRIM(Formulario!L604)</f>
        <v/>
      </c>
      <c r="M593" s="107" t="str">
        <f>TRIM(Formulario!M604)</f>
        <v/>
      </c>
      <c r="N593" s="11" t="str">
        <f>TRIM(Formulario!H604)</f>
        <v/>
      </c>
      <c r="P593" s="17"/>
      <c r="Q593" s="104"/>
      <c r="R593" s="104"/>
      <c r="S593" s="117"/>
      <c r="T593" s="101"/>
      <c r="U593" s="101"/>
      <c r="V593" s="101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</row>
    <row r="594" spans="1:49">
      <c r="A594" s="8" t="str">
        <f>IF(L594="","",Formulario!B605)</f>
        <v/>
      </c>
      <c r="B594" s="119"/>
      <c r="C594" s="120"/>
      <c r="D594" s="121"/>
      <c r="E594" s="129" t="str">
        <f>IF(F594="","",Formulario!B605)</f>
        <v/>
      </c>
      <c r="F594" s="11" t="str">
        <f>TRIM(Formulario!D605)</f>
        <v/>
      </c>
      <c r="G594" s="11" t="str">
        <f>TRIM(Formulario!F605)</f>
        <v/>
      </c>
      <c r="H594" s="146" t="str">
        <f>IF(N594="",TRIM(Formulario!G605),TRIM(Formulario!G605)*N594)</f>
        <v/>
      </c>
      <c r="I594" s="107" t="str">
        <f>TRIM(Formulario!I605)</f>
        <v/>
      </c>
      <c r="J594" s="11" t="str">
        <f>TRIM(Formulario!J605)</f>
        <v/>
      </c>
      <c r="K594" s="11" t="str">
        <f>TRIM(Formulario!K605)</f>
        <v/>
      </c>
      <c r="L594" s="107" t="str">
        <f>TRIM(Formulario!L605)</f>
        <v/>
      </c>
      <c r="M594" s="107" t="str">
        <f>TRIM(Formulario!M605)</f>
        <v/>
      </c>
      <c r="N594" s="11" t="str">
        <f>TRIM(Formulario!H605)</f>
        <v/>
      </c>
      <c r="P594" s="17"/>
      <c r="Q594" s="104"/>
      <c r="R594" s="104"/>
      <c r="S594" s="117"/>
      <c r="T594" s="101"/>
      <c r="U594" s="101"/>
      <c r="V594" s="101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</row>
    <row r="595" spans="1:49">
      <c r="A595" s="8" t="str">
        <f>IF(L595="","",Formulario!B606)</f>
        <v/>
      </c>
      <c r="B595" s="119"/>
      <c r="C595" s="120"/>
      <c r="D595" s="121"/>
      <c r="E595" s="129" t="str">
        <f>IF(F595="","",Formulario!B606)</f>
        <v/>
      </c>
      <c r="F595" s="11" t="str">
        <f>TRIM(Formulario!D606)</f>
        <v/>
      </c>
      <c r="G595" s="11" t="str">
        <f>TRIM(Formulario!F606)</f>
        <v/>
      </c>
      <c r="H595" s="146" t="str">
        <f>IF(N595="",TRIM(Formulario!G606),TRIM(Formulario!G606)*N595)</f>
        <v/>
      </c>
      <c r="I595" s="107" t="str">
        <f>TRIM(Formulario!I606)</f>
        <v/>
      </c>
      <c r="J595" s="11" t="str">
        <f>TRIM(Formulario!J606)</f>
        <v/>
      </c>
      <c r="K595" s="11" t="str">
        <f>TRIM(Formulario!K606)</f>
        <v/>
      </c>
      <c r="L595" s="107" t="str">
        <f>TRIM(Formulario!L606)</f>
        <v/>
      </c>
      <c r="M595" s="107" t="str">
        <f>TRIM(Formulario!M606)</f>
        <v/>
      </c>
      <c r="N595" s="11" t="str">
        <f>TRIM(Formulario!H606)</f>
        <v/>
      </c>
      <c r="P595" s="17"/>
      <c r="Q595" s="104"/>
      <c r="R595" s="104"/>
      <c r="S595" s="117"/>
      <c r="T595" s="101"/>
      <c r="U595" s="101"/>
      <c r="V595" s="101"/>
      <c r="W595" s="102"/>
      <c r="X595" s="102"/>
      <c r="Y595" s="102"/>
      <c r="Z595" s="102"/>
      <c r="AA595" s="102"/>
      <c r="AB595" s="102"/>
      <c r="AC595" s="102"/>
      <c r="AD595" s="102"/>
      <c r="AE595" s="102"/>
      <c r="AF595" s="102"/>
      <c r="AG595" s="102"/>
      <c r="AH595" s="102"/>
      <c r="AI595" s="102"/>
      <c r="AJ595" s="102"/>
      <c r="AK595" s="102"/>
      <c r="AL595" s="102"/>
      <c r="AM595" s="102"/>
      <c r="AN595" s="102"/>
      <c r="AO595" s="102"/>
      <c r="AP595" s="102"/>
      <c r="AQ595" s="102"/>
      <c r="AR595" s="102"/>
      <c r="AS595" s="102"/>
      <c r="AT595" s="102"/>
      <c r="AU595" s="102"/>
      <c r="AV595" s="102"/>
      <c r="AW595" s="102"/>
    </row>
    <row r="596" spans="1:49">
      <c r="A596" s="8" t="str">
        <f>IF(L596="","",Formulario!B607)</f>
        <v/>
      </c>
      <c r="B596" s="119"/>
      <c r="C596" s="120"/>
      <c r="D596" s="121"/>
      <c r="E596" s="129" t="str">
        <f>IF(F596="","",Formulario!B607)</f>
        <v/>
      </c>
      <c r="F596" s="11" t="str">
        <f>TRIM(Formulario!D607)</f>
        <v/>
      </c>
      <c r="G596" s="11" t="str">
        <f>TRIM(Formulario!F607)</f>
        <v/>
      </c>
      <c r="H596" s="146" t="str">
        <f>IF(N596="",TRIM(Formulario!G607),TRIM(Formulario!G607)*N596)</f>
        <v/>
      </c>
      <c r="I596" s="107" t="str">
        <f>TRIM(Formulario!I607)</f>
        <v/>
      </c>
      <c r="J596" s="11" t="str">
        <f>TRIM(Formulario!J607)</f>
        <v/>
      </c>
      <c r="K596" s="11" t="str">
        <f>TRIM(Formulario!K607)</f>
        <v/>
      </c>
      <c r="L596" s="107" t="str">
        <f>TRIM(Formulario!L607)</f>
        <v/>
      </c>
      <c r="M596" s="107" t="str">
        <f>TRIM(Formulario!M607)</f>
        <v/>
      </c>
      <c r="N596" s="11" t="str">
        <f>TRIM(Formulario!H607)</f>
        <v/>
      </c>
      <c r="P596" s="17"/>
      <c r="Q596" s="104"/>
      <c r="R596" s="104"/>
      <c r="S596" s="117"/>
      <c r="T596" s="101"/>
      <c r="U596" s="101"/>
      <c r="V596" s="101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</row>
    <row r="597" spans="1:49">
      <c r="A597" s="8" t="str">
        <f>IF(L597="","",Formulario!B608)</f>
        <v/>
      </c>
      <c r="B597" s="119"/>
      <c r="C597" s="120"/>
      <c r="D597" s="121"/>
      <c r="E597" s="129" t="str">
        <f>IF(F597="","",Formulario!B608)</f>
        <v/>
      </c>
      <c r="F597" s="11" t="str">
        <f>TRIM(Formulario!D608)</f>
        <v/>
      </c>
      <c r="G597" s="11" t="str">
        <f>TRIM(Formulario!F608)</f>
        <v/>
      </c>
      <c r="H597" s="146" t="str">
        <f>IF(N597="",TRIM(Formulario!G608),TRIM(Formulario!G608)*N597)</f>
        <v/>
      </c>
      <c r="I597" s="107" t="str">
        <f>TRIM(Formulario!I608)</f>
        <v/>
      </c>
      <c r="J597" s="11" t="str">
        <f>TRIM(Formulario!J608)</f>
        <v/>
      </c>
      <c r="K597" s="11" t="str">
        <f>TRIM(Formulario!K608)</f>
        <v/>
      </c>
      <c r="L597" s="107" t="str">
        <f>TRIM(Formulario!L608)</f>
        <v/>
      </c>
      <c r="M597" s="107" t="str">
        <f>TRIM(Formulario!M608)</f>
        <v/>
      </c>
      <c r="N597" s="11" t="str">
        <f>TRIM(Formulario!H608)</f>
        <v/>
      </c>
      <c r="P597" s="17"/>
      <c r="Q597" s="104"/>
      <c r="R597" s="104"/>
      <c r="S597" s="117"/>
      <c r="T597" s="101"/>
      <c r="U597" s="101"/>
      <c r="V597" s="101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</row>
    <row r="598" spans="1:49">
      <c r="A598" s="8" t="str">
        <f>IF(L598="","",Formulario!B609)</f>
        <v/>
      </c>
      <c r="B598" s="119"/>
      <c r="C598" s="120"/>
      <c r="D598" s="121"/>
      <c r="E598" s="129" t="str">
        <f>IF(F598="","",Formulario!B609)</f>
        <v/>
      </c>
      <c r="F598" s="11" t="str">
        <f>TRIM(Formulario!D609)</f>
        <v/>
      </c>
      <c r="G598" s="11" t="str">
        <f>TRIM(Formulario!F609)</f>
        <v/>
      </c>
      <c r="H598" s="146" t="str">
        <f>IF(N598="",TRIM(Formulario!G609),TRIM(Formulario!G609)*N598)</f>
        <v/>
      </c>
      <c r="I598" s="107" t="str">
        <f>TRIM(Formulario!I609)</f>
        <v/>
      </c>
      <c r="J598" s="11" t="str">
        <f>TRIM(Formulario!J609)</f>
        <v/>
      </c>
      <c r="K598" s="11" t="str">
        <f>TRIM(Formulario!K609)</f>
        <v/>
      </c>
      <c r="L598" s="107" t="str">
        <f>TRIM(Formulario!L609)</f>
        <v/>
      </c>
      <c r="M598" s="107" t="str">
        <f>TRIM(Formulario!M609)</f>
        <v/>
      </c>
      <c r="N598" s="11" t="str">
        <f>TRIM(Formulario!H609)</f>
        <v/>
      </c>
      <c r="P598" s="17"/>
      <c r="Q598" s="104"/>
      <c r="R598" s="104"/>
      <c r="S598" s="117"/>
      <c r="T598" s="101"/>
      <c r="U598" s="101"/>
      <c r="V598" s="101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</row>
    <row r="599" spans="1:49">
      <c r="A599" s="8" t="str">
        <f>IF(L599="","",Formulario!B610)</f>
        <v/>
      </c>
      <c r="B599" s="119"/>
      <c r="C599" s="120"/>
      <c r="D599" s="121"/>
      <c r="E599" s="129" t="str">
        <f>IF(F599="","",Formulario!B610)</f>
        <v/>
      </c>
      <c r="F599" s="11" t="str">
        <f>TRIM(Formulario!D610)</f>
        <v/>
      </c>
      <c r="G599" s="11" t="str">
        <f>TRIM(Formulario!F610)</f>
        <v/>
      </c>
      <c r="H599" s="146" t="str">
        <f>IF(N599="",TRIM(Formulario!G610),TRIM(Formulario!G610)*N599)</f>
        <v/>
      </c>
      <c r="I599" s="107" t="str">
        <f>TRIM(Formulario!I610)</f>
        <v/>
      </c>
      <c r="J599" s="11" t="str">
        <f>TRIM(Formulario!J610)</f>
        <v/>
      </c>
      <c r="K599" s="11" t="str">
        <f>TRIM(Formulario!K610)</f>
        <v/>
      </c>
      <c r="L599" s="107" t="str">
        <f>TRIM(Formulario!L610)</f>
        <v/>
      </c>
      <c r="M599" s="107" t="str">
        <f>TRIM(Formulario!M610)</f>
        <v/>
      </c>
      <c r="N599" s="11" t="str">
        <f>TRIM(Formulario!H610)</f>
        <v/>
      </c>
      <c r="P599" s="17"/>
      <c r="Q599" s="104"/>
      <c r="R599" s="104"/>
      <c r="S599" s="117"/>
      <c r="T599" s="101"/>
      <c r="U599" s="101"/>
      <c r="V599" s="101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</row>
    <row r="600" spans="1:49">
      <c r="A600" s="8" t="str">
        <f>IF(L600="","",Formulario!B611)</f>
        <v/>
      </c>
      <c r="B600" s="119"/>
      <c r="C600" s="120"/>
      <c r="D600" s="121"/>
      <c r="E600" s="129" t="str">
        <f>IF(F600="","",Formulario!B611)</f>
        <v/>
      </c>
      <c r="F600" s="11" t="str">
        <f>TRIM(Formulario!D611)</f>
        <v/>
      </c>
      <c r="G600" s="11" t="str">
        <f>TRIM(Formulario!F611)</f>
        <v/>
      </c>
      <c r="H600" s="146" t="str">
        <f>IF(N600="",TRIM(Formulario!G611),TRIM(Formulario!G611)*N600)</f>
        <v/>
      </c>
      <c r="I600" s="107" t="str">
        <f>TRIM(Formulario!I611)</f>
        <v/>
      </c>
      <c r="J600" s="11" t="str">
        <f>TRIM(Formulario!J611)</f>
        <v/>
      </c>
      <c r="K600" s="11" t="str">
        <f>TRIM(Formulario!K611)</f>
        <v/>
      </c>
      <c r="L600" s="107" t="str">
        <f>TRIM(Formulario!L611)</f>
        <v/>
      </c>
      <c r="M600" s="107" t="str">
        <f>TRIM(Formulario!M611)</f>
        <v/>
      </c>
      <c r="N600" s="11" t="str">
        <f>TRIM(Formulario!H611)</f>
        <v/>
      </c>
      <c r="P600" s="17"/>
      <c r="Q600" s="104"/>
      <c r="R600" s="104"/>
      <c r="S600" s="117"/>
      <c r="T600" s="101"/>
      <c r="U600" s="101"/>
      <c r="V600" s="101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</row>
    <row r="601" spans="1:49">
      <c r="A601" s="8" t="str">
        <f>IF(L601="","",Formulario!B612)</f>
        <v/>
      </c>
      <c r="B601" s="119"/>
      <c r="C601" s="120"/>
      <c r="D601" s="121"/>
      <c r="E601" s="129" t="str">
        <f>IF(F601="","",Formulario!B612)</f>
        <v/>
      </c>
      <c r="F601" s="11" t="str">
        <f>TRIM(Formulario!D612)</f>
        <v/>
      </c>
      <c r="G601" s="11" t="str">
        <f>TRIM(Formulario!F612)</f>
        <v/>
      </c>
      <c r="H601" s="146" t="str">
        <f>IF(N601="",TRIM(Formulario!G612),TRIM(Formulario!G612)*N601)</f>
        <v/>
      </c>
      <c r="I601" s="107" t="str">
        <f>TRIM(Formulario!I612)</f>
        <v/>
      </c>
      <c r="J601" s="11" t="str">
        <f>TRIM(Formulario!J612)</f>
        <v/>
      </c>
      <c r="K601" s="11" t="str">
        <f>TRIM(Formulario!K612)</f>
        <v/>
      </c>
      <c r="L601" s="107" t="str">
        <f>TRIM(Formulario!L612)</f>
        <v/>
      </c>
      <c r="M601" s="107" t="str">
        <f>TRIM(Formulario!M612)</f>
        <v/>
      </c>
      <c r="N601" s="11" t="str">
        <f>TRIM(Formulario!H612)</f>
        <v/>
      </c>
      <c r="P601" s="17"/>
      <c r="Q601" s="104"/>
      <c r="R601" s="104"/>
      <c r="S601" s="117"/>
      <c r="T601" s="101"/>
      <c r="U601" s="101"/>
      <c r="V601" s="101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</row>
    <row r="602" spans="1:49">
      <c r="A602" s="8" t="str">
        <f>IF(L602="","",Formulario!B613)</f>
        <v/>
      </c>
      <c r="B602" s="119"/>
      <c r="C602" s="120"/>
      <c r="D602" s="121"/>
      <c r="E602" s="129" t="str">
        <f>IF(F602="","",Formulario!B613)</f>
        <v/>
      </c>
      <c r="F602" s="11" t="str">
        <f>TRIM(Formulario!D613)</f>
        <v/>
      </c>
      <c r="G602" s="11" t="str">
        <f>TRIM(Formulario!F613)</f>
        <v/>
      </c>
      <c r="H602" s="146" t="str">
        <f>IF(N602="",TRIM(Formulario!G613),TRIM(Formulario!G613)*N602)</f>
        <v/>
      </c>
      <c r="I602" s="107" t="str">
        <f>TRIM(Formulario!I613)</f>
        <v/>
      </c>
      <c r="J602" s="11" t="str">
        <f>TRIM(Formulario!J613)</f>
        <v/>
      </c>
      <c r="K602" s="11" t="str">
        <f>TRIM(Formulario!K613)</f>
        <v/>
      </c>
      <c r="L602" s="107" t="str">
        <f>TRIM(Formulario!L613)</f>
        <v/>
      </c>
      <c r="M602" s="107" t="str">
        <f>TRIM(Formulario!M613)</f>
        <v/>
      </c>
      <c r="N602" s="11" t="str">
        <f>TRIM(Formulario!H613)</f>
        <v/>
      </c>
      <c r="P602" s="17"/>
      <c r="Q602" s="104"/>
      <c r="R602" s="104"/>
      <c r="S602" s="117"/>
      <c r="T602" s="101"/>
      <c r="U602" s="101"/>
      <c r="V602" s="101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</row>
    <row r="603" spans="1:49">
      <c r="A603" s="8" t="str">
        <f>IF(L603="","",Formulario!B614)</f>
        <v/>
      </c>
      <c r="B603" s="119"/>
      <c r="C603" s="120"/>
      <c r="D603" s="121"/>
      <c r="E603" s="129" t="str">
        <f>IF(F603="","",Formulario!B614)</f>
        <v/>
      </c>
      <c r="F603" s="11" t="str">
        <f>TRIM(Formulario!D614)</f>
        <v/>
      </c>
      <c r="G603" s="11" t="str">
        <f>TRIM(Formulario!F614)</f>
        <v/>
      </c>
      <c r="H603" s="146" t="str">
        <f>IF(N603="",TRIM(Formulario!G614),TRIM(Formulario!G614)*N603)</f>
        <v/>
      </c>
      <c r="I603" s="107" t="str">
        <f>TRIM(Formulario!I614)</f>
        <v/>
      </c>
      <c r="J603" s="11" t="str">
        <f>TRIM(Formulario!J614)</f>
        <v/>
      </c>
      <c r="K603" s="11" t="str">
        <f>TRIM(Formulario!K614)</f>
        <v/>
      </c>
      <c r="L603" s="107" t="str">
        <f>TRIM(Formulario!L614)</f>
        <v/>
      </c>
      <c r="M603" s="107" t="str">
        <f>TRIM(Formulario!M614)</f>
        <v/>
      </c>
      <c r="N603" s="11" t="str">
        <f>TRIM(Formulario!H614)</f>
        <v/>
      </c>
      <c r="P603" s="17"/>
      <c r="Q603" s="104"/>
      <c r="R603" s="104"/>
      <c r="S603" s="117"/>
      <c r="T603" s="101"/>
      <c r="U603" s="101"/>
      <c r="V603" s="101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</row>
    <row r="604" spans="1:49">
      <c r="A604" s="8" t="str">
        <f>IF(L604="","",Formulario!B615)</f>
        <v/>
      </c>
      <c r="B604" s="119"/>
      <c r="C604" s="120"/>
      <c r="D604" s="121"/>
      <c r="E604" s="129" t="str">
        <f>IF(F604="","",Formulario!B615)</f>
        <v/>
      </c>
      <c r="F604" s="11" t="str">
        <f>TRIM(Formulario!D615)</f>
        <v/>
      </c>
      <c r="G604" s="11" t="str">
        <f>TRIM(Formulario!F615)</f>
        <v/>
      </c>
      <c r="H604" s="146" t="str">
        <f>IF(N604="",TRIM(Formulario!G615),TRIM(Formulario!G615)*N604)</f>
        <v/>
      </c>
      <c r="I604" s="107" t="str">
        <f>TRIM(Formulario!I615)</f>
        <v/>
      </c>
      <c r="J604" s="11" t="str">
        <f>TRIM(Formulario!J615)</f>
        <v/>
      </c>
      <c r="K604" s="11" t="str">
        <f>TRIM(Formulario!K615)</f>
        <v/>
      </c>
      <c r="L604" s="107" t="str">
        <f>TRIM(Formulario!L615)</f>
        <v/>
      </c>
      <c r="M604" s="107" t="str">
        <f>TRIM(Formulario!M615)</f>
        <v/>
      </c>
      <c r="N604" s="11" t="str">
        <f>TRIM(Formulario!H615)</f>
        <v/>
      </c>
      <c r="P604" s="17"/>
      <c r="Q604" s="104"/>
      <c r="R604" s="104"/>
      <c r="S604" s="117"/>
      <c r="T604" s="101"/>
      <c r="U604" s="101"/>
      <c r="V604" s="101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</row>
    <row r="605" spans="1:49">
      <c r="A605" s="8" t="str">
        <f>IF(L605="","",Formulario!B616)</f>
        <v/>
      </c>
      <c r="B605" s="119"/>
      <c r="C605" s="120"/>
      <c r="D605" s="121"/>
      <c r="E605" s="129" t="str">
        <f>IF(F605="","",Formulario!B616)</f>
        <v/>
      </c>
      <c r="F605" s="11" t="str">
        <f>TRIM(Formulario!D616)</f>
        <v/>
      </c>
      <c r="G605" s="11" t="str">
        <f>TRIM(Formulario!F616)</f>
        <v/>
      </c>
      <c r="H605" s="146" t="str">
        <f>IF(N605="",TRIM(Formulario!G616),TRIM(Formulario!G616)*N605)</f>
        <v/>
      </c>
      <c r="I605" s="107" t="str">
        <f>TRIM(Formulario!I616)</f>
        <v/>
      </c>
      <c r="J605" s="11" t="str">
        <f>TRIM(Formulario!J616)</f>
        <v/>
      </c>
      <c r="K605" s="11" t="str">
        <f>TRIM(Formulario!K616)</f>
        <v/>
      </c>
      <c r="L605" s="107" t="str">
        <f>TRIM(Formulario!L616)</f>
        <v/>
      </c>
      <c r="M605" s="107" t="str">
        <f>TRIM(Formulario!M616)</f>
        <v/>
      </c>
      <c r="N605" s="11" t="str">
        <f>TRIM(Formulario!H616)</f>
        <v/>
      </c>
      <c r="P605" s="17"/>
      <c r="Q605" s="104"/>
      <c r="R605" s="104"/>
      <c r="S605" s="117"/>
      <c r="T605" s="101"/>
      <c r="U605" s="101"/>
      <c r="V605" s="101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</row>
    <row r="606" spans="1:49">
      <c r="A606" s="8" t="str">
        <f>IF(L606="","",Formulario!B617)</f>
        <v/>
      </c>
      <c r="B606" s="119"/>
      <c r="C606" s="120"/>
      <c r="D606" s="121"/>
      <c r="E606" s="129" t="str">
        <f>IF(F606="","",Formulario!B617)</f>
        <v/>
      </c>
      <c r="F606" s="11" t="str">
        <f>TRIM(Formulario!D617)</f>
        <v/>
      </c>
      <c r="G606" s="11" t="str">
        <f>TRIM(Formulario!F617)</f>
        <v/>
      </c>
      <c r="H606" s="146" t="str">
        <f>IF(N606="",TRIM(Formulario!G617),TRIM(Formulario!G617)*N606)</f>
        <v/>
      </c>
      <c r="I606" s="107" t="str">
        <f>TRIM(Formulario!I617)</f>
        <v/>
      </c>
      <c r="J606" s="11" t="str">
        <f>TRIM(Formulario!J617)</f>
        <v/>
      </c>
      <c r="K606" s="11" t="str">
        <f>TRIM(Formulario!K617)</f>
        <v/>
      </c>
      <c r="L606" s="107" t="str">
        <f>TRIM(Formulario!L617)</f>
        <v/>
      </c>
      <c r="M606" s="107" t="str">
        <f>TRIM(Formulario!M617)</f>
        <v/>
      </c>
      <c r="N606" s="11" t="str">
        <f>TRIM(Formulario!H617)</f>
        <v/>
      </c>
      <c r="P606" s="17"/>
      <c r="Q606" s="104"/>
      <c r="R606" s="104"/>
      <c r="S606" s="117"/>
      <c r="T606" s="101"/>
      <c r="U606" s="101"/>
      <c r="V606" s="101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</row>
    <row r="607" spans="1:49">
      <c r="A607" s="8" t="str">
        <f>IF(L607="","",Formulario!B618)</f>
        <v/>
      </c>
      <c r="B607" s="119"/>
      <c r="C607" s="120"/>
      <c r="D607" s="121"/>
      <c r="E607" s="129" t="str">
        <f>IF(F607="","",Formulario!B618)</f>
        <v/>
      </c>
      <c r="F607" s="11" t="str">
        <f>TRIM(Formulario!D618)</f>
        <v/>
      </c>
      <c r="G607" s="11" t="str">
        <f>TRIM(Formulario!F618)</f>
        <v/>
      </c>
      <c r="H607" s="146" t="str">
        <f>IF(N607="",TRIM(Formulario!G618),TRIM(Formulario!G618)*N607)</f>
        <v/>
      </c>
      <c r="I607" s="107" t="str">
        <f>TRIM(Formulario!I618)</f>
        <v/>
      </c>
      <c r="J607" s="11" t="str">
        <f>TRIM(Formulario!J618)</f>
        <v/>
      </c>
      <c r="K607" s="11" t="str">
        <f>TRIM(Formulario!K618)</f>
        <v/>
      </c>
      <c r="L607" s="107" t="str">
        <f>TRIM(Formulario!L618)</f>
        <v/>
      </c>
      <c r="M607" s="107" t="str">
        <f>TRIM(Formulario!M618)</f>
        <v/>
      </c>
      <c r="N607" s="11" t="str">
        <f>TRIM(Formulario!H618)</f>
        <v/>
      </c>
      <c r="P607" s="17"/>
      <c r="Q607" s="104"/>
      <c r="R607" s="104"/>
      <c r="S607" s="117"/>
      <c r="T607" s="101"/>
      <c r="U607" s="101"/>
      <c r="V607" s="101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</row>
    <row r="608" spans="1:49">
      <c r="A608" s="8" t="str">
        <f>IF(L608="","",Formulario!B619)</f>
        <v/>
      </c>
      <c r="B608" s="119"/>
      <c r="C608" s="120"/>
      <c r="D608" s="121"/>
      <c r="E608" s="129" t="str">
        <f>IF(F608="","",Formulario!B619)</f>
        <v/>
      </c>
      <c r="F608" s="11" t="str">
        <f>TRIM(Formulario!D619)</f>
        <v/>
      </c>
      <c r="G608" s="11" t="str">
        <f>TRIM(Formulario!F619)</f>
        <v/>
      </c>
      <c r="H608" s="146" t="str">
        <f>IF(N608="",TRIM(Formulario!G619),TRIM(Formulario!G619)*N608)</f>
        <v/>
      </c>
      <c r="I608" s="107" t="str">
        <f>TRIM(Formulario!I619)</f>
        <v/>
      </c>
      <c r="J608" s="11" t="str">
        <f>TRIM(Formulario!J619)</f>
        <v/>
      </c>
      <c r="K608" s="11" t="str">
        <f>TRIM(Formulario!K619)</f>
        <v/>
      </c>
      <c r="L608" s="107" t="str">
        <f>TRIM(Formulario!L619)</f>
        <v/>
      </c>
      <c r="M608" s="107" t="str">
        <f>TRIM(Formulario!M619)</f>
        <v/>
      </c>
      <c r="N608" s="11" t="str">
        <f>TRIM(Formulario!H619)</f>
        <v/>
      </c>
      <c r="P608" s="17"/>
      <c r="Q608" s="104"/>
      <c r="R608" s="104"/>
      <c r="S608" s="117"/>
      <c r="T608" s="101"/>
      <c r="U608" s="101"/>
      <c r="V608" s="101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</row>
    <row r="609" spans="1:49">
      <c r="A609" s="8" t="str">
        <f>IF(L609="","",Formulario!B620)</f>
        <v/>
      </c>
      <c r="B609" s="119"/>
      <c r="C609" s="120"/>
      <c r="D609" s="121"/>
      <c r="E609" s="129" t="str">
        <f>IF(F609="","",Formulario!B620)</f>
        <v/>
      </c>
      <c r="F609" s="11" t="str">
        <f>TRIM(Formulario!D620)</f>
        <v/>
      </c>
      <c r="G609" s="11" t="str">
        <f>TRIM(Formulario!F620)</f>
        <v/>
      </c>
      <c r="H609" s="146" t="str">
        <f>IF(N609="",TRIM(Formulario!G620),TRIM(Formulario!G620)*N609)</f>
        <v/>
      </c>
      <c r="I609" s="107" t="str">
        <f>TRIM(Formulario!I620)</f>
        <v/>
      </c>
      <c r="J609" s="11" t="str">
        <f>TRIM(Formulario!J620)</f>
        <v/>
      </c>
      <c r="K609" s="11" t="str">
        <f>TRIM(Formulario!K620)</f>
        <v/>
      </c>
      <c r="L609" s="107" t="str">
        <f>TRIM(Formulario!L620)</f>
        <v/>
      </c>
      <c r="M609" s="107" t="str">
        <f>TRIM(Formulario!M620)</f>
        <v/>
      </c>
      <c r="N609" s="11" t="str">
        <f>TRIM(Formulario!H620)</f>
        <v/>
      </c>
      <c r="P609" s="17"/>
      <c r="Q609" s="104"/>
      <c r="R609" s="104"/>
      <c r="S609" s="117"/>
      <c r="T609" s="101"/>
      <c r="U609" s="101"/>
      <c r="V609" s="101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</row>
    <row r="610" spans="1:49">
      <c r="A610" s="8" t="str">
        <f>IF(L610="","",Formulario!B621)</f>
        <v/>
      </c>
      <c r="B610" s="119"/>
      <c r="C610" s="120"/>
      <c r="D610" s="121"/>
      <c r="E610" s="129" t="str">
        <f>IF(F610="","",Formulario!B621)</f>
        <v/>
      </c>
      <c r="F610" s="11" t="str">
        <f>TRIM(Formulario!D621)</f>
        <v/>
      </c>
      <c r="G610" s="11" t="str">
        <f>TRIM(Formulario!F621)</f>
        <v/>
      </c>
      <c r="H610" s="146" t="str">
        <f>IF(N610="",TRIM(Formulario!G621),TRIM(Formulario!G621)*N610)</f>
        <v/>
      </c>
      <c r="I610" s="107" t="str">
        <f>TRIM(Formulario!I621)</f>
        <v/>
      </c>
      <c r="J610" s="11" t="str">
        <f>TRIM(Formulario!J621)</f>
        <v/>
      </c>
      <c r="K610" s="11" t="str">
        <f>TRIM(Formulario!K621)</f>
        <v/>
      </c>
      <c r="L610" s="107" t="str">
        <f>TRIM(Formulario!L621)</f>
        <v/>
      </c>
      <c r="M610" s="107" t="str">
        <f>TRIM(Formulario!M621)</f>
        <v/>
      </c>
      <c r="N610" s="11" t="str">
        <f>TRIM(Formulario!H621)</f>
        <v/>
      </c>
      <c r="P610" s="17"/>
      <c r="Q610" s="104"/>
      <c r="R610" s="104"/>
      <c r="S610" s="117"/>
      <c r="T610" s="101"/>
      <c r="U610" s="101"/>
      <c r="V610" s="101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</row>
    <row r="611" spans="1:49">
      <c r="A611" s="8" t="str">
        <f>IF(L611="","",Formulario!B622)</f>
        <v/>
      </c>
      <c r="B611" s="119"/>
      <c r="C611" s="120"/>
      <c r="D611" s="121"/>
      <c r="E611" s="129" t="str">
        <f>IF(F611="","",Formulario!B622)</f>
        <v/>
      </c>
      <c r="F611" s="11" t="str">
        <f>TRIM(Formulario!D622)</f>
        <v/>
      </c>
      <c r="G611" s="11" t="str">
        <f>TRIM(Formulario!F622)</f>
        <v/>
      </c>
      <c r="H611" s="146" t="str">
        <f>IF(N611="",TRIM(Formulario!G622),TRIM(Formulario!G622)*N611)</f>
        <v/>
      </c>
      <c r="I611" s="107" t="str">
        <f>TRIM(Formulario!I622)</f>
        <v/>
      </c>
      <c r="J611" s="11" t="str">
        <f>TRIM(Formulario!J622)</f>
        <v/>
      </c>
      <c r="K611" s="11" t="str">
        <f>TRIM(Formulario!K622)</f>
        <v/>
      </c>
      <c r="L611" s="107" t="str">
        <f>TRIM(Formulario!L622)</f>
        <v/>
      </c>
      <c r="M611" s="107" t="str">
        <f>TRIM(Formulario!M622)</f>
        <v/>
      </c>
      <c r="N611" s="11" t="str">
        <f>TRIM(Formulario!H622)</f>
        <v/>
      </c>
      <c r="P611" s="17"/>
      <c r="Q611" s="104"/>
      <c r="R611" s="104"/>
      <c r="S611" s="117"/>
      <c r="T611" s="101"/>
      <c r="U611" s="101"/>
      <c r="V611" s="101"/>
      <c r="W611" s="102"/>
      <c r="X611" s="102"/>
      <c r="Y611" s="102"/>
      <c r="Z611" s="102"/>
      <c r="AA611" s="102"/>
      <c r="AB611" s="102"/>
      <c r="AC611" s="102"/>
      <c r="AD611" s="102"/>
      <c r="AE611" s="102"/>
      <c r="AF611" s="102"/>
      <c r="AG611" s="102"/>
      <c r="AH611" s="102"/>
      <c r="AI611" s="102"/>
      <c r="AJ611" s="102"/>
      <c r="AK611" s="102"/>
      <c r="AL611" s="102"/>
      <c r="AM611" s="102"/>
      <c r="AN611" s="102"/>
      <c r="AO611" s="102"/>
      <c r="AP611" s="102"/>
      <c r="AQ611" s="102"/>
      <c r="AR611" s="102"/>
      <c r="AS611" s="102"/>
      <c r="AT611" s="102"/>
      <c r="AU611" s="102"/>
      <c r="AV611" s="102"/>
      <c r="AW611" s="102"/>
    </row>
    <row r="612" spans="1:49">
      <c r="A612" s="8" t="str">
        <f>IF(L612="","",Formulario!B623)</f>
        <v/>
      </c>
      <c r="B612" s="119"/>
      <c r="C612" s="120"/>
      <c r="D612" s="121"/>
      <c r="E612" s="129" t="str">
        <f>IF(F612="","",Formulario!B623)</f>
        <v/>
      </c>
      <c r="F612" s="11" t="str">
        <f>TRIM(Formulario!D623)</f>
        <v/>
      </c>
      <c r="G612" s="11" t="str">
        <f>TRIM(Formulario!F623)</f>
        <v/>
      </c>
      <c r="H612" s="146" t="str">
        <f>IF(N612="",TRIM(Formulario!G623),TRIM(Formulario!G623)*N612)</f>
        <v/>
      </c>
      <c r="I612" s="107" t="str">
        <f>TRIM(Formulario!I623)</f>
        <v/>
      </c>
      <c r="J612" s="11" t="str">
        <f>TRIM(Formulario!J623)</f>
        <v/>
      </c>
      <c r="K612" s="11" t="str">
        <f>TRIM(Formulario!K623)</f>
        <v/>
      </c>
      <c r="L612" s="107" t="str">
        <f>TRIM(Formulario!L623)</f>
        <v/>
      </c>
      <c r="M612" s="107" t="str">
        <f>TRIM(Formulario!M623)</f>
        <v/>
      </c>
      <c r="N612" s="11" t="str">
        <f>TRIM(Formulario!H623)</f>
        <v/>
      </c>
      <c r="P612" s="17"/>
      <c r="Q612" s="104"/>
      <c r="R612" s="104"/>
      <c r="S612" s="117"/>
      <c r="T612" s="101"/>
      <c r="U612" s="101"/>
      <c r="V612" s="101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</row>
    <row r="613" spans="1:49">
      <c r="A613" s="8" t="str">
        <f>IF(L613="","",Formulario!B624)</f>
        <v/>
      </c>
      <c r="B613" s="119"/>
      <c r="C613" s="120"/>
      <c r="D613" s="121"/>
      <c r="E613" s="129" t="str">
        <f>IF(F613="","",Formulario!B624)</f>
        <v/>
      </c>
      <c r="F613" s="11" t="str">
        <f>TRIM(Formulario!D624)</f>
        <v/>
      </c>
      <c r="G613" s="11" t="str">
        <f>TRIM(Formulario!F624)</f>
        <v/>
      </c>
      <c r="H613" s="146" t="str">
        <f>IF(N613="",TRIM(Formulario!G624),TRIM(Formulario!G624)*N613)</f>
        <v/>
      </c>
      <c r="I613" s="107" t="str">
        <f>TRIM(Formulario!I624)</f>
        <v/>
      </c>
      <c r="J613" s="11" t="str">
        <f>TRIM(Formulario!J624)</f>
        <v/>
      </c>
      <c r="K613" s="11" t="str">
        <f>TRIM(Formulario!K624)</f>
        <v/>
      </c>
      <c r="L613" s="107" t="str">
        <f>TRIM(Formulario!L624)</f>
        <v/>
      </c>
      <c r="M613" s="107" t="str">
        <f>TRIM(Formulario!M624)</f>
        <v/>
      </c>
      <c r="N613" s="11" t="str">
        <f>TRIM(Formulario!H624)</f>
        <v/>
      </c>
      <c r="P613" s="17"/>
      <c r="Q613" s="104"/>
      <c r="R613" s="104"/>
      <c r="S613" s="117"/>
      <c r="T613" s="101"/>
      <c r="U613" s="101"/>
      <c r="V613" s="101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</row>
    <row r="614" spans="1:49">
      <c r="A614" s="8" t="str">
        <f>IF(L614="","",Formulario!B625)</f>
        <v/>
      </c>
      <c r="B614" s="119"/>
      <c r="C614" s="120"/>
      <c r="D614" s="121"/>
      <c r="E614" s="129" t="str">
        <f>IF(F614="","",Formulario!B625)</f>
        <v/>
      </c>
      <c r="F614" s="11" t="str">
        <f>TRIM(Formulario!D625)</f>
        <v/>
      </c>
      <c r="G614" s="11" t="str">
        <f>TRIM(Formulario!F625)</f>
        <v/>
      </c>
      <c r="H614" s="146" t="str">
        <f>IF(N614="",TRIM(Formulario!G625),TRIM(Formulario!G625)*N614)</f>
        <v/>
      </c>
      <c r="I614" s="107" t="str">
        <f>TRIM(Formulario!I625)</f>
        <v/>
      </c>
      <c r="J614" s="11" t="str">
        <f>TRIM(Formulario!J625)</f>
        <v/>
      </c>
      <c r="K614" s="11" t="str">
        <f>TRIM(Formulario!K625)</f>
        <v/>
      </c>
      <c r="L614" s="107" t="str">
        <f>TRIM(Formulario!L625)</f>
        <v/>
      </c>
      <c r="M614" s="107" t="str">
        <f>TRIM(Formulario!M625)</f>
        <v/>
      </c>
      <c r="N614" s="11" t="str">
        <f>TRIM(Formulario!H625)</f>
        <v/>
      </c>
      <c r="P614" s="17"/>
      <c r="Q614" s="104"/>
      <c r="R614" s="104"/>
      <c r="S614" s="117"/>
      <c r="T614" s="101"/>
      <c r="U614" s="101"/>
      <c r="V614" s="101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</row>
    <row r="615" spans="1:49">
      <c r="A615" s="8" t="str">
        <f>IF(L615="","",Formulario!B626)</f>
        <v/>
      </c>
      <c r="B615" s="119"/>
      <c r="C615" s="120"/>
      <c r="D615" s="121"/>
      <c r="E615" s="129" t="str">
        <f>IF(F615="","",Formulario!B626)</f>
        <v/>
      </c>
      <c r="F615" s="11" t="str">
        <f>TRIM(Formulario!D626)</f>
        <v/>
      </c>
      <c r="G615" s="11" t="str">
        <f>TRIM(Formulario!F626)</f>
        <v/>
      </c>
      <c r="H615" s="146" t="str">
        <f>IF(N615="",TRIM(Formulario!G626),TRIM(Formulario!G626)*N615)</f>
        <v/>
      </c>
      <c r="I615" s="107" t="str">
        <f>TRIM(Formulario!I626)</f>
        <v/>
      </c>
      <c r="J615" s="11" t="str">
        <f>TRIM(Formulario!J626)</f>
        <v/>
      </c>
      <c r="K615" s="11" t="str">
        <f>TRIM(Formulario!K626)</f>
        <v/>
      </c>
      <c r="L615" s="107" t="str">
        <f>TRIM(Formulario!L626)</f>
        <v/>
      </c>
      <c r="M615" s="107" t="str">
        <f>TRIM(Formulario!M626)</f>
        <v/>
      </c>
      <c r="N615" s="11" t="str">
        <f>TRIM(Formulario!H626)</f>
        <v/>
      </c>
      <c r="P615" s="17"/>
      <c r="Q615" s="104"/>
      <c r="R615" s="104"/>
      <c r="S615" s="117"/>
      <c r="T615" s="101"/>
      <c r="U615" s="101"/>
      <c r="V615" s="101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</row>
    <row r="616" spans="1:49">
      <c r="A616" s="8" t="str">
        <f>IF(L616="","",Formulario!B627)</f>
        <v/>
      </c>
      <c r="B616" s="119"/>
      <c r="C616" s="120"/>
      <c r="D616" s="121"/>
      <c r="E616" s="129" t="str">
        <f>IF(F616="","",Formulario!B627)</f>
        <v/>
      </c>
      <c r="F616" s="11" t="str">
        <f>TRIM(Formulario!D627)</f>
        <v/>
      </c>
      <c r="G616" s="11" t="str">
        <f>TRIM(Formulario!F627)</f>
        <v/>
      </c>
      <c r="H616" s="146" t="str">
        <f>IF(N616="",TRIM(Formulario!G627),TRIM(Formulario!G627)*N616)</f>
        <v/>
      </c>
      <c r="I616" s="107" t="str">
        <f>TRIM(Formulario!I627)</f>
        <v/>
      </c>
      <c r="J616" s="11" t="str">
        <f>TRIM(Formulario!J627)</f>
        <v/>
      </c>
      <c r="K616" s="11" t="str">
        <f>TRIM(Formulario!K627)</f>
        <v/>
      </c>
      <c r="L616" s="107" t="str">
        <f>TRIM(Formulario!L627)</f>
        <v/>
      </c>
      <c r="M616" s="107" t="str">
        <f>TRIM(Formulario!M627)</f>
        <v/>
      </c>
      <c r="N616" s="11" t="str">
        <f>TRIM(Formulario!H627)</f>
        <v/>
      </c>
      <c r="P616" s="17"/>
      <c r="Q616" s="104"/>
      <c r="R616" s="104"/>
      <c r="S616" s="117"/>
      <c r="T616" s="101"/>
      <c r="U616" s="101"/>
      <c r="V616" s="101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</row>
    <row r="617" spans="1:49">
      <c r="A617" s="8" t="str">
        <f>IF(L617="","",Formulario!B628)</f>
        <v/>
      </c>
      <c r="B617" s="119"/>
      <c r="C617" s="120"/>
      <c r="D617" s="121"/>
      <c r="E617" s="129" t="str">
        <f>IF(F617="","",Formulario!B628)</f>
        <v/>
      </c>
      <c r="F617" s="11" t="str">
        <f>TRIM(Formulario!D628)</f>
        <v/>
      </c>
      <c r="G617" s="11" t="str">
        <f>TRIM(Formulario!F628)</f>
        <v/>
      </c>
      <c r="H617" s="146" t="str">
        <f>IF(N617="",TRIM(Formulario!G628),TRIM(Formulario!G628)*N617)</f>
        <v/>
      </c>
      <c r="I617" s="107" t="str">
        <f>TRIM(Formulario!I628)</f>
        <v/>
      </c>
      <c r="J617" s="11" t="str">
        <f>TRIM(Formulario!J628)</f>
        <v/>
      </c>
      <c r="K617" s="11" t="str">
        <f>TRIM(Formulario!K628)</f>
        <v/>
      </c>
      <c r="L617" s="107" t="str">
        <f>TRIM(Formulario!L628)</f>
        <v/>
      </c>
      <c r="M617" s="107" t="str">
        <f>TRIM(Formulario!M628)</f>
        <v/>
      </c>
      <c r="N617" s="11" t="str">
        <f>TRIM(Formulario!H628)</f>
        <v/>
      </c>
      <c r="P617" s="17"/>
      <c r="Q617" s="104"/>
      <c r="R617" s="104"/>
      <c r="S617" s="117"/>
      <c r="T617" s="101"/>
      <c r="U617" s="101"/>
      <c r="V617" s="101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</row>
    <row r="618" spans="1:49">
      <c r="A618" s="8" t="str">
        <f>IF(L618="","",Formulario!B629)</f>
        <v/>
      </c>
      <c r="B618" s="119"/>
      <c r="C618" s="120"/>
      <c r="D618" s="121"/>
      <c r="E618" s="129" t="str">
        <f>IF(F618="","",Formulario!B629)</f>
        <v/>
      </c>
      <c r="F618" s="11" t="str">
        <f>TRIM(Formulario!D629)</f>
        <v/>
      </c>
      <c r="G618" s="11" t="str">
        <f>TRIM(Formulario!F629)</f>
        <v/>
      </c>
      <c r="H618" s="146" t="str">
        <f>IF(N618="",TRIM(Formulario!G629),TRIM(Formulario!G629)*N618)</f>
        <v/>
      </c>
      <c r="I618" s="107" t="str">
        <f>TRIM(Formulario!I629)</f>
        <v/>
      </c>
      <c r="J618" s="11" t="str">
        <f>TRIM(Formulario!J629)</f>
        <v/>
      </c>
      <c r="K618" s="11" t="str">
        <f>TRIM(Formulario!K629)</f>
        <v/>
      </c>
      <c r="L618" s="107" t="str">
        <f>TRIM(Formulario!L629)</f>
        <v/>
      </c>
      <c r="M618" s="107" t="str">
        <f>TRIM(Formulario!M629)</f>
        <v/>
      </c>
      <c r="N618" s="11" t="str">
        <f>TRIM(Formulario!H629)</f>
        <v/>
      </c>
      <c r="P618" s="17"/>
      <c r="Q618" s="104"/>
      <c r="R618" s="104"/>
      <c r="S618" s="117"/>
      <c r="T618" s="101"/>
      <c r="U618" s="101"/>
      <c r="V618" s="101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</row>
    <row r="619" spans="1:49">
      <c r="A619" s="8" t="str">
        <f>IF(L619="","",Formulario!B630)</f>
        <v/>
      </c>
      <c r="B619" s="119"/>
      <c r="C619" s="120"/>
      <c r="D619" s="121"/>
      <c r="E619" s="129" t="str">
        <f>IF(F619="","",Formulario!B630)</f>
        <v/>
      </c>
      <c r="F619" s="11" t="str">
        <f>TRIM(Formulario!D630)</f>
        <v/>
      </c>
      <c r="G619" s="11" t="str">
        <f>TRIM(Formulario!F630)</f>
        <v/>
      </c>
      <c r="H619" s="146" t="str">
        <f>IF(N619="",TRIM(Formulario!G630),TRIM(Formulario!G630)*N619)</f>
        <v/>
      </c>
      <c r="I619" s="107" t="str">
        <f>TRIM(Formulario!I630)</f>
        <v/>
      </c>
      <c r="J619" s="11" t="str">
        <f>TRIM(Formulario!J630)</f>
        <v/>
      </c>
      <c r="K619" s="11" t="str">
        <f>TRIM(Formulario!K630)</f>
        <v/>
      </c>
      <c r="L619" s="107" t="str">
        <f>TRIM(Formulario!L630)</f>
        <v/>
      </c>
      <c r="M619" s="107" t="str">
        <f>TRIM(Formulario!M630)</f>
        <v/>
      </c>
      <c r="N619" s="11" t="str">
        <f>TRIM(Formulario!H630)</f>
        <v/>
      </c>
      <c r="P619" s="17"/>
      <c r="Q619" s="104"/>
      <c r="R619" s="104"/>
      <c r="S619" s="117"/>
      <c r="T619" s="101"/>
      <c r="U619" s="101"/>
      <c r="V619" s="101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</row>
    <row r="620" spans="1:49">
      <c r="A620" s="8" t="str">
        <f>IF(L620="","",Formulario!B631)</f>
        <v/>
      </c>
      <c r="B620" s="119"/>
      <c r="C620" s="120"/>
      <c r="D620" s="121"/>
      <c r="E620" s="129" t="str">
        <f>IF(F620="","",Formulario!B631)</f>
        <v/>
      </c>
      <c r="F620" s="11" t="str">
        <f>TRIM(Formulario!D631)</f>
        <v/>
      </c>
      <c r="G620" s="11" t="str">
        <f>TRIM(Formulario!F631)</f>
        <v/>
      </c>
      <c r="H620" s="146" t="str">
        <f>IF(N620="",TRIM(Formulario!G631),TRIM(Formulario!G631)*N620)</f>
        <v/>
      </c>
      <c r="I620" s="107" t="str">
        <f>TRIM(Formulario!I631)</f>
        <v/>
      </c>
      <c r="J620" s="11" t="str">
        <f>TRIM(Formulario!J631)</f>
        <v/>
      </c>
      <c r="K620" s="11" t="str">
        <f>TRIM(Formulario!K631)</f>
        <v/>
      </c>
      <c r="L620" s="107" t="str">
        <f>TRIM(Formulario!L631)</f>
        <v/>
      </c>
      <c r="M620" s="107" t="str">
        <f>TRIM(Formulario!M631)</f>
        <v/>
      </c>
      <c r="N620" s="11" t="str">
        <f>TRIM(Formulario!H631)</f>
        <v/>
      </c>
      <c r="P620" s="17"/>
      <c r="Q620" s="104"/>
      <c r="R620" s="104"/>
      <c r="S620" s="117"/>
      <c r="T620" s="101"/>
      <c r="U620" s="101"/>
      <c r="V620" s="101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</row>
    <row r="621" spans="1:49">
      <c r="A621" s="8" t="str">
        <f>IF(L621="","",Formulario!B632)</f>
        <v/>
      </c>
      <c r="B621" s="119"/>
      <c r="C621" s="120"/>
      <c r="D621" s="121"/>
      <c r="E621" s="129" t="str">
        <f>IF(F621="","",Formulario!B632)</f>
        <v/>
      </c>
      <c r="F621" s="11" t="str">
        <f>TRIM(Formulario!D632)</f>
        <v/>
      </c>
      <c r="G621" s="11" t="str">
        <f>TRIM(Formulario!F632)</f>
        <v/>
      </c>
      <c r="H621" s="146" t="str">
        <f>IF(N621="",TRIM(Formulario!G632),TRIM(Formulario!G632)*N621)</f>
        <v/>
      </c>
      <c r="I621" s="107" t="str">
        <f>TRIM(Formulario!I632)</f>
        <v/>
      </c>
      <c r="J621" s="11" t="str">
        <f>TRIM(Formulario!J632)</f>
        <v/>
      </c>
      <c r="K621" s="11" t="str">
        <f>TRIM(Formulario!K632)</f>
        <v/>
      </c>
      <c r="L621" s="107" t="str">
        <f>TRIM(Formulario!L632)</f>
        <v/>
      </c>
      <c r="M621" s="107" t="str">
        <f>TRIM(Formulario!M632)</f>
        <v/>
      </c>
      <c r="N621" s="11" t="str">
        <f>TRIM(Formulario!H632)</f>
        <v/>
      </c>
      <c r="P621" s="17"/>
      <c r="Q621" s="104"/>
      <c r="R621" s="104"/>
      <c r="S621" s="117"/>
      <c r="T621" s="101"/>
      <c r="U621" s="101"/>
      <c r="V621" s="101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</row>
    <row r="622" spans="1:49">
      <c r="A622" s="8" t="str">
        <f>IF(L622="","",Formulario!B633)</f>
        <v/>
      </c>
      <c r="B622" s="119"/>
      <c r="C622" s="120"/>
      <c r="D622" s="121"/>
      <c r="E622" s="129" t="str">
        <f>IF(F622="","",Formulario!B633)</f>
        <v/>
      </c>
      <c r="F622" s="11" t="str">
        <f>TRIM(Formulario!D633)</f>
        <v/>
      </c>
      <c r="G622" s="11" t="str">
        <f>TRIM(Formulario!F633)</f>
        <v/>
      </c>
      <c r="H622" s="146" t="str">
        <f>IF(N622="",TRIM(Formulario!G633),TRIM(Formulario!G633)*N622)</f>
        <v/>
      </c>
      <c r="I622" s="107" t="str">
        <f>TRIM(Formulario!I633)</f>
        <v/>
      </c>
      <c r="J622" s="11" t="str">
        <f>TRIM(Formulario!J633)</f>
        <v/>
      </c>
      <c r="K622" s="11" t="str">
        <f>TRIM(Formulario!K633)</f>
        <v/>
      </c>
      <c r="L622" s="107" t="str">
        <f>TRIM(Formulario!L633)</f>
        <v/>
      </c>
      <c r="M622" s="107" t="str">
        <f>TRIM(Formulario!M633)</f>
        <v/>
      </c>
      <c r="N622" s="11" t="str">
        <f>TRIM(Formulario!H633)</f>
        <v/>
      </c>
      <c r="P622" s="17"/>
      <c r="Q622" s="104"/>
      <c r="R622" s="104"/>
      <c r="S622" s="117"/>
      <c r="T622" s="101"/>
      <c r="U622" s="101"/>
      <c r="V622" s="101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</row>
    <row r="623" spans="1:49">
      <c r="A623" s="8" t="str">
        <f>IF(L623="","",Formulario!B634)</f>
        <v/>
      </c>
      <c r="B623" s="119"/>
      <c r="C623" s="120"/>
      <c r="D623" s="121"/>
      <c r="E623" s="129" t="str">
        <f>IF(F623="","",Formulario!B634)</f>
        <v/>
      </c>
      <c r="F623" s="11" t="str">
        <f>TRIM(Formulario!D634)</f>
        <v/>
      </c>
      <c r="G623" s="11" t="str">
        <f>TRIM(Formulario!F634)</f>
        <v/>
      </c>
      <c r="H623" s="146" t="str">
        <f>IF(N623="",TRIM(Formulario!G634),TRIM(Formulario!G634)*N623)</f>
        <v/>
      </c>
      <c r="I623" s="107" t="str">
        <f>TRIM(Formulario!I634)</f>
        <v/>
      </c>
      <c r="J623" s="11" t="str">
        <f>TRIM(Formulario!J634)</f>
        <v/>
      </c>
      <c r="K623" s="11" t="str">
        <f>TRIM(Formulario!K634)</f>
        <v/>
      </c>
      <c r="L623" s="107" t="str">
        <f>TRIM(Formulario!L634)</f>
        <v/>
      </c>
      <c r="M623" s="107" t="str">
        <f>TRIM(Formulario!M634)</f>
        <v/>
      </c>
      <c r="N623" s="11" t="str">
        <f>TRIM(Formulario!H634)</f>
        <v/>
      </c>
      <c r="P623" s="17"/>
      <c r="Q623" s="104"/>
      <c r="R623" s="104"/>
      <c r="S623" s="117"/>
      <c r="T623" s="101"/>
      <c r="U623" s="101"/>
      <c r="V623" s="101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</row>
    <row r="624" spans="1:49">
      <c r="A624" s="8" t="str">
        <f>IF(L624="","",Formulario!B635)</f>
        <v/>
      </c>
      <c r="B624" s="119"/>
      <c r="C624" s="120"/>
      <c r="D624" s="121"/>
      <c r="E624" s="129" t="str">
        <f>IF(F624="","",Formulario!B635)</f>
        <v/>
      </c>
      <c r="F624" s="11" t="str">
        <f>TRIM(Formulario!D635)</f>
        <v/>
      </c>
      <c r="G624" s="11" t="str">
        <f>TRIM(Formulario!F635)</f>
        <v/>
      </c>
      <c r="H624" s="146" t="str">
        <f>IF(N624="",TRIM(Formulario!G635),TRIM(Formulario!G635)*N624)</f>
        <v/>
      </c>
      <c r="I624" s="107" t="str">
        <f>TRIM(Formulario!I635)</f>
        <v/>
      </c>
      <c r="J624" s="11" t="str">
        <f>TRIM(Formulario!J635)</f>
        <v/>
      </c>
      <c r="K624" s="11" t="str">
        <f>TRIM(Formulario!K635)</f>
        <v/>
      </c>
      <c r="L624" s="107" t="str">
        <f>TRIM(Formulario!L635)</f>
        <v/>
      </c>
      <c r="M624" s="107" t="str">
        <f>TRIM(Formulario!M635)</f>
        <v/>
      </c>
      <c r="N624" s="11" t="str">
        <f>TRIM(Formulario!H635)</f>
        <v/>
      </c>
      <c r="P624" s="17"/>
      <c r="Q624" s="104"/>
      <c r="R624" s="104"/>
      <c r="S624" s="117"/>
      <c r="T624" s="101"/>
      <c r="U624" s="101"/>
      <c r="V624" s="101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</row>
    <row r="625" spans="1:49">
      <c r="A625" s="8" t="str">
        <f>IF(L625="","",Formulario!B636)</f>
        <v/>
      </c>
      <c r="B625" s="119"/>
      <c r="C625" s="120"/>
      <c r="D625" s="121"/>
      <c r="E625" s="129" t="str">
        <f>IF(F625="","",Formulario!B636)</f>
        <v/>
      </c>
      <c r="F625" s="11" t="str">
        <f>TRIM(Formulario!D636)</f>
        <v/>
      </c>
      <c r="G625" s="11" t="str">
        <f>TRIM(Formulario!F636)</f>
        <v/>
      </c>
      <c r="H625" s="146" t="str">
        <f>IF(N625="",TRIM(Formulario!G636),TRIM(Formulario!G636)*N625)</f>
        <v/>
      </c>
      <c r="I625" s="107" t="str">
        <f>TRIM(Formulario!I636)</f>
        <v/>
      </c>
      <c r="J625" s="11" t="str">
        <f>TRIM(Formulario!J636)</f>
        <v/>
      </c>
      <c r="K625" s="11" t="str">
        <f>TRIM(Formulario!K636)</f>
        <v/>
      </c>
      <c r="L625" s="107" t="str">
        <f>TRIM(Formulario!L636)</f>
        <v/>
      </c>
      <c r="M625" s="107" t="str">
        <f>TRIM(Formulario!M636)</f>
        <v/>
      </c>
      <c r="N625" s="11" t="str">
        <f>TRIM(Formulario!H636)</f>
        <v/>
      </c>
      <c r="P625" s="17"/>
      <c r="Q625" s="104"/>
      <c r="R625" s="104"/>
      <c r="S625" s="117"/>
      <c r="T625" s="101"/>
      <c r="U625" s="101"/>
      <c r="V625" s="101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</row>
    <row r="626" spans="1:49">
      <c r="A626" s="8" t="str">
        <f>IF(L626="","",Formulario!B637)</f>
        <v/>
      </c>
      <c r="B626" s="119"/>
      <c r="C626" s="120"/>
      <c r="D626" s="121"/>
      <c r="E626" s="129" t="str">
        <f>IF(F626="","",Formulario!B637)</f>
        <v/>
      </c>
      <c r="F626" s="11" t="str">
        <f>TRIM(Formulario!D637)</f>
        <v/>
      </c>
      <c r="G626" s="11" t="str">
        <f>TRIM(Formulario!F637)</f>
        <v/>
      </c>
      <c r="H626" s="146" t="str">
        <f>IF(N626="",TRIM(Formulario!G637),TRIM(Formulario!G637)*N626)</f>
        <v/>
      </c>
      <c r="I626" s="107" t="str">
        <f>TRIM(Formulario!I637)</f>
        <v/>
      </c>
      <c r="J626" s="11" t="str">
        <f>TRIM(Formulario!J637)</f>
        <v/>
      </c>
      <c r="K626" s="11" t="str">
        <f>TRIM(Formulario!K637)</f>
        <v/>
      </c>
      <c r="L626" s="107" t="str">
        <f>TRIM(Formulario!L637)</f>
        <v/>
      </c>
      <c r="M626" s="107" t="str">
        <f>TRIM(Formulario!M637)</f>
        <v/>
      </c>
      <c r="N626" s="11" t="str">
        <f>TRIM(Formulario!H637)</f>
        <v/>
      </c>
      <c r="P626" s="17"/>
      <c r="Q626" s="104"/>
      <c r="R626" s="104"/>
      <c r="S626" s="117"/>
      <c r="T626" s="101"/>
      <c r="U626" s="101"/>
      <c r="V626" s="101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</row>
    <row r="627" spans="1:49">
      <c r="A627" s="8" t="str">
        <f>IF(L627="","",Formulario!B638)</f>
        <v/>
      </c>
      <c r="B627" s="119"/>
      <c r="C627" s="120"/>
      <c r="D627" s="121"/>
      <c r="E627" s="129" t="str">
        <f>IF(F627="","",Formulario!B638)</f>
        <v/>
      </c>
      <c r="F627" s="11" t="str">
        <f>TRIM(Formulario!D638)</f>
        <v/>
      </c>
      <c r="G627" s="11" t="str">
        <f>TRIM(Formulario!F638)</f>
        <v/>
      </c>
      <c r="H627" s="146" t="str">
        <f>IF(N627="",TRIM(Formulario!G638),TRIM(Formulario!G638)*N627)</f>
        <v/>
      </c>
      <c r="I627" s="107" t="str">
        <f>TRIM(Formulario!I638)</f>
        <v/>
      </c>
      <c r="J627" s="11" t="str">
        <f>TRIM(Formulario!J638)</f>
        <v/>
      </c>
      <c r="K627" s="11" t="str">
        <f>TRIM(Formulario!K638)</f>
        <v/>
      </c>
      <c r="L627" s="107" t="str">
        <f>TRIM(Formulario!L638)</f>
        <v/>
      </c>
      <c r="M627" s="107" t="str">
        <f>TRIM(Formulario!M638)</f>
        <v/>
      </c>
      <c r="N627" s="11" t="str">
        <f>TRIM(Formulario!H638)</f>
        <v/>
      </c>
      <c r="P627" s="17"/>
      <c r="Q627" s="104"/>
      <c r="R627" s="104"/>
      <c r="S627" s="117"/>
      <c r="T627" s="101"/>
      <c r="U627" s="101"/>
      <c r="V627" s="101"/>
      <c r="W627" s="102"/>
      <c r="X627" s="102"/>
      <c r="Y627" s="102"/>
      <c r="Z627" s="102"/>
      <c r="AA627" s="102"/>
      <c r="AB627" s="102"/>
      <c r="AC627" s="102"/>
      <c r="AD627" s="102"/>
      <c r="AE627" s="102"/>
      <c r="AF627" s="102"/>
      <c r="AG627" s="102"/>
      <c r="AH627" s="102"/>
      <c r="AI627" s="102"/>
      <c r="AJ627" s="102"/>
      <c r="AK627" s="102"/>
      <c r="AL627" s="102"/>
      <c r="AM627" s="102"/>
      <c r="AN627" s="102"/>
      <c r="AO627" s="102"/>
      <c r="AP627" s="102"/>
      <c r="AQ627" s="102"/>
      <c r="AR627" s="102"/>
      <c r="AS627" s="102"/>
      <c r="AT627" s="102"/>
      <c r="AU627" s="102"/>
      <c r="AV627" s="102"/>
      <c r="AW627" s="102"/>
    </row>
    <row r="628" spans="1:49">
      <c r="A628" s="8" t="str">
        <f>IF(L628="","",Formulario!B639)</f>
        <v/>
      </c>
      <c r="B628" s="119"/>
      <c r="C628" s="120"/>
      <c r="D628" s="121"/>
      <c r="E628" s="129" t="str">
        <f>IF(F628="","",Formulario!B639)</f>
        <v/>
      </c>
      <c r="F628" s="11" t="str">
        <f>TRIM(Formulario!D639)</f>
        <v/>
      </c>
      <c r="G628" s="11" t="str">
        <f>TRIM(Formulario!F639)</f>
        <v/>
      </c>
      <c r="H628" s="146" t="str">
        <f>IF(N628="",TRIM(Formulario!G639),TRIM(Formulario!G639)*N628)</f>
        <v/>
      </c>
      <c r="I628" s="107" t="str">
        <f>TRIM(Formulario!I639)</f>
        <v/>
      </c>
      <c r="J628" s="11" t="str">
        <f>TRIM(Formulario!J639)</f>
        <v/>
      </c>
      <c r="K628" s="11" t="str">
        <f>TRIM(Formulario!K639)</f>
        <v/>
      </c>
      <c r="L628" s="107" t="str">
        <f>TRIM(Formulario!L639)</f>
        <v/>
      </c>
      <c r="M628" s="107" t="str">
        <f>TRIM(Formulario!M639)</f>
        <v/>
      </c>
      <c r="N628" s="11" t="str">
        <f>TRIM(Formulario!H639)</f>
        <v/>
      </c>
      <c r="P628" s="17"/>
      <c r="Q628" s="104"/>
      <c r="R628" s="104"/>
      <c r="S628" s="117"/>
      <c r="T628" s="101"/>
      <c r="U628" s="101"/>
      <c r="V628" s="101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</row>
    <row r="629" spans="1:49">
      <c r="A629" s="8" t="str">
        <f>IF(L629="","",Formulario!B640)</f>
        <v/>
      </c>
      <c r="B629" s="119"/>
      <c r="C629" s="120"/>
      <c r="D629" s="121"/>
      <c r="E629" s="129" t="str">
        <f>IF(F629="","",Formulario!B640)</f>
        <v/>
      </c>
      <c r="F629" s="11" t="str">
        <f>TRIM(Formulario!D640)</f>
        <v/>
      </c>
      <c r="G629" s="11" t="str">
        <f>TRIM(Formulario!F640)</f>
        <v/>
      </c>
      <c r="H629" s="146" t="str">
        <f>IF(N629="",TRIM(Formulario!G640),TRIM(Formulario!G640)*N629)</f>
        <v/>
      </c>
      <c r="I629" s="107" t="str">
        <f>TRIM(Formulario!I640)</f>
        <v/>
      </c>
      <c r="J629" s="11" t="str">
        <f>TRIM(Formulario!J640)</f>
        <v/>
      </c>
      <c r="K629" s="11" t="str">
        <f>TRIM(Formulario!K640)</f>
        <v/>
      </c>
      <c r="L629" s="107" t="str">
        <f>TRIM(Formulario!L640)</f>
        <v/>
      </c>
      <c r="M629" s="107" t="str">
        <f>TRIM(Formulario!M640)</f>
        <v/>
      </c>
      <c r="N629" s="11" t="str">
        <f>TRIM(Formulario!H640)</f>
        <v/>
      </c>
      <c r="P629" s="17"/>
      <c r="Q629" s="104"/>
      <c r="R629" s="104"/>
      <c r="S629" s="117"/>
      <c r="T629" s="101"/>
      <c r="U629" s="101"/>
      <c r="V629" s="101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</row>
    <row r="630" spans="1:49">
      <c r="A630" s="8" t="str">
        <f>IF(L630="","",Formulario!B641)</f>
        <v/>
      </c>
      <c r="B630" s="119"/>
      <c r="C630" s="120"/>
      <c r="D630" s="121"/>
      <c r="E630" s="129" t="str">
        <f>IF(F630="","",Formulario!B641)</f>
        <v/>
      </c>
      <c r="F630" s="11" t="str">
        <f>TRIM(Formulario!D641)</f>
        <v/>
      </c>
      <c r="G630" s="11" t="str">
        <f>TRIM(Formulario!F641)</f>
        <v/>
      </c>
      <c r="H630" s="146" t="str">
        <f>IF(N630="",TRIM(Formulario!G641),TRIM(Formulario!G641)*N630)</f>
        <v/>
      </c>
      <c r="I630" s="107" t="str">
        <f>TRIM(Formulario!I641)</f>
        <v/>
      </c>
      <c r="J630" s="11" t="str">
        <f>TRIM(Formulario!J641)</f>
        <v/>
      </c>
      <c r="K630" s="11" t="str">
        <f>TRIM(Formulario!K641)</f>
        <v/>
      </c>
      <c r="L630" s="107" t="str">
        <f>TRIM(Formulario!L641)</f>
        <v/>
      </c>
      <c r="M630" s="107" t="str">
        <f>TRIM(Formulario!M641)</f>
        <v/>
      </c>
      <c r="N630" s="11" t="str">
        <f>TRIM(Formulario!H641)</f>
        <v/>
      </c>
      <c r="P630" s="17"/>
      <c r="Q630" s="104"/>
      <c r="R630" s="104"/>
      <c r="S630" s="117"/>
      <c r="T630" s="101"/>
      <c r="U630" s="101"/>
      <c r="V630" s="101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</row>
    <row r="631" spans="1:49">
      <c r="A631" s="8" t="str">
        <f>IF(L631="","",Formulario!B642)</f>
        <v/>
      </c>
      <c r="B631" s="119"/>
      <c r="C631" s="120"/>
      <c r="D631" s="121"/>
      <c r="E631" s="129" t="str">
        <f>IF(F631="","",Formulario!B642)</f>
        <v/>
      </c>
      <c r="F631" s="11" t="str">
        <f>TRIM(Formulario!D642)</f>
        <v/>
      </c>
      <c r="G631" s="11" t="str">
        <f>TRIM(Formulario!F642)</f>
        <v/>
      </c>
      <c r="H631" s="146" t="str">
        <f>IF(N631="",TRIM(Formulario!G642),TRIM(Formulario!G642)*N631)</f>
        <v/>
      </c>
      <c r="I631" s="107" t="str">
        <f>TRIM(Formulario!I642)</f>
        <v/>
      </c>
      <c r="J631" s="11" t="str">
        <f>TRIM(Formulario!J642)</f>
        <v/>
      </c>
      <c r="K631" s="11" t="str">
        <f>TRIM(Formulario!K642)</f>
        <v/>
      </c>
      <c r="L631" s="107" t="str">
        <f>TRIM(Formulario!L642)</f>
        <v/>
      </c>
      <c r="M631" s="107" t="str">
        <f>TRIM(Formulario!M642)</f>
        <v/>
      </c>
      <c r="N631" s="11" t="str">
        <f>TRIM(Formulario!H642)</f>
        <v/>
      </c>
      <c r="P631" s="17"/>
      <c r="Q631" s="104"/>
      <c r="R631" s="104"/>
      <c r="S631" s="117"/>
      <c r="T631" s="101"/>
      <c r="U631" s="101"/>
      <c r="V631" s="101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</row>
    <row r="632" spans="1:49">
      <c r="A632" s="8" t="str">
        <f>IF(L632="","",Formulario!B643)</f>
        <v/>
      </c>
      <c r="B632" s="119"/>
      <c r="C632" s="120"/>
      <c r="D632" s="121"/>
      <c r="E632" s="129" t="str">
        <f>IF(F632="","",Formulario!B643)</f>
        <v/>
      </c>
      <c r="F632" s="11" t="str">
        <f>TRIM(Formulario!D643)</f>
        <v/>
      </c>
      <c r="G632" s="11" t="str">
        <f>TRIM(Formulario!F643)</f>
        <v/>
      </c>
      <c r="H632" s="146" t="str">
        <f>IF(N632="",TRIM(Formulario!G643),TRIM(Formulario!G643)*N632)</f>
        <v/>
      </c>
      <c r="I632" s="107" t="str">
        <f>TRIM(Formulario!I643)</f>
        <v/>
      </c>
      <c r="J632" s="11" t="str">
        <f>TRIM(Formulario!J643)</f>
        <v/>
      </c>
      <c r="K632" s="11" t="str">
        <f>TRIM(Formulario!K643)</f>
        <v/>
      </c>
      <c r="L632" s="107" t="str">
        <f>TRIM(Formulario!L643)</f>
        <v/>
      </c>
      <c r="M632" s="107" t="str">
        <f>TRIM(Formulario!M643)</f>
        <v/>
      </c>
      <c r="N632" s="11" t="str">
        <f>TRIM(Formulario!H643)</f>
        <v/>
      </c>
      <c r="P632" s="17"/>
      <c r="Q632" s="104"/>
      <c r="R632" s="104"/>
      <c r="S632" s="117"/>
      <c r="T632" s="101"/>
      <c r="U632" s="101"/>
      <c r="V632" s="101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</row>
    <row r="633" spans="1:49">
      <c r="A633" s="8" t="str">
        <f>IF(L633="","",Formulario!B644)</f>
        <v/>
      </c>
      <c r="B633" s="119"/>
      <c r="C633" s="120"/>
      <c r="D633" s="121"/>
      <c r="E633" s="129" t="str">
        <f>IF(F633="","",Formulario!B644)</f>
        <v/>
      </c>
      <c r="F633" s="11" t="str">
        <f>TRIM(Formulario!D644)</f>
        <v/>
      </c>
      <c r="G633" s="11" t="str">
        <f>TRIM(Formulario!F644)</f>
        <v/>
      </c>
      <c r="H633" s="146" t="str">
        <f>IF(N633="",TRIM(Formulario!G644),TRIM(Formulario!G644)*N633)</f>
        <v/>
      </c>
      <c r="I633" s="107" t="str">
        <f>TRIM(Formulario!I644)</f>
        <v/>
      </c>
      <c r="J633" s="11" t="str">
        <f>TRIM(Formulario!J644)</f>
        <v/>
      </c>
      <c r="K633" s="11" t="str">
        <f>TRIM(Formulario!K644)</f>
        <v/>
      </c>
      <c r="L633" s="107" t="str">
        <f>TRIM(Formulario!L644)</f>
        <v/>
      </c>
      <c r="M633" s="107" t="str">
        <f>TRIM(Formulario!M644)</f>
        <v/>
      </c>
      <c r="N633" s="11" t="str">
        <f>TRIM(Formulario!H644)</f>
        <v/>
      </c>
      <c r="P633" s="17"/>
      <c r="Q633" s="104"/>
      <c r="R633" s="104"/>
      <c r="S633" s="117"/>
      <c r="T633" s="101"/>
      <c r="U633" s="101"/>
      <c r="V633" s="101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</row>
    <row r="634" spans="1:49">
      <c r="A634" s="8" t="str">
        <f>IF(L634="","",Formulario!B645)</f>
        <v/>
      </c>
      <c r="B634" s="119"/>
      <c r="C634" s="120"/>
      <c r="D634" s="121"/>
      <c r="E634" s="129" t="str">
        <f>IF(F634="","",Formulario!B645)</f>
        <v/>
      </c>
      <c r="F634" s="11" t="str">
        <f>TRIM(Formulario!D645)</f>
        <v/>
      </c>
      <c r="G634" s="11" t="str">
        <f>TRIM(Formulario!F645)</f>
        <v/>
      </c>
      <c r="H634" s="146" t="str">
        <f>IF(N634="",TRIM(Formulario!G645),TRIM(Formulario!G645)*N634)</f>
        <v/>
      </c>
      <c r="I634" s="107" t="str">
        <f>TRIM(Formulario!I645)</f>
        <v/>
      </c>
      <c r="J634" s="11" t="str">
        <f>TRIM(Formulario!J645)</f>
        <v/>
      </c>
      <c r="K634" s="11" t="str">
        <f>TRIM(Formulario!K645)</f>
        <v/>
      </c>
      <c r="L634" s="107" t="str">
        <f>TRIM(Formulario!L645)</f>
        <v/>
      </c>
      <c r="M634" s="107" t="str">
        <f>TRIM(Formulario!M645)</f>
        <v/>
      </c>
      <c r="N634" s="11" t="str">
        <f>TRIM(Formulario!H645)</f>
        <v/>
      </c>
      <c r="P634" s="17"/>
      <c r="Q634" s="104"/>
      <c r="R634" s="104"/>
      <c r="S634" s="117"/>
      <c r="T634" s="101"/>
      <c r="U634" s="101"/>
      <c r="V634" s="101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</row>
    <row r="635" spans="1:49">
      <c r="A635" s="8" t="str">
        <f>IF(L635="","",Formulario!B646)</f>
        <v/>
      </c>
      <c r="B635" s="119"/>
      <c r="C635" s="120"/>
      <c r="D635" s="121"/>
      <c r="E635" s="129" t="str">
        <f>IF(F635="","",Formulario!B646)</f>
        <v/>
      </c>
      <c r="F635" s="11" t="str">
        <f>TRIM(Formulario!D646)</f>
        <v/>
      </c>
      <c r="G635" s="11" t="str">
        <f>TRIM(Formulario!F646)</f>
        <v/>
      </c>
      <c r="H635" s="146" t="str">
        <f>IF(N635="",TRIM(Formulario!G646),TRIM(Formulario!G646)*N635)</f>
        <v/>
      </c>
      <c r="I635" s="107" t="str">
        <f>TRIM(Formulario!I646)</f>
        <v/>
      </c>
      <c r="J635" s="11" t="str">
        <f>TRIM(Formulario!J646)</f>
        <v/>
      </c>
      <c r="K635" s="11" t="str">
        <f>TRIM(Formulario!K646)</f>
        <v/>
      </c>
      <c r="L635" s="107" t="str">
        <f>TRIM(Formulario!L646)</f>
        <v/>
      </c>
      <c r="M635" s="107" t="str">
        <f>TRIM(Formulario!M646)</f>
        <v/>
      </c>
      <c r="N635" s="11" t="str">
        <f>TRIM(Formulario!H646)</f>
        <v/>
      </c>
      <c r="P635" s="17"/>
      <c r="Q635" s="104"/>
      <c r="R635" s="104"/>
      <c r="S635" s="117"/>
      <c r="T635" s="101"/>
      <c r="U635" s="101"/>
      <c r="V635" s="101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</row>
    <row r="636" spans="1:49">
      <c r="A636" s="8" t="str">
        <f>IF(L636="","",Formulario!B647)</f>
        <v/>
      </c>
      <c r="B636" s="119"/>
      <c r="C636" s="120"/>
      <c r="D636" s="121"/>
      <c r="E636" s="129" t="str">
        <f>IF(F636="","",Formulario!B647)</f>
        <v/>
      </c>
      <c r="F636" s="11" t="str">
        <f>TRIM(Formulario!D647)</f>
        <v/>
      </c>
      <c r="G636" s="11" t="str">
        <f>TRIM(Formulario!F647)</f>
        <v/>
      </c>
      <c r="H636" s="146" t="str">
        <f>IF(N636="",TRIM(Formulario!G647),TRIM(Formulario!G647)*N636)</f>
        <v/>
      </c>
      <c r="I636" s="107" t="str">
        <f>TRIM(Formulario!I647)</f>
        <v/>
      </c>
      <c r="J636" s="11" t="str">
        <f>TRIM(Formulario!J647)</f>
        <v/>
      </c>
      <c r="K636" s="11" t="str">
        <f>TRIM(Formulario!K647)</f>
        <v/>
      </c>
      <c r="L636" s="107" t="str">
        <f>TRIM(Formulario!L647)</f>
        <v/>
      </c>
      <c r="M636" s="107" t="str">
        <f>TRIM(Formulario!M647)</f>
        <v/>
      </c>
      <c r="N636" s="11" t="str">
        <f>TRIM(Formulario!H647)</f>
        <v/>
      </c>
      <c r="P636" s="17"/>
      <c r="Q636" s="104"/>
      <c r="R636" s="104"/>
      <c r="S636" s="117"/>
      <c r="T636" s="101"/>
      <c r="U636" s="101"/>
      <c r="V636" s="101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</row>
    <row r="637" spans="1:49">
      <c r="A637" s="8" t="str">
        <f>IF(L637="","",Formulario!B648)</f>
        <v/>
      </c>
      <c r="B637" s="119"/>
      <c r="C637" s="120"/>
      <c r="D637" s="121"/>
      <c r="E637" s="129" t="str">
        <f>IF(F637="","",Formulario!B648)</f>
        <v/>
      </c>
      <c r="F637" s="11" t="str">
        <f>TRIM(Formulario!D648)</f>
        <v/>
      </c>
      <c r="G637" s="11" t="str">
        <f>TRIM(Formulario!F648)</f>
        <v/>
      </c>
      <c r="H637" s="146" t="str">
        <f>IF(N637="",TRIM(Formulario!G648),TRIM(Formulario!G648)*N637)</f>
        <v/>
      </c>
      <c r="I637" s="107" t="str">
        <f>TRIM(Formulario!I648)</f>
        <v/>
      </c>
      <c r="J637" s="11" t="str">
        <f>TRIM(Formulario!J648)</f>
        <v/>
      </c>
      <c r="K637" s="11" t="str">
        <f>TRIM(Formulario!K648)</f>
        <v/>
      </c>
      <c r="L637" s="107" t="str">
        <f>TRIM(Formulario!L648)</f>
        <v/>
      </c>
      <c r="M637" s="107" t="str">
        <f>TRIM(Formulario!M648)</f>
        <v/>
      </c>
      <c r="N637" s="11" t="str">
        <f>TRIM(Formulario!H648)</f>
        <v/>
      </c>
      <c r="P637" s="17"/>
      <c r="Q637" s="104"/>
      <c r="R637" s="104"/>
      <c r="S637" s="117"/>
      <c r="T637" s="101"/>
      <c r="U637" s="101"/>
      <c r="V637" s="101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</row>
    <row r="638" spans="1:49">
      <c r="A638" s="8" t="str">
        <f>IF(L638="","",Formulario!B649)</f>
        <v/>
      </c>
      <c r="B638" s="119"/>
      <c r="C638" s="120"/>
      <c r="D638" s="121"/>
      <c r="E638" s="129" t="str">
        <f>IF(F638="","",Formulario!B649)</f>
        <v/>
      </c>
      <c r="F638" s="11" t="str">
        <f>TRIM(Formulario!D649)</f>
        <v/>
      </c>
      <c r="G638" s="11" t="str">
        <f>TRIM(Formulario!F649)</f>
        <v/>
      </c>
      <c r="H638" s="146" t="str">
        <f>IF(N638="",TRIM(Formulario!G649),TRIM(Formulario!G649)*N638)</f>
        <v/>
      </c>
      <c r="I638" s="107" t="str">
        <f>TRIM(Formulario!I649)</f>
        <v/>
      </c>
      <c r="J638" s="11" t="str">
        <f>TRIM(Formulario!J649)</f>
        <v/>
      </c>
      <c r="K638" s="11" t="str">
        <f>TRIM(Formulario!K649)</f>
        <v/>
      </c>
      <c r="L638" s="107" t="str">
        <f>TRIM(Formulario!L649)</f>
        <v/>
      </c>
      <c r="M638" s="107" t="str">
        <f>TRIM(Formulario!M649)</f>
        <v/>
      </c>
      <c r="N638" s="11" t="str">
        <f>TRIM(Formulario!H649)</f>
        <v/>
      </c>
      <c r="P638" s="17"/>
      <c r="Q638" s="104"/>
      <c r="R638" s="104"/>
      <c r="S638" s="117"/>
      <c r="T638" s="101"/>
      <c r="U638" s="101"/>
      <c r="V638" s="101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</row>
    <row r="639" spans="1:49">
      <c r="A639" s="8" t="str">
        <f>IF(L639="","",Formulario!B650)</f>
        <v/>
      </c>
      <c r="B639" s="119"/>
      <c r="C639" s="120"/>
      <c r="D639" s="121"/>
      <c r="E639" s="129" t="str">
        <f>IF(F639="","",Formulario!B650)</f>
        <v/>
      </c>
      <c r="F639" s="11" t="str">
        <f>TRIM(Formulario!D650)</f>
        <v/>
      </c>
      <c r="G639" s="11" t="str">
        <f>TRIM(Formulario!F650)</f>
        <v/>
      </c>
      <c r="H639" s="146" t="str">
        <f>IF(N639="",TRIM(Formulario!G650),TRIM(Formulario!G650)*N639)</f>
        <v/>
      </c>
      <c r="I639" s="107" t="str">
        <f>TRIM(Formulario!I650)</f>
        <v/>
      </c>
      <c r="J639" s="11" t="str">
        <f>TRIM(Formulario!J650)</f>
        <v/>
      </c>
      <c r="K639" s="11" t="str">
        <f>TRIM(Formulario!K650)</f>
        <v/>
      </c>
      <c r="L639" s="107" t="str">
        <f>TRIM(Formulario!L650)</f>
        <v/>
      </c>
      <c r="M639" s="107" t="str">
        <f>TRIM(Formulario!M650)</f>
        <v/>
      </c>
      <c r="N639" s="11" t="str">
        <f>TRIM(Formulario!H650)</f>
        <v/>
      </c>
      <c r="P639" s="17"/>
      <c r="Q639" s="104"/>
      <c r="R639" s="104"/>
      <c r="S639" s="117"/>
      <c r="T639" s="101"/>
      <c r="U639" s="101"/>
      <c r="V639" s="101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</row>
    <row r="640" spans="1:49">
      <c r="A640" s="8" t="str">
        <f>IF(L640="","",Formulario!B651)</f>
        <v/>
      </c>
      <c r="B640" s="119"/>
      <c r="C640" s="120"/>
      <c r="D640" s="121"/>
      <c r="E640" s="129" t="str">
        <f>IF(F640="","",Formulario!B651)</f>
        <v/>
      </c>
      <c r="F640" s="11" t="str">
        <f>TRIM(Formulario!D651)</f>
        <v/>
      </c>
      <c r="G640" s="11" t="str">
        <f>TRIM(Formulario!F651)</f>
        <v/>
      </c>
      <c r="H640" s="146" t="str">
        <f>IF(N640="",TRIM(Formulario!G651),TRIM(Formulario!G651)*N640)</f>
        <v/>
      </c>
      <c r="I640" s="107" t="str">
        <f>TRIM(Formulario!I651)</f>
        <v/>
      </c>
      <c r="J640" s="11" t="str">
        <f>TRIM(Formulario!J651)</f>
        <v/>
      </c>
      <c r="K640" s="11" t="str">
        <f>TRIM(Formulario!K651)</f>
        <v/>
      </c>
      <c r="L640" s="107" t="str">
        <f>TRIM(Formulario!L651)</f>
        <v/>
      </c>
      <c r="M640" s="107" t="str">
        <f>TRIM(Formulario!M651)</f>
        <v/>
      </c>
      <c r="N640" s="11" t="str">
        <f>TRIM(Formulario!H651)</f>
        <v/>
      </c>
      <c r="P640" s="17"/>
      <c r="Q640" s="104"/>
      <c r="R640" s="104"/>
      <c r="S640" s="117"/>
      <c r="T640" s="101"/>
      <c r="U640" s="101"/>
      <c r="V640" s="101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</row>
    <row r="641" spans="1:49">
      <c r="A641" s="8" t="str">
        <f>IF(L641="","",Formulario!B652)</f>
        <v/>
      </c>
      <c r="B641" s="119"/>
      <c r="C641" s="120"/>
      <c r="D641" s="121"/>
      <c r="E641" s="129" t="str">
        <f>IF(F641="","",Formulario!B652)</f>
        <v/>
      </c>
      <c r="F641" s="11" t="str">
        <f>TRIM(Formulario!D652)</f>
        <v/>
      </c>
      <c r="G641" s="11" t="str">
        <f>TRIM(Formulario!F652)</f>
        <v/>
      </c>
      <c r="H641" s="146" t="str">
        <f>IF(N641="",TRIM(Formulario!G652),TRIM(Formulario!G652)*N641)</f>
        <v/>
      </c>
      <c r="I641" s="107" t="str">
        <f>TRIM(Formulario!I652)</f>
        <v/>
      </c>
      <c r="J641" s="11" t="str">
        <f>TRIM(Formulario!J652)</f>
        <v/>
      </c>
      <c r="K641" s="11" t="str">
        <f>TRIM(Formulario!K652)</f>
        <v/>
      </c>
      <c r="L641" s="107" t="str">
        <f>TRIM(Formulario!L652)</f>
        <v/>
      </c>
      <c r="M641" s="107" t="str">
        <f>TRIM(Formulario!M652)</f>
        <v/>
      </c>
      <c r="N641" s="11" t="str">
        <f>TRIM(Formulario!H652)</f>
        <v/>
      </c>
      <c r="P641" s="17"/>
      <c r="Q641" s="104"/>
      <c r="R641" s="104"/>
      <c r="S641" s="117"/>
      <c r="T641" s="101"/>
      <c r="U641" s="101"/>
      <c r="V641" s="101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</row>
    <row r="642" spans="1:49">
      <c r="A642" s="8" t="str">
        <f>IF(L642="","",Formulario!B653)</f>
        <v/>
      </c>
      <c r="B642" s="119"/>
      <c r="C642" s="120"/>
      <c r="D642" s="121"/>
      <c r="E642" s="129" t="str">
        <f>IF(F642="","",Formulario!B653)</f>
        <v/>
      </c>
      <c r="F642" s="11" t="str">
        <f>TRIM(Formulario!D653)</f>
        <v/>
      </c>
      <c r="G642" s="11" t="str">
        <f>TRIM(Formulario!F653)</f>
        <v/>
      </c>
      <c r="H642" s="146" t="str">
        <f>IF(N642="",TRIM(Formulario!G653),TRIM(Formulario!G653)*N642)</f>
        <v/>
      </c>
      <c r="I642" s="107" t="str">
        <f>TRIM(Formulario!I653)</f>
        <v/>
      </c>
      <c r="J642" s="11" t="str">
        <f>TRIM(Formulario!J653)</f>
        <v/>
      </c>
      <c r="K642" s="11" t="str">
        <f>TRIM(Formulario!K653)</f>
        <v/>
      </c>
      <c r="L642" s="107" t="str">
        <f>TRIM(Formulario!L653)</f>
        <v/>
      </c>
      <c r="M642" s="107" t="str">
        <f>TRIM(Formulario!M653)</f>
        <v/>
      </c>
      <c r="N642" s="11" t="str">
        <f>TRIM(Formulario!H653)</f>
        <v/>
      </c>
      <c r="P642" s="17"/>
      <c r="Q642" s="104"/>
      <c r="R642" s="104"/>
      <c r="S642" s="117"/>
      <c r="T642" s="101"/>
      <c r="U642" s="101"/>
      <c r="V642" s="101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</row>
    <row r="643" spans="1:49">
      <c r="A643" s="8" t="str">
        <f>IF(L643="","",Formulario!B654)</f>
        <v/>
      </c>
      <c r="B643" s="119"/>
      <c r="C643" s="120"/>
      <c r="D643" s="121"/>
      <c r="E643" s="129" t="str">
        <f>IF(F643="","",Formulario!B654)</f>
        <v/>
      </c>
      <c r="F643" s="11" t="str">
        <f>TRIM(Formulario!D654)</f>
        <v/>
      </c>
      <c r="G643" s="11" t="str">
        <f>TRIM(Formulario!F654)</f>
        <v/>
      </c>
      <c r="H643" s="146" t="str">
        <f>IF(N643="",TRIM(Formulario!G654),TRIM(Formulario!G654)*N643)</f>
        <v/>
      </c>
      <c r="I643" s="107" t="str">
        <f>TRIM(Formulario!I654)</f>
        <v/>
      </c>
      <c r="J643" s="11" t="str">
        <f>TRIM(Formulario!J654)</f>
        <v/>
      </c>
      <c r="K643" s="11" t="str">
        <f>TRIM(Formulario!K654)</f>
        <v/>
      </c>
      <c r="L643" s="107" t="str">
        <f>TRIM(Formulario!L654)</f>
        <v/>
      </c>
      <c r="M643" s="107" t="str">
        <f>TRIM(Formulario!M654)</f>
        <v/>
      </c>
      <c r="N643" s="11" t="str">
        <f>TRIM(Formulario!H654)</f>
        <v/>
      </c>
      <c r="P643" s="17"/>
      <c r="Q643" s="104"/>
      <c r="R643" s="104"/>
      <c r="S643" s="117"/>
      <c r="T643" s="101"/>
      <c r="U643" s="101"/>
      <c r="V643" s="101"/>
      <c r="W643" s="102"/>
      <c r="X643" s="102"/>
      <c r="Y643" s="102"/>
      <c r="Z643" s="102"/>
      <c r="AA643" s="102"/>
      <c r="AB643" s="102"/>
      <c r="AC643" s="102"/>
      <c r="AD643" s="102"/>
      <c r="AE643" s="102"/>
      <c r="AF643" s="102"/>
      <c r="AG643" s="102"/>
      <c r="AH643" s="102"/>
      <c r="AI643" s="102"/>
      <c r="AJ643" s="102"/>
      <c r="AK643" s="102"/>
      <c r="AL643" s="102"/>
      <c r="AM643" s="102"/>
      <c r="AN643" s="102"/>
      <c r="AO643" s="102"/>
      <c r="AP643" s="102"/>
      <c r="AQ643" s="102"/>
      <c r="AR643" s="102"/>
      <c r="AS643" s="102"/>
      <c r="AT643" s="102"/>
      <c r="AU643" s="102"/>
      <c r="AV643" s="102"/>
      <c r="AW643" s="102"/>
    </row>
    <row r="644" spans="1:49">
      <c r="A644" s="8" t="str">
        <f>IF(L644="","",Formulario!B655)</f>
        <v/>
      </c>
      <c r="B644" s="119"/>
      <c r="C644" s="120"/>
      <c r="D644" s="121"/>
      <c r="E644" s="129" t="str">
        <f>IF(F644="","",Formulario!B655)</f>
        <v/>
      </c>
      <c r="F644" s="11" t="str">
        <f>TRIM(Formulario!D655)</f>
        <v/>
      </c>
      <c r="G644" s="11" t="str">
        <f>TRIM(Formulario!F655)</f>
        <v/>
      </c>
      <c r="H644" s="146" t="str">
        <f>IF(N644="",TRIM(Formulario!G655),TRIM(Formulario!G655)*N644)</f>
        <v/>
      </c>
      <c r="I644" s="107" t="str">
        <f>TRIM(Formulario!I655)</f>
        <v/>
      </c>
      <c r="J644" s="11" t="str">
        <f>TRIM(Formulario!J655)</f>
        <v/>
      </c>
      <c r="K644" s="11" t="str">
        <f>TRIM(Formulario!K655)</f>
        <v/>
      </c>
      <c r="L644" s="107" t="str">
        <f>TRIM(Formulario!L655)</f>
        <v/>
      </c>
      <c r="M644" s="107" t="str">
        <f>TRIM(Formulario!M655)</f>
        <v/>
      </c>
      <c r="N644" s="11" t="str">
        <f>TRIM(Formulario!H655)</f>
        <v/>
      </c>
      <c r="P644" s="17"/>
      <c r="Q644" s="104"/>
      <c r="R644" s="104"/>
      <c r="S644" s="117"/>
      <c r="T644" s="101"/>
      <c r="U644" s="101"/>
      <c r="V644" s="101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</row>
    <row r="645" spans="1:49">
      <c r="A645" s="8" t="str">
        <f>IF(L645="","",Formulario!B656)</f>
        <v/>
      </c>
      <c r="B645" s="119"/>
      <c r="C645" s="120"/>
      <c r="D645" s="121"/>
      <c r="E645" s="129" t="str">
        <f>IF(F645="","",Formulario!B656)</f>
        <v/>
      </c>
      <c r="F645" s="11" t="str">
        <f>TRIM(Formulario!D656)</f>
        <v/>
      </c>
      <c r="G645" s="11" t="str">
        <f>TRIM(Formulario!F656)</f>
        <v/>
      </c>
      <c r="H645" s="146" t="str">
        <f>IF(N645="",TRIM(Formulario!G656),TRIM(Formulario!G656)*N645)</f>
        <v/>
      </c>
      <c r="I645" s="107" t="str">
        <f>TRIM(Formulario!I656)</f>
        <v/>
      </c>
      <c r="J645" s="11" t="str">
        <f>TRIM(Formulario!J656)</f>
        <v/>
      </c>
      <c r="K645" s="11" t="str">
        <f>TRIM(Formulario!K656)</f>
        <v/>
      </c>
      <c r="L645" s="107" t="str">
        <f>TRIM(Formulario!L656)</f>
        <v/>
      </c>
      <c r="M645" s="107" t="str">
        <f>TRIM(Formulario!M656)</f>
        <v/>
      </c>
      <c r="N645" s="11" t="str">
        <f>TRIM(Formulario!H656)</f>
        <v/>
      </c>
      <c r="P645" s="17"/>
      <c r="Q645" s="104"/>
      <c r="R645" s="104"/>
      <c r="S645" s="117"/>
      <c r="T645" s="101"/>
      <c r="U645" s="101"/>
      <c r="V645" s="101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</row>
    <row r="646" spans="1:49">
      <c r="A646" s="8" t="str">
        <f>IF(L646="","",Formulario!B657)</f>
        <v/>
      </c>
      <c r="B646" s="119"/>
      <c r="C646" s="120"/>
      <c r="D646" s="121"/>
      <c r="E646" s="129" t="str">
        <f>IF(F646="","",Formulario!B657)</f>
        <v/>
      </c>
      <c r="F646" s="11" t="str">
        <f>TRIM(Formulario!D657)</f>
        <v/>
      </c>
      <c r="G646" s="11" t="str">
        <f>TRIM(Formulario!F657)</f>
        <v/>
      </c>
      <c r="H646" s="146" t="str">
        <f>IF(N646="",TRIM(Formulario!G657),TRIM(Formulario!G657)*N646)</f>
        <v/>
      </c>
      <c r="I646" s="107" t="str">
        <f>TRIM(Formulario!I657)</f>
        <v/>
      </c>
      <c r="J646" s="11" t="str">
        <f>TRIM(Formulario!J657)</f>
        <v/>
      </c>
      <c r="K646" s="11" t="str">
        <f>TRIM(Formulario!K657)</f>
        <v/>
      </c>
      <c r="L646" s="107" t="str">
        <f>TRIM(Formulario!L657)</f>
        <v/>
      </c>
      <c r="M646" s="107" t="str">
        <f>TRIM(Formulario!M657)</f>
        <v/>
      </c>
      <c r="N646" s="11" t="str">
        <f>TRIM(Formulario!H657)</f>
        <v/>
      </c>
      <c r="P646" s="17"/>
      <c r="Q646" s="104"/>
      <c r="R646" s="104"/>
      <c r="S646" s="117"/>
      <c r="T646" s="101"/>
      <c r="U646" s="101"/>
      <c r="V646" s="101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</row>
    <row r="647" spans="1:49">
      <c r="A647" s="8" t="str">
        <f>IF(L647="","",Formulario!B658)</f>
        <v/>
      </c>
      <c r="B647" s="119"/>
      <c r="C647" s="120"/>
      <c r="D647" s="121"/>
      <c r="E647" s="129" t="str">
        <f>IF(F647="","",Formulario!B658)</f>
        <v/>
      </c>
      <c r="F647" s="11" t="str">
        <f>TRIM(Formulario!D658)</f>
        <v/>
      </c>
      <c r="G647" s="11" t="str">
        <f>TRIM(Formulario!F658)</f>
        <v/>
      </c>
      <c r="H647" s="146" t="str">
        <f>IF(N647="",TRIM(Formulario!G658),TRIM(Formulario!G658)*N647)</f>
        <v/>
      </c>
      <c r="I647" s="107" t="str">
        <f>TRIM(Formulario!I658)</f>
        <v/>
      </c>
      <c r="J647" s="11" t="str">
        <f>TRIM(Formulario!J658)</f>
        <v/>
      </c>
      <c r="K647" s="11" t="str">
        <f>TRIM(Formulario!K658)</f>
        <v/>
      </c>
      <c r="L647" s="107" t="str">
        <f>TRIM(Formulario!L658)</f>
        <v/>
      </c>
      <c r="M647" s="107" t="str">
        <f>TRIM(Formulario!M658)</f>
        <v/>
      </c>
      <c r="N647" s="11" t="str">
        <f>TRIM(Formulario!H658)</f>
        <v/>
      </c>
      <c r="P647" s="17"/>
      <c r="Q647" s="104"/>
      <c r="R647" s="104"/>
      <c r="S647" s="117"/>
      <c r="T647" s="101"/>
      <c r="U647" s="101"/>
      <c r="V647" s="101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</row>
    <row r="648" spans="1:49">
      <c r="A648" s="8" t="str">
        <f>IF(L648="","",Formulario!B659)</f>
        <v/>
      </c>
      <c r="B648" s="119"/>
      <c r="C648" s="120"/>
      <c r="D648" s="121"/>
      <c r="E648" s="129" t="str">
        <f>IF(F648="","",Formulario!B659)</f>
        <v/>
      </c>
      <c r="F648" s="11" t="str">
        <f>TRIM(Formulario!D659)</f>
        <v/>
      </c>
      <c r="G648" s="11" t="str">
        <f>TRIM(Formulario!F659)</f>
        <v/>
      </c>
      <c r="H648" s="146" t="str">
        <f>IF(N648="",TRIM(Formulario!G659),TRIM(Formulario!G659)*N648)</f>
        <v/>
      </c>
      <c r="I648" s="107" t="str">
        <f>TRIM(Formulario!I659)</f>
        <v/>
      </c>
      <c r="J648" s="11" t="str">
        <f>TRIM(Formulario!J659)</f>
        <v/>
      </c>
      <c r="K648" s="11" t="str">
        <f>TRIM(Formulario!K659)</f>
        <v/>
      </c>
      <c r="L648" s="107" t="str">
        <f>TRIM(Formulario!L659)</f>
        <v/>
      </c>
      <c r="M648" s="107" t="str">
        <f>TRIM(Formulario!M659)</f>
        <v/>
      </c>
      <c r="N648" s="11" t="str">
        <f>TRIM(Formulario!H659)</f>
        <v/>
      </c>
      <c r="P648" s="17"/>
      <c r="Q648" s="104"/>
      <c r="R648" s="104"/>
      <c r="S648" s="117"/>
      <c r="T648" s="101"/>
      <c r="U648" s="101"/>
      <c r="V648" s="101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</row>
    <row r="649" spans="1:49">
      <c r="A649" s="8" t="str">
        <f>IF(L649="","",Formulario!B660)</f>
        <v/>
      </c>
      <c r="B649" s="119"/>
      <c r="C649" s="120"/>
      <c r="D649" s="121"/>
      <c r="E649" s="129" t="str">
        <f>IF(F649="","",Formulario!B660)</f>
        <v/>
      </c>
      <c r="F649" s="11" t="str">
        <f>TRIM(Formulario!D660)</f>
        <v/>
      </c>
      <c r="G649" s="11" t="str">
        <f>TRIM(Formulario!F660)</f>
        <v/>
      </c>
      <c r="H649" s="146" t="str">
        <f>IF(N649="",TRIM(Formulario!G660),TRIM(Formulario!G660)*N649)</f>
        <v/>
      </c>
      <c r="I649" s="107" t="str">
        <f>TRIM(Formulario!I660)</f>
        <v/>
      </c>
      <c r="J649" s="11" t="str">
        <f>TRIM(Formulario!J660)</f>
        <v/>
      </c>
      <c r="K649" s="11" t="str">
        <f>TRIM(Formulario!K660)</f>
        <v/>
      </c>
      <c r="L649" s="107" t="str">
        <f>TRIM(Formulario!L660)</f>
        <v/>
      </c>
      <c r="M649" s="107" t="str">
        <f>TRIM(Formulario!M660)</f>
        <v/>
      </c>
      <c r="N649" s="11" t="str">
        <f>TRIM(Formulario!H660)</f>
        <v/>
      </c>
      <c r="P649" s="17"/>
      <c r="Q649" s="104"/>
      <c r="R649" s="104"/>
      <c r="S649" s="117"/>
      <c r="T649" s="101"/>
      <c r="U649" s="101"/>
      <c r="V649" s="101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</row>
    <row r="650" spans="1:49">
      <c r="A650" s="8" t="str">
        <f>IF(L650="","",Formulario!B661)</f>
        <v/>
      </c>
      <c r="B650" s="119"/>
      <c r="C650" s="120"/>
      <c r="D650" s="121"/>
      <c r="E650" s="129" t="str">
        <f>IF(F650="","",Formulario!B661)</f>
        <v/>
      </c>
      <c r="F650" s="11" t="str">
        <f>TRIM(Formulario!D661)</f>
        <v/>
      </c>
      <c r="G650" s="11" t="str">
        <f>TRIM(Formulario!F661)</f>
        <v/>
      </c>
      <c r="H650" s="146" t="str">
        <f>IF(N650="",TRIM(Formulario!G661),TRIM(Formulario!G661)*N650)</f>
        <v/>
      </c>
      <c r="I650" s="107" t="str">
        <f>TRIM(Formulario!I661)</f>
        <v/>
      </c>
      <c r="J650" s="11" t="str">
        <f>TRIM(Formulario!J661)</f>
        <v/>
      </c>
      <c r="K650" s="11" t="str">
        <f>TRIM(Formulario!K661)</f>
        <v/>
      </c>
      <c r="L650" s="107" t="str">
        <f>TRIM(Formulario!L661)</f>
        <v/>
      </c>
      <c r="M650" s="107" t="str">
        <f>TRIM(Formulario!M661)</f>
        <v/>
      </c>
      <c r="N650" s="11" t="str">
        <f>TRIM(Formulario!H661)</f>
        <v/>
      </c>
      <c r="P650" s="17"/>
      <c r="Q650" s="104"/>
      <c r="R650" s="104"/>
      <c r="S650" s="117"/>
      <c r="T650" s="101"/>
      <c r="U650" s="101"/>
      <c r="V650" s="101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</row>
    <row r="651" spans="1:49">
      <c r="A651" s="8" t="str">
        <f>IF(L651="","",Formulario!B662)</f>
        <v/>
      </c>
      <c r="B651" s="119"/>
      <c r="C651" s="120"/>
      <c r="D651" s="121"/>
      <c r="E651" s="129" t="str">
        <f>IF(F651="","",Formulario!B662)</f>
        <v/>
      </c>
      <c r="F651" s="11" t="str">
        <f>TRIM(Formulario!D662)</f>
        <v/>
      </c>
      <c r="G651" s="11" t="str">
        <f>TRIM(Formulario!F662)</f>
        <v/>
      </c>
      <c r="H651" s="146" t="str">
        <f>IF(N651="",TRIM(Formulario!G662),TRIM(Formulario!G662)*N651)</f>
        <v/>
      </c>
      <c r="I651" s="107" t="str">
        <f>TRIM(Formulario!I662)</f>
        <v/>
      </c>
      <c r="J651" s="11" t="str">
        <f>TRIM(Formulario!J662)</f>
        <v/>
      </c>
      <c r="K651" s="11" t="str">
        <f>TRIM(Formulario!K662)</f>
        <v/>
      </c>
      <c r="L651" s="107" t="str">
        <f>TRIM(Formulario!L662)</f>
        <v/>
      </c>
      <c r="M651" s="107" t="str">
        <f>TRIM(Formulario!M662)</f>
        <v/>
      </c>
      <c r="N651" s="11" t="str">
        <f>TRIM(Formulario!H662)</f>
        <v/>
      </c>
      <c r="P651" s="17"/>
      <c r="Q651" s="104"/>
      <c r="R651" s="104"/>
      <c r="S651" s="117"/>
      <c r="T651" s="101"/>
      <c r="U651" s="101"/>
      <c r="V651" s="101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</row>
    <row r="652" spans="1:49">
      <c r="A652" s="8" t="str">
        <f>IF(L652="","",Formulario!B663)</f>
        <v/>
      </c>
      <c r="B652" s="119"/>
      <c r="C652" s="120"/>
      <c r="D652" s="121"/>
      <c r="E652" s="129" t="str">
        <f>IF(F652="","",Formulario!B663)</f>
        <v/>
      </c>
      <c r="F652" s="11" t="str">
        <f>TRIM(Formulario!D663)</f>
        <v/>
      </c>
      <c r="G652" s="11" t="str">
        <f>TRIM(Formulario!F663)</f>
        <v/>
      </c>
      <c r="H652" s="146" t="str">
        <f>IF(N652="",TRIM(Formulario!G663),TRIM(Formulario!G663)*N652)</f>
        <v/>
      </c>
      <c r="I652" s="107" t="str">
        <f>TRIM(Formulario!I663)</f>
        <v/>
      </c>
      <c r="J652" s="11" t="str">
        <f>TRIM(Formulario!J663)</f>
        <v/>
      </c>
      <c r="K652" s="11" t="str">
        <f>TRIM(Formulario!K663)</f>
        <v/>
      </c>
      <c r="L652" s="107" t="str">
        <f>TRIM(Formulario!L663)</f>
        <v/>
      </c>
      <c r="M652" s="107" t="str">
        <f>TRIM(Formulario!M663)</f>
        <v/>
      </c>
      <c r="N652" s="11" t="str">
        <f>TRIM(Formulario!H663)</f>
        <v/>
      </c>
      <c r="P652" s="17"/>
      <c r="Q652" s="104"/>
      <c r="R652" s="104"/>
      <c r="S652" s="117"/>
      <c r="T652" s="101"/>
      <c r="U652" s="101"/>
      <c r="V652" s="101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</row>
    <row r="653" spans="1:49">
      <c r="A653" s="8" t="str">
        <f>IF(L653="","",Formulario!B664)</f>
        <v/>
      </c>
      <c r="B653" s="119"/>
      <c r="C653" s="120"/>
      <c r="D653" s="121"/>
      <c r="E653" s="129" t="str">
        <f>IF(F653="","",Formulario!B664)</f>
        <v/>
      </c>
      <c r="F653" s="11" t="str">
        <f>TRIM(Formulario!D664)</f>
        <v/>
      </c>
      <c r="G653" s="11" t="str">
        <f>TRIM(Formulario!F664)</f>
        <v/>
      </c>
      <c r="H653" s="146" t="str">
        <f>IF(N653="",TRIM(Formulario!G664),TRIM(Formulario!G664)*N653)</f>
        <v/>
      </c>
      <c r="I653" s="107" t="str">
        <f>TRIM(Formulario!I664)</f>
        <v/>
      </c>
      <c r="J653" s="11" t="str">
        <f>TRIM(Formulario!J664)</f>
        <v/>
      </c>
      <c r="K653" s="11" t="str">
        <f>TRIM(Formulario!K664)</f>
        <v/>
      </c>
      <c r="L653" s="107" t="str">
        <f>TRIM(Formulario!L664)</f>
        <v/>
      </c>
      <c r="M653" s="107" t="str">
        <f>TRIM(Formulario!M664)</f>
        <v/>
      </c>
      <c r="N653" s="11" t="str">
        <f>TRIM(Formulario!H664)</f>
        <v/>
      </c>
      <c r="P653" s="17"/>
      <c r="Q653" s="104"/>
      <c r="R653" s="104"/>
      <c r="S653" s="117"/>
      <c r="T653" s="101"/>
      <c r="U653" s="101"/>
      <c r="V653" s="101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</row>
    <row r="654" spans="1:49">
      <c r="A654" s="8" t="str">
        <f>IF(L654="","",Formulario!B665)</f>
        <v/>
      </c>
      <c r="B654" s="119"/>
      <c r="C654" s="120"/>
      <c r="D654" s="121"/>
      <c r="E654" s="129" t="str">
        <f>IF(F654="","",Formulario!B665)</f>
        <v/>
      </c>
      <c r="F654" s="11" t="str">
        <f>TRIM(Formulario!D665)</f>
        <v/>
      </c>
      <c r="G654" s="11" t="str">
        <f>TRIM(Formulario!F665)</f>
        <v/>
      </c>
      <c r="H654" s="146" t="str">
        <f>IF(N654="",TRIM(Formulario!G665),TRIM(Formulario!G665)*N654)</f>
        <v/>
      </c>
      <c r="I654" s="107" t="str">
        <f>TRIM(Formulario!I665)</f>
        <v/>
      </c>
      <c r="J654" s="11" t="str">
        <f>TRIM(Formulario!J665)</f>
        <v/>
      </c>
      <c r="K654" s="11" t="str">
        <f>TRIM(Formulario!K665)</f>
        <v/>
      </c>
      <c r="L654" s="107" t="str">
        <f>TRIM(Formulario!L665)</f>
        <v/>
      </c>
      <c r="M654" s="107" t="str">
        <f>TRIM(Formulario!M665)</f>
        <v/>
      </c>
      <c r="N654" s="11" t="str">
        <f>TRIM(Formulario!H665)</f>
        <v/>
      </c>
      <c r="P654" s="17"/>
      <c r="Q654" s="104"/>
      <c r="R654" s="104"/>
      <c r="S654" s="117"/>
      <c r="T654" s="101"/>
      <c r="U654" s="101"/>
      <c r="V654" s="101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</row>
    <row r="655" spans="1:49">
      <c r="A655" s="8" t="str">
        <f>IF(L655="","",Formulario!B666)</f>
        <v/>
      </c>
      <c r="B655" s="119"/>
      <c r="C655" s="120"/>
      <c r="D655" s="121"/>
      <c r="E655" s="129" t="str">
        <f>IF(F655="","",Formulario!B666)</f>
        <v/>
      </c>
      <c r="F655" s="11" t="str">
        <f>TRIM(Formulario!D666)</f>
        <v/>
      </c>
      <c r="G655" s="11" t="str">
        <f>TRIM(Formulario!F666)</f>
        <v/>
      </c>
      <c r="H655" s="146" t="str">
        <f>IF(N655="",TRIM(Formulario!G666),TRIM(Formulario!G666)*N655)</f>
        <v/>
      </c>
      <c r="I655" s="107" t="str">
        <f>TRIM(Formulario!I666)</f>
        <v/>
      </c>
      <c r="J655" s="11" t="str">
        <f>TRIM(Formulario!J666)</f>
        <v/>
      </c>
      <c r="K655" s="11" t="str">
        <f>TRIM(Formulario!K666)</f>
        <v/>
      </c>
      <c r="L655" s="107" t="str">
        <f>TRIM(Formulario!L666)</f>
        <v/>
      </c>
      <c r="M655" s="107" t="str">
        <f>TRIM(Formulario!M666)</f>
        <v/>
      </c>
      <c r="N655" s="11" t="str">
        <f>TRIM(Formulario!H666)</f>
        <v/>
      </c>
      <c r="P655" s="17"/>
      <c r="Q655" s="104"/>
      <c r="R655" s="104"/>
      <c r="S655" s="117"/>
      <c r="T655" s="101"/>
      <c r="U655" s="101"/>
      <c r="V655" s="101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</row>
    <row r="656" spans="1:49">
      <c r="A656" s="8" t="str">
        <f>IF(L656="","",Formulario!B667)</f>
        <v/>
      </c>
      <c r="B656" s="119"/>
      <c r="C656" s="120"/>
      <c r="D656" s="121"/>
      <c r="E656" s="129" t="str">
        <f>IF(F656="","",Formulario!B667)</f>
        <v/>
      </c>
      <c r="F656" s="11" t="str">
        <f>TRIM(Formulario!D667)</f>
        <v/>
      </c>
      <c r="G656" s="11" t="str">
        <f>TRIM(Formulario!F667)</f>
        <v/>
      </c>
      <c r="H656" s="146" t="str">
        <f>IF(N656="",TRIM(Formulario!G667),TRIM(Formulario!G667)*N656)</f>
        <v/>
      </c>
      <c r="I656" s="107" t="str">
        <f>TRIM(Formulario!I667)</f>
        <v/>
      </c>
      <c r="J656" s="11" t="str">
        <f>TRIM(Formulario!J667)</f>
        <v/>
      </c>
      <c r="K656" s="11" t="str">
        <f>TRIM(Formulario!K667)</f>
        <v/>
      </c>
      <c r="L656" s="107" t="str">
        <f>TRIM(Formulario!L667)</f>
        <v/>
      </c>
      <c r="M656" s="107" t="str">
        <f>TRIM(Formulario!M667)</f>
        <v/>
      </c>
      <c r="N656" s="11" t="str">
        <f>TRIM(Formulario!H667)</f>
        <v/>
      </c>
      <c r="P656" s="17"/>
      <c r="Q656" s="104"/>
      <c r="R656" s="104"/>
      <c r="S656" s="117"/>
      <c r="T656" s="101"/>
      <c r="U656" s="101"/>
      <c r="V656" s="101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</row>
    <row r="657" spans="1:49">
      <c r="A657" s="8" t="str">
        <f>IF(L657="","",Formulario!B668)</f>
        <v/>
      </c>
      <c r="B657" s="119"/>
      <c r="C657" s="120"/>
      <c r="D657" s="121"/>
      <c r="E657" s="129" t="str">
        <f>IF(F657="","",Formulario!B668)</f>
        <v/>
      </c>
      <c r="F657" s="11" t="str">
        <f>TRIM(Formulario!D668)</f>
        <v/>
      </c>
      <c r="G657" s="11" t="str">
        <f>TRIM(Formulario!F668)</f>
        <v/>
      </c>
      <c r="H657" s="146" t="str">
        <f>IF(N657="",TRIM(Formulario!G668),TRIM(Formulario!G668)*N657)</f>
        <v/>
      </c>
      <c r="I657" s="107" t="str">
        <f>TRIM(Formulario!I668)</f>
        <v/>
      </c>
      <c r="J657" s="11" t="str">
        <f>TRIM(Formulario!J668)</f>
        <v/>
      </c>
      <c r="K657" s="11" t="str">
        <f>TRIM(Formulario!K668)</f>
        <v/>
      </c>
      <c r="L657" s="107" t="str">
        <f>TRIM(Formulario!L668)</f>
        <v/>
      </c>
      <c r="M657" s="107" t="str">
        <f>TRIM(Formulario!M668)</f>
        <v/>
      </c>
      <c r="N657" s="11" t="str">
        <f>TRIM(Formulario!H668)</f>
        <v/>
      </c>
      <c r="P657" s="17"/>
      <c r="Q657" s="104"/>
      <c r="R657" s="104"/>
      <c r="S657" s="117"/>
      <c r="T657" s="101"/>
      <c r="U657" s="101"/>
      <c r="V657" s="101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</row>
    <row r="658" spans="1:49">
      <c r="A658" s="8" t="str">
        <f>IF(L658="","",Formulario!B669)</f>
        <v/>
      </c>
      <c r="B658" s="119"/>
      <c r="C658" s="120"/>
      <c r="D658" s="121"/>
      <c r="E658" s="129" t="str">
        <f>IF(F658="","",Formulario!B669)</f>
        <v/>
      </c>
      <c r="F658" s="11" t="str">
        <f>TRIM(Formulario!D669)</f>
        <v/>
      </c>
      <c r="G658" s="11" t="str">
        <f>TRIM(Formulario!F669)</f>
        <v/>
      </c>
      <c r="H658" s="146" t="str">
        <f>IF(N658="",TRIM(Formulario!G669),TRIM(Formulario!G669)*N658)</f>
        <v/>
      </c>
      <c r="I658" s="107" t="str">
        <f>TRIM(Formulario!I669)</f>
        <v/>
      </c>
      <c r="J658" s="11" t="str">
        <f>TRIM(Formulario!J669)</f>
        <v/>
      </c>
      <c r="K658" s="11" t="str">
        <f>TRIM(Formulario!K669)</f>
        <v/>
      </c>
      <c r="L658" s="107" t="str">
        <f>TRIM(Formulario!L669)</f>
        <v/>
      </c>
      <c r="M658" s="107" t="str">
        <f>TRIM(Formulario!M669)</f>
        <v/>
      </c>
      <c r="N658" s="11" t="str">
        <f>TRIM(Formulario!H669)</f>
        <v/>
      </c>
      <c r="P658" s="17"/>
      <c r="Q658" s="104"/>
      <c r="R658" s="104"/>
      <c r="S658" s="117"/>
      <c r="T658" s="101"/>
      <c r="U658" s="101"/>
      <c r="V658" s="101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</row>
    <row r="659" spans="1:49">
      <c r="A659" s="8" t="str">
        <f>IF(L659="","",Formulario!B670)</f>
        <v/>
      </c>
      <c r="B659" s="119"/>
      <c r="C659" s="120"/>
      <c r="D659" s="121"/>
      <c r="E659" s="129" t="str">
        <f>IF(F659="","",Formulario!B670)</f>
        <v/>
      </c>
      <c r="F659" s="11" t="str">
        <f>TRIM(Formulario!D670)</f>
        <v/>
      </c>
      <c r="G659" s="11" t="str">
        <f>TRIM(Formulario!F670)</f>
        <v/>
      </c>
      <c r="H659" s="146" t="str">
        <f>IF(N659="",TRIM(Formulario!G670),TRIM(Formulario!G670)*N659)</f>
        <v/>
      </c>
      <c r="I659" s="107" t="str">
        <f>TRIM(Formulario!I670)</f>
        <v/>
      </c>
      <c r="J659" s="11" t="str">
        <f>TRIM(Formulario!J670)</f>
        <v/>
      </c>
      <c r="K659" s="11" t="str">
        <f>TRIM(Formulario!K670)</f>
        <v/>
      </c>
      <c r="L659" s="107" t="str">
        <f>TRIM(Formulario!L670)</f>
        <v/>
      </c>
      <c r="M659" s="107" t="str">
        <f>TRIM(Formulario!M670)</f>
        <v/>
      </c>
      <c r="N659" s="11" t="str">
        <f>TRIM(Formulario!H670)</f>
        <v/>
      </c>
      <c r="P659" s="17"/>
      <c r="Q659" s="104"/>
      <c r="R659" s="104"/>
      <c r="S659" s="117"/>
      <c r="T659" s="101"/>
      <c r="U659" s="101"/>
      <c r="V659" s="101"/>
      <c r="W659" s="102"/>
      <c r="X659" s="102"/>
      <c r="Y659" s="102"/>
      <c r="Z659" s="102"/>
      <c r="AA659" s="102"/>
      <c r="AB659" s="102"/>
      <c r="AC659" s="102"/>
      <c r="AD659" s="102"/>
      <c r="AE659" s="102"/>
      <c r="AF659" s="102"/>
      <c r="AG659" s="102"/>
      <c r="AH659" s="102"/>
      <c r="AI659" s="102"/>
      <c r="AJ659" s="102"/>
      <c r="AK659" s="102"/>
      <c r="AL659" s="102"/>
      <c r="AM659" s="102"/>
      <c r="AN659" s="102"/>
      <c r="AO659" s="102"/>
      <c r="AP659" s="102"/>
      <c r="AQ659" s="102"/>
      <c r="AR659" s="102"/>
      <c r="AS659" s="102"/>
      <c r="AT659" s="102"/>
      <c r="AU659" s="102"/>
      <c r="AV659" s="102"/>
      <c r="AW659" s="102"/>
    </row>
    <row r="660" spans="1:49">
      <c r="A660" s="8" t="str">
        <f>IF(L660="","",Formulario!B671)</f>
        <v/>
      </c>
      <c r="B660" s="119"/>
      <c r="C660" s="120"/>
      <c r="D660" s="121"/>
      <c r="E660" s="129" t="str">
        <f>IF(F660="","",Formulario!B671)</f>
        <v/>
      </c>
      <c r="F660" s="11" t="str">
        <f>TRIM(Formulario!D671)</f>
        <v/>
      </c>
      <c r="G660" s="11" t="str">
        <f>TRIM(Formulario!F671)</f>
        <v/>
      </c>
      <c r="H660" s="146" t="str">
        <f>IF(N660="",TRIM(Formulario!G671),TRIM(Formulario!G671)*N660)</f>
        <v/>
      </c>
      <c r="I660" s="107" t="str">
        <f>TRIM(Formulario!I671)</f>
        <v/>
      </c>
      <c r="J660" s="11" t="str">
        <f>TRIM(Formulario!J671)</f>
        <v/>
      </c>
      <c r="K660" s="11" t="str">
        <f>TRIM(Formulario!K671)</f>
        <v/>
      </c>
      <c r="L660" s="107" t="str">
        <f>TRIM(Formulario!L671)</f>
        <v/>
      </c>
      <c r="M660" s="107" t="str">
        <f>TRIM(Formulario!M671)</f>
        <v/>
      </c>
      <c r="N660" s="11" t="str">
        <f>TRIM(Formulario!H671)</f>
        <v/>
      </c>
      <c r="P660" s="17"/>
      <c r="Q660" s="104"/>
      <c r="R660" s="104"/>
      <c r="S660" s="117"/>
      <c r="T660" s="101"/>
      <c r="U660" s="101"/>
      <c r="V660" s="101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</row>
    <row r="661" spans="1:49">
      <c r="A661" s="8" t="str">
        <f>IF(L661="","",Formulario!B672)</f>
        <v/>
      </c>
      <c r="B661" s="119"/>
      <c r="C661" s="120"/>
      <c r="D661" s="121"/>
      <c r="E661" s="129" t="str">
        <f>IF(F661="","",Formulario!B672)</f>
        <v/>
      </c>
      <c r="F661" s="11" t="str">
        <f>TRIM(Formulario!D672)</f>
        <v/>
      </c>
      <c r="G661" s="11" t="str">
        <f>TRIM(Formulario!F672)</f>
        <v/>
      </c>
      <c r="H661" s="146" t="str">
        <f>IF(N661="",TRIM(Formulario!G672),TRIM(Formulario!G672)*N661)</f>
        <v/>
      </c>
      <c r="I661" s="107" t="str">
        <f>TRIM(Formulario!I672)</f>
        <v/>
      </c>
      <c r="J661" s="11" t="str">
        <f>TRIM(Formulario!J672)</f>
        <v/>
      </c>
      <c r="K661" s="11" t="str">
        <f>TRIM(Formulario!K672)</f>
        <v/>
      </c>
      <c r="L661" s="107" t="str">
        <f>TRIM(Formulario!L672)</f>
        <v/>
      </c>
      <c r="M661" s="107" t="str">
        <f>TRIM(Formulario!M672)</f>
        <v/>
      </c>
      <c r="N661" s="11" t="str">
        <f>TRIM(Formulario!H672)</f>
        <v/>
      </c>
      <c r="P661" s="17"/>
      <c r="Q661" s="104"/>
      <c r="R661" s="104"/>
      <c r="S661" s="117"/>
      <c r="T661" s="101"/>
      <c r="U661" s="101"/>
      <c r="V661" s="101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</row>
    <row r="662" spans="1:49">
      <c r="A662" s="8" t="str">
        <f>IF(L662="","",Formulario!B673)</f>
        <v/>
      </c>
      <c r="B662" s="119"/>
      <c r="C662" s="120"/>
      <c r="D662" s="121"/>
      <c r="E662" s="129" t="str">
        <f>IF(F662="","",Formulario!B673)</f>
        <v/>
      </c>
      <c r="F662" s="11" t="str">
        <f>TRIM(Formulario!D673)</f>
        <v/>
      </c>
      <c r="G662" s="11" t="str">
        <f>TRIM(Formulario!F673)</f>
        <v/>
      </c>
      <c r="H662" s="146" t="str">
        <f>IF(N662="",TRIM(Formulario!G673),TRIM(Formulario!G673)*N662)</f>
        <v/>
      </c>
      <c r="I662" s="107" t="str">
        <f>TRIM(Formulario!I673)</f>
        <v/>
      </c>
      <c r="J662" s="11" t="str">
        <f>TRIM(Formulario!J673)</f>
        <v/>
      </c>
      <c r="K662" s="11" t="str">
        <f>TRIM(Formulario!K673)</f>
        <v/>
      </c>
      <c r="L662" s="107" t="str">
        <f>TRIM(Formulario!L673)</f>
        <v/>
      </c>
      <c r="M662" s="107" t="str">
        <f>TRIM(Formulario!M673)</f>
        <v/>
      </c>
      <c r="N662" s="11" t="str">
        <f>TRIM(Formulario!H673)</f>
        <v/>
      </c>
      <c r="P662" s="17"/>
      <c r="Q662" s="104"/>
      <c r="R662" s="104"/>
      <c r="S662" s="117"/>
      <c r="T662" s="101"/>
      <c r="U662" s="101"/>
      <c r="V662" s="101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</row>
    <row r="663" spans="1:49">
      <c r="A663" s="8" t="str">
        <f>IF(L663="","",Formulario!B674)</f>
        <v/>
      </c>
      <c r="B663" s="119"/>
      <c r="C663" s="120"/>
      <c r="D663" s="121"/>
      <c r="E663" s="129" t="str">
        <f>IF(F663="","",Formulario!B674)</f>
        <v/>
      </c>
      <c r="F663" s="11" t="str">
        <f>TRIM(Formulario!D674)</f>
        <v/>
      </c>
      <c r="G663" s="11" t="str">
        <f>TRIM(Formulario!F674)</f>
        <v/>
      </c>
      <c r="H663" s="146" t="str">
        <f>IF(N663="",TRIM(Formulario!G674),TRIM(Formulario!G674)*N663)</f>
        <v/>
      </c>
      <c r="I663" s="107" t="str">
        <f>TRIM(Formulario!I674)</f>
        <v/>
      </c>
      <c r="J663" s="11" t="str">
        <f>TRIM(Formulario!J674)</f>
        <v/>
      </c>
      <c r="K663" s="11" t="str">
        <f>TRIM(Formulario!K674)</f>
        <v/>
      </c>
      <c r="L663" s="107" t="str">
        <f>TRIM(Formulario!L674)</f>
        <v/>
      </c>
      <c r="M663" s="107" t="str">
        <f>TRIM(Formulario!M674)</f>
        <v/>
      </c>
      <c r="N663" s="11" t="str">
        <f>TRIM(Formulario!H674)</f>
        <v/>
      </c>
      <c r="P663" s="17"/>
      <c r="Q663" s="104"/>
      <c r="R663" s="104"/>
      <c r="S663" s="117"/>
      <c r="T663" s="101"/>
      <c r="U663" s="101"/>
      <c r="V663" s="101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</row>
    <row r="664" spans="1:49">
      <c r="A664" s="8" t="str">
        <f>IF(L664="","",Formulario!B675)</f>
        <v/>
      </c>
      <c r="B664" s="119"/>
      <c r="C664" s="120"/>
      <c r="D664" s="121"/>
      <c r="E664" s="129" t="str">
        <f>IF(F664="","",Formulario!B675)</f>
        <v/>
      </c>
      <c r="F664" s="11" t="str">
        <f>TRIM(Formulario!D675)</f>
        <v/>
      </c>
      <c r="G664" s="11" t="str">
        <f>TRIM(Formulario!F675)</f>
        <v/>
      </c>
      <c r="H664" s="146" t="str">
        <f>IF(N664="",TRIM(Formulario!G675),TRIM(Formulario!G675)*N664)</f>
        <v/>
      </c>
      <c r="I664" s="107" t="str">
        <f>TRIM(Formulario!I675)</f>
        <v/>
      </c>
      <c r="J664" s="11" t="str">
        <f>TRIM(Formulario!J675)</f>
        <v/>
      </c>
      <c r="K664" s="11" t="str">
        <f>TRIM(Formulario!K675)</f>
        <v/>
      </c>
      <c r="L664" s="107" t="str">
        <f>TRIM(Formulario!L675)</f>
        <v/>
      </c>
      <c r="M664" s="107" t="str">
        <f>TRIM(Formulario!M675)</f>
        <v/>
      </c>
      <c r="N664" s="11" t="str">
        <f>TRIM(Formulario!H675)</f>
        <v/>
      </c>
      <c r="P664" s="17"/>
      <c r="Q664" s="104"/>
      <c r="R664" s="104"/>
      <c r="S664" s="117"/>
      <c r="T664" s="101"/>
      <c r="U664" s="101"/>
      <c r="V664" s="101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</row>
    <row r="665" spans="1:49">
      <c r="A665" s="8" t="str">
        <f>IF(L665="","",Formulario!B676)</f>
        <v/>
      </c>
      <c r="B665" s="119"/>
      <c r="C665" s="120"/>
      <c r="D665" s="121"/>
      <c r="E665" s="129" t="str">
        <f>IF(F665="","",Formulario!B676)</f>
        <v/>
      </c>
      <c r="F665" s="11" t="str">
        <f>TRIM(Formulario!D676)</f>
        <v/>
      </c>
      <c r="G665" s="11" t="str">
        <f>TRIM(Formulario!F676)</f>
        <v/>
      </c>
      <c r="H665" s="146" t="str">
        <f>IF(N665="",TRIM(Formulario!G676),TRIM(Formulario!G676)*N665)</f>
        <v/>
      </c>
      <c r="I665" s="107" t="str">
        <f>TRIM(Formulario!I676)</f>
        <v/>
      </c>
      <c r="J665" s="11" t="str">
        <f>TRIM(Formulario!J676)</f>
        <v/>
      </c>
      <c r="K665" s="11" t="str">
        <f>TRIM(Formulario!K676)</f>
        <v/>
      </c>
      <c r="L665" s="107" t="str">
        <f>TRIM(Formulario!L676)</f>
        <v/>
      </c>
      <c r="M665" s="107" t="str">
        <f>TRIM(Formulario!M676)</f>
        <v/>
      </c>
      <c r="N665" s="11" t="str">
        <f>TRIM(Formulario!H676)</f>
        <v/>
      </c>
      <c r="P665" s="17"/>
      <c r="Q665" s="104"/>
      <c r="R665" s="104"/>
      <c r="S665" s="117"/>
      <c r="T665" s="101"/>
      <c r="U665" s="101"/>
      <c r="V665" s="101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</row>
    <row r="666" spans="1:49">
      <c r="A666" s="8" t="str">
        <f>IF(L666="","",Formulario!B677)</f>
        <v/>
      </c>
      <c r="B666" s="119"/>
      <c r="C666" s="120"/>
      <c r="D666" s="121"/>
      <c r="E666" s="129" t="str">
        <f>IF(F666="","",Formulario!B677)</f>
        <v/>
      </c>
      <c r="F666" s="11" t="str">
        <f>TRIM(Formulario!D677)</f>
        <v/>
      </c>
      <c r="G666" s="11" t="str">
        <f>TRIM(Formulario!F677)</f>
        <v/>
      </c>
      <c r="H666" s="146" t="str">
        <f>IF(N666="",TRIM(Formulario!G677),TRIM(Formulario!G677)*N666)</f>
        <v/>
      </c>
      <c r="I666" s="107" t="str">
        <f>TRIM(Formulario!I677)</f>
        <v/>
      </c>
      <c r="J666" s="11" t="str">
        <f>TRIM(Formulario!J677)</f>
        <v/>
      </c>
      <c r="K666" s="11" t="str">
        <f>TRIM(Formulario!K677)</f>
        <v/>
      </c>
      <c r="L666" s="107" t="str">
        <f>TRIM(Formulario!L677)</f>
        <v/>
      </c>
      <c r="M666" s="107" t="str">
        <f>TRIM(Formulario!M677)</f>
        <v/>
      </c>
      <c r="N666" s="11" t="str">
        <f>TRIM(Formulario!H677)</f>
        <v/>
      </c>
      <c r="P666" s="17"/>
      <c r="Q666" s="104"/>
      <c r="R666" s="104"/>
      <c r="S666" s="117"/>
      <c r="T666" s="101"/>
      <c r="U666" s="101"/>
      <c r="V666" s="101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</row>
    <row r="667" spans="1:49">
      <c r="A667" s="8" t="str">
        <f>IF(L667="","",Formulario!B678)</f>
        <v/>
      </c>
      <c r="B667" s="119"/>
      <c r="C667" s="120"/>
      <c r="D667" s="121"/>
      <c r="E667" s="129" t="str">
        <f>IF(F667="","",Formulario!B678)</f>
        <v/>
      </c>
      <c r="F667" s="11" t="str">
        <f>TRIM(Formulario!D678)</f>
        <v/>
      </c>
      <c r="G667" s="11" t="str">
        <f>TRIM(Formulario!F678)</f>
        <v/>
      </c>
      <c r="H667" s="146" t="str">
        <f>IF(N667="",TRIM(Formulario!G678),TRIM(Formulario!G678)*N667)</f>
        <v/>
      </c>
      <c r="I667" s="107" t="str">
        <f>TRIM(Formulario!I678)</f>
        <v/>
      </c>
      <c r="J667" s="11" t="str">
        <f>TRIM(Formulario!J678)</f>
        <v/>
      </c>
      <c r="K667" s="11" t="str">
        <f>TRIM(Formulario!K678)</f>
        <v/>
      </c>
      <c r="L667" s="107" t="str">
        <f>TRIM(Formulario!L678)</f>
        <v/>
      </c>
      <c r="M667" s="107" t="str">
        <f>TRIM(Formulario!M678)</f>
        <v/>
      </c>
      <c r="N667" s="11" t="str">
        <f>TRIM(Formulario!H678)</f>
        <v/>
      </c>
      <c r="P667" s="17"/>
      <c r="Q667" s="104"/>
      <c r="R667" s="104"/>
      <c r="S667" s="117"/>
      <c r="T667" s="101"/>
      <c r="U667" s="101"/>
      <c r="V667" s="101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</row>
    <row r="668" spans="1:49">
      <c r="A668" s="8" t="str">
        <f>IF(L668="","",Formulario!B679)</f>
        <v/>
      </c>
      <c r="B668" s="119"/>
      <c r="C668" s="120"/>
      <c r="D668" s="121"/>
      <c r="E668" s="129" t="str">
        <f>IF(F668="","",Formulario!B679)</f>
        <v/>
      </c>
      <c r="F668" s="11" t="str">
        <f>TRIM(Formulario!D679)</f>
        <v/>
      </c>
      <c r="G668" s="11" t="str">
        <f>TRIM(Formulario!F679)</f>
        <v/>
      </c>
      <c r="H668" s="146" t="str">
        <f>IF(N668="",TRIM(Formulario!G679),TRIM(Formulario!G679)*N668)</f>
        <v/>
      </c>
      <c r="I668" s="107" t="str">
        <f>TRIM(Formulario!I679)</f>
        <v/>
      </c>
      <c r="J668" s="11" t="str">
        <f>TRIM(Formulario!J679)</f>
        <v/>
      </c>
      <c r="K668" s="11" t="str">
        <f>TRIM(Formulario!K679)</f>
        <v/>
      </c>
      <c r="L668" s="107" t="str">
        <f>TRIM(Formulario!L679)</f>
        <v/>
      </c>
      <c r="M668" s="107" t="str">
        <f>TRIM(Formulario!M679)</f>
        <v/>
      </c>
      <c r="N668" s="11" t="str">
        <f>TRIM(Formulario!H679)</f>
        <v/>
      </c>
      <c r="P668" s="17"/>
      <c r="Q668" s="104"/>
      <c r="R668" s="104"/>
      <c r="S668" s="117"/>
      <c r="T668" s="101"/>
      <c r="U668" s="101"/>
      <c r="V668" s="101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</row>
    <row r="669" spans="1:49">
      <c r="A669" s="8" t="str">
        <f>IF(L669="","",Formulario!B680)</f>
        <v/>
      </c>
      <c r="B669" s="119"/>
      <c r="C669" s="120"/>
      <c r="D669" s="121"/>
      <c r="E669" s="129" t="str">
        <f>IF(F669="","",Formulario!B680)</f>
        <v/>
      </c>
      <c r="F669" s="11" t="str">
        <f>TRIM(Formulario!D680)</f>
        <v/>
      </c>
      <c r="G669" s="11" t="str">
        <f>TRIM(Formulario!F680)</f>
        <v/>
      </c>
      <c r="H669" s="146" t="str">
        <f>IF(N669="",TRIM(Formulario!G680),TRIM(Formulario!G680)*N669)</f>
        <v/>
      </c>
      <c r="I669" s="107" t="str">
        <f>TRIM(Formulario!I680)</f>
        <v/>
      </c>
      <c r="J669" s="11" t="str">
        <f>TRIM(Formulario!J680)</f>
        <v/>
      </c>
      <c r="K669" s="11" t="str">
        <f>TRIM(Formulario!K680)</f>
        <v/>
      </c>
      <c r="L669" s="107" t="str">
        <f>TRIM(Formulario!L680)</f>
        <v/>
      </c>
      <c r="M669" s="107" t="str">
        <f>TRIM(Formulario!M680)</f>
        <v/>
      </c>
      <c r="N669" s="11" t="str">
        <f>TRIM(Formulario!H680)</f>
        <v/>
      </c>
      <c r="P669" s="17"/>
      <c r="Q669" s="104"/>
      <c r="R669" s="104"/>
      <c r="S669" s="117"/>
      <c r="T669" s="101"/>
      <c r="U669" s="101"/>
      <c r="V669" s="101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</row>
    <row r="670" spans="1:49">
      <c r="A670" s="8" t="str">
        <f>IF(L670="","",Formulario!B681)</f>
        <v/>
      </c>
      <c r="B670" s="119"/>
      <c r="C670" s="120"/>
      <c r="D670" s="121"/>
      <c r="E670" s="129" t="str">
        <f>IF(F670="","",Formulario!B681)</f>
        <v/>
      </c>
      <c r="F670" s="11" t="str">
        <f>TRIM(Formulario!D681)</f>
        <v/>
      </c>
      <c r="G670" s="11" t="str">
        <f>TRIM(Formulario!F681)</f>
        <v/>
      </c>
      <c r="H670" s="146" t="str">
        <f>IF(N670="",TRIM(Formulario!G681),TRIM(Formulario!G681)*N670)</f>
        <v/>
      </c>
      <c r="I670" s="107" t="str">
        <f>TRIM(Formulario!I681)</f>
        <v/>
      </c>
      <c r="J670" s="11" t="str">
        <f>TRIM(Formulario!J681)</f>
        <v/>
      </c>
      <c r="K670" s="11" t="str">
        <f>TRIM(Formulario!K681)</f>
        <v/>
      </c>
      <c r="L670" s="107" t="str">
        <f>TRIM(Formulario!L681)</f>
        <v/>
      </c>
      <c r="M670" s="107" t="str">
        <f>TRIM(Formulario!M681)</f>
        <v/>
      </c>
      <c r="N670" s="11" t="str">
        <f>TRIM(Formulario!H681)</f>
        <v/>
      </c>
      <c r="P670" s="17"/>
      <c r="Q670" s="104"/>
      <c r="R670" s="104"/>
      <c r="S670" s="117"/>
      <c r="T670" s="101"/>
      <c r="U670" s="101"/>
      <c r="V670" s="101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</row>
    <row r="671" spans="1:49">
      <c r="A671" s="8" t="str">
        <f>IF(L671="","",Formulario!B682)</f>
        <v/>
      </c>
      <c r="B671" s="119"/>
      <c r="C671" s="120"/>
      <c r="D671" s="121"/>
      <c r="E671" s="129" t="str">
        <f>IF(F671="","",Formulario!B682)</f>
        <v/>
      </c>
      <c r="F671" s="11" t="str">
        <f>TRIM(Formulario!D682)</f>
        <v/>
      </c>
      <c r="G671" s="11" t="str">
        <f>TRIM(Formulario!F682)</f>
        <v/>
      </c>
      <c r="H671" s="146" t="str">
        <f>IF(N671="",TRIM(Formulario!G682),TRIM(Formulario!G682)*N671)</f>
        <v/>
      </c>
      <c r="I671" s="107" t="str">
        <f>TRIM(Formulario!I682)</f>
        <v/>
      </c>
      <c r="J671" s="11" t="str">
        <f>TRIM(Formulario!J682)</f>
        <v/>
      </c>
      <c r="K671" s="11" t="str">
        <f>TRIM(Formulario!K682)</f>
        <v/>
      </c>
      <c r="L671" s="107" t="str">
        <f>TRIM(Formulario!L682)</f>
        <v/>
      </c>
      <c r="M671" s="107" t="str">
        <f>TRIM(Formulario!M682)</f>
        <v/>
      </c>
      <c r="N671" s="11" t="str">
        <f>TRIM(Formulario!H682)</f>
        <v/>
      </c>
      <c r="P671" s="17"/>
      <c r="Q671" s="104"/>
      <c r="R671" s="104"/>
      <c r="S671" s="117"/>
      <c r="T671" s="101"/>
      <c r="U671" s="101"/>
      <c r="V671" s="101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</row>
    <row r="672" spans="1:49">
      <c r="A672" s="8" t="str">
        <f>IF(L672="","",Formulario!B683)</f>
        <v/>
      </c>
      <c r="B672" s="119"/>
      <c r="C672" s="120"/>
      <c r="D672" s="121"/>
      <c r="E672" s="129" t="str">
        <f>IF(F672="","",Formulario!B683)</f>
        <v/>
      </c>
      <c r="F672" s="11" t="str">
        <f>TRIM(Formulario!D683)</f>
        <v/>
      </c>
      <c r="G672" s="11" t="str">
        <f>TRIM(Formulario!F683)</f>
        <v/>
      </c>
      <c r="H672" s="146" t="str">
        <f>IF(N672="",TRIM(Formulario!G683),TRIM(Formulario!G683)*N672)</f>
        <v/>
      </c>
      <c r="I672" s="107" t="str">
        <f>TRIM(Formulario!I683)</f>
        <v/>
      </c>
      <c r="J672" s="11" t="str">
        <f>TRIM(Formulario!J683)</f>
        <v/>
      </c>
      <c r="K672" s="11" t="str">
        <f>TRIM(Formulario!K683)</f>
        <v/>
      </c>
      <c r="L672" s="107" t="str">
        <f>TRIM(Formulario!L683)</f>
        <v/>
      </c>
      <c r="M672" s="107" t="str">
        <f>TRIM(Formulario!M683)</f>
        <v/>
      </c>
      <c r="N672" s="11" t="str">
        <f>TRIM(Formulario!H683)</f>
        <v/>
      </c>
      <c r="P672" s="17"/>
      <c r="Q672" s="104"/>
      <c r="R672" s="104"/>
      <c r="S672" s="117"/>
      <c r="T672" s="101"/>
      <c r="U672" s="101"/>
      <c r="V672" s="101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</row>
    <row r="673" spans="1:49">
      <c r="A673" s="8" t="str">
        <f>IF(L673="","",Formulario!B684)</f>
        <v/>
      </c>
      <c r="B673" s="119"/>
      <c r="C673" s="120"/>
      <c r="D673" s="121"/>
      <c r="E673" s="129" t="str">
        <f>IF(F673="","",Formulario!B684)</f>
        <v/>
      </c>
      <c r="F673" s="11" t="str">
        <f>TRIM(Formulario!D684)</f>
        <v/>
      </c>
      <c r="G673" s="11" t="str">
        <f>TRIM(Formulario!F684)</f>
        <v/>
      </c>
      <c r="H673" s="146" t="str">
        <f>IF(N673="",TRIM(Formulario!G684),TRIM(Formulario!G684)*N673)</f>
        <v/>
      </c>
      <c r="I673" s="107" t="str">
        <f>TRIM(Formulario!I684)</f>
        <v/>
      </c>
      <c r="J673" s="11" t="str">
        <f>TRIM(Formulario!J684)</f>
        <v/>
      </c>
      <c r="K673" s="11" t="str">
        <f>TRIM(Formulario!K684)</f>
        <v/>
      </c>
      <c r="L673" s="107" t="str">
        <f>TRIM(Formulario!L684)</f>
        <v/>
      </c>
      <c r="M673" s="107" t="str">
        <f>TRIM(Formulario!M684)</f>
        <v/>
      </c>
      <c r="N673" s="11" t="str">
        <f>TRIM(Formulario!H684)</f>
        <v/>
      </c>
      <c r="P673" s="17"/>
      <c r="Q673" s="104"/>
      <c r="R673" s="104"/>
      <c r="S673" s="117"/>
      <c r="T673" s="101"/>
      <c r="U673" s="101"/>
      <c r="V673" s="101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</row>
    <row r="674" spans="1:49">
      <c r="A674" s="8" t="str">
        <f>IF(L674="","",Formulario!B685)</f>
        <v/>
      </c>
      <c r="B674" s="119"/>
      <c r="C674" s="120"/>
      <c r="D674" s="121"/>
      <c r="E674" s="129" t="str">
        <f>IF(F674="","",Formulario!B685)</f>
        <v/>
      </c>
      <c r="F674" s="11" t="str">
        <f>TRIM(Formulario!D685)</f>
        <v/>
      </c>
      <c r="G674" s="11" t="str">
        <f>TRIM(Formulario!F685)</f>
        <v/>
      </c>
      <c r="H674" s="146" t="str">
        <f>IF(N674="",TRIM(Formulario!G685),TRIM(Formulario!G685)*N674)</f>
        <v/>
      </c>
      <c r="I674" s="107" t="str">
        <f>TRIM(Formulario!I685)</f>
        <v/>
      </c>
      <c r="J674" s="11" t="str">
        <f>TRIM(Formulario!J685)</f>
        <v/>
      </c>
      <c r="K674" s="11" t="str">
        <f>TRIM(Formulario!K685)</f>
        <v/>
      </c>
      <c r="L674" s="107" t="str">
        <f>TRIM(Formulario!L685)</f>
        <v/>
      </c>
      <c r="M674" s="107" t="str">
        <f>TRIM(Formulario!M685)</f>
        <v/>
      </c>
      <c r="N674" s="11" t="str">
        <f>TRIM(Formulario!H685)</f>
        <v/>
      </c>
      <c r="P674" s="17"/>
      <c r="Q674" s="104"/>
      <c r="R674" s="104"/>
      <c r="S674" s="117"/>
      <c r="T674" s="101"/>
      <c r="U674" s="101"/>
      <c r="V674" s="101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</row>
    <row r="675" spans="1:49">
      <c r="A675" s="8" t="str">
        <f>IF(L675="","",Formulario!B686)</f>
        <v/>
      </c>
      <c r="B675" s="119"/>
      <c r="C675" s="120"/>
      <c r="D675" s="121"/>
      <c r="E675" s="129" t="str">
        <f>IF(F675="","",Formulario!B686)</f>
        <v/>
      </c>
      <c r="F675" s="11" t="str">
        <f>TRIM(Formulario!D686)</f>
        <v/>
      </c>
      <c r="G675" s="11" t="str">
        <f>TRIM(Formulario!F686)</f>
        <v/>
      </c>
      <c r="H675" s="146" t="str">
        <f>IF(N675="",TRIM(Formulario!G686),TRIM(Formulario!G686)*N675)</f>
        <v/>
      </c>
      <c r="I675" s="107" t="str">
        <f>TRIM(Formulario!I686)</f>
        <v/>
      </c>
      <c r="J675" s="11" t="str">
        <f>TRIM(Formulario!J686)</f>
        <v/>
      </c>
      <c r="K675" s="11" t="str">
        <f>TRIM(Formulario!K686)</f>
        <v/>
      </c>
      <c r="L675" s="107" t="str">
        <f>TRIM(Formulario!L686)</f>
        <v/>
      </c>
      <c r="M675" s="107" t="str">
        <f>TRIM(Formulario!M686)</f>
        <v/>
      </c>
      <c r="N675" s="11" t="str">
        <f>TRIM(Formulario!H686)</f>
        <v/>
      </c>
      <c r="P675" s="17"/>
      <c r="Q675" s="104"/>
      <c r="R675" s="104"/>
      <c r="S675" s="117"/>
      <c r="T675" s="101"/>
      <c r="U675" s="101"/>
      <c r="V675" s="101"/>
      <c r="W675" s="102"/>
      <c r="X675" s="102"/>
      <c r="Y675" s="102"/>
      <c r="Z675" s="102"/>
      <c r="AA675" s="102"/>
      <c r="AB675" s="102"/>
      <c r="AC675" s="102"/>
      <c r="AD675" s="102"/>
      <c r="AE675" s="102"/>
      <c r="AF675" s="102"/>
      <c r="AG675" s="102"/>
      <c r="AH675" s="102"/>
      <c r="AI675" s="102"/>
      <c r="AJ675" s="102"/>
      <c r="AK675" s="102"/>
      <c r="AL675" s="102"/>
      <c r="AM675" s="102"/>
      <c r="AN675" s="102"/>
      <c r="AO675" s="102"/>
      <c r="AP675" s="102"/>
      <c r="AQ675" s="102"/>
      <c r="AR675" s="102"/>
      <c r="AS675" s="102"/>
      <c r="AT675" s="102"/>
      <c r="AU675" s="102"/>
      <c r="AV675" s="102"/>
      <c r="AW675" s="102"/>
    </row>
    <row r="676" spans="1:49">
      <c r="A676" s="8" t="str">
        <f>IF(L676="","",Formulario!B687)</f>
        <v/>
      </c>
      <c r="B676" s="119"/>
      <c r="C676" s="120"/>
      <c r="D676" s="121"/>
      <c r="E676" s="129" t="str">
        <f>IF(F676="","",Formulario!B687)</f>
        <v/>
      </c>
      <c r="F676" s="11" t="str">
        <f>TRIM(Formulario!D687)</f>
        <v/>
      </c>
      <c r="G676" s="11" t="str">
        <f>TRIM(Formulario!F687)</f>
        <v/>
      </c>
      <c r="H676" s="146" t="str">
        <f>IF(N676="",TRIM(Formulario!G687),TRIM(Formulario!G687)*N676)</f>
        <v/>
      </c>
      <c r="I676" s="107" t="str">
        <f>TRIM(Formulario!I687)</f>
        <v/>
      </c>
      <c r="J676" s="11" t="str">
        <f>TRIM(Formulario!J687)</f>
        <v/>
      </c>
      <c r="K676" s="11" t="str">
        <f>TRIM(Formulario!K687)</f>
        <v/>
      </c>
      <c r="L676" s="107" t="str">
        <f>TRIM(Formulario!L687)</f>
        <v/>
      </c>
      <c r="M676" s="107" t="str">
        <f>TRIM(Formulario!M687)</f>
        <v/>
      </c>
      <c r="N676" s="11" t="str">
        <f>TRIM(Formulario!H687)</f>
        <v/>
      </c>
      <c r="P676" s="17"/>
      <c r="Q676" s="104"/>
      <c r="R676" s="104"/>
      <c r="S676" s="117"/>
      <c r="T676" s="101"/>
      <c r="U676" s="101"/>
      <c r="V676" s="101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</row>
    <row r="677" spans="1:49">
      <c r="A677" s="8" t="str">
        <f>IF(L677="","",Formulario!B688)</f>
        <v/>
      </c>
      <c r="B677" s="119"/>
      <c r="C677" s="120"/>
      <c r="D677" s="121"/>
      <c r="E677" s="129" t="str">
        <f>IF(F677="","",Formulario!B688)</f>
        <v/>
      </c>
      <c r="F677" s="11" t="str">
        <f>TRIM(Formulario!D688)</f>
        <v/>
      </c>
      <c r="G677" s="11" t="str">
        <f>TRIM(Formulario!F688)</f>
        <v/>
      </c>
      <c r="H677" s="146" t="str">
        <f>IF(N677="",TRIM(Formulario!G688),TRIM(Formulario!G688)*N677)</f>
        <v/>
      </c>
      <c r="I677" s="107" t="str">
        <f>TRIM(Formulario!I688)</f>
        <v/>
      </c>
      <c r="J677" s="11" t="str">
        <f>TRIM(Formulario!J688)</f>
        <v/>
      </c>
      <c r="K677" s="11" t="str">
        <f>TRIM(Formulario!K688)</f>
        <v/>
      </c>
      <c r="L677" s="107" t="str">
        <f>TRIM(Formulario!L688)</f>
        <v/>
      </c>
      <c r="M677" s="107" t="str">
        <f>TRIM(Formulario!M688)</f>
        <v/>
      </c>
      <c r="N677" s="11" t="str">
        <f>TRIM(Formulario!H688)</f>
        <v/>
      </c>
      <c r="P677" s="17"/>
      <c r="Q677" s="104"/>
      <c r="R677" s="104"/>
      <c r="S677" s="117"/>
      <c r="T677" s="101"/>
      <c r="U677" s="101"/>
      <c r="V677" s="101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</row>
    <row r="678" spans="1:49">
      <c r="A678" s="8" t="str">
        <f>IF(L678="","",Formulario!B689)</f>
        <v/>
      </c>
      <c r="B678" s="119"/>
      <c r="C678" s="120"/>
      <c r="D678" s="121"/>
      <c r="E678" s="129" t="str">
        <f>IF(F678="","",Formulario!B689)</f>
        <v/>
      </c>
      <c r="F678" s="11" t="str">
        <f>TRIM(Formulario!D689)</f>
        <v/>
      </c>
      <c r="G678" s="11" t="str">
        <f>TRIM(Formulario!F689)</f>
        <v/>
      </c>
      <c r="H678" s="146" t="str">
        <f>IF(N678="",TRIM(Formulario!G689),TRIM(Formulario!G689)*N678)</f>
        <v/>
      </c>
      <c r="I678" s="107" t="str">
        <f>TRIM(Formulario!I689)</f>
        <v/>
      </c>
      <c r="J678" s="11" t="str">
        <f>TRIM(Formulario!J689)</f>
        <v/>
      </c>
      <c r="K678" s="11" t="str">
        <f>TRIM(Formulario!K689)</f>
        <v/>
      </c>
      <c r="L678" s="107" t="str">
        <f>TRIM(Formulario!L689)</f>
        <v/>
      </c>
      <c r="M678" s="107" t="str">
        <f>TRIM(Formulario!M689)</f>
        <v/>
      </c>
      <c r="N678" s="11" t="str">
        <f>TRIM(Formulario!H689)</f>
        <v/>
      </c>
      <c r="P678" s="17"/>
      <c r="Q678" s="104"/>
      <c r="R678" s="104"/>
      <c r="S678" s="117"/>
      <c r="T678" s="101"/>
      <c r="U678" s="101"/>
      <c r="V678" s="101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</row>
    <row r="679" spans="1:49">
      <c r="A679" s="8" t="str">
        <f>IF(L679="","",Formulario!B690)</f>
        <v/>
      </c>
      <c r="B679" s="119"/>
      <c r="C679" s="120"/>
      <c r="D679" s="121"/>
      <c r="E679" s="129" t="str">
        <f>IF(F679="","",Formulario!B690)</f>
        <v/>
      </c>
      <c r="F679" s="11" t="str">
        <f>TRIM(Formulario!D690)</f>
        <v/>
      </c>
      <c r="G679" s="11" t="str">
        <f>TRIM(Formulario!F690)</f>
        <v/>
      </c>
      <c r="H679" s="146" t="str">
        <f>IF(N679="",TRIM(Formulario!G690),TRIM(Formulario!G690)*N679)</f>
        <v/>
      </c>
      <c r="I679" s="107" t="str">
        <f>TRIM(Formulario!I690)</f>
        <v/>
      </c>
      <c r="J679" s="11" t="str">
        <f>TRIM(Formulario!J690)</f>
        <v/>
      </c>
      <c r="K679" s="11" t="str">
        <f>TRIM(Formulario!K690)</f>
        <v/>
      </c>
      <c r="L679" s="107" t="str">
        <f>TRIM(Formulario!L690)</f>
        <v/>
      </c>
      <c r="M679" s="107" t="str">
        <f>TRIM(Formulario!M690)</f>
        <v/>
      </c>
      <c r="N679" s="11" t="str">
        <f>TRIM(Formulario!H690)</f>
        <v/>
      </c>
      <c r="P679" s="17"/>
      <c r="Q679" s="104"/>
      <c r="R679" s="104"/>
      <c r="S679" s="117"/>
      <c r="T679" s="101"/>
      <c r="U679" s="101"/>
      <c r="V679" s="101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</row>
    <row r="680" spans="1:49">
      <c r="A680" s="8" t="str">
        <f>IF(L680="","",Formulario!B691)</f>
        <v/>
      </c>
      <c r="B680" s="119"/>
      <c r="C680" s="120"/>
      <c r="D680" s="121"/>
      <c r="E680" s="129" t="str">
        <f>IF(F680="","",Formulario!B691)</f>
        <v/>
      </c>
      <c r="F680" s="11" t="str">
        <f>TRIM(Formulario!D691)</f>
        <v/>
      </c>
      <c r="G680" s="11" t="str">
        <f>TRIM(Formulario!F691)</f>
        <v/>
      </c>
      <c r="H680" s="146" t="str">
        <f>IF(N680="",TRIM(Formulario!G691),TRIM(Formulario!G691)*N680)</f>
        <v/>
      </c>
      <c r="I680" s="107" t="str">
        <f>TRIM(Formulario!I691)</f>
        <v/>
      </c>
      <c r="J680" s="11" t="str">
        <f>TRIM(Formulario!J691)</f>
        <v/>
      </c>
      <c r="K680" s="11" t="str">
        <f>TRIM(Formulario!K691)</f>
        <v/>
      </c>
      <c r="L680" s="107" t="str">
        <f>TRIM(Formulario!L691)</f>
        <v/>
      </c>
      <c r="M680" s="107" t="str">
        <f>TRIM(Formulario!M691)</f>
        <v/>
      </c>
      <c r="N680" s="11" t="str">
        <f>TRIM(Formulario!H691)</f>
        <v/>
      </c>
      <c r="P680" s="17"/>
      <c r="Q680" s="104"/>
      <c r="R680" s="104"/>
      <c r="S680" s="117"/>
      <c r="T680" s="101"/>
      <c r="U680" s="101"/>
      <c r="V680" s="101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</row>
    <row r="681" spans="1:49">
      <c r="A681" s="8" t="str">
        <f>IF(L681="","",Formulario!B692)</f>
        <v/>
      </c>
      <c r="B681" s="119"/>
      <c r="C681" s="120"/>
      <c r="D681" s="121"/>
      <c r="E681" s="129" t="str">
        <f>IF(F681="","",Formulario!B692)</f>
        <v/>
      </c>
      <c r="F681" s="11" t="str">
        <f>TRIM(Formulario!D692)</f>
        <v/>
      </c>
      <c r="G681" s="11" t="str">
        <f>TRIM(Formulario!F692)</f>
        <v/>
      </c>
      <c r="H681" s="146" t="str">
        <f>IF(N681="",TRIM(Formulario!G692),TRIM(Formulario!G692)*N681)</f>
        <v/>
      </c>
      <c r="I681" s="107" t="str">
        <f>TRIM(Formulario!I692)</f>
        <v/>
      </c>
      <c r="J681" s="11" t="str">
        <f>TRIM(Formulario!J692)</f>
        <v/>
      </c>
      <c r="K681" s="11" t="str">
        <f>TRIM(Formulario!K692)</f>
        <v/>
      </c>
      <c r="L681" s="107" t="str">
        <f>TRIM(Formulario!L692)</f>
        <v/>
      </c>
      <c r="M681" s="107" t="str">
        <f>TRIM(Formulario!M692)</f>
        <v/>
      </c>
      <c r="N681" s="11" t="str">
        <f>TRIM(Formulario!H692)</f>
        <v/>
      </c>
      <c r="P681" s="17"/>
      <c r="Q681" s="104"/>
      <c r="R681" s="104"/>
      <c r="S681" s="117"/>
      <c r="T681" s="101"/>
      <c r="U681" s="101"/>
      <c r="V681" s="101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</row>
    <row r="682" spans="1:49">
      <c r="A682" s="8" t="str">
        <f>IF(L682="","",Formulario!B693)</f>
        <v/>
      </c>
      <c r="B682" s="119"/>
      <c r="C682" s="120"/>
      <c r="D682" s="121"/>
      <c r="E682" s="129" t="str">
        <f>IF(F682="","",Formulario!B693)</f>
        <v/>
      </c>
      <c r="F682" s="11" t="str">
        <f>TRIM(Formulario!D693)</f>
        <v/>
      </c>
      <c r="G682" s="11" t="str">
        <f>TRIM(Formulario!F693)</f>
        <v/>
      </c>
      <c r="H682" s="146" t="str">
        <f>IF(N682="",TRIM(Formulario!G693),TRIM(Formulario!G693)*N682)</f>
        <v/>
      </c>
      <c r="I682" s="107" t="str">
        <f>TRIM(Formulario!I693)</f>
        <v/>
      </c>
      <c r="J682" s="11" t="str">
        <f>TRIM(Formulario!J693)</f>
        <v/>
      </c>
      <c r="K682" s="11" t="str">
        <f>TRIM(Formulario!K693)</f>
        <v/>
      </c>
      <c r="L682" s="107" t="str">
        <f>TRIM(Formulario!L693)</f>
        <v/>
      </c>
      <c r="M682" s="107" t="str">
        <f>TRIM(Formulario!M693)</f>
        <v/>
      </c>
      <c r="N682" s="11" t="str">
        <f>TRIM(Formulario!H693)</f>
        <v/>
      </c>
      <c r="P682" s="17"/>
      <c r="Q682" s="104"/>
      <c r="R682" s="104"/>
      <c r="S682" s="117"/>
      <c r="T682" s="101"/>
      <c r="U682" s="101"/>
      <c r="V682" s="101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</row>
    <row r="683" spans="1:49">
      <c r="A683" s="8" t="str">
        <f>IF(L683="","",Formulario!B694)</f>
        <v/>
      </c>
      <c r="B683" s="119"/>
      <c r="C683" s="120"/>
      <c r="D683" s="121"/>
      <c r="E683" s="129" t="str">
        <f>IF(F683="","",Formulario!B694)</f>
        <v/>
      </c>
      <c r="F683" s="11" t="str">
        <f>TRIM(Formulario!D694)</f>
        <v/>
      </c>
      <c r="G683" s="11" t="str">
        <f>TRIM(Formulario!F694)</f>
        <v/>
      </c>
      <c r="H683" s="146" t="str">
        <f>IF(N683="",TRIM(Formulario!G694),TRIM(Formulario!G694)*N683)</f>
        <v/>
      </c>
      <c r="I683" s="107" t="str">
        <f>TRIM(Formulario!I694)</f>
        <v/>
      </c>
      <c r="J683" s="11" t="str">
        <f>TRIM(Formulario!J694)</f>
        <v/>
      </c>
      <c r="K683" s="11" t="str">
        <f>TRIM(Formulario!K694)</f>
        <v/>
      </c>
      <c r="L683" s="107" t="str">
        <f>TRIM(Formulario!L694)</f>
        <v/>
      </c>
      <c r="M683" s="107" t="str">
        <f>TRIM(Formulario!M694)</f>
        <v/>
      </c>
      <c r="N683" s="11" t="str">
        <f>TRIM(Formulario!H694)</f>
        <v/>
      </c>
      <c r="P683" s="17"/>
      <c r="Q683" s="104"/>
      <c r="R683" s="104"/>
      <c r="S683" s="117"/>
      <c r="T683" s="101"/>
      <c r="U683" s="101"/>
      <c r="V683" s="101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</row>
    <row r="684" spans="1:49">
      <c r="A684" s="8" t="str">
        <f>IF(L684="","",Formulario!B695)</f>
        <v/>
      </c>
      <c r="B684" s="119"/>
      <c r="C684" s="120"/>
      <c r="D684" s="121"/>
      <c r="E684" s="129" t="str">
        <f>IF(F684="","",Formulario!B695)</f>
        <v/>
      </c>
      <c r="F684" s="11" t="str">
        <f>TRIM(Formulario!D695)</f>
        <v/>
      </c>
      <c r="G684" s="11" t="str">
        <f>TRIM(Formulario!F695)</f>
        <v/>
      </c>
      <c r="H684" s="146" t="str">
        <f>IF(N684="",TRIM(Formulario!G695),TRIM(Formulario!G695)*N684)</f>
        <v/>
      </c>
      <c r="I684" s="107" t="str">
        <f>TRIM(Formulario!I695)</f>
        <v/>
      </c>
      <c r="J684" s="11" t="str">
        <f>TRIM(Formulario!J695)</f>
        <v/>
      </c>
      <c r="K684" s="11" t="str">
        <f>TRIM(Formulario!K695)</f>
        <v/>
      </c>
      <c r="L684" s="107" t="str">
        <f>TRIM(Formulario!L695)</f>
        <v/>
      </c>
      <c r="M684" s="107" t="str">
        <f>TRIM(Formulario!M695)</f>
        <v/>
      </c>
      <c r="N684" s="11" t="str">
        <f>TRIM(Formulario!H695)</f>
        <v/>
      </c>
      <c r="P684" s="17"/>
      <c r="Q684" s="104"/>
      <c r="R684" s="104"/>
      <c r="S684" s="117"/>
      <c r="T684" s="101"/>
      <c r="U684" s="101"/>
      <c r="V684" s="101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</row>
    <row r="685" spans="1:49">
      <c r="A685" s="8" t="str">
        <f>IF(L685="","",Formulario!B696)</f>
        <v/>
      </c>
      <c r="B685" s="119"/>
      <c r="C685" s="120"/>
      <c r="D685" s="121"/>
      <c r="E685" s="129" t="str">
        <f>IF(F685="","",Formulario!B696)</f>
        <v/>
      </c>
      <c r="F685" s="11" t="str">
        <f>TRIM(Formulario!D696)</f>
        <v/>
      </c>
      <c r="G685" s="11" t="str">
        <f>TRIM(Formulario!F696)</f>
        <v/>
      </c>
      <c r="H685" s="146" t="str">
        <f>IF(N685="",TRIM(Formulario!G696),TRIM(Formulario!G696)*N685)</f>
        <v/>
      </c>
      <c r="I685" s="107" t="str">
        <f>TRIM(Formulario!I696)</f>
        <v/>
      </c>
      <c r="J685" s="11" t="str">
        <f>TRIM(Formulario!J696)</f>
        <v/>
      </c>
      <c r="K685" s="11" t="str">
        <f>TRIM(Formulario!K696)</f>
        <v/>
      </c>
      <c r="L685" s="107" t="str">
        <f>TRIM(Formulario!L696)</f>
        <v/>
      </c>
      <c r="M685" s="107" t="str">
        <f>TRIM(Formulario!M696)</f>
        <v/>
      </c>
      <c r="N685" s="11" t="str">
        <f>TRIM(Formulario!H696)</f>
        <v/>
      </c>
      <c r="P685" s="17"/>
      <c r="Q685" s="104"/>
      <c r="R685" s="104"/>
      <c r="S685" s="117"/>
      <c r="T685" s="101"/>
      <c r="U685" s="101"/>
      <c r="V685" s="101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</row>
    <row r="686" spans="1:49">
      <c r="A686" s="8" t="str">
        <f>IF(L686="","",Formulario!B697)</f>
        <v/>
      </c>
      <c r="B686" s="119"/>
      <c r="C686" s="120"/>
      <c r="D686" s="121"/>
      <c r="E686" s="129" t="str">
        <f>IF(F686="","",Formulario!B697)</f>
        <v/>
      </c>
      <c r="F686" s="11" t="str">
        <f>TRIM(Formulario!D697)</f>
        <v/>
      </c>
      <c r="G686" s="11" t="str">
        <f>TRIM(Formulario!F697)</f>
        <v/>
      </c>
      <c r="H686" s="146" t="str">
        <f>IF(N686="",TRIM(Formulario!G697),TRIM(Formulario!G697)*N686)</f>
        <v/>
      </c>
      <c r="I686" s="107" t="str">
        <f>TRIM(Formulario!I697)</f>
        <v/>
      </c>
      <c r="J686" s="11" t="str">
        <f>TRIM(Formulario!J697)</f>
        <v/>
      </c>
      <c r="K686" s="11" t="str">
        <f>TRIM(Formulario!K697)</f>
        <v/>
      </c>
      <c r="L686" s="107" t="str">
        <f>TRIM(Formulario!L697)</f>
        <v/>
      </c>
      <c r="M686" s="107" t="str">
        <f>TRIM(Formulario!M697)</f>
        <v/>
      </c>
      <c r="N686" s="11" t="str">
        <f>TRIM(Formulario!H697)</f>
        <v/>
      </c>
      <c r="P686" s="17"/>
      <c r="Q686" s="104"/>
      <c r="R686" s="104"/>
      <c r="S686" s="117"/>
      <c r="T686" s="101"/>
      <c r="U686" s="101"/>
      <c r="V686" s="101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</row>
    <row r="687" spans="1:49">
      <c r="A687" s="8" t="str">
        <f>IF(L687="","",Formulario!B698)</f>
        <v/>
      </c>
      <c r="B687" s="119"/>
      <c r="C687" s="120"/>
      <c r="D687" s="121"/>
      <c r="E687" s="129" t="str">
        <f>IF(F687="","",Formulario!B698)</f>
        <v/>
      </c>
      <c r="F687" s="11" t="str">
        <f>TRIM(Formulario!D698)</f>
        <v/>
      </c>
      <c r="G687" s="11" t="str">
        <f>TRIM(Formulario!F698)</f>
        <v/>
      </c>
      <c r="H687" s="146" t="str">
        <f>IF(N687="",TRIM(Formulario!G698),TRIM(Formulario!G698)*N687)</f>
        <v/>
      </c>
      <c r="I687" s="107" t="str">
        <f>TRIM(Formulario!I698)</f>
        <v/>
      </c>
      <c r="J687" s="11" t="str">
        <f>TRIM(Formulario!J698)</f>
        <v/>
      </c>
      <c r="K687" s="11" t="str">
        <f>TRIM(Formulario!K698)</f>
        <v/>
      </c>
      <c r="L687" s="107" t="str">
        <f>TRIM(Formulario!L698)</f>
        <v/>
      </c>
      <c r="M687" s="107" t="str">
        <f>TRIM(Formulario!M698)</f>
        <v/>
      </c>
      <c r="N687" s="11" t="str">
        <f>TRIM(Formulario!H698)</f>
        <v/>
      </c>
      <c r="P687" s="17"/>
      <c r="Q687" s="104"/>
      <c r="R687" s="104"/>
      <c r="S687" s="117"/>
      <c r="T687" s="101"/>
      <c r="U687" s="101"/>
      <c r="V687" s="101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</row>
    <row r="688" spans="1:49">
      <c r="A688" s="8" t="str">
        <f>IF(L688="","",Formulario!B699)</f>
        <v/>
      </c>
      <c r="B688" s="119"/>
      <c r="C688" s="120"/>
      <c r="D688" s="121"/>
      <c r="E688" s="129" t="str">
        <f>IF(F688="","",Formulario!B699)</f>
        <v/>
      </c>
      <c r="F688" s="11" t="str">
        <f>TRIM(Formulario!D699)</f>
        <v/>
      </c>
      <c r="G688" s="11" t="str">
        <f>TRIM(Formulario!F699)</f>
        <v/>
      </c>
      <c r="H688" s="146" t="str">
        <f>IF(N688="",TRIM(Formulario!G699),TRIM(Formulario!G699)*N688)</f>
        <v/>
      </c>
      <c r="I688" s="107" t="str">
        <f>TRIM(Formulario!I699)</f>
        <v/>
      </c>
      <c r="J688" s="11" t="str">
        <f>TRIM(Formulario!J699)</f>
        <v/>
      </c>
      <c r="K688" s="11" t="str">
        <f>TRIM(Formulario!K699)</f>
        <v/>
      </c>
      <c r="L688" s="107" t="str">
        <f>TRIM(Formulario!L699)</f>
        <v/>
      </c>
      <c r="M688" s="107" t="str">
        <f>TRIM(Formulario!M699)</f>
        <v/>
      </c>
      <c r="N688" s="11" t="str">
        <f>TRIM(Formulario!H699)</f>
        <v/>
      </c>
      <c r="P688" s="17"/>
      <c r="Q688" s="104"/>
      <c r="R688" s="104"/>
      <c r="S688" s="117"/>
      <c r="T688" s="101"/>
      <c r="U688" s="101"/>
      <c r="V688" s="101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</row>
    <row r="689" spans="1:49">
      <c r="A689" s="8" t="str">
        <f>IF(L689="","",Formulario!B700)</f>
        <v/>
      </c>
      <c r="B689" s="119"/>
      <c r="C689" s="120"/>
      <c r="D689" s="121"/>
      <c r="E689" s="129" t="str">
        <f>IF(F689="","",Formulario!B700)</f>
        <v/>
      </c>
      <c r="F689" s="11" t="str">
        <f>TRIM(Formulario!D700)</f>
        <v/>
      </c>
      <c r="G689" s="11" t="str">
        <f>TRIM(Formulario!F700)</f>
        <v/>
      </c>
      <c r="H689" s="146" t="str">
        <f>IF(N689="",TRIM(Formulario!G700),TRIM(Formulario!G700)*N689)</f>
        <v/>
      </c>
      <c r="I689" s="107" t="str">
        <f>TRIM(Formulario!I700)</f>
        <v/>
      </c>
      <c r="J689" s="11" t="str">
        <f>TRIM(Formulario!J700)</f>
        <v/>
      </c>
      <c r="K689" s="11" t="str">
        <f>TRIM(Formulario!K700)</f>
        <v/>
      </c>
      <c r="L689" s="107" t="str">
        <f>TRIM(Formulario!L700)</f>
        <v/>
      </c>
      <c r="M689" s="107" t="str">
        <f>TRIM(Formulario!M700)</f>
        <v/>
      </c>
      <c r="N689" s="11" t="str">
        <f>TRIM(Formulario!H700)</f>
        <v/>
      </c>
      <c r="P689" s="17"/>
      <c r="Q689" s="104"/>
      <c r="R689" s="104"/>
      <c r="S689" s="117"/>
      <c r="T689" s="101"/>
      <c r="U689" s="101"/>
      <c r="V689" s="101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</row>
    <row r="690" spans="1:49">
      <c r="A690" s="8" t="str">
        <f>IF(L690="","",Formulario!B701)</f>
        <v/>
      </c>
      <c r="B690" s="119"/>
      <c r="C690" s="120"/>
      <c r="D690" s="121"/>
      <c r="E690" s="129" t="str">
        <f>IF(F690="","",Formulario!B701)</f>
        <v/>
      </c>
      <c r="F690" s="11" t="str">
        <f>TRIM(Formulario!D701)</f>
        <v/>
      </c>
      <c r="G690" s="11" t="str">
        <f>TRIM(Formulario!F701)</f>
        <v/>
      </c>
      <c r="H690" s="146" t="str">
        <f>IF(N690="",TRIM(Formulario!G701),TRIM(Formulario!G701)*N690)</f>
        <v/>
      </c>
      <c r="I690" s="107" t="str">
        <f>TRIM(Formulario!I701)</f>
        <v/>
      </c>
      <c r="J690" s="11" t="str">
        <f>TRIM(Formulario!J701)</f>
        <v/>
      </c>
      <c r="K690" s="11" t="str">
        <f>TRIM(Formulario!K701)</f>
        <v/>
      </c>
      <c r="L690" s="107" t="str">
        <f>TRIM(Formulario!L701)</f>
        <v/>
      </c>
      <c r="M690" s="107" t="str">
        <f>TRIM(Formulario!M701)</f>
        <v/>
      </c>
      <c r="N690" s="11" t="str">
        <f>TRIM(Formulario!H701)</f>
        <v/>
      </c>
      <c r="P690" s="17"/>
      <c r="Q690" s="104"/>
      <c r="R690" s="104"/>
      <c r="S690" s="117"/>
      <c r="T690" s="101"/>
      <c r="U690" s="101"/>
      <c r="V690" s="101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</row>
    <row r="691" spans="1:49">
      <c r="A691" s="8" t="str">
        <f>IF(L691="","",Formulario!B702)</f>
        <v/>
      </c>
      <c r="B691" s="119"/>
      <c r="C691" s="120"/>
      <c r="D691" s="121"/>
      <c r="E691" s="129" t="str">
        <f>IF(F691="","",Formulario!B702)</f>
        <v/>
      </c>
      <c r="F691" s="11" t="str">
        <f>TRIM(Formulario!D702)</f>
        <v/>
      </c>
      <c r="G691" s="11" t="str">
        <f>TRIM(Formulario!F702)</f>
        <v/>
      </c>
      <c r="H691" s="146" t="str">
        <f>IF(N691="",TRIM(Formulario!G702),TRIM(Formulario!G702)*N691)</f>
        <v/>
      </c>
      <c r="I691" s="107" t="str">
        <f>TRIM(Formulario!I702)</f>
        <v/>
      </c>
      <c r="J691" s="11" t="str">
        <f>TRIM(Formulario!J702)</f>
        <v/>
      </c>
      <c r="K691" s="11" t="str">
        <f>TRIM(Formulario!K702)</f>
        <v/>
      </c>
      <c r="L691" s="107" t="str">
        <f>TRIM(Formulario!L702)</f>
        <v/>
      </c>
      <c r="M691" s="107" t="str">
        <f>TRIM(Formulario!M702)</f>
        <v/>
      </c>
      <c r="N691" s="11" t="str">
        <f>TRIM(Formulario!H702)</f>
        <v/>
      </c>
      <c r="P691" s="17"/>
      <c r="Q691" s="104"/>
      <c r="R691" s="104"/>
      <c r="S691" s="117"/>
      <c r="T691" s="101"/>
      <c r="U691" s="101"/>
      <c r="V691" s="101"/>
      <c r="W691" s="102"/>
      <c r="X691" s="102"/>
      <c r="Y691" s="102"/>
      <c r="Z691" s="102"/>
      <c r="AA691" s="102"/>
      <c r="AB691" s="102"/>
      <c r="AC691" s="102"/>
      <c r="AD691" s="102"/>
      <c r="AE691" s="102"/>
      <c r="AF691" s="102"/>
      <c r="AG691" s="102"/>
      <c r="AH691" s="102"/>
      <c r="AI691" s="102"/>
      <c r="AJ691" s="102"/>
      <c r="AK691" s="102"/>
      <c r="AL691" s="102"/>
      <c r="AM691" s="102"/>
      <c r="AN691" s="102"/>
      <c r="AO691" s="102"/>
      <c r="AP691" s="102"/>
      <c r="AQ691" s="102"/>
      <c r="AR691" s="102"/>
      <c r="AS691" s="102"/>
      <c r="AT691" s="102"/>
      <c r="AU691" s="102"/>
      <c r="AV691" s="102"/>
      <c r="AW691" s="102"/>
    </row>
    <row r="692" spans="1:49">
      <c r="A692" s="8" t="str">
        <f>IF(L692="","",Formulario!B703)</f>
        <v/>
      </c>
      <c r="B692" s="119"/>
      <c r="C692" s="120"/>
      <c r="D692" s="121"/>
      <c r="E692" s="129" t="str">
        <f>IF(F692="","",Formulario!B703)</f>
        <v/>
      </c>
      <c r="F692" s="11" t="str">
        <f>TRIM(Formulario!D703)</f>
        <v/>
      </c>
      <c r="G692" s="11" t="str">
        <f>TRIM(Formulario!F703)</f>
        <v/>
      </c>
      <c r="H692" s="146" t="str">
        <f>IF(N692="",TRIM(Formulario!G703),TRIM(Formulario!G703)*N692)</f>
        <v/>
      </c>
      <c r="I692" s="107" t="str">
        <f>TRIM(Formulario!I703)</f>
        <v/>
      </c>
      <c r="J692" s="11" t="str">
        <f>TRIM(Formulario!J703)</f>
        <v/>
      </c>
      <c r="K692" s="11" t="str">
        <f>TRIM(Formulario!K703)</f>
        <v/>
      </c>
      <c r="L692" s="107" t="str">
        <f>TRIM(Formulario!L703)</f>
        <v/>
      </c>
      <c r="M692" s="107" t="str">
        <f>TRIM(Formulario!M703)</f>
        <v/>
      </c>
      <c r="N692" s="11" t="str">
        <f>TRIM(Formulario!H703)</f>
        <v/>
      </c>
      <c r="P692" s="17"/>
      <c r="Q692" s="104"/>
      <c r="R692" s="104"/>
      <c r="S692" s="117"/>
      <c r="T692" s="101"/>
      <c r="U692" s="101"/>
      <c r="V692" s="101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</row>
    <row r="693" spans="1:49">
      <c r="A693" s="8" t="str">
        <f>IF(L693="","",Formulario!B704)</f>
        <v/>
      </c>
      <c r="B693" s="119"/>
      <c r="C693" s="120"/>
      <c r="D693" s="121"/>
      <c r="E693" s="129" t="str">
        <f>IF(F693="","",Formulario!B704)</f>
        <v/>
      </c>
      <c r="F693" s="11" t="str">
        <f>TRIM(Formulario!D704)</f>
        <v/>
      </c>
      <c r="G693" s="11" t="str">
        <f>TRIM(Formulario!F704)</f>
        <v/>
      </c>
      <c r="H693" s="146" t="str">
        <f>IF(N693="",TRIM(Formulario!G704),TRIM(Formulario!G704)*N693)</f>
        <v/>
      </c>
      <c r="I693" s="107" t="str">
        <f>TRIM(Formulario!I704)</f>
        <v/>
      </c>
      <c r="J693" s="11" t="str">
        <f>TRIM(Formulario!J704)</f>
        <v/>
      </c>
      <c r="K693" s="11" t="str">
        <f>TRIM(Formulario!K704)</f>
        <v/>
      </c>
      <c r="L693" s="107" t="str">
        <f>TRIM(Formulario!L704)</f>
        <v/>
      </c>
      <c r="M693" s="107" t="str">
        <f>TRIM(Formulario!M704)</f>
        <v/>
      </c>
      <c r="N693" s="11" t="str">
        <f>TRIM(Formulario!H704)</f>
        <v/>
      </c>
      <c r="P693" s="17"/>
      <c r="Q693" s="104"/>
      <c r="R693" s="104"/>
      <c r="S693" s="117"/>
      <c r="T693" s="101"/>
      <c r="U693" s="101"/>
      <c r="V693" s="101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</row>
    <row r="694" spans="1:49">
      <c r="A694" s="8" t="str">
        <f>IF(L694="","",Formulario!B705)</f>
        <v/>
      </c>
      <c r="B694" s="119"/>
      <c r="C694" s="120"/>
      <c r="D694" s="121"/>
      <c r="E694" s="129" t="str">
        <f>IF(F694="","",Formulario!B705)</f>
        <v/>
      </c>
      <c r="F694" s="11" t="str">
        <f>TRIM(Formulario!D705)</f>
        <v/>
      </c>
      <c r="G694" s="11" t="str">
        <f>TRIM(Formulario!F705)</f>
        <v/>
      </c>
      <c r="H694" s="146" t="str">
        <f>IF(N694="",TRIM(Formulario!G705),TRIM(Formulario!G705)*N694)</f>
        <v/>
      </c>
      <c r="I694" s="107" t="str">
        <f>TRIM(Formulario!I705)</f>
        <v/>
      </c>
      <c r="J694" s="11" t="str">
        <f>TRIM(Formulario!J705)</f>
        <v/>
      </c>
      <c r="K694" s="11" t="str">
        <f>TRIM(Formulario!K705)</f>
        <v/>
      </c>
      <c r="L694" s="107" t="str">
        <f>TRIM(Formulario!L705)</f>
        <v/>
      </c>
      <c r="M694" s="107" t="str">
        <f>TRIM(Formulario!M705)</f>
        <v/>
      </c>
      <c r="N694" s="11" t="str">
        <f>TRIM(Formulario!H705)</f>
        <v/>
      </c>
      <c r="P694" s="17"/>
      <c r="Q694" s="104"/>
      <c r="R694" s="104"/>
      <c r="S694" s="117"/>
      <c r="T694" s="101"/>
      <c r="U694" s="101"/>
      <c r="V694" s="101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</row>
    <row r="695" spans="1:49">
      <c r="A695" s="8" t="str">
        <f>IF(L695="","",Formulario!B706)</f>
        <v/>
      </c>
      <c r="B695" s="119"/>
      <c r="C695" s="120"/>
      <c r="D695" s="121"/>
      <c r="E695" s="129" t="str">
        <f>IF(F695="","",Formulario!B706)</f>
        <v/>
      </c>
      <c r="F695" s="11" t="str">
        <f>TRIM(Formulario!D706)</f>
        <v/>
      </c>
      <c r="G695" s="11" t="str">
        <f>TRIM(Formulario!F706)</f>
        <v/>
      </c>
      <c r="H695" s="146" t="str">
        <f>IF(N695="",TRIM(Formulario!G706),TRIM(Formulario!G706)*N695)</f>
        <v/>
      </c>
      <c r="I695" s="107" t="str">
        <f>TRIM(Formulario!I706)</f>
        <v/>
      </c>
      <c r="J695" s="11" t="str">
        <f>TRIM(Formulario!J706)</f>
        <v/>
      </c>
      <c r="K695" s="11" t="str">
        <f>TRIM(Formulario!K706)</f>
        <v/>
      </c>
      <c r="L695" s="107" t="str">
        <f>TRIM(Formulario!L706)</f>
        <v/>
      </c>
      <c r="M695" s="107" t="str">
        <f>TRIM(Formulario!M706)</f>
        <v/>
      </c>
      <c r="N695" s="11" t="str">
        <f>TRIM(Formulario!H706)</f>
        <v/>
      </c>
      <c r="P695" s="17"/>
      <c r="Q695" s="104"/>
      <c r="R695" s="104"/>
      <c r="S695" s="117"/>
      <c r="T695" s="101"/>
      <c r="U695" s="101"/>
      <c r="V695" s="101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</row>
    <row r="696" spans="1:49">
      <c r="A696" s="8" t="str">
        <f>IF(L696="","",Formulario!B707)</f>
        <v/>
      </c>
      <c r="B696" s="119"/>
      <c r="C696" s="120"/>
      <c r="D696" s="121"/>
      <c r="E696" s="129" t="str">
        <f>IF(F696="","",Formulario!B707)</f>
        <v/>
      </c>
      <c r="F696" s="11" t="str">
        <f>TRIM(Formulario!D707)</f>
        <v/>
      </c>
      <c r="G696" s="11" t="str">
        <f>TRIM(Formulario!F707)</f>
        <v/>
      </c>
      <c r="H696" s="146" t="str">
        <f>IF(N696="",TRIM(Formulario!G707),TRIM(Formulario!G707)*N696)</f>
        <v/>
      </c>
      <c r="I696" s="107" t="str">
        <f>TRIM(Formulario!I707)</f>
        <v/>
      </c>
      <c r="J696" s="11" t="str">
        <f>TRIM(Formulario!J707)</f>
        <v/>
      </c>
      <c r="K696" s="11" t="str">
        <f>TRIM(Formulario!K707)</f>
        <v/>
      </c>
      <c r="L696" s="107" t="str">
        <f>TRIM(Formulario!L707)</f>
        <v/>
      </c>
      <c r="M696" s="107" t="str">
        <f>TRIM(Formulario!M707)</f>
        <v/>
      </c>
      <c r="N696" s="11" t="str">
        <f>TRIM(Formulario!H707)</f>
        <v/>
      </c>
      <c r="P696" s="17"/>
      <c r="Q696" s="104"/>
      <c r="R696" s="104"/>
      <c r="S696" s="117"/>
      <c r="T696" s="101"/>
      <c r="U696" s="101"/>
      <c r="V696" s="101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</row>
    <row r="697" spans="1:49">
      <c r="A697" s="8" t="str">
        <f>IF(L697="","",Formulario!B708)</f>
        <v/>
      </c>
      <c r="B697" s="119"/>
      <c r="C697" s="120"/>
      <c r="D697" s="121"/>
      <c r="E697" s="129" t="str">
        <f>IF(F697="","",Formulario!B708)</f>
        <v/>
      </c>
      <c r="F697" s="11" t="str">
        <f>TRIM(Formulario!D708)</f>
        <v/>
      </c>
      <c r="G697" s="11" t="str">
        <f>TRIM(Formulario!F708)</f>
        <v/>
      </c>
      <c r="H697" s="146" t="str">
        <f>IF(N697="",TRIM(Formulario!G708),TRIM(Formulario!G708)*N697)</f>
        <v/>
      </c>
      <c r="I697" s="107" t="str">
        <f>TRIM(Formulario!I708)</f>
        <v/>
      </c>
      <c r="J697" s="11" t="str">
        <f>TRIM(Formulario!J708)</f>
        <v/>
      </c>
      <c r="K697" s="11" t="str">
        <f>TRIM(Formulario!K708)</f>
        <v/>
      </c>
      <c r="L697" s="107" t="str">
        <f>TRIM(Formulario!L708)</f>
        <v/>
      </c>
      <c r="M697" s="107" t="str">
        <f>TRIM(Formulario!M708)</f>
        <v/>
      </c>
      <c r="N697" s="11" t="str">
        <f>TRIM(Formulario!H708)</f>
        <v/>
      </c>
      <c r="P697" s="17"/>
      <c r="Q697" s="104"/>
      <c r="R697" s="104"/>
      <c r="S697" s="117"/>
      <c r="T697" s="101"/>
      <c r="U697" s="101"/>
      <c r="V697" s="101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</row>
    <row r="698" spans="1:49">
      <c r="A698" s="8" t="str">
        <f>IF(L698="","",Formulario!B709)</f>
        <v/>
      </c>
      <c r="B698" s="119"/>
      <c r="C698" s="120"/>
      <c r="D698" s="121"/>
      <c r="E698" s="129" t="str">
        <f>IF(F698="","",Formulario!B709)</f>
        <v/>
      </c>
      <c r="F698" s="11" t="str">
        <f>TRIM(Formulario!D709)</f>
        <v/>
      </c>
      <c r="G698" s="11" t="str">
        <f>TRIM(Formulario!F709)</f>
        <v/>
      </c>
      <c r="H698" s="146" t="str">
        <f>IF(N698="",TRIM(Formulario!G709),TRIM(Formulario!G709)*N698)</f>
        <v/>
      </c>
      <c r="I698" s="107" t="str">
        <f>TRIM(Formulario!I709)</f>
        <v/>
      </c>
      <c r="J698" s="11" t="str">
        <f>TRIM(Formulario!J709)</f>
        <v/>
      </c>
      <c r="K698" s="11" t="str">
        <f>TRIM(Formulario!K709)</f>
        <v/>
      </c>
      <c r="L698" s="107" t="str">
        <f>TRIM(Formulario!L709)</f>
        <v/>
      </c>
      <c r="M698" s="107" t="str">
        <f>TRIM(Formulario!M709)</f>
        <v/>
      </c>
      <c r="N698" s="11" t="str">
        <f>TRIM(Formulario!H709)</f>
        <v/>
      </c>
      <c r="P698" s="17"/>
      <c r="Q698" s="104"/>
      <c r="R698" s="104"/>
      <c r="S698" s="117"/>
      <c r="T698" s="101"/>
      <c r="U698" s="101"/>
      <c r="V698" s="101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</row>
    <row r="699" spans="1:49">
      <c r="A699" s="8" t="str">
        <f>IF(L699="","",Formulario!B710)</f>
        <v/>
      </c>
      <c r="B699" s="119"/>
      <c r="C699" s="120"/>
      <c r="D699" s="121"/>
      <c r="E699" s="129" t="str">
        <f>IF(F699="","",Formulario!B710)</f>
        <v/>
      </c>
      <c r="F699" s="11" t="str">
        <f>TRIM(Formulario!D710)</f>
        <v/>
      </c>
      <c r="G699" s="11" t="str">
        <f>TRIM(Formulario!F710)</f>
        <v/>
      </c>
      <c r="H699" s="146" t="str">
        <f>IF(N699="",TRIM(Formulario!G710),TRIM(Formulario!G710)*N699)</f>
        <v/>
      </c>
      <c r="I699" s="107" t="str">
        <f>TRIM(Formulario!I710)</f>
        <v/>
      </c>
      <c r="J699" s="11" t="str">
        <f>TRIM(Formulario!J710)</f>
        <v/>
      </c>
      <c r="K699" s="11" t="str">
        <f>TRIM(Formulario!K710)</f>
        <v/>
      </c>
      <c r="L699" s="107" t="str">
        <f>TRIM(Formulario!L710)</f>
        <v/>
      </c>
      <c r="M699" s="107" t="str">
        <f>TRIM(Formulario!M710)</f>
        <v/>
      </c>
      <c r="N699" s="11" t="str">
        <f>TRIM(Formulario!H710)</f>
        <v/>
      </c>
      <c r="P699" s="17"/>
      <c r="Q699" s="104"/>
      <c r="R699" s="104"/>
      <c r="S699" s="117"/>
      <c r="T699" s="101"/>
      <c r="U699" s="101"/>
      <c r="V699" s="101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</row>
    <row r="700" spans="1:49">
      <c r="A700" s="8" t="str">
        <f>IF(L700="","",Formulario!B711)</f>
        <v/>
      </c>
      <c r="B700" s="119"/>
      <c r="C700" s="120"/>
      <c r="D700" s="121"/>
      <c r="E700" s="129" t="str">
        <f>IF(F700="","",Formulario!B711)</f>
        <v/>
      </c>
      <c r="F700" s="11" t="str">
        <f>TRIM(Formulario!D711)</f>
        <v/>
      </c>
      <c r="G700" s="11" t="str">
        <f>TRIM(Formulario!F711)</f>
        <v/>
      </c>
      <c r="H700" s="146" t="str">
        <f>IF(N700="",TRIM(Formulario!G711),TRIM(Formulario!G711)*N700)</f>
        <v/>
      </c>
      <c r="I700" s="107" t="str">
        <f>TRIM(Formulario!I711)</f>
        <v/>
      </c>
      <c r="J700" s="11" t="str">
        <f>TRIM(Formulario!J711)</f>
        <v/>
      </c>
      <c r="K700" s="11" t="str">
        <f>TRIM(Formulario!K711)</f>
        <v/>
      </c>
      <c r="L700" s="107" t="str">
        <f>TRIM(Formulario!L711)</f>
        <v/>
      </c>
      <c r="M700" s="107" t="str">
        <f>TRIM(Formulario!M711)</f>
        <v/>
      </c>
      <c r="N700" s="11" t="str">
        <f>TRIM(Formulario!H711)</f>
        <v/>
      </c>
      <c r="P700" s="17"/>
      <c r="Q700" s="104"/>
      <c r="R700" s="104"/>
      <c r="S700" s="117"/>
      <c r="T700" s="101"/>
      <c r="U700" s="101"/>
      <c r="V700" s="101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</row>
    <row r="701" spans="1:49">
      <c r="A701" s="8" t="str">
        <f>IF(L701="","",Formulario!B712)</f>
        <v/>
      </c>
      <c r="B701" s="119"/>
      <c r="C701" s="120"/>
      <c r="D701" s="121"/>
      <c r="E701" s="129" t="str">
        <f>IF(F701="","",Formulario!B712)</f>
        <v/>
      </c>
      <c r="F701" s="11" t="str">
        <f>TRIM(Formulario!D712)</f>
        <v/>
      </c>
      <c r="G701" s="11" t="str">
        <f>TRIM(Formulario!F712)</f>
        <v/>
      </c>
      <c r="H701" s="146" t="str">
        <f>IF(N701="",TRIM(Formulario!G712),TRIM(Formulario!G712)*N701)</f>
        <v/>
      </c>
      <c r="I701" s="107" t="str">
        <f>TRIM(Formulario!I712)</f>
        <v/>
      </c>
      <c r="J701" s="11" t="str">
        <f>TRIM(Formulario!J712)</f>
        <v/>
      </c>
      <c r="K701" s="11" t="str">
        <f>TRIM(Formulario!K712)</f>
        <v/>
      </c>
      <c r="L701" s="107" t="str">
        <f>TRIM(Formulario!L712)</f>
        <v/>
      </c>
      <c r="M701" s="107" t="str">
        <f>TRIM(Formulario!M712)</f>
        <v/>
      </c>
      <c r="N701" s="11" t="str">
        <f>TRIM(Formulario!H712)</f>
        <v/>
      </c>
      <c r="P701" s="17"/>
      <c r="Q701" s="104"/>
      <c r="R701" s="104"/>
      <c r="S701" s="117"/>
      <c r="T701" s="101"/>
      <c r="U701" s="101"/>
      <c r="V701" s="101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</row>
    <row r="702" spans="1:49">
      <c r="A702" s="8" t="str">
        <f>IF(L702="","",Formulario!B713)</f>
        <v/>
      </c>
      <c r="B702" s="119"/>
      <c r="C702" s="120"/>
      <c r="D702" s="121"/>
      <c r="E702" s="129" t="str">
        <f>IF(F702="","",Formulario!B713)</f>
        <v/>
      </c>
      <c r="F702" s="11" t="str">
        <f>TRIM(Formulario!D713)</f>
        <v/>
      </c>
      <c r="G702" s="11" t="str">
        <f>TRIM(Formulario!F713)</f>
        <v/>
      </c>
      <c r="H702" s="146" t="str">
        <f>IF(N702="",TRIM(Formulario!G713),TRIM(Formulario!G713)*N702)</f>
        <v/>
      </c>
      <c r="I702" s="107" t="str">
        <f>TRIM(Formulario!I713)</f>
        <v/>
      </c>
      <c r="J702" s="11" t="str">
        <f>TRIM(Formulario!J713)</f>
        <v/>
      </c>
      <c r="K702" s="11" t="str">
        <f>TRIM(Formulario!K713)</f>
        <v/>
      </c>
      <c r="L702" s="107" t="str">
        <f>TRIM(Formulario!L713)</f>
        <v/>
      </c>
      <c r="M702" s="107" t="str">
        <f>TRIM(Formulario!M713)</f>
        <v/>
      </c>
      <c r="N702" s="11" t="str">
        <f>TRIM(Formulario!H713)</f>
        <v/>
      </c>
      <c r="P702" s="17"/>
      <c r="Q702" s="104"/>
      <c r="R702" s="104"/>
      <c r="S702" s="117"/>
      <c r="T702" s="101"/>
      <c r="U702" s="101"/>
      <c r="V702" s="101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</row>
    <row r="703" spans="1:49">
      <c r="A703" s="8" t="str">
        <f>IF(L703="","",Formulario!B714)</f>
        <v/>
      </c>
      <c r="B703" s="119"/>
      <c r="C703" s="120"/>
      <c r="D703" s="121"/>
      <c r="E703" s="129" t="str">
        <f>IF(F703="","",Formulario!B714)</f>
        <v/>
      </c>
      <c r="F703" s="11" t="str">
        <f>TRIM(Formulario!D714)</f>
        <v/>
      </c>
      <c r="G703" s="11" t="str">
        <f>TRIM(Formulario!F714)</f>
        <v/>
      </c>
      <c r="H703" s="146" t="str">
        <f>IF(N703="",TRIM(Formulario!G714),TRIM(Formulario!G714)*N703)</f>
        <v/>
      </c>
      <c r="I703" s="107" t="str">
        <f>TRIM(Formulario!I714)</f>
        <v/>
      </c>
      <c r="J703" s="11" t="str">
        <f>TRIM(Formulario!J714)</f>
        <v/>
      </c>
      <c r="K703" s="11" t="str">
        <f>TRIM(Formulario!K714)</f>
        <v/>
      </c>
      <c r="L703" s="107" t="str">
        <f>TRIM(Formulario!L714)</f>
        <v/>
      </c>
      <c r="M703" s="107" t="str">
        <f>TRIM(Formulario!M714)</f>
        <v/>
      </c>
      <c r="N703" s="11" t="str">
        <f>TRIM(Formulario!H714)</f>
        <v/>
      </c>
      <c r="P703" s="17"/>
      <c r="Q703" s="104"/>
      <c r="R703" s="104"/>
      <c r="S703" s="117"/>
      <c r="T703" s="101"/>
      <c r="U703" s="101"/>
      <c r="V703" s="101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</row>
    <row r="704" spans="1:49">
      <c r="A704" s="8" t="str">
        <f>IF(L704="","",Formulario!B715)</f>
        <v/>
      </c>
      <c r="B704" s="119"/>
      <c r="C704" s="120"/>
      <c r="D704" s="121"/>
      <c r="E704" s="129" t="str">
        <f>IF(F704="","",Formulario!B715)</f>
        <v/>
      </c>
      <c r="F704" s="11" t="str">
        <f>TRIM(Formulario!D715)</f>
        <v/>
      </c>
      <c r="G704" s="11" t="str">
        <f>TRIM(Formulario!F715)</f>
        <v/>
      </c>
      <c r="H704" s="146" t="str">
        <f>IF(N704="",TRIM(Formulario!G715),TRIM(Formulario!G715)*N704)</f>
        <v/>
      </c>
      <c r="I704" s="107" t="str">
        <f>TRIM(Formulario!I715)</f>
        <v/>
      </c>
      <c r="J704" s="11" t="str">
        <f>TRIM(Formulario!J715)</f>
        <v/>
      </c>
      <c r="K704" s="11" t="str">
        <f>TRIM(Formulario!K715)</f>
        <v/>
      </c>
      <c r="L704" s="107" t="str">
        <f>TRIM(Formulario!L715)</f>
        <v/>
      </c>
      <c r="M704" s="107" t="str">
        <f>TRIM(Formulario!M715)</f>
        <v/>
      </c>
      <c r="N704" s="11" t="str">
        <f>TRIM(Formulario!H715)</f>
        <v/>
      </c>
      <c r="P704" s="17"/>
      <c r="Q704" s="104"/>
      <c r="R704" s="104"/>
      <c r="S704" s="117"/>
      <c r="T704" s="101"/>
      <c r="U704" s="101"/>
      <c r="V704" s="101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</row>
    <row r="705" spans="1:49">
      <c r="A705" s="8" t="str">
        <f>IF(L705="","",Formulario!B716)</f>
        <v/>
      </c>
      <c r="B705" s="119"/>
      <c r="C705" s="120"/>
      <c r="D705" s="121"/>
      <c r="E705" s="129" t="str">
        <f>IF(F705="","",Formulario!B716)</f>
        <v/>
      </c>
      <c r="F705" s="11" t="str">
        <f>TRIM(Formulario!D716)</f>
        <v/>
      </c>
      <c r="G705" s="11" t="str">
        <f>TRIM(Formulario!F716)</f>
        <v/>
      </c>
      <c r="H705" s="146" t="str">
        <f>IF(N705="",TRIM(Formulario!G716),TRIM(Formulario!G716)*N705)</f>
        <v/>
      </c>
      <c r="I705" s="107" t="str">
        <f>TRIM(Formulario!I716)</f>
        <v/>
      </c>
      <c r="J705" s="11" t="str">
        <f>TRIM(Formulario!J716)</f>
        <v/>
      </c>
      <c r="K705" s="11" t="str">
        <f>TRIM(Formulario!K716)</f>
        <v/>
      </c>
      <c r="L705" s="107" t="str">
        <f>TRIM(Formulario!L716)</f>
        <v/>
      </c>
      <c r="M705" s="107" t="str">
        <f>TRIM(Formulario!M716)</f>
        <v/>
      </c>
      <c r="N705" s="11" t="str">
        <f>TRIM(Formulario!H716)</f>
        <v/>
      </c>
      <c r="P705" s="17"/>
      <c r="Q705" s="104"/>
      <c r="R705" s="104"/>
      <c r="S705" s="117"/>
      <c r="T705" s="101"/>
      <c r="U705" s="101"/>
      <c r="V705" s="101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</row>
    <row r="706" spans="1:49">
      <c r="A706" s="8" t="str">
        <f>IF(L706="","",Formulario!B717)</f>
        <v/>
      </c>
      <c r="B706" s="119"/>
      <c r="C706" s="120"/>
      <c r="D706" s="121"/>
      <c r="E706" s="129" t="str">
        <f>IF(F706="","",Formulario!B717)</f>
        <v/>
      </c>
      <c r="F706" s="11" t="str">
        <f>TRIM(Formulario!D717)</f>
        <v/>
      </c>
      <c r="G706" s="11" t="str">
        <f>TRIM(Formulario!F717)</f>
        <v/>
      </c>
      <c r="H706" s="146" t="str">
        <f>IF(N706="",TRIM(Formulario!G717),TRIM(Formulario!G717)*N706)</f>
        <v/>
      </c>
      <c r="I706" s="107" t="str">
        <f>TRIM(Formulario!I717)</f>
        <v/>
      </c>
      <c r="J706" s="11" t="str">
        <f>TRIM(Formulario!J717)</f>
        <v/>
      </c>
      <c r="K706" s="11" t="str">
        <f>TRIM(Formulario!K717)</f>
        <v/>
      </c>
      <c r="L706" s="107" t="str">
        <f>TRIM(Formulario!L717)</f>
        <v/>
      </c>
      <c r="M706" s="107" t="str">
        <f>TRIM(Formulario!M717)</f>
        <v/>
      </c>
      <c r="N706" s="11" t="str">
        <f>TRIM(Formulario!H717)</f>
        <v/>
      </c>
      <c r="P706" s="17"/>
      <c r="Q706" s="104"/>
      <c r="R706" s="104"/>
      <c r="S706" s="117"/>
      <c r="T706" s="101"/>
      <c r="U706" s="101"/>
      <c r="V706" s="101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</row>
    <row r="707" spans="1:49">
      <c r="A707" s="8" t="str">
        <f>IF(L707="","",Formulario!B718)</f>
        <v/>
      </c>
      <c r="B707" s="119"/>
      <c r="C707" s="120"/>
      <c r="D707" s="121"/>
      <c r="E707" s="129" t="str">
        <f>IF(F707="","",Formulario!B718)</f>
        <v/>
      </c>
      <c r="F707" s="11" t="str">
        <f>TRIM(Formulario!D718)</f>
        <v/>
      </c>
      <c r="G707" s="11" t="str">
        <f>TRIM(Formulario!F718)</f>
        <v/>
      </c>
      <c r="H707" s="146" t="str">
        <f>IF(N707="",TRIM(Formulario!G718),TRIM(Formulario!G718)*N707)</f>
        <v/>
      </c>
      <c r="I707" s="107" t="str">
        <f>TRIM(Formulario!I718)</f>
        <v/>
      </c>
      <c r="J707" s="11" t="str">
        <f>TRIM(Formulario!J718)</f>
        <v/>
      </c>
      <c r="K707" s="11" t="str">
        <f>TRIM(Formulario!K718)</f>
        <v/>
      </c>
      <c r="L707" s="107" t="str">
        <f>TRIM(Formulario!L718)</f>
        <v/>
      </c>
      <c r="M707" s="107" t="str">
        <f>TRIM(Formulario!M718)</f>
        <v/>
      </c>
      <c r="N707" s="11" t="str">
        <f>TRIM(Formulario!H718)</f>
        <v/>
      </c>
      <c r="P707" s="17"/>
      <c r="Q707" s="104"/>
      <c r="R707" s="104"/>
      <c r="S707" s="117"/>
      <c r="T707" s="101"/>
      <c r="U707" s="101"/>
      <c r="V707" s="101"/>
      <c r="W707" s="102"/>
      <c r="X707" s="102"/>
      <c r="Y707" s="102"/>
      <c r="Z707" s="102"/>
      <c r="AA707" s="102"/>
      <c r="AB707" s="102"/>
      <c r="AC707" s="102"/>
      <c r="AD707" s="102"/>
      <c r="AE707" s="102"/>
      <c r="AF707" s="102"/>
      <c r="AG707" s="102"/>
      <c r="AH707" s="102"/>
      <c r="AI707" s="102"/>
      <c r="AJ707" s="102"/>
      <c r="AK707" s="102"/>
      <c r="AL707" s="102"/>
      <c r="AM707" s="102"/>
      <c r="AN707" s="102"/>
      <c r="AO707" s="102"/>
      <c r="AP707" s="102"/>
      <c r="AQ707" s="102"/>
      <c r="AR707" s="102"/>
      <c r="AS707" s="102"/>
      <c r="AT707" s="102"/>
      <c r="AU707" s="102"/>
      <c r="AV707" s="102"/>
      <c r="AW707" s="102"/>
    </row>
    <row r="708" spans="1:49">
      <c r="A708" s="8" t="str">
        <f>IF(L708="","",Formulario!B719)</f>
        <v/>
      </c>
      <c r="B708" s="119"/>
      <c r="C708" s="120"/>
      <c r="D708" s="121"/>
      <c r="E708" s="129" t="str">
        <f>IF(F708="","",Formulario!B719)</f>
        <v/>
      </c>
      <c r="F708" s="11" t="str">
        <f>TRIM(Formulario!D719)</f>
        <v/>
      </c>
      <c r="G708" s="11" t="str">
        <f>TRIM(Formulario!F719)</f>
        <v/>
      </c>
      <c r="H708" s="146" t="str">
        <f>IF(N708="",TRIM(Formulario!G719),TRIM(Formulario!G719)*N708)</f>
        <v/>
      </c>
      <c r="I708" s="107" t="str">
        <f>TRIM(Formulario!I719)</f>
        <v/>
      </c>
      <c r="J708" s="11" t="str">
        <f>TRIM(Formulario!J719)</f>
        <v/>
      </c>
      <c r="K708" s="11" t="str">
        <f>TRIM(Formulario!K719)</f>
        <v/>
      </c>
      <c r="L708" s="107" t="str">
        <f>TRIM(Formulario!L719)</f>
        <v/>
      </c>
      <c r="M708" s="107" t="str">
        <f>TRIM(Formulario!M719)</f>
        <v/>
      </c>
      <c r="N708" s="11" t="str">
        <f>TRIM(Formulario!H719)</f>
        <v/>
      </c>
      <c r="P708" s="17"/>
      <c r="Q708" s="104"/>
      <c r="R708" s="104"/>
      <c r="S708" s="117"/>
      <c r="T708" s="101"/>
      <c r="U708" s="101"/>
      <c r="V708" s="101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</row>
    <row r="709" spans="1:49">
      <c r="A709" s="8" t="str">
        <f>IF(L709="","",Formulario!B720)</f>
        <v/>
      </c>
      <c r="B709" s="119"/>
      <c r="C709" s="120"/>
      <c r="D709" s="121"/>
      <c r="E709" s="129" t="str">
        <f>IF(F709="","",Formulario!B720)</f>
        <v/>
      </c>
      <c r="F709" s="11" t="str">
        <f>TRIM(Formulario!D720)</f>
        <v/>
      </c>
      <c r="G709" s="11" t="str">
        <f>TRIM(Formulario!F720)</f>
        <v/>
      </c>
      <c r="H709" s="146" t="str">
        <f>IF(N709="",TRIM(Formulario!G720),TRIM(Formulario!G720)*N709)</f>
        <v/>
      </c>
      <c r="I709" s="107" t="str">
        <f>TRIM(Formulario!I720)</f>
        <v/>
      </c>
      <c r="J709" s="11" t="str">
        <f>TRIM(Formulario!J720)</f>
        <v/>
      </c>
      <c r="K709" s="11" t="str">
        <f>TRIM(Formulario!K720)</f>
        <v/>
      </c>
      <c r="L709" s="107" t="str">
        <f>TRIM(Formulario!L720)</f>
        <v/>
      </c>
      <c r="M709" s="107" t="str">
        <f>TRIM(Formulario!M720)</f>
        <v/>
      </c>
      <c r="N709" s="11" t="str">
        <f>TRIM(Formulario!H720)</f>
        <v/>
      </c>
      <c r="P709" s="17"/>
      <c r="Q709" s="104"/>
      <c r="R709" s="104"/>
      <c r="S709" s="117"/>
      <c r="T709" s="101"/>
      <c r="U709" s="101"/>
      <c r="V709" s="101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</row>
    <row r="710" spans="1:49">
      <c r="A710" s="8" t="str">
        <f>IF(L710="","",Formulario!B721)</f>
        <v/>
      </c>
      <c r="B710" s="119"/>
      <c r="C710" s="120"/>
      <c r="D710" s="121"/>
      <c r="E710" s="129" t="str">
        <f>IF(F710="","",Formulario!B721)</f>
        <v/>
      </c>
      <c r="F710" s="11" t="str">
        <f>TRIM(Formulario!D721)</f>
        <v/>
      </c>
      <c r="G710" s="11" t="str">
        <f>TRIM(Formulario!F721)</f>
        <v/>
      </c>
      <c r="H710" s="146" t="str">
        <f>IF(N710="",TRIM(Formulario!G721),TRIM(Formulario!G721)*N710)</f>
        <v/>
      </c>
      <c r="I710" s="107" t="str">
        <f>TRIM(Formulario!I721)</f>
        <v/>
      </c>
      <c r="J710" s="11" t="str">
        <f>TRIM(Formulario!J721)</f>
        <v/>
      </c>
      <c r="K710" s="11" t="str">
        <f>TRIM(Formulario!K721)</f>
        <v/>
      </c>
      <c r="L710" s="107" t="str">
        <f>TRIM(Formulario!L721)</f>
        <v/>
      </c>
      <c r="M710" s="107" t="str">
        <f>TRIM(Formulario!M721)</f>
        <v/>
      </c>
      <c r="N710" s="11" t="str">
        <f>TRIM(Formulario!H721)</f>
        <v/>
      </c>
      <c r="P710" s="17"/>
      <c r="Q710" s="104"/>
      <c r="R710" s="104"/>
      <c r="S710" s="117"/>
      <c r="T710" s="101"/>
      <c r="U710" s="101"/>
      <c r="V710" s="101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</row>
    <row r="711" spans="1:49">
      <c r="A711" s="8" t="str">
        <f>IF(L711="","",Formulario!B722)</f>
        <v/>
      </c>
      <c r="B711" s="119"/>
      <c r="C711" s="120"/>
      <c r="D711" s="121"/>
      <c r="E711" s="129" t="str">
        <f>IF(F711="","",Formulario!B722)</f>
        <v/>
      </c>
      <c r="F711" s="11" t="str">
        <f>TRIM(Formulario!D722)</f>
        <v/>
      </c>
      <c r="G711" s="11" t="str">
        <f>TRIM(Formulario!F722)</f>
        <v/>
      </c>
      <c r="H711" s="146" t="str">
        <f>IF(N711="",TRIM(Formulario!G722),TRIM(Formulario!G722)*N711)</f>
        <v/>
      </c>
      <c r="I711" s="107" t="str">
        <f>TRIM(Formulario!I722)</f>
        <v/>
      </c>
      <c r="J711" s="11" t="str">
        <f>TRIM(Formulario!J722)</f>
        <v/>
      </c>
      <c r="K711" s="11" t="str">
        <f>TRIM(Formulario!K722)</f>
        <v/>
      </c>
      <c r="L711" s="107" t="str">
        <f>TRIM(Formulario!L722)</f>
        <v/>
      </c>
      <c r="M711" s="107" t="str">
        <f>TRIM(Formulario!M722)</f>
        <v/>
      </c>
      <c r="N711" s="11" t="str">
        <f>TRIM(Formulario!H722)</f>
        <v/>
      </c>
      <c r="P711" s="17"/>
      <c r="Q711" s="104"/>
      <c r="R711" s="104"/>
      <c r="S711" s="117"/>
      <c r="T711" s="101"/>
      <c r="U711" s="101"/>
      <c r="V711" s="101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</row>
    <row r="712" spans="1:49">
      <c r="A712" s="8" t="str">
        <f>IF(L712="","",Formulario!B723)</f>
        <v/>
      </c>
      <c r="B712" s="119"/>
      <c r="C712" s="120"/>
      <c r="D712" s="121"/>
      <c r="E712" s="129" t="str">
        <f>IF(F712="","",Formulario!B723)</f>
        <v/>
      </c>
      <c r="F712" s="11" t="str">
        <f>TRIM(Formulario!D723)</f>
        <v/>
      </c>
      <c r="G712" s="11" t="str">
        <f>TRIM(Formulario!F723)</f>
        <v/>
      </c>
      <c r="H712" s="146" t="str">
        <f>IF(N712="",TRIM(Formulario!G723),TRIM(Formulario!G723)*N712)</f>
        <v/>
      </c>
      <c r="I712" s="107" t="str">
        <f>TRIM(Formulario!I723)</f>
        <v/>
      </c>
      <c r="J712" s="11" t="str">
        <f>TRIM(Formulario!J723)</f>
        <v/>
      </c>
      <c r="K712" s="11" t="str">
        <f>TRIM(Formulario!K723)</f>
        <v/>
      </c>
      <c r="L712" s="107" t="str">
        <f>TRIM(Formulario!L723)</f>
        <v/>
      </c>
      <c r="M712" s="107" t="str">
        <f>TRIM(Formulario!M723)</f>
        <v/>
      </c>
      <c r="N712" s="11" t="str">
        <f>TRIM(Formulario!H723)</f>
        <v/>
      </c>
      <c r="P712" s="17"/>
      <c r="Q712" s="104"/>
      <c r="R712" s="104"/>
      <c r="S712" s="117"/>
      <c r="T712" s="101"/>
      <c r="U712" s="101"/>
      <c r="V712" s="101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</row>
    <row r="713" spans="1:49">
      <c r="A713" s="8" t="str">
        <f>IF(L713="","",Formulario!B724)</f>
        <v/>
      </c>
      <c r="B713" s="119"/>
      <c r="C713" s="120"/>
      <c r="D713" s="121"/>
      <c r="E713" s="129" t="str">
        <f>IF(F713="","",Formulario!B724)</f>
        <v/>
      </c>
      <c r="F713" s="11" t="str">
        <f>TRIM(Formulario!D724)</f>
        <v/>
      </c>
      <c r="G713" s="11" t="str">
        <f>TRIM(Formulario!F724)</f>
        <v/>
      </c>
      <c r="H713" s="146" t="str">
        <f>IF(N713="",TRIM(Formulario!G724),TRIM(Formulario!G724)*N713)</f>
        <v/>
      </c>
      <c r="I713" s="107" t="str">
        <f>TRIM(Formulario!I724)</f>
        <v/>
      </c>
      <c r="J713" s="11" t="str">
        <f>TRIM(Formulario!J724)</f>
        <v/>
      </c>
      <c r="K713" s="11" t="str">
        <f>TRIM(Formulario!K724)</f>
        <v/>
      </c>
      <c r="L713" s="107" t="str">
        <f>TRIM(Formulario!L724)</f>
        <v/>
      </c>
      <c r="M713" s="107" t="str">
        <f>TRIM(Formulario!M724)</f>
        <v/>
      </c>
      <c r="N713" s="11" t="str">
        <f>TRIM(Formulario!H724)</f>
        <v/>
      </c>
      <c r="P713" s="17"/>
      <c r="Q713" s="104"/>
      <c r="R713" s="104"/>
      <c r="S713" s="117"/>
      <c r="T713" s="101"/>
      <c r="U713" s="101"/>
      <c r="V713" s="101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</row>
    <row r="714" spans="1:49">
      <c r="A714" s="8" t="str">
        <f>IF(L714="","",Formulario!B725)</f>
        <v/>
      </c>
      <c r="B714" s="119"/>
      <c r="C714" s="120"/>
      <c r="D714" s="121"/>
      <c r="E714" s="129" t="str">
        <f>IF(F714="","",Formulario!B725)</f>
        <v/>
      </c>
      <c r="F714" s="11" t="str">
        <f>TRIM(Formulario!D725)</f>
        <v/>
      </c>
      <c r="G714" s="11" t="str">
        <f>TRIM(Formulario!F725)</f>
        <v/>
      </c>
      <c r="H714" s="146" t="str">
        <f>IF(N714="",TRIM(Formulario!G725),TRIM(Formulario!G725)*N714)</f>
        <v/>
      </c>
      <c r="I714" s="107" t="str">
        <f>TRIM(Formulario!I725)</f>
        <v/>
      </c>
      <c r="J714" s="11" t="str">
        <f>TRIM(Formulario!J725)</f>
        <v/>
      </c>
      <c r="K714" s="11" t="str">
        <f>TRIM(Formulario!K725)</f>
        <v/>
      </c>
      <c r="L714" s="107" t="str">
        <f>TRIM(Formulario!L725)</f>
        <v/>
      </c>
      <c r="M714" s="107" t="str">
        <f>TRIM(Formulario!M725)</f>
        <v/>
      </c>
      <c r="N714" s="11" t="str">
        <f>TRIM(Formulario!H725)</f>
        <v/>
      </c>
      <c r="P714" s="17"/>
      <c r="Q714" s="104"/>
      <c r="R714" s="104"/>
      <c r="S714" s="117"/>
      <c r="T714" s="101"/>
      <c r="U714" s="101"/>
      <c r="V714" s="101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</row>
    <row r="715" spans="1:49">
      <c r="A715" s="8" t="str">
        <f>IF(L715="","",Formulario!B726)</f>
        <v/>
      </c>
      <c r="B715" s="119"/>
      <c r="C715" s="120"/>
      <c r="D715" s="121"/>
      <c r="E715" s="129" t="str">
        <f>IF(F715="","",Formulario!B726)</f>
        <v/>
      </c>
      <c r="F715" s="11" t="str">
        <f>TRIM(Formulario!D726)</f>
        <v/>
      </c>
      <c r="G715" s="11" t="str">
        <f>TRIM(Formulario!F726)</f>
        <v/>
      </c>
      <c r="H715" s="146" t="str">
        <f>IF(N715="",TRIM(Formulario!G726),TRIM(Formulario!G726)*N715)</f>
        <v/>
      </c>
      <c r="I715" s="107" t="str">
        <f>TRIM(Formulario!I726)</f>
        <v/>
      </c>
      <c r="J715" s="11" t="str">
        <f>TRIM(Formulario!J726)</f>
        <v/>
      </c>
      <c r="K715" s="11" t="str">
        <f>TRIM(Formulario!K726)</f>
        <v/>
      </c>
      <c r="L715" s="107" t="str">
        <f>TRIM(Formulario!L726)</f>
        <v/>
      </c>
      <c r="M715" s="107" t="str">
        <f>TRIM(Formulario!M726)</f>
        <v/>
      </c>
      <c r="N715" s="11" t="str">
        <f>TRIM(Formulario!H726)</f>
        <v/>
      </c>
      <c r="P715" s="17"/>
      <c r="Q715" s="104"/>
      <c r="R715" s="104"/>
      <c r="S715" s="117"/>
      <c r="T715" s="101"/>
      <c r="U715" s="101"/>
      <c r="V715" s="101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</row>
    <row r="716" spans="1:49">
      <c r="A716" s="8" t="str">
        <f>IF(L716="","",Formulario!B727)</f>
        <v/>
      </c>
      <c r="B716" s="119"/>
      <c r="C716" s="120"/>
      <c r="D716" s="121"/>
      <c r="E716" s="129" t="str">
        <f>IF(F716="","",Formulario!B727)</f>
        <v/>
      </c>
      <c r="F716" s="11" t="str">
        <f>TRIM(Formulario!D727)</f>
        <v/>
      </c>
      <c r="G716" s="11" t="str">
        <f>TRIM(Formulario!F727)</f>
        <v/>
      </c>
      <c r="H716" s="146" t="str">
        <f>IF(N716="",TRIM(Formulario!G727),TRIM(Formulario!G727)*N716)</f>
        <v/>
      </c>
      <c r="I716" s="107" t="str">
        <f>TRIM(Formulario!I727)</f>
        <v/>
      </c>
      <c r="J716" s="11" t="str">
        <f>TRIM(Formulario!J727)</f>
        <v/>
      </c>
      <c r="K716" s="11" t="str">
        <f>TRIM(Formulario!K727)</f>
        <v/>
      </c>
      <c r="L716" s="107" t="str">
        <f>TRIM(Formulario!L727)</f>
        <v/>
      </c>
      <c r="M716" s="107" t="str">
        <f>TRIM(Formulario!M727)</f>
        <v/>
      </c>
      <c r="N716" s="11" t="str">
        <f>TRIM(Formulario!H727)</f>
        <v/>
      </c>
      <c r="P716" s="17"/>
      <c r="Q716" s="104"/>
      <c r="R716" s="104"/>
      <c r="S716" s="117"/>
      <c r="T716" s="101"/>
      <c r="U716" s="101"/>
      <c r="V716" s="101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</row>
    <row r="717" spans="1:49">
      <c r="A717" s="8" t="str">
        <f>IF(L717="","",Formulario!B728)</f>
        <v/>
      </c>
      <c r="B717" s="119"/>
      <c r="C717" s="120"/>
      <c r="D717" s="121"/>
      <c r="E717" s="129" t="str">
        <f>IF(F717="","",Formulario!B728)</f>
        <v/>
      </c>
      <c r="F717" s="11" t="str">
        <f>TRIM(Formulario!D728)</f>
        <v/>
      </c>
      <c r="G717" s="11" t="str">
        <f>TRIM(Formulario!F728)</f>
        <v/>
      </c>
      <c r="H717" s="146" t="str">
        <f>IF(N717="",TRIM(Formulario!G728),TRIM(Formulario!G728)*N717)</f>
        <v/>
      </c>
      <c r="I717" s="107" t="str">
        <f>TRIM(Formulario!I728)</f>
        <v/>
      </c>
      <c r="J717" s="11" t="str">
        <f>TRIM(Formulario!J728)</f>
        <v/>
      </c>
      <c r="K717" s="11" t="str">
        <f>TRIM(Formulario!K728)</f>
        <v/>
      </c>
      <c r="L717" s="107" t="str">
        <f>TRIM(Formulario!L728)</f>
        <v/>
      </c>
      <c r="M717" s="107" t="str">
        <f>TRIM(Formulario!M728)</f>
        <v/>
      </c>
      <c r="N717" s="11" t="str">
        <f>TRIM(Formulario!H728)</f>
        <v/>
      </c>
      <c r="P717" s="17"/>
      <c r="Q717" s="104"/>
      <c r="R717" s="104"/>
      <c r="S717" s="117"/>
      <c r="T717" s="101"/>
      <c r="U717" s="101"/>
      <c r="V717" s="101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</row>
    <row r="718" spans="1:49">
      <c r="A718" s="8" t="str">
        <f>IF(L718="","",Formulario!B729)</f>
        <v/>
      </c>
      <c r="B718" s="119"/>
      <c r="C718" s="120"/>
      <c r="D718" s="121"/>
      <c r="E718" s="129" t="str">
        <f>IF(F718="","",Formulario!B729)</f>
        <v/>
      </c>
      <c r="F718" s="11" t="str">
        <f>TRIM(Formulario!D729)</f>
        <v/>
      </c>
      <c r="G718" s="11" t="str">
        <f>TRIM(Formulario!F729)</f>
        <v/>
      </c>
      <c r="H718" s="146" t="str">
        <f>IF(N718="",TRIM(Formulario!G729),TRIM(Formulario!G729)*N718)</f>
        <v/>
      </c>
      <c r="I718" s="107" t="str">
        <f>TRIM(Formulario!I729)</f>
        <v/>
      </c>
      <c r="J718" s="11" t="str">
        <f>TRIM(Formulario!J729)</f>
        <v/>
      </c>
      <c r="K718" s="11" t="str">
        <f>TRIM(Formulario!K729)</f>
        <v/>
      </c>
      <c r="L718" s="107" t="str">
        <f>TRIM(Formulario!L729)</f>
        <v/>
      </c>
      <c r="M718" s="107" t="str">
        <f>TRIM(Formulario!M729)</f>
        <v/>
      </c>
      <c r="N718" s="11" t="str">
        <f>TRIM(Formulario!H729)</f>
        <v/>
      </c>
      <c r="P718" s="17"/>
      <c r="Q718" s="104"/>
      <c r="R718" s="104"/>
      <c r="S718" s="117"/>
      <c r="T718" s="101"/>
      <c r="U718" s="101"/>
      <c r="V718" s="101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</row>
    <row r="719" spans="1:49">
      <c r="A719" s="8" t="str">
        <f>IF(L719="","",Formulario!B730)</f>
        <v/>
      </c>
      <c r="B719" s="119"/>
      <c r="C719" s="120"/>
      <c r="D719" s="121"/>
      <c r="E719" s="129" t="str">
        <f>IF(F719="","",Formulario!B730)</f>
        <v/>
      </c>
      <c r="F719" s="11" t="str">
        <f>TRIM(Formulario!D730)</f>
        <v/>
      </c>
      <c r="G719" s="11" t="str">
        <f>TRIM(Formulario!F730)</f>
        <v/>
      </c>
      <c r="H719" s="146" t="str">
        <f>IF(N719="",TRIM(Formulario!G730),TRIM(Formulario!G730)*N719)</f>
        <v/>
      </c>
      <c r="I719" s="107" t="str">
        <f>TRIM(Formulario!I730)</f>
        <v/>
      </c>
      <c r="J719" s="11" t="str">
        <f>TRIM(Formulario!J730)</f>
        <v/>
      </c>
      <c r="K719" s="11" t="str">
        <f>TRIM(Formulario!K730)</f>
        <v/>
      </c>
      <c r="L719" s="107" t="str">
        <f>TRIM(Formulario!L730)</f>
        <v/>
      </c>
      <c r="M719" s="107" t="str">
        <f>TRIM(Formulario!M730)</f>
        <v/>
      </c>
      <c r="N719" s="11" t="str">
        <f>TRIM(Formulario!H730)</f>
        <v/>
      </c>
      <c r="P719" s="17"/>
      <c r="Q719" s="104"/>
      <c r="R719" s="104"/>
      <c r="S719" s="117"/>
      <c r="T719" s="101"/>
      <c r="U719" s="101"/>
      <c r="V719" s="101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</row>
    <row r="720" spans="1:49">
      <c r="A720" s="8" t="str">
        <f>IF(L720="","",Formulario!B731)</f>
        <v/>
      </c>
      <c r="B720" s="119"/>
      <c r="C720" s="120"/>
      <c r="D720" s="121"/>
      <c r="E720" s="129" t="str">
        <f>IF(F720="","",Formulario!B731)</f>
        <v/>
      </c>
      <c r="F720" s="11" t="str">
        <f>TRIM(Formulario!D731)</f>
        <v/>
      </c>
      <c r="G720" s="11" t="str">
        <f>TRIM(Formulario!F731)</f>
        <v/>
      </c>
      <c r="H720" s="146" t="str">
        <f>IF(N720="",TRIM(Formulario!G731),TRIM(Formulario!G731)*N720)</f>
        <v/>
      </c>
      <c r="I720" s="107" t="str">
        <f>TRIM(Formulario!I731)</f>
        <v/>
      </c>
      <c r="J720" s="11" t="str">
        <f>TRIM(Formulario!J731)</f>
        <v/>
      </c>
      <c r="K720" s="11" t="str">
        <f>TRIM(Formulario!K731)</f>
        <v/>
      </c>
      <c r="L720" s="107" t="str">
        <f>TRIM(Formulario!L731)</f>
        <v/>
      </c>
      <c r="M720" s="107" t="str">
        <f>TRIM(Formulario!M731)</f>
        <v/>
      </c>
      <c r="N720" s="11" t="str">
        <f>TRIM(Formulario!H731)</f>
        <v/>
      </c>
      <c r="P720" s="17"/>
      <c r="Q720" s="104"/>
      <c r="R720" s="104"/>
      <c r="S720" s="117"/>
      <c r="T720" s="101"/>
      <c r="U720" s="101"/>
      <c r="V720" s="101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</row>
    <row r="721" spans="1:49">
      <c r="A721" s="8" t="str">
        <f>IF(L721="","",Formulario!B732)</f>
        <v/>
      </c>
      <c r="B721" s="119"/>
      <c r="C721" s="120"/>
      <c r="D721" s="121"/>
      <c r="E721" s="129" t="str">
        <f>IF(F721="","",Formulario!B732)</f>
        <v/>
      </c>
      <c r="F721" s="11" t="str">
        <f>TRIM(Formulario!D732)</f>
        <v/>
      </c>
      <c r="G721" s="11" t="str">
        <f>TRIM(Formulario!F732)</f>
        <v/>
      </c>
      <c r="H721" s="146" t="str">
        <f>IF(N721="",TRIM(Formulario!G732),TRIM(Formulario!G732)*N721)</f>
        <v/>
      </c>
      <c r="I721" s="107" t="str">
        <f>TRIM(Formulario!I732)</f>
        <v/>
      </c>
      <c r="J721" s="11" t="str">
        <f>TRIM(Formulario!J732)</f>
        <v/>
      </c>
      <c r="K721" s="11" t="str">
        <f>TRIM(Formulario!K732)</f>
        <v/>
      </c>
      <c r="L721" s="107" t="str">
        <f>TRIM(Formulario!L732)</f>
        <v/>
      </c>
      <c r="M721" s="107" t="str">
        <f>TRIM(Formulario!M732)</f>
        <v/>
      </c>
      <c r="N721" s="11" t="str">
        <f>TRIM(Formulario!H732)</f>
        <v/>
      </c>
      <c r="P721" s="17"/>
      <c r="Q721" s="104"/>
      <c r="R721" s="104"/>
      <c r="S721" s="117"/>
      <c r="T721" s="101"/>
      <c r="U721" s="101"/>
      <c r="V721" s="101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</row>
    <row r="722" spans="1:49">
      <c r="A722" s="8" t="str">
        <f>IF(L722="","",Formulario!B733)</f>
        <v/>
      </c>
      <c r="B722" s="119"/>
      <c r="C722" s="120"/>
      <c r="D722" s="121"/>
      <c r="E722" s="129" t="str">
        <f>IF(F722="","",Formulario!B733)</f>
        <v/>
      </c>
      <c r="F722" s="11" t="str">
        <f>TRIM(Formulario!D733)</f>
        <v/>
      </c>
      <c r="G722" s="11" t="str">
        <f>TRIM(Formulario!F733)</f>
        <v/>
      </c>
      <c r="H722" s="146" t="str">
        <f>IF(N722="",TRIM(Formulario!G733),TRIM(Formulario!G733)*N722)</f>
        <v/>
      </c>
      <c r="I722" s="107" t="str">
        <f>TRIM(Formulario!I733)</f>
        <v/>
      </c>
      <c r="J722" s="11" t="str">
        <f>TRIM(Formulario!J733)</f>
        <v/>
      </c>
      <c r="K722" s="11" t="str">
        <f>TRIM(Formulario!K733)</f>
        <v/>
      </c>
      <c r="L722" s="107" t="str">
        <f>TRIM(Formulario!L733)</f>
        <v/>
      </c>
      <c r="M722" s="107" t="str">
        <f>TRIM(Formulario!M733)</f>
        <v/>
      </c>
      <c r="N722" s="11" t="str">
        <f>TRIM(Formulario!H733)</f>
        <v/>
      </c>
      <c r="P722" s="17"/>
      <c r="Q722" s="104"/>
      <c r="R722" s="104"/>
      <c r="S722" s="117"/>
      <c r="T722" s="101"/>
      <c r="U722" s="101"/>
      <c r="V722" s="101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</row>
    <row r="723" spans="1:49">
      <c r="A723" s="8" t="str">
        <f>IF(L723="","",Formulario!B734)</f>
        <v/>
      </c>
      <c r="B723" s="119"/>
      <c r="C723" s="120"/>
      <c r="D723" s="121"/>
      <c r="E723" s="129" t="str">
        <f>IF(F723="","",Formulario!B734)</f>
        <v/>
      </c>
      <c r="F723" s="11" t="str">
        <f>TRIM(Formulario!D734)</f>
        <v/>
      </c>
      <c r="G723" s="11" t="str">
        <f>TRIM(Formulario!F734)</f>
        <v/>
      </c>
      <c r="H723" s="146" t="str">
        <f>IF(N723="",TRIM(Formulario!G734),TRIM(Formulario!G734)*N723)</f>
        <v/>
      </c>
      <c r="I723" s="107" t="str">
        <f>TRIM(Formulario!I734)</f>
        <v/>
      </c>
      <c r="J723" s="11" t="str">
        <f>TRIM(Formulario!J734)</f>
        <v/>
      </c>
      <c r="K723" s="11" t="str">
        <f>TRIM(Formulario!K734)</f>
        <v/>
      </c>
      <c r="L723" s="107" t="str">
        <f>TRIM(Formulario!L734)</f>
        <v/>
      </c>
      <c r="M723" s="107" t="str">
        <f>TRIM(Formulario!M734)</f>
        <v/>
      </c>
      <c r="N723" s="11" t="str">
        <f>TRIM(Formulario!H734)</f>
        <v/>
      </c>
      <c r="P723" s="17"/>
      <c r="Q723" s="104"/>
      <c r="R723" s="104"/>
      <c r="S723" s="117"/>
      <c r="T723" s="101"/>
      <c r="U723" s="101"/>
      <c r="V723" s="101"/>
      <c r="W723" s="102"/>
      <c r="X723" s="102"/>
      <c r="Y723" s="102"/>
      <c r="Z723" s="102"/>
      <c r="AA723" s="102"/>
      <c r="AB723" s="102"/>
      <c r="AC723" s="102"/>
      <c r="AD723" s="102"/>
      <c r="AE723" s="102"/>
      <c r="AF723" s="102"/>
      <c r="AG723" s="102"/>
      <c r="AH723" s="102"/>
      <c r="AI723" s="102"/>
      <c r="AJ723" s="102"/>
      <c r="AK723" s="102"/>
      <c r="AL723" s="102"/>
      <c r="AM723" s="102"/>
      <c r="AN723" s="102"/>
      <c r="AO723" s="102"/>
      <c r="AP723" s="102"/>
      <c r="AQ723" s="102"/>
      <c r="AR723" s="102"/>
      <c r="AS723" s="102"/>
      <c r="AT723" s="102"/>
      <c r="AU723" s="102"/>
      <c r="AV723" s="102"/>
      <c r="AW723" s="102"/>
    </row>
    <row r="724" spans="1:49">
      <c r="A724" s="8" t="str">
        <f>IF(L724="","",Formulario!B735)</f>
        <v/>
      </c>
      <c r="B724" s="119"/>
      <c r="C724" s="120"/>
      <c r="D724" s="121"/>
      <c r="E724" s="129" t="str">
        <f>IF(F724="","",Formulario!B735)</f>
        <v/>
      </c>
      <c r="F724" s="11" t="str">
        <f>TRIM(Formulario!D735)</f>
        <v/>
      </c>
      <c r="G724" s="11" t="str">
        <f>TRIM(Formulario!F735)</f>
        <v/>
      </c>
      <c r="H724" s="146" t="str">
        <f>IF(N724="",TRIM(Formulario!G735),TRIM(Formulario!G735)*N724)</f>
        <v/>
      </c>
      <c r="I724" s="107" t="str">
        <f>TRIM(Formulario!I735)</f>
        <v/>
      </c>
      <c r="J724" s="11" t="str">
        <f>TRIM(Formulario!J735)</f>
        <v/>
      </c>
      <c r="K724" s="11" t="str">
        <f>TRIM(Formulario!K735)</f>
        <v/>
      </c>
      <c r="L724" s="107" t="str">
        <f>TRIM(Formulario!L735)</f>
        <v/>
      </c>
      <c r="M724" s="107" t="str">
        <f>TRIM(Formulario!M735)</f>
        <v/>
      </c>
      <c r="N724" s="11" t="str">
        <f>TRIM(Formulario!H735)</f>
        <v/>
      </c>
      <c r="P724" s="17"/>
      <c r="Q724" s="104"/>
      <c r="R724" s="104"/>
      <c r="S724" s="117"/>
      <c r="T724" s="101"/>
      <c r="U724" s="101"/>
      <c r="V724" s="101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</row>
    <row r="725" spans="1:49">
      <c r="A725" s="8" t="str">
        <f>IF(L725="","",Formulario!B736)</f>
        <v/>
      </c>
      <c r="B725" s="119"/>
      <c r="C725" s="120"/>
      <c r="D725" s="121"/>
      <c r="E725" s="129" t="str">
        <f>IF(F725="","",Formulario!B736)</f>
        <v/>
      </c>
      <c r="F725" s="11" t="str">
        <f>TRIM(Formulario!D736)</f>
        <v/>
      </c>
      <c r="G725" s="11" t="str">
        <f>TRIM(Formulario!F736)</f>
        <v/>
      </c>
      <c r="H725" s="146" t="str">
        <f>IF(N725="",TRIM(Formulario!G736),TRIM(Formulario!G736)*N725)</f>
        <v/>
      </c>
      <c r="I725" s="107" t="str">
        <f>TRIM(Formulario!I736)</f>
        <v/>
      </c>
      <c r="J725" s="11" t="str">
        <f>TRIM(Formulario!J736)</f>
        <v/>
      </c>
      <c r="K725" s="11" t="str">
        <f>TRIM(Formulario!K736)</f>
        <v/>
      </c>
      <c r="L725" s="107" t="str">
        <f>TRIM(Formulario!L736)</f>
        <v/>
      </c>
      <c r="M725" s="107" t="str">
        <f>TRIM(Formulario!M736)</f>
        <v/>
      </c>
      <c r="N725" s="11" t="str">
        <f>TRIM(Formulario!H736)</f>
        <v/>
      </c>
      <c r="P725" s="17"/>
      <c r="Q725" s="104"/>
      <c r="R725" s="104"/>
      <c r="S725" s="117"/>
      <c r="T725" s="101"/>
      <c r="U725" s="101"/>
      <c r="V725" s="101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</row>
    <row r="726" spans="1:49">
      <c r="A726" s="8" t="str">
        <f>IF(L726="","",Formulario!B737)</f>
        <v/>
      </c>
      <c r="B726" s="119"/>
      <c r="C726" s="120"/>
      <c r="D726" s="121"/>
      <c r="E726" s="129" t="str">
        <f>IF(F726="","",Formulario!B737)</f>
        <v/>
      </c>
      <c r="F726" s="11" t="str">
        <f>TRIM(Formulario!D737)</f>
        <v/>
      </c>
      <c r="G726" s="11" t="str">
        <f>TRIM(Formulario!F737)</f>
        <v/>
      </c>
      <c r="H726" s="146" t="str">
        <f>IF(N726="",TRIM(Formulario!G737),TRIM(Formulario!G737)*N726)</f>
        <v/>
      </c>
      <c r="I726" s="107" t="str">
        <f>TRIM(Formulario!I737)</f>
        <v/>
      </c>
      <c r="J726" s="11" t="str">
        <f>TRIM(Formulario!J737)</f>
        <v/>
      </c>
      <c r="K726" s="11" t="str">
        <f>TRIM(Formulario!K737)</f>
        <v/>
      </c>
      <c r="L726" s="107" t="str">
        <f>TRIM(Formulario!L737)</f>
        <v/>
      </c>
      <c r="M726" s="107" t="str">
        <f>TRIM(Formulario!M737)</f>
        <v/>
      </c>
      <c r="N726" s="11" t="str">
        <f>TRIM(Formulario!H737)</f>
        <v/>
      </c>
      <c r="P726" s="17"/>
      <c r="Q726" s="104"/>
      <c r="R726" s="104"/>
      <c r="S726" s="117"/>
      <c r="T726" s="101"/>
      <c r="U726" s="101"/>
      <c r="V726" s="101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</row>
    <row r="727" spans="1:49">
      <c r="A727" s="8" t="str">
        <f>IF(L727="","",Formulario!B738)</f>
        <v/>
      </c>
      <c r="B727" s="119"/>
      <c r="C727" s="120"/>
      <c r="D727" s="121"/>
      <c r="E727" s="129" t="str">
        <f>IF(F727="","",Formulario!B738)</f>
        <v/>
      </c>
      <c r="F727" s="11" t="str">
        <f>TRIM(Formulario!D738)</f>
        <v/>
      </c>
      <c r="G727" s="11" t="str">
        <f>TRIM(Formulario!F738)</f>
        <v/>
      </c>
      <c r="H727" s="146" t="str">
        <f>IF(N727="",TRIM(Formulario!G738),TRIM(Formulario!G738)*N727)</f>
        <v/>
      </c>
      <c r="I727" s="107" t="str">
        <f>TRIM(Formulario!I738)</f>
        <v/>
      </c>
      <c r="J727" s="11" t="str">
        <f>TRIM(Formulario!J738)</f>
        <v/>
      </c>
      <c r="K727" s="11" t="str">
        <f>TRIM(Formulario!K738)</f>
        <v/>
      </c>
      <c r="L727" s="107" t="str">
        <f>TRIM(Formulario!L738)</f>
        <v/>
      </c>
      <c r="M727" s="107" t="str">
        <f>TRIM(Formulario!M738)</f>
        <v/>
      </c>
      <c r="N727" s="11" t="str">
        <f>TRIM(Formulario!H738)</f>
        <v/>
      </c>
      <c r="P727" s="17"/>
      <c r="Q727" s="104"/>
      <c r="R727" s="104"/>
      <c r="S727" s="117"/>
      <c r="T727" s="101"/>
      <c r="U727" s="101"/>
      <c r="V727" s="101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</row>
    <row r="728" spans="1:49">
      <c r="A728" s="8" t="str">
        <f>IF(L728="","",Formulario!B739)</f>
        <v/>
      </c>
      <c r="B728" s="119"/>
      <c r="C728" s="120"/>
      <c r="D728" s="121"/>
      <c r="E728" s="129" t="str">
        <f>IF(F728="","",Formulario!B739)</f>
        <v/>
      </c>
      <c r="F728" s="11" t="str">
        <f>TRIM(Formulario!D739)</f>
        <v/>
      </c>
      <c r="G728" s="11" t="str">
        <f>TRIM(Formulario!F739)</f>
        <v/>
      </c>
      <c r="H728" s="146" t="str">
        <f>IF(N728="",TRIM(Formulario!G739),TRIM(Formulario!G739)*N728)</f>
        <v/>
      </c>
      <c r="I728" s="107" t="str">
        <f>TRIM(Formulario!I739)</f>
        <v/>
      </c>
      <c r="J728" s="11" t="str">
        <f>TRIM(Formulario!J739)</f>
        <v/>
      </c>
      <c r="K728" s="11" t="str">
        <f>TRIM(Formulario!K739)</f>
        <v/>
      </c>
      <c r="L728" s="107" t="str">
        <f>TRIM(Formulario!L739)</f>
        <v/>
      </c>
      <c r="M728" s="107" t="str">
        <f>TRIM(Formulario!M739)</f>
        <v/>
      </c>
      <c r="N728" s="11" t="str">
        <f>TRIM(Formulario!H739)</f>
        <v/>
      </c>
      <c r="P728" s="17"/>
      <c r="Q728" s="104"/>
      <c r="R728" s="104"/>
      <c r="S728" s="117"/>
      <c r="T728" s="101"/>
      <c r="U728" s="101"/>
      <c r="V728" s="101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</row>
    <row r="729" spans="1:49">
      <c r="A729" s="8" t="str">
        <f>IF(L729="","",Formulario!B740)</f>
        <v/>
      </c>
      <c r="B729" s="119"/>
      <c r="C729" s="120"/>
      <c r="D729" s="121"/>
      <c r="E729" s="129" t="str">
        <f>IF(F729="","",Formulario!B740)</f>
        <v/>
      </c>
      <c r="F729" s="11" t="str">
        <f>TRIM(Formulario!D740)</f>
        <v/>
      </c>
      <c r="G729" s="11" t="str">
        <f>TRIM(Formulario!F740)</f>
        <v/>
      </c>
      <c r="H729" s="146" t="str">
        <f>IF(N729="",TRIM(Formulario!G740),TRIM(Formulario!G740)*N729)</f>
        <v/>
      </c>
      <c r="I729" s="107" t="str">
        <f>TRIM(Formulario!I740)</f>
        <v/>
      </c>
      <c r="J729" s="11" t="str">
        <f>TRIM(Formulario!J740)</f>
        <v/>
      </c>
      <c r="K729" s="11" t="str">
        <f>TRIM(Formulario!K740)</f>
        <v/>
      </c>
      <c r="L729" s="107" t="str">
        <f>TRIM(Formulario!L740)</f>
        <v/>
      </c>
      <c r="M729" s="107" t="str">
        <f>TRIM(Formulario!M740)</f>
        <v/>
      </c>
      <c r="N729" s="11" t="str">
        <f>TRIM(Formulario!H740)</f>
        <v/>
      </c>
      <c r="P729" s="17"/>
      <c r="Q729" s="104"/>
      <c r="R729" s="104"/>
      <c r="S729" s="117"/>
      <c r="T729" s="101"/>
      <c r="U729" s="101"/>
      <c r="V729" s="101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</row>
    <row r="730" spans="1:49">
      <c r="A730" s="8" t="str">
        <f>IF(L730="","",Formulario!B741)</f>
        <v/>
      </c>
      <c r="B730" s="119"/>
      <c r="C730" s="120"/>
      <c r="D730" s="121"/>
      <c r="E730" s="129" t="str">
        <f>IF(F730="","",Formulario!B741)</f>
        <v/>
      </c>
      <c r="F730" s="11" t="str">
        <f>TRIM(Formulario!D741)</f>
        <v/>
      </c>
      <c r="G730" s="11" t="str">
        <f>TRIM(Formulario!F741)</f>
        <v/>
      </c>
      <c r="H730" s="146" t="str">
        <f>IF(N730="",TRIM(Formulario!G741),TRIM(Formulario!G741)*N730)</f>
        <v/>
      </c>
      <c r="I730" s="107" t="str">
        <f>TRIM(Formulario!I741)</f>
        <v/>
      </c>
      <c r="J730" s="11" t="str">
        <f>TRIM(Formulario!J741)</f>
        <v/>
      </c>
      <c r="K730" s="11" t="str">
        <f>TRIM(Formulario!K741)</f>
        <v/>
      </c>
      <c r="L730" s="107" t="str">
        <f>TRIM(Formulario!L741)</f>
        <v/>
      </c>
      <c r="M730" s="107" t="str">
        <f>TRIM(Formulario!M741)</f>
        <v/>
      </c>
      <c r="N730" s="11" t="str">
        <f>TRIM(Formulario!H741)</f>
        <v/>
      </c>
      <c r="P730" s="17"/>
      <c r="Q730" s="104"/>
      <c r="R730" s="104"/>
      <c r="S730" s="117"/>
      <c r="T730" s="101"/>
      <c r="U730" s="101"/>
      <c r="V730" s="101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</row>
    <row r="731" spans="1:49">
      <c r="A731" s="8" t="str">
        <f>IF(L731="","",Formulario!B742)</f>
        <v/>
      </c>
      <c r="B731" s="119"/>
      <c r="C731" s="120"/>
      <c r="D731" s="121"/>
      <c r="E731" s="129" t="str">
        <f>IF(F731="","",Formulario!B742)</f>
        <v/>
      </c>
      <c r="F731" s="11" t="str">
        <f>TRIM(Formulario!D742)</f>
        <v/>
      </c>
      <c r="G731" s="11" t="str">
        <f>TRIM(Formulario!F742)</f>
        <v/>
      </c>
      <c r="H731" s="146" t="str">
        <f>IF(N731="",TRIM(Formulario!G742),TRIM(Formulario!G742)*N731)</f>
        <v/>
      </c>
      <c r="I731" s="107" t="str">
        <f>TRIM(Formulario!I742)</f>
        <v/>
      </c>
      <c r="J731" s="11" t="str">
        <f>TRIM(Formulario!J742)</f>
        <v/>
      </c>
      <c r="K731" s="11" t="str">
        <f>TRIM(Formulario!K742)</f>
        <v/>
      </c>
      <c r="L731" s="107" t="str">
        <f>TRIM(Formulario!L742)</f>
        <v/>
      </c>
      <c r="M731" s="107" t="str">
        <f>TRIM(Formulario!M742)</f>
        <v/>
      </c>
      <c r="N731" s="11" t="str">
        <f>TRIM(Formulario!H742)</f>
        <v/>
      </c>
      <c r="P731" s="17"/>
      <c r="Q731" s="104"/>
      <c r="R731" s="104"/>
      <c r="S731" s="117"/>
      <c r="T731" s="101"/>
      <c r="U731" s="101"/>
      <c r="V731" s="101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</row>
    <row r="732" spans="1:49">
      <c r="A732" s="8" t="str">
        <f>IF(L732="","",Formulario!B743)</f>
        <v/>
      </c>
      <c r="B732" s="119"/>
      <c r="C732" s="120"/>
      <c r="D732" s="121"/>
      <c r="E732" s="129" t="str">
        <f>IF(F732="","",Formulario!B743)</f>
        <v/>
      </c>
      <c r="F732" s="11" t="str">
        <f>TRIM(Formulario!D743)</f>
        <v/>
      </c>
      <c r="G732" s="11" t="str">
        <f>TRIM(Formulario!F743)</f>
        <v/>
      </c>
      <c r="H732" s="146" t="str">
        <f>IF(N732="",TRIM(Formulario!G743),TRIM(Formulario!G743)*N732)</f>
        <v/>
      </c>
      <c r="I732" s="107" t="str">
        <f>TRIM(Formulario!I743)</f>
        <v/>
      </c>
      <c r="J732" s="11" t="str">
        <f>TRIM(Formulario!J743)</f>
        <v/>
      </c>
      <c r="K732" s="11" t="str">
        <f>TRIM(Formulario!K743)</f>
        <v/>
      </c>
      <c r="L732" s="107" t="str">
        <f>TRIM(Formulario!L743)</f>
        <v/>
      </c>
      <c r="M732" s="107" t="str">
        <f>TRIM(Formulario!M743)</f>
        <v/>
      </c>
      <c r="N732" s="11" t="str">
        <f>TRIM(Formulario!H743)</f>
        <v/>
      </c>
      <c r="P732" s="17"/>
      <c r="Q732" s="104"/>
      <c r="R732" s="104"/>
      <c r="S732" s="117"/>
      <c r="T732" s="101"/>
      <c r="U732" s="101"/>
      <c r="V732" s="101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</row>
    <row r="733" spans="1:49">
      <c r="A733" s="8" t="str">
        <f>IF(L733="","",Formulario!B744)</f>
        <v/>
      </c>
      <c r="B733" s="119"/>
      <c r="C733" s="120"/>
      <c r="D733" s="121"/>
      <c r="E733" s="129" t="str">
        <f>IF(F733="","",Formulario!B744)</f>
        <v/>
      </c>
      <c r="F733" s="11" t="str">
        <f>TRIM(Formulario!D744)</f>
        <v/>
      </c>
      <c r="G733" s="11" t="str">
        <f>TRIM(Formulario!F744)</f>
        <v/>
      </c>
      <c r="H733" s="146" t="str">
        <f>IF(N733="",TRIM(Formulario!G744),TRIM(Formulario!G744)*N733)</f>
        <v/>
      </c>
      <c r="I733" s="107" t="str">
        <f>TRIM(Formulario!I744)</f>
        <v/>
      </c>
      <c r="J733" s="11" t="str">
        <f>TRIM(Formulario!J744)</f>
        <v/>
      </c>
      <c r="K733" s="11" t="str">
        <f>TRIM(Formulario!K744)</f>
        <v/>
      </c>
      <c r="L733" s="107" t="str">
        <f>TRIM(Formulario!L744)</f>
        <v/>
      </c>
      <c r="M733" s="107" t="str">
        <f>TRIM(Formulario!M744)</f>
        <v/>
      </c>
      <c r="N733" s="11" t="str">
        <f>TRIM(Formulario!H744)</f>
        <v/>
      </c>
      <c r="P733" s="17"/>
      <c r="Q733" s="104"/>
      <c r="R733" s="104"/>
      <c r="S733" s="117"/>
      <c r="T733" s="101"/>
      <c r="U733" s="101"/>
      <c r="V733" s="101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</row>
    <row r="734" spans="1:49">
      <c r="A734" s="8" t="str">
        <f>IF(L734="","",Formulario!B745)</f>
        <v/>
      </c>
      <c r="B734" s="119"/>
      <c r="C734" s="120"/>
      <c r="D734" s="121"/>
      <c r="E734" s="129" t="str">
        <f>IF(F734="","",Formulario!B745)</f>
        <v/>
      </c>
      <c r="F734" s="11" t="str">
        <f>TRIM(Formulario!D745)</f>
        <v/>
      </c>
      <c r="G734" s="11" t="str">
        <f>TRIM(Formulario!F745)</f>
        <v/>
      </c>
      <c r="H734" s="146" t="str">
        <f>IF(N734="",TRIM(Formulario!G745),TRIM(Formulario!G745)*N734)</f>
        <v/>
      </c>
      <c r="I734" s="107" t="str">
        <f>TRIM(Formulario!I745)</f>
        <v/>
      </c>
      <c r="J734" s="11" t="str">
        <f>TRIM(Formulario!J745)</f>
        <v/>
      </c>
      <c r="K734" s="11" t="str">
        <f>TRIM(Formulario!K745)</f>
        <v/>
      </c>
      <c r="L734" s="107" t="str">
        <f>TRIM(Formulario!L745)</f>
        <v/>
      </c>
      <c r="M734" s="107" t="str">
        <f>TRIM(Formulario!M745)</f>
        <v/>
      </c>
      <c r="N734" s="11" t="str">
        <f>TRIM(Formulario!H745)</f>
        <v/>
      </c>
      <c r="P734" s="17"/>
      <c r="Q734" s="104"/>
      <c r="R734" s="104"/>
      <c r="S734" s="117"/>
      <c r="T734" s="101"/>
      <c r="U734" s="101"/>
      <c r="V734" s="101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</row>
    <row r="735" spans="1:49">
      <c r="A735" s="8" t="str">
        <f>IF(L735="","",Formulario!B746)</f>
        <v/>
      </c>
      <c r="B735" s="119"/>
      <c r="C735" s="120"/>
      <c r="D735" s="121"/>
      <c r="E735" s="129" t="str">
        <f>IF(F735="","",Formulario!B746)</f>
        <v/>
      </c>
      <c r="F735" s="11" t="str">
        <f>TRIM(Formulario!D746)</f>
        <v/>
      </c>
      <c r="G735" s="11" t="str">
        <f>TRIM(Formulario!F746)</f>
        <v/>
      </c>
      <c r="H735" s="146" t="str">
        <f>IF(N735="",TRIM(Formulario!G746),TRIM(Formulario!G746)*N735)</f>
        <v/>
      </c>
      <c r="I735" s="107" t="str">
        <f>TRIM(Formulario!I746)</f>
        <v/>
      </c>
      <c r="J735" s="11" t="str">
        <f>TRIM(Formulario!J746)</f>
        <v/>
      </c>
      <c r="K735" s="11" t="str">
        <f>TRIM(Formulario!K746)</f>
        <v/>
      </c>
      <c r="L735" s="107" t="str">
        <f>TRIM(Formulario!L746)</f>
        <v/>
      </c>
      <c r="M735" s="107" t="str">
        <f>TRIM(Formulario!M746)</f>
        <v/>
      </c>
      <c r="N735" s="11" t="str">
        <f>TRIM(Formulario!H746)</f>
        <v/>
      </c>
      <c r="P735" s="17"/>
      <c r="Q735" s="104"/>
      <c r="R735" s="104"/>
      <c r="S735" s="117"/>
      <c r="T735" s="101"/>
      <c r="U735" s="101"/>
      <c r="V735" s="101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</row>
    <row r="736" spans="1:49">
      <c r="A736" s="8" t="str">
        <f>IF(L736="","",Formulario!B747)</f>
        <v/>
      </c>
      <c r="B736" s="119"/>
      <c r="C736" s="120"/>
      <c r="D736" s="121"/>
      <c r="E736" s="129" t="str">
        <f>IF(F736="","",Formulario!B747)</f>
        <v/>
      </c>
      <c r="F736" s="11" t="str">
        <f>TRIM(Formulario!D747)</f>
        <v/>
      </c>
      <c r="G736" s="11" t="str">
        <f>TRIM(Formulario!F747)</f>
        <v/>
      </c>
      <c r="H736" s="146" t="str">
        <f>IF(N736="",TRIM(Formulario!G747),TRIM(Formulario!G747)*N736)</f>
        <v/>
      </c>
      <c r="I736" s="107" t="str">
        <f>TRIM(Formulario!I747)</f>
        <v/>
      </c>
      <c r="J736" s="11" t="str">
        <f>TRIM(Formulario!J747)</f>
        <v/>
      </c>
      <c r="K736" s="11" t="str">
        <f>TRIM(Formulario!K747)</f>
        <v/>
      </c>
      <c r="L736" s="107" t="str">
        <f>TRIM(Formulario!L747)</f>
        <v/>
      </c>
      <c r="M736" s="107" t="str">
        <f>TRIM(Formulario!M747)</f>
        <v/>
      </c>
      <c r="N736" s="11" t="str">
        <f>TRIM(Formulario!H747)</f>
        <v/>
      </c>
      <c r="P736" s="17"/>
      <c r="Q736" s="104"/>
      <c r="R736" s="104"/>
      <c r="S736" s="117"/>
      <c r="T736" s="101"/>
      <c r="U736" s="101"/>
      <c r="V736" s="101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</row>
    <row r="737" spans="1:49">
      <c r="A737" s="8" t="str">
        <f>IF(L737="","",Formulario!B748)</f>
        <v/>
      </c>
      <c r="B737" s="119"/>
      <c r="C737" s="120"/>
      <c r="D737" s="121"/>
      <c r="E737" s="129" t="str">
        <f>IF(F737="","",Formulario!B748)</f>
        <v/>
      </c>
      <c r="F737" s="11" t="str">
        <f>TRIM(Formulario!D748)</f>
        <v/>
      </c>
      <c r="G737" s="11" t="str">
        <f>TRIM(Formulario!F748)</f>
        <v/>
      </c>
      <c r="H737" s="146" t="str">
        <f>IF(N737="",TRIM(Formulario!G748),TRIM(Formulario!G748)*N737)</f>
        <v/>
      </c>
      <c r="I737" s="107" t="str">
        <f>TRIM(Formulario!I748)</f>
        <v/>
      </c>
      <c r="J737" s="11" t="str">
        <f>TRIM(Formulario!J748)</f>
        <v/>
      </c>
      <c r="K737" s="11" t="str">
        <f>TRIM(Formulario!K748)</f>
        <v/>
      </c>
      <c r="L737" s="107" t="str">
        <f>TRIM(Formulario!L748)</f>
        <v/>
      </c>
      <c r="M737" s="107" t="str">
        <f>TRIM(Formulario!M748)</f>
        <v/>
      </c>
      <c r="N737" s="11" t="str">
        <f>TRIM(Formulario!H748)</f>
        <v/>
      </c>
      <c r="P737" s="17"/>
      <c r="Q737" s="104"/>
      <c r="R737" s="104"/>
      <c r="S737" s="117"/>
      <c r="T737" s="101"/>
      <c r="U737" s="101"/>
      <c r="V737" s="101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</row>
    <row r="738" spans="1:49">
      <c r="A738" s="8" t="str">
        <f>IF(L738="","",Formulario!B749)</f>
        <v/>
      </c>
      <c r="B738" s="119"/>
      <c r="C738" s="120"/>
      <c r="D738" s="121"/>
      <c r="E738" s="129" t="str">
        <f>IF(F738="","",Formulario!B749)</f>
        <v/>
      </c>
      <c r="F738" s="11" t="str">
        <f>TRIM(Formulario!D749)</f>
        <v/>
      </c>
      <c r="G738" s="11" t="str">
        <f>TRIM(Formulario!F749)</f>
        <v/>
      </c>
      <c r="H738" s="146" t="str">
        <f>IF(N738="",TRIM(Formulario!G749),TRIM(Formulario!G749)*N738)</f>
        <v/>
      </c>
      <c r="I738" s="107" t="str">
        <f>TRIM(Formulario!I749)</f>
        <v/>
      </c>
      <c r="J738" s="11" t="str">
        <f>TRIM(Formulario!J749)</f>
        <v/>
      </c>
      <c r="K738" s="11" t="str">
        <f>TRIM(Formulario!K749)</f>
        <v/>
      </c>
      <c r="L738" s="107" t="str">
        <f>TRIM(Formulario!L749)</f>
        <v/>
      </c>
      <c r="M738" s="107" t="str">
        <f>TRIM(Formulario!M749)</f>
        <v/>
      </c>
      <c r="N738" s="11" t="str">
        <f>TRIM(Formulario!H749)</f>
        <v/>
      </c>
      <c r="P738" s="17"/>
      <c r="Q738" s="104"/>
      <c r="R738" s="104"/>
      <c r="S738" s="117"/>
      <c r="T738" s="101"/>
      <c r="U738" s="101"/>
      <c r="V738" s="101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</row>
    <row r="739" spans="1:49">
      <c r="A739" s="8" t="str">
        <f>IF(L739="","",Formulario!B750)</f>
        <v/>
      </c>
      <c r="B739" s="119"/>
      <c r="C739" s="120"/>
      <c r="D739" s="121"/>
      <c r="E739" s="129" t="str">
        <f>IF(F739="","",Formulario!B750)</f>
        <v/>
      </c>
      <c r="F739" s="11" t="str">
        <f>TRIM(Formulario!D750)</f>
        <v/>
      </c>
      <c r="G739" s="11" t="str">
        <f>TRIM(Formulario!F750)</f>
        <v/>
      </c>
      <c r="H739" s="146" t="str">
        <f>IF(N739="",TRIM(Formulario!G750),TRIM(Formulario!G750)*N739)</f>
        <v/>
      </c>
      <c r="I739" s="107" t="str">
        <f>TRIM(Formulario!I750)</f>
        <v/>
      </c>
      <c r="J739" s="11" t="str">
        <f>TRIM(Formulario!J750)</f>
        <v/>
      </c>
      <c r="K739" s="11" t="str">
        <f>TRIM(Formulario!K750)</f>
        <v/>
      </c>
      <c r="L739" s="107" t="str">
        <f>TRIM(Formulario!L750)</f>
        <v/>
      </c>
      <c r="M739" s="107" t="str">
        <f>TRIM(Formulario!M750)</f>
        <v/>
      </c>
      <c r="N739" s="11" t="str">
        <f>TRIM(Formulario!H750)</f>
        <v/>
      </c>
      <c r="P739" s="17"/>
      <c r="Q739" s="104"/>
      <c r="R739" s="104"/>
      <c r="S739" s="117"/>
      <c r="T739" s="101"/>
      <c r="U739" s="101"/>
      <c r="V739" s="101"/>
      <c r="W739" s="102"/>
      <c r="X739" s="102"/>
      <c r="Y739" s="102"/>
      <c r="Z739" s="102"/>
      <c r="AA739" s="102"/>
      <c r="AB739" s="102"/>
      <c r="AC739" s="102"/>
      <c r="AD739" s="102"/>
      <c r="AE739" s="102"/>
      <c r="AF739" s="102"/>
      <c r="AG739" s="102"/>
      <c r="AH739" s="102"/>
      <c r="AI739" s="102"/>
      <c r="AJ739" s="102"/>
      <c r="AK739" s="102"/>
      <c r="AL739" s="102"/>
      <c r="AM739" s="102"/>
      <c r="AN739" s="102"/>
      <c r="AO739" s="102"/>
      <c r="AP739" s="102"/>
      <c r="AQ739" s="102"/>
      <c r="AR739" s="102"/>
      <c r="AS739" s="102"/>
      <c r="AT739" s="102"/>
      <c r="AU739" s="102"/>
      <c r="AV739" s="102"/>
      <c r="AW739" s="102"/>
    </row>
    <row r="740" spans="1:49">
      <c r="A740" s="8" t="str">
        <f>IF(L740="","",Formulario!B751)</f>
        <v/>
      </c>
      <c r="B740" s="119"/>
      <c r="C740" s="120"/>
      <c r="D740" s="121"/>
      <c r="E740" s="129" t="str">
        <f>IF(F740="","",Formulario!B751)</f>
        <v/>
      </c>
      <c r="F740" s="11" t="str">
        <f>TRIM(Formulario!D751)</f>
        <v/>
      </c>
      <c r="G740" s="11" t="str">
        <f>TRIM(Formulario!F751)</f>
        <v/>
      </c>
      <c r="H740" s="146" t="str">
        <f>IF(N740="",TRIM(Formulario!G751),TRIM(Formulario!G751)*N740)</f>
        <v/>
      </c>
      <c r="I740" s="107" t="str">
        <f>TRIM(Formulario!I751)</f>
        <v/>
      </c>
      <c r="J740" s="11" t="str">
        <f>TRIM(Formulario!J751)</f>
        <v/>
      </c>
      <c r="K740" s="11" t="str">
        <f>TRIM(Formulario!K751)</f>
        <v/>
      </c>
      <c r="L740" s="107" t="str">
        <f>TRIM(Formulario!L751)</f>
        <v/>
      </c>
      <c r="M740" s="107" t="str">
        <f>TRIM(Formulario!M751)</f>
        <v/>
      </c>
      <c r="N740" s="11" t="str">
        <f>TRIM(Formulario!H751)</f>
        <v/>
      </c>
      <c r="P740" s="17"/>
      <c r="Q740" s="104"/>
      <c r="R740" s="104"/>
      <c r="S740" s="117"/>
      <c r="T740" s="101"/>
      <c r="U740" s="101"/>
      <c r="V740" s="101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</row>
    <row r="741" spans="1:49">
      <c r="A741" s="8" t="str">
        <f>IF(L741="","",Formulario!B752)</f>
        <v/>
      </c>
      <c r="B741" s="119"/>
      <c r="C741" s="120"/>
      <c r="D741" s="121"/>
      <c r="E741" s="129" t="str">
        <f>IF(F741="","",Formulario!B752)</f>
        <v/>
      </c>
      <c r="F741" s="11" t="str">
        <f>TRIM(Formulario!D752)</f>
        <v/>
      </c>
      <c r="G741" s="11" t="str">
        <f>TRIM(Formulario!F752)</f>
        <v/>
      </c>
      <c r="H741" s="146" t="str">
        <f>IF(N741="",TRIM(Formulario!G752),TRIM(Formulario!G752)*N741)</f>
        <v/>
      </c>
      <c r="I741" s="107" t="str">
        <f>TRIM(Formulario!I752)</f>
        <v/>
      </c>
      <c r="J741" s="11" t="str">
        <f>TRIM(Formulario!J752)</f>
        <v/>
      </c>
      <c r="K741" s="11" t="str">
        <f>TRIM(Formulario!K752)</f>
        <v/>
      </c>
      <c r="L741" s="107" t="str">
        <f>TRIM(Formulario!L752)</f>
        <v/>
      </c>
      <c r="M741" s="107" t="str">
        <f>TRIM(Formulario!M752)</f>
        <v/>
      </c>
      <c r="N741" s="11" t="str">
        <f>TRIM(Formulario!H752)</f>
        <v/>
      </c>
      <c r="P741" s="17"/>
      <c r="Q741" s="104"/>
      <c r="R741" s="104"/>
      <c r="S741" s="117"/>
      <c r="T741" s="101"/>
      <c r="U741" s="101"/>
      <c r="V741" s="101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</row>
    <row r="742" spans="1:49">
      <c r="A742" s="8" t="str">
        <f>IF(L742="","",Formulario!B753)</f>
        <v/>
      </c>
      <c r="B742" s="119"/>
      <c r="C742" s="120"/>
      <c r="D742" s="121"/>
      <c r="E742" s="129" t="str">
        <f>IF(F742="","",Formulario!B753)</f>
        <v/>
      </c>
      <c r="F742" s="11" t="str">
        <f>TRIM(Formulario!D753)</f>
        <v/>
      </c>
      <c r="G742" s="11" t="str">
        <f>TRIM(Formulario!F753)</f>
        <v/>
      </c>
      <c r="H742" s="146" t="str">
        <f>IF(N742="",TRIM(Formulario!G753),TRIM(Formulario!G753)*N742)</f>
        <v/>
      </c>
      <c r="I742" s="107" t="str">
        <f>TRIM(Formulario!I753)</f>
        <v/>
      </c>
      <c r="J742" s="11" t="str">
        <f>TRIM(Formulario!J753)</f>
        <v/>
      </c>
      <c r="K742" s="11" t="str">
        <f>TRIM(Formulario!K753)</f>
        <v/>
      </c>
      <c r="L742" s="107" t="str">
        <f>TRIM(Formulario!L753)</f>
        <v/>
      </c>
      <c r="M742" s="107" t="str">
        <f>TRIM(Formulario!M753)</f>
        <v/>
      </c>
      <c r="N742" s="11" t="str">
        <f>TRIM(Formulario!H753)</f>
        <v/>
      </c>
      <c r="P742" s="17"/>
      <c r="Q742" s="104"/>
      <c r="R742" s="104"/>
      <c r="S742" s="117"/>
      <c r="T742" s="101"/>
      <c r="U742" s="101"/>
      <c r="V742" s="101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</row>
    <row r="743" spans="1:49">
      <c r="A743" s="8" t="str">
        <f>IF(L743="","",Formulario!B754)</f>
        <v/>
      </c>
      <c r="B743" s="119"/>
      <c r="C743" s="120"/>
      <c r="D743" s="121"/>
      <c r="E743" s="129" t="str">
        <f>IF(F743="","",Formulario!B754)</f>
        <v/>
      </c>
      <c r="F743" s="11" t="str">
        <f>TRIM(Formulario!D754)</f>
        <v/>
      </c>
      <c r="G743" s="11" t="str">
        <f>TRIM(Formulario!F754)</f>
        <v/>
      </c>
      <c r="H743" s="146" t="str">
        <f>IF(N743="",TRIM(Formulario!G754),TRIM(Formulario!G754)*N743)</f>
        <v/>
      </c>
      <c r="I743" s="107" t="str">
        <f>TRIM(Formulario!I754)</f>
        <v/>
      </c>
      <c r="J743" s="11" t="str">
        <f>TRIM(Formulario!J754)</f>
        <v/>
      </c>
      <c r="K743" s="11" t="str">
        <f>TRIM(Formulario!K754)</f>
        <v/>
      </c>
      <c r="L743" s="107" t="str">
        <f>TRIM(Formulario!L754)</f>
        <v/>
      </c>
      <c r="M743" s="107" t="str">
        <f>TRIM(Formulario!M754)</f>
        <v/>
      </c>
      <c r="N743" s="11" t="str">
        <f>TRIM(Formulario!H754)</f>
        <v/>
      </c>
      <c r="P743" s="17"/>
      <c r="Q743" s="104"/>
      <c r="R743" s="104"/>
      <c r="S743" s="117"/>
      <c r="T743" s="101"/>
      <c r="U743" s="101"/>
      <c r="V743" s="101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</row>
    <row r="744" spans="1:49">
      <c r="A744" s="8" t="str">
        <f>IF(L744="","",Formulario!B755)</f>
        <v/>
      </c>
      <c r="B744" s="119"/>
      <c r="C744" s="120"/>
      <c r="D744" s="121"/>
      <c r="E744" s="129" t="str">
        <f>IF(F744="","",Formulario!B755)</f>
        <v/>
      </c>
      <c r="F744" s="11" t="str">
        <f>TRIM(Formulario!D755)</f>
        <v/>
      </c>
      <c r="G744" s="11" t="str">
        <f>TRIM(Formulario!F755)</f>
        <v/>
      </c>
      <c r="H744" s="146" t="str">
        <f>IF(N744="",TRIM(Formulario!G755),TRIM(Formulario!G755)*N744)</f>
        <v/>
      </c>
      <c r="I744" s="107" t="str">
        <f>TRIM(Formulario!I755)</f>
        <v/>
      </c>
      <c r="J744" s="11" t="str">
        <f>TRIM(Formulario!J755)</f>
        <v/>
      </c>
      <c r="K744" s="11" t="str">
        <f>TRIM(Formulario!K755)</f>
        <v/>
      </c>
      <c r="L744" s="107" t="str">
        <f>TRIM(Formulario!L755)</f>
        <v/>
      </c>
      <c r="M744" s="107" t="str">
        <f>TRIM(Formulario!M755)</f>
        <v/>
      </c>
      <c r="N744" s="11" t="str">
        <f>TRIM(Formulario!H755)</f>
        <v/>
      </c>
      <c r="P744" s="17"/>
      <c r="Q744" s="104"/>
      <c r="R744" s="104"/>
      <c r="S744" s="117"/>
      <c r="T744" s="101"/>
      <c r="U744" s="101"/>
      <c r="V744" s="101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</row>
    <row r="745" spans="1:49">
      <c r="A745" s="8" t="str">
        <f>IF(L745="","",Formulario!B756)</f>
        <v/>
      </c>
      <c r="B745" s="119"/>
      <c r="C745" s="120"/>
      <c r="D745" s="121"/>
      <c r="E745" s="129" t="str">
        <f>IF(F745="","",Formulario!B756)</f>
        <v/>
      </c>
      <c r="F745" s="11" t="str">
        <f>TRIM(Formulario!D756)</f>
        <v/>
      </c>
      <c r="G745" s="11" t="str">
        <f>TRIM(Formulario!F756)</f>
        <v/>
      </c>
      <c r="H745" s="146" t="str">
        <f>IF(N745="",TRIM(Formulario!G756),TRIM(Formulario!G756)*N745)</f>
        <v/>
      </c>
      <c r="I745" s="107" t="str">
        <f>TRIM(Formulario!I756)</f>
        <v/>
      </c>
      <c r="J745" s="11" t="str">
        <f>TRIM(Formulario!J756)</f>
        <v/>
      </c>
      <c r="K745" s="11" t="str">
        <f>TRIM(Formulario!K756)</f>
        <v/>
      </c>
      <c r="L745" s="107" t="str">
        <f>TRIM(Formulario!L756)</f>
        <v/>
      </c>
      <c r="M745" s="107" t="str">
        <f>TRIM(Formulario!M756)</f>
        <v/>
      </c>
      <c r="N745" s="11" t="str">
        <f>TRIM(Formulario!H756)</f>
        <v/>
      </c>
      <c r="P745" s="17"/>
      <c r="Q745" s="104"/>
      <c r="R745" s="104"/>
      <c r="S745" s="117"/>
      <c r="T745" s="101"/>
      <c r="U745" s="101"/>
      <c r="V745" s="101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</row>
    <row r="746" spans="1:49">
      <c r="A746" s="8" t="str">
        <f>IF(L746="","",Formulario!B757)</f>
        <v/>
      </c>
      <c r="B746" s="119"/>
      <c r="C746" s="120"/>
      <c r="D746" s="121"/>
      <c r="E746" s="129" t="str">
        <f>IF(F746="","",Formulario!B757)</f>
        <v/>
      </c>
      <c r="F746" s="11" t="str">
        <f>TRIM(Formulario!D757)</f>
        <v/>
      </c>
      <c r="G746" s="11" t="str">
        <f>TRIM(Formulario!F757)</f>
        <v/>
      </c>
      <c r="H746" s="146" t="str">
        <f>IF(N746="",TRIM(Formulario!G757),TRIM(Formulario!G757)*N746)</f>
        <v/>
      </c>
      <c r="I746" s="107" t="str">
        <f>TRIM(Formulario!I757)</f>
        <v/>
      </c>
      <c r="J746" s="11" t="str">
        <f>TRIM(Formulario!J757)</f>
        <v/>
      </c>
      <c r="K746" s="11" t="str">
        <f>TRIM(Formulario!K757)</f>
        <v/>
      </c>
      <c r="L746" s="107" t="str">
        <f>TRIM(Formulario!L757)</f>
        <v/>
      </c>
      <c r="M746" s="107" t="str">
        <f>TRIM(Formulario!M757)</f>
        <v/>
      </c>
      <c r="N746" s="11" t="str">
        <f>TRIM(Formulario!H757)</f>
        <v/>
      </c>
      <c r="P746" s="17"/>
      <c r="Q746" s="104"/>
      <c r="R746" s="104"/>
      <c r="S746" s="117"/>
      <c r="T746" s="101"/>
      <c r="U746" s="101"/>
      <c r="V746" s="101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</row>
    <row r="747" spans="1:49">
      <c r="A747" s="8" t="str">
        <f>IF(L747="","",Formulario!B758)</f>
        <v/>
      </c>
      <c r="B747" s="119"/>
      <c r="C747" s="120"/>
      <c r="D747" s="121"/>
      <c r="E747" s="129" t="str">
        <f>IF(F747="","",Formulario!B758)</f>
        <v/>
      </c>
      <c r="F747" s="11" t="str">
        <f>TRIM(Formulario!D758)</f>
        <v/>
      </c>
      <c r="G747" s="11" t="str">
        <f>TRIM(Formulario!F758)</f>
        <v/>
      </c>
      <c r="H747" s="146" t="str">
        <f>IF(N747="",TRIM(Formulario!G758),TRIM(Formulario!G758)*N747)</f>
        <v/>
      </c>
      <c r="I747" s="107" t="str">
        <f>TRIM(Formulario!I758)</f>
        <v/>
      </c>
      <c r="J747" s="11" t="str">
        <f>TRIM(Formulario!J758)</f>
        <v/>
      </c>
      <c r="K747" s="11" t="str">
        <f>TRIM(Formulario!K758)</f>
        <v/>
      </c>
      <c r="L747" s="107" t="str">
        <f>TRIM(Formulario!L758)</f>
        <v/>
      </c>
      <c r="M747" s="107" t="str">
        <f>TRIM(Formulario!M758)</f>
        <v/>
      </c>
      <c r="N747" s="11" t="str">
        <f>TRIM(Formulario!H758)</f>
        <v/>
      </c>
      <c r="P747" s="17"/>
      <c r="Q747" s="104"/>
      <c r="R747" s="104"/>
      <c r="S747" s="117"/>
      <c r="T747" s="101"/>
      <c r="U747" s="101"/>
      <c r="V747" s="101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</row>
    <row r="748" spans="1:49">
      <c r="A748" s="8" t="str">
        <f>IF(L748="","",Formulario!B759)</f>
        <v/>
      </c>
      <c r="B748" s="119"/>
      <c r="C748" s="120"/>
      <c r="D748" s="121"/>
      <c r="E748" s="129" t="str">
        <f>IF(F748="","",Formulario!B759)</f>
        <v/>
      </c>
      <c r="F748" s="11" t="str">
        <f>TRIM(Formulario!D759)</f>
        <v/>
      </c>
      <c r="G748" s="11" t="str">
        <f>TRIM(Formulario!F759)</f>
        <v/>
      </c>
      <c r="H748" s="146" t="str">
        <f>IF(N748="",TRIM(Formulario!G759),TRIM(Formulario!G759)*N748)</f>
        <v/>
      </c>
      <c r="I748" s="107" t="str">
        <f>TRIM(Formulario!I759)</f>
        <v/>
      </c>
      <c r="J748" s="11" t="str">
        <f>TRIM(Formulario!J759)</f>
        <v/>
      </c>
      <c r="K748" s="11" t="str">
        <f>TRIM(Formulario!K759)</f>
        <v/>
      </c>
      <c r="L748" s="107" t="str">
        <f>TRIM(Formulario!L759)</f>
        <v/>
      </c>
      <c r="M748" s="107" t="str">
        <f>TRIM(Formulario!M759)</f>
        <v/>
      </c>
      <c r="N748" s="11" t="str">
        <f>TRIM(Formulario!H759)</f>
        <v/>
      </c>
      <c r="P748" s="17"/>
      <c r="Q748" s="104"/>
      <c r="R748" s="104"/>
      <c r="S748" s="117"/>
      <c r="T748" s="101"/>
      <c r="U748" s="101"/>
      <c r="V748" s="101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</row>
    <row r="749" spans="1:49">
      <c r="A749" s="8" t="str">
        <f>IF(L749="","",Formulario!B760)</f>
        <v/>
      </c>
      <c r="B749" s="119"/>
      <c r="C749" s="120"/>
      <c r="D749" s="121"/>
      <c r="E749" s="129" t="str">
        <f>IF(F749="","",Formulario!B760)</f>
        <v/>
      </c>
      <c r="F749" s="11" t="str">
        <f>TRIM(Formulario!D760)</f>
        <v/>
      </c>
      <c r="G749" s="11" t="str">
        <f>TRIM(Formulario!F760)</f>
        <v/>
      </c>
      <c r="H749" s="146" t="str">
        <f>IF(N749="",TRIM(Formulario!G760),TRIM(Formulario!G760)*N749)</f>
        <v/>
      </c>
      <c r="I749" s="107" t="str">
        <f>TRIM(Formulario!I760)</f>
        <v/>
      </c>
      <c r="J749" s="11" t="str">
        <f>TRIM(Formulario!J760)</f>
        <v/>
      </c>
      <c r="K749" s="11" t="str">
        <f>TRIM(Formulario!K760)</f>
        <v/>
      </c>
      <c r="L749" s="107" t="str">
        <f>TRIM(Formulario!L760)</f>
        <v/>
      </c>
      <c r="M749" s="107" t="str">
        <f>TRIM(Formulario!M760)</f>
        <v/>
      </c>
      <c r="N749" s="11" t="str">
        <f>TRIM(Formulario!H760)</f>
        <v/>
      </c>
      <c r="P749" s="17"/>
      <c r="Q749" s="104"/>
      <c r="R749" s="104"/>
      <c r="S749" s="117"/>
      <c r="T749" s="101"/>
      <c r="U749" s="101"/>
      <c r="V749" s="101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</row>
    <row r="750" spans="1:49">
      <c r="A750" s="8" t="str">
        <f>IF(L750="","",Formulario!B761)</f>
        <v/>
      </c>
      <c r="B750" s="119"/>
      <c r="C750" s="120"/>
      <c r="D750" s="121"/>
      <c r="E750" s="129" t="str">
        <f>IF(F750="","",Formulario!B761)</f>
        <v/>
      </c>
      <c r="F750" s="11" t="str">
        <f>TRIM(Formulario!D761)</f>
        <v/>
      </c>
      <c r="G750" s="11" t="str">
        <f>TRIM(Formulario!F761)</f>
        <v/>
      </c>
      <c r="H750" s="146" t="str">
        <f>IF(N750="",TRIM(Formulario!G761),TRIM(Formulario!G761)*N750)</f>
        <v/>
      </c>
      <c r="I750" s="107" t="str">
        <f>TRIM(Formulario!I761)</f>
        <v/>
      </c>
      <c r="J750" s="11" t="str">
        <f>TRIM(Formulario!J761)</f>
        <v/>
      </c>
      <c r="K750" s="11" t="str">
        <f>TRIM(Formulario!K761)</f>
        <v/>
      </c>
      <c r="L750" s="107" t="str">
        <f>TRIM(Formulario!L761)</f>
        <v/>
      </c>
      <c r="M750" s="107" t="str">
        <f>TRIM(Formulario!M761)</f>
        <v/>
      </c>
      <c r="N750" s="11" t="str">
        <f>TRIM(Formulario!H761)</f>
        <v/>
      </c>
      <c r="P750" s="17"/>
      <c r="Q750" s="104"/>
      <c r="R750" s="104"/>
      <c r="S750" s="117"/>
      <c r="T750" s="101"/>
      <c r="U750" s="101"/>
      <c r="V750" s="101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</row>
    <row r="751" spans="1:49">
      <c r="A751" s="8" t="str">
        <f>IF(L751="","",Formulario!B762)</f>
        <v/>
      </c>
      <c r="B751" s="119"/>
      <c r="C751" s="120"/>
      <c r="D751" s="121"/>
      <c r="E751" s="129" t="str">
        <f>IF(F751="","",Formulario!B762)</f>
        <v/>
      </c>
      <c r="F751" s="11" t="str">
        <f>TRIM(Formulario!D762)</f>
        <v/>
      </c>
      <c r="G751" s="11" t="str">
        <f>TRIM(Formulario!F762)</f>
        <v/>
      </c>
      <c r="H751" s="146" t="str">
        <f>IF(N751="",TRIM(Formulario!G762),TRIM(Formulario!G762)*N751)</f>
        <v/>
      </c>
      <c r="I751" s="107" t="str">
        <f>TRIM(Formulario!I762)</f>
        <v/>
      </c>
      <c r="J751" s="11" t="str">
        <f>TRIM(Formulario!J762)</f>
        <v/>
      </c>
      <c r="K751" s="11" t="str">
        <f>TRIM(Formulario!K762)</f>
        <v/>
      </c>
      <c r="L751" s="107" t="str">
        <f>TRIM(Formulario!L762)</f>
        <v/>
      </c>
      <c r="M751" s="107" t="str">
        <f>TRIM(Formulario!M762)</f>
        <v/>
      </c>
      <c r="N751" s="11" t="str">
        <f>TRIM(Formulario!H762)</f>
        <v/>
      </c>
      <c r="P751" s="17"/>
      <c r="Q751" s="104"/>
      <c r="R751" s="104"/>
      <c r="S751" s="117"/>
      <c r="T751" s="101"/>
      <c r="U751" s="101"/>
      <c r="V751" s="101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</row>
    <row r="752" spans="1:49">
      <c r="A752" s="8" t="str">
        <f>IF(L752="","",Formulario!B763)</f>
        <v/>
      </c>
      <c r="B752" s="119"/>
      <c r="C752" s="120"/>
      <c r="D752" s="121"/>
      <c r="E752" s="129" t="str">
        <f>IF(F752="","",Formulario!B763)</f>
        <v/>
      </c>
      <c r="F752" s="11" t="str">
        <f>TRIM(Formulario!D763)</f>
        <v/>
      </c>
      <c r="G752" s="11" t="str">
        <f>TRIM(Formulario!F763)</f>
        <v/>
      </c>
      <c r="H752" s="146" t="str">
        <f>IF(N752="",TRIM(Formulario!G763),TRIM(Formulario!G763)*N752)</f>
        <v/>
      </c>
      <c r="I752" s="107" t="str">
        <f>TRIM(Formulario!I763)</f>
        <v/>
      </c>
      <c r="J752" s="11" t="str">
        <f>TRIM(Formulario!J763)</f>
        <v/>
      </c>
      <c r="K752" s="11" t="str">
        <f>TRIM(Formulario!K763)</f>
        <v/>
      </c>
      <c r="L752" s="107" t="str">
        <f>TRIM(Formulario!L763)</f>
        <v/>
      </c>
      <c r="M752" s="107" t="str">
        <f>TRIM(Formulario!M763)</f>
        <v/>
      </c>
      <c r="N752" s="11" t="str">
        <f>TRIM(Formulario!H763)</f>
        <v/>
      </c>
      <c r="P752" s="17"/>
      <c r="Q752" s="104"/>
      <c r="R752" s="104"/>
      <c r="S752" s="117"/>
      <c r="T752" s="101"/>
      <c r="U752" s="101"/>
      <c r="V752" s="101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</row>
    <row r="753" spans="1:49">
      <c r="A753" s="8" t="str">
        <f>IF(L753="","",Formulario!B764)</f>
        <v/>
      </c>
      <c r="B753" s="119"/>
      <c r="C753" s="120"/>
      <c r="D753" s="121"/>
      <c r="E753" s="129" t="str">
        <f>IF(F753="","",Formulario!B764)</f>
        <v/>
      </c>
      <c r="F753" s="11" t="str">
        <f>TRIM(Formulario!D764)</f>
        <v/>
      </c>
      <c r="G753" s="11" t="str">
        <f>TRIM(Formulario!F764)</f>
        <v/>
      </c>
      <c r="H753" s="146" t="str">
        <f>IF(N753="",TRIM(Formulario!G764),TRIM(Formulario!G764)*N753)</f>
        <v/>
      </c>
      <c r="I753" s="107" t="str">
        <f>TRIM(Formulario!I764)</f>
        <v/>
      </c>
      <c r="J753" s="11" t="str">
        <f>TRIM(Formulario!J764)</f>
        <v/>
      </c>
      <c r="K753" s="11" t="str">
        <f>TRIM(Formulario!K764)</f>
        <v/>
      </c>
      <c r="L753" s="107" t="str">
        <f>TRIM(Formulario!L764)</f>
        <v/>
      </c>
      <c r="M753" s="107" t="str">
        <f>TRIM(Formulario!M764)</f>
        <v/>
      </c>
      <c r="N753" s="11" t="str">
        <f>TRIM(Formulario!H764)</f>
        <v/>
      </c>
      <c r="P753" s="17"/>
      <c r="Q753" s="104"/>
      <c r="R753" s="104"/>
      <c r="S753" s="117"/>
      <c r="T753" s="101"/>
      <c r="U753" s="101"/>
      <c r="V753" s="101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</row>
    <row r="754" spans="1:49">
      <c r="A754" s="8" t="str">
        <f>IF(L754="","",Formulario!B765)</f>
        <v/>
      </c>
      <c r="B754" s="119"/>
      <c r="C754" s="120"/>
      <c r="D754" s="121"/>
      <c r="E754" s="129" t="str">
        <f>IF(F754="","",Formulario!B765)</f>
        <v/>
      </c>
      <c r="F754" s="11" t="str">
        <f>TRIM(Formulario!D765)</f>
        <v/>
      </c>
      <c r="G754" s="11" t="str">
        <f>TRIM(Formulario!F765)</f>
        <v/>
      </c>
      <c r="H754" s="146" t="str">
        <f>IF(N754="",TRIM(Formulario!G765),TRIM(Formulario!G765)*N754)</f>
        <v/>
      </c>
      <c r="I754" s="107" t="str">
        <f>TRIM(Formulario!I765)</f>
        <v/>
      </c>
      <c r="J754" s="11" t="str">
        <f>TRIM(Formulario!J765)</f>
        <v/>
      </c>
      <c r="K754" s="11" t="str">
        <f>TRIM(Formulario!K765)</f>
        <v/>
      </c>
      <c r="L754" s="107" t="str">
        <f>TRIM(Formulario!L765)</f>
        <v/>
      </c>
      <c r="M754" s="107" t="str">
        <f>TRIM(Formulario!M765)</f>
        <v/>
      </c>
      <c r="N754" s="11" t="str">
        <f>TRIM(Formulario!H765)</f>
        <v/>
      </c>
      <c r="P754" s="17"/>
      <c r="Q754" s="104"/>
      <c r="R754" s="104"/>
      <c r="S754" s="117"/>
      <c r="T754" s="101"/>
      <c r="U754" s="101"/>
      <c r="V754" s="101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</row>
    <row r="755" spans="1:49">
      <c r="A755" s="8" t="str">
        <f>IF(L755="","",Formulario!B766)</f>
        <v/>
      </c>
      <c r="B755" s="119"/>
      <c r="C755" s="120"/>
      <c r="D755" s="121"/>
      <c r="E755" s="129" t="str">
        <f>IF(F755="","",Formulario!B766)</f>
        <v/>
      </c>
      <c r="F755" s="11" t="str">
        <f>TRIM(Formulario!D766)</f>
        <v/>
      </c>
      <c r="G755" s="11" t="str">
        <f>TRIM(Formulario!F766)</f>
        <v/>
      </c>
      <c r="H755" s="146" t="str">
        <f>IF(N755="",TRIM(Formulario!G766),TRIM(Formulario!G766)*N755)</f>
        <v/>
      </c>
      <c r="I755" s="107" t="str">
        <f>TRIM(Formulario!I766)</f>
        <v/>
      </c>
      <c r="J755" s="11" t="str">
        <f>TRIM(Formulario!J766)</f>
        <v/>
      </c>
      <c r="K755" s="11" t="str">
        <f>TRIM(Formulario!K766)</f>
        <v/>
      </c>
      <c r="L755" s="107" t="str">
        <f>TRIM(Formulario!L766)</f>
        <v/>
      </c>
      <c r="M755" s="107" t="str">
        <f>TRIM(Formulario!M766)</f>
        <v/>
      </c>
      <c r="N755" s="11" t="str">
        <f>TRIM(Formulario!H766)</f>
        <v/>
      </c>
      <c r="P755" s="17"/>
      <c r="Q755" s="104"/>
      <c r="R755" s="104"/>
      <c r="S755" s="117"/>
      <c r="T755" s="101"/>
      <c r="U755" s="101"/>
      <c r="V755" s="101"/>
      <c r="W755" s="102"/>
      <c r="X755" s="102"/>
      <c r="Y755" s="102"/>
      <c r="Z755" s="102"/>
      <c r="AA755" s="102"/>
      <c r="AB755" s="102"/>
      <c r="AC755" s="102"/>
      <c r="AD755" s="102"/>
      <c r="AE755" s="102"/>
      <c r="AF755" s="102"/>
      <c r="AG755" s="102"/>
      <c r="AH755" s="102"/>
      <c r="AI755" s="102"/>
      <c r="AJ755" s="102"/>
      <c r="AK755" s="102"/>
      <c r="AL755" s="102"/>
      <c r="AM755" s="102"/>
      <c r="AN755" s="102"/>
      <c r="AO755" s="102"/>
      <c r="AP755" s="102"/>
      <c r="AQ755" s="102"/>
      <c r="AR755" s="102"/>
      <c r="AS755" s="102"/>
      <c r="AT755" s="102"/>
      <c r="AU755" s="102"/>
      <c r="AV755" s="102"/>
      <c r="AW755" s="102"/>
    </row>
    <row r="756" spans="1:49">
      <c r="A756" s="8" t="str">
        <f>IF(L756="","",Formulario!B767)</f>
        <v/>
      </c>
      <c r="B756" s="119"/>
      <c r="C756" s="120"/>
      <c r="D756" s="121"/>
      <c r="E756" s="129" t="str">
        <f>IF(F756="","",Formulario!B767)</f>
        <v/>
      </c>
      <c r="F756" s="11" t="str">
        <f>TRIM(Formulario!D767)</f>
        <v/>
      </c>
      <c r="G756" s="11" t="str">
        <f>TRIM(Formulario!F767)</f>
        <v/>
      </c>
      <c r="H756" s="146" t="str">
        <f>IF(N756="",TRIM(Formulario!G767),TRIM(Formulario!G767)*N756)</f>
        <v/>
      </c>
      <c r="I756" s="107" t="str">
        <f>TRIM(Formulario!I767)</f>
        <v/>
      </c>
      <c r="J756" s="11" t="str">
        <f>TRIM(Formulario!J767)</f>
        <v/>
      </c>
      <c r="K756" s="11" t="str">
        <f>TRIM(Formulario!K767)</f>
        <v/>
      </c>
      <c r="L756" s="107" t="str">
        <f>TRIM(Formulario!L767)</f>
        <v/>
      </c>
      <c r="M756" s="107" t="str">
        <f>TRIM(Formulario!M767)</f>
        <v/>
      </c>
      <c r="N756" s="11" t="str">
        <f>TRIM(Formulario!H767)</f>
        <v/>
      </c>
      <c r="P756" s="17"/>
      <c r="Q756" s="104"/>
      <c r="R756" s="104"/>
      <c r="S756" s="117"/>
      <c r="T756" s="101"/>
      <c r="U756" s="101"/>
      <c r="V756" s="101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</row>
    <row r="757" spans="1:49">
      <c r="A757" s="8" t="str">
        <f>IF(L757="","",Formulario!B768)</f>
        <v/>
      </c>
      <c r="B757" s="119"/>
      <c r="C757" s="120"/>
      <c r="D757" s="121"/>
      <c r="E757" s="129" t="str">
        <f>IF(F757="","",Formulario!B768)</f>
        <v/>
      </c>
      <c r="F757" s="11" t="str">
        <f>TRIM(Formulario!D768)</f>
        <v/>
      </c>
      <c r="G757" s="11" t="str">
        <f>TRIM(Formulario!F768)</f>
        <v/>
      </c>
      <c r="H757" s="146" t="str">
        <f>IF(N757="",TRIM(Formulario!G768),TRIM(Formulario!G768)*N757)</f>
        <v/>
      </c>
      <c r="I757" s="107" t="str">
        <f>TRIM(Formulario!I768)</f>
        <v/>
      </c>
      <c r="J757" s="11" t="str">
        <f>TRIM(Formulario!J768)</f>
        <v/>
      </c>
      <c r="K757" s="11" t="str">
        <f>TRIM(Formulario!K768)</f>
        <v/>
      </c>
      <c r="L757" s="107" t="str">
        <f>TRIM(Formulario!L768)</f>
        <v/>
      </c>
      <c r="M757" s="107" t="str">
        <f>TRIM(Formulario!M768)</f>
        <v/>
      </c>
      <c r="N757" s="11" t="str">
        <f>TRIM(Formulario!H768)</f>
        <v/>
      </c>
      <c r="P757" s="17"/>
      <c r="Q757" s="104"/>
      <c r="R757" s="104"/>
      <c r="S757" s="117"/>
      <c r="T757" s="101"/>
      <c r="U757" s="101"/>
      <c r="V757" s="101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</row>
    <row r="758" spans="1:49">
      <c r="A758" s="8" t="str">
        <f>IF(L758="","",Formulario!B769)</f>
        <v/>
      </c>
      <c r="B758" s="119"/>
      <c r="C758" s="120"/>
      <c r="D758" s="121"/>
      <c r="E758" s="129" t="str">
        <f>IF(F758="","",Formulario!B769)</f>
        <v/>
      </c>
      <c r="F758" s="11" t="str">
        <f>TRIM(Formulario!D769)</f>
        <v/>
      </c>
      <c r="G758" s="11" t="str">
        <f>TRIM(Formulario!F769)</f>
        <v/>
      </c>
      <c r="H758" s="146" t="str">
        <f>IF(N758="",TRIM(Formulario!G769),TRIM(Formulario!G769)*N758)</f>
        <v/>
      </c>
      <c r="I758" s="107" t="str">
        <f>TRIM(Formulario!I769)</f>
        <v/>
      </c>
      <c r="J758" s="11" t="str">
        <f>TRIM(Formulario!J769)</f>
        <v/>
      </c>
      <c r="K758" s="11" t="str">
        <f>TRIM(Formulario!K769)</f>
        <v/>
      </c>
      <c r="L758" s="107" t="str">
        <f>TRIM(Formulario!L769)</f>
        <v/>
      </c>
      <c r="M758" s="107" t="str">
        <f>TRIM(Formulario!M769)</f>
        <v/>
      </c>
      <c r="N758" s="11" t="str">
        <f>TRIM(Formulario!H769)</f>
        <v/>
      </c>
      <c r="P758" s="17"/>
      <c r="Q758" s="104"/>
      <c r="R758" s="104"/>
      <c r="S758" s="117"/>
      <c r="T758" s="101"/>
      <c r="U758" s="101"/>
      <c r="V758" s="101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</row>
    <row r="759" spans="1:49">
      <c r="A759" s="8" t="str">
        <f>IF(L759="","",Formulario!B770)</f>
        <v/>
      </c>
      <c r="B759" s="119"/>
      <c r="C759" s="120"/>
      <c r="D759" s="121"/>
      <c r="E759" s="129" t="str">
        <f>IF(F759="","",Formulario!B770)</f>
        <v/>
      </c>
      <c r="F759" s="11" t="str">
        <f>TRIM(Formulario!D770)</f>
        <v/>
      </c>
      <c r="G759" s="11" t="str">
        <f>TRIM(Formulario!F770)</f>
        <v/>
      </c>
      <c r="H759" s="146" t="str">
        <f>IF(N759="",TRIM(Formulario!G770),TRIM(Formulario!G770)*N759)</f>
        <v/>
      </c>
      <c r="I759" s="107" t="str">
        <f>TRIM(Formulario!I770)</f>
        <v/>
      </c>
      <c r="J759" s="11" t="str">
        <f>TRIM(Formulario!J770)</f>
        <v/>
      </c>
      <c r="K759" s="11" t="str">
        <f>TRIM(Formulario!K770)</f>
        <v/>
      </c>
      <c r="L759" s="107" t="str">
        <f>TRIM(Formulario!L770)</f>
        <v/>
      </c>
      <c r="M759" s="107" t="str">
        <f>TRIM(Formulario!M770)</f>
        <v/>
      </c>
      <c r="N759" s="11" t="str">
        <f>TRIM(Formulario!H770)</f>
        <v/>
      </c>
      <c r="P759" s="17"/>
      <c r="Q759" s="104"/>
      <c r="R759" s="104"/>
      <c r="S759" s="117"/>
      <c r="T759" s="101"/>
      <c r="U759" s="101"/>
      <c r="V759" s="101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</row>
    <row r="760" spans="1:49">
      <c r="A760" s="8" t="str">
        <f>IF(L760="","",Formulario!B771)</f>
        <v/>
      </c>
      <c r="B760" s="119"/>
      <c r="C760" s="120"/>
      <c r="D760" s="121"/>
      <c r="E760" s="129" t="str">
        <f>IF(F760="","",Formulario!B771)</f>
        <v/>
      </c>
      <c r="F760" s="11" t="str">
        <f>TRIM(Formulario!D771)</f>
        <v/>
      </c>
      <c r="G760" s="11" t="str">
        <f>TRIM(Formulario!F771)</f>
        <v/>
      </c>
      <c r="H760" s="146" t="str">
        <f>IF(N760="",TRIM(Formulario!G771),TRIM(Formulario!G771)*N760)</f>
        <v/>
      </c>
      <c r="I760" s="107" t="str">
        <f>TRIM(Formulario!I771)</f>
        <v/>
      </c>
      <c r="J760" s="11" t="str">
        <f>TRIM(Formulario!J771)</f>
        <v/>
      </c>
      <c r="K760" s="11" t="str">
        <f>TRIM(Formulario!K771)</f>
        <v/>
      </c>
      <c r="L760" s="107" t="str">
        <f>TRIM(Formulario!L771)</f>
        <v/>
      </c>
      <c r="M760" s="107" t="str">
        <f>TRIM(Formulario!M771)</f>
        <v/>
      </c>
      <c r="N760" s="11" t="str">
        <f>TRIM(Formulario!H771)</f>
        <v/>
      </c>
      <c r="P760" s="17"/>
      <c r="Q760" s="104"/>
      <c r="R760" s="104"/>
      <c r="S760" s="117"/>
      <c r="T760" s="101"/>
      <c r="U760" s="101"/>
      <c r="V760" s="101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</row>
    <row r="761" spans="1:49">
      <c r="A761" s="8" t="str">
        <f>IF(L761="","",Formulario!B772)</f>
        <v/>
      </c>
      <c r="B761" s="119"/>
      <c r="C761" s="120"/>
      <c r="D761" s="121"/>
      <c r="E761" s="129" t="str">
        <f>IF(F761="","",Formulario!B772)</f>
        <v/>
      </c>
      <c r="F761" s="11" t="str">
        <f>TRIM(Formulario!D772)</f>
        <v/>
      </c>
      <c r="G761" s="11" t="str">
        <f>TRIM(Formulario!F772)</f>
        <v/>
      </c>
      <c r="H761" s="146" t="str">
        <f>IF(N761="",TRIM(Formulario!G772),TRIM(Formulario!G772)*N761)</f>
        <v/>
      </c>
      <c r="I761" s="107" t="str">
        <f>TRIM(Formulario!I772)</f>
        <v/>
      </c>
      <c r="J761" s="11" t="str">
        <f>TRIM(Formulario!J772)</f>
        <v/>
      </c>
      <c r="K761" s="11" t="str">
        <f>TRIM(Formulario!K772)</f>
        <v/>
      </c>
      <c r="L761" s="107" t="str">
        <f>TRIM(Formulario!L772)</f>
        <v/>
      </c>
      <c r="M761" s="107" t="str">
        <f>TRIM(Formulario!M772)</f>
        <v/>
      </c>
      <c r="N761" s="11" t="str">
        <f>TRIM(Formulario!H772)</f>
        <v/>
      </c>
      <c r="P761" s="17"/>
      <c r="Q761" s="104"/>
      <c r="R761" s="104"/>
      <c r="S761" s="117"/>
      <c r="T761" s="101"/>
      <c r="U761" s="101"/>
      <c r="V761" s="101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</row>
    <row r="762" spans="1:49">
      <c r="A762" s="8" t="str">
        <f>IF(L762="","",Formulario!B773)</f>
        <v/>
      </c>
      <c r="B762" s="119"/>
      <c r="C762" s="120"/>
      <c r="D762" s="121"/>
      <c r="E762" s="129" t="str">
        <f>IF(F762="","",Formulario!B773)</f>
        <v/>
      </c>
      <c r="F762" s="11" t="str">
        <f>TRIM(Formulario!D773)</f>
        <v/>
      </c>
      <c r="G762" s="11" t="str">
        <f>TRIM(Formulario!F773)</f>
        <v/>
      </c>
      <c r="H762" s="146" t="str">
        <f>IF(N762="",TRIM(Formulario!G773),TRIM(Formulario!G773)*N762)</f>
        <v/>
      </c>
      <c r="I762" s="107" t="str">
        <f>TRIM(Formulario!I773)</f>
        <v/>
      </c>
      <c r="J762" s="11" t="str">
        <f>TRIM(Formulario!J773)</f>
        <v/>
      </c>
      <c r="K762" s="11" t="str">
        <f>TRIM(Formulario!K773)</f>
        <v/>
      </c>
      <c r="L762" s="107" t="str">
        <f>TRIM(Formulario!L773)</f>
        <v/>
      </c>
      <c r="M762" s="107" t="str">
        <f>TRIM(Formulario!M773)</f>
        <v/>
      </c>
      <c r="N762" s="11" t="str">
        <f>TRIM(Formulario!H773)</f>
        <v/>
      </c>
      <c r="P762" s="17"/>
      <c r="Q762" s="104"/>
      <c r="R762" s="104"/>
      <c r="S762" s="117"/>
      <c r="T762" s="101"/>
      <c r="U762" s="101"/>
      <c r="V762" s="101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</row>
    <row r="763" spans="1:49">
      <c r="A763" s="8" t="str">
        <f>IF(L763="","",Formulario!B774)</f>
        <v/>
      </c>
      <c r="B763" s="119"/>
      <c r="C763" s="120"/>
      <c r="D763" s="121"/>
      <c r="E763" s="129" t="str">
        <f>IF(F763="","",Formulario!B774)</f>
        <v/>
      </c>
      <c r="F763" s="11" t="str">
        <f>TRIM(Formulario!D774)</f>
        <v/>
      </c>
      <c r="G763" s="11" t="str">
        <f>TRIM(Formulario!F774)</f>
        <v/>
      </c>
      <c r="H763" s="146" t="str">
        <f>IF(N763="",TRIM(Formulario!G774),TRIM(Formulario!G774)*N763)</f>
        <v/>
      </c>
      <c r="I763" s="107" t="str">
        <f>TRIM(Formulario!I774)</f>
        <v/>
      </c>
      <c r="J763" s="11" t="str">
        <f>TRIM(Formulario!J774)</f>
        <v/>
      </c>
      <c r="K763" s="11" t="str">
        <f>TRIM(Formulario!K774)</f>
        <v/>
      </c>
      <c r="L763" s="107" t="str">
        <f>TRIM(Formulario!L774)</f>
        <v/>
      </c>
      <c r="M763" s="107" t="str">
        <f>TRIM(Formulario!M774)</f>
        <v/>
      </c>
      <c r="N763" s="11" t="str">
        <f>TRIM(Formulario!H774)</f>
        <v/>
      </c>
      <c r="P763" s="17"/>
      <c r="Q763" s="104"/>
      <c r="R763" s="104"/>
      <c r="S763" s="117"/>
      <c r="T763" s="101"/>
      <c r="U763" s="101"/>
      <c r="V763" s="101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</row>
    <row r="764" spans="1:49">
      <c r="A764" s="8" t="str">
        <f>IF(L764="","",Formulario!B775)</f>
        <v/>
      </c>
      <c r="B764" s="119"/>
      <c r="C764" s="120"/>
      <c r="D764" s="121"/>
      <c r="E764" s="129" t="str">
        <f>IF(F764="","",Formulario!B775)</f>
        <v/>
      </c>
      <c r="F764" s="11" t="str">
        <f>TRIM(Formulario!D775)</f>
        <v/>
      </c>
      <c r="G764" s="11" t="str">
        <f>TRIM(Formulario!F775)</f>
        <v/>
      </c>
      <c r="H764" s="146" t="str">
        <f>IF(N764="",TRIM(Formulario!G775),TRIM(Formulario!G775)*N764)</f>
        <v/>
      </c>
      <c r="I764" s="107" t="str">
        <f>TRIM(Formulario!I775)</f>
        <v/>
      </c>
      <c r="J764" s="11" t="str">
        <f>TRIM(Formulario!J775)</f>
        <v/>
      </c>
      <c r="K764" s="11" t="str">
        <f>TRIM(Formulario!K775)</f>
        <v/>
      </c>
      <c r="L764" s="107" t="str">
        <f>TRIM(Formulario!L775)</f>
        <v/>
      </c>
      <c r="M764" s="107" t="str">
        <f>TRIM(Formulario!M775)</f>
        <v/>
      </c>
      <c r="N764" s="11" t="str">
        <f>TRIM(Formulario!H775)</f>
        <v/>
      </c>
      <c r="P764" s="17"/>
      <c r="Q764" s="104"/>
      <c r="R764" s="104"/>
      <c r="S764" s="117"/>
      <c r="T764" s="101"/>
      <c r="U764" s="101"/>
      <c r="V764" s="101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</row>
    <row r="765" spans="1:49">
      <c r="A765" s="8" t="str">
        <f>IF(L765="","",Formulario!B776)</f>
        <v/>
      </c>
      <c r="B765" s="119"/>
      <c r="C765" s="120"/>
      <c r="D765" s="121"/>
      <c r="E765" s="129" t="str">
        <f>IF(F765="","",Formulario!B776)</f>
        <v/>
      </c>
      <c r="F765" s="11" t="str">
        <f>TRIM(Formulario!D776)</f>
        <v/>
      </c>
      <c r="G765" s="11" t="str">
        <f>TRIM(Formulario!F776)</f>
        <v/>
      </c>
      <c r="H765" s="146" t="str">
        <f>IF(N765="",TRIM(Formulario!G776),TRIM(Formulario!G776)*N765)</f>
        <v/>
      </c>
      <c r="I765" s="107" t="str">
        <f>TRIM(Formulario!I776)</f>
        <v/>
      </c>
      <c r="J765" s="11" t="str">
        <f>TRIM(Formulario!J776)</f>
        <v/>
      </c>
      <c r="K765" s="11" t="str">
        <f>TRIM(Formulario!K776)</f>
        <v/>
      </c>
      <c r="L765" s="107" t="str">
        <f>TRIM(Formulario!L776)</f>
        <v/>
      </c>
      <c r="M765" s="107" t="str">
        <f>TRIM(Formulario!M776)</f>
        <v/>
      </c>
      <c r="N765" s="11" t="str">
        <f>TRIM(Formulario!H776)</f>
        <v/>
      </c>
      <c r="P765" s="17"/>
      <c r="Q765" s="104"/>
      <c r="R765" s="104"/>
      <c r="S765" s="117"/>
      <c r="T765" s="101"/>
      <c r="U765" s="101"/>
      <c r="V765" s="101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</row>
    <row r="766" spans="1:49">
      <c r="A766" s="8" t="str">
        <f>IF(L766="","",Formulario!B777)</f>
        <v/>
      </c>
      <c r="B766" s="119"/>
      <c r="C766" s="120"/>
      <c r="D766" s="121"/>
      <c r="E766" s="129" t="str">
        <f>IF(F766="","",Formulario!B777)</f>
        <v/>
      </c>
      <c r="F766" s="11" t="str">
        <f>TRIM(Formulario!D777)</f>
        <v/>
      </c>
      <c r="G766" s="11" t="str">
        <f>TRIM(Formulario!F777)</f>
        <v/>
      </c>
      <c r="H766" s="146" t="str">
        <f>IF(N766="",TRIM(Formulario!G777),TRIM(Formulario!G777)*N766)</f>
        <v/>
      </c>
      <c r="I766" s="107" t="str">
        <f>TRIM(Formulario!I777)</f>
        <v/>
      </c>
      <c r="J766" s="11" t="str">
        <f>TRIM(Formulario!J777)</f>
        <v/>
      </c>
      <c r="K766" s="11" t="str">
        <f>TRIM(Formulario!K777)</f>
        <v/>
      </c>
      <c r="L766" s="107" t="str">
        <f>TRIM(Formulario!L777)</f>
        <v/>
      </c>
      <c r="M766" s="107" t="str">
        <f>TRIM(Formulario!M777)</f>
        <v/>
      </c>
      <c r="N766" s="11" t="str">
        <f>TRIM(Formulario!H777)</f>
        <v/>
      </c>
      <c r="P766" s="17"/>
      <c r="Q766" s="104"/>
      <c r="R766" s="104"/>
      <c r="S766" s="117"/>
      <c r="T766" s="101"/>
      <c r="U766" s="101"/>
      <c r="V766" s="101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</row>
    <row r="767" spans="1:49">
      <c r="A767" s="8" t="str">
        <f>IF(L767="","",Formulario!B778)</f>
        <v/>
      </c>
      <c r="B767" s="119"/>
      <c r="C767" s="120"/>
      <c r="D767" s="121"/>
      <c r="E767" s="129" t="str">
        <f>IF(F767="","",Formulario!B778)</f>
        <v/>
      </c>
      <c r="F767" s="11" t="str">
        <f>TRIM(Formulario!D778)</f>
        <v/>
      </c>
      <c r="G767" s="11" t="str">
        <f>TRIM(Formulario!F778)</f>
        <v/>
      </c>
      <c r="H767" s="146" t="str">
        <f>IF(N767="",TRIM(Formulario!G778),TRIM(Formulario!G778)*N767)</f>
        <v/>
      </c>
      <c r="I767" s="107" t="str">
        <f>TRIM(Formulario!I778)</f>
        <v/>
      </c>
      <c r="J767" s="11" t="str">
        <f>TRIM(Formulario!J778)</f>
        <v/>
      </c>
      <c r="K767" s="11" t="str">
        <f>TRIM(Formulario!K778)</f>
        <v/>
      </c>
      <c r="L767" s="107" t="str">
        <f>TRIM(Formulario!L778)</f>
        <v/>
      </c>
      <c r="M767" s="107" t="str">
        <f>TRIM(Formulario!M778)</f>
        <v/>
      </c>
      <c r="N767" s="11" t="str">
        <f>TRIM(Formulario!H778)</f>
        <v/>
      </c>
      <c r="P767" s="17"/>
      <c r="Q767" s="104"/>
      <c r="R767" s="104"/>
      <c r="S767" s="117"/>
      <c r="T767" s="101"/>
      <c r="U767" s="101"/>
      <c r="V767" s="101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</row>
    <row r="768" spans="1:49">
      <c r="A768" s="8" t="str">
        <f>IF(L768="","",Formulario!B779)</f>
        <v/>
      </c>
      <c r="B768" s="119"/>
      <c r="C768" s="120"/>
      <c r="D768" s="121"/>
      <c r="E768" s="129" t="str">
        <f>IF(F768="","",Formulario!B779)</f>
        <v/>
      </c>
      <c r="F768" s="11" t="str">
        <f>TRIM(Formulario!D779)</f>
        <v/>
      </c>
      <c r="G768" s="11" t="str">
        <f>TRIM(Formulario!F779)</f>
        <v/>
      </c>
      <c r="H768" s="146" t="str">
        <f>IF(N768="",TRIM(Formulario!G779),TRIM(Formulario!G779)*N768)</f>
        <v/>
      </c>
      <c r="I768" s="107" t="str">
        <f>TRIM(Formulario!I779)</f>
        <v/>
      </c>
      <c r="J768" s="11" t="str">
        <f>TRIM(Formulario!J779)</f>
        <v/>
      </c>
      <c r="K768" s="11" t="str">
        <f>TRIM(Formulario!K779)</f>
        <v/>
      </c>
      <c r="L768" s="107" t="str">
        <f>TRIM(Formulario!L779)</f>
        <v/>
      </c>
      <c r="M768" s="107" t="str">
        <f>TRIM(Formulario!M779)</f>
        <v/>
      </c>
      <c r="N768" s="11" t="str">
        <f>TRIM(Formulario!H779)</f>
        <v/>
      </c>
      <c r="P768" s="17"/>
      <c r="Q768" s="104"/>
      <c r="R768" s="104"/>
      <c r="S768" s="117"/>
      <c r="T768" s="101"/>
      <c r="U768" s="101"/>
      <c r="V768" s="101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</row>
    <row r="769" spans="1:49">
      <c r="A769" s="8" t="str">
        <f>IF(L769="","",Formulario!B780)</f>
        <v/>
      </c>
      <c r="B769" s="119"/>
      <c r="C769" s="120"/>
      <c r="D769" s="121"/>
      <c r="E769" s="129" t="str">
        <f>IF(F769="","",Formulario!B780)</f>
        <v/>
      </c>
      <c r="F769" s="11" t="str">
        <f>TRIM(Formulario!D780)</f>
        <v/>
      </c>
      <c r="G769" s="11" t="str">
        <f>TRIM(Formulario!F780)</f>
        <v/>
      </c>
      <c r="H769" s="146" t="str">
        <f>IF(N769="",TRIM(Formulario!G780),TRIM(Formulario!G780)*N769)</f>
        <v/>
      </c>
      <c r="I769" s="107" t="str">
        <f>TRIM(Formulario!I780)</f>
        <v/>
      </c>
      <c r="J769" s="11" t="str">
        <f>TRIM(Formulario!J780)</f>
        <v/>
      </c>
      <c r="K769" s="11" t="str">
        <f>TRIM(Formulario!K780)</f>
        <v/>
      </c>
      <c r="L769" s="107" t="str">
        <f>TRIM(Formulario!L780)</f>
        <v/>
      </c>
      <c r="M769" s="107" t="str">
        <f>TRIM(Formulario!M780)</f>
        <v/>
      </c>
      <c r="N769" s="11" t="str">
        <f>TRIM(Formulario!H780)</f>
        <v/>
      </c>
      <c r="P769" s="17"/>
      <c r="Q769" s="104"/>
      <c r="R769" s="104"/>
      <c r="S769" s="117"/>
      <c r="T769" s="101"/>
      <c r="U769" s="101"/>
      <c r="V769" s="101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</row>
    <row r="770" spans="1:49">
      <c r="A770" s="8" t="str">
        <f>IF(L770="","",Formulario!B781)</f>
        <v/>
      </c>
      <c r="B770" s="119"/>
      <c r="C770" s="120"/>
      <c r="D770" s="121"/>
      <c r="E770" s="129" t="str">
        <f>IF(F770="","",Formulario!B781)</f>
        <v/>
      </c>
      <c r="F770" s="11" t="str">
        <f>TRIM(Formulario!D781)</f>
        <v/>
      </c>
      <c r="G770" s="11" t="str">
        <f>TRIM(Formulario!F781)</f>
        <v/>
      </c>
      <c r="H770" s="146" t="str">
        <f>IF(N770="",TRIM(Formulario!G781),TRIM(Formulario!G781)*N770)</f>
        <v/>
      </c>
      <c r="I770" s="107" t="str">
        <f>TRIM(Formulario!I781)</f>
        <v/>
      </c>
      <c r="J770" s="11" t="str">
        <f>TRIM(Formulario!J781)</f>
        <v/>
      </c>
      <c r="K770" s="11" t="str">
        <f>TRIM(Formulario!K781)</f>
        <v/>
      </c>
      <c r="L770" s="107" t="str">
        <f>TRIM(Formulario!L781)</f>
        <v/>
      </c>
      <c r="M770" s="107" t="str">
        <f>TRIM(Formulario!M781)</f>
        <v/>
      </c>
      <c r="N770" s="11" t="str">
        <f>TRIM(Formulario!H781)</f>
        <v/>
      </c>
      <c r="P770" s="17"/>
      <c r="Q770" s="104"/>
      <c r="R770" s="104"/>
      <c r="S770" s="117"/>
      <c r="T770" s="101"/>
      <c r="U770" s="101"/>
      <c r="V770" s="101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</row>
    <row r="771" spans="1:49">
      <c r="A771" s="8" t="str">
        <f>IF(L771="","",Formulario!B782)</f>
        <v/>
      </c>
      <c r="B771" s="119"/>
      <c r="C771" s="120"/>
      <c r="D771" s="121"/>
      <c r="E771" s="129" t="str">
        <f>IF(F771="","",Formulario!B782)</f>
        <v/>
      </c>
      <c r="F771" s="11" t="str">
        <f>TRIM(Formulario!D782)</f>
        <v/>
      </c>
      <c r="G771" s="11" t="str">
        <f>TRIM(Formulario!F782)</f>
        <v/>
      </c>
      <c r="H771" s="146" t="str">
        <f>IF(N771="",TRIM(Formulario!G782),TRIM(Formulario!G782)*N771)</f>
        <v/>
      </c>
      <c r="I771" s="107" t="str">
        <f>TRIM(Formulario!I782)</f>
        <v/>
      </c>
      <c r="J771" s="11" t="str">
        <f>TRIM(Formulario!J782)</f>
        <v/>
      </c>
      <c r="K771" s="11" t="str">
        <f>TRIM(Formulario!K782)</f>
        <v/>
      </c>
      <c r="L771" s="107" t="str">
        <f>TRIM(Formulario!L782)</f>
        <v/>
      </c>
      <c r="M771" s="107" t="str">
        <f>TRIM(Formulario!M782)</f>
        <v/>
      </c>
      <c r="N771" s="11" t="str">
        <f>TRIM(Formulario!H782)</f>
        <v/>
      </c>
      <c r="P771" s="17"/>
      <c r="Q771" s="104"/>
      <c r="R771" s="104"/>
      <c r="S771" s="117"/>
      <c r="T771" s="101"/>
      <c r="U771" s="101"/>
      <c r="V771" s="101"/>
      <c r="W771" s="102"/>
      <c r="X771" s="102"/>
      <c r="Y771" s="102"/>
      <c r="Z771" s="102"/>
      <c r="AA771" s="102"/>
      <c r="AB771" s="102"/>
      <c r="AC771" s="102"/>
      <c r="AD771" s="102"/>
      <c r="AE771" s="102"/>
      <c r="AF771" s="102"/>
      <c r="AG771" s="102"/>
      <c r="AH771" s="102"/>
      <c r="AI771" s="102"/>
      <c r="AJ771" s="102"/>
      <c r="AK771" s="102"/>
      <c r="AL771" s="102"/>
      <c r="AM771" s="102"/>
      <c r="AN771" s="102"/>
      <c r="AO771" s="102"/>
      <c r="AP771" s="102"/>
      <c r="AQ771" s="102"/>
      <c r="AR771" s="102"/>
      <c r="AS771" s="102"/>
      <c r="AT771" s="102"/>
      <c r="AU771" s="102"/>
      <c r="AV771" s="102"/>
      <c r="AW771" s="102"/>
    </row>
    <row r="772" spans="1:49">
      <c r="A772" s="8" t="str">
        <f>IF(L772="","",Formulario!B783)</f>
        <v/>
      </c>
      <c r="B772" s="119"/>
      <c r="C772" s="120"/>
      <c r="D772" s="121"/>
      <c r="E772" s="129" t="str">
        <f>IF(F772="","",Formulario!B783)</f>
        <v/>
      </c>
      <c r="F772" s="11" t="str">
        <f>TRIM(Formulario!D783)</f>
        <v/>
      </c>
      <c r="G772" s="11" t="str">
        <f>TRIM(Formulario!F783)</f>
        <v/>
      </c>
      <c r="H772" s="146" t="str">
        <f>IF(N772="",TRIM(Formulario!G783),TRIM(Formulario!G783)*N772)</f>
        <v/>
      </c>
      <c r="I772" s="107" t="str">
        <f>TRIM(Formulario!I783)</f>
        <v/>
      </c>
      <c r="J772" s="11" t="str">
        <f>TRIM(Formulario!J783)</f>
        <v/>
      </c>
      <c r="K772" s="11" t="str">
        <f>TRIM(Formulario!K783)</f>
        <v/>
      </c>
      <c r="L772" s="107" t="str">
        <f>TRIM(Formulario!L783)</f>
        <v/>
      </c>
      <c r="M772" s="107" t="str">
        <f>TRIM(Formulario!M783)</f>
        <v/>
      </c>
      <c r="N772" s="11" t="str">
        <f>TRIM(Formulario!H783)</f>
        <v/>
      </c>
      <c r="P772" s="17"/>
      <c r="Q772" s="104"/>
      <c r="R772" s="104"/>
      <c r="S772" s="117"/>
      <c r="T772" s="101"/>
      <c r="U772" s="101"/>
      <c r="V772" s="101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</row>
    <row r="773" spans="1:49">
      <c r="A773" s="8" t="str">
        <f>IF(L773="","",Formulario!B784)</f>
        <v/>
      </c>
      <c r="B773" s="119"/>
      <c r="C773" s="120"/>
      <c r="D773" s="121"/>
      <c r="E773" s="129" t="str">
        <f>IF(F773="","",Formulario!B784)</f>
        <v/>
      </c>
      <c r="F773" s="11" t="str">
        <f>TRIM(Formulario!D784)</f>
        <v/>
      </c>
      <c r="G773" s="11" t="str">
        <f>TRIM(Formulario!F784)</f>
        <v/>
      </c>
      <c r="H773" s="146" t="str">
        <f>IF(N773="",TRIM(Formulario!G784),TRIM(Formulario!G784)*N773)</f>
        <v/>
      </c>
      <c r="I773" s="107" t="str">
        <f>TRIM(Formulario!I784)</f>
        <v/>
      </c>
      <c r="J773" s="11" t="str">
        <f>TRIM(Formulario!J784)</f>
        <v/>
      </c>
      <c r="K773" s="11" t="str">
        <f>TRIM(Formulario!K784)</f>
        <v/>
      </c>
      <c r="L773" s="107" t="str">
        <f>TRIM(Formulario!L784)</f>
        <v/>
      </c>
      <c r="M773" s="107" t="str">
        <f>TRIM(Formulario!M784)</f>
        <v/>
      </c>
      <c r="N773" s="11" t="str">
        <f>TRIM(Formulario!H784)</f>
        <v/>
      </c>
      <c r="P773" s="17"/>
      <c r="Q773" s="104"/>
      <c r="R773" s="104"/>
      <c r="S773" s="117"/>
      <c r="T773" s="101"/>
      <c r="U773" s="101"/>
      <c r="V773" s="101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</row>
    <row r="774" spans="1:49">
      <c r="A774" s="8" t="str">
        <f>IF(L774="","",Formulario!B785)</f>
        <v/>
      </c>
      <c r="B774" s="119"/>
      <c r="C774" s="120"/>
      <c r="D774" s="121"/>
      <c r="E774" s="129" t="str">
        <f>IF(F774="","",Formulario!B785)</f>
        <v/>
      </c>
      <c r="F774" s="11" t="str">
        <f>TRIM(Formulario!D785)</f>
        <v/>
      </c>
      <c r="G774" s="11" t="str">
        <f>TRIM(Formulario!F785)</f>
        <v/>
      </c>
      <c r="H774" s="146" t="str">
        <f>IF(N774="",TRIM(Formulario!G785),TRIM(Formulario!G785)*N774)</f>
        <v/>
      </c>
      <c r="I774" s="107" t="str">
        <f>TRIM(Formulario!I785)</f>
        <v/>
      </c>
      <c r="J774" s="11" t="str">
        <f>TRIM(Formulario!J785)</f>
        <v/>
      </c>
      <c r="K774" s="11" t="str">
        <f>TRIM(Formulario!K785)</f>
        <v/>
      </c>
      <c r="L774" s="107" t="str">
        <f>TRIM(Formulario!L785)</f>
        <v/>
      </c>
      <c r="M774" s="107" t="str">
        <f>TRIM(Formulario!M785)</f>
        <v/>
      </c>
      <c r="N774" s="11" t="str">
        <f>TRIM(Formulario!H785)</f>
        <v/>
      </c>
      <c r="P774" s="17"/>
      <c r="Q774" s="104"/>
      <c r="R774" s="104"/>
      <c r="S774" s="117"/>
      <c r="T774" s="101"/>
      <c r="U774" s="101"/>
      <c r="V774" s="101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</row>
    <row r="775" spans="1:49">
      <c r="A775" s="8" t="str">
        <f>IF(L775="","",Formulario!B786)</f>
        <v/>
      </c>
      <c r="B775" s="119"/>
      <c r="C775" s="120"/>
      <c r="D775" s="121"/>
      <c r="E775" s="129" t="str">
        <f>IF(F775="","",Formulario!B786)</f>
        <v/>
      </c>
      <c r="F775" s="11" t="str">
        <f>TRIM(Formulario!D786)</f>
        <v/>
      </c>
      <c r="G775" s="11" t="str">
        <f>TRIM(Formulario!F786)</f>
        <v/>
      </c>
      <c r="H775" s="146" t="str">
        <f>IF(N775="",TRIM(Formulario!G786),TRIM(Formulario!G786)*N775)</f>
        <v/>
      </c>
      <c r="I775" s="107" t="str">
        <f>TRIM(Formulario!I786)</f>
        <v/>
      </c>
      <c r="J775" s="11" t="str">
        <f>TRIM(Formulario!J786)</f>
        <v/>
      </c>
      <c r="K775" s="11" t="str">
        <f>TRIM(Formulario!K786)</f>
        <v/>
      </c>
      <c r="L775" s="107" t="str">
        <f>TRIM(Formulario!L786)</f>
        <v/>
      </c>
      <c r="M775" s="107" t="str">
        <f>TRIM(Formulario!M786)</f>
        <v/>
      </c>
      <c r="N775" s="11" t="str">
        <f>TRIM(Formulario!H786)</f>
        <v/>
      </c>
      <c r="P775" s="17"/>
      <c r="Q775" s="104"/>
      <c r="R775" s="104"/>
      <c r="S775" s="117"/>
      <c r="T775" s="101"/>
      <c r="U775" s="101"/>
      <c r="V775" s="101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</row>
    <row r="776" spans="1:49">
      <c r="A776" s="8" t="str">
        <f>IF(L776="","",Formulario!B787)</f>
        <v/>
      </c>
      <c r="B776" s="119"/>
      <c r="C776" s="120"/>
      <c r="D776" s="121"/>
      <c r="E776" s="129" t="str">
        <f>IF(F776="","",Formulario!B787)</f>
        <v/>
      </c>
      <c r="F776" s="11" t="str">
        <f>TRIM(Formulario!D787)</f>
        <v/>
      </c>
      <c r="G776" s="11" t="str">
        <f>TRIM(Formulario!F787)</f>
        <v/>
      </c>
      <c r="H776" s="146" t="str">
        <f>IF(N776="",TRIM(Formulario!G787),TRIM(Formulario!G787)*N776)</f>
        <v/>
      </c>
      <c r="I776" s="107" t="str">
        <f>TRIM(Formulario!I787)</f>
        <v/>
      </c>
      <c r="J776" s="11" t="str">
        <f>TRIM(Formulario!J787)</f>
        <v/>
      </c>
      <c r="K776" s="11" t="str">
        <f>TRIM(Formulario!K787)</f>
        <v/>
      </c>
      <c r="L776" s="107" t="str">
        <f>TRIM(Formulario!L787)</f>
        <v/>
      </c>
      <c r="M776" s="107" t="str">
        <f>TRIM(Formulario!M787)</f>
        <v/>
      </c>
      <c r="N776" s="11" t="str">
        <f>TRIM(Formulario!H787)</f>
        <v/>
      </c>
      <c r="P776" s="17"/>
      <c r="Q776" s="104"/>
      <c r="R776" s="104"/>
      <c r="S776" s="117"/>
      <c r="T776" s="101"/>
      <c r="U776" s="101"/>
      <c r="V776" s="101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</row>
    <row r="777" spans="1:49">
      <c r="A777" s="8" t="str">
        <f>IF(L777="","",Formulario!B788)</f>
        <v/>
      </c>
      <c r="B777" s="119"/>
      <c r="C777" s="120"/>
      <c r="D777" s="121"/>
      <c r="E777" s="129" t="str">
        <f>IF(F777="","",Formulario!B788)</f>
        <v/>
      </c>
      <c r="F777" s="11" t="str">
        <f>TRIM(Formulario!D788)</f>
        <v/>
      </c>
      <c r="G777" s="11" t="str">
        <f>TRIM(Formulario!F788)</f>
        <v/>
      </c>
      <c r="H777" s="146" t="str">
        <f>IF(N777="",TRIM(Formulario!G788),TRIM(Formulario!G788)*N777)</f>
        <v/>
      </c>
      <c r="I777" s="107" t="str">
        <f>TRIM(Formulario!I788)</f>
        <v/>
      </c>
      <c r="J777" s="11" t="str">
        <f>TRIM(Formulario!J788)</f>
        <v/>
      </c>
      <c r="K777" s="11" t="str">
        <f>TRIM(Formulario!K788)</f>
        <v/>
      </c>
      <c r="L777" s="107" t="str">
        <f>TRIM(Formulario!L788)</f>
        <v/>
      </c>
      <c r="M777" s="107" t="str">
        <f>TRIM(Formulario!M788)</f>
        <v/>
      </c>
      <c r="N777" s="11" t="str">
        <f>TRIM(Formulario!H788)</f>
        <v/>
      </c>
      <c r="P777" s="17"/>
      <c r="Q777" s="104"/>
      <c r="R777" s="104"/>
      <c r="S777" s="117"/>
      <c r="T777" s="101"/>
      <c r="U777" s="101"/>
      <c r="V777" s="101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</row>
    <row r="778" spans="1:49">
      <c r="A778" s="8" t="str">
        <f>IF(L778="","",Formulario!B789)</f>
        <v/>
      </c>
      <c r="B778" s="119"/>
      <c r="C778" s="120"/>
      <c r="D778" s="121"/>
      <c r="E778" s="129" t="str">
        <f>IF(F778="","",Formulario!B789)</f>
        <v/>
      </c>
      <c r="F778" s="11" t="str">
        <f>TRIM(Formulario!D789)</f>
        <v/>
      </c>
      <c r="G778" s="11" t="str">
        <f>TRIM(Formulario!F789)</f>
        <v/>
      </c>
      <c r="H778" s="146" t="str">
        <f>IF(N778="",TRIM(Formulario!G789),TRIM(Formulario!G789)*N778)</f>
        <v/>
      </c>
      <c r="I778" s="107" t="str">
        <f>TRIM(Formulario!I789)</f>
        <v/>
      </c>
      <c r="J778" s="11" t="str">
        <f>TRIM(Formulario!J789)</f>
        <v/>
      </c>
      <c r="K778" s="11" t="str">
        <f>TRIM(Formulario!K789)</f>
        <v/>
      </c>
      <c r="L778" s="107" t="str">
        <f>TRIM(Formulario!L789)</f>
        <v/>
      </c>
      <c r="M778" s="107" t="str">
        <f>TRIM(Formulario!M789)</f>
        <v/>
      </c>
      <c r="N778" s="11" t="str">
        <f>TRIM(Formulario!H789)</f>
        <v/>
      </c>
      <c r="P778" s="17"/>
      <c r="Q778" s="104"/>
      <c r="R778" s="104"/>
      <c r="S778" s="117"/>
      <c r="T778" s="101"/>
      <c r="U778" s="101"/>
      <c r="V778" s="101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</row>
    <row r="779" spans="1:49">
      <c r="A779" s="8" t="str">
        <f>IF(L779="","",Formulario!B790)</f>
        <v/>
      </c>
      <c r="B779" s="119"/>
      <c r="C779" s="120"/>
      <c r="D779" s="121"/>
      <c r="E779" s="129" t="str">
        <f>IF(F779="","",Formulario!B790)</f>
        <v/>
      </c>
      <c r="F779" s="11" t="str">
        <f>TRIM(Formulario!D790)</f>
        <v/>
      </c>
      <c r="G779" s="11" t="str">
        <f>TRIM(Formulario!F790)</f>
        <v/>
      </c>
      <c r="H779" s="146" t="str">
        <f>IF(N779="",TRIM(Formulario!G790),TRIM(Formulario!G790)*N779)</f>
        <v/>
      </c>
      <c r="I779" s="107" t="str">
        <f>TRIM(Formulario!I790)</f>
        <v/>
      </c>
      <c r="J779" s="11" t="str">
        <f>TRIM(Formulario!J790)</f>
        <v/>
      </c>
      <c r="K779" s="11" t="str">
        <f>TRIM(Formulario!K790)</f>
        <v/>
      </c>
      <c r="L779" s="107" t="str">
        <f>TRIM(Formulario!L790)</f>
        <v/>
      </c>
      <c r="M779" s="107" t="str">
        <f>TRIM(Formulario!M790)</f>
        <v/>
      </c>
      <c r="N779" s="11" t="str">
        <f>TRIM(Formulario!H790)</f>
        <v/>
      </c>
      <c r="P779" s="17"/>
      <c r="Q779" s="104"/>
      <c r="R779" s="104"/>
      <c r="S779" s="117"/>
      <c r="T779" s="101"/>
      <c r="U779" s="101"/>
      <c r="V779" s="101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</row>
    <row r="780" spans="1:49">
      <c r="A780" s="8" t="str">
        <f>IF(L780="","",Formulario!B791)</f>
        <v/>
      </c>
      <c r="B780" s="119"/>
      <c r="C780" s="120"/>
      <c r="D780" s="121"/>
      <c r="E780" s="129" t="str">
        <f>IF(F780="","",Formulario!B791)</f>
        <v/>
      </c>
      <c r="F780" s="11" t="str">
        <f>TRIM(Formulario!D791)</f>
        <v/>
      </c>
      <c r="G780" s="11" t="str">
        <f>TRIM(Formulario!F791)</f>
        <v/>
      </c>
      <c r="H780" s="146" t="str">
        <f>IF(N780="",TRIM(Formulario!G791),TRIM(Formulario!G791)*N780)</f>
        <v/>
      </c>
      <c r="I780" s="107" t="str">
        <f>TRIM(Formulario!I791)</f>
        <v/>
      </c>
      <c r="J780" s="11" t="str">
        <f>TRIM(Formulario!J791)</f>
        <v/>
      </c>
      <c r="K780" s="11" t="str">
        <f>TRIM(Formulario!K791)</f>
        <v/>
      </c>
      <c r="L780" s="107" t="str">
        <f>TRIM(Formulario!L791)</f>
        <v/>
      </c>
      <c r="M780" s="107" t="str">
        <f>TRIM(Formulario!M791)</f>
        <v/>
      </c>
      <c r="N780" s="11" t="str">
        <f>TRIM(Formulario!H791)</f>
        <v/>
      </c>
      <c r="P780" s="17"/>
      <c r="Q780" s="104"/>
      <c r="R780" s="104"/>
      <c r="S780" s="117"/>
      <c r="T780" s="101"/>
      <c r="U780" s="101"/>
      <c r="V780" s="101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</row>
    <row r="781" spans="1:49">
      <c r="A781" s="8" t="str">
        <f>IF(L781="","",Formulario!B792)</f>
        <v/>
      </c>
      <c r="B781" s="119"/>
      <c r="C781" s="120"/>
      <c r="D781" s="121"/>
      <c r="E781" s="129" t="str">
        <f>IF(F781="","",Formulario!B792)</f>
        <v/>
      </c>
      <c r="F781" s="11" t="str">
        <f>TRIM(Formulario!D792)</f>
        <v/>
      </c>
      <c r="G781" s="11" t="str">
        <f>TRIM(Formulario!F792)</f>
        <v/>
      </c>
      <c r="H781" s="146" t="str">
        <f>IF(N781="",TRIM(Formulario!G792),TRIM(Formulario!G792)*N781)</f>
        <v/>
      </c>
      <c r="I781" s="107" t="str">
        <f>TRIM(Formulario!I792)</f>
        <v/>
      </c>
      <c r="J781" s="11" t="str">
        <f>TRIM(Formulario!J792)</f>
        <v/>
      </c>
      <c r="K781" s="11" t="str">
        <f>TRIM(Formulario!K792)</f>
        <v/>
      </c>
      <c r="L781" s="107" t="str">
        <f>TRIM(Formulario!L792)</f>
        <v/>
      </c>
      <c r="M781" s="107" t="str">
        <f>TRIM(Formulario!M792)</f>
        <v/>
      </c>
      <c r="N781" s="11" t="str">
        <f>TRIM(Formulario!H792)</f>
        <v/>
      </c>
      <c r="P781" s="17"/>
      <c r="Q781" s="104"/>
      <c r="R781" s="104"/>
      <c r="S781" s="117"/>
      <c r="T781" s="101"/>
      <c r="U781" s="101"/>
      <c r="V781" s="101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</row>
    <row r="782" spans="1:49">
      <c r="A782" s="8" t="str">
        <f>IF(L782="","",Formulario!B793)</f>
        <v/>
      </c>
      <c r="B782" s="119"/>
      <c r="C782" s="120"/>
      <c r="D782" s="121"/>
      <c r="E782" s="129" t="str">
        <f>IF(F782="","",Formulario!B793)</f>
        <v/>
      </c>
      <c r="F782" s="11" t="str">
        <f>TRIM(Formulario!D793)</f>
        <v/>
      </c>
      <c r="G782" s="11" t="str">
        <f>TRIM(Formulario!F793)</f>
        <v/>
      </c>
      <c r="H782" s="146" t="str">
        <f>IF(N782="",TRIM(Formulario!G793),TRIM(Formulario!G793)*N782)</f>
        <v/>
      </c>
      <c r="I782" s="107" t="str">
        <f>TRIM(Formulario!I793)</f>
        <v/>
      </c>
      <c r="J782" s="11" t="str">
        <f>TRIM(Formulario!J793)</f>
        <v/>
      </c>
      <c r="K782" s="11" t="str">
        <f>TRIM(Formulario!K793)</f>
        <v/>
      </c>
      <c r="L782" s="107" t="str">
        <f>TRIM(Formulario!L793)</f>
        <v/>
      </c>
      <c r="M782" s="107" t="str">
        <f>TRIM(Formulario!M793)</f>
        <v/>
      </c>
      <c r="N782" s="11" t="str">
        <f>TRIM(Formulario!H793)</f>
        <v/>
      </c>
      <c r="P782" s="17"/>
      <c r="Q782" s="104"/>
      <c r="R782" s="104"/>
      <c r="S782" s="117"/>
      <c r="T782" s="101"/>
      <c r="U782" s="101"/>
      <c r="V782" s="101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</row>
    <row r="783" spans="1:49">
      <c r="A783" s="8" t="str">
        <f>IF(L783="","",Formulario!B794)</f>
        <v/>
      </c>
      <c r="B783" s="119"/>
      <c r="C783" s="120"/>
      <c r="D783" s="121"/>
      <c r="E783" s="129" t="str">
        <f>IF(F783="","",Formulario!B794)</f>
        <v/>
      </c>
      <c r="F783" s="11" t="str">
        <f>TRIM(Formulario!D794)</f>
        <v/>
      </c>
      <c r="G783" s="11" t="str">
        <f>TRIM(Formulario!F794)</f>
        <v/>
      </c>
      <c r="H783" s="146" t="str">
        <f>IF(N783="",TRIM(Formulario!G794),TRIM(Formulario!G794)*N783)</f>
        <v/>
      </c>
      <c r="I783" s="107" t="str">
        <f>TRIM(Formulario!I794)</f>
        <v/>
      </c>
      <c r="J783" s="11" t="str">
        <f>TRIM(Formulario!J794)</f>
        <v/>
      </c>
      <c r="K783" s="11" t="str">
        <f>TRIM(Formulario!K794)</f>
        <v/>
      </c>
      <c r="L783" s="107" t="str">
        <f>TRIM(Formulario!L794)</f>
        <v/>
      </c>
      <c r="M783" s="107" t="str">
        <f>TRIM(Formulario!M794)</f>
        <v/>
      </c>
      <c r="N783" s="11" t="str">
        <f>TRIM(Formulario!H794)</f>
        <v/>
      </c>
      <c r="P783" s="17"/>
      <c r="Q783" s="104"/>
      <c r="R783" s="104"/>
      <c r="S783" s="117"/>
      <c r="T783" s="101"/>
      <c r="U783" s="101"/>
      <c r="V783" s="101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</row>
    <row r="784" spans="1:49">
      <c r="A784" s="8" t="str">
        <f>IF(L784="","",Formulario!B795)</f>
        <v/>
      </c>
      <c r="B784" s="119"/>
      <c r="C784" s="120"/>
      <c r="D784" s="121"/>
      <c r="E784" s="129" t="str">
        <f>IF(F784="","",Formulario!B795)</f>
        <v/>
      </c>
      <c r="F784" s="11" t="str">
        <f>TRIM(Formulario!D795)</f>
        <v/>
      </c>
      <c r="G784" s="11" t="str">
        <f>TRIM(Formulario!F795)</f>
        <v/>
      </c>
      <c r="H784" s="146" t="str">
        <f>IF(N784="",TRIM(Formulario!G795),TRIM(Formulario!G795)*N784)</f>
        <v/>
      </c>
      <c r="I784" s="107" t="str">
        <f>TRIM(Formulario!I795)</f>
        <v/>
      </c>
      <c r="J784" s="11" t="str">
        <f>TRIM(Formulario!J795)</f>
        <v/>
      </c>
      <c r="K784" s="11" t="str">
        <f>TRIM(Formulario!K795)</f>
        <v/>
      </c>
      <c r="L784" s="107" t="str">
        <f>TRIM(Formulario!L795)</f>
        <v/>
      </c>
      <c r="M784" s="107" t="str">
        <f>TRIM(Formulario!M795)</f>
        <v/>
      </c>
      <c r="N784" s="11" t="str">
        <f>TRIM(Formulario!H795)</f>
        <v/>
      </c>
      <c r="P784" s="17"/>
      <c r="Q784" s="104"/>
      <c r="R784" s="104"/>
      <c r="S784" s="117"/>
      <c r="T784" s="101"/>
      <c r="U784" s="101"/>
      <c r="V784" s="101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</row>
    <row r="785" spans="1:49">
      <c r="A785" s="8" t="str">
        <f>IF(L785="","",Formulario!B796)</f>
        <v/>
      </c>
      <c r="B785" s="119"/>
      <c r="C785" s="120"/>
      <c r="D785" s="121"/>
      <c r="E785" s="129" t="str">
        <f>IF(F785="","",Formulario!B796)</f>
        <v/>
      </c>
      <c r="F785" s="11" t="str">
        <f>TRIM(Formulario!D796)</f>
        <v/>
      </c>
      <c r="G785" s="11" t="str">
        <f>TRIM(Formulario!F796)</f>
        <v/>
      </c>
      <c r="H785" s="146" t="str">
        <f>IF(N785="",TRIM(Formulario!G796),TRIM(Formulario!G796)*N785)</f>
        <v/>
      </c>
      <c r="I785" s="107" t="str">
        <f>TRIM(Formulario!I796)</f>
        <v/>
      </c>
      <c r="J785" s="11" t="str">
        <f>TRIM(Formulario!J796)</f>
        <v/>
      </c>
      <c r="K785" s="11" t="str">
        <f>TRIM(Formulario!K796)</f>
        <v/>
      </c>
      <c r="L785" s="107" t="str">
        <f>TRIM(Formulario!L796)</f>
        <v/>
      </c>
      <c r="M785" s="107" t="str">
        <f>TRIM(Formulario!M796)</f>
        <v/>
      </c>
      <c r="N785" s="11" t="str">
        <f>TRIM(Formulario!H796)</f>
        <v/>
      </c>
      <c r="P785" s="17"/>
      <c r="Q785" s="104"/>
      <c r="R785" s="104"/>
      <c r="S785" s="117"/>
      <c r="T785" s="101"/>
      <c r="U785" s="101"/>
      <c r="V785" s="101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</row>
    <row r="786" spans="1:49">
      <c r="A786" s="8" t="str">
        <f>IF(L786="","",Formulario!B797)</f>
        <v/>
      </c>
      <c r="B786" s="119"/>
      <c r="C786" s="120"/>
      <c r="D786" s="121"/>
      <c r="E786" s="129" t="str">
        <f>IF(F786="","",Formulario!B797)</f>
        <v/>
      </c>
      <c r="F786" s="11" t="str">
        <f>TRIM(Formulario!D797)</f>
        <v/>
      </c>
      <c r="G786" s="11" t="str">
        <f>TRIM(Formulario!F797)</f>
        <v/>
      </c>
      <c r="H786" s="146" t="str">
        <f>IF(N786="",TRIM(Formulario!G797),TRIM(Formulario!G797)*N786)</f>
        <v/>
      </c>
      <c r="I786" s="107" t="str">
        <f>TRIM(Formulario!I797)</f>
        <v/>
      </c>
      <c r="J786" s="11" t="str">
        <f>TRIM(Formulario!J797)</f>
        <v/>
      </c>
      <c r="K786" s="11" t="str">
        <f>TRIM(Formulario!K797)</f>
        <v/>
      </c>
      <c r="L786" s="107" t="str">
        <f>TRIM(Formulario!L797)</f>
        <v/>
      </c>
      <c r="M786" s="107" t="str">
        <f>TRIM(Formulario!M797)</f>
        <v/>
      </c>
      <c r="N786" s="11" t="str">
        <f>TRIM(Formulario!H797)</f>
        <v/>
      </c>
      <c r="P786" s="17"/>
      <c r="Q786" s="104"/>
      <c r="R786" s="104"/>
      <c r="S786" s="117"/>
      <c r="T786" s="101"/>
      <c r="U786" s="101"/>
      <c r="V786" s="101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</row>
    <row r="787" spans="1:49">
      <c r="A787" s="8" t="str">
        <f>IF(L787="","",Formulario!B798)</f>
        <v/>
      </c>
      <c r="B787" s="119"/>
      <c r="C787" s="120"/>
      <c r="D787" s="121"/>
      <c r="E787" s="129" t="str">
        <f>IF(F787="","",Formulario!B798)</f>
        <v/>
      </c>
      <c r="F787" s="11" t="str">
        <f>TRIM(Formulario!D798)</f>
        <v/>
      </c>
      <c r="G787" s="11" t="str">
        <f>TRIM(Formulario!F798)</f>
        <v/>
      </c>
      <c r="H787" s="146" t="str">
        <f>IF(N787="",TRIM(Formulario!G798),TRIM(Formulario!G798)*N787)</f>
        <v/>
      </c>
      <c r="I787" s="107" t="str">
        <f>TRIM(Formulario!I798)</f>
        <v/>
      </c>
      <c r="J787" s="11" t="str">
        <f>TRIM(Formulario!J798)</f>
        <v/>
      </c>
      <c r="K787" s="11" t="str">
        <f>TRIM(Formulario!K798)</f>
        <v/>
      </c>
      <c r="L787" s="107" t="str">
        <f>TRIM(Formulario!L798)</f>
        <v/>
      </c>
      <c r="M787" s="107" t="str">
        <f>TRIM(Formulario!M798)</f>
        <v/>
      </c>
      <c r="N787" s="11" t="str">
        <f>TRIM(Formulario!H798)</f>
        <v/>
      </c>
      <c r="P787" s="17"/>
      <c r="Q787" s="104"/>
      <c r="R787" s="104"/>
      <c r="S787" s="117"/>
      <c r="T787" s="101"/>
      <c r="U787" s="101"/>
      <c r="V787" s="101"/>
      <c r="W787" s="102"/>
      <c r="X787" s="102"/>
      <c r="Y787" s="102"/>
      <c r="Z787" s="102"/>
      <c r="AA787" s="102"/>
      <c r="AB787" s="102"/>
      <c r="AC787" s="102"/>
      <c r="AD787" s="102"/>
      <c r="AE787" s="102"/>
      <c r="AF787" s="102"/>
      <c r="AG787" s="102"/>
      <c r="AH787" s="102"/>
      <c r="AI787" s="102"/>
      <c r="AJ787" s="102"/>
      <c r="AK787" s="102"/>
      <c r="AL787" s="102"/>
      <c r="AM787" s="102"/>
      <c r="AN787" s="102"/>
      <c r="AO787" s="102"/>
      <c r="AP787" s="102"/>
      <c r="AQ787" s="102"/>
      <c r="AR787" s="102"/>
      <c r="AS787" s="102"/>
      <c r="AT787" s="102"/>
      <c r="AU787" s="102"/>
      <c r="AV787" s="102"/>
      <c r="AW787" s="102"/>
    </row>
    <row r="788" spans="1:49">
      <c r="A788" s="8" t="str">
        <f>IF(L788="","",Formulario!B799)</f>
        <v/>
      </c>
      <c r="B788" s="119"/>
      <c r="C788" s="120"/>
      <c r="D788" s="121"/>
      <c r="E788" s="129" t="str">
        <f>IF(F788="","",Formulario!B799)</f>
        <v/>
      </c>
      <c r="F788" s="11" t="str">
        <f>TRIM(Formulario!D799)</f>
        <v/>
      </c>
      <c r="G788" s="11" t="str">
        <f>TRIM(Formulario!F799)</f>
        <v/>
      </c>
      <c r="H788" s="146" t="str">
        <f>IF(N788="",TRIM(Formulario!G799),TRIM(Formulario!G799)*N788)</f>
        <v/>
      </c>
      <c r="I788" s="107" t="str">
        <f>TRIM(Formulario!I799)</f>
        <v/>
      </c>
      <c r="J788" s="11" t="str">
        <f>TRIM(Formulario!J799)</f>
        <v/>
      </c>
      <c r="K788" s="11" t="str">
        <f>TRIM(Formulario!K799)</f>
        <v/>
      </c>
      <c r="L788" s="107" t="str">
        <f>TRIM(Formulario!L799)</f>
        <v/>
      </c>
      <c r="M788" s="107" t="str">
        <f>TRIM(Formulario!M799)</f>
        <v/>
      </c>
      <c r="N788" s="11" t="str">
        <f>TRIM(Formulario!H799)</f>
        <v/>
      </c>
      <c r="P788" s="17"/>
      <c r="Q788" s="104"/>
      <c r="R788" s="104"/>
      <c r="S788" s="117"/>
      <c r="T788" s="101"/>
      <c r="U788" s="101"/>
      <c r="V788" s="101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</row>
    <row r="789" spans="1:49">
      <c r="A789" s="8" t="str">
        <f>IF(L789="","",Formulario!B800)</f>
        <v/>
      </c>
      <c r="B789" s="119"/>
      <c r="C789" s="120"/>
      <c r="D789" s="121"/>
      <c r="E789" s="129" t="str">
        <f>IF(F789="","",Formulario!B800)</f>
        <v/>
      </c>
      <c r="F789" s="11" t="str">
        <f>TRIM(Formulario!D800)</f>
        <v/>
      </c>
      <c r="G789" s="11" t="str">
        <f>TRIM(Formulario!F800)</f>
        <v/>
      </c>
      <c r="H789" s="146" t="str">
        <f>IF(N789="",TRIM(Formulario!G800),TRIM(Formulario!G800)*N789)</f>
        <v/>
      </c>
      <c r="I789" s="107" t="str">
        <f>TRIM(Formulario!I800)</f>
        <v/>
      </c>
      <c r="J789" s="11" t="str">
        <f>TRIM(Formulario!J800)</f>
        <v/>
      </c>
      <c r="K789" s="11" t="str">
        <f>TRIM(Formulario!K800)</f>
        <v/>
      </c>
      <c r="L789" s="107" t="str">
        <f>TRIM(Formulario!L800)</f>
        <v/>
      </c>
      <c r="M789" s="107" t="str">
        <f>TRIM(Formulario!M800)</f>
        <v/>
      </c>
      <c r="N789" s="11" t="str">
        <f>TRIM(Formulario!H800)</f>
        <v/>
      </c>
      <c r="P789" s="17"/>
      <c r="Q789" s="104"/>
      <c r="R789" s="104"/>
      <c r="S789" s="117"/>
      <c r="T789" s="101"/>
      <c r="U789" s="101"/>
      <c r="V789" s="101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</row>
    <row r="790" spans="1:49">
      <c r="A790" s="8" t="str">
        <f>IF(L790="","",Formulario!B801)</f>
        <v/>
      </c>
      <c r="B790" s="119"/>
      <c r="C790" s="120"/>
      <c r="D790" s="121"/>
      <c r="E790" s="129" t="str">
        <f>IF(F790="","",Formulario!B801)</f>
        <v/>
      </c>
      <c r="F790" s="11" t="str">
        <f>TRIM(Formulario!D801)</f>
        <v/>
      </c>
      <c r="G790" s="11" t="str">
        <f>TRIM(Formulario!F801)</f>
        <v/>
      </c>
      <c r="H790" s="146" t="str">
        <f>IF(N790="",TRIM(Formulario!G801),TRIM(Formulario!G801)*N790)</f>
        <v/>
      </c>
      <c r="I790" s="107" t="str">
        <f>TRIM(Formulario!I801)</f>
        <v/>
      </c>
      <c r="J790" s="11" t="str">
        <f>TRIM(Formulario!J801)</f>
        <v/>
      </c>
      <c r="K790" s="11" t="str">
        <f>TRIM(Formulario!K801)</f>
        <v/>
      </c>
      <c r="L790" s="107" t="str">
        <f>TRIM(Formulario!L801)</f>
        <v/>
      </c>
      <c r="M790" s="107" t="str">
        <f>TRIM(Formulario!M801)</f>
        <v/>
      </c>
      <c r="N790" s="11" t="str">
        <f>TRIM(Formulario!H801)</f>
        <v/>
      </c>
      <c r="P790" s="17"/>
      <c r="Q790" s="104"/>
      <c r="R790" s="104"/>
      <c r="S790" s="117"/>
      <c r="T790" s="101"/>
      <c r="U790" s="101"/>
      <c r="V790" s="101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</row>
    <row r="791" spans="1:49">
      <c r="A791" s="8" t="str">
        <f>IF(L791="","",Formulario!B802)</f>
        <v/>
      </c>
      <c r="B791" s="119"/>
      <c r="C791" s="120"/>
      <c r="D791" s="121"/>
      <c r="E791" s="129" t="str">
        <f>IF(F791="","",Formulario!B802)</f>
        <v/>
      </c>
      <c r="F791" s="11" t="str">
        <f>TRIM(Formulario!D802)</f>
        <v/>
      </c>
      <c r="G791" s="11" t="str">
        <f>TRIM(Formulario!F802)</f>
        <v/>
      </c>
      <c r="H791" s="146" t="str">
        <f>IF(N791="",TRIM(Formulario!G802),TRIM(Formulario!G802)*N791)</f>
        <v/>
      </c>
      <c r="I791" s="107" t="str">
        <f>TRIM(Formulario!I802)</f>
        <v/>
      </c>
      <c r="J791" s="11" t="str">
        <f>TRIM(Formulario!J802)</f>
        <v/>
      </c>
      <c r="K791" s="11" t="str">
        <f>TRIM(Formulario!K802)</f>
        <v/>
      </c>
      <c r="L791" s="107" t="str">
        <f>TRIM(Formulario!L802)</f>
        <v/>
      </c>
      <c r="M791" s="107" t="str">
        <f>TRIM(Formulario!M802)</f>
        <v/>
      </c>
      <c r="N791" s="11" t="str">
        <f>TRIM(Formulario!H802)</f>
        <v/>
      </c>
      <c r="P791" s="17"/>
      <c r="Q791" s="104"/>
      <c r="R791" s="104"/>
      <c r="S791" s="117"/>
      <c r="T791" s="101"/>
      <c r="U791" s="101"/>
      <c r="V791" s="101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</row>
    <row r="792" spans="1:49">
      <c r="A792" s="8" t="str">
        <f>IF(L792="","",Formulario!B803)</f>
        <v/>
      </c>
      <c r="B792" s="119"/>
      <c r="C792" s="120"/>
      <c r="D792" s="121"/>
      <c r="E792" s="129" t="str">
        <f>IF(F792="","",Formulario!B803)</f>
        <v/>
      </c>
      <c r="F792" s="11" t="str">
        <f>TRIM(Formulario!D803)</f>
        <v/>
      </c>
      <c r="G792" s="11" t="str">
        <f>TRIM(Formulario!F803)</f>
        <v/>
      </c>
      <c r="H792" s="146" t="str">
        <f>IF(N792="",TRIM(Formulario!G803),TRIM(Formulario!G803)*N792)</f>
        <v/>
      </c>
      <c r="I792" s="107" t="str">
        <f>TRIM(Formulario!I803)</f>
        <v/>
      </c>
      <c r="J792" s="11" t="str">
        <f>TRIM(Formulario!J803)</f>
        <v/>
      </c>
      <c r="K792" s="11" t="str">
        <f>TRIM(Formulario!K803)</f>
        <v/>
      </c>
      <c r="L792" s="107" t="str">
        <f>TRIM(Formulario!L803)</f>
        <v/>
      </c>
      <c r="M792" s="107" t="str">
        <f>TRIM(Formulario!M803)</f>
        <v/>
      </c>
      <c r="N792" s="11" t="str">
        <f>TRIM(Formulario!H803)</f>
        <v/>
      </c>
      <c r="P792" s="17"/>
      <c r="Q792" s="104"/>
      <c r="R792" s="104"/>
      <c r="S792" s="117"/>
      <c r="T792" s="101"/>
      <c r="U792" s="101"/>
      <c r="V792" s="101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</row>
    <row r="793" spans="1:49">
      <c r="A793" s="8" t="str">
        <f>IF(L793="","",Formulario!B804)</f>
        <v/>
      </c>
      <c r="B793" s="119"/>
      <c r="C793" s="120"/>
      <c r="D793" s="121"/>
      <c r="E793" s="129" t="str">
        <f>IF(F793="","",Formulario!B804)</f>
        <v/>
      </c>
      <c r="F793" s="11" t="str">
        <f>TRIM(Formulario!D804)</f>
        <v/>
      </c>
      <c r="G793" s="11" t="str">
        <f>TRIM(Formulario!F804)</f>
        <v/>
      </c>
      <c r="H793" s="146" t="str">
        <f>IF(N793="",TRIM(Formulario!G804),TRIM(Formulario!G804)*N793)</f>
        <v/>
      </c>
      <c r="I793" s="107" t="str">
        <f>TRIM(Formulario!I804)</f>
        <v/>
      </c>
      <c r="J793" s="11" t="str">
        <f>TRIM(Formulario!J804)</f>
        <v/>
      </c>
      <c r="K793" s="11" t="str">
        <f>TRIM(Formulario!K804)</f>
        <v/>
      </c>
      <c r="L793" s="107" t="str">
        <f>TRIM(Formulario!L804)</f>
        <v/>
      </c>
      <c r="M793" s="107" t="str">
        <f>TRIM(Formulario!M804)</f>
        <v/>
      </c>
      <c r="N793" s="11" t="str">
        <f>TRIM(Formulario!H804)</f>
        <v/>
      </c>
      <c r="P793" s="17"/>
      <c r="Q793" s="104"/>
      <c r="R793" s="104"/>
      <c r="S793" s="117"/>
      <c r="T793" s="101"/>
      <c r="U793" s="101"/>
      <c r="V793" s="101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</row>
    <row r="794" spans="1:49">
      <c r="A794" s="8" t="str">
        <f>IF(L794="","",Formulario!B805)</f>
        <v/>
      </c>
      <c r="B794" s="119"/>
      <c r="C794" s="120"/>
      <c r="D794" s="121"/>
      <c r="E794" s="129" t="str">
        <f>IF(F794="","",Formulario!B805)</f>
        <v/>
      </c>
      <c r="F794" s="11" t="str">
        <f>TRIM(Formulario!D805)</f>
        <v/>
      </c>
      <c r="G794" s="11" t="str">
        <f>TRIM(Formulario!F805)</f>
        <v/>
      </c>
      <c r="H794" s="146" t="str">
        <f>IF(N794="",TRIM(Formulario!G805),TRIM(Formulario!G805)*N794)</f>
        <v/>
      </c>
      <c r="I794" s="107" t="str">
        <f>TRIM(Formulario!I805)</f>
        <v/>
      </c>
      <c r="J794" s="11" t="str">
        <f>TRIM(Formulario!J805)</f>
        <v/>
      </c>
      <c r="K794" s="11" t="str">
        <f>TRIM(Formulario!K805)</f>
        <v/>
      </c>
      <c r="L794" s="107" t="str">
        <f>TRIM(Formulario!L805)</f>
        <v/>
      </c>
      <c r="M794" s="107" t="str">
        <f>TRIM(Formulario!M805)</f>
        <v/>
      </c>
      <c r="N794" s="11" t="str">
        <f>TRIM(Formulario!H805)</f>
        <v/>
      </c>
      <c r="P794" s="17"/>
      <c r="Q794" s="104"/>
      <c r="R794" s="104"/>
      <c r="S794" s="117"/>
      <c r="T794" s="101"/>
      <c r="U794" s="101"/>
      <c r="V794" s="101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</row>
    <row r="795" spans="1:49">
      <c r="A795" s="8" t="str">
        <f>IF(L795="","",Formulario!B806)</f>
        <v/>
      </c>
      <c r="B795" s="119"/>
      <c r="C795" s="120"/>
      <c r="D795" s="121"/>
      <c r="E795" s="129" t="str">
        <f>IF(F795="","",Formulario!B806)</f>
        <v/>
      </c>
      <c r="F795" s="11" t="str">
        <f>TRIM(Formulario!D806)</f>
        <v/>
      </c>
      <c r="G795" s="11" t="str">
        <f>TRIM(Formulario!F806)</f>
        <v/>
      </c>
      <c r="H795" s="146" t="str">
        <f>IF(N795="",TRIM(Formulario!G806),TRIM(Formulario!G806)*N795)</f>
        <v/>
      </c>
      <c r="I795" s="107" t="str">
        <f>TRIM(Formulario!I806)</f>
        <v/>
      </c>
      <c r="J795" s="11" t="str">
        <f>TRIM(Formulario!J806)</f>
        <v/>
      </c>
      <c r="K795" s="11" t="str">
        <f>TRIM(Formulario!K806)</f>
        <v/>
      </c>
      <c r="L795" s="107" t="str">
        <f>TRIM(Formulario!L806)</f>
        <v/>
      </c>
      <c r="M795" s="107" t="str">
        <f>TRIM(Formulario!M806)</f>
        <v/>
      </c>
      <c r="N795" s="11" t="str">
        <f>TRIM(Formulario!H806)</f>
        <v/>
      </c>
      <c r="P795" s="17"/>
      <c r="Q795" s="104"/>
      <c r="R795" s="104"/>
      <c r="S795" s="117"/>
      <c r="T795" s="101"/>
      <c r="U795" s="101"/>
      <c r="V795" s="101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</row>
    <row r="796" spans="1:49">
      <c r="A796" s="8" t="str">
        <f>IF(L796="","",Formulario!B807)</f>
        <v/>
      </c>
      <c r="B796" s="119"/>
      <c r="C796" s="120"/>
      <c r="D796" s="121"/>
      <c r="E796" s="129" t="str">
        <f>IF(F796="","",Formulario!B807)</f>
        <v/>
      </c>
      <c r="F796" s="11" t="str">
        <f>TRIM(Formulario!D807)</f>
        <v/>
      </c>
      <c r="G796" s="11" t="str">
        <f>TRIM(Formulario!F807)</f>
        <v/>
      </c>
      <c r="H796" s="146" t="str">
        <f>IF(N796="",TRIM(Formulario!G807),TRIM(Formulario!G807)*N796)</f>
        <v/>
      </c>
      <c r="I796" s="107" t="str">
        <f>TRIM(Formulario!I807)</f>
        <v/>
      </c>
      <c r="J796" s="11" t="str">
        <f>TRIM(Formulario!J807)</f>
        <v/>
      </c>
      <c r="K796" s="11" t="str">
        <f>TRIM(Formulario!K807)</f>
        <v/>
      </c>
      <c r="L796" s="107" t="str">
        <f>TRIM(Formulario!L807)</f>
        <v/>
      </c>
      <c r="M796" s="107" t="str">
        <f>TRIM(Formulario!M807)</f>
        <v/>
      </c>
      <c r="N796" s="11" t="str">
        <f>TRIM(Formulario!H807)</f>
        <v/>
      </c>
      <c r="P796" s="17"/>
      <c r="Q796" s="104"/>
      <c r="R796" s="104"/>
      <c r="S796" s="117"/>
      <c r="T796" s="101"/>
      <c r="U796" s="101"/>
      <c r="V796" s="101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</row>
    <row r="797" spans="1:49">
      <c r="A797" s="8" t="str">
        <f>IF(L797="","",Formulario!B808)</f>
        <v/>
      </c>
      <c r="B797" s="119"/>
      <c r="C797" s="120"/>
      <c r="D797" s="121"/>
      <c r="E797" s="129" t="str">
        <f>IF(F797="","",Formulario!B808)</f>
        <v/>
      </c>
      <c r="F797" s="11" t="str">
        <f>TRIM(Formulario!D808)</f>
        <v/>
      </c>
      <c r="G797" s="11" t="str">
        <f>TRIM(Formulario!F808)</f>
        <v/>
      </c>
      <c r="H797" s="146" t="str">
        <f>IF(N797="",TRIM(Formulario!G808),TRIM(Formulario!G808)*N797)</f>
        <v/>
      </c>
      <c r="I797" s="107" t="str">
        <f>TRIM(Formulario!I808)</f>
        <v/>
      </c>
      <c r="J797" s="11" t="str">
        <f>TRIM(Formulario!J808)</f>
        <v/>
      </c>
      <c r="K797" s="11" t="str">
        <f>TRIM(Formulario!K808)</f>
        <v/>
      </c>
      <c r="L797" s="107" t="str">
        <f>TRIM(Formulario!L808)</f>
        <v/>
      </c>
      <c r="M797" s="107" t="str">
        <f>TRIM(Formulario!M808)</f>
        <v/>
      </c>
      <c r="N797" s="11" t="str">
        <f>TRIM(Formulario!H808)</f>
        <v/>
      </c>
      <c r="P797" s="17"/>
      <c r="Q797" s="104"/>
      <c r="R797" s="104"/>
      <c r="S797" s="117"/>
      <c r="T797" s="101"/>
      <c r="U797" s="101"/>
      <c r="V797" s="101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</row>
    <row r="798" spans="1:49">
      <c r="A798" s="8" t="str">
        <f>IF(L798="","",Formulario!B809)</f>
        <v/>
      </c>
      <c r="B798" s="119"/>
      <c r="C798" s="120"/>
      <c r="D798" s="121"/>
      <c r="E798" s="129" t="str">
        <f>IF(F798="","",Formulario!B809)</f>
        <v/>
      </c>
      <c r="F798" s="11" t="str">
        <f>TRIM(Formulario!D809)</f>
        <v/>
      </c>
      <c r="G798" s="11" t="str">
        <f>TRIM(Formulario!F809)</f>
        <v/>
      </c>
      <c r="H798" s="146" t="str">
        <f>IF(N798="",TRIM(Formulario!G809),TRIM(Formulario!G809)*N798)</f>
        <v/>
      </c>
      <c r="I798" s="107" t="str">
        <f>TRIM(Formulario!I809)</f>
        <v/>
      </c>
      <c r="J798" s="11" t="str">
        <f>TRIM(Formulario!J809)</f>
        <v/>
      </c>
      <c r="K798" s="11" t="str">
        <f>TRIM(Formulario!K809)</f>
        <v/>
      </c>
      <c r="L798" s="107" t="str">
        <f>TRIM(Formulario!L809)</f>
        <v/>
      </c>
      <c r="M798" s="107" t="str">
        <f>TRIM(Formulario!M809)</f>
        <v/>
      </c>
      <c r="N798" s="11" t="str">
        <f>TRIM(Formulario!H809)</f>
        <v/>
      </c>
      <c r="P798" s="17"/>
      <c r="Q798" s="104"/>
      <c r="R798" s="104"/>
      <c r="S798" s="117"/>
      <c r="T798" s="101"/>
      <c r="U798" s="101"/>
      <c r="V798" s="101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</row>
    <row r="799" spans="1:49">
      <c r="A799" s="8" t="str">
        <f>IF(L799="","",Formulario!B810)</f>
        <v/>
      </c>
      <c r="B799" s="119"/>
      <c r="C799" s="120"/>
      <c r="D799" s="121"/>
      <c r="E799" s="129" t="str">
        <f>IF(F799="","",Formulario!B810)</f>
        <v/>
      </c>
      <c r="F799" s="11" t="str">
        <f>TRIM(Formulario!D810)</f>
        <v/>
      </c>
      <c r="G799" s="11" t="str">
        <f>TRIM(Formulario!F810)</f>
        <v/>
      </c>
      <c r="H799" s="146" t="str">
        <f>IF(N799="",TRIM(Formulario!G810),TRIM(Formulario!G810)*N799)</f>
        <v/>
      </c>
      <c r="I799" s="107" t="str">
        <f>TRIM(Formulario!I810)</f>
        <v/>
      </c>
      <c r="J799" s="11" t="str">
        <f>TRIM(Formulario!J810)</f>
        <v/>
      </c>
      <c r="K799" s="11" t="str">
        <f>TRIM(Formulario!K810)</f>
        <v/>
      </c>
      <c r="L799" s="107" t="str">
        <f>TRIM(Formulario!L810)</f>
        <v/>
      </c>
      <c r="M799" s="107" t="str">
        <f>TRIM(Formulario!M810)</f>
        <v/>
      </c>
      <c r="N799" s="11" t="str">
        <f>TRIM(Formulario!H810)</f>
        <v/>
      </c>
      <c r="P799" s="17"/>
      <c r="Q799" s="104"/>
      <c r="R799" s="104"/>
      <c r="S799" s="117"/>
      <c r="T799" s="101"/>
      <c r="U799" s="101"/>
      <c r="V799" s="101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</row>
    <row r="800" spans="1:49">
      <c r="A800" s="8" t="str">
        <f>IF(L800="","",Formulario!B811)</f>
        <v/>
      </c>
      <c r="B800" s="119"/>
      <c r="C800" s="120"/>
      <c r="D800" s="121"/>
      <c r="E800" s="129" t="str">
        <f>IF(F800="","",Formulario!B811)</f>
        <v/>
      </c>
      <c r="F800" s="11" t="str">
        <f>TRIM(Formulario!D811)</f>
        <v/>
      </c>
      <c r="G800" s="11" t="str">
        <f>TRIM(Formulario!F811)</f>
        <v/>
      </c>
      <c r="H800" s="146" t="str">
        <f>IF(N800="",TRIM(Formulario!G811),TRIM(Formulario!G811)*N800)</f>
        <v/>
      </c>
      <c r="I800" s="107" t="str">
        <f>TRIM(Formulario!I811)</f>
        <v/>
      </c>
      <c r="J800" s="11" t="str">
        <f>TRIM(Formulario!J811)</f>
        <v/>
      </c>
      <c r="K800" s="11" t="str">
        <f>TRIM(Formulario!K811)</f>
        <v/>
      </c>
      <c r="L800" s="107" t="str">
        <f>TRIM(Formulario!L811)</f>
        <v/>
      </c>
      <c r="M800" s="107" t="str">
        <f>TRIM(Formulario!M811)</f>
        <v/>
      </c>
      <c r="N800" s="11" t="str">
        <f>TRIM(Formulario!H811)</f>
        <v/>
      </c>
      <c r="P800" s="17"/>
      <c r="Q800" s="104"/>
      <c r="R800" s="104"/>
      <c r="S800" s="117"/>
      <c r="T800" s="101"/>
      <c r="U800" s="101"/>
      <c r="V800" s="101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</row>
    <row r="801" spans="1:49">
      <c r="A801" s="8" t="str">
        <f>IF(L801="","",Formulario!B812)</f>
        <v/>
      </c>
      <c r="B801" s="119"/>
      <c r="C801" s="120"/>
      <c r="D801" s="121"/>
      <c r="E801" s="129" t="str">
        <f>IF(F801="","",Formulario!B812)</f>
        <v/>
      </c>
      <c r="F801" s="11" t="str">
        <f>TRIM(Formulario!D812)</f>
        <v/>
      </c>
      <c r="G801" s="11" t="str">
        <f>TRIM(Formulario!F812)</f>
        <v/>
      </c>
      <c r="H801" s="146" t="str">
        <f>IF(N801="",TRIM(Formulario!G812),TRIM(Formulario!G812)*N801)</f>
        <v/>
      </c>
      <c r="I801" s="107" t="str">
        <f>TRIM(Formulario!I812)</f>
        <v/>
      </c>
      <c r="J801" s="11" t="str">
        <f>TRIM(Formulario!J812)</f>
        <v/>
      </c>
      <c r="K801" s="11" t="str">
        <f>TRIM(Formulario!K812)</f>
        <v/>
      </c>
      <c r="L801" s="107" t="str">
        <f>TRIM(Formulario!L812)</f>
        <v/>
      </c>
      <c r="M801" s="107" t="str">
        <f>TRIM(Formulario!M812)</f>
        <v/>
      </c>
      <c r="N801" s="11" t="str">
        <f>TRIM(Formulario!H812)</f>
        <v/>
      </c>
      <c r="P801" s="17"/>
      <c r="Q801" s="104"/>
      <c r="R801" s="104"/>
      <c r="S801" s="117"/>
      <c r="T801" s="101"/>
      <c r="U801" s="101"/>
      <c r="V801" s="101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</row>
    <row r="802" spans="1:49">
      <c r="A802" s="8" t="str">
        <f>IF(L802="","",Formulario!B813)</f>
        <v/>
      </c>
      <c r="B802" s="119"/>
      <c r="C802" s="120"/>
      <c r="D802" s="121"/>
      <c r="E802" s="129" t="str">
        <f>IF(F802="","",Formulario!B813)</f>
        <v/>
      </c>
      <c r="F802" s="11" t="str">
        <f>TRIM(Formulario!D813)</f>
        <v/>
      </c>
      <c r="G802" s="11" t="str">
        <f>TRIM(Formulario!F813)</f>
        <v/>
      </c>
      <c r="H802" s="146" t="str">
        <f>IF(N802="",TRIM(Formulario!G813),TRIM(Formulario!G813)*N802)</f>
        <v/>
      </c>
      <c r="I802" s="107" t="str">
        <f>TRIM(Formulario!I813)</f>
        <v/>
      </c>
      <c r="J802" s="11" t="str">
        <f>TRIM(Formulario!J813)</f>
        <v/>
      </c>
      <c r="K802" s="11" t="str">
        <f>TRIM(Formulario!K813)</f>
        <v/>
      </c>
      <c r="L802" s="107" t="str">
        <f>TRIM(Formulario!L813)</f>
        <v/>
      </c>
      <c r="M802" s="107" t="str">
        <f>TRIM(Formulario!M813)</f>
        <v/>
      </c>
      <c r="N802" s="11" t="str">
        <f>TRIM(Formulario!H813)</f>
        <v/>
      </c>
      <c r="P802" s="17"/>
      <c r="Q802" s="104"/>
      <c r="R802" s="104"/>
      <c r="S802" s="117"/>
      <c r="T802" s="101"/>
      <c r="U802" s="101"/>
      <c r="V802" s="101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</row>
    <row r="803" spans="1:49">
      <c r="A803" s="8" t="str">
        <f>IF(L803="","",Formulario!B814)</f>
        <v/>
      </c>
      <c r="B803" s="119"/>
      <c r="C803" s="120"/>
      <c r="D803" s="121"/>
      <c r="E803" s="129" t="str">
        <f>IF(F803="","",Formulario!B814)</f>
        <v/>
      </c>
      <c r="F803" s="11" t="str">
        <f>TRIM(Formulario!D814)</f>
        <v/>
      </c>
      <c r="G803" s="11" t="str">
        <f>TRIM(Formulario!F814)</f>
        <v/>
      </c>
      <c r="H803" s="146" t="str">
        <f>IF(N803="",TRIM(Formulario!G814),TRIM(Formulario!G814)*N803)</f>
        <v/>
      </c>
      <c r="I803" s="107" t="str">
        <f>TRIM(Formulario!I814)</f>
        <v/>
      </c>
      <c r="J803" s="11" t="str">
        <f>TRIM(Formulario!J814)</f>
        <v/>
      </c>
      <c r="K803" s="11" t="str">
        <f>TRIM(Formulario!K814)</f>
        <v/>
      </c>
      <c r="L803" s="107" t="str">
        <f>TRIM(Formulario!L814)</f>
        <v/>
      </c>
      <c r="M803" s="107" t="str">
        <f>TRIM(Formulario!M814)</f>
        <v/>
      </c>
      <c r="N803" s="11" t="str">
        <f>TRIM(Formulario!H814)</f>
        <v/>
      </c>
      <c r="P803" s="17"/>
      <c r="Q803" s="104"/>
      <c r="R803" s="104"/>
      <c r="S803" s="117"/>
      <c r="T803" s="101"/>
      <c r="U803" s="101"/>
      <c r="V803" s="101"/>
      <c r="W803" s="102"/>
      <c r="X803" s="102"/>
      <c r="Y803" s="102"/>
      <c r="Z803" s="102"/>
      <c r="AA803" s="102"/>
      <c r="AB803" s="102"/>
      <c r="AC803" s="102"/>
      <c r="AD803" s="102"/>
      <c r="AE803" s="102"/>
      <c r="AF803" s="102"/>
      <c r="AG803" s="102"/>
      <c r="AH803" s="102"/>
      <c r="AI803" s="102"/>
      <c r="AJ803" s="102"/>
      <c r="AK803" s="102"/>
      <c r="AL803" s="102"/>
      <c r="AM803" s="102"/>
      <c r="AN803" s="102"/>
      <c r="AO803" s="102"/>
      <c r="AP803" s="102"/>
      <c r="AQ803" s="102"/>
      <c r="AR803" s="102"/>
      <c r="AS803" s="102"/>
      <c r="AT803" s="102"/>
      <c r="AU803" s="102"/>
      <c r="AV803" s="102"/>
      <c r="AW803" s="102"/>
    </row>
    <row r="804" spans="1:49">
      <c r="A804" s="8" t="str">
        <f>IF(L804="","",Formulario!B815)</f>
        <v/>
      </c>
      <c r="B804" s="119"/>
      <c r="C804" s="120"/>
      <c r="D804" s="121"/>
      <c r="E804" s="129" t="str">
        <f>IF(F804="","",Formulario!B815)</f>
        <v/>
      </c>
      <c r="F804" s="11" t="str">
        <f>TRIM(Formulario!D815)</f>
        <v/>
      </c>
      <c r="G804" s="11" t="str">
        <f>TRIM(Formulario!F815)</f>
        <v/>
      </c>
      <c r="H804" s="146" t="str">
        <f>IF(N804="",TRIM(Formulario!G815),TRIM(Formulario!G815)*N804)</f>
        <v/>
      </c>
      <c r="I804" s="107" t="str">
        <f>TRIM(Formulario!I815)</f>
        <v/>
      </c>
      <c r="J804" s="11" t="str">
        <f>TRIM(Formulario!J815)</f>
        <v/>
      </c>
      <c r="K804" s="11" t="str">
        <f>TRIM(Formulario!K815)</f>
        <v/>
      </c>
      <c r="L804" s="107" t="str">
        <f>TRIM(Formulario!L815)</f>
        <v/>
      </c>
      <c r="M804" s="107" t="str">
        <f>TRIM(Formulario!M815)</f>
        <v/>
      </c>
      <c r="N804" s="11" t="str">
        <f>TRIM(Formulario!H815)</f>
        <v/>
      </c>
      <c r="P804" s="17"/>
      <c r="Q804" s="104"/>
      <c r="R804" s="104"/>
      <c r="S804" s="117"/>
      <c r="T804" s="101"/>
      <c r="U804" s="101"/>
      <c r="V804" s="101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</row>
    <row r="805" spans="1:49">
      <c r="A805" s="8" t="str">
        <f>IF(L805="","",Formulario!B816)</f>
        <v/>
      </c>
      <c r="B805" s="119"/>
      <c r="C805" s="120"/>
      <c r="D805" s="121"/>
      <c r="E805" s="129" t="str">
        <f>IF(F805="","",Formulario!B816)</f>
        <v/>
      </c>
      <c r="F805" s="11" t="str">
        <f>TRIM(Formulario!D816)</f>
        <v/>
      </c>
      <c r="G805" s="11" t="str">
        <f>TRIM(Formulario!F816)</f>
        <v/>
      </c>
      <c r="H805" s="146" t="str">
        <f>IF(N805="",TRIM(Formulario!G816),TRIM(Formulario!G816)*N805)</f>
        <v/>
      </c>
      <c r="I805" s="107" t="str">
        <f>TRIM(Formulario!I816)</f>
        <v/>
      </c>
      <c r="J805" s="11" t="str">
        <f>TRIM(Formulario!J816)</f>
        <v/>
      </c>
      <c r="K805" s="11" t="str">
        <f>TRIM(Formulario!K816)</f>
        <v/>
      </c>
      <c r="L805" s="107" t="str">
        <f>TRIM(Formulario!L816)</f>
        <v/>
      </c>
      <c r="M805" s="107" t="str">
        <f>TRIM(Formulario!M816)</f>
        <v/>
      </c>
      <c r="N805" s="11" t="str">
        <f>TRIM(Formulario!H816)</f>
        <v/>
      </c>
      <c r="P805" s="17"/>
      <c r="Q805" s="104"/>
      <c r="R805" s="104"/>
      <c r="S805" s="117"/>
      <c r="T805" s="101"/>
      <c r="U805" s="101"/>
      <c r="V805" s="101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</row>
    <row r="806" spans="1:49">
      <c r="A806" s="8" t="str">
        <f>IF(L806="","",Formulario!B817)</f>
        <v/>
      </c>
      <c r="B806" s="119"/>
      <c r="C806" s="120"/>
      <c r="D806" s="121"/>
      <c r="E806" s="129" t="str">
        <f>IF(F806="","",Formulario!B817)</f>
        <v/>
      </c>
      <c r="F806" s="11" t="str">
        <f>TRIM(Formulario!D817)</f>
        <v/>
      </c>
      <c r="G806" s="11" t="str">
        <f>TRIM(Formulario!F817)</f>
        <v/>
      </c>
      <c r="H806" s="146" t="str">
        <f>IF(N806="",TRIM(Formulario!G817),TRIM(Formulario!G817)*N806)</f>
        <v/>
      </c>
      <c r="I806" s="107" t="str">
        <f>TRIM(Formulario!I817)</f>
        <v/>
      </c>
      <c r="J806" s="11" t="str">
        <f>TRIM(Formulario!J817)</f>
        <v/>
      </c>
      <c r="K806" s="11" t="str">
        <f>TRIM(Formulario!K817)</f>
        <v/>
      </c>
      <c r="L806" s="107" t="str">
        <f>TRIM(Formulario!L817)</f>
        <v/>
      </c>
      <c r="M806" s="107" t="str">
        <f>TRIM(Formulario!M817)</f>
        <v/>
      </c>
      <c r="N806" s="11" t="str">
        <f>TRIM(Formulario!H817)</f>
        <v/>
      </c>
      <c r="P806" s="17"/>
      <c r="Q806" s="104"/>
      <c r="R806" s="104"/>
      <c r="S806" s="117"/>
      <c r="T806" s="101"/>
      <c r="U806" s="101"/>
      <c r="V806" s="101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</row>
    <row r="807" spans="1:49">
      <c r="A807" s="8" t="str">
        <f>IF(L807="","",Formulario!B818)</f>
        <v/>
      </c>
      <c r="B807" s="119"/>
      <c r="C807" s="120"/>
      <c r="D807" s="121"/>
      <c r="E807" s="129" t="str">
        <f>IF(F807="","",Formulario!B818)</f>
        <v/>
      </c>
      <c r="F807" s="11" t="str">
        <f>TRIM(Formulario!D818)</f>
        <v/>
      </c>
      <c r="G807" s="11" t="str">
        <f>TRIM(Formulario!F818)</f>
        <v/>
      </c>
      <c r="H807" s="146" t="str">
        <f>IF(N807="",TRIM(Formulario!G818),TRIM(Formulario!G818)*N807)</f>
        <v/>
      </c>
      <c r="I807" s="107" t="str">
        <f>TRIM(Formulario!I818)</f>
        <v/>
      </c>
      <c r="J807" s="11" t="str">
        <f>TRIM(Formulario!J818)</f>
        <v/>
      </c>
      <c r="K807" s="11" t="str">
        <f>TRIM(Formulario!K818)</f>
        <v/>
      </c>
      <c r="L807" s="107" t="str">
        <f>TRIM(Formulario!L818)</f>
        <v/>
      </c>
      <c r="M807" s="107" t="str">
        <f>TRIM(Formulario!M818)</f>
        <v/>
      </c>
      <c r="N807" s="11" t="str">
        <f>TRIM(Formulario!H818)</f>
        <v/>
      </c>
      <c r="P807" s="17"/>
      <c r="Q807" s="104"/>
      <c r="R807" s="104"/>
      <c r="S807" s="117"/>
      <c r="T807" s="101"/>
      <c r="U807" s="101"/>
      <c r="V807" s="101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</row>
    <row r="808" spans="1:49">
      <c r="A808" s="8" t="str">
        <f>IF(L808="","",Formulario!B819)</f>
        <v/>
      </c>
      <c r="B808" s="119"/>
      <c r="C808" s="120"/>
      <c r="D808" s="121"/>
      <c r="E808" s="129" t="str">
        <f>IF(F808="","",Formulario!B819)</f>
        <v/>
      </c>
      <c r="F808" s="11" t="str">
        <f>TRIM(Formulario!D819)</f>
        <v/>
      </c>
      <c r="G808" s="11" t="str">
        <f>TRIM(Formulario!F819)</f>
        <v/>
      </c>
      <c r="H808" s="146" t="str">
        <f>IF(N808="",TRIM(Formulario!G819),TRIM(Formulario!G819)*N808)</f>
        <v/>
      </c>
      <c r="I808" s="107" t="str">
        <f>TRIM(Formulario!I819)</f>
        <v/>
      </c>
      <c r="J808" s="11" t="str">
        <f>TRIM(Formulario!J819)</f>
        <v/>
      </c>
      <c r="K808" s="11" t="str">
        <f>TRIM(Formulario!K819)</f>
        <v/>
      </c>
      <c r="L808" s="107" t="str">
        <f>TRIM(Formulario!L819)</f>
        <v/>
      </c>
      <c r="M808" s="107" t="str">
        <f>TRIM(Formulario!M819)</f>
        <v/>
      </c>
      <c r="N808" s="11" t="str">
        <f>TRIM(Formulario!H819)</f>
        <v/>
      </c>
      <c r="P808" s="17"/>
      <c r="Q808" s="104"/>
      <c r="R808" s="104"/>
      <c r="S808" s="117"/>
      <c r="T808" s="101"/>
      <c r="U808" s="101"/>
      <c r="V808" s="101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</row>
    <row r="809" spans="1:49">
      <c r="A809" s="8" t="str">
        <f>IF(L809="","",Formulario!B820)</f>
        <v/>
      </c>
      <c r="B809" s="119"/>
      <c r="C809" s="120"/>
      <c r="D809" s="121"/>
      <c r="E809" s="129" t="str">
        <f>IF(F809="","",Formulario!B820)</f>
        <v/>
      </c>
      <c r="F809" s="11" t="str">
        <f>TRIM(Formulario!D820)</f>
        <v/>
      </c>
      <c r="G809" s="11" t="str">
        <f>TRIM(Formulario!F820)</f>
        <v/>
      </c>
      <c r="H809" s="146" t="str">
        <f>IF(N809="",TRIM(Formulario!G820),TRIM(Formulario!G820)*N809)</f>
        <v/>
      </c>
      <c r="I809" s="107" t="str">
        <f>TRIM(Formulario!I820)</f>
        <v/>
      </c>
      <c r="J809" s="11" t="str">
        <f>TRIM(Formulario!J820)</f>
        <v/>
      </c>
      <c r="K809" s="11" t="str">
        <f>TRIM(Formulario!K820)</f>
        <v/>
      </c>
      <c r="L809" s="107" t="str">
        <f>TRIM(Formulario!L820)</f>
        <v/>
      </c>
      <c r="M809" s="107" t="str">
        <f>TRIM(Formulario!M820)</f>
        <v/>
      </c>
      <c r="N809" s="11" t="str">
        <f>TRIM(Formulario!H820)</f>
        <v/>
      </c>
      <c r="P809" s="17"/>
      <c r="Q809" s="104"/>
      <c r="R809" s="104"/>
      <c r="S809" s="117"/>
      <c r="T809" s="101"/>
      <c r="U809" s="101"/>
      <c r="V809" s="101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</row>
    <row r="810" spans="1:49">
      <c r="A810" s="8" t="str">
        <f>IF(L810="","",Formulario!B821)</f>
        <v/>
      </c>
      <c r="B810" s="119"/>
      <c r="C810" s="120"/>
      <c r="D810" s="121"/>
      <c r="E810" s="129" t="str">
        <f>IF(F810="","",Formulario!B821)</f>
        <v/>
      </c>
      <c r="F810" s="11" t="str">
        <f>TRIM(Formulario!D821)</f>
        <v/>
      </c>
      <c r="G810" s="11" t="str">
        <f>TRIM(Formulario!F821)</f>
        <v/>
      </c>
      <c r="H810" s="146" t="str">
        <f>IF(N810="",TRIM(Formulario!G821),TRIM(Formulario!G821)*N810)</f>
        <v/>
      </c>
      <c r="I810" s="107" t="str">
        <f>TRIM(Formulario!I821)</f>
        <v/>
      </c>
      <c r="J810" s="11" t="str">
        <f>TRIM(Formulario!J821)</f>
        <v/>
      </c>
      <c r="K810" s="11" t="str">
        <f>TRIM(Formulario!K821)</f>
        <v/>
      </c>
      <c r="L810" s="107" t="str">
        <f>TRIM(Formulario!L821)</f>
        <v/>
      </c>
      <c r="M810" s="107" t="str">
        <f>TRIM(Formulario!M821)</f>
        <v/>
      </c>
      <c r="N810" s="11" t="str">
        <f>TRIM(Formulario!H821)</f>
        <v/>
      </c>
      <c r="P810" s="17"/>
      <c r="Q810" s="104"/>
      <c r="R810" s="104"/>
      <c r="S810" s="117"/>
      <c r="T810" s="101"/>
      <c r="U810" s="101"/>
      <c r="V810" s="101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</row>
    <row r="811" spans="1:49">
      <c r="A811" s="8" t="str">
        <f>IF(L811="","",Formulario!B822)</f>
        <v/>
      </c>
      <c r="B811" s="119"/>
      <c r="C811" s="120"/>
      <c r="D811" s="121"/>
      <c r="E811" s="129" t="str">
        <f>IF(F811="","",Formulario!B822)</f>
        <v/>
      </c>
      <c r="F811" s="11" t="str">
        <f>TRIM(Formulario!D822)</f>
        <v/>
      </c>
      <c r="G811" s="11" t="str">
        <f>TRIM(Formulario!F822)</f>
        <v/>
      </c>
      <c r="H811" s="146" t="str">
        <f>IF(N811="",TRIM(Formulario!G822),TRIM(Formulario!G822)*N811)</f>
        <v/>
      </c>
      <c r="I811" s="107" t="str">
        <f>TRIM(Formulario!I822)</f>
        <v/>
      </c>
      <c r="J811" s="11" t="str">
        <f>TRIM(Formulario!J822)</f>
        <v/>
      </c>
      <c r="K811" s="11" t="str">
        <f>TRIM(Formulario!K822)</f>
        <v/>
      </c>
      <c r="L811" s="107" t="str">
        <f>TRIM(Formulario!L822)</f>
        <v/>
      </c>
      <c r="M811" s="107" t="str">
        <f>TRIM(Formulario!M822)</f>
        <v/>
      </c>
      <c r="N811" s="11" t="str">
        <f>TRIM(Formulario!H822)</f>
        <v/>
      </c>
      <c r="P811" s="17"/>
      <c r="Q811" s="104"/>
      <c r="R811" s="104"/>
      <c r="S811" s="117"/>
      <c r="T811" s="101"/>
      <c r="U811" s="101"/>
      <c r="V811" s="101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</row>
    <row r="812" spans="1:49">
      <c r="A812" s="8" t="str">
        <f>IF(L812="","",Formulario!B823)</f>
        <v/>
      </c>
      <c r="B812" s="119"/>
      <c r="C812" s="120"/>
      <c r="D812" s="121"/>
      <c r="E812" s="129" t="str">
        <f>IF(F812="","",Formulario!B823)</f>
        <v/>
      </c>
      <c r="F812" s="11" t="str">
        <f>TRIM(Formulario!D823)</f>
        <v/>
      </c>
      <c r="G812" s="11" t="str">
        <f>TRIM(Formulario!F823)</f>
        <v/>
      </c>
      <c r="H812" s="146" t="str">
        <f>IF(N812="",TRIM(Formulario!G823),TRIM(Formulario!G823)*N812)</f>
        <v/>
      </c>
      <c r="I812" s="107" t="str">
        <f>TRIM(Formulario!I823)</f>
        <v/>
      </c>
      <c r="J812" s="11" t="str">
        <f>TRIM(Formulario!J823)</f>
        <v/>
      </c>
      <c r="K812" s="11" t="str">
        <f>TRIM(Formulario!K823)</f>
        <v/>
      </c>
      <c r="L812" s="107" t="str">
        <f>TRIM(Formulario!L823)</f>
        <v/>
      </c>
      <c r="M812" s="107" t="str">
        <f>TRIM(Formulario!M823)</f>
        <v/>
      </c>
      <c r="N812" s="11" t="str">
        <f>TRIM(Formulario!H823)</f>
        <v/>
      </c>
      <c r="P812" s="17"/>
      <c r="Q812" s="104"/>
      <c r="R812" s="104"/>
      <c r="S812" s="117"/>
      <c r="T812" s="101"/>
      <c r="U812" s="101"/>
      <c r="V812" s="101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</row>
    <row r="813" spans="1:49">
      <c r="A813" s="8" t="str">
        <f>IF(L813="","",Formulario!B824)</f>
        <v/>
      </c>
      <c r="B813" s="119"/>
      <c r="C813" s="120"/>
      <c r="D813" s="121"/>
      <c r="E813" s="129" t="str">
        <f>IF(F813="","",Formulario!B824)</f>
        <v/>
      </c>
      <c r="F813" s="11" t="str">
        <f>TRIM(Formulario!D824)</f>
        <v/>
      </c>
      <c r="G813" s="11" t="str">
        <f>TRIM(Formulario!F824)</f>
        <v/>
      </c>
      <c r="H813" s="146" t="str">
        <f>IF(N813="",TRIM(Formulario!G824),TRIM(Formulario!G824)*N813)</f>
        <v/>
      </c>
      <c r="I813" s="107" t="str">
        <f>TRIM(Formulario!I824)</f>
        <v/>
      </c>
      <c r="J813" s="11" t="str">
        <f>TRIM(Formulario!J824)</f>
        <v/>
      </c>
      <c r="K813" s="11" t="str">
        <f>TRIM(Formulario!K824)</f>
        <v/>
      </c>
      <c r="L813" s="107" t="str">
        <f>TRIM(Formulario!L824)</f>
        <v/>
      </c>
      <c r="M813" s="107" t="str">
        <f>TRIM(Formulario!M824)</f>
        <v/>
      </c>
      <c r="N813" s="11" t="str">
        <f>TRIM(Formulario!H824)</f>
        <v/>
      </c>
      <c r="P813" s="17"/>
      <c r="Q813" s="104"/>
      <c r="R813" s="104"/>
      <c r="S813" s="117"/>
      <c r="T813" s="101"/>
      <c r="U813" s="101"/>
      <c r="V813" s="101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</row>
    <row r="814" spans="1:49">
      <c r="A814" s="8" t="str">
        <f>IF(L814="","",Formulario!B825)</f>
        <v/>
      </c>
      <c r="B814" s="119"/>
      <c r="C814" s="120"/>
      <c r="D814" s="121"/>
      <c r="E814" s="129" t="str">
        <f>IF(F814="","",Formulario!B825)</f>
        <v/>
      </c>
      <c r="F814" s="11" t="str">
        <f>TRIM(Formulario!D825)</f>
        <v/>
      </c>
      <c r="G814" s="11" t="str">
        <f>TRIM(Formulario!F825)</f>
        <v/>
      </c>
      <c r="H814" s="146" t="str">
        <f>IF(N814="",TRIM(Formulario!G825),TRIM(Formulario!G825)*N814)</f>
        <v/>
      </c>
      <c r="I814" s="107" t="str">
        <f>TRIM(Formulario!I825)</f>
        <v/>
      </c>
      <c r="J814" s="11" t="str">
        <f>TRIM(Formulario!J825)</f>
        <v/>
      </c>
      <c r="K814" s="11" t="str">
        <f>TRIM(Formulario!K825)</f>
        <v/>
      </c>
      <c r="L814" s="107" t="str">
        <f>TRIM(Formulario!L825)</f>
        <v/>
      </c>
      <c r="M814" s="107" t="str">
        <f>TRIM(Formulario!M825)</f>
        <v/>
      </c>
      <c r="N814" s="11" t="str">
        <f>TRIM(Formulario!H825)</f>
        <v/>
      </c>
      <c r="P814" s="17"/>
      <c r="Q814" s="104"/>
      <c r="R814" s="104"/>
      <c r="S814" s="117"/>
      <c r="T814" s="101"/>
      <c r="U814" s="101"/>
      <c r="V814" s="101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</row>
    <row r="815" spans="1:49">
      <c r="A815" s="8" t="str">
        <f>IF(L815="","",Formulario!B826)</f>
        <v/>
      </c>
      <c r="B815" s="119"/>
      <c r="C815" s="120"/>
      <c r="D815" s="121"/>
      <c r="E815" s="129" t="str">
        <f>IF(F815="","",Formulario!B826)</f>
        <v/>
      </c>
      <c r="F815" s="11" t="str">
        <f>TRIM(Formulario!D826)</f>
        <v/>
      </c>
      <c r="G815" s="11" t="str">
        <f>TRIM(Formulario!F826)</f>
        <v/>
      </c>
      <c r="H815" s="146" t="str">
        <f>IF(N815="",TRIM(Formulario!G826),TRIM(Formulario!G826)*N815)</f>
        <v/>
      </c>
      <c r="I815" s="107" t="str">
        <f>TRIM(Formulario!I826)</f>
        <v/>
      </c>
      <c r="J815" s="11" t="str">
        <f>TRIM(Formulario!J826)</f>
        <v/>
      </c>
      <c r="K815" s="11" t="str">
        <f>TRIM(Formulario!K826)</f>
        <v/>
      </c>
      <c r="L815" s="107" t="str">
        <f>TRIM(Formulario!L826)</f>
        <v/>
      </c>
      <c r="M815" s="107" t="str">
        <f>TRIM(Formulario!M826)</f>
        <v/>
      </c>
      <c r="N815" s="11" t="str">
        <f>TRIM(Formulario!H826)</f>
        <v/>
      </c>
      <c r="P815" s="17"/>
      <c r="Q815" s="104"/>
      <c r="R815" s="104"/>
      <c r="S815" s="117"/>
      <c r="T815" s="101"/>
      <c r="U815" s="101"/>
      <c r="V815" s="101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</row>
    <row r="816" spans="1:49">
      <c r="A816" s="8" t="str">
        <f>IF(L816="","",Formulario!B827)</f>
        <v/>
      </c>
      <c r="B816" s="119"/>
      <c r="C816" s="120"/>
      <c r="D816" s="121"/>
      <c r="E816" s="129" t="str">
        <f>IF(F816="","",Formulario!B827)</f>
        <v/>
      </c>
      <c r="F816" s="11" t="str">
        <f>TRIM(Formulario!D827)</f>
        <v/>
      </c>
      <c r="G816" s="11" t="str">
        <f>TRIM(Formulario!F827)</f>
        <v/>
      </c>
      <c r="H816" s="146" t="str">
        <f>IF(N816="",TRIM(Formulario!G827),TRIM(Formulario!G827)*N816)</f>
        <v/>
      </c>
      <c r="I816" s="107" t="str">
        <f>TRIM(Formulario!I827)</f>
        <v/>
      </c>
      <c r="J816" s="11" t="str">
        <f>TRIM(Formulario!J827)</f>
        <v/>
      </c>
      <c r="K816" s="11" t="str">
        <f>TRIM(Formulario!K827)</f>
        <v/>
      </c>
      <c r="L816" s="107" t="str">
        <f>TRIM(Formulario!L827)</f>
        <v/>
      </c>
      <c r="M816" s="107" t="str">
        <f>TRIM(Formulario!M827)</f>
        <v/>
      </c>
      <c r="N816" s="11" t="str">
        <f>TRIM(Formulario!H827)</f>
        <v/>
      </c>
      <c r="P816" s="17"/>
      <c r="Q816" s="104"/>
      <c r="R816" s="104"/>
      <c r="S816" s="117"/>
      <c r="T816" s="101"/>
      <c r="U816" s="101"/>
      <c r="V816" s="101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</row>
    <row r="817" spans="1:49">
      <c r="A817" s="8" t="str">
        <f>IF(L817="","",Formulario!B828)</f>
        <v/>
      </c>
      <c r="B817" s="119"/>
      <c r="C817" s="120"/>
      <c r="D817" s="121"/>
      <c r="E817" s="129" t="str">
        <f>IF(F817="","",Formulario!B828)</f>
        <v/>
      </c>
      <c r="F817" s="11" t="str">
        <f>TRIM(Formulario!D828)</f>
        <v/>
      </c>
      <c r="G817" s="11" t="str">
        <f>TRIM(Formulario!F828)</f>
        <v/>
      </c>
      <c r="H817" s="146" t="str">
        <f>IF(N817="",TRIM(Formulario!G828),TRIM(Formulario!G828)*N817)</f>
        <v/>
      </c>
      <c r="I817" s="107" t="str">
        <f>TRIM(Formulario!I828)</f>
        <v/>
      </c>
      <c r="J817" s="11" t="str">
        <f>TRIM(Formulario!J828)</f>
        <v/>
      </c>
      <c r="K817" s="11" t="str">
        <f>TRIM(Formulario!K828)</f>
        <v/>
      </c>
      <c r="L817" s="107" t="str">
        <f>TRIM(Formulario!L828)</f>
        <v/>
      </c>
      <c r="M817" s="107" t="str">
        <f>TRIM(Formulario!M828)</f>
        <v/>
      </c>
      <c r="N817" s="11" t="str">
        <f>TRIM(Formulario!H828)</f>
        <v/>
      </c>
      <c r="P817" s="17"/>
      <c r="Q817" s="104"/>
      <c r="R817" s="104"/>
      <c r="S817" s="117"/>
      <c r="T817" s="101"/>
      <c r="U817" s="101"/>
      <c r="V817" s="101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</row>
    <row r="818" spans="1:49">
      <c r="A818" s="8" t="str">
        <f>IF(L818="","",Formulario!B829)</f>
        <v/>
      </c>
      <c r="B818" s="119"/>
      <c r="C818" s="120"/>
      <c r="D818" s="121"/>
      <c r="E818" s="129" t="str">
        <f>IF(F818="","",Formulario!B829)</f>
        <v/>
      </c>
      <c r="F818" s="11" t="str">
        <f>TRIM(Formulario!D829)</f>
        <v/>
      </c>
      <c r="G818" s="11" t="str">
        <f>TRIM(Formulario!F829)</f>
        <v/>
      </c>
      <c r="H818" s="146" t="str">
        <f>IF(N818="",TRIM(Formulario!G829),TRIM(Formulario!G829)*N818)</f>
        <v/>
      </c>
      <c r="I818" s="107" t="str">
        <f>TRIM(Formulario!I829)</f>
        <v/>
      </c>
      <c r="J818" s="11" t="str">
        <f>TRIM(Formulario!J829)</f>
        <v/>
      </c>
      <c r="K818" s="11" t="str">
        <f>TRIM(Formulario!K829)</f>
        <v/>
      </c>
      <c r="L818" s="107" t="str">
        <f>TRIM(Formulario!L829)</f>
        <v/>
      </c>
      <c r="M818" s="107" t="str">
        <f>TRIM(Formulario!M829)</f>
        <v/>
      </c>
      <c r="N818" s="11" t="str">
        <f>TRIM(Formulario!H829)</f>
        <v/>
      </c>
      <c r="P818" s="17"/>
      <c r="Q818" s="104"/>
      <c r="R818" s="104"/>
      <c r="S818" s="117"/>
      <c r="T818" s="101"/>
      <c r="U818" s="101"/>
      <c r="V818" s="101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</row>
    <row r="819" spans="1:49">
      <c r="A819" s="8" t="str">
        <f>IF(L819="","",Formulario!B830)</f>
        <v/>
      </c>
      <c r="B819" s="119"/>
      <c r="C819" s="120"/>
      <c r="D819" s="121"/>
      <c r="E819" s="129" t="str">
        <f>IF(F819="","",Formulario!B830)</f>
        <v/>
      </c>
      <c r="F819" s="11" t="str">
        <f>TRIM(Formulario!D830)</f>
        <v/>
      </c>
      <c r="G819" s="11" t="str">
        <f>TRIM(Formulario!F830)</f>
        <v/>
      </c>
      <c r="H819" s="146" t="str">
        <f>IF(N819="",TRIM(Formulario!G830),TRIM(Formulario!G830)*N819)</f>
        <v/>
      </c>
      <c r="I819" s="107" t="str">
        <f>TRIM(Formulario!I830)</f>
        <v/>
      </c>
      <c r="J819" s="11" t="str">
        <f>TRIM(Formulario!J830)</f>
        <v/>
      </c>
      <c r="K819" s="11" t="str">
        <f>TRIM(Formulario!K830)</f>
        <v/>
      </c>
      <c r="L819" s="107" t="str">
        <f>TRIM(Formulario!L830)</f>
        <v/>
      </c>
      <c r="M819" s="107" t="str">
        <f>TRIM(Formulario!M830)</f>
        <v/>
      </c>
      <c r="N819" s="11" t="str">
        <f>TRIM(Formulario!H830)</f>
        <v/>
      </c>
      <c r="P819" s="17"/>
      <c r="Q819" s="104"/>
      <c r="R819" s="104"/>
      <c r="S819" s="117"/>
      <c r="T819" s="101"/>
      <c r="U819" s="101"/>
      <c r="V819" s="101"/>
      <c r="W819" s="102"/>
      <c r="X819" s="102"/>
      <c r="Y819" s="102"/>
      <c r="Z819" s="102"/>
      <c r="AA819" s="102"/>
      <c r="AB819" s="102"/>
      <c r="AC819" s="102"/>
      <c r="AD819" s="102"/>
      <c r="AE819" s="102"/>
      <c r="AF819" s="102"/>
      <c r="AG819" s="102"/>
      <c r="AH819" s="102"/>
      <c r="AI819" s="102"/>
      <c r="AJ819" s="102"/>
      <c r="AK819" s="102"/>
      <c r="AL819" s="102"/>
      <c r="AM819" s="102"/>
      <c r="AN819" s="102"/>
      <c r="AO819" s="102"/>
      <c r="AP819" s="102"/>
      <c r="AQ819" s="102"/>
      <c r="AR819" s="102"/>
      <c r="AS819" s="102"/>
      <c r="AT819" s="102"/>
      <c r="AU819" s="102"/>
      <c r="AV819" s="102"/>
      <c r="AW819" s="102"/>
    </row>
    <row r="820" spans="1:49">
      <c r="A820" s="8" t="str">
        <f>IF(L820="","",Formulario!B831)</f>
        <v/>
      </c>
      <c r="B820" s="119"/>
      <c r="C820" s="120"/>
      <c r="D820" s="121"/>
      <c r="E820" s="129" t="str">
        <f>IF(F820="","",Formulario!B831)</f>
        <v/>
      </c>
      <c r="F820" s="11" t="str">
        <f>TRIM(Formulario!D831)</f>
        <v/>
      </c>
      <c r="G820" s="11" t="str">
        <f>TRIM(Formulario!F831)</f>
        <v/>
      </c>
      <c r="H820" s="146" t="str">
        <f>IF(N820="",TRIM(Formulario!G831),TRIM(Formulario!G831)*N820)</f>
        <v/>
      </c>
      <c r="I820" s="107" t="str">
        <f>TRIM(Formulario!I831)</f>
        <v/>
      </c>
      <c r="J820" s="11" t="str">
        <f>TRIM(Formulario!J831)</f>
        <v/>
      </c>
      <c r="K820" s="11" t="str">
        <f>TRIM(Formulario!K831)</f>
        <v/>
      </c>
      <c r="L820" s="107" t="str">
        <f>TRIM(Formulario!L831)</f>
        <v/>
      </c>
      <c r="M820" s="107" t="str">
        <f>TRIM(Formulario!M831)</f>
        <v/>
      </c>
      <c r="N820" s="11" t="str">
        <f>TRIM(Formulario!H831)</f>
        <v/>
      </c>
      <c r="P820" s="17"/>
      <c r="Q820" s="104"/>
      <c r="R820" s="104"/>
      <c r="S820" s="117"/>
      <c r="T820" s="101"/>
      <c r="U820" s="101"/>
      <c r="V820" s="101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</row>
    <row r="821" spans="1:49">
      <c r="A821" s="8" t="str">
        <f>IF(L821="","",Formulario!B832)</f>
        <v/>
      </c>
      <c r="B821" s="119"/>
      <c r="C821" s="120"/>
      <c r="D821" s="121"/>
      <c r="E821" s="129" t="str">
        <f>IF(F821="","",Formulario!B832)</f>
        <v/>
      </c>
      <c r="F821" s="11" t="str">
        <f>TRIM(Formulario!D832)</f>
        <v/>
      </c>
      <c r="G821" s="11" t="str">
        <f>TRIM(Formulario!F832)</f>
        <v/>
      </c>
      <c r="H821" s="146" t="str">
        <f>IF(N821="",TRIM(Formulario!G832),TRIM(Formulario!G832)*N821)</f>
        <v/>
      </c>
      <c r="I821" s="107" t="str">
        <f>TRIM(Formulario!I832)</f>
        <v/>
      </c>
      <c r="J821" s="11" t="str">
        <f>TRIM(Formulario!J832)</f>
        <v/>
      </c>
      <c r="K821" s="11" t="str">
        <f>TRIM(Formulario!K832)</f>
        <v/>
      </c>
      <c r="L821" s="107" t="str">
        <f>TRIM(Formulario!L832)</f>
        <v/>
      </c>
      <c r="M821" s="107" t="str">
        <f>TRIM(Formulario!M832)</f>
        <v/>
      </c>
      <c r="N821" s="11" t="str">
        <f>TRIM(Formulario!H832)</f>
        <v/>
      </c>
      <c r="P821" s="17"/>
      <c r="Q821" s="104"/>
      <c r="R821" s="104"/>
      <c r="S821" s="117"/>
      <c r="T821" s="101"/>
      <c r="U821" s="101"/>
      <c r="V821" s="101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</row>
    <row r="822" spans="1:49">
      <c r="A822" s="8" t="str">
        <f>IF(L822="","",Formulario!B833)</f>
        <v/>
      </c>
      <c r="B822" s="119"/>
      <c r="C822" s="120"/>
      <c r="D822" s="121"/>
      <c r="E822" s="129" t="str">
        <f>IF(F822="","",Formulario!B833)</f>
        <v/>
      </c>
      <c r="F822" s="11" t="str">
        <f>TRIM(Formulario!D833)</f>
        <v/>
      </c>
      <c r="G822" s="11" t="str">
        <f>TRIM(Formulario!F833)</f>
        <v/>
      </c>
      <c r="H822" s="146" t="str">
        <f>IF(N822="",TRIM(Formulario!G833),TRIM(Formulario!G833)*N822)</f>
        <v/>
      </c>
      <c r="I822" s="107" t="str">
        <f>TRIM(Formulario!I833)</f>
        <v/>
      </c>
      <c r="J822" s="11" t="str">
        <f>TRIM(Formulario!J833)</f>
        <v/>
      </c>
      <c r="K822" s="11" t="str">
        <f>TRIM(Formulario!K833)</f>
        <v/>
      </c>
      <c r="L822" s="107" t="str">
        <f>TRIM(Formulario!L833)</f>
        <v/>
      </c>
      <c r="M822" s="107" t="str">
        <f>TRIM(Formulario!M833)</f>
        <v/>
      </c>
      <c r="N822" s="11" t="str">
        <f>TRIM(Formulario!H833)</f>
        <v/>
      </c>
      <c r="P822" s="17"/>
      <c r="Q822" s="104"/>
      <c r="R822" s="104"/>
      <c r="S822" s="117"/>
      <c r="T822" s="101"/>
      <c r="U822" s="101"/>
      <c r="V822" s="101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</row>
    <row r="823" spans="1:49">
      <c r="A823" s="8" t="str">
        <f>IF(L823="","",Formulario!B834)</f>
        <v/>
      </c>
      <c r="B823" s="119"/>
      <c r="C823" s="120"/>
      <c r="D823" s="121"/>
      <c r="E823" s="129" t="str">
        <f>IF(F823="","",Formulario!B834)</f>
        <v/>
      </c>
      <c r="F823" s="11" t="str">
        <f>TRIM(Formulario!D834)</f>
        <v/>
      </c>
      <c r="G823" s="11" t="str">
        <f>TRIM(Formulario!F834)</f>
        <v/>
      </c>
      <c r="H823" s="146" t="str">
        <f>IF(N823="",TRIM(Formulario!G834),TRIM(Formulario!G834)*N823)</f>
        <v/>
      </c>
      <c r="I823" s="107" t="str">
        <f>TRIM(Formulario!I834)</f>
        <v/>
      </c>
      <c r="J823" s="11" t="str">
        <f>TRIM(Formulario!J834)</f>
        <v/>
      </c>
      <c r="K823" s="11" t="str">
        <f>TRIM(Formulario!K834)</f>
        <v/>
      </c>
      <c r="L823" s="107" t="str">
        <f>TRIM(Formulario!L834)</f>
        <v/>
      </c>
      <c r="M823" s="107" t="str">
        <f>TRIM(Formulario!M834)</f>
        <v/>
      </c>
      <c r="N823" s="11" t="str">
        <f>TRIM(Formulario!H834)</f>
        <v/>
      </c>
      <c r="P823" s="17"/>
      <c r="Q823" s="104"/>
      <c r="R823" s="104"/>
      <c r="S823" s="117"/>
      <c r="T823" s="101"/>
      <c r="U823" s="101"/>
      <c r="V823" s="101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</row>
    <row r="824" spans="1:49">
      <c r="A824" s="8" t="str">
        <f>IF(L824="","",Formulario!B835)</f>
        <v/>
      </c>
      <c r="B824" s="119"/>
      <c r="C824" s="120"/>
      <c r="D824" s="121"/>
      <c r="E824" s="129" t="str">
        <f>IF(F824="","",Formulario!B835)</f>
        <v/>
      </c>
      <c r="F824" s="11" t="str">
        <f>TRIM(Formulario!D835)</f>
        <v/>
      </c>
      <c r="G824" s="11" t="str">
        <f>TRIM(Formulario!F835)</f>
        <v/>
      </c>
      <c r="H824" s="146" t="str">
        <f>IF(N824="",TRIM(Formulario!G835),TRIM(Formulario!G835)*N824)</f>
        <v/>
      </c>
      <c r="I824" s="107" t="str">
        <f>TRIM(Formulario!I835)</f>
        <v/>
      </c>
      <c r="J824" s="11" t="str">
        <f>TRIM(Formulario!J835)</f>
        <v/>
      </c>
      <c r="K824" s="11" t="str">
        <f>TRIM(Formulario!K835)</f>
        <v/>
      </c>
      <c r="L824" s="107" t="str">
        <f>TRIM(Formulario!L835)</f>
        <v/>
      </c>
      <c r="M824" s="107" t="str">
        <f>TRIM(Formulario!M835)</f>
        <v/>
      </c>
      <c r="N824" s="11" t="str">
        <f>TRIM(Formulario!H835)</f>
        <v/>
      </c>
      <c r="P824" s="17"/>
      <c r="Q824" s="104"/>
      <c r="R824" s="104"/>
      <c r="S824" s="117"/>
      <c r="T824" s="101"/>
      <c r="U824" s="101"/>
      <c r="V824" s="101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</row>
    <row r="825" spans="1:49">
      <c r="A825" s="8" t="str">
        <f>IF(L825="","",Formulario!B836)</f>
        <v/>
      </c>
      <c r="B825" s="119"/>
      <c r="C825" s="120"/>
      <c r="D825" s="121"/>
      <c r="E825" s="129" t="str">
        <f>IF(F825="","",Formulario!B836)</f>
        <v/>
      </c>
      <c r="F825" s="11" t="str">
        <f>TRIM(Formulario!D836)</f>
        <v/>
      </c>
      <c r="G825" s="11" t="str">
        <f>TRIM(Formulario!F836)</f>
        <v/>
      </c>
      <c r="H825" s="146" t="str">
        <f>IF(N825="",TRIM(Formulario!G836),TRIM(Formulario!G836)*N825)</f>
        <v/>
      </c>
      <c r="I825" s="107" t="str">
        <f>TRIM(Formulario!I836)</f>
        <v/>
      </c>
      <c r="J825" s="11" t="str">
        <f>TRIM(Formulario!J836)</f>
        <v/>
      </c>
      <c r="K825" s="11" t="str">
        <f>TRIM(Formulario!K836)</f>
        <v/>
      </c>
      <c r="L825" s="107" t="str">
        <f>TRIM(Formulario!L836)</f>
        <v/>
      </c>
      <c r="M825" s="107" t="str">
        <f>TRIM(Formulario!M836)</f>
        <v/>
      </c>
      <c r="N825" s="11" t="str">
        <f>TRIM(Formulario!H836)</f>
        <v/>
      </c>
      <c r="P825" s="17"/>
      <c r="Q825" s="104"/>
      <c r="R825" s="104"/>
      <c r="S825" s="117"/>
      <c r="T825" s="101"/>
      <c r="U825" s="101"/>
      <c r="V825" s="101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</row>
    <row r="826" spans="1:49">
      <c r="A826" s="8" t="str">
        <f>IF(L826="","",Formulario!B837)</f>
        <v/>
      </c>
      <c r="B826" s="119"/>
      <c r="C826" s="120"/>
      <c r="D826" s="121"/>
      <c r="E826" s="129" t="str">
        <f>IF(F826="","",Formulario!B837)</f>
        <v/>
      </c>
      <c r="F826" s="11" t="str">
        <f>TRIM(Formulario!D837)</f>
        <v/>
      </c>
      <c r="G826" s="11" t="str">
        <f>TRIM(Formulario!F837)</f>
        <v/>
      </c>
      <c r="H826" s="146" t="str">
        <f>IF(N826="",TRIM(Formulario!G837),TRIM(Formulario!G837)*N826)</f>
        <v/>
      </c>
      <c r="I826" s="107" t="str">
        <f>TRIM(Formulario!I837)</f>
        <v/>
      </c>
      <c r="J826" s="11" t="str">
        <f>TRIM(Formulario!J837)</f>
        <v/>
      </c>
      <c r="K826" s="11" t="str">
        <f>TRIM(Formulario!K837)</f>
        <v/>
      </c>
      <c r="L826" s="107" t="str">
        <f>TRIM(Formulario!L837)</f>
        <v/>
      </c>
      <c r="M826" s="107" t="str">
        <f>TRIM(Formulario!M837)</f>
        <v/>
      </c>
      <c r="N826" s="11" t="str">
        <f>TRIM(Formulario!H837)</f>
        <v/>
      </c>
      <c r="P826" s="17"/>
      <c r="Q826" s="104"/>
      <c r="R826" s="104"/>
      <c r="S826" s="117"/>
      <c r="T826" s="101"/>
      <c r="U826" s="101"/>
      <c r="V826" s="101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</row>
    <row r="827" spans="1:49">
      <c r="A827" s="8" t="str">
        <f>IF(L827="","",Formulario!B838)</f>
        <v/>
      </c>
      <c r="B827" s="119"/>
      <c r="C827" s="120"/>
      <c r="D827" s="121"/>
      <c r="E827" s="129" t="str">
        <f>IF(F827="","",Formulario!B838)</f>
        <v/>
      </c>
      <c r="F827" s="11" t="str">
        <f>TRIM(Formulario!D838)</f>
        <v/>
      </c>
      <c r="G827" s="11" t="str">
        <f>TRIM(Formulario!F838)</f>
        <v/>
      </c>
      <c r="H827" s="146" t="str">
        <f>IF(N827="",TRIM(Formulario!G838),TRIM(Formulario!G838)*N827)</f>
        <v/>
      </c>
      <c r="I827" s="107" t="str">
        <f>TRIM(Formulario!I838)</f>
        <v/>
      </c>
      <c r="J827" s="11" t="str">
        <f>TRIM(Formulario!J838)</f>
        <v/>
      </c>
      <c r="K827" s="11" t="str">
        <f>TRIM(Formulario!K838)</f>
        <v/>
      </c>
      <c r="L827" s="107" t="str">
        <f>TRIM(Formulario!L838)</f>
        <v/>
      </c>
      <c r="M827" s="107" t="str">
        <f>TRIM(Formulario!M838)</f>
        <v/>
      </c>
      <c r="N827" s="11" t="str">
        <f>TRIM(Formulario!H838)</f>
        <v/>
      </c>
      <c r="P827" s="17"/>
      <c r="Q827" s="104"/>
      <c r="R827" s="104"/>
      <c r="S827" s="117"/>
      <c r="T827" s="101"/>
      <c r="U827" s="101"/>
      <c r="V827" s="101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</row>
    <row r="828" spans="1:49">
      <c r="A828" s="8" t="str">
        <f>IF(L828="","",Formulario!B839)</f>
        <v/>
      </c>
      <c r="B828" s="119"/>
      <c r="C828" s="120"/>
      <c r="D828" s="121"/>
      <c r="E828" s="129" t="str">
        <f>IF(F828="","",Formulario!B839)</f>
        <v/>
      </c>
      <c r="F828" s="11" t="str">
        <f>TRIM(Formulario!D839)</f>
        <v/>
      </c>
      <c r="G828" s="11" t="str">
        <f>TRIM(Formulario!F839)</f>
        <v/>
      </c>
      <c r="H828" s="146" t="str">
        <f>IF(N828="",TRIM(Formulario!G839),TRIM(Formulario!G839)*N828)</f>
        <v/>
      </c>
      <c r="I828" s="107" t="str">
        <f>TRIM(Formulario!I839)</f>
        <v/>
      </c>
      <c r="J828" s="11" t="str">
        <f>TRIM(Formulario!J839)</f>
        <v/>
      </c>
      <c r="K828" s="11" t="str">
        <f>TRIM(Formulario!K839)</f>
        <v/>
      </c>
      <c r="L828" s="107" t="str">
        <f>TRIM(Formulario!L839)</f>
        <v/>
      </c>
      <c r="M828" s="107" t="str">
        <f>TRIM(Formulario!M839)</f>
        <v/>
      </c>
      <c r="N828" s="11" t="str">
        <f>TRIM(Formulario!H839)</f>
        <v/>
      </c>
      <c r="P828" s="17"/>
      <c r="Q828" s="104"/>
      <c r="R828" s="104"/>
      <c r="S828" s="117"/>
      <c r="T828" s="101"/>
      <c r="U828" s="101"/>
      <c r="V828" s="101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</row>
    <row r="829" spans="1:49">
      <c r="A829" s="8" t="str">
        <f>IF(L829="","",Formulario!B840)</f>
        <v/>
      </c>
      <c r="B829" s="119"/>
      <c r="C829" s="120"/>
      <c r="D829" s="121"/>
      <c r="E829" s="129" t="str">
        <f>IF(F829="","",Formulario!B840)</f>
        <v/>
      </c>
      <c r="F829" s="11" t="str">
        <f>TRIM(Formulario!D840)</f>
        <v/>
      </c>
      <c r="G829" s="11" t="str">
        <f>TRIM(Formulario!F840)</f>
        <v/>
      </c>
      <c r="H829" s="146" t="str">
        <f>IF(N829="",TRIM(Formulario!G840),TRIM(Formulario!G840)*N829)</f>
        <v/>
      </c>
      <c r="I829" s="107" t="str">
        <f>TRIM(Formulario!I840)</f>
        <v/>
      </c>
      <c r="J829" s="11" t="str">
        <f>TRIM(Formulario!J840)</f>
        <v/>
      </c>
      <c r="K829" s="11" t="str">
        <f>TRIM(Formulario!K840)</f>
        <v/>
      </c>
      <c r="L829" s="107" t="str">
        <f>TRIM(Formulario!L840)</f>
        <v/>
      </c>
      <c r="M829" s="107" t="str">
        <f>TRIM(Formulario!M840)</f>
        <v/>
      </c>
      <c r="N829" s="11" t="str">
        <f>TRIM(Formulario!H840)</f>
        <v/>
      </c>
      <c r="P829" s="17"/>
      <c r="Q829" s="104"/>
      <c r="R829" s="104"/>
      <c r="S829" s="117"/>
      <c r="T829" s="101"/>
      <c r="U829" s="101"/>
      <c r="V829" s="101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</row>
    <row r="830" spans="1:49">
      <c r="A830" s="8" t="str">
        <f>IF(L830="","",Formulario!B841)</f>
        <v/>
      </c>
      <c r="B830" s="119"/>
      <c r="C830" s="120"/>
      <c r="D830" s="121"/>
      <c r="E830" s="129" t="str">
        <f>IF(F830="","",Formulario!B841)</f>
        <v/>
      </c>
      <c r="F830" s="11" t="str">
        <f>TRIM(Formulario!D841)</f>
        <v/>
      </c>
      <c r="G830" s="11" t="str">
        <f>TRIM(Formulario!F841)</f>
        <v/>
      </c>
      <c r="H830" s="146" t="str">
        <f>IF(N830="",TRIM(Formulario!G841),TRIM(Formulario!G841)*N830)</f>
        <v/>
      </c>
      <c r="I830" s="107" t="str">
        <f>TRIM(Formulario!I841)</f>
        <v/>
      </c>
      <c r="J830" s="11" t="str">
        <f>TRIM(Formulario!J841)</f>
        <v/>
      </c>
      <c r="K830" s="11" t="str">
        <f>TRIM(Formulario!K841)</f>
        <v/>
      </c>
      <c r="L830" s="107" t="str">
        <f>TRIM(Formulario!L841)</f>
        <v/>
      </c>
      <c r="M830" s="107" t="str">
        <f>TRIM(Formulario!M841)</f>
        <v/>
      </c>
      <c r="N830" s="11" t="str">
        <f>TRIM(Formulario!H841)</f>
        <v/>
      </c>
      <c r="P830" s="17"/>
      <c r="Q830" s="104"/>
      <c r="R830" s="104"/>
      <c r="S830" s="117"/>
      <c r="T830" s="101"/>
      <c r="U830" s="101"/>
      <c r="V830" s="101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</row>
    <row r="831" spans="1:49">
      <c r="A831" s="8" t="str">
        <f>IF(L831="","",Formulario!B842)</f>
        <v/>
      </c>
      <c r="B831" s="119"/>
      <c r="C831" s="120"/>
      <c r="D831" s="121"/>
      <c r="E831" s="129" t="str">
        <f>IF(F831="","",Formulario!B842)</f>
        <v/>
      </c>
      <c r="F831" s="11" t="str">
        <f>TRIM(Formulario!D842)</f>
        <v/>
      </c>
      <c r="G831" s="11" t="str">
        <f>TRIM(Formulario!F842)</f>
        <v/>
      </c>
      <c r="H831" s="146" t="str">
        <f>IF(N831="",TRIM(Formulario!G842),TRIM(Formulario!G842)*N831)</f>
        <v/>
      </c>
      <c r="I831" s="107" t="str">
        <f>TRIM(Formulario!I842)</f>
        <v/>
      </c>
      <c r="J831" s="11" t="str">
        <f>TRIM(Formulario!J842)</f>
        <v/>
      </c>
      <c r="K831" s="11" t="str">
        <f>TRIM(Formulario!K842)</f>
        <v/>
      </c>
      <c r="L831" s="107" t="str">
        <f>TRIM(Formulario!L842)</f>
        <v/>
      </c>
      <c r="M831" s="107" t="str">
        <f>TRIM(Formulario!M842)</f>
        <v/>
      </c>
      <c r="N831" s="11" t="str">
        <f>TRIM(Formulario!H842)</f>
        <v/>
      </c>
      <c r="P831" s="17"/>
      <c r="Q831" s="104"/>
      <c r="R831" s="104"/>
      <c r="S831" s="117"/>
      <c r="T831" s="101"/>
      <c r="U831" s="101"/>
      <c r="V831" s="101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</row>
    <row r="832" spans="1:49">
      <c r="A832" s="8" t="str">
        <f>IF(L832="","",Formulario!B843)</f>
        <v/>
      </c>
      <c r="B832" s="119"/>
      <c r="C832" s="120"/>
      <c r="D832" s="121"/>
      <c r="E832" s="129" t="str">
        <f>IF(F832="","",Formulario!B843)</f>
        <v/>
      </c>
      <c r="F832" s="11" t="str">
        <f>TRIM(Formulario!D843)</f>
        <v/>
      </c>
      <c r="G832" s="11" t="str">
        <f>TRIM(Formulario!F843)</f>
        <v/>
      </c>
      <c r="H832" s="146" t="str">
        <f>IF(N832="",TRIM(Formulario!G843),TRIM(Formulario!G843)*N832)</f>
        <v/>
      </c>
      <c r="I832" s="107" t="str">
        <f>TRIM(Formulario!I843)</f>
        <v/>
      </c>
      <c r="J832" s="11" t="str">
        <f>TRIM(Formulario!J843)</f>
        <v/>
      </c>
      <c r="K832" s="11" t="str">
        <f>TRIM(Formulario!K843)</f>
        <v/>
      </c>
      <c r="L832" s="107" t="str">
        <f>TRIM(Formulario!L843)</f>
        <v/>
      </c>
      <c r="M832" s="107" t="str">
        <f>TRIM(Formulario!M843)</f>
        <v/>
      </c>
      <c r="N832" s="11" t="str">
        <f>TRIM(Formulario!H843)</f>
        <v/>
      </c>
      <c r="P832" s="17"/>
      <c r="Q832" s="104"/>
      <c r="R832" s="104"/>
      <c r="S832" s="117"/>
      <c r="T832" s="101"/>
      <c r="U832" s="101"/>
      <c r="V832" s="101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</row>
    <row r="833" spans="1:49">
      <c r="A833" s="8" t="str">
        <f>IF(L833="","",Formulario!B844)</f>
        <v/>
      </c>
      <c r="B833" s="119"/>
      <c r="C833" s="120"/>
      <c r="D833" s="121"/>
      <c r="E833" s="129" t="str">
        <f>IF(F833="","",Formulario!B844)</f>
        <v/>
      </c>
      <c r="F833" s="11" t="str">
        <f>TRIM(Formulario!D844)</f>
        <v/>
      </c>
      <c r="G833" s="11" t="str">
        <f>TRIM(Formulario!F844)</f>
        <v/>
      </c>
      <c r="H833" s="146" t="str">
        <f>IF(N833="",TRIM(Formulario!G844),TRIM(Formulario!G844)*N833)</f>
        <v/>
      </c>
      <c r="I833" s="107" t="str">
        <f>TRIM(Formulario!I844)</f>
        <v/>
      </c>
      <c r="J833" s="11" t="str">
        <f>TRIM(Formulario!J844)</f>
        <v/>
      </c>
      <c r="K833" s="11" t="str">
        <f>TRIM(Formulario!K844)</f>
        <v/>
      </c>
      <c r="L833" s="107" t="str">
        <f>TRIM(Formulario!L844)</f>
        <v/>
      </c>
      <c r="M833" s="107" t="str">
        <f>TRIM(Formulario!M844)</f>
        <v/>
      </c>
      <c r="N833" s="11" t="str">
        <f>TRIM(Formulario!H844)</f>
        <v/>
      </c>
      <c r="P833" s="17"/>
      <c r="Q833" s="104"/>
      <c r="R833" s="104"/>
      <c r="S833" s="117"/>
      <c r="T833" s="101"/>
      <c r="U833" s="101"/>
      <c r="V833" s="101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</row>
    <row r="834" spans="1:49">
      <c r="A834" s="8" t="str">
        <f>IF(L834="","",Formulario!B845)</f>
        <v/>
      </c>
      <c r="B834" s="119"/>
      <c r="C834" s="120"/>
      <c r="D834" s="121"/>
      <c r="E834" s="129" t="str">
        <f>IF(F834="","",Formulario!B845)</f>
        <v/>
      </c>
      <c r="F834" s="11" t="str">
        <f>TRIM(Formulario!D845)</f>
        <v/>
      </c>
      <c r="G834" s="11" t="str">
        <f>TRIM(Formulario!F845)</f>
        <v/>
      </c>
      <c r="H834" s="146" t="str">
        <f>IF(N834="",TRIM(Formulario!G845),TRIM(Formulario!G845)*N834)</f>
        <v/>
      </c>
      <c r="I834" s="107" t="str">
        <f>TRIM(Formulario!I845)</f>
        <v/>
      </c>
      <c r="J834" s="11" t="str">
        <f>TRIM(Formulario!J845)</f>
        <v/>
      </c>
      <c r="K834" s="11" t="str">
        <f>TRIM(Formulario!K845)</f>
        <v/>
      </c>
      <c r="L834" s="107" t="str">
        <f>TRIM(Formulario!L845)</f>
        <v/>
      </c>
      <c r="M834" s="107" t="str">
        <f>TRIM(Formulario!M845)</f>
        <v/>
      </c>
      <c r="N834" s="11" t="str">
        <f>TRIM(Formulario!H845)</f>
        <v/>
      </c>
      <c r="P834" s="17"/>
      <c r="Q834" s="104"/>
      <c r="R834" s="104"/>
      <c r="S834" s="117"/>
      <c r="T834" s="101"/>
      <c r="U834" s="101"/>
      <c r="V834" s="101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</row>
    <row r="835" spans="1:49">
      <c r="A835" s="8" t="str">
        <f>IF(L835="","",Formulario!B846)</f>
        <v/>
      </c>
      <c r="B835" s="119"/>
      <c r="C835" s="120"/>
      <c r="D835" s="121"/>
      <c r="E835" s="129" t="str">
        <f>IF(F835="","",Formulario!B846)</f>
        <v/>
      </c>
      <c r="F835" s="11" t="str">
        <f>TRIM(Formulario!D846)</f>
        <v/>
      </c>
      <c r="G835" s="11" t="str">
        <f>TRIM(Formulario!F846)</f>
        <v/>
      </c>
      <c r="H835" s="146" t="str">
        <f>IF(N835="",TRIM(Formulario!G846),TRIM(Formulario!G846)*N835)</f>
        <v/>
      </c>
      <c r="I835" s="107" t="str">
        <f>TRIM(Formulario!I846)</f>
        <v/>
      </c>
      <c r="J835" s="11" t="str">
        <f>TRIM(Formulario!J846)</f>
        <v/>
      </c>
      <c r="K835" s="11" t="str">
        <f>TRIM(Formulario!K846)</f>
        <v/>
      </c>
      <c r="L835" s="107" t="str">
        <f>TRIM(Formulario!L846)</f>
        <v/>
      </c>
      <c r="M835" s="107" t="str">
        <f>TRIM(Formulario!M846)</f>
        <v/>
      </c>
      <c r="N835" s="11" t="str">
        <f>TRIM(Formulario!H846)</f>
        <v/>
      </c>
      <c r="P835" s="17"/>
      <c r="Q835" s="104"/>
      <c r="R835" s="104"/>
      <c r="S835" s="117"/>
      <c r="T835" s="101"/>
      <c r="U835" s="101"/>
      <c r="V835" s="101"/>
      <c r="W835" s="102"/>
      <c r="X835" s="102"/>
      <c r="Y835" s="102"/>
      <c r="Z835" s="102"/>
      <c r="AA835" s="102"/>
      <c r="AB835" s="102"/>
      <c r="AC835" s="102"/>
      <c r="AD835" s="102"/>
      <c r="AE835" s="102"/>
      <c r="AF835" s="102"/>
      <c r="AG835" s="102"/>
      <c r="AH835" s="102"/>
      <c r="AI835" s="102"/>
      <c r="AJ835" s="102"/>
      <c r="AK835" s="102"/>
      <c r="AL835" s="102"/>
      <c r="AM835" s="102"/>
      <c r="AN835" s="102"/>
      <c r="AO835" s="102"/>
      <c r="AP835" s="102"/>
      <c r="AQ835" s="102"/>
      <c r="AR835" s="102"/>
      <c r="AS835" s="102"/>
      <c r="AT835" s="102"/>
      <c r="AU835" s="102"/>
      <c r="AV835" s="102"/>
      <c r="AW835" s="102"/>
    </row>
    <row r="836" spans="1:49">
      <c r="A836" s="8" t="str">
        <f>IF(L836="","",Formulario!B847)</f>
        <v/>
      </c>
      <c r="B836" s="119"/>
      <c r="C836" s="120"/>
      <c r="D836" s="121"/>
      <c r="E836" s="129" t="str">
        <f>IF(F836="","",Formulario!B847)</f>
        <v/>
      </c>
      <c r="F836" s="11" t="str">
        <f>TRIM(Formulario!D847)</f>
        <v/>
      </c>
      <c r="G836" s="11" t="str">
        <f>TRIM(Formulario!F847)</f>
        <v/>
      </c>
      <c r="H836" s="146" t="str">
        <f>IF(N836="",TRIM(Formulario!G847),TRIM(Formulario!G847)*N836)</f>
        <v/>
      </c>
      <c r="I836" s="107" t="str">
        <f>TRIM(Formulario!I847)</f>
        <v/>
      </c>
      <c r="J836" s="11" t="str">
        <f>TRIM(Formulario!J847)</f>
        <v/>
      </c>
      <c r="K836" s="11" t="str">
        <f>TRIM(Formulario!K847)</f>
        <v/>
      </c>
      <c r="L836" s="107" t="str">
        <f>TRIM(Formulario!L847)</f>
        <v/>
      </c>
      <c r="M836" s="107" t="str">
        <f>TRIM(Formulario!M847)</f>
        <v/>
      </c>
      <c r="N836" s="11" t="str">
        <f>TRIM(Formulario!H847)</f>
        <v/>
      </c>
      <c r="P836" s="17"/>
      <c r="Q836" s="104"/>
      <c r="R836" s="104"/>
      <c r="S836" s="117"/>
      <c r="T836" s="101"/>
      <c r="U836" s="101"/>
      <c r="V836" s="101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</row>
    <row r="837" spans="1:49">
      <c r="A837" s="8" t="str">
        <f>IF(L837="","",Formulario!B848)</f>
        <v/>
      </c>
      <c r="B837" s="119"/>
      <c r="C837" s="120"/>
      <c r="D837" s="121"/>
      <c r="E837" s="129" t="str">
        <f>IF(F837="","",Formulario!B848)</f>
        <v/>
      </c>
      <c r="F837" s="11" t="str">
        <f>TRIM(Formulario!D848)</f>
        <v/>
      </c>
      <c r="G837" s="11" t="str">
        <f>TRIM(Formulario!F848)</f>
        <v/>
      </c>
      <c r="H837" s="146" t="str">
        <f>IF(N837="",TRIM(Formulario!G848),TRIM(Formulario!G848)*N837)</f>
        <v/>
      </c>
      <c r="I837" s="107" t="str">
        <f>TRIM(Formulario!I848)</f>
        <v/>
      </c>
      <c r="J837" s="11" t="str">
        <f>TRIM(Formulario!J848)</f>
        <v/>
      </c>
      <c r="K837" s="11" t="str">
        <f>TRIM(Formulario!K848)</f>
        <v/>
      </c>
      <c r="L837" s="107" t="str">
        <f>TRIM(Formulario!L848)</f>
        <v/>
      </c>
      <c r="M837" s="107" t="str">
        <f>TRIM(Formulario!M848)</f>
        <v/>
      </c>
      <c r="N837" s="11" t="str">
        <f>TRIM(Formulario!H848)</f>
        <v/>
      </c>
      <c r="P837" s="17"/>
      <c r="Q837" s="104"/>
      <c r="R837" s="104"/>
      <c r="S837" s="117"/>
      <c r="T837" s="101"/>
      <c r="U837" s="101"/>
      <c r="V837" s="101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</row>
    <row r="838" spans="1:49">
      <c r="A838" s="8" t="str">
        <f>IF(L838="","",Formulario!B849)</f>
        <v/>
      </c>
      <c r="B838" s="119"/>
      <c r="C838" s="120"/>
      <c r="D838" s="121"/>
      <c r="E838" s="129" t="str">
        <f>IF(F838="","",Formulario!B849)</f>
        <v/>
      </c>
      <c r="F838" s="11" t="str">
        <f>TRIM(Formulario!D849)</f>
        <v/>
      </c>
      <c r="G838" s="11" t="str">
        <f>TRIM(Formulario!F849)</f>
        <v/>
      </c>
      <c r="H838" s="146" t="str">
        <f>IF(N838="",TRIM(Formulario!G849),TRIM(Formulario!G849)*N838)</f>
        <v/>
      </c>
      <c r="I838" s="107" t="str">
        <f>TRIM(Formulario!I849)</f>
        <v/>
      </c>
      <c r="J838" s="11" t="str">
        <f>TRIM(Formulario!J849)</f>
        <v/>
      </c>
      <c r="K838" s="11" t="str">
        <f>TRIM(Formulario!K849)</f>
        <v/>
      </c>
      <c r="L838" s="107" t="str">
        <f>TRIM(Formulario!L849)</f>
        <v/>
      </c>
      <c r="M838" s="107" t="str">
        <f>TRIM(Formulario!M849)</f>
        <v/>
      </c>
      <c r="N838" s="11" t="str">
        <f>TRIM(Formulario!H849)</f>
        <v/>
      </c>
      <c r="P838" s="17"/>
      <c r="Q838" s="104"/>
      <c r="R838" s="104"/>
      <c r="S838" s="117"/>
      <c r="T838" s="101"/>
      <c r="U838" s="101"/>
      <c r="V838" s="101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</row>
    <row r="839" spans="1:49">
      <c r="A839" s="8" t="str">
        <f>IF(L839="","",Formulario!B850)</f>
        <v/>
      </c>
      <c r="B839" s="119"/>
      <c r="C839" s="120"/>
      <c r="D839" s="121"/>
      <c r="E839" s="129" t="str">
        <f>IF(F839="","",Formulario!B850)</f>
        <v/>
      </c>
      <c r="F839" s="11" t="str">
        <f>TRIM(Formulario!D850)</f>
        <v/>
      </c>
      <c r="G839" s="11" t="str">
        <f>TRIM(Formulario!F850)</f>
        <v/>
      </c>
      <c r="H839" s="146" t="str">
        <f>IF(N839="",TRIM(Formulario!G850),TRIM(Formulario!G850)*N839)</f>
        <v/>
      </c>
      <c r="I839" s="107" t="str">
        <f>TRIM(Formulario!I850)</f>
        <v/>
      </c>
      <c r="J839" s="11" t="str">
        <f>TRIM(Formulario!J850)</f>
        <v/>
      </c>
      <c r="K839" s="11" t="str">
        <f>TRIM(Formulario!K850)</f>
        <v/>
      </c>
      <c r="L839" s="107" t="str">
        <f>TRIM(Formulario!L850)</f>
        <v/>
      </c>
      <c r="M839" s="107" t="str">
        <f>TRIM(Formulario!M850)</f>
        <v/>
      </c>
      <c r="N839" s="11" t="str">
        <f>TRIM(Formulario!H850)</f>
        <v/>
      </c>
      <c r="P839" s="17"/>
      <c r="Q839" s="104"/>
      <c r="R839" s="104"/>
      <c r="S839" s="117"/>
      <c r="T839" s="101"/>
      <c r="U839" s="101"/>
      <c r="V839" s="101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</row>
    <row r="840" spans="1:49">
      <c r="A840" s="8" t="str">
        <f>IF(L840="","",Formulario!B851)</f>
        <v/>
      </c>
      <c r="B840" s="119"/>
      <c r="C840" s="120"/>
      <c r="D840" s="121"/>
      <c r="E840" s="129" t="str">
        <f>IF(F840="","",Formulario!B851)</f>
        <v/>
      </c>
      <c r="F840" s="11" t="str">
        <f>TRIM(Formulario!D851)</f>
        <v/>
      </c>
      <c r="G840" s="11" t="str">
        <f>TRIM(Formulario!F851)</f>
        <v/>
      </c>
      <c r="H840" s="146" t="str">
        <f>IF(N840="",TRIM(Formulario!G851),TRIM(Formulario!G851)*N840)</f>
        <v/>
      </c>
      <c r="I840" s="107" t="str">
        <f>TRIM(Formulario!I851)</f>
        <v/>
      </c>
      <c r="J840" s="11" t="str">
        <f>TRIM(Formulario!J851)</f>
        <v/>
      </c>
      <c r="K840" s="11" t="str">
        <f>TRIM(Formulario!K851)</f>
        <v/>
      </c>
      <c r="L840" s="107" t="str">
        <f>TRIM(Formulario!L851)</f>
        <v/>
      </c>
      <c r="M840" s="107" t="str">
        <f>TRIM(Formulario!M851)</f>
        <v/>
      </c>
      <c r="N840" s="11" t="str">
        <f>TRIM(Formulario!H851)</f>
        <v/>
      </c>
      <c r="P840" s="17"/>
      <c r="Q840" s="104"/>
      <c r="R840" s="104"/>
      <c r="S840" s="117"/>
      <c r="T840" s="101"/>
      <c r="U840" s="101"/>
      <c r="V840" s="101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</row>
    <row r="841" spans="1:49">
      <c r="A841" s="8" t="str">
        <f>IF(L841="","",Formulario!B852)</f>
        <v/>
      </c>
      <c r="B841" s="119"/>
      <c r="C841" s="120"/>
      <c r="D841" s="121"/>
      <c r="E841" s="129" t="str">
        <f>IF(F841="","",Formulario!B852)</f>
        <v/>
      </c>
      <c r="F841" s="11" t="str">
        <f>TRIM(Formulario!D852)</f>
        <v/>
      </c>
      <c r="G841" s="11" t="str">
        <f>TRIM(Formulario!F852)</f>
        <v/>
      </c>
      <c r="H841" s="146" t="str">
        <f>IF(N841="",TRIM(Formulario!G852),TRIM(Formulario!G852)*N841)</f>
        <v/>
      </c>
      <c r="I841" s="107" t="str">
        <f>TRIM(Formulario!I852)</f>
        <v/>
      </c>
      <c r="J841" s="11" t="str">
        <f>TRIM(Formulario!J852)</f>
        <v/>
      </c>
      <c r="K841" s="11" t="str">
        <f>TRIM(Formulario!K852)</f>
        <v/>
      </c>
      <c r="L841" s="107" t="str">
        <f>TRIM(Formulario!L852)</f>
        <v/>
      </c>
      <c r="M841" s="107" t="str">
        <f>TRIM(Formulario!M852)</f>
        <v/>
      </c>
      <c r="N841" s="11" t="str">
        <f>TRIM(Formulario!H852)</f>
        <v/>
      </c>
      <c r="P841" s="17"/>
      <c r="Q841" s="104"/>
      <c r="R841" s="104"/>
      <c r="S841" s="117"/>
      <c r="T841" s="101"/>
      <c r="U841" s="101"/>
      <c r="V841" s="101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</row>
    <row r="842" spans="1:49">
      <c r="A842" s="8" t="str">
        <f>IF(L842="","",Formulario!B853)</f>
        <v/>
      </c>
      <c r="B842" s="119"/>
      <c r="C842" s="120"/>
      <c r="D842" s="121"/>
      <c r="E842" s="129" t="str">
        <f>IF(F842="","",Formulario!B853)</f>
        <v/>
      </c>
      <c r="F842" s="11" t="str">
        <f>TRIM(Formulario!D853)</f>
        <v/>
      </c>
      <c r="G842" s="11" t="str">
        <f>TRIM(Formulario!F853)</f>
        <v/>
      </c>
      <c r="H842" s="146" t="str">
        <f>IF(N842="",TRIM(Formulario!G853),TRIM(Formulario!G853)*N842)</f>
        <v/>
      </c>
      <c r="I842" s="107" t="str">
        <f>TRIM(Formulario!I853)</f>
        <v/>
      </c>
      <c r="J842" s="11" t="str">
        <f>TRIM(Formulario!J853)</f>
        <v/>
      </c>
      <c r="K842" s="11" t="str">
        <f>TRIM(Formulario!K853)</f>
        <v/>
      </c>
      <c r="L842" s="107" t="str">
        <f>TRIM(Formulario!L853)</f>
        <v/>
      </c>
      <c r="M842" s="107" t="str">
        <f>TRIM(Formulario!M853)</f>
        <v/>
      </c>
      <c r="N842" s="11" t="str">
        <f>TRIM(Formulario!H853)</f>
        <v/>
      </c>
      <c r="P842" s="17"/>
      <c r="Q842" s="104"/>
      <c r="R842" s="104"/>
      <c r="S842" s="117"/>
      <c r="T842" s="101"/>
      <c r="U842" s="101"/>
      <c r="V842" s="101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</row>
    <row r="843" spans="1:49">
      <c r="A843" s="8" t="str">
        <f>IF(L843="","",Formulario!B854)</f>
        <v/>
      </c>
      <c r="B843" s="119"/>
      <c r="C843" s="120"/>
      <c r="D843" s="121"/>
      <c r="E843" s="129" t="str">
        <f>IF(F843="","",Formulario!B854)</f>
        <v/>
      </c>
      <c r="F843" s="11" t="str">
        <f>TRIM(Formulario!D854)</f>
        <v/>
      </c>
      <c r="G843" s="11" t="str">
        <f>TRIM(Formulario!F854)</f>
        <v/>
      </c>
      <c r="H843" s="146" t="str">
        <f>IF(N843="",TRIM(Formulario!G854),TRIM(Formulario!G854)*N843)</f>
        <v/>
      </c>
      <c r="I843" s="107" t="str">
        <f>TRIM(Formulario!I854)</f>
        <v/>
      </c>
      <c r="J843" s="11" t="str">
        <f>TRIM(Formulario!J854)</f>
        <v/>
      </c>
      <c r="K843" s="11" t="str">
        <f>TRIM(Formulario!K854)</f>
        <v/>
      </c>
      <c r="L843" s="107" t="str">
        <f>TRIM(Formulario!L854)</f>
        <v/>
      </c>
      <c r="M843" s="107" t="str">
        <f>TRIM(Formulario!M854)</f>
        <v/>
      </c>
      <c r="N843" s="11" t="str">
        <f>TRIM(Formulario!H854)</f>
        <v/>
      </c>
      <c r="P843" s="17"/>
      <c r="Q843" s="104"/>
      <c r="R843" s="104"/>
      <c r="S843" s="117"/>
      <c r="T843" s="101"/>
      <c r="U843" s="101"/>
      <c r="V843" s="101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</row>
    <row r="844" spans="1:49">
      <c r="A844" s="8" t="str">
        <f>IF(L844="","",Formulario!B855)</f>
        <v/>
      </c>
      <c r="B844" s="119"/>
      <c r="C844" s="120"/>
      <c r="D844" s="121"/>
      <c r="E844" s="129" t="str">
        <f>IF(F844="","",Formulario!B855)</f>
        <v/>
      </c>
      <c r="F844" s="11" t="str">
        <f>TRIM(Formulario!D855)</f>
        <v/>
      </c>
      <c r="G844" s="11" t="str">
        <f>TRIM(Formulario!F855)</f>
        <v/>
      </c>
      <c r="H844" s="146" t="str">
        <f>IF(N844="",TRIM(Formulario!G855),TRIM(Formulario!G855)*N844)</f>
        <v/>
      </c>
      <c r="I844" s="107" t="str">
        <f>TRIM(Formulario!I855)</f>
        <v/>
      </c>
      <c r="J844" s="11" t="str">
        <f>TRIM(Formulario!J855)</f>
        <v/>
      </c>
      <c r="K844" s="11" t="str">
        <f>TRIM(Formulario!K855)</f>
        <v/>
      </c>
      <c r="L844" s="107" t="str">
        <f>TRIM(Formulario!L855)</f>
        <v/>
      </c>
      <c r="M844" s="107" t="str">
        <f>TRIM(Formulario!M855)</f>
        <v/>
      </c>
      <c r="N844" s="11" t="str">
        <f>TRIM(Formulario!H855)</f>
        <v/>
      </c>
      <c r="P844" s="17"/>
      <c r="Q844" s="104"/>
      <c r="R844" s="104"/>
      <c r="S844" s="117"/>
      <c r="T844" s="101"/>
      <c r="U844" s="101"/>
      <c r="V844" s="101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</row>
    <row r="845" spans="1:49">
      <c r="A845" s="8" t="str">
        <f>IF(L845="","",Formulario!B856)</f>
        <v/>
      </c>
      <c r="B845" s="119"/>
      <c r="C845" s="120"/>
      <c r="D845" s="121"/>
      <c r="E845" s="129" t="str">
        <f>IF(F845="","",Formulario!B856)</f>
        <v/>
      </c>
      <c r="F845" s="11" t="str">
        <f>TRIM(Formulario!D856)</f>
        <v/>
      </c>
      <c r="G845" s="11" t="str">
        <f>TRIM(Formulario!F856)</f>
        <v/>
      </c>
      <c r="H845" s="146" t="str">
        <f>IF(N845="",TRIM(Formulario!G856),TRIM(Formulario!G856)*N845)</f>
        <v/>
      </c>
      <c r="I845" s="107" t="str">
        <f>TRIM(Formulario!I856)</f>
        <v/>
      </c>
      <c r="J845" s="11" t="str">
        <f>TRIM(Formulario!J856)</f>
        <v/>
      </c>
      <c r="K845" s="11" t="str">
        <f>TRIM(Formulario!K856)</f>
        <v/>
      </c>
      <c r="L845" s="107" t="str">
        <f>TRIM(Formulario!L856)</f>
        <v/>
      </c>
      <c r="M845" s="107" t="str">
        <f>TRIM(Formulario!M856)</f>
        <v/>
      </c>
      <c r="N845" s="11" t="str">
        <f>TRIM(Formulario!H856)</f>
        <v/>
      </c>
      <c r="P845" s="17"/>
      <c r="Q845" s="104"/>
      <c r="R845" s="104"/>
      <c r="S845" s="117"/>
      <c r="T845" s="101"/>
      <c r="U845" s="101"/>
      <c r="V845" s="101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</row>
    <row r="846" spans="1:49">
      <c r="A846" s="8" t="str">
        <f>IF(L846="","",Formulario!B857)</f>
        <v/>
      </c>
      <c r="B846" s="119"/>
      <c r="C846" s="120"/>
      <c r="D846" s="121"/>
      <c r="E846" s="129" t="str">
        <f>IF(F846="","",Formulario!B857)</f>
        <v/>
      </c>
      <c r="F846" s="11" t="str">
        <f>TRIM(Formulario!D857)</f>
        <v/>
      </c>
      <c r="G846" s="11" t="str">
        <f>TRIM(Formulario!F857)</f>
        <v/>
      </c>
      <c r="H846" s="146" t="str">
        <f>IF(N846="",TRIM(Formulario!G857),TRIM(Formulario!G857)*N846)</f>
        <v/>
      </c>
      <c r="I846" s="107" t="str">
        <f>TRIM(Formulario!I857)</f>
        <v/>
      </c>
      <c r="J846" s="11" t="str">
        <f>TRIM(Formulario!J857)</f>
        <v/>
      </c>
      <c r="K846" s="11" t="str">
        <f>TRIM(Formulario!K857)</f>
        <v/>
      </c>
      <c r="L846" s="107" t="str">
        <f>TRIM(Formulario!L857)</f>
        <v/>
      </c>
      <c r="M846" s="107" t="str">
        <f>TRIM(Formulario!M857)</f>
        <v/>
      </c>
      <c r="N846" s="11" t="str">
        <f>TRIM(Formulario!H857)</f>
        <v/>
      </c>
      <c r="P846" s="17"/>
      <c r="Q846" s="104"/>
      <c r="R846" s="104"/>
      <c r="S846" s="117"/>
      <c r="T846" s="101"/>
      <c r="U846" s="101"/>
      <c r="V846" s="101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</row>
    <row r="847" spans="1:49">
      <c r="A847" s="8" t="str">
        <f>IF(L847="","",Formulario!B858)</f>
        <v/>
      </c>
      <c r="B847" s="119"/>
      <c r="C847" s="120"/>
      <c r="D847" s="121"/>
      <c r="E847" s="129" t="str">
        <f>IF(F847="","",Formulario!B858)</f>
        <v/>
      </c>
      <c r="F847" s="11" t="str">
        <f>TRIM(Formulario!D858)</f>
        <v/>
      </c>
      <c r="G847" s="11" t="str">
        <f>TRIM(Formulario!F858)</f>
        <v/>
      </c>
      <c r="H847" s="146" t="str">
        <f>IF(N847="",TRIM(Formulario!G858),TRIM(Formulario!G858)*N847)</f>
        <v/>
      </c>
      <c r="I847" s="107" t="str">
        <f>TRIM(Formulario!I858)</f>
        <v/>
      </c>
      <c r="J847" s="11" t="str">
        <f>TRIM(Formulario!J858)</f>
        <v/>
      </c>
      <c r="K847" s="11" t="str">
        <f>TRIM(Formulario!K858)</f>
        <v/>
      </c>
      <c r="L847" s="107" t="str">
        <f>TRIM(Formulario!L858)</f>
        <v/>
      </c>
      <c r="M847" s="107" t="str">
        <f>TRIM(Formulario!M858)</f>
        <v/>
      </c>
      <c r="N847" s="11" t="str">
        <f>TRIM(Formulario!H858)</f>
        <v/>
      </c>
      <c r="P847" s="17"/>
      <c r="Q847" s="104"/>
      <c r="R847" s="104"/>
      <c r="S847" s="117"/>
      <c r="T847" s="101"/>
      <c r="U847" s="101"/>
      <c r="V847" s="101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</row>
    <row r="848" spans="1:49">
      <c r="A848" s="8" t="str">
        <f>IF(L848="","",Formulario!B859)</f>
        <v/>
      </c>
      <c r="B848" s="119"/>
      <c r="C848" s="120"/>
      <c r="D848" s="121"/>
      <c r="E848" s="129" t="str">
        <f>IF(F848="","",Formulario!B859)</f>
        <v/>
      </c>
      <c r="F848" s="11" t="str">
        <f>TRIM(Formulario!D859)</f>
        <v/>
      </c>
      <c r="G848" s="11" t="str">
        <f>TRIM(Formulario!F859)</f>
        <v/>
      </c>
      <c r="H848" s="146" t="str">
        <f>IF(N848="",TRIM(Formulario!G859),TRIM(Formulario!G859)*N848)</f>
        <v/>
      </c>
      <c r="I848" s="107" t="str">
        <f>TRIM(Formulario!I859)</f>
        <v/>
      </c>
      <c r="J848" s="11" t="str">
        <f>TRIM(Formulario!J859)</f>
        <v/>
      </c>
      <c r="K848" s="11" t="str">
        <f>TRIM(Formulario!K859)</f>
        <v/>
      </c>
      <c r="L848" s="107" t="str">
        <f>TRIM(Formulario!L859)</f>
        <v/>
      </c>
      <c r="M848" s="107" t="str">
        <f>TRIM(Formulario!M859)</f>
        <v/>
      </c>
      <c r="N848" s="11" t="str">
        <f>TRIM(Formulario!H859)</f>
        <v/>
      </c>
      <c r="P848" s="17"/>
      <c r="Q848" s="104"/>
      <c r="R848" s="104"/>
      <c r="S848" s="117"/>
      <c r="T848" s="101"/>
      <c r="U848" s="101"/>
      <c r="V848" s="101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</row>
    <row r="849" spans="1:49">
      <c r="A849" s="8" t="str">
        <f>IF(L849="","",Formulario!B860)</f>
        <v/>
      </c>
      <c r="B849" s="119"/>
      <c r="C849" s="120"/>
      <c r="D849" s="121"/>
      <c r="E849" s="129" t="str">
        <f>IF(F849="","",Formulario!B860)</f>
        <v/>
      </c>
      <c r="F849" s="11" t="str">
        <f>TRIM(Formulario!D860)</f>
        <v/>
      </c>
      <c r="G849" s="11" t="str">
        <f>TRIM(Formulario!F860)</f>
        <v/>
      </c>
      <c r="H849" s="146" t="str">
        <f>IF(N849="",TRIM(Formulario!G860),TRIM(Formulario!G860)*N849)</f>
        <v/>
      </c>
      <c r="I849" s="107" t="str">
        <f>TRIM(Formulario!I860)</f>
        <v/>
      </c>
      <c r="J849" s="11" t="str">
        <f>TRIM(Formulario!J860)</f>
        <v/>
      </c>
      <c r="K849" s="11" t="str">
        <f>TRIM(Formulario!K860)</f>
        <v/>
      </c>
      <c r="L849" s="107" t="str">
        <f>TRIM(Formulario!L860)</f>
        <v/>
      </c>
      <c r="M849" s="107" t="str">
        <f>TRIM(Formulario!M860)</f>
        <v/>
      </c>
      <c r="N849" s="11" t="str">
        <f>TRIM(Formulario!H860)</f>
        <v/>
      </c>
      <c r="P849" s="17"/>
      <c r="Q849" s="104"/>
      <c r="R849" s="104"/>
      <c r="S849" s="117"/>
      <c r="T849" s="101"/>
      <c r="U849" s="101"/>
      <c r="V849" s="101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</row>
    <row r="850" spans="1:49">
      <c r="A850" s="8" t="str">
        <f>IF(L850="","",Formulario!B861)</f>
        <v/>
      </c>
      <c r="B850" s="119"/>
      <c r="C850" s="120"/>
      <c r="D850" s="121"/>
      <c r="E850" s="129" t="str">
        <f>IF(F850="","",Formulario!B861)</f>
        <v/>
      </c>
      <c r="F850" s="11" t="str">
        <f>TRIM(Formulario!D861)</f>
        <v/>
      </c>
      <c r="G850" s="11" t="str">
        <f>TRIM(Formulario!F861)</f>
        <v/>
      </c>
      <c r="H850" s="146" t="str">
        <f>IF(N850="",TRIM(Formulario!G861),TRIM(Formulario!G861)*N850)</f>
        <v/>
      </c>
      <c r="I850" s="107" t="str">
        <f>TRIM(Formulario!I861)</f>
        <v/>
      </c>
      <c r="J850" s="11" t="str">
        <f>TRIM(Formulario!J861)</f>
        <v/>
      </c>
      <c r="K850" s="11" t="str">
        <f>TRIM(Formulario!K861)</f>
        <v/>
      </c>
      <c r="L850" s="107" t="str">
        <f>TRIM(Formulario!L861)</f>
        <v/>
      </c>
      <c r="M850" s="107" t="str">
        <f>TRIM(Formulario!M861)</f>
        <v/>
      </c>
      <c r="N850" s="11" t="str">
        <f>TRIM(Formulario!H861)</f>
        <v/>
      </c>
      <c r="P850" s="17"/>
      <c r="Q850" s="104"/>
      <c r="R850" s="104"/>
      <c r="S850" s="117"/>
      <c r="T850" s="101"/>
      <c r="U850" s="101"/>
      <c r="V850" s="101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</row>
    <row r="851" spans="1:49">
      <c r="A851" s="8" t="str">
        <f>IF(L851="","",Formulario!B862)</f>
        <v/>
      </c>
      <c r="B851" s="119"/>
      <c r="C851" s="120"/>
      <c r="D851" s="121"/>
      <c r="E851" s="129" t="str">
        <f>IF(F851="","",Formulario!B862)</f>
        <v/>
      </c>
      <c r="F851" s="11" t="str">
        <f>TRIM(Formulario!D862)</f>
        <v/>
      </c>
      <c r="G851" s="11" t="str">
        <f>TRIM(Formulario!F862)</f>
        <v/>
      </c>
      <c r="H851" s="146" t="str">
        <f>IF(N851="",TRIM(Formulario!G862),TRIM(Formulario!G862)*N851)</f>
        <v/>
      </c>
      <c r="I851" s="107" t="str">
        <f>TRIM(Formulario!I862)</f>
        <v/>
      </c>
      <c r="J851" s="11" t="str">
        <f>TRIM(Formulario!J862)</f>
        <v/>
      </c>
      <c r="K851" s="11" t="str">
        <f>TRIM(Formulario!K862)</f>
        <v/>
      </c>
      <c r="L851" s="107" t="str">
        <f>TRIM(Formulario!L862)</f>
        <v/>
      </c>
      <c r="M851" s="107" t="str">
        <f>TRIM(Formulario!M862)</f>
        <v/>
      </c>
      <c r="N851" s="11" t="str">
        <f>TRIM(Formulario!H862)</f>
        <v/>
      </c>
      <c r="P851" s="17"/>
      <c r="Q851" s="104"/>
      <c r="R851" s="104"/>
      <c r="S851" s="117"/>
      <c r="T851" s="101"/>
      <c r="U851" s="101"/>
      <c r="V851" s="101"/>
      <c r="W851" s="102"/>
      <c r="X851" s="102"/>
      <c r="Y851" s="102"/>
      <c r="Z851" s="102"/>
      <c r="AA851" s="102"/>
      <c r="AB851" s="102"/>
      <c r="AC851" s="102"/>
      <c r="AD851" s="102"/>
      <c r="AE851" s="102"/>
      <c r="AF851" s="102"/>
      <c r="AG851" s="102"/>
      <c r="AH851" s="102"/>
      <c r="AI851" s="102"/>
      <c r="AJ851" s="102"/>
      <c r="AK851" s="102"/>
      <c r="AL851" s="102"/>
      <c r="AM851" s="102"/>
      <c r="AN851" s="102"/>
      <c r="AO851" s="102"/>
      <c r="AP851" s="102"/>
      <c r="AQ851" s="102"/>
      <c r="AR851" s="102"/>
      <c r="AS851" s="102"/>
      <c r="AT851" s="102"/>
      <c r="AU851" s="102"/>
      <c r="AV851" s="102"/>
      <c r="AW851" s="102"/>
    </row>
    <row r="852" spans="1:49">
      <c r="A852" s="8" t="str">
        <f>IF(L852="","",Formulario!B863)</f>
        <v/>
      </c>
      <c r="B852" s="119"/>
      <c r="C852" s="120"/>
      <c r="D852" s="121"/>
      <c r="E852" s="129" t="str">
        <f>IF(F852="","",Formulario!B863)</f>
        <v/>
      </c>
      <c r="F852" s="11" t="str">
        <f>TRIM(Formulario!D863)</f>
        <v/>
      </c>
      <c r="G852" s="11" t="str">
        <f>TRIM(Formulario!F863)</f>
        <v/>
      </c>
      <c r="H852" s="146" t="str">
        <f>IF(N852="",TRIM(Formulario!G863),TRIM(Formulario!G863)*N852)</f>
        <v/>
      </c>
      <c r="I852" s="107" t="str">
        <f>TRIM(Formulario!I863)</f>
        <v/>
      </c>
      <c r="J852" s="11" t="str">
        <f>TRIM(Formulario!J863)</f>
        <v/>
      </c>
      <c r="K852" s="11" t="str">
        <f>TRIM(Formulario!K863)</f>
        <v/>
      </c>
      <c r="L852" s="107" t="str">
        <f>TRIM(Formulario!L863)</f>
        <v/>
      </c>
      <c r="M852" s="107" t="str">
        <f>TRIM(Formulario!M863)</f>
        <v/>
      </c>
      <c r="N852" s="11" t="str">
        <f>TRIM(Formulario!H863)</f>
        <v/>
      </c>
      <c r="P852" s="17"/>
      <c r="Q852" s="104"/>
      <c r="R852" s="104"/>
      <c r="S852" s="117"/>
      <c r="T852" s="101"/>
      <c r="U852" s="101"/>
      <c r="V852" s="101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</row>
    <row r="853" spans="1:49">
      <c r="A853" s="8" t="str">
        <f>IF(L853="","",Formulario!B864)</f>
        <v/>
      </c>
      <c r="B853" s="119"/>
      <c r="C853" s="120"/>
      <c r="D853" s="121"/>
      <c r="E853" s="129" t="str">
        <f>IF(F853="","",Formulario!B864)</f>
        <v/>
      </c>
      <c r="F853" s="11" t="str">
        <f>TRIM(Formulario!D864)</f>
        <v/>
      </c>
      <c r="G853" s="11" t="str">
        <f>TRIM(Formulario!F864)</f>
        <v/>
      </c>
      <c r="H853" s="146" t="str">
        <f>IF(N853="",TRIM(Formulario!G864),TRIM(Formulario!G864)*N853)</f>
        <v/>
      </c>
      <c r="I853" s="107" t="str">
        <f>TRIM(Formulario!I864)</f>
        <v/>
      </c>
      <c r="J853" s="11" t="str">
        <f>TRIM(Formulario!J864)</f>
        <v/>
      </c>
      <c r="K853" s="11" t="str">
        <f>TRIM(Formulario!K864)</f>
        <v/>
      </c>
      <c r="L853" s="107" t="str">
        <f>TRIM(Formulario!L864)</f>
        <v/>
      </c>
      <c r="M853" s="107" t="str">
        <f>TRIM(Formulario!M864)</f>
        <v/>
      </c>
      <c r="N853" s="11" t="str">
        <f>TRIM(Formulario!H864)</f>
        <v/>
      </c>
      <c r="P853" s="17"/>
      <c r="Q853" s="104"/>
      <c r="R853" s="104"/>
      <c r="S853" s="117"/>
      <c r="T853" s="101"/>
      <c r="U853" s="101"/>
      <c r="V853" s="101"/>
      <c r="W853" s="102"/>
      <c r="X853" s="102"/>
      <c r="Y853" s="102"/>
      <c r="Z853" s="102"/>
      <c r="AA853" s="102"/>
      <c r="AB853" s="102"/>
      <c r="AC853" s="102"/>
      <c r="AD853" s="102"/>
      <c r="AE853" s="102"/>
      <c r="AF853" s="102"/>
      <c r="AG853" s="102"/>
      <c r="AH853" s="102"/>
      <c r="AI853" s="102"/>
      <c r="AJ853" s="102"/>
      <c r="AK853" s="102"/>
      <c r="AL853" s="102"/>
      <c r="AM853" s="102"/>
      <c r="AN853" s="102"/>
      <c r="AO853" s="102"/>
      <c r="AP853" s="102"/>
      <c r="AQ853" s="102"/>
      <c r="AR853" s="102"/>
      <c r="AS853" s="102"/>
      <c r="AT853" s="102"/>
      <c r="AU853" s="102"/>
      <c r="AV853" s="102"/>
      <c r="AW853" s="102"/>
    </row>
    <row r="854" spans="1:49">
      <c r="A854" s="8" t="str">
        <f>IF(L854="","",Formulario!B865)</f>
        <v/>
      </c>
      <c r="B854" s="119"/>
      <c r="C854" s="120"/>
      <c r="D854" s="121"/>
      <c r="E854" s="129" t="str">
        <f>IF(F854="","",Formulario!B865)</f>
        <v/>
      </c>
      <c r="F854" s="11" t="str">
        <f>TRIM(Formulario!D865)</f>
        <v/>
      </c>
      <c r="G854" s="11" t="str">
        <f>TRIM(Formulario!F865)</f>
        <v/>
      </c>
      <c r="H854" s="146" t="str">
        <f>IF(N854="",TRIM(Formulario!G865),TRIM(Formulario!G865)*N854)</f>
        <v/>
      </c>
      <c r="I854" s="107" t="str">
        <f>TRIM(Formulario!I865)</f>
        <v/>
      </c>
      <c r="J854" s="11" t="str">
        <f>TRIM(Formulario!J865)</f>
        <v/>
      </c>
      <c r="K854" s="11" t="str">
        <f>TRIM(Formulario!K865)</f>
        <v/>
      </c>
      <c r="L854" s="107" t="str">
        <f>TRIM(Formulario!L865)</f>
        <v/>
      </c>
      <c r="M854" s="107" t="str">
        <f>TRIM(Formulario!M865)</f>
        <v/>
      </c>
      <c r="N854" s="11" t="str">
        <f>TRIM(Formulario!H865)</f>
        <v/>
      </c>
      <c r="P854" s="17"/>
      <c r="Q854" s="104"/>
      <c r="R854" s="104"/>
      <c r="S854" s="117"/>
      <c r="T854" s="101"/>
      <c r="U854" s="101"/>
      <c r="V854" s="101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</row>
    <row r="855" spans="1:49">
      <c r="A855" s="8" t="str">
        <f>IF(L855="","",Formulario!B866)</f>
        <v/>
      </c>
      <c r="B855" s="119"/>
      <c r="C855" s="120"/>
      <c r="D855" s="121"/>
      <c r="E855" s="129" t="str">
        <f>IF(F855="","",Formulario!B866)</f>
        <v/>
      </c>
      <c r="F855" s="11" t="str">
        <f>TRIM(Formulario!D866)</f>
        <v/>
      </c>
      <c r="G855" s="11" t="str">
        <f>TRIM(Formulario!F866)</f>
        <v/>
      </c>
      <c r="H855" s="146" t="str">
        <f>IF(N855="",TRIM(Formulario!G866),TRIM(Formulario!G866)*N855)</f>
        <v/>
      </c>
      <c r="I855" s="107" t="str">
        <f>TRIM(Formulario!I866)</f>
        <v/>
      </c>
      <c r="J855" s="11" t="str">
        <f>TRIM(Formulario!J866)</f>
        <v/>
      </c>
      <c r="K855" s="11" t="str">
        <f>TRIM(Formulario!K866)</f>
        <v/>
      </c>
      <c r="L855" s="107" t="str">
        <f>TRIM(Formulario!L866)</f>
        <v/>
      </c>
      <c r="M855" s="107" t="str">
        <f>TRIM(Formulario!M866)</f>
        <v/>
      </c>
      <c r="N855" s="11" t="str">
        <f>TRIM(Formulario!H866)</f>
        <v/>
      </c>
      <c r="P855" s="17"/>
      <c r="Q855" s="104"/>
      <c r="R855" s="104"/>
      <c r="S855" s="117"/>
      <c r="T855" s="101"/>
      <c r="U855" s="101"/>
      <c r="V855" s="101"/>
      <c r="W855" s="102"/>
      <c r="X855" s="102"/>
      <c r="Y855" s="102"/>
      <c r="Z855" s="102"/>
      <c r="AA855" s="102"/>
      <c r="AB855" s="102"/>
      <c r="AC855" s="102"/>
      <c r="AD855" s="102"/>
      <c r="AE855" s="102"/>
      <c r="AF855" s="102"/>
      <c r="AG855" s="102"/>
      <c r="AH855" s="102"/>
      <c r="AI855" s="102"/>
      <c r="AJ855" s="102"/>
      <c r="AK855" s="102"/>
      <c r="AL855" s="102"/>
      <c r="AM855" s="102"/>
      <c r="AN855" s="102"/>
      <c r="AO855" s="102"/>
      <c r="AP855" s="102"/>
      <c r="AQ855" s="102"/>
      <c r="AR855" s="102"/>
      <c r="AS855" s="102"/>
      <c r="AT855" s="102"/>
      <c r="AU855" s="102"/>
      <c r="AV855" s="102"/>
      <c r="AW855" s="102"/>
    </row>
    <row r="856" spans="1:49">
      <c r="A856" s="8" t="str">
        <f>IF(L856="","",Formulario!B867)</f>
        <v/>
      </c>
      <c r="B856" s="119"/>
      <c r="C856" s="120"/>
      <c r="D856" s="121"/>
      <c r="E856" s="129" t="str">
        <f>IF(F856="","",Formulario!B867)</f>
        <v/>
      </c>
      <c r="F856" s="11" t="str">
        <f>TRIM(Formulario!D867)</f>
        <v/>
      </c>
      <c r="G856" s="11" t="str">
        <f>TRIM(Formulario!F867)</f>
        <v/>
      </c>
      <c r="H856" s="146" t="str">
        <f>IF(N856="",TRIM(Formulario!G867),TRIM(Formulario!G867)*N856)</f>
        <v/>
      </c>
      <c r="I856" s="107" t="str">
        <f>TRIM(Formulario!I867)</f>
        <v/>
      </c>
      <c r="J856" s="11" t="str">
        <f>TRIM(Formulario!J867)</f>
        <v/>
      </c>
      <c r="K856" s="11" t="str">
        <f>TRIM(Formulario!K867)</f>
        <v/>
      </c>
      <c r="L856" s="107" t="str">
        <f>TRIM(Formulario!L867)</f>
        <v/>
      </c>
      <c r="M856" s="107" t="str">
        <f>TRIM(Formulario!M867)</f>
        <v/>
      </c>
      <c r="N856" s="11" t="str">
        <f>TRIM(Formulario!H867)</f>
        <v/>
      </c>
      <c r="P856" s="17"/>
      <c r="Q856" s="104"/>
      <c r="R856" s="104"/>
      <c r="S856" s="117"/>
      <c r="T856" s="101"/>
      <c r="U856" s="101"/>
      <c r="V856" s="101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</row>
    <row r="857" spans="1:49">
      <c r="A857" s="8" t="str">
        <f>IF(L857="","",Formulario!B868)</f>
        <v/>
      </c>
      <c r="B857" s="119"/>
      <c r="C857" s="120"/>
      <c r="D857" s="121"/>
      <c r="E857" s="129" t="str">
        <f>IF(F857="","",Formulario!B868)</f>
        <v/>
      </c>
      <c r="F857" s="11" t="str">
        <f>TRIM(Formulario!D868)</f>
        <v/>
      </c>
      <c r="G857" s="11" t="str">
        <f>TRIM(Formulario!F868)</f>
        <v/>
      </c>
      <c r="H857" s="146" t="str">
        <f>IF(N857="",TRIM(Formulario!G868),TRIM(Formulario!G868)*N857)</f>
        <v/>
      </c>
      <c r="I857" s="107" t="str">
        <f>TRIM(Formulario!I868)</f>
        <v/>
      </c>
      <c r="J857" s="11" t="str">
        <f>TRIM(Formulario!J868)</f>
        <v/>
      </c>
      <c r="K857" s="11" t="str">
        <f>TRIM(Formulario!K868)</f>
        <v/>
      </c>
      <c r="L857" s="107" t="str">
        <f>TRIM(Formulario!L868)</f>
        <v/>
      </c>
      <c r="M857" s="107" t="str">
        <f>TRIM(Formulario!M868)</f>
        <v/>
      </c>
      <c r="N857" s="11" t="str">
        <f>TRIM(Formulario!H868)</f>
        <v/>
      </c>
      <c r="P857" s="17"/>
      <c r="Q857" s="104"/>
      <c r="R857" s="104"/>
      <c r="S857" s="117"/>
      <c r="T857" s="101"/>
      <c r="U857" s="101"/>
      <c r="V857" s="101"/>
      <c r="W857" s="102"/>
      <c r="X857" s="102"/>
      <c r="Y857" s="102"/>
      <c r="Z857" s="102"/>
      <c r="AA857" s="102"/>
      <c r="AB857" s="102"/>
      <c r="AC857" s="102"/>
      <c r="AD857" s="102"/>
      <c r="AE857" s="102"/>
      <c r="AF857" s="102"/>
      <c r="AG857" s="102"/>
      <c r="AH857" s="102"/>
      <c r="AI857" s="102"/>
      <c r="AJ857" s="102"/>
      <c r="AK857" s="102"/>
      <c r="AL857" s="102"/>
      <c r="AM857" s="102"/>
      <c r="AN857" s="102"/>
      <c r="AO857" s="102"/>
      <c r="AP857" s="102"/>
      <c r="AQ857" s="102"/>
      <c r="AR857" s="102"/>
      <c r="AS857" s="102"/>
      <c r="AT857" s="102"/>
      <c r="AU857" s="102"/>
      <c r="AV857" s="102"/>
      <c r="AW857" s="102"/>
    </row>
    <row r="858" spans="1:49">
      <c r="A858" s="8" t="str">
        <f>IF(L858="","",Formulario!B869)</f>
        <v/>
      </c>
      <c r="B858" s="119"/>
      <c r="C858" s="120"/>
      <c r="D858" s="121"/>
      <c r="E858" s="129" t="str">
        <f>IF(F858="","",Formulario!B869)</f>
        <v/>
      </c>
      <c r="F858" s="11" t="str">
        <f>TRIM(Formulario!D869)</f>
        <v/>
      </c>
      <c r="G858" s="11" t="str">
        <f>TRIM(Formulario!F869)</f>
        <v/>
      </c>
      <c r="H858" s="146" t="str">
        <f>IF(N858="",TRIM(Formulario!G869),TRIM(Formulario!G869)*N858)</f>
        <v/>
      </c>
      <c r="I858" s="107" t="str">
        <f>TRIM(Formulario!I869)</f>
        <v/>
      </c>
      <c r="J858" s="11" t="str">
        <f>TRIM(Formulario!J869)</f>
        <v/>
      </c>
      <c r="K858" s="11" t="str">
        <f>TRIM(Formulario!K869)</f>
        <v/>
      </c>
      <c r="L858" s="107" t="str">
        <f>TRIM(Formulario!L869)</f>
        <v/>
      </c>
      <c r="M858" s="107" t="str">
        <f>TRIM(Formulario!M869)</f>
        <v/>
      </c>
      <c r="N858" s="11" t="str">
        <f>TRIM(Formulario!H869)</f>
        <v/>
      </c>
      <c r="P858" s="17"/>
      <c r="Q858" s="104"/>
      <c r="R858" s="104"/>
      <c r="S858" s="117"/>
      <c r="T858" s="101"/>
      <c r="U858" s="101"/>
      <c r="V858" s="101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</row>
    <row r="859" spans="1:49">
      <c r="A859" s="8" t="str">
        <f>IF(L859="","",Formulario!B870)</f>
        <v/>
      </c>
      <c r="B859" s="119"/>
      <c r="C859" s="120"/>
      <c r="D859" s="121"/>
      <c r="E859" s="129" t="str">
        <f>IF(F859="","",Formulario!B870)</f>
        <v/>
      </c>
      <c r="F859" s="11" t="str">
        <f>TRIM(Formulario!D870)</f>
        <v/>
      </c>
      <c r="G859" s="11" t="str">
        <f>TRIM(Formulario!F870)</f>
        <v/>
      </c>
      <c r="H859" s="146" t="str">
        <f>IF(N859="",TRIM(Formulario!G870),TRIM(Formulario!G870)*N859)</f>
        <v/>
      </c>
      <c r="I859" s="107" t="str">
        <f>TRIM(Formulario!I870)</f>
        <v/>
      </c>
      <c r="J859" s="11" t="str">
        <f>TRIM(Formulario!J870)</f>
        <v/>
      </c>
      <c r="K859" s="11" t="str">
        <f>TRIM(Formulario!K870)</f>
        <v/>
      </c>
      <c r="L859" s="107" t="str">
        <f>TRIM(Formulario!L870)</f>
        <v/>
      </c>
      <c r="M859" s="107" t="str">
        <f>TRIM(Formulario!M870)</f>
        <v/>
      </c>
      <c r="N859" s="11" t="str">
        <f>TRIM(Formulario!H870)</f>
        <v/>
      </c>
      <c r="P859" s="17"/>
      <c r="Q859" s="104"/>
      <c r="R859" s="104"/>
      <c r="S859" s="117"/>
      <c r="T859" s="101"/>
      <c r="U859" s="101"/>
      <c r="V859" s="101"/>
      <c r="W859" s="102"/>
      <c r="X859" s="102"/>
      <c r="Y859" s="102"/>
      <c r="Z859" s="102"/>
      <c r="AA859" s="102"/>
      <c r="AB859" s="102"/>
      <c r="AC859" s="102"/>
      <c r="AD859" s="102"/>
      <c r="AE859" s="102"/>
      <c r="AF859" s="102"/>
      <c r="AG859" s="102"/>
      <c r="AH859" s="102"/>
      <c r="AI859" s="102"/>
      <c r="AJ859" s="102"/>
      <c r="AK859" s="102"/>
      <c r="AL859" s="102"/>
      <c r="AM859" s="102"/>
      <c r="AN859" s="102"/>
      <c r="AO859" s="102"/>
      <c r="AP859" s="102"/>
      <c r="AQ859" s="102"/>
      <c r="AR859" s="102"/>
      <c r="AS859" s="102"/>
      <c r="AT859" s="102"/>
      <c r="AU859" s="102"/>
      <c r="AV859" s="102"/>
      <c r="AW859" s="102"/>
    </row>
    <row r="860" spans="1:49">
      <c r="A860" s="8" t="str">
        <f>IF(L860="","",Formulario!B871)</f>
        <v/>
      </c>
      <c r="B860" s="119"/>
      <c r="C860" s="120"/>
      <c r="D860" s="121"/>
      <c r="E860" s="129" t="str">
        <f>IF(F860="","",Formulario!B871)</f>
        <v/>
      </c>
      <c r="F860" s="11" t="str">
        <f>TRIM(Formulario!D871)</f>
        <v/>
      </c>
      <c r="G860" s="11" t="str">
        <f>TRIM(Formulario!F871)</f>
        <v/>
      </c>
      <c r="H860" s="146" t="str">
        <f>IF(N860="",TRIM(Formulario!G871),TRIM(Formulario!G871)*N860)</f>
        <v/>
      </c>
      <c r="I860" s="107" t="str">
        <f>TRIM(Formulario!I871)</f>
        <v/>
      </c>
      <c r="J860" s="11" t="str">
        <f>TRIM(Formulario!J871)</f>
        <v/>
      </c>
      <c r="K860" s="11" t="str">
        <f>TRIM(Formulario!K871)</f>
        <v/>
      </c>
      <c r="L860" s="107" t="str">
        <f>TRIM(Formulario!L871)</f>
        <v/>
      </c>
      <c r="M860" s="107" t="str">
        <f>TRIM(Formulario!M871)</f>
        <v/>
      </c>
      <c r="N860" s="11" t="str">
        <f>TRIM(Formulario!H871)</f>
        <v/>
      </c>
      <c r="P860" s="17"/>
      <c r="Q860" s="104"/>
      <c r="R860" s="104"/>
      <c r="S860" s="117"/>
      <c r="T860" s="101"/>
      <c r="U860" s="101"/>
      <c r="V860" s="101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</row>
    <row r="861" spans="1:49">
      <c r="A861" s="8" t="str">
        <f>IF(L861="","",Formulario!B872)</f>
        <v/>
      </c>
      <c r="B861" s="119"/>
      <c r="C861" s="120"/>
      <c r="D861" s="121"/>
      <c r="E861" s="129" t="str">
        <f>IF(F861="","",Formulario!B872)</f>
        <v/>
      </c>
      <c r="F861" s="11" t="str">
        <f>TRIM(Formulario!D872)</f>
        <v/>
      </c>
      <c r="G861" s="11" t="str">
        <f>TRIM(Formulario!F872)</f>
        <v/>
      </c>
      <c r="H861" s="146" t="str">
        <f>IF(N861="",TRIM(Formulario!G872),TRIM(Formulario!G872)*N861)</f>
        <v/>
      </c>
      <c r="I861" s="107" t="str">
        <f>TRIM(Formulario!I872)</f>
        <v/>
      </c>
      <c r="J861" s="11" t="str">
        <f>TRIM(Formulario!J872)</f>
        <v/>
      </c>
      <c r="K861" s="11" t="str">
        <f>TRIM(Formulario!K872)</f>
        <v/>
      </c>
      <c r="L861" s="107" t="str">
        <f>TRIM(Formulario!L872)</f>
        <v/>
      </c>
      <c r="M861" s="107" t="str">
        <f>TRIM(Formulario!M872)</f>
        <v/>
      </c>
      <c r="N861" s="11" t="str">
        <f>TRIM(Formulario!H872)</f>
        <v/>
      </c>
      <c r="P861" s="17"/>
      <c r="Q861" s="104"/>
      <c r="R861" s="104"/>
      <c r="S861" s="117"/>
      <c r="T861" s="101"/>
      <c r="U861" s="101"/>
      <c r="V861" s="101"/>
      <c r="W861" s="102"/>
      <c r="X861" s="102"/>
      <c r="Y861" s="102"/>
      <c r="Z861" s="102"/>
      <c r="AA861" s="102"/>
      <c r="AB861" s="102"/>
      <c r="AC861" s="102"/>
      <c r="AD861" s="102"/>
      <c r="AE861" s="102"/>
      <c r="AF861" s="102"/>
      <c r="AG861" s="102"/>
      <c r="AH861" s="102"/>
      <c r="AI861" s="102"/>
      <c r="AJ861" s="102"/>
      <c r="AK861" s="102"/>
      <c r="AL861" s="102"/>
      <c r="AM861" s="102"/>
      <c r="AN861" s="102"/>
      <c r="AO861" s="102"/>
      <c r="AP861" s="102"/>
      <c r="AQ861" s="102"/>
      <c r="AR861" s="102"/>
      <c r="AS861" s="102"/>
      <c r="AT861" s="102"/>
      <c r="AU861" s="102"/>
      <c r="AV861" s="102"/>
      <c r="AW861" s="102"/>
    </row>
    <row r="862" spans="1:49">
      <c r="A862" s="8" t="str">
        <f>IF(L862="","",Formulario!B873)</f>
        <v/>
      </c>
      <c r="B862" s="119"/>
      <c r="C862" s="120"/>
      <c r="D862" s="121"/>
      <c r="E862" s="129" t="str">
        <f>IF(F862="","",Formulario!B873)</f>
        <v/>
      </c>
      <c r="F862" s="11" t="str">
        <f>TRIM(Formulario!D873)</f>
        <v/>
      </c>
      <c r="G862" s="11" t="str">
        <f>TRIM(Formulario!F873)</f>
        <v/>
      </c>
      <c r="H862" s="146" t="str">
        <f>IF(N862="",TRIM(Formulario!G873),TRIM(Formulario!G873)*N862)</f>
        <v/>
      </c>
      <c r="I862" s="107" t="str">
        <f>TRIM(Formulario!I873)</f>
        <v/>
      </c>
      <c r="J862" s="11" t="str">
        <f>TRIM(Formulario!J873)</f>
        <v/>
      </c>
      <c r="K862" s="11" t="str">
        <f>TRIM(Formulario!K873)</f>
        <v/>
      </c>
      <c r="L862" s="107" t="str">
        <f>TRIM(Formulario!L873)</f>
        <v/>
      </c>
      <c r="M862" s="107" t="str">
        <f>TRIM(Formulario!M873)</f>
        <v/>
      </c>
      <c r="N862" s="11" t="str">
        <f>TRIM(Formulario!H873)</f>
        <v/>
      </c>
      <c r="P862" s="17"/>
      <c r="Q862" s="104"/>
      <c r="R862" s="104"/>
      <c r="S862" s="117"/>
      <c r="T862" s="101"/>
      <c r="U862" s="101"/>
      <c r="V862" s="101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</row>
    <row r="863" spans="1:49">
      <c r="A863" s="8" t="str">
        <f>IF(L863="","",Formulario!B874)</f>
        <v/>
      </c>
      <c r="B863" s="119"/>
      <c r="C863" s="120"/>
      <c r="D863" s="121"/>
      <c r="E863" s="129" t="str">
        <f>IF(F863="","",Formulario!B874)</f>
        <v/>
      </c>
      <c r="F863" s="11" t="str">
        <f>TRIM(Formulario!D874)</f>
        <v/>
      </c>
      <c r="G863" s="11" t="str">
        <f>TRIM(Formulario!F874)</f>
        <v/>
      </c>
      <c r="H863" s="146" t="str">
        <f>IF(N863="",TRIM(Formulario!G874),TRIM(Formulario!G874)*N863)</f>
        <v/>
      </c>
      <c r="I863" s="107" t="str">
        <f>TRIM(Formulario!I874)</f>
        <v/>
      </c>
      <c r="J863" s="11" t="str">
        <f>TRIM(Formulario!J874)</f>
        <v/>
      </c>
      <c r="K863" s="11" t="str">
        <f>TRIM(Formulario!K874)</f>
        <v/>
      </c>
      <c r="L863" s="107" t="str">
        <f>TRIM(Formulario!L874)</f>
        <v/>
      </c>
      <c r="M863" s="107" t="str">
        <f>TRIM(Formulario!M874)</f>
        <v/>
      </c>
      <c r="N863" s="11" t="str">
        <f>TRIM(Formulario!H874)</f>
        <v/>
      </c>
      <c r="P863" s="17"/>
      <c r="Q863" s="104"/>
      <c r="R863" s="104"/>
      <c r="S863" s="117"/>
      <c r="T863" s="101"/>
      <c r="U863" s="101"/>
      <c r="V863" s="101"/>
      <c r="W863" s="102"/>
      <c r="X863" s="102"/>
      <c r="Y863" s="102"/>
      <c r="Z863" s="102"/>
      <c r="AA863" s="102"/>
      <c r="AB863" s="102"/>
      <c r="AC863" s="102"/>
      <c r="AD863" s="102"/>
      <c r="AE863" s="102"/>
      <c r="AF863" s="102"/>
      <c r="AG863" s="102"/>
      <c r="AH863" s="102"/>
      <c r="AI863" s="102"/>
      <c r="AJ863" s="102"/>
      <c r="AK863" s="102"/>
      <c r="AL863" s="102"/>
      <c r="AM863" s="102"/>
      <c r="AN863" s="102"/>
      <c r="AO863" s="102"/>
      <c r="AP863" s="102"/>
      <c r="AQ863" s="102"/>
      <c r="AR863" s="102"/>
      <c r="AS863" s="102"/>
      <c r="AT863" s="102"/>
      <c r="AU863" s="102"/>
      <c r="AV863" s="102"/>
      <c r="AW863" s="102"/>
    </row>
    <row r="864" spans="1:49">
      <c r="A864" s="8" t="str">
        <f>IF(L864="","",Formulario!B875)</f>
        <v/>
      </c>
      <c r="B864" s="119"/>
      <c r="C864" s="120"/>
      <c r="D864" s="121"/>
      <c r="E864" s="129" t="str">
        <f>IF(F864="","",Formulario!B875)</f>
        <v/>
      </c>
      <c r="F864" s="11" t="str">
        <f>TRIM(Formulario!D875)</f>
        <v/>
      </c>
      <c r="G864" s="11" t="str">
        <f>TRIM(Formulario!F875)</f>
        <v/>
      </c>
      <c r="H864" s="146" t="str">
        <f>IF(N864="",TRIM(Formulario!G875),TRIM(Formulario!G875)*N864)</f>
        <v/>
      </c>
      <c r="I864" s="107" t="str">
        <f>TRIM(Formulario!I875)</f>
        <v/>
      </c>
      <c r="J864" s="11" t="str">
        <f>TRIM(Formulario!J875)</f>
        <v/>
      </c>
      <c r="K864" s="11" t="str">
        <f>TRIM(Formulario!K875)</f>
        <v/>
      </c>
      <c r="L864" s="107" t="str">
        <f>TRIM(Formulario!L875)</f>
        <v/>
      </c>
      <c r="M864" s="107" t="str">
        <f>TRIM(Formulario!M875)</f>
        <v/>
      </c>
      <c r="N864" s="11" t="str">
        <f>TRIM(Formulario!H875)</f>
        <v/>
      </c>
      <c r="P864" s="17"/>
      <c r="Q864" s="104"/>
      <c r="R864" s="104"/>
      <c r="S864" s="117"/>
      <c r="T864" s="101"/>
      <c r="U864" s="101"/>
      <c r="V864" s="101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</row>
    <row r="865" spans="1:49">
      <c r="A865" s="8" t="str">
        <f>IF(L865="","",Formulario!B876)</f>
        <v/>
      </c>
      <c r="B865" s="119"/>
      <c r="C865" s="120"/>
      <c r="D865" s="121"/>
      <c r="E865" s="129" t="str">
        <f>IF(F865="","",Formulario!B876)</f>
        <v/>
      </c>
      <c r="F865" s="11" t="str">
        <f>TRIM(Formulario!D876)</f>
        <v/>
      </c>
      <c r="G865" s="11" t="str">
        <f>TRIM(Formulario!F876)</f>
        <v/>
      </c>
      <c r="H865" s="146" t="str">
        <f>IF(N865="",TRIM(Formulario!G876),TRIM(Formulario!G876)*N865)</f>
        <v/>
      </c>
      <c r="I865" s="107" t="str">
        <f>TRIM(Formulario!I876)</f>
        <v/>
      </c>
      <c r="J865" s="11" t="str">
        <f>TRIM(Formulario!J876)</f>
        <v/>
      </c>
      <c r="K865" s="11" t="str">
        <f>TRIM(Formulario!K876)</f>
        <v/>
      </c>
      <c r="L865" s="107" t="str">
        <f>TRIM(Formulario!L876)</f>
        <v/>
      </c>
      <c r="M865" s="107" t="str">
        <f>TRIM(Formulario!M876)</f>
        <v/>
      </c>
      <c r="N865" s="11" t="str">
        <f>TRIM(Formulario!H876)</f>
        <v/>
      </c>
      <c r="P865" s="17"/>
      <c r="Q865" s="104"/>
      <c r="R865" s="104"/>
      <c r="S865" s="117"/>
      <c r="T865" s="101"/>
      <c r="U865" s="101"/>
      <c r="V865" s="101"/>
      <c r="W865" s="102"/>
      <c r="X865" s="102"/>
      <c r="Y865" s="102"/>
      <c r="Z865" s="102"/>
      <c r="AA865" s="102"/>
      <c r="AB865" s="102"/>
      <c r="AC865" s="102"/>
      <c r="AD865" s="102"/>
      <c r="AE865" s="102"/>
      <c r="AF865" s="102"/>
      <c r="AG865" s="102"/>
      <c r="AH865" s="102"/>
      <c r="AI865" s="102"/>
      <c r="AJ865" s="102"/>
      <c r="AK865" s="102"/>
      <c r="AL865" s="102"/>
      <c r="AM865" s="102"/>
      <c r="AN865" s="102"/>
      <c r="AO865" s="102"/>
      <c r="AP865" s="102"/>
      <c r="AQ865" s="102"/>
      <c r="AR865" s="102"/>
      <c r="AS865" s="102"/>
      <c r="AT865" s="102"/>
      <c r="AU865" s="102"/>
      <c r="AV865" s="102"/>
      <c r="AW865" s="102"/>
    </row>
    <row r="866" spans="1:49">
      <c r="A866" s="8" t="str">
        <f>IF(L866="","",Formulario!B877)</f>
        <v/>
      </c>
      <c r="B866" s="119"/>
      <c r="C866" s="120"/>
      <c r="D866" s="121"/>
      <c r="E866" s="129" t="str">
        <f>IF(F866="","",Formulario!B877)</f>
        <v/>
      </c>
      <c r="F866" s="11" t="str">
        <f>TRIM(Formulario!D877)</f>
        <v/>
      </c>
      <c r="G866" s="11" t="str">
        <f>TRIM(Formulario!F877)</f>
        <v/>
      </c>
      <c r="H866" s="146" t="str">
        <f>IF(N866="",TRIM(Formulario!G877),TRIM(Formulario!G877)*N866)</f>
        <v/>
      </c>
      <c r="I866" s="107" t="str">
        <f>TRIM(Formulario!I877)</f>
        <v/>
      </c>
      <c r="J866" s="11" t="str">
        <f>TRIM(Formulario!J877)</f>
        <v/>
      </c>
      <c r="K866" s="11" t="str">
        <f>TRIM(Formulario!K877)</f>
        <v/>
      </c>
      <c r="L866" s="107" t="str">
        <f>TRIM(Formulario!L877)</f>
        <v/>
      </c>
      <c r="M866" s="107" t="str">
        <f>TRIM(Formulario!M877)</f>
        <v/>
      </c>
      <c r="N866" s="11" t="str">
        <f>TRIM(Formulario!H877)</f>
        <v/>
      </c>
      <c r="P866" s="17"/>
      <c r="Q866" s="104"/>
      <c r="R866" s="104"/>
      <c r="S866" s="117"/>
      <c r="T866" s="101"/>
      <c r="U866" s="101"/>
      <c r="V866" s="101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</row>
    <row r="867" spans="1:49">
      <c r="A867" s="8" t="str">
        <f>IF(L867="","",Formulario!B878)</f>
        <v/>
      </c>
      <c r="B867" s="119"/>
      <c r="C867" s="120"/>
      <c r="D867" s="121"/>
      <c r="E867" s="129" t="str">
        <f>IF(F867="","",Formulario!B878)</f>
        <v/>
      </c>
      <c r="F867" s="11" t="str">
        <f>TRIM(Formulario!D878)</f>
        <v/>
      </c>
      <c r="G867" s="11" t="str">
        <f>TRIM(Formulario!F878)</f>
        <v/>
      </c>
      <c r="H867" s="146" t="str">
        <f>IF(N867="",TRIM(Formulario!G878),TRIM(Formulario!G878)*N867)</f>
        <v/>
      </c>
      <c r="I867" s="107" t="str">
        <f>TRIM(Formulario!I878)</f>
        <v/>
      </c>
      <c r="J867" s="11" t="str">
        <f>TRIM(Formulario!J878)</f>
        <v/>
      </c>
      <c r="K867" s="11" t="str">
        <f>TRIM(Formulario!K878)</f>
        <v/>
      </c>
      <c r="L867" s="107" t="str">
        <f>TRIM(Formulario!L878)</f>
        <v/>
      </c>
      <c r="M867" s="107" t="str">
        <f>TRIM(Formulario!M878)</f>
        <v/>
      </c>
      <c r="N867" s="11" t="str">
        <f>TRIM(Formulario!H878)</f>
        <v/>
      </c>
      <c r="P867" s="17"/>
      <c r="Q867" s="104"/>
      <c r="R867" s="104"/>
      <c r="S867" s="117"/>
      <c r="T867" s="101"/>
      <c r="U867" s="101"/>
      <c r="V867" s="101"/>
      <c r="W867" s="102"/>
      <c r="X867" s="102"/>
      <c r="Y867" s="102"/>
      <c r="Z867" s="102"/>
      <c r="AA867" s="102"/>
      <c r="AB867" s="102"/>
      <c r="AC867" s="102"/>
      <c r="AD867" s="102"/>
      <c r="AE867" s="102"/>
      <c r="AF867" s="102"/>
      <c r="AG867" s="102"/>
      <c r="AH867" s="102"/>
      <c r="AI867" s="102"/>
      <c r="AJ867" s="102"/>
      <c r="AK867" s="102"/>
      <c r="AL867" s="102"/>
      <c r="AM867" s="102"/>
      <c r="AN867" s="102"/>
      <c r="AO867" s="102"/>
      <c r="AP867" s="102"/>
      <c r="AQ867" s="102"/>
      <c r="AR867" s="102"/>
      <c r="AS867" s="102"/>
      <c r="AT867" s="102"/>
      <c r="AU867" s="102"/>
      <c r="AV867" s="102"/>
      <c r="AW867" s="102"/>
    </row>
    <row r="868" spans="1:49">
      <c r="A868" s="8" t="str">
        <f>IF(L868="","",Formulario!B879)</f>
        <v/>
      </c>
      <c r="B868" s="119"/>
      <c r="C868" s="120"/>
      <c r="D868" s="121"/>
      <c r="E868" s="129" t="str">
        <f>IF(F868="","",Formulario!B879)</f>
        <v/>
      </c>
      <c r="F868" s="11" t="str">
        <f>TRIM(Formulario!D879)</f>
        <v/>
      </c>
      <c r="G868" s="11" t="str">
        <f>TRIM(Formulario!F879)</f>
        <v/>
      </c>
      <c r="H868" s="146" t="str">
        <f>IF(N868="",TRIM(Formulario!G879),TRIM(Formulario!G879)*N868)</f>
        <v/>
      </c>
      <c r="I868" s="107" t="str">
        <f>TRIM(Formulario!I879)</f>
        <v/>
      </c>
      <c r="J868" s="11" t="str">
        <f>TRIM(Formulario!J879)</f>
        <v/>
      </c>
      <c r="K868" s="11" t="str">
        <f>TRIM(Formulario!K879)</f>
        <v/>
      </c>
      <c r="L868" s="107" t="str">
        <f>TRIM(Formulario!L879)</f>
        <v/>
      </c>
      <c r="M868" s="107" t="str">
        <f>TRIM(Formulario!M879)</f>
        <v/>
      </c>
      <c r="N868" s="11" t="str">
        <f>TRIM(Formulario!H879)</f>
        <v/>
      </c>
      <c r="P868" s="17"/>
      <c r="Q868" s="104"/>
      <c r="R868" s="104"/>
      <c r="S868" s="117"/>
      <c r="T868" s="101"/>
      <c r="U868" s="101"/>
      <c r="V868" s="101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</row>
    <row r="869" spans="1:49">
      <c r="A869" s="8" t="str">
        <f>IF(L869="","",Formulario!B880)</f>
        <v/>
      </c>
      <c r="B869" s="119"/>
      <c r="C869" s="120"/>
      <c r="D869" s="121"/>
      <c r="E869" s="129" t="str">
        <f>IF(F869="","",Formulario!B880)</f>
        <v/>
      </c>
      <c r="F869" s="11" t="str">
        <f>TRIM(Formulario!D880)</f>
        <v/>
      </c>
      <c r="G869" s="11" t="str">
        <f>TRIM(Formulario!F880)</f>
        <v/>
      </c>
      <c r="H869" s="146" t="str">
        <f>IF(N869="",TRIM(Formulario!G880),TRIM(Formulario!G880)*N869)</f>
        <v/>
      </c>
      <c r="I869" s="107" t="str">
        <f>TRIM(Formulario!I880)</f>
        <v/>
      </c>
      <c r="J869" s="11" t="str">
        <f>TRIM(Formulario!J880)</f>
        <v/>
      </c>
      <c r="K869" s="11" t="str">
        <f>TRIM(Formulario!K880)</f>
        <v/>
      </c>
      <c r="L869" s="107" t="str">
        <f>TRIM(Formulario!L880)</f>
        <v/>
      </c>
      <c r="M869" s="107" t="str">
        <f>TRIM(Formulario!M880)</f>
        <v/>
      </c>
      <c r="N869" s="11" t="str">
        <f>TRIM(Formulario!H880)</f>
        <v/>
      </c>
      <c r="P869" s="17"/>
      <c r="Q869" s="104"/>
      <c r="R869" s="104"/>
      <c r="S869" s="117"/>
      <c r="T869" s="101"/>
      <c r="U869" s="101"/>
      <c r="V869" s="101"/>
      <c r="W869" s="102"/>
      <c r="X869" s="102"/>
      <c r="Y869" s="102"/>
      <c r="Z869" s="102"/>
      <c r="AA869" s="102"/>
      <c r="AB869" s="102"/>
      <c r="AC869" s="102"/>
      <c r="AD869" s="102"/>
      <c r="AE869" s="102"/>
      <c r="AF869" s="102"/>
      <c r="AG869" s="102"/>
      <c r="AH869" s="102"/>
      <c r="AI869" s="102"/>
      <c r="AJ869" s="102"/>
      <c r="AK869" s="102"/>
      <c r="AL869" s="102"/>
      <c r="AM869" s="102"/>
      <c r="AN869" s="102"/>
      <c r="AO869" s="102"/>
      <c r="AP869" s="102"/>
      <c r="AQ869" s="102"/>
      <c r="AR869" s="102"/>
      <c r="AS869" s="102"/>
      <c r="AT869" s="102"/>
      <c r="AU869" s="102"/>
      <c r="AV869" s="102"/>
      <c r="AW869" s="102"/>
    </row>
    <row r="870" spans="1:49">
      <c r="A870" s="8" t="str">
        <f>IF(L870="","",Formulario!B881)</f>
        <v/>
      </c>
      <c r="B870" s="119"/>
      <c r="C870" s="120"/>
      <c r="D870" s="121"/>
      <c r="E870" s="129" t="str">
        <f>IF(F870="","",Formulario!B881)</f>
        <v/>
      </c>
      <c r="F870" s="11" t="str">
        <f>TRIM(Formulario!D881)</f>
        <v/>
      </c>
      <c r="G870" s="11" t="str">
        <f>TRIM(Formulario!F881)</f>
        <v/>
      </c>
      <c r="H870" s="146" t="str">
        <f>IF(N870="",TRIM(Formulario!G881),TRIM(Formulario!G881)*N870)</f>
        <v/>
      </c>
      <c r="I870" s="107" t="str">
        <f>TRIM(Formulario!I881)</f>
        <v/>
      </c>
      <c r="J870" s="11" t="str">
        <f>TRIM(Formulario!J881)</f>
        <v/>
      </c>
      <c r="K870" s="11" t="str">
        <f>TRIM(Formulario!K881)</f>
        <v/>
      </c>
      <c r="L870" s="107" t="str">
        <f>TRIM(Formulario!L881)</f>
        <v/>
      </c>
      <c r="M870" s="107" t="str">
        <f>TRIM(Formulario!M881)</f>
        <v/>
      </c>
      <c r="N870" s="11" t="str">
        <f>TRIM(Formulario!H881)</f>
        <v/>
      </c>
      <c r="P870" s="17"/>
      <c r="Q870" s="104"/>
      <c r="R870" s="104"/>
      <c r="S870" s="117"/>
      <c r="T870" s="101"/>
      <c r="U870" s="101"/>
      <c r="V870" s="101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</row>
    <row r="871" spans="1:49">
      <c r="A871" s="8" t="str">
        <f>IF(L871="","",Formulario!B882)</f>
        <v/>
      </c>
      <c r="B871" s="119"/>
      <c r="C871" s="120"/>
      <c r="D871" s="121"/>
      <c r="E871" s="129" t="str">
        <f>IF(F871="","",Formulario!B882)</f>
        <v/>
      </c>
      <c r="F871" s="11" t="str">
        <f>TRIM(Formulario!D882)</f>
        <v/>
      </c>
      <c r="G871" s="11" t="str">
        <f>TRIM(Formulario!F882)</f>
        <v/>
      </c>
      <c r="H871" s="146" t="str">
        <f>IF(N871="",TRIM(Formulario!G882),TRIM(Formulario!G882)*N871)</f>
        <v/>
      </c>
      <c r="I871" s="107" t="str">
        <f>TRIM(Formulario!I882)</f>
        <v/>
      </c>
      <c r="J871" s="11" t="str">
        <f>TRIM(Formulario!J882)</f>
        <v/>
      </c>
      <c r="K871" s="11" t="str">
        <f>TRIM(Formulario!K882)</f>
        <v/>
      </c>
      <c r="L871" s="107" t="str">
        <f>TRIM(Formulario!L882)</f>
        <v/>
      </c>
      <c r="M871" s="107" t="str">
        <f>TRIM(Formulario!M882)</f>
        <v/>
      </c>
      <c r="N871" s="11" t="str">
        <f>TRIM(Formulario!H882)</f>
        <v/>
      </c>
      <c r="P871" s="17"/>
      <c r="Q871" s="104"/>
      <c r="R871" s="104"/>
      <c r="S871" s="117"/>
      <c r="T871" s="101"/>
      <c r="U871" s="101"/>
      <c r="V871" s="101"/>
      <c r="W871" s="102"/>
      <c r="X871" s="102"/>
      <c r="Y871" s="102"/>
      <c r="Z871" s="102"/>
      <c r="AA871" s="102"/>
      <c r="AB871" s="102"/>
      <c r="AC871" s="102"/>
      <c r="AD871" s="102"/>
      <c r="AE871" s="102"/>
      <c r="AF871" s="102"/>
      <c r="AG871" s="102"/>
      <c r="AH871" s="102"/>
      <c r="AI871" s="102"/>
      <c r="AJ871" s="102"/>
      <c r="AK871" s="102"/>
      <c r="AL871" s="102"/>
      <c r="AM871" s="102"/>
      <c r="AN871" s="102"/>
      <c r="AO871" s="102"/>
      <c r="AP871" s="102"/>
      <c r="AQ871" s="102"/>
      <c r="AR871" s="102"/>
      <c r="AS871" s="102"/>
      <c r="AT871" s="102"/>
      <c r="AU871" s="102"/>
      <c r="AV871" s="102"/>
      <c r="AW871" s="102"/>
    </row>
    <row r="872" spans="1:49">
      <c r="A872" s="8" t="str">
        <f>IF(L872="","",Formulario!B883)</f>
        <v/>
      </c>
      <c r="B872" s="119"/>
      <c r="C872" s="120"/>
      <c r="D872" s="121"/>
      <c r="E872" s="129" t="str">
        <f>IF(F872="","",Formulario!B883)</f>
        <v/>
      </c>
      <c r="F872" s="11" t="str">
        <f>TRIM(Formulario!D883)</f>
        <v/>
      </c>
      <c r="G872" s="11" t="str">
        <f>TRIM(Formulario!F883)</f>
        <v/>
      </c>
      <c r="H872" s="146" t="str">
        <f>IF(N872="",TRIM(Formulario!G883),TRIM(Formulario!G883)*N872)</f>
        <v/>
      </c>
      <c r="I872" s="107" t="str">
        <f>TRIM(Formulario!I883)</f>
        <v/>
      </c>
      <c r="J872" s="11" t="str">
        <f>TRIM(Formulario!J883)</f>
        <v/>
      </c>
      <c r="K872" s="11" t="str">
        <f>TRIM(Formulario!K883)</f>
        <v/>
      </c>
      <c r="L872" s="107" t="str">
        <f>TRIM(Formulario!L883)</f>
        <v/>
      </c>
      <c r="M872" s="107" t="str">
        <f>TRIM(Formulario!M883)</f>
        <v/>
      </c>
      <c r="N872" s="11" t="str">
        <f>TRIM(Formulario!H883)</f>
        <v/>
      </c>
      <c r="P872" s="17"/>
      <c r="Q872" s="104"/>
      <c r="R872" s="104"/>
      <c r="S872" s="117"/>
      <c r="T872" s="101"/>
      <c r="U872" s="101"/>
      <c r="V872" s="101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</row>
    <row r="873" spans="1:49">
      <c r="A873" s="8" t="str">
        <f>IF(L873="","",Formulario!B884)</f>
        <v/>
      </c>
      <c r="B873" s="119"/>
      <c r="C873" s="120"/>
      <c r="D873" s="121"/>
      <c r="E873" s="129" t="str">
        <f>IF(F873="","",Formulario!B884)</f>
        <v/>
      </c>
      <c r="F873" s="11" t="str">
        <f>TRIM(Formulario!D884)</f>
        <v/>
      </c>
      <c r="G873" s="11" t="str">
        <f>TRIM(Formulario!F884)</f>
        <v/>
      </c>
      <c r="H873" s="146" t="str">
        <f>IF(N873="",TRIM(Formulario!G884),TRIM(Formulario!G884)*N873)</f>
        <v/>
      </c>
      <c r="I873" s="107" t="str">
        <f>TRIM(Formulario!I884)</f>
        <v/>
      </c>
      <c r="J873" s="11" t="str">
        <f>TRIM(Formulario!J884)</f>
        <v/>
      </c>
      <c r="K873" s="11" t="str">
        <f>TRIM(Formulario!K884)</f>
        <v/>
      </c>
      <c r="L873" s="107" t="str">
        <f>TRIM(Formulario!L884)</f>
        <v/>
      </c>
      <c r="M873" s="107" t="str">
        <f>TRIM(Formulario!M884)</f>
        <v/>
      </c>
      <c r="N873" s="11" t="str">
        <f>TRIM(Formulario!H884)</f>
        <v/>
      </c>
      <c r="P873" s="17"/>
      <c r="Q873" s="104"/>
      <c r="R873" s="104"/>
      <c r="S873" s="117"/>
      <c r="T873" s="101"/>
      <c r="U873" s="101"/>
      <c r="V873" s="101"/>
      <c r="W873" s="102"/>
      <c r="X873" s="102"/>
      <c r="Y873" s="102"/>
      <c r="Z873" s="102"/>
      <c r="AA873" s="102"/>
      <c r="AB873" s="102"/>
      <c r="AC873" s="102"/>
      <c r="AD873" s="102"/>
      <c r="AE873" s="102"/>
      <c r="AF873" s="102"/>
      <c r="AG873" s="102"/>
      <c r="AH873" s="102"/>
      <c r="AI873" s="102"/>
      <c r="AJ873" s="102"/>
      <c r="AK873" s="102"/>
      <c r="AL873" s="102"/>
      <c r="AM873" s="102"/>
      <c r="AN873" s="102"/>
      <c r="AO873" s="102"/>
      <c r="AP873" s="102"/>
      <c r="AQ873" s="102"/>
      <c r="AR873" s="102"/>
      <c r="AS873" s="102"/>
      <c r="AT873" s="102"/>
      <c r="AU873" s="102"/>
      <c r="AV873" s="102"/>
      <c r="AW873" s="102"/>
    </row>
    <row r="874" spans="1:49">
      <c r="A874" s="8" t="str">
        <f>IF(L874="","",Formulario!B885)</f>
        <v/>
      </c>
      <c r="B874" s="119"/>
      <c r="C874" s="120"/>
      <c r="D874" s="121"/>
      <c r="E874" s="129" t="str">
        <f>IF(F874="","",Formulario!B885)</f>
        <v/>
      </c>
      <c r="F874" s="11" t="str">
        <f>TRIM(Formulario!D885)</f>
        <v/>
      </c>
      <c r="G874" s="11" t="str">
        <f>TRIM(Formulario!F885)</f>
        <v/>
      </c>
      <c r="H874" s="146" t="str">
        <f>IF(N874="",TRIM(Formulario!G885),TRIM(Formulario!G885)*N874)</f>
        <v/>
      </c>
      <c r="I874" s="107" t="str">
        <f>TRIM(Formulario!I885)</f>
        <v/>
      </c>
      <c r="J874" s="11" t="str">
        <f>TRIM(Formulario!J885)</f>
        <v/>
      </c>
      <c r="K874" s="11" t="str">
        <f>TRIM(Formulario!K885)</f>
        <v/>
      </c>
      <c r="L874" s="107" t="str">
        <f>TRIM(Formulario!L885)</f>
        <v/>
      </c>
      <c r="M874" s="107" t="str">
        <f>TRIM(Formulario!M885)</f>
        <v/>
      </c>
      <c r="N874" s="11" t="str">
        <f>TRIM(Formulario!H885)</f>
        <v/>
      </c>
      <c r="P874" s="17"/>
      <c r="Q874" s="104"/>
      <c r="R874" s="104"/>
      <c r="S874" s="117"/>
      <c r="T874" s="101"/>
      <c r="U874" s="101"/>
      <c r="V874" s="101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</row>
    <row r="875" spans="1:49">
      <c r="A875" s="8" t="str">
        <f>IF(L875="","",Formulario!B886)</f>
        <v/>
      </c>
      <c r="B875" s="119"/>
      <c r="C875" s="120"/>
      <c r="D875" s="121"/>
      <c r="E875" s="129" t="str">
        <f>IF(F875="","",Formulario!B886)</f>
        <v/>
      </c>
      <c r="F875" s="11" t="str">
        <f>TRIM(Formulario!D886)</f>
        <v/>
      </c>
      <c r="G875" s="11" t="str">
        <f>TRIM(Formulario!F886)</f>
        <v/>
      </c>
      <c r="H875" s="146" t="str">
        <f>IF(N875="",TRIM(Formulario!G886),TRIM(Formulario!G886)*N875)</f>
        <v/>
      </c>
      <c r="I875" s="107" t="str">
        <f>TRIM(Formulario!I886)</f>
        <v/>
      </c>
      <c r="J875" s="11" t="str">
        <f>TRIM(Formulario!J886)</f>
        <v/>
      </c>
      <c r="K875" s="11" t="str">
        <f>TRIM(Formulario!K886)</f>
        <v/>
      </c>
      <c r="L875" s="107" t="str">
        <f>TRIM(Formulario!L886)</f>
        <v/>
      </c>
      <c r="M875" s="107" t="str">
        <f>TRIM(Formulario!M886)</f>
        <v/>
      </c>
      <c r="N875" s="11" t="str">
        <f>TRIM(Formulario!H886)</f>
        <v/>
      </c>
      <c r="P875" s="17"/>
      <c r="Q875" s="104"/>
      <c r="R875" s="104"/>
      <c r="S875" s="117"/>
      <c r="T875" s="101"/>
      <c r="U875" s="101"/>
      <c r="V875" s="101"/>
      <c r="W875" s="102"/>
      <c r="X875" s="102"/>
      <c r="Y875" s="102"/>
      <c r="Z875" s="102"/>
      <c r="AA875" s="102"/>
      <c r="AB875" s="102"/>
      <c r="AC875" s="102"/>
      <c r="AD875" s="102"/>
      <c r="AE875" s="102"/>
      <c r="AF875" s="102"/>
      <c r="AG875" s="102"/>
      <c r="AH875" s="102"/>
      <c r="AI875" s="102"/>
      <c r="AJ875" s="102"/>
      <c r="AK875" s="102"/>
      <c r="AL875" s="102"/>
      <c r="AM875" s="102"/>
      <c r="AN875" s="102"/>
      <c r="AO875" s="102"/>
      <c r="AP875" s="102"/>
      <c r="AQ875" s="102"/>
      <c r="AR875" s="102"/>
      <c r="AS875" s="102"/>
      <c r="AT875" s="102"/>
      <c r="AU875" s="102"/>
      <c r="AV875" s="102"/>
      <c r="AW875" s="102"/>
    </row>
    <row r="876" spans="1:49">
      <c r="A876" s="8" t="str">
        <f>IF(L876="","",Formulario!B887)</f>
        <v/>
      </c>
      <c r="B876" s="119"/>
      <c r="C876" s="120"/>
      <c r="D876" s="121"/>
      <c r="E876" s="129" t="str">
        <f>IF(F876="","",Formulario!B887)</f>
        <v/>
      </c>
      <c r="F876" s="11" t="str">
        <f>TRIM(Formulario!D887)</f>
        <v/>
      </c>
      <c r="G876" s="11" t="str">
        <f>TRIM(Formulario!F887)</f>
        <v/>
      </c>
      <c r="H876" s="146" t="str">
        <f>IF(N876="",TRIM(Formulario!G887),TRIM(Formulario!G887)*N876)</f>
        <v/>
      </c>
      <c r="I876" s="107" t="str">
        <f>TRIM(Formulario!I887)</f>
        <v/>
      </c>
      <c r="J876" s="11" t="str">
        <f>TRIM(Formulario!J887)</f>
        <v/>
      </c>
      <c r="K876" s="11" t="str">
        <f>TRIM(Formulario!K887)</f>
        <v/>
      </c>
      <c r="L876" s="107" t="str">
        <f>TRIM(Formulario!L887)</f>
        <v/>
      </c>
      <c r="M876" s="107" t="str">
        <f>TRIM(Formulario!M887)</f>
        <v/>
      </c>
      <c r="N876" s="11" t="str">
        <f>TRIM(Formulario!H887)</f>
        <v/>
      </c>
      <c r="P876" s="17"/>
      <c r="Q876" s="104"/>
      <c r="R876" s="104"/>
      <c r="S876" s="117"/>
      <c r="T876" s="101"/>
      <c r="U876" s="101"/>
      <c r="V876" s="101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</row>
    <row r="877" spans="1:49">
      <c r="A877" s="8" t="str">
        <f>IF(L877="","",Formulario!B888)</f>
        <v/>
      </c>
      <c r="B877" s="119"/>
      <c r="C877" s="120"/>
      <c r="D877" s="121"/>
      <c r="E877" s="129" t="str">
        <f>IF(F877="","",Formulario!B888)</f>
        <v/>
      </c>
      <c r="F877" s="11" t="str">
        <f>TRIM(Formulario!D888)</f>
        <v/>
      </c>
      <c r="G877" s="11" t="str">
        <f>TRIM(Formulario!F888)</f>
        <v/>
      </c>
      <c r="H877" s="146" t="str">
        <f>IF(N877="",TRIM(Formulario!G888),TRIM(Formulario!G888)*N877)</f>
        <v/>
      </c>
      <c r="I877" s="107" t="str">
        <f>TRIM(Formulario!I888)</f>
        <v/>
      </c>
      <c r="J877" s="11" t="str">
        <f>TRIM(Formulario!J888)</f>
        <v/>
      </c>
      <c r="K877" s="11" t="str">
        <f>TRIM(Formulario!K888)</f>
        <v/>
      </c>
      <c r="L877" s="107" t="str">
        <f>TRIM(Formulario!L888)</f>
        <v/>
      </c>
      <c r="M877" s="107" t="str">
        <f>TRIM(Formulario!M888)</f>
        <v/>
      </c>
      <c r="N877" s="11" t="str">
        <f>TRIM(Formulario!H888)</f>
        <v/>
      </c>
      <c r="P877" s="17"/>
      <c r="Q877" s="104"/>
      <c r="R877" s="104"/>
      <c r="S877" s="117"/>
      <c r="T877" s="101"/>
      <c r="U877" s="101"/>
      <c r="V877" s="101"/>
      <c r="W877" s="102"/>
      <c r="X877" s="102"/>
      <c r="Y877" s="102"/>
      <c r="Z877" s="102"/>
      <c r="AA877" s="102"/>
      <c r="AB877" s="102"/>
      <c r="AC877" s="102"/>
      <c r="AD877" s="102"/>
      <c r="AE877" s="102"/>
      <c r="AF877" s="102"/>
      <c r="AG877" s="102"/>
      <c r="AH877" s="102"/>
      <c r="AI877" s="102"/>
      <c r="AJ877" s="102"/>
      <c r="AK877" s="102"/>
      <c r="AL877" s="102"/>
      <c r="AM877" s="102"/>
      <c r="AN877" s="102"/>
      <c r="AO877" s="102"/>
      <c r="AP877" s="102"/>
      <c r="AQ877" s="102"/>
      <c r="AR877" s="102"/>
      <c r="AS877" s="102"/>
      <c r="AT877" s="102"/>
      <c r="AU877" s="102"/>
      <c r="AV877" s="102"/>
      <c r="AW877" s="102"/>
    </row>
    <row r="878" spans="1:49">
      <c r="A878" s="8" t="str">
        <f>IF(L878="","",Formulario!B889)</f>
        <v/>
      </c>
      <c r="B878" s="119"/>
      <c r="C878" s="120"/>
      <c r="D878" s="121"/>
      <c r="E878" s="129" t="str">
        <f>IF(F878="","",Formulario!B889)</f>
        <v/>
      </c>
      <c r="F878" s="11" t="str">
        <f>TRIM(Formulario!D889)</f>
        <v/>
      </c>
      <c r="G878" s="11" t="str">
        <f>TRIM(Formulario!F889)</f>
        <v/>
      </c>
      <c r="H878" s="146" t="str">
        <f>IF(N878="",TRIM(Formulario!G889),TRIM(Formulario!G889)*N878)</f>
        <v/>
      </c>
      <c r="I878" s="107" t="str">
        <f>TRIM(Formulario!I889)</f>
        <v/>
      </c>
      <c r="J878" s="11" t="str">
        <f>TRIM(Formulario!J889)</f>
        <v/>
      </c>
      <c r="K878" s="11" t="str">
        <f>TRIM(Formulario!K889)</f>
        <v/>
      </c>
      <c r="L878" s="107" t="str">
        <f>TRIM(Formulario!L889)</f>
        <v/>
      </c>
      <c r="M878" s="107" t="str">
        <f>TRIM(Formulario!M889)</f>
        <v/>
      </c>
      <c r="N878" s="11" t="str">
        <f>TRIM(Formulario!H889)</f>
        <v/>
      </c>
      <c r="P878" s="17"/>
      <c r="Q878" s="104"/>
      <c r="R878" s="104"/>
      <c r="S878" s="117"/>
      <c r="T878" s="101"/>
      <c r="U878" s="101"/>
      <c r="V878" s="101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</row>
    <row r="879" spans="1:49">
      <c r="A879" s="8" t="str">
        <f>IF(L879="","",Formulario!B890)</f>
        <v/>
      </c>
      <c r="B879" s="119"/>
      <c r="C879" s="120"/>
      <c r="D879" s="121"/>
      <c r="E879" s="129" t="str">
        <f>IF(F879="","",Formulario!B890)</f>
        <v/>
      </c>
      <c r="F879" s="11" t="str">
        <f>TRIM(Formulario!D890)</f>
        <v/>
      </c>
      <c r="G879" s="11" t="str">
        <f>TRIM(Formulario!F890)</f>
        <v/>
      </c>
      <c r="H879" s="146" t="str">
        <f>IF(N879="",TRIM(Formulario!G890),TRIM(Formulario!G890)*N879)</f>
        <v/>
      </c>
      <c r="I879" s="107" t="str">
        <f>TRIM(Formulario!I890)</f>
        <v/>
      </c>
      <c r="J879" s="11" t="str">
        <f>TRIM(Formulario!J890)</f>
        <v/>
      </c>
      <c r="K879" s="11" t="str">
        <f>TRIM(Formulario!K890)</f>
        <v/>
      </c>
      <c r="L879" s="107" t="str">
        <f>TRIM(Formulario!L890)</f>
        <v/>
      </c>
      <c r="M879" s="107" t="str">
        <f>TRIM(Formulario!M890)</f>
        <v/>
      </c>
      <c r="N879" s="11" t="str">
        <f>TRIM(Formulario!H890)</f>
        <v/>
      </c>
      <c r="P879" s="17"/>
      <c r="Q879" s="104"/>
      <c r="R879" s="104"/>
      <c r="S879" s="117"/>
      <c r="T879" s="101"/>
      <c r="U879" s="101"/>
      <c r="V879" s="101"/>
      <c r="W879" s="102"/>
      <c r="X879" s="102"/>
      <c r="Y879" s="102"/>
      <c r="Z879" s="102"/>
      <c r="AA879" s="102"/>
      <c r="AB879" s="102"/>
      <c r="AC879" s="102"/>
      <c r="AD879" s="102"/>
      <c r="AE879" s="102"/>
      <c r="AF879" s="102"/>
      <c r="AG879" s="102"/>
      <c r="AH879" s="102"/>
      <c r="AI879" s="102"/>
      <c r="AJ879" s="102"/>
      <c r="AK879" s="102"/>
      <c r="AL879" s="102"/>
      <c r="AM879" s="102"/>
      <c r="AN879" s="102"/>
      <c r="AO879" s="102"/>
      <c r="AP879" s="102"/>
      <c r="AQ879" s="102"/>
      <c r="AR879" s="102"/>
      <c r="AS879" s="102"/>
      <c r="AT879" s="102"/>
      <c r="AU879" s="102"/>
      <c r="AV879" s="102"/>
      <c r="AW879" s="102"/>
    </row>
    <row r="880" spans="1:49">
      <c r="A880" s="8" t="str">
        <f>IF(L880="","",Formulario!B891)</f>
        <v/>
      </c>
      <c r="B880" s="119"/>
      <c r="C880" s="120"/>
      <c r="D880" s="121"/>
      <c r="E880" s="129" t="str">
        <f>IF(F880="","",Formulario!B891)</f>
        <v/>
      </c>
      <c r="F880" s="11" t="str">
        <f>TRIM(Formulario!D891)</f>
        <v/>
      </c>
      <c r="G880" s="11" t="str">
        <f>TRIM(Formulario!F891)</f>
        <v/>
      </c>
      <c r="H880" s="146" t="str">
        <f>IF(N880="",TRIM(Formulario!G891),TRIM(Formulario!G891)*N880)</f>
        <v/>
      </c>
      <c r="I880" s="107" t="str">
        <f>TRIM(Formulario!I891)</f>
        <v/>
      </c>
      <c r="J880" s="11" t="str">
        <f>TRIM(Formulario!J891)</f>
        <v/>
      </c>
      <c r="K880" s="11" t="str">
        <f>TRIM(Formulario!K891)</f>
        <v/>
      </c>
      <c r="L880" s="107" t="str">
        <f>TRIM(Formulario!L891)</f>
        <v/>
      </c>
      <c r="M880" s="107" t="str">
        <f>TRIM(Formulario!M891)</f>
        <v/>
      </c>
      <c r="N880" s="11" t="str">
        <f>TRIM(Formulario!H891)</f>
        <v/>
      </c>
      <c r="P880" s="17"/>
      <c r="Q880" s="104"/>
      <c r="R880" s="104"/>
      <c r="S880" s="117"/>
      <c r="T880" s="101"/>
      <c r="U880" s="101"/>
      <c r="V880" s="101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</row>
    <row r="881" spans="1:49">
      <c r="A881" s="8" t="str">
        <f>IF(L881="","",Formulario!B892)</f>
        <v/>
      </c>
      <c r="B881" s="119"/>
      <c r="C881" s="120"/>
      <c r="D881" s="121"/>
      <c r="E881" s="129" t="str">
        <f>IF(F881="","",Formulario!B892)</f>
        <v/>
      </c>
      <c r="F881" s="11" t="str">
        <f>TRIM(Formulario!D892)</f>
        <v/>
      </c>
      <c r="G881" s="11" t="str">
        <f>TRIM(Formulario!F892)</f>
        <v/>
      </c>
      <c r="H881" s="146" t="str">
        <f>IF(N881="",TRIM(Formulario!G892),TRIM(Formulario!G892)*N881)</f>
        <v/>
      </c>
      <c r="I881" s="107" t="str">
        <f>TRIM(Formulario!I892)</f>
        <v/>
      </c>
      <c r="J881" s="11" t="str">
        <f>TRIM(Formulario!J892)</f>
        <v/>
      </c>
      <c r="K881" s="11" t="str">
        <f>TRIM(Formulario!K892)</f>
        <v/>
      </c>
      <c r="L881" s="107" t="str">
        <f>TRIM(Formulario!L892)</f>
        <v/>
      </c>
      <c r="M881" s="107" t="str">
        <f>TRIM(Formulario!M892)</f>
        <v/>
      </c>
      <c r="N881" s="11" t="str">
        <f>TRIM(Formulario!H892)</f>
        <v/>
      </c>
      <c r="P881" s="17"/>
      <c r="Q881" s="104"/>
      <c r="R881" s="104"/>
      <c r="S881" s="117"/>
      <c r="T881" s="101"/>
      <c r="U881" s="101"/>
      <c r="V881" s="101"/>
      <c r="W881" s="102"/>
      <c r="X881" s="102"/>
      <c r="Y881" s="102"/>
      <c r="Z881" s="102"/>
      <c r="AA881" s="102"/>
      <c r="AB881" s="102"/>
      <c r="AC881" s="102"/>
      <c r="AD881" s="102"/>
      <c r="AE881" s="102"/>
      <c r="AF881" s="102"/>
      <c r="AG881" s="102"/>
      <c r="AH881" s="102"/>
      <c r="AI881" s="102"/>
      <c r="AJ881" s="102"/>
      <c r="AK881" s="102"/>
      <c r="AL881" s="102"/>
      <c r="AM881" s="102"/>
      <c r="AN881" s="102"/>
      <c r="AO881" s="102"/>
      <c r="AP881" s="102"/>
      <c r="AQ881" s="102"/>
      <c r="AR881" s="102"/>
      <c r="AS881" s="102"/>
      <c r="AT881" s="102"/>
      <c r="AU881" s="102"/>
      <c r="AV881" s="102"/>
      <c r="AW881" s="102"/>
    </row>
    <row r="882" spans="1:49">
      <c r="A882" s="8" t="str">
        <f>IF(L882="","",Formulario!B893)</f>
        <v/>
      </c>
      <c r="B882" s="119"/>
      <c r="C882" s="120"/>
      <c r="D882" s="121"/>
      <c r="E882" s="129" t="str">
        <f>IF(F882="","",Formulario!B893)</f>
        <v/>
      </c>
      <c r="F882" s="11" t="str">
        <f>TRIM(Formulario!D893)</f>
        <v/>
      </c>
      <c r="G882" s="11" t="str">
        <f>TRIM(Formulario!F893)</f>
        <v/>
      </c>
      <c r="H882" s="146" t="str">
        <f>IF(N882="",TRIM(Formulario!G893),TRIM(Formulario!G893)*N882)</f>
        <v/>
      </c>
      <c r="I882" s="107" t="str">
        <f>TRIM(Formulario!I893)</f>
        <v/>
      </c>
      <c r="J882" s="11" t="str">
        <f>TRIM(Formulario!J893)</f>
        <v/>
      </c>
      <c r="K882" s="11" t="str">
        <f>TRIM(Formulario!K893)</f>
        <v/>
      </c>
      <c r="L882" s="107" t="str">
        <f>TRIM(Formulario!L893)</f>
        <v/>
      </c>
      <c r="M882" s="107" t="str">
        <f>TRIM(Formulario!M893)</f>
        <v/>
      </c>
      <c r="N882" s="11" t="str">
        <f>TRIM(Formulario!H893)</f>
        <v/>
      </c>
      <c r="P882" s="17"/>
      <c r="Q882" s="104"/>
      <c r="R882" s="104"/>
      <c r="S882" s="117"/>
      <c r="T882" s="101"/>
      <c r="U882" s="101"/>
      <c r="V882" s="101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</row>
    <row r="883" spans="1:49">
      <c r="A883" s="8" t="str">
        <f>IF(L883="","",Formulario!B894)</f>
        <v/>
      </c>
      <c r="B883" s="119"/>
      <c r="C883" s="120"/>
      <c r="D883" s="121"/>
      <c r="E883" s="129" t="str">
        <f>IF(F883="","",Formulario!B894)</f>
        <v/>
      </c>
      <c r="F883" s="11" t="str">
        <f>TRIM(Formulario!D894)</f>
        <v/>
      </c>
      <c r="G883" s="11" t="str">
        <f>TRIM(Formulario!F894)</f>
        <v/>
      </c>
      <c r="H883" s="146" t="str">
        <f>IF(N883="",TRIM(Formulario!G894),TRIM(Formulario!G894)*N883)</f>
        <v/>
      </c>
      <c r="I883" s="107" t="str">
        <f>TRIM(Formulario!I894)</f>
        <v/>
      </c>
      <c r="J883" s="11" t="str">
        <f>TRIM(Formulario!J894)</f>
        <v/>
      </c>
      <c r="K883" s="11" t="str">
        <f>TRIM(Formulario!K894)</f>
        <v/>
      </c>
      <c r="L883" s="107" t="str">
        <f>TRIM(Formulario!L894)</f>
        <v/>
      </c>
      <c r="M883" s="107" t="str">
        <f>TRIM(Formulario!M894)</f>
        <v/>
      </c>
      <c r="N883" s="11" t="str">
        <f>TRIM(Formulario!H894)</f>
        <v/>
      </c>
      <c r="P883" s="17"/>
      <c r="Q883" s="104"/>
      <c r="R883" s="104"/>
      <c r="S883" s="117"/>
      <c r="T883" s="101"/>
      <c r="U883" s="101"/>
      <c r="V883" s="101"/>
      <c r="W883" s="102"/>
      <c r="X883" s="102"/>
      <c r="Y883" s="102"/>
      <c r="Z883" s="102"/>
      <c r="AA883" s="102"/>
      <c r="AB883" s="102"/>
      <c r="AC883" s="102"/>
      <c r="AD883" s="102"/>
      <c r="AE883" s="102"/>
      <c r="AF883" s="102"/>
      <c r="AG883" s="102"/>
      <c r="AH883" s="102"/>
      <c r="AI883" s="102"/>
      <c r="AJ883" s="102"/>
      <c r="AK883" s="102"/>
      <c r="AL883" s="102"/>
      <c r="AM883" s="102"/>
      <c r="AN883" s="102"/>
      <c r="AO883" s="102"/>
      <c r="AP883" s="102"/>
      <c r="AQ883" s="102"/>
      <c r="AR883" s="102"/>
      <c r="AS883" s="102"/>
      <c r="AT883" s="102"/>
      <c r="AU883" s="102"/>
      <c r="AV883" s="102"/>
      <c r="AW883" s="102"/>
    </row>
    <row r="884" spans="1:49">
      <c r="A884" s="8" t="str">
        <f>IF(L884="","",Formulario!B895)</f>
        <v/>
      </c>
      <c r="B884" s="119"/>
      <c r="C884" s="120"/>
      <c r="D884" s="121"/>
      <c r="E884" s="129" t="str">
        <f>IF(F884="","",Formulario!B895)</f>
        <v/>
      </c>
      <c r="F884" s="11" t="str">
        <f>TRIM(Formulario!D895)</f>
        <v/>
      </c>
      <c r="G884" s="11" t="str">
        <f>TRIM(Formulario!F895)</f>
        <v/>
      </c>
      <c r="H884" s="146" t="str">
        <f>IF(N884="",TRIM(Formulario!G895),TRIM(Formulario!G895)*N884)</f>
        <v/>
      </c>
      <c r="I884" s="107" t="str">
        <f>TRIM(Formulario!I895)</f>
        <v/>
      </c>
      <c r="J884" s="11" t="str">
        <f>TRIM(Formulario!J895)</f>
        <v/>
      </c>
      <c r="K884" s="11" t="str">
        <f>TRIM(Formulario!K895)</f>
        <v/>
      </c>
      <c r="L884" s="107" t="str">
        <f>TRIM(Formulario!L895)</f>
        <v/>
      </c>
      <c r="M884" s="107" t="str">
        <f>TRIM(Formulario!M895)</f>
        <v/>
      </c>
      <c r="N884" s="11" t="str">
        <f>TRIM(Formulario!H895)</f>
        <v/>
      </c>
      <c r="P884" s="17"/>
      <c r="Q884" s="104"/>
      <c r="R884" s="104"/>
      <c r="S884" s="117"/>
      <c r="T884" s="101"/>
      <c r="U884" s="101"/>
      <c r="V884" s="101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</row>
    <row r="885" spans="1:49">
      <c r="A885" s="8" t="str">
        <f>IF(L885="","",Formulario!B896)</f>
        <v/>
      </c>
      <c r="B885" s="119"/>
      <c r="C885" s="120"/>
      <c r="D885" s="121"/>
      <c r="E885" s="129" t="str">
        <f>IF(F885="","",Formulario!B896)</f>
        <v/>
      </c>
      <c r="F885" s="11" t="str">
        <f>TRIM(Formulario!D896)</f>
        <v/>
      </c>
      <c r="G885" s="11" t="str">
        <f>TRIM(Formulario!F896)</f>
        <v/>
      </c>
      <c r="H885" s="146" t="str">
        <f>IF(N885="",TRIM(Formulario!G896),TRIM(Formulario!G896)*N885)</f>
        <v/>
      </c>
      <c r="I885" s="107" t="str">
        <f>TRIM(Formulario!I896)</f>
        <v/>
      </c>
      <c r="J885" s="11" t="str">
        <f>TRIM(Formulario!J896)</f>
        <v/>
      </c>
      <c r="K885" s="11" t="str">
        <f>TRIM(Formulario!K896)</f>
        <v/>
      </c>
      <c r="L885" s="107" t="str">
        <f>TRIM(Formulario!L896)</f>
        <v/>
      </c>
      <c r="M885" s="107" t="str">
        <f>TRIM(Formulario!M896)</f>
        <v/>
      </c>
      <c r="N885" s="11" t="str">
        <f>TRIM(Formulario!H896)</f>
        <v/>
      </c>
      <c r="P885" s="17"/>
      <c r="Q885" s="104"/>
      <c r="R885" s="104"/>
      <c r="S885" s="117"/>
      <c r="T885" s="101"/>
      <c r="U885" s="101"/>
      <c r="V885" s="101"/>
      <c r="W885" s="102"/>
      <c r="X885" s="102"/>
      <c r="Y885" s="102"/>
      <c r="Z885" s="102"/>
      <c r="AA885" s="102"/>
      <c r="AB885" s="102"/>
      <c r="AC885" s="102"/>
      <c r="AD885" s="102"/>
      <c r="AE885" s="102"/>
      <c r="AF885" s="102"/>
      <c r="AG885" s="102"/>
      <c r="AH885" s="102"/>
      <c r="AI885" s="102"/>
      <c r="AJ885" s="102"/>
      <c r="AK885" s="102"/>
      <c r="AL885" s="102"/>
      <c r="AM885" s="102"/>
      <c r="AN885" s="102"/>
      <c r="AO885" s="102"/>
      <c r="AP885" s="102"/>
      <c r="AQ885" s="102"/>
      <c r="AR885" s="102"/>
      <c r="AS885" s="102"/>
      <c r="AT885" s="102"/>
      <c r="AU885" s="102"/>
      <c r="AV885" s="102"/>
      <c r="AW885" s="102"/>
    </row>
    <row r="886" spans="1:49">
      <c r="A886" s="8" t="str">
        <f>IF(L886="","",Formulario!B897)</f>
        <v/>
      </c>
      <c r="B886" s="119"/>
      <c r="C886" s="120"/>
      <c r="D886" s="121"/>
      <c r="E886" s="129" t="str">
        <f>IF(F886="","",Formulario!B897)</f>
        <v/>
      </c>
      <c r="F886" s="11" t="str">
        <f>TRIM(Formulario!D897)</f>
        <v/>
      </c>
      <c r="G886" s="11" t="str">
        <f>TRIM(Formulario!F897)</f>
        <v/>
      </c>
      <c r="H886" s="146" t="str">
        <f>IF(N886="",TRIM(Formulario!G897),TRIM(Formulario!G897)*N886)</f>
        <v/>
      </c>
      <c r="I886" s="107" t="str">
        <f>TRIM(Formulario!I897)</f>
        <v/>
      </c>
      <c r="J886" s="11" t="str">
        <f>TRIM(Formulario!J897)</f>
        <v/>
      </c>
      <c r="K886" s="11" t="str">
        <f>TRIM(Formulario!K897)</f>
        <v/>
      </c>
      <c r="L886" s="107" t="str">
        <f>TRIM(Formulario!L897)</f>
        <v/>
      </c>
      <c r="M886" s="107" t="str">
        <f>TRIM(Formulario!M897)</f>
        <v/>
      </c>
      <c r="N886" s="11" t="str">
        <f>TRIM(Formulario!H897)</f>
        <v/>
      </c>
      <c r="P886" s="17"/>
      <c r="Q886" s="104"/>
      <c r="R886" s="104"/>
      <c r="S886" s="117"/>
      <c r="T886" s="101"/>
      <c r="U886" s="101"/>
      <c r="V886" s="101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</row>
    <row r="887" spans="1:49">
      <c r="A887" s="8" t="str">
        <f>IF(L887="","",Formulario!B898)</f>
        <v/>
      </c>
      <c r="B887" s="119"/>
      <c r="C887" s="120"/>
      <c r="D887" s="121"/>
      <c r="E887" s="129" t="str">
        <f>IF(F887="","",Formulario!B898)</f>
        <v/>
      </c>
      <c r="F887" s="11" t="str">
        <f>TRIM(Formulario!D898)</f>
        <v/>
      </c>
      <c r="G887" s="11" t="str">
        <f>TRIM(Formulario!F898)</f>
        <v/>
      </c>
      <c r="H887" s="146" t="str">
        <f>IF(N887="",TRIM(Formulario!G898),TRIM(Formulario!G898)*N887)</f>
        <v/>
      </c>
      <c r="I887" s="107" t="str">
        <f>TRIM(Formulario!I898)</f>
        <v/>
      </c>
      <c r="J887" s="11" t="str">
        <f>TRIM(Formulario!J898)</f>
        <v/>
      </c>
      <c r="K887" s="11" t="str">
        <f>TRIM(Formulario!K898)</f>
        <v/>
      </c>
      <c r="L887" s="107" t="str">
        <f>TRIM(Formulario!L898)</f>
        <v/>
      </c>
      <c r="M887" s="107" t="str">
        <f>TRIM(Formulario!M898)</f>
        <v/>
      </c>
      <c r="N887" s="11" t="str">
        <f>TRIM(Formulario!H898)</f>
        <v/>
      </c>
      <c r="P887" s="17"/>
      <c r="Q887" s="104"/>
      <c r="R887" s="104"/>
      <c r="S887" s="117"/>
      <c r="T887" s="101"/>
      <c r="U887" s="101"/>
      <c r="V887" s="101"/>
      <c r="W887" s="102"/>
      <c r="X887" s="102"/>
      <c r="Y887" s="102"/>
      <c r="Z887" s="102"/>
      <c r="AA887" s="102"/>
      <c r="AB887" s="102"/>
      <c r="AC887" s="102"/>
      <c r="AD887" s="102"/>
      <c r="AE887" s="102"/>
      <c r="AF887" s="102"/>
      <c r="AG887" s="102"/>
      <c r="AH887" s="102"/>
      <c r="AI887" s="102"/>
      <c r="AJ887" s="102"/>
      <c r="AK887" s="102"/>
      <c r="AL887" s="102"/>
      <c r="AM887" s="102"/>
      <c r="AN887" s="102"/>
      <c r="AO887" s="102"/>
      <c r="AP887" s="102"/>
      <c r="AQ887" s="102"/>
      <c r="AR887" s="102"/>
      <c r="AS887" s="102"/>
      <c r="AT887" s="102"/>
      <c r="AU887" s="102"/>
      <c r="AV887" s="102"/>
      <c r="AW887" s="102"/>
    </row>
    <row r="888" spans="1:49">
      <c r="A888" s="8" t="str">
        <f>IF(L888="","",Formulario!B899)</f>
        <v/>
      </c>
      <c r="B888" s="119"/>
      <c r="C888" s="120"/>
      <c r="D888" s="121"/>
      <c r="E888" s="129" t="str">
        <f>IF(F888="","",Formulario!B899)</f>
        <v/>
      </c>
      <c r="F888" s="11" t="str">
        <f>TRIM(Formulario!D899)</f>
        <v/>
      </c>
      <c r="G888" s="11" t="str">
        <f>TRIM(Formulario!F899)</f>
        <v/>
      </c>
      <c r="H888" s="146" t="str">
        <f>IF(N888="",TRIM(Formulario!G899),TRIM(Formulario!G899)*N888)</f>
        <v/>
      </c>
      <c r="I888" s="107" t="str">
        <f>TRIM(Formulario!I899)</f>
        <v/>
      </c>
      <c r="J888" s="11" t="str">
        <f>TRIM(Formulario!J899)</f>
        <v/>
      </c>
      <c r="K888" s="11" t="str">
        <f>TRIM(Formulario!K899)</f>
        <v/>
      </c>
      <c r="L888" s="107" t="str">
        <f>TRIM(Formulario!L899)</f>
        <v/>
      </c>
      <c r="M888" s="107" t="str">
        <f>TRIM(Formulario!M899)</f>
        <v/>
      </c>
      <c r="N888" s="11" t="str">
        <f>TRIM(Formulario!H899)</f>
        <v/>
      </c>
      <c r="P888" s="17"/>
      <c r="Q888" s="104"/>
      <c r="R888" s="104"/>
      <c r="S888" s="117"/>
      <c r="T888" s="101"/>
      <c r="U888" s="101"/>
      <c r="V888" s="101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</row>
    <row r="889" spans="1:49">
      <c r="A889" s="8" t="str">
        <f>IF(L889="","",Formulario!B900)</f>
        <v/>
      </c>
      <c r="B889" s="119"/>
      <c r="C889" s="120"/>
      <c r="D889" s="121"/>
      <c r="E889" s="129" t="str">
        <f>IF(F889="","",Formulario!B900)</f>
        <v/>
      </c>
      <c r="F889" s="11" t="str">
        <f>TRIM(Formulario!D900)</f>
        <v/>
      </c>
      <c r="G889" s="11" t="str">
        <f>TRIM(Formulario!F900)</f>
        <v/>
      </c>
      <c r="H889" s="146" t="str">
        <f>IF(N889="",TRIM(Formulario!G900),TRIM(Formulario!G900)*N889)</f>
        <v/>
      </c>
      <c r="I889" s="107" t="str">
        <f>TRIM(Formulario!I900)</f>
        <v/>
      </c>
      <c r="J889" s="11" t="str">
        <f>TRIM(Formulario!J900)</f>
        <v/>
      </c>
      <c r="K889" s="11" t="str">
        <f>TRIM(Formulario!K900)</f>
        <v/>
      </c>
      <c r="L889" s="107" t="str">
        <f>TRIM(Formulario!L900)</f>
        <v/>
      </c>
      <c r="M889" s="107" t="str">
        <f>TRIM(Formulario!M900)</f>
        <v/>
      </c>
      <c r="N889" s="11" t="str">
        <f>TRIM(Formulario!H900)</f>
        <v/>
      </c>
      <c r="P889" s="17"/>
      <c r="Q889" s="104"/>
      <c r="R889" s="104"/>
      <c r="S889" s="117"/>
      <c r="T889" s="101"/>
      <c r="U889" s="101"/>
      <c r="V889" s="101"/>
      <c r="W889" s="102"/>
      <c r="X889" s="102"/>
      <c r="Y889" s="102"/>
      <c r="Z889" s="102"/>
      <c r="AA889" s="102"/>
      <c r="AB889" s="102"/>
      <c r="AC889" s="102"/>
      <c r="AD889" s="102"/>
      <c r="AE889" s="102"/>
      <c r="AF889" s="102"/>
      <c r="AG889" s="102"/>
      <c r="AH889" s="102"/>
      <c r="AI889" s="102"/>
      <c r="AJ889" s="102"/>
      <c r="AK889" s="102"/>
      <c r="AL889" s="102"/>
      <c r="AM889" s="102"/>
      <c r="AN889" s="102"/>
      <c r="AO889" s="102"/>
      <c r="AP889" s="102"/>
      <c r="AQ889" s="102"/>
      <c r="AR889" s="102"/>
      <c r="AS889" s="102"/>
      <c r="AT889" s="102"/>
      <c r="AU889" s="102"/>
      <c r="AV889" s="102"/>
      <c r="AW889" s="102"/>
    </row>
    <row r="890" spans="1:49">
      <c r="A890" s="8" t="str">
        <f>IF(L890="","",Formulario!B901)</f>
        <v/>
      </c>
      <c r="B890" s="119"/>
      <c r="C890" s="120"/>
      <c r="D890" s="121"/>
      <c r="E890" s="129" t="str">
        <f>IF(F890="","",Formulario!B901)</f>
        <v/>
      </c>
      <c r="F890" s="11" t="str">
        <f>TRIM(Formulario!D901)</f>
        <v/>
      </c>
      <c r="G890" s="11" t="str">
        <f>TRIM(Formulario!F901)</f>
        <v/>
      </c>
      <c r="H890" s="146" t="str">
        <f>IF(N890="",TRIM(Formulario!G901),TRIM(Formulario!G901)*N890)</f>
        <v/>
      </c>
      <c r="I890" s="107" t="str">
        <f>TRIM(Formulario!I901)</f>
        <v/>
      </c>
      <c r="J890" s="11" t="str">
        <f>TRIM(Formulario!J901)</f>
        <v/>
      </c>
      <c r="K890" s="11" t="str">
        <f>TRIM(Formulario!K901)</f>
        <v/>
      </c>
      <c r="L890" s="107" t="str">
        <f>TRIM(Formulario!L901)</f>
        <v/>
      </c>
      <c r="M890" s="107" t="str">
        <f>TRIM(Formulario!M901)</f>
        <v/>
      </c>
      <c r="N890" s="11" t="str">
        <f>TRIM(Formulario!H901)</f>
        <v/>
      </c>
      <c r="P890" s="17"/>
      <c r="Q890" s="104"/>
      <c r="R890" s="104"/>
      <c r="S890" s="117"/>
      <c r="T890" s="101"/>
      <c r="U890" s="101"/>
      <c r="V890" s="101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</row>
    <row r="891" spans="1:49">
      <c r="A891" s="8" t="str">
        <f>IF(L891="","",Formulario!B902)</f>
        <v/>
      </c>
      <c r="B891" s="119"/>
      <c r="C891" s="120"/>
      <c r="D891" s="121"/>
      <c r="E891" s="129" t="str">
        <f>IF(F891="","",Formulario!B902)</f>
        <v/>
      </c>
      <c r="F891" s="11" t="str">
        <f>TRIM(Formulario!D902)</f>
        <v/>
      </c>
      <c r="G891" s="11" t="str">
        <f>TRIM(Formulario!F902)</f>
        <v/>
      </c>
      <c r="H891" s="146" t="str">
        <f>IF(N891="",TRIM(Formulario!G902),TRIM(Formulario!G902)*N891)</f>
        <v/>
      </c>
      <c r="I891" s="107" t="str">
        <f>TRIM(Formulario!I902)</f>
        <v/>
      </c>
      <c r="J891" s="11" t="str">
        <f>TRIM(Formulario!J902)</f>
        <v/>
      </c>
      <c r="K891" s="11" t="str">
        <f>TRIM(Formulario!K902)</f>
        <v/>
      </c>
      <c r="L891" s="107" t="str">
        <f>TRIM(Formulario!L902)</f>
        <v/>
      </c>
      <c r="M891" s="107" t="str">
        <f>TRIM(Formulario!M902)</f>
        <v/>
      </c>
      <c r="N891" s="11" t="str">
        <f>TRIM(Formulario!H902)</f>
        <v/>
      </c>
      <c r="P891" s="17"/>
      <c r="Q891" s="104"/>
      <c r="R891" s="104"/>
      <c r="S891" s="117"/>
      <c r="T891" s="101"/>
      <c r="U891" s="101"/>
      <c r="V891" s="101"/>
      <c r="W891" s="102"/>
      <c r="X891" s="102"/>
      <c r="Y891" s="102"/>
      <c r="Z891" s="102"/>
      <c r="AA891" s="102"/>
      <c r="AB891" s="102"/>
      <c r="AC891" s="102"/>
      <c r="AD891" s="102"/>
      <c r="AE891" s="102"/>
      <c r="AF891" s="102"/>
      <c r="AG891" s="102"/>
      <c r="AH891" s="102"/>
      <c r="AI891" s="102"/>
      <c r="AJ891" s="102"/>
      <c r="AK891" s="102"/>
      <c r="AL891" s="102"/>
      <c r="AM891" s="102"/>
      <c r="AN891" s="102"/>
      <c r="AO891" s="102"/>
      <c r="AP891" s="102"/>
      <c r="AQ891" s="102"/>
      <c r="AR891" s="102"/>
      <c r="AS891" s="102"/>
      <c r="AT891" s="102"/>
      <c r="AU891" s="102"/>
      <c r="AV891" s="102"/>
      <c r="AW891" s="102"/>
    </row>
    <row r="892" spans="1:49">
      <c r="A892" s="8" t="str">
        <f>IF(L892="","",Formulario!B903)</f>
        <v/>
      </c>
      <c r="B892" s="119"/>
      <c r="C892" s="120"/>
      <c r="D892" s="121"/>
      <c r="E892" s="129" t="str">
        <f>IF(F892="","",Formulario!B903)</f>
        <v/>
      </c>
      <c r="F892" s="11" t="str">
        <f>TRIM(Formulario!D903)</f>
        <v/>
      </c>
      <c r="G892" s="11" t="str">
        <f>TRIM(Formulario!F903)</f>
        <v/>
      </c>
      <c r="H892" s="146" t="str">
        <f>IF(N892="",TRIM(Formulario!G903),TRIM(Formulario!G903)*N892)</f>
        <v/>
      </c>
      <c r="I892" s="107" t="str">
        <f>TRIM(Formulario!I903)</f>
        <v/>
      </c>
      <c r="J892" s="11" t="str">
        <f>TRIM(Formulario!J903)</f>
        <v/>
      </c>
      <c r="K892" s="11" t="str">
        <f>TRIM(Formulario!K903)</f>
        <v/>
      </c>
      <c r="L892" s="107" t="str">
        <f>TRIM(Formulario!L903)</f>
        <v/>
      </c>
      <c r="M892" s="107" t="str">
        <f>TRIM(Formulario!M903)</f>
        <v/>
      </c>
      <c r="N892" s="11" t="str">
        <f>TRIM(Formulario!H903)</f>
        <v/>
      </c>
      <c r="P892" s="17"/>
      <c r="Q892" s="104"/>
      <c r="R892" s="104"/>
      <c r="S892" s="117"/>
      <c r="T892" s="101"/>
      <c r="U892" s="101"/>
      <c r="V892" s="101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</row>
    <row r="893" spans="1:49">
      <c r="A893" s="8" t="str">
        <f>IF(L893="","",Formulario!B904)</f>
        <v/>
      </c>
      <c r="B893" s="119"/>
      <c r="C893" s="120"/>
      <c r="D893" s="121"/>
      <c r="E893" s="129" t="str">
        <f>IF(F893="","",Formulario!B904)</f>
        <v/>
      </c>
      <c r="F893" s="11" t="str">
        <f>TRIM(Formulario!D904)</f>
        <v/>
      </c>
      <c r="G893" s="11" t="str">
        <f>TRIM(Formulario!F904)</f>
        <v/>
      </c>
      <c r="H893" s="146" t="str">
        <f>IF(N893="",TRIM(Formulario!G904),TRIM(Formulario!G904)*N893)</f>
        <v/>
      </c>
      <c r="I893" s="107" t="str">
        <f>TRIM(Formulario!I904)</f>
        <v/>
      </c>
      <c r="J893" s="11" t="str">
        <f>TRIM(Formulario!J904)</f>
        <v/>
      </c>
      <c r="K893" s="11" t="str">
        <f>TRIM(Formulario!K904)</f>
        <v/>
      </c>
      <c r="L893" s="107" t="str">
        <f>TRIM(Formulario!L904)</f>
        <v/>
      </c>
      <c r="M893" s="107" t="str">
        <f>TRIM(Formulario!M904)</f>
        <v/>
      </c>
      <c r="N893" s="11" t="str">
        <f>TRIM(Formulario!H904)</f>
        <v/>
      </c>
      <c r="P893" s="17"/>
      <c r="Q893" s="104"/>
      <c r="R893" s="104"/>
      <c r="S893" s="117"/>
      <c r="T893" s="101"/>
      <c r="U893" s="101"/>
      <c r="V893" s="101"/>
      <c r="W893" s="102"/>
      <c r="X893" s="102"/>
      <c r="Y893" s="102"/>
      <c r="Z893" s="102"/>
      <c r="AA893" s="102"/>
      <c r="AB893" s="102"/>
      <c r="AC893" s="102"/>
      <c r="AD893" s="102"/>
      <c r="AE893" s="102"/>
      <c r="AF893" s="102"/>
      <c r="AG893" s="102"/>
      <c r="AH893" s="102"/>
      <c r="AI893" s="102"/>
      <c r="AJ893" s="102"/>
      <c r="AK893" s="102"/>
      <c r="AL893" s="102"/>
      <c r="AM893" s="102"/>
      <c r="AN893" s="102"/>
      <c r="AO893" s="102"/>
      <c r="AP893" s="102"/>
      <c r="AQ893" s="102"/>
      <c r="AR893" s="102"/>
      <c r="AS893" s="102"/>
      <c r="AT893" s="102"/>
      <c r="AU893" s="102"/>
      <c r="AV893" s="102"/>
      <c r="AW893" s="102"/>
    </row>
    <row r="894" spans="1:49">
      <c r="A894" s="8" t="str">
        <f>IF(L894="","",Formulario!B905)</f>
        <v/>
      </c>
      <c r="B894" s="119"/>
      <c r="C894" s="120"/>
      <c r="D894" s="121"/>
      <c r="E894" s="129" t="str">
        <f>IF(F894="","",Formulario!B905)</f>
        <v/>
      </c>
      <c r="F894" s="11" t="str">
        <f>TRIM(Formulario!D905)</f>
        <v/>
      </c>
      <c r="G894" s="11" t="str">
        <f>TRIM(Formulario!F905)</f>
        <v/>
      </c>
      <c r="H894" s="146" t="str">
        <f>IF(N894="",TRIM(Formulario!G905),TRIM(Formulario!G905)*N894)</f>
        <v/>
      </c>
      <c r="I894" s="107" t="str">
        <f>TRIM(Formulario!I905)</f>
        <v/>
      </c>
      <c r="J894" s="11" t="str">
        <f>TRIM(Formulario!J905)</f>
        <v/>
      </c>
      <c r="K894" s="11" t="str">
        <f>TRIM(Formulario!K905)</f>
        <v/>
      </c>
      <c r="L894" s="107" t="str">
        <f>TRIM(Formulario!L905)</f>
        <v/>
      </c>
      <c r="M894" s="107" t="str">
        <f>TRIM(Formulario!M905)</f>
        <v/>
      </c>
      <c r="N894" s="11" t="str">
        <f>TRIM(Formulario!H905)</f>
        <v/>
      </c>
      <c r="P894" s="17"/>
      <c r="Q894" s="104"/>
      <c r="R894" s="104"/>
      <c r="S894" s="117"/>
      <c r="T894" s="101"/>
      <c r="U894" s="101"/>
      <c r="V894" s="101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</row>
    <row r="895" spans="1:49">
      <c r="A895" s="8" t="str">
        <f>IF(L895="","",Formulario!B906)</f>
        <v/>
      </c>
      <c r="B895" s="119"/>
      <c r="C895" s="120"/>
      <c r="D895" s="121"/>
      <c r="E895" s="129" t="str">
        <f>IF(F895="","",Formulario!B906)</f>
        <v/>
      </c>
      <c r="F895" s="11" t="str">
        <f>TRIM(Formulario!D906)</f>
        <v/>
      </c>
      <c r="G895" s="11" t="str">
        <f>TRIM(Formulario!F906)</f>
        <v/>
      </c>
      <c r="H895" s="146" t="str">
        <f>IF(N895="",TRIM(Formulario!G906),TRIM(Formulario!G906)*N895)</f>
        <v/>
      </c>
      <c r="I895" s="107" t="str">
        <f>TRIM(Formulario!I906)</f>
        <v/>
      </c>
      <c r="J895" s="11" t="str">
        <f>TRIM(Formulario!J906)</f>
        <v/>
      </c>
      <c r="K895" s="11" t="str">
        <f>TRIM(Formulario!K906)</f>
        <v/>
      </c>
      <c r="L895" s="107" t="str">
        <f>TRIM(Formulario!L906)</f>
        <v/>
      </c>
      <c r="M895" s="107" t="str">
        <f>TRIM(Formulario!M906)</f>
        <v/>
      </c>
      <c r="N895" s="11" t="str">
        <f>TRIM(Formulario!H906)</f>
        <v/>
      </c>
      <c r="P895" s="17"/>
      <c r="Q895" s="104"/>
      <c r="R895" s="104"/>
      <c r="S895" s="117"/>
      <c r="T895" s="101"/>
      <c r="U895" s="101"/>
      <c r="V895" s="101"/>
      <c r="W895" s="102"/>
      <c r="X895" s="102"/>
      <c r="Y895" s="102"/>
      <c r="Z895" s="102"/>
      <c r="AA895" s="102"/>
      <c r="AB895" s="102"/>
      <c r="AC895" s="102"/>
      <c r="AD895" s="102"/>
      <c r="AE895" s="102"/>
      <c r="AF895" s="102"/>
      <c r="AG895" s="102"/>
      <c r="AH895" s="102"/>
      <c r="AI895" s="102"/>
      <c r="AJ895" s="102"/>
      <c r="AK895" s="102"/>
      <c r="AL895" s="102"/>
      <c r="AM895" s="102"/>
      <c r="AN895" s="102"/>
      <c r="AO895" s="102"/>
      <c r="AP895" s="102"/>
      <c r="AQ895" s="102"/>
      <c r="AR895" s="102"/>
      <c r="AS895" s="102"/>
      <c r="AT895" s="102"/>
      <c r="AU895" s="102"/>
      <c r="AV895" s="102"/>
      <c r="AW895" s="102"/>
    </row>
    <row r="896" spans="1:49">
      <c r="A896" s="8" t="str">
        <f>IF(L896="","",Formulario!B907)</f>
        <v/>
      </c>
      <c r="B896" s="119"/>
      <c r="C896" s="120"/>
      <c r="D896" s="121"/>
      <c r="E896" s="129" t="str">
        <f>IF(F896="","",Formulario!B907)</f>
        <v/>
      </c>
      <c r="F896" s="11" t="str">
        <f>TRIM(Formulario!D907)</f>
        <v/>
      </c>
      <c r="G896" s="11" t="str">
        <f>TRIM(Formulario!F907)</f>
        <v/>
      </c>
      <c r="H896" s="146" t="str">
        <f>IF(N896="",TRIM(Formulario!G907),TRIM(Formulario!G907)*N896)</f>
        <v/>
      </c>
      <c r="I896" s="107" t="str">
        <f>TRIM(Formulario!I907)</f>
        <v/>
      </c>
      <c r="J896" s="11" t="str">
        <f>TRIM(Formulario!J907)</f>
        <v/>
      </c>
      <c r="K896" s="11" t="str">
        <f>TRIM(Formulario!K907)</f>
        <v/>
      </c>
      <c r="L896" s="107" t="str">
        <f>TRIM(Formulario!L907)</f>
        <v/>
      </c>
      <c r="M896" s="107" t="str">
        <f>TRIM(Formulario!M907)</f>
        <v/>
      </c>
      <c r="N896" s="11" t="str">
        <f>TRIM(Formulario!H907)</f>
        <v/>
      </c>
      <c r="P896" s="17"/>
      <c r="Q896" s="104"/>
      <c r="R896" s="104"/>
      <c r="S896" s="117"/>
      <c r="T896" s="101"/>
      <c r="U896" s="101"/>
      <c r="V896" s="101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</row>
    <row r="897" spans="1:49">
      <c r="A897" s="8" t="str">
        <f>IF(L897="","",Formulario!B908)</f>
        <v/>
      </c>
      <c r="B897" s="119"/>
      <c r="C897" s="120"/>
      <c r="D897" s="121"/>
      <c r="E897" s="129" t="str">
        <f>IF(F897="","",Formulario!B908)</f>
        <v/>
      </c>
      <c r="F897" s="11" t="str">
        <f>TRIM(Formulario!D908)</f>
        <v/>
      </c>
      <c r="G897" s="11" t="str">
        <f>TRIM(Formulario!F908)</f>
        <v/>
      </c>
      <c r="H897" s="146" t="str">
        <f>IF(N897="",TRIM(Formulario!G908),TRIM(Formulario!G908)*N897)</f>
        <v/>
      </c>
      <c r="I897" s="107" t="str">
        <f>TRIM(Formulario!I908)</f>
        <v/>
      </c>
      <c r="J897" s="11" t="str">
        <f>TRIM(Formulario!J908)</f>
        <v/>
      </c>
      <c r="K897" s="11" t="str">
        <f>TRIM(Formulario!K908)</f>
        <v/>
      </c>
      <c r="L897" s="107" t="str">
        <f>TRIM(Formulario!L908)</f>
        <v/>
      </c>
      <c r="M897" s="107" t="str">
        <f>TRIM(Formulario!M908)</f>
        <v/>
      </c>
      <c r="N897" s="11" t="str">
        <f>TRIM(Formulario!H908)</f>
        <v/>
      </c>
      <c r="P897" s="17"/>
      <c r="Q897" s="104"/>
      <c r="R897" s="104"/>
      <c r="S897" s="117"/>
      <c r="T897" s="101"/>
      <c r="U897" s="101"/>
      <c r="V897" s="101"/>
      <c r="W897" s="102"/>
      <c r="X897" s="102"/>
      <c r="Y897" s="102"/>
      <c r="Z897" s="102"/>
      <c r="AA897" s="102"/>
      <c r="AB897" s="102"/>
      <c r="AC897" s="102"/>
      <c r="AD897" s="102"/>
      <c r="AE897" s="102"/>
      <c r="AF897" s="102"/>
      <c r="AG897" s="102"/>
      <c r="AH897" s="102"/>
      <c r="AI897" s="102"/>
      <c r="AJ897" s="102"/>
      <c r="AK897" s="102"/>
      <c r="AL897" s="102"/>
      <c r="AM897" s="102"/>
      <c r="AN897" s="102"/>
      <c r="AO897" s="102"/>
      <c r="AP897" s="102"/>
      <c r="AQ897" s="102"/>
      <c r="AR897" s="102"/>
      <c r="AS897" s="102"/>
      <c r="AT897" s="102"/>
      <c r="AU897" s="102"/>
      <c r="AV897" s="102"/>
      <c r="AW897" s="102"/>
    </row>
    <row r="898" spans="1:49">
      <c r="A898" s="8" t="str">
        <f>IF(L898="","",Formulario!B909)</f>
        <v/>
      </c>
      <c r="B898" s="119"/>
      <c r="C898" s="120"/>
      <c r="D898" s="121"/>
      <c r="E898" s="129" t="str">
        <f>IF(F898="","",Formulario!B909)</f>
        <v/>
      </c>
      <c r="F898" s="11" t="str">
        <f>TRIM(Formulario!D909)</f>
        <v/>
      </c>
      <c r="G898" s="11" t="str">
        <f>TRIM(Formulario!F909)</f>
        <v/>
      </c>
      <c r="H898" s="146" t="str">
        <f>IF(N898="",TRIM(Formulario!G909),TRIM(Formulario!G909)*N898)</f>
        <v/>
      </c>
      <c r="I898" s="107" t="str">
        <f>TRIM(Formulario!I909)</f>
        <v/>
      </c>
      <c r="J898" s="11" t="str">
        <f>TRIM(Formulario!J909)</f>
        <v/>
      </c>
      <c r="K898" s="11" t="str">
        <f>TRIM(Formulario!K909)</f>
        <v/>
      </c>
      <c r="L898" s="107" t="str">
        <f>TRIM(Formulario!L909)</f>
        <v/>
      </c>
      <c r="M898" s="107" t="str">
        <f>TRIM(Formulario!M909)</f>
        <v/>
      </c>
      <c r="N898" s="11" t="str">
        <f>TRIM(Formulario!H909)</f>
        <v/>
      </c>
      <c r="P898" s="17"/>
      <c r="Q898" s="104"/>
      <c r="R898" s="104"/>
      <c r="S898" s="117"/>
      <c r="T898" s="101"/>
      <c r="U898" s="101"/>
      <c r="V898" s="101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</row>
    <row r="899" spans="1:49">
      <c r="A899" s="8" t="str">
        <f>IF(L899="","",Formulario!B910)</f>
        <v/>
      </c>
      <c r="B899" s="119"/>
      <c r="C899" s="120"/>
      <c r="D899" s="121"/>
      <c r="E899" s="129" t="str">
        <f>IF(F899="","",Formulario!B910)</f>
        <v/>
      </c>
      <c r="F899" s="11" t="str">
        <f>TRIM(Formulario!D910)</f>
        <v/>
      </c>
      <c r="G899" s="11" t="str">
        <f>TRIM(Formulario!F910)</f>
        <v/>
      </c>
      <c r="H899" s="146" t="str">
        <f>IF(N899="",TRIM(Formulario!G910),TRIM(Formulario!G910)*N899)</f>
        <v/>
      </c>
      <c r="I899" s="107" t="str">
        <f>TRIM(Formulario!I910)</f>
        <v/>
      </c>
      <c r="J899" s="11" t="str">
        <f>TRIM(Formulario!J910)</f>
        <v/>
      </c>
      <c r="K899" s="11" t="str">
        <f>TRIM(Formulario!K910)</f>
        <v/>
      </c>
      <c r="L899" s="107" t="str">
        <f>TRIM(Formulario!L910)</f>
        <v/>
      </c>
      <c r="M899" s="107" t="str">
        <f>TRIM(Formulario!M910)</f>
        <v/>
      </c>
      <c r="N899" s="11" t="str">
        <f>TRIM(Formulario!H910)</f>
        <v/>
      </c>
      <c r="P899" s="17"/>
      <c r="Q899" s="104"/>
      <c r="R899" s="104"/>
      <c r="S899" s="117"/>
      <c r="T899" s="101"/>
      <c r="U899" s="101"/>
      <c r="V899" s="101"/>
      <c r="W899" s="102"/>
      <c r="X899" s="102"/>
      <c r="Y899" s="102"/>
      <c r="Z899" s="102"/>
      <c r="AA899" s="102"/>
      <c r="AB899" s="102"/>
      <c r="AC899" s="102"/>
      <c r="AD899" s="102"/>
      <c r="AE899" s="102"/>
      <c r="AF899" s="102"/>
      <c r="AG899" s="102"/>
      <c r="AH899" s="102"/>
      <c r="AI899" s="102"/>
      <c r="AJ899" s="102"/>
      <c r="AK899" s="102"/>
      <c r="AL899" s="102"/>
      <c r="AM899" s="102"/>
      <c r="AN899" s="102"/>
      <c r="AO899" s="102"/>
      <c r="AP899" s="102"/>
      <c r="AQ899" s="102"/>
      <c r="AR899" s="102"/>
      <c r="AS899" s="102"/>
      <c r="AT899" s="102"/>
      <c r="AU899" s="102"/>
      <c r="AV899" s="102"/>
      <c r="AW899" s="102"/>
    </row>
    <row r="900" spans="1:49">
      <c r="A900" s="8" t="str">
        <f>IF(L900="","",Formulario!B911)</f>
        <v/>
      </c>
      <c r="B900" s="119"/>
      <c r="C900" s="120"/>
      <c r="D900" s="121"/>
      <c r="E900" s="129" t="str">
        <f>IF(F900="","",Formulario!B911)</f>
        <v/>
      </c>
      <c r="F900" s="11" t="str">
        <f>TRIM(Formulario!D911)</f>
        <v/>
      </c>
      <c r="G900" s="11" t="str">
        <f>TRIM(Formulario!F911)</f>
        <v/>
      </c>
      <c r="H900" s="146" t="str">
        <f>IF(N900="",TRIM(Formulario!G911),TRIM(Formulario!G911)*N900)</f>
        <v/>
      </c>
      <c r="I900" s="107" t="str">
        <f>TRIM(Formulario!I911)</f>
        <v/>
      </c>
      <c r="J900" s="11" t="str">
        <f>TRIM(Formulario!J911)</f>
        <v/>
      </c>
      <c r="K900" s="11" t="str">
        <f>TRIM(Formulario!K911)</f>
        <v/>
      </c>
      <c r="L900" s="107" t="str">
        <f>TRIM(Formulario!L911)</f>
        <v/>
      </c>
      <c r="M900" s="107" t="str">
        <f>TRIM(Formulario!M911)</f>
        <v/>
      </c>
      <c r="N900" s="11" t="str">
        <f>TRIM(Formulario!H911)</f>
        <v/>
      </c>
      <c r="P900" s="17"/>
      <c r="Q900" s="104"/>
      <c r="R900" s="104"/>
      <c r="S900" s="117"/>
      <c r="T900" s="101"/>
      <c r="U900" s="101"/>
      <c r="V900" s="101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</row>
    <row r="901" spans="1:49">
      <c r="A901" s="8" t="str">
        <f>IF(L901="","",Formulario!B912)</f>
        <v/>
      </c>
      <c r="B901" s="119"/>
      <c r="C901" s="120"/>
      <c r="D901" s="121"/>
      <c r="E901" s="129" t="str">
        <f>IF(F901="","",Formulario!B912)</f>
        <v/>
      </c>
      <c r="F901" s="11" t="str">
        <f>TRIM(Formulario!D912)</f>
        <v/>
      </c>
      <c r="G901" s="11" t="str">
        <f>TRIM(Formulario!F912)</f>
        <v/>
      </c>
      <c r="H901" s="146" t="str">
        <f>IF(N901="",TRIM(Formulario!G912),TRIM(Formulario!G912)*N901)</f>
        <v/>
      </c>
      <c r="I901" s="107" t="str">
        <f>TRIM(Formulario!I912)</f>
        <v/>
      </c>
      <c r="J901" s="11" t="str">
        <f>TRIM(Formulario!J912)</f>
        <v/>
      </c>
      <c r="K901" s="11" t="str">
        <f>TRIM(Formulario!K912)</f>
        <v/>
      </c>
      <c r="L901" s="107" t="str">
        <f>TRIM(Formulario!L912)</f>
        <v/>
      </c>
      <c r="M901" s="107" t="str">
        <f>TRIM(Formulario!M912)</f>
        <v/>
      </c>
      <c r="N901" s="11" t="str">
        <f>TRIM(Formulario!H912)</f>
        <v/>
      </c>
      <c r="P901" s="17"/>
      <c r="Q901" s="104"/>
      <c r="R901" s="104"/>
      <c r="S901" s="117"/>
      <c r="T901" s="101"/>
      <c r="U901" s="101"/>
      <c r="V901" s="101"/>
      <c r="W901" s="102"/>
      <c r="X901" s="102"/>
      <c r="Y901" s="102"/>
      <c r="Z901" s="102"/>
      <c r="AA901" s="102"/>
      <c r="AB901" s="102"/>
      <c r="AC901" s="102"/>
      <c r="AD901" s="102"/>
      <c r="AE901" s="102"/>
      <c r="AF901" s="102"/>
      <c r="AG901" s="102"/>
      <c r="AH901" s="102"/>
      <c r="AI901" s="102"/>
      <c r="AJ901" s="102"/>
      <c r="AK901" s="102"/>
      <c r="AL901" s="102"/>
      <c r="AM901" s="102"/>
      <c r="AN901" s="102"/>
      <c r="AO901" s="102"/>
      <c r="AP901" s="102"/>
      <c r="AQ901" s="102"/>
      <c r="AR901" s="102"/>
      <c r="AS901" s="102"/>
      <c r="AT901" s="102"/>
      <c r="AU901" s="102"/>
      <c r="AV901" s="102"/>
      <c r="AW901" s="102"/>
    </row>
    <row r="902" spans="1:49">
      <c r="A902" s="8" t="str">
        <f>IF(L902="","",Formulario!B913)</f>
        <v/>
      </c>
      <c r="B902" s="119"/>
      <c r="C902" s="120"/>
      <c r="D902" s="121"/>
      <c r="E902" s="129" t="str">
        <f>IF(F902="","",Formulario!B913)</f>
        <v/>
      </c>
      <c r="F902" s="11" t="str">
        <f>TRIM(Formulario!D913)</f>
        <v/>
      </c>
      <c r="G902" s="11" t="str">
        <f>TRIM(Formulario!F913)</f>
        <v/>
      </c>
      <c r="H902" s="146" t="str">
        <f>IF(N902="",TRIM(Formulario!G913),TRIM(Formulario!G913)*N902)</f>
        <v/>
      </c>
      <c r="I902" s="107" t="str">
        <f>TRIM(Formulario!I913)</f>
        <v/>
      </c>
      <c r="J902" s="11" t="str">
        <f>TRIM(Formulario!J913)</f>
        <v/>
      </c>
      <c r="K902" s="11" t="str">
        <f>TRIM(Formulario!K913)</f>
        <v/>
      </c>
      <c r="L902" s="107" t="str">
        <f>TRIM(Formulario!L913)</f>
        <v/>
      </c>
      <c r="M902" s="107" t="str">
        <f>TRIM(Formulario!M913)</f>
        <v/>
      </c>
      <c r="N902" s="11" t="str">
        <f>TRIM(Formulario!H913)</f>
        <v/>
      </c>
      <c r="P902" s="17"/>
      <c r="Q902" s="104"/>
      <c r="R902" s="104"/>
      <c r="S902" s="117"/>
      <c r="T902" s="101"/>
      <c r="U902" s="101"/>
      <c r="V902" s="101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</row>
    <row r="903" spans="1:49">
      <c r="A903" s="8" t="str">
        <f>IF(L903="","",Formulario!B914)</f>
        <v/>
      </c>
      <c r="B903" s="119"/>
      <c r="C903" s="120"/>
      <c r="D903" s="121"/>
      <c r="E903" s="129" t="str">
        <f>IF(F903="","",Formulario!B914)</f>
        <v/>
      </c>
      <c r="F903" s="11" t="str">
        <f>TRIM(Formulario!D914)</f>
        <v/>
      </c>
      <c r="G903" s="11" t="str">
        <f>TRIM(Formulario!F914)</f>
        <v/>
      </c>
      <c r="H903" s="146" t="str">
        <f>IF(N903="",TRIM(Formulario!G914),TRIM(Formulario!G914)*N903)</f>
        <v/>
      </c>
      <c r="I903" s="107" t="str">
        <f>TRIM(Formulario!I914)</f>
        <v/>
      </c>
      <c r="J903" s="11" t="str">
        <f>TRIM(Formulario!J914)</f>
        <v/>
      </c>
      <c r="K903" s="11" t="str">
        <f>TRIM(Formulario!K914)</f>
        <v/>
      </c>
      <c r="L903" s="107" t="str">
        <f>TRIM(Formulario!L914)</f>
        <v/>
      </c>
      <c r="M903" s="107" t="str">
        <f>TRIM(Formulario!M914)</f>
        <v/>
      </c>
      <c r="N903" s="11" t="str">
        <f>TRIM(Formulario!H914)</f>
        <v/>
      </c>
      <c r="P903" s="17"/>
      <c r="Q903" s="104"/>
      <c r="R903" s="104"/>
      <c r="S903" s="117"/>
      <c r="T903" s="101"/>
      <c r="U903" s="101"/>
      <c r="V903" s="101"/>
      <c r="W903" s="102"/>
      <c r="X903" s="102"/>
      <c r="Y903" s="102"/>
      <c r="Z903" s="102"/>
      <c r="AA903" s="102"/>
      <c r="AB903" s="102"/>
      <c r="AC903" s="102"/>
      <c r="AD903" s="102"/>
      <c r="AE903" s="102"/>
      <c r="AF903" s="102"/>
      <c r="AG903" s="102"/>
      <c r="AH903" s="102"/>
      <c r="AI903" s="102"/>
      <c r="AJ903" s="102"/>
      <c r="AK903" s="102"/>
      <c r="AL903" s="102"/>
      <c r="AM903" s="102"/>
      <c r="AN903" s="102"/>
      <c r="AO903" s="102"/>
      <c r="AP903" s="102"/>
      <c r="AQ903" s="102"/>
      <c r="AR903" s="102"/>
      <c r="AS903" s="102"/>
      <c r="AT903" s="102"/>
      <c r="AU903" s="102"/>
      <c r="AV903" s="102"/>
      <c r="AW903" s="102"/>
    </row>
    <row r="904" spans="1:49">
      <c r="A904" s="8" t="str">
        <f>IF(L904="","",Formulario!B915)</f>
        <v/>
      </c>
      <c r="B904" s="119"/>
      <c r="C904" s="120"/>
      <c r="D904" s="121"/>
      <c r="E904" s="129" t="str">
        <f>IF(F904="","",Formulario!B915)</f>
        <v/>
      </c>
      <c r="F904" s="11" t="str">
        <f>TRIM(Formulario!D915)</f>
        <v/>
      </c>
      <c r="G904" s="11" t="str">
        <f>TRIM(Formulario!F915)</f>
        <v/>
      </c>
      <c r="H904" s="146" t="str">
        <f>IF(N904="",TRIM(Formulario!G915),TRIM(Formulario!G915)*N904)</f>
        <v/>
      </c>
      <c r="I904" s="107" t="str">
        <f>TRIM(Formulario!I915)</f>
        <v/>
      </c>
      <c r="J904" s="11" t="str">
        <f>TRIM(Formulario!J915)</f>
        <v/>
      </c>
      <c r="K904" s="11" t="str">
        <f>TRIM(Formulario!K915)</f>
        <v/>
      </c>
      <c r="L904" s="107" t="str">
        <f>TRIM(Formulario!L915)</f>
        <v/>
      </c>
      <c r="M904" s="107" t="str">
        <f>TRIM(Formulario!M915)</f>
        <v/>
      </c>
      <c r="N904" s="11" t="str">
        <f>TRIM(Formulario!H915)</f>
        <v/>
      </c>
      <c r="P904" s="17"/>
      <c r="Q904" s="104"/>
      <c r="R904" s="104"/>
      <c r="S904" s="117"/>
      <c r="T904" s="101"/>
      <c r="U904" s="101"/>
      <c r="V904" s="101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</row>
    <row r="905" spans="1:49">
      <c r="A905" s="8" t="str">
        <f>IF(L905="","",Formulario!B916)</f>
        <v/>
      </c>
      <c r="B905" s="119"/>
      <c r="C905" s="120"/>
      <c r="D905" s="121"/>
      <c r="E905" s="129" t="str">
        <f>IF(F905="","",Formulario!B916)</f>
        <v/>
      </c>
      <c r="F905" s="11" t="str">
        <f>TRIM(Formulario!D916)</f>
        <v/>
      </c>
      <c r="G905" s="11" t="str">
        <f>TRIM(Formulario!F916)</f>
        <v/>
      </c>
      <c r="H905" s="146" t="str">
        <f>IF(N905="",TRIM(Formulario!G916),TRIM(Formulario!G916)*N905)</f>
        <v/>
      </c>
      <c r="I905" s="107" t="str">
        <f>TRIM(Formulario!I916)</f>
        <v/>
      </c>
      <c r="J905" s="11" t="str">
        <f>TRIM(Formulario!J916)</f>
        <v/>
      </c>
      <c r="K905" s="11" t="str">
        <f>TRIM(Formulario!K916)</f>
        <v/>
      </c>
      <c r="L905" s="107" t="str">
        <f>TRIM(Formulario!L916)</f>
        <v/>
      </c>
      <c r="M905" s="107" t="str">
        <f>TRIM(Formulario!M916)</f>
        <v/>
      </c>
      <c r="N905" s="11" t="str">
        <f>TRIM(Formulario!H916)</f>
        <v/>
      </c>
      <c r="P905" s="17"/>
      <c r="Q905" s="104"/>
      <c r="R905" s="104"/>
      <c r="S905" s="117"/>
      <c r="T905" s="101"/>
      <c r="U905" s="101"/>
      <c r="V905" s="101"/>
      <c r="W905" s="102"/>
      <c r="X905" s="102"/>
      <c r="Y905" s="102"/>
      <c r="Z905" s="102"/>
      <c r="AA905" s="102"/>
      <c r="AB905" s="102"/>
      <c r="AC905" s="102"/>
      <c r="AD905" s="102"/>
      <c r="AE905" s="102"/>
      <c r="AF905" s="102"/>
      <c r="AG905" s="102"/>
      <c r="AH905" s="102"/>
      <c r="AI905" s="102"/>
      <c r="AJ905" s="102"/>
      <c r="AK905" s="102"/>
      <c r="AL905" s="102"/>
      <c r="AM905" s="102"/>
      <c r="AN905" s="102"/>
      <c r="AO905" s="102"/>
      <c r="AP905" s="102"/>
      <c r="AQ905" s="102"/>
      <c r="AR905" s="102"/>
      <c r="AS905" s="102"/>
      <c r="AT905" s="102"/>
      <c r="AU905" s="102"/>
      <c r="AV905" s="102"/>
      <c r="AW905" s="102"/>
    </row>
    <row r="906" spans="1:49">
      <c r="A906" s="8" t="str">
        <f>IF(L906="","",Formulario!B917)</f>
        <v/>
      </c>
      <c r="B906" s="119"/>
      <c r="C906" s="120"/>
      <c r="D906" s="121"/>
      <c r="E906" s="129" t="str">
        <f>IF(F906="","",Formulario!B917)</f>
        <v/>
      </c>
      <c r="F906" s="11" t="str">
        <f>TRIM(Formulario!D917)</f>
        <v/>
      </c>
      <c r="G906" s="11" t="str">
        <f>TRIM(Formulario!F917)</f>
        <v/>
      </c>
      <c r="H906" s="146" t="str">
        <f>IF(N906="",TRIM(Formulario!G917),TRIM(Formulario!G917)*N906)</f>
        <v/>
      </c>
      <c r="I906" s="107" t="str">
        <f>TRIM(Formulario!I917)</f>
        <v/>
      </c>
      <c r="J906" s="11" t="str">
        <f>TRIM(Formulario!J917)</f>
        <v/>
      </c>
      <c r="K906" s="11" t="str">
        <f>TRIM(Formulario!K917)</f>
        <v/>
      </c>
      <c r="L906" s="107" t="str">
        <f>TRIM(Formulario!L917)</f>
        <v/>
      </c>
      <c r="M906" s="107" t="str">
        <f>TRIM(Formulario!M917)</f>
        <v/>
      </c>
      <c r="N906" s="11" t="str">
        <f>TRIM(Formulario!H917)</f>
        <v/>
      </c>
      <c r="P906" s="17"/>
      <c r="Q906" s="104"/>
      <c r="R906" s="104"/>
      <c r="S906" s="117"/>
      <c r="T906" s="101"/>
      <c r="U906" s="101"/>
      <c r="V906" s="101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</row>
    <row r="907" spans="1:49">
      <c r="A907" s="8" t="str">
        <f>IF(L907="","",Formulario!B918)</f>
        <v/>
      </c>
      <c r="B907" s="119"/>
      <c r="C907" s="120"/>
      <c r="D907" s="121"/>
      <c r="E907" s="129" t="str">
        <f>IF(F907="","",Formulario!B918)</f>
        <v/>
      </c>
      <c r="F907" s="11" t="str">
        <f>TRIM(Formulario!D918)</f>
        <v/>
      </c>
      <c r="G907" s="11" t="str">
        <f>TRIM(Formulario!F918)</f>
        <v/>
      </c>
      <c r="H907" s="146" t="str">
        <f>IF(N907="",TRIM(Formulario!G918),TRIM(Formulario!G918)*N907)</f>
        <v/>
      </c>
      <c r="I907" s="107" t="str">
        <f>TRIM(Formulario!I918)</f>
        <v/>
      </c>
      <c r="J907" s="11" t="str">
        <f>TRIM(Formulario!J918)</f>
        <v/>
      </c>
      <c r="K907" s="11" t="str">
        <f>TRIM(Formulario!K918)</f>
        <v/>
      </c>
      <c r="L907" s="107" t="str">
        <f>TRIM(Formulario!L918)</f>
        <v/>
      </c>
      <c r="M907" s="107" t="str">
        <f>TRIM(Formulario!M918)</f>
        <v/>
      </c>
      <c r="N907" s="11" t="str">
        <f>TRIM(Formulario!H918)</f>
        <v/>
      </c>
      <c r="P907" s="17"/>
      <c r="Q907" s="104"/>
      <c r="R907" s="104"/>
      <c r="S907" s="117"/>
      <c r="T907" s="101"/>
      <c r="U907" s="101"/>
      <c r="V907" s="101"/>
      <c r="W907" s="102"/>
      <c r="X907" s="102"/>
      <c r="Y907" s="102"/>
      <c r="Z907" s="102"/>
      <c r="AA907" s="102"/>
      <c r="AB907" s="102"/>
      <c r="AC907" s="102"/>
      <c r="AD907" s="102"/>
      <c r="AE907" s="102"/>
      <c r="AF907" s="102"/>
      <c r="AG907" s="102"/>
      <c r="AH907" s="102"/>
      <c r="AI907" s="102"/>
      <c r="AJ907" s="102"/>
      <c r="AK907" s="102"/>
      <c r="AL907" s="102"/>
      <c r="AM907" s="102"/>
      <c r="AN907" s="102"/>
      <c r="AO907" s="102"/>
      <c r="AP907" s="102"/>
      <c r="AQ907" s="102"/>
      <c r="AR907" s="102"/>
      <c r="AS907" s="102"/>
      <c r="AT907" s="102"/>
      <c r="AU907" s="102"/>
      <c r="AV907" s="102"/>
      <c r="AW907" s="102"/>
    </row>
    <row r="908" spans="1:49">
      <c r="A908" s="8" t="str">
        <f>IF(L908="","",Formulario!B919)</f>
        <v/>
      </c>
      <c r="B908" s="119"/>
      <c r="C908" s="120"/>
      <c r="D908" s="121"/>
      <c r="E908" s="129" t="str">
        <f>IF(F908="","",Formulario!B919)</f>
        <v/>
      </c>
      <c r="F908" s="11" t="str">
        <f>TRIM(Formulario!D919)</f>
        <v/>
      </c>
      <c r="G908" s="11" t="str">
        <f>TRIM(Formulario!F919)</f>
        <v/>
      </c>
      <c r="H908" s="146" t="str">
        <f>IF(N908="",TRIM(Formulario!G919),TRIM(Formulario!G919)*N908)</f>
        <v/>
      </c>
      <c r="I908" s="107" t="str">
        <f>TRIM(Formulario!I919)</f>
        <v/>
      </c>
      <c r="J908" s="11" t="str">
        <f>TRIM(Formulario!J919)</f>
        <v/>
      </c>
      <c r="K908" s="11" t="str">
        <f>TRIM(Formulario!K919)</f>
        <v/>
      </c>
      <c r="L908" s="107" t="str">
        <f>TRIM(Formulario!L919)</f>
        <v/>
      </c>
      <c r="M908" s="107" t="str">
        <f>TRIM(Formulario!M919)</f>
        <v/>
      </c>
      <c r="N908" s="11" t="str">
        <f>TRIM(Formulario!H919)</f>
        <v/>
      </c>
      <c r="P908" s="17"/>
      <c r="Q908" s="104"/>
      <c r="R908" s="104"/>
      <c r="S908" s="117"/>
      <c r="T908" s="101"/>
      <c r="U908" s="101"/>
      <c r="V908" s="101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</row>
    <row r="909" spans="1:49">
      <c r="A909" s="8" t="str">
        <f>IF(L909="","",Formulario!B920)</f>
        <v/>
      </c>
      <c r="B909" s="119"/>
      <c r="C909" s="120"/>
      <c r="D909" s="121"/>
      <c r="E909" s="129" t="str">
        <f>IF(F909="","",Formulario!B920)</f>
        <v/>
      </c>
      <c r="F909" s="11" t="str">
        <f>TRIM(Formulario!D920)</f>
        <v/>
      </c>
      <c r="G909" s="11" t="str">
        <f>TRIM(Formulario!F920)</f>
        <v/>
      </c>
      <c r="H909" s="146" t="str">
        <f>IF(N909="",TRIM(Formulario!G920),TRIM(Formulario!G920)*N909)</f>
        <v/>
      </c>
      <c r="I909" s="107" t="str">
        <f>TRIM(Formulario!I920)</f>
        <v/>
      </c>
      <c r="J909" s="11" t="str">
        <f>TRIM(Formulario!J920)</f>
        <v/>
      </c>
      <c r="K909" s="11" t="str">
        <f>TRIM(Formulario!K920)</f>
        <v/>
      </c>
      <c r="L909" s="107" t="str">
        <f>TRIM(Formulario!L920)</f>
        <v/>
      </c>
      <c r="M909" s="107" t="str">
        <f>TRIM(Formulario!M920)</f>
        <v/>
      </c>
      <c r="N909" s="11" t="str">
        <f>TRIM(Formulario!H920)</f>
        <v/>
      </c>
      <c r="P909" s="17"/>
      <c r="Q909" s="104"/>
      <c r="R909" s="104"/>
      <c r="S909" s="117"/>
      <c r="T909" s="101"/>
      <c r="U909" s="101"/>
      <c r="V909" s="101"/>
      <c r="W909" s="102"/>
      <c r="X909" s="102"/>
      <c r="Y909" s="102"/>
      <c r="Z909" s="102"/>
      <c r="AA909" s="102"/>
      <c r="AB909" s="102"/>
      <c r="AC909" s="102"/>
      <c r="AD909" s="102"/>
      <c r="AE909" s="102"/>
      <c r="AF909" s="102"/>
      <c r="AG909" s="102"/>
      <c r="AH909" s="102"/>
      <c r="AI909" s="102"/>
      <c r="AJ909" s="102"/>
      <c r="AK909" s="102"/>
      <c r="AL909" s="102"/>
      <c r="AM909" s="102"/>
      <c r="AN909" s="102"/>
      <c r="AO909" s="102"/>
      <c r="AP909" s="102"/>
      <c r="AQ909" s="102"/>
      <c r="AR909" s="102"/>
      <c r="AS909" s="102"/>
      <c r="AT909" s="102"/>
      <c r="AU909" s="102"/>
      <c r="AV909" s="102"/>
      <c r="AW909" s="102"/>
    </row>
    <row r="910" spans="1:49">
      <c r="A910" s="8" t="str">
        <f>IF(L910="","",Formulario!B921)</f>
        <v/>
      </c>
      <c r="B910" s="119"/>
      <c r="C910" s="120"/>
      <c r="D910" s="121"/>
      <c r="E910" s="129" t="str">
        <f>IF(F910="","",Formulario!B921)</f>
        <v/>
      </c>
      <c r="F910" s="11" t="str">
        <f>TRIM(Formulario!D921)</f>
        <v/>
      </c>
      <c r="G910" s="11" t="str">
        <f>TRIM(Formulario!F921)</f>
        <v/>
      </c>
      <c r="H910" s="146" t="str">
        <f>IF(N910="",TRIM(Formulario!G921),TRIM(Formulario!G921)*N910)</f>
        <v/>
      </c>
      <c r="I910" s="107" t="str">
        <f>TRIM(Formulario!I921)</f>
        <v/>
      </c>
      <c r="J910" s="11" t="str">
        <f>TRIM(Formulario!J921)</f>
        <v/>
      </c>
      <c r="K910" s="11" t="str">
        <f>TRIM(Formulario!K921)</f>
        <v/>
      </c>
      <c r="L910" s="107" t="str">
        <f>TRIM(Formulario!L921)</f>
        <v/>
      </c>
      <c r="M910" s="107" t="str">
        <f>TRIM(Formulario!M921)</f>
        <v/>
      </c>
      <c r="N910" s="11" t="str">
        <f>TRIM(Formulario!H921)</f>
        <v/>
      </c>
      <c r="P910" s="17"/>
      <c r="Q910" s="104"/>
      <c r="R910" s="104"/>
      <c r="S910" s="117"/>
      <c r="T910" s="101"/>
      <c r="U910" s="101"/>
      <c r="V910" s="101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</row>
    <row r="911" spans="1:49">
      <c r="A911" s="8" t="str">
        <f>IF(L911="","",Formulario!B922)</f>
        <v/>
      </c>
      <c r="B911" s="119"/>
      <c r="C911" s="120"/>
      <c r="D911" s="121"/>
      <c r="E911" s="129" t="str">
        <f>IF(F911="","",Formulario!B922)</f>
        <v/>
      </c>
      <c r="F911" s="11" t="str">
        <f>TRIM(Formulario!D922)</f>
        <v/>
      </c>
      <c r="G911" s="11" t="str">
        <f>TRIM(Formulario!F922)</f>
        <v/>
      </c>
      <c r="H911" s="146" t="str">
        <f>IF(N911="",TRIM(Formulario!G922),TRIM(Formulario!G922)*N911)</f>
        <v/>
      </c>
      <c r="I911" s="107" t="str">
        <f>TRIM(Formulario!I922)</f>
        <v/>
      </c>
      <c r="J911" s="11" t="str">
        <f>TRIM(Formulario!J922)</f>
        <v/>
      </c>
      <c r="K911" s="11" t="str">
        <f>TRIM(Formulario!K922)</f>
        <v/>
      </c>
      <c r="L911" s="107" t="str">
        <f>TRIM(Formulario!L922)</f>
        <v/>
      </c>
      <c r="M911" s="107" t="str">
        <f>TRIM(Formulario!M922)</f>
        <v/>
      </c>
      <c r="N911" s="11" t="str">
        <f>TRIM(Formulario!H922)</f>
        <v/>
      </c>
      <c r="P911" s="17"/>
      <c r="Q911" s="104"/>
      <c r="R911" s="104"/>
      <c r="S911" s="117"/>
      <c r="T911" s="101"/>
      <c r="U911" s="101"/>
      <c r="V911" s="101"/>
      <c r="W911" s="102"/>
      <c r="X911" s="102"/>
      <c r="Y911" s="102"/>
      <c r="Z911" s="102"/>
      <c r="AA911" s="102"/>
      <c r="AB911" s="102"/>
      <c r="AC911" s="102"/>
      <c r="AD911" s="102"/>
      <c r="AE911" s="102"/>
      <c r="AF911" s="102"/>
      <c r="AG911" s="102"/>
      <c r="AH911" s="102"/>
      <c r="AI911" s="102"/>
      <c r="AJ911" s="102"/>
      <c r="AK911" s="102"/>
      <c r="AL911" s="102"/>
      <c r="AM911" s="102"/>
      <c r="AN911" s="102"/>
      <c r="AO911" s="102"/>
      <c r="AP911" s="102"/>
      <c r="AQ911" s="102"/>
      <c r="AR911" s="102"/>
      <c r="AS911" s="102"/>
      <c r="AT911" s="102"/>
      <c r="AU911" s="102"/>
      <c r="AV911" s="102"/>
      <c r="AW911" s="102"/>
    </row>
    <row r="912" spans="1:49">
      <c r="A912" s="8" t="str">
        <f>IF(L912="","",Formulario!B923)</f>
        <v/>
      </c>
      <c r="B912" s="119"/>
      <c r="C912" s="120"/>
      <c r="D912" s="121"/>
      <c r="E912" s="129" t="str">
        <f>IF(F912="","",Formulario!B923)</f>
        <v/>
      </c>
      <c r="F912" s="11" t="str">
        <f>TRIM(Formulario!D923)</f>
        <v/>
      </c>
      <c r="G912" s="11" t="str">
        <f>TRIM(Formulario!F923)</f>
        <v/>
      </c>
      <c r="H912" s="146" t="str">
        <f>IF(N912="",TRIM(Formulario!G923),TRIM(Formulario!G923)*N912)</f>
        <v/>
      </c>
      <c r="I912" s="107" t="str">
        <f>TRIM(Formulario!I923)</f>
        <v/>
      </c>
      <c r="J912" s="11" t="str">
        <f>TRIM(Formulario!J923)</f>
        <v/>
      </c>
      <c r="K912" s="11" t="str">
        <f>TRIM(Formulario!K923)</f>
        <v/>
      </c>
      <c r="L912" s="107" t="str">
        <f>TRIM(Formulario!L923)</f>
        <v/>
      </c>
      <c r="M912" s="107" t="str">
        <f>TRIM(Formulario!M923)</f>
        <v/>
      </c>
      <c r="N912" s="11" t="str">
        <f>TRIM(Formulario!H923)</f>
        <v/>
      </c>
      <c r="P912" s="17"/>
      <c r="Q912" s="104"/>
      <c r="R912" s="104"/>
      <c r="S912" s="117"/>
      <c r="T912" s="101"/>
      <c r="U912" s="101"/>
      <c r="V912" s="101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</row>
    <row r="913" spans="1:49">
      <c r="A913" s="8" t="str">
        <f>IF(L913="","",Formulario!B924)</f>
        <v/>
      </c>
      <c r="B913" s="119"/>
      <c r="C913" s="120"/>
      <c r="D913" s="121"/>
      <c r="E913" s="129" t="str">
        <f>IF(F913="","",Formulario!B924)</f>
        <v/>
      </c>
      <c r="F913" s="11" t="str">
        <f>TRIM(Formulario!D924)</f>
        <v/>
      </c>
      <c r="G913" s="11" t="str">
        <f>TRIM(Formulario!F924)</f>
        <v/>
      </c>
      <c r="H913" s="146" t="str">
        <f>IF(N913="",TRIM(Formulario!G924),TRIM(Formulario!G924)*N913)</f>
        <v/>
      </c>
      <c r="I913" s="107" t="str">
        <f>TRIM(Formulario!I924)</f>
        <v/>
      </c>
      <c r="J913" s="11" t="str">
        <f>TRIM(Formulario!J924)</f>
        <v/>
      </c>
      <c r="K913" s="11" t="str">
        <f>TRIM(Formulario!K924)</f>
        <v/>
      </c>
      <c r="L913" s="107" t="str">
        <f>TRIM(Formulario!L924)</f>
        <v/>
      </c>
      <c r="M913" s="107" t="str">
        <f>TRIM(Formulario!M924)</f>
        <v/>
      </c>
      <c r="N913" s="11" t="str">
        <f>TRIM(Formulario!H924)</f>
        <v/>
      </c>
      <c r="P913" s="17"/>
      <c r="Q913" s="104"/>
      <c r="R913" s="104"/>
      <c r="S913" s="117"/>
      <c r="T913" s="101"/>
      <c r="U913" s="101"/>
      <c r="V913" s="101"/>
      <c r="W913" s="102"/>
      <c r="X913" s="102"/>
      <c r="Y913" s="102"/>
      <c r="Z913" s="102"/>
      <c r="AA913" s="102"/>
      <c r="AB913" s="102"/>
      <c r="AC913" s="102"/>
      <c r="AD913" s="102"/>
      <c r="AE913" s="102"/>
      <c r="AF913" s="102"/>
      <c r="AG913" s="102"/>
      <c r="AH913" s="102"/>
      <c r="AI913" s="102"/>
      <c r="AJ913" s="102"/>
      <c r="AK913" s="102"/>
      <c r="AL913" s="102"/>
      <c r="AM913" s="102"/>
      <c r="AN913" s="102"/>
      <c r="AO913" s="102"/>
      <c r="AP913" s="102"/>
      <c r="AQ913" s="102"/>
      <c r="AR913" s="102"/>
      <c r="AS913" s="102"/>
      <c r="AT913" s="102"/>
      <c r="AU913" s="102"/>
      <c r="AV913" s="102"/>
      <c r="AW913" s="102"/>
    </row>
    <row r="914" spans="1:49">
      <c r="A914" s="8" t="str">
        <f>IF(L914="","",Formulario!B925)</f>
        <v/>
      </c>
      <c r="B914" s="119"/>
      <c r="C914" s="120"/>
      <c r="D914" s="121"/>
      <c r="E914" s="129" t="str">
        <f>IF(F914="","",Formulario!B925)</f>
        <v/>
      </c>
      <c r="F914" s="11" t="str">
        <f>TRIM(Formulario!D925)</f>
        <v/>
      </c>
      <c r="G914" s="11" t="str">
        <f>TRIM(Formulario!F925)</f>
        <v/>
      </c>
      <c r="H914" s="146" t="str">
        <f>IF(N914="",TRIM(Formulario!G925),TRIM(Formulario!G925)*N914)</f>
        <v/>
      </c>
      <c r="I914" s="107" t="str">
        <f>TRIM(Formulario!I925)</f>
        <v/>
      </c>
      <c r="J914" s="11" t="str">
        <f>TRIM(Formulario!J925)</f>
        <v/>
      </c>
      <c r="K914" s="11" t="str">
        <f>TRIM(Formulario!K925)</f>
        <v/>
      </c>
      <c r="L914" s="107" t="str">
        <f>TRIM(Formulario!L925)</f>
        <v/>
      </c>
      <c r="M914" s="107" t="str">
        <f>TRIM(Formulario!M925)</f>
        <v/>
      </c>
      <c r="N914" s="11" t="str">
        <f>TRIM(Formulario!H925)</f>
        <v/>
      </c>
      <c r="P914" s="17"/>
      <c r="Q914" s="104"/>
      <c r="R914" s="104"/>
      <c r="S914" s="117"/>
      <c r="T914" s="101"/>
      <c r="U914" s="101"/>
      <c r="V914" s="101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</row>
    <row r="915" spans="1:49">
      <c r="A915" s="8" t="str">
        <f>IF(L915="","",Formulario!B926)</f>
        <v/>
      </c>
      <c r="B915" s="119"/>
      <c r="C915" s="120"/>
      <c r="D915" s="121"/>
      <c r="E915" s="129" t="str">
        <f>IF(F915="","",Formulario!B926)</f>
        <v/>
      </c>
      <c r="F915" s="11" t="str">
        <f>TRIM(Formulario!D926)</f>
        <v/>
      </c>
      <c r="G915" s="11" t="str">
        <f>TRIM(Formulario!F926)</f>
        <v/>
      </c>
      <c r="H915" s="146" t="str">
        <f>IF(N915="",TRIM(Formulario!G926),TRIM(Formulario!G926)*N915)</f>
        <v/>
      </c>
      <c r="I915" s="107" t="str">
        <f>TRIM(Formulario!I926)</f>
        <v/>
      </c>
      <c r="J915" s="11" t="str">
        <f>TRIM(Formulario!J926)</f>
        <v/>
      </c>
      <c r="K915" s="11" t="str">
        <f>TRIM(Formulario!K926)</f>
        <v/>
      </c>
      <c r="L915" s="107" t="str">
        <f>TRIM(Formulario!L926)</f>
        <v/>
      </c>
      <c r="M915" s="107" t="str">
        <f>TRIM(Formulario!M926)</f>
        <v/>
      </c>
      <c r="N915" s="11" t="str">
        <f>TRIM(Formulario!H926)</f>
        <v/>
      </c>
      <c r="P915" s="17"/>
      <c r="Q915" s="104"/>
      <c r="R915" s="104"/>
      <c r="S915" s="117"/>
      <c r="T915" s="101"/>
      <c r="U915" s="101"/>
      <c r="V915" s="101"/>
      <c r="W915" s="102"/>
      <c r="X915" s="102"/>
      <c r="Y915" s="102"/>
      <c r="Z915" s="102"/>
      <c r="AA915" s="102"/>
      <c r="AB915" s="102"/>
      <c r="AC915" s="102"/>
      <c r="AD915" s="102"/>
      <c r="AE915" s="102"/>
      <c r="AF915" s="102"/>
      <c r="AG915" s="102"/>
      <c r="AH915" s="102"/>
      <c r="AI915" s="102"/>
      <c r="AJ915" s="102"/>
      <c r="AK915" s="102"/>
      <c r="AL915" s="102"/>
      <c r="AM915" s="102"/>
      <c r="AN915" s="102"/>
      <c r="AO915" s="102"/>
      <c r="AP915" s="102"/>
      <c r="AQ915" s="102"/>
      <c r="AR915" s="102"/>
      <c r="AS915" s="102"/>
      <c r="AT915" s="102"/>
      <c r="AU915" s="102"/>
      <c r="AV915" s="102"/>
      <c r="AW915" s="102"/>
    </row>
    <row r="916" spans="1:49">
      <c r="A916" s="8" t="str">
        <f>IF(L916="","",Formulario!B927)</f>
        <v/>
      </c>
      <c r="B916" s="119"/>
      <c r="C916" s="120"/>
      <c r="D916" s="121"/>
      <c r="E916" s="129" t="str">
        <f>IF(F916="","",Formulario!B927)</f>
        <v/>
      </c>
      <c r="F916" s="11" t="str">
        <f>TRIM(Formulario!D927)</f>
        <v/>
      </c>
      <c r="G916" s="11" t="str">
        <f>TRIM(Formulario!F927)</f>
        <v/>
      </c>
      <c r="H916" s="146" t="str">
        <f>IF(N916="",TRIM(Formulario!G927),TRIM(Formulario!G927)*N916)</f>
        <v/>
      </c>
      <c r="I916" s="107" t="str">
        <f>TRIM(Formulario!I927)</f>
        <v/>
      </c>
      <c r="J916" s="11" t="str">
        <f>TRIM(Formulario!J927)</f>
        <v/>
      </c>
      <c r="K916" s="11" t="str">
        <f>TRIM(Formulario!K927)</f>
        <v/>
      </c>
      <c r="L916" s="107" t="str">
        <f>TRIM(Formulario!L927)</f>
        <v/>
      </c>
      <c r="M916" s="107" t="str">
        <f>TRIM(Formulario!M927)</f>
        <v/>
      </c>
      <c r="N916" s="11" t="str">
        <f>TRIM(Formulario!H927)</f>
        <v/>
      </c>
      <c r="P916" s="17"/>
      <c r="Q916" s="104"/>
      <c r="R916" s="104"/>
      <c r="S916" s="117"/>
      <c r="T916" s="101"/>
      <c r="U916" s="101"/>
      <c r="V916" s="101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</row>
    <row r="917" spans="1:49">
      <c r="A917" s="8" t="str">
        <f>IF(L917="","",Formulario!B928)</f>
        <v/>
      </c>
      <c r="B917" s="119"/>
      <c r="C917" s="120"/>
      <c r="D917" s="121"/>
      <c r="E917" s="129" t="str">
        <f>IF(F917="","",Formulario!B928)</f>
        <v/>
      </c>
      <c r="F917" s="11" t="str">
        <f>TRIM(Formulario!D928)</f>
        <v/>
      </c>
      <c r="G917" s="11" t="str">
        <f>TRIM(Formulario!F928)</f>
        <v/>
      </c>
      <c r="H917" s="146" t="str">
        <f>IF(N917="",TRIM(Formulario!G928),TRIM(Formulario!G928)*N917)</f>
        <v/>
      </c>
      <c r="I917" s="107" t="str">
        <f>TRIM(Formulario!I928)</f>
        <v/>
      </c>
      <c r="J917" s="11" t="str">
        <f>TRIM(Formulario!J928)</f>
        <v/>
      </c>
      <c r="K917" s="11" t="str">
        <f>TRIM(Formulario!K928)</f>
        <v/>
      </c>
      <c r="L917" s="107" t="str">
        <f>TRIM(Formulario!L928)</f>
        <v/>
      </c>
      <c r="M917" s="107" t="str">
        <f>TRIM(Formulario!M928)</f>
        <v/>
      </c>
      <c r="N917" s="11" t="str">
        <f>TRIM(Formulario!H928)</f>
        <v/>
      </c>
      <c r="P917" s="17"/>
      <c r="Q917" s="104"/>
      <c r="R917" s="104"/>
      <c r="S917" s="117"/>
      <c r="T917" s="101"/>
      <c r="U917" s="101"/>
      <c r="V917" s="101"/>
      <c r="W917" s="102"/>
      <c r="X917" s="102"/>
      <c r="Y917" s="102"/>
      <c r="Z917" s="102"/>
      <c r="AA917" s="102"/>
      <c r="AB917" s="102"/>
      <c r="AC917" s="102"/>
      <c r="AD917" s="102"/>
      <c r="AE917" s="102"/>
      <c r="AF917" s="102"/>
      <c r="AG917" s="102"/>
      <c r="AH917" s="102"/>
      <c r="AI917" s="102"/>
      <c r="AJ917" s="102"/>
      <c r="AK917" s="102"/>
      <c r="AL917" s="102"/>
      <c r="AM917" s="102"/>
      <c r="AN917" s="102"/>
      <c r="AO917" s="102"/>
      <c r="AP917" s="102"/>
      <c r="AQ917" s="102"/>
      <c r="AR917" s="102"/>
      <c r="AS917" s="102"/>
      <c r="AT917" s="102"/>
      <c r="AU917" s="102"/>
      <c r="AV917" s="102"/>
      <c r="AW917" s="102"/>
    </row>
    <row r="918" spans="1:49">
      <c r="A918" s="8" t="str">
        <f>IF(L918="","",Formulario!B929)</f>
        <v/>
      </c>
      <c r="B918" s="119"/>
      <c r="C918" s="120"/>
      <c r="D918" s="121"/>
      <c r="E918" s="129" t="str">
        <f>IF(F918="","",Formulario!B929)</f>
        <v/>
      </c>
      <c r="F918" s="11" t="str">
        <f>TRIM(Formulario!D929)</f>
        <v/>
      </c>
      <c r="G918" s="11" t="str">
        <f>TRIM(Formulario!F929)</f>
        <v/>
      </c>
      <c r="H918" s="146" t="str">
        <f>IF(N918="",TRIM(Formulario!G929),TRIM(Formulario!G929)*N918)</f>
        <v/>
      </c>
      <c r="I918" s="107" t="str">
        <f>TRIM(Formulario!I929)</f>
        <v/>
      </c>
      <c r="J918" s="11" t="str">
        <f>TRIM(Formulario!J929)</f>
        <v/>
      </c>
      <c r="K918" s="11" t="str">
        <f>TRIM(Formulario!K929)</f>
        <v/>
      </c>
      <c r="L918" s="107" t="str">
        <f>TRIM(Formulario!L929)</f>
        <v/>
      </c>
      <c r="M918" s="107" t="str">
        <f>TRIM(Formulario!M929)</f>
        <v/>
      </c>
      <c r="N918" s="11" t="str">
        <f>TRIM(Formulario!H929)</f>
        <v/>
      </c>
      <c r="P918" s="17"/>
      <c r="Q918" s="104"/>
      <c r="R918" s="104"/>
      <c r="S918" s="117"/>
      <c r="T918" s="101"/>
      <c r="U918" s="101"/>
      <c r="V918" s="101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</row>
    <row r="919" spans="1:49">
      <c r="A919" s="8" t="str">
        <f>IF(L919="","",Formulario!B930)</f>
        <v/>
      </c>
      <c r="B919" s="119"/>
      <c r="C919" s="120"/>
      <c r="D919" s="121"/>
      <c r="E919" s="129" t="str">
        <f>IF(F919="","",Formulario!B930)</f>
        <v/>
      </c>
      <c r="F919" s="11" t="str">
        <f>TRIM(Formulario!D930)</f>
        <v/>
      </c>
      <c r="G919" s="11" t="str">
        <f>TRIM(Formulario!F930)</f>
        <v/>
      </c>
      <c r="H919" s="146" t="str">
        <f>IF(N919="",TRIM(Formulario!G930),TRIM(Formulario!G930)*N919)</f>
        <v/>
      </c>
      <c r="I919" s="107" t="str">
        <f>TRIM(Formulario!I930)</f>
        <v/>
      </c>
      <c r="J919" s="11" t="str">
        <f>TRIM(Formulario!J930)</f>
        <v/>
      </c>
      <c r="K919" s="11" t="str">
        <f>TRIM(Formulario!K930)</f>
        <v/>
      </c>
      <c r="L919" s="107" t="str">
        <f>TRIM(Formulario!L930)</f>
        <v/>
      </c>
      <c r="M919" s="107" t="str">
        <f>TRIM(Formulario!M930)</f>
        <v/>
      </c>
      <c r="N919" s="11" t="str">
        <f>TRIM(Formulario!H930)</f>
        <v/>
      </c>
      <c r="P919" s="17"/>
      <c r="Q919" s="104"/>
      <c r="R919" s="104"/>
      <c r="S919" s="117"/>
      <c r="T919" s="101"/>
      <c r="U919" s="101"/>
      <c r="V919" s="101"/>
      <c r="W919" s="102"/>
      <c r="X919" s="102"/>
      <c r="Y919" s="102"/>
      <c r="Z919" s="102"/>
      <c r="AA919" s="102"/>
      <c r="AB919" s="102"/>
      <c r="AC919" s="102"/>
      <c r="AD919" s="102"/>
      <c r="AE919" s="102"/>
      <c r="AF919" s="102"/>
      <c r="AG919" s="102"/>
      <c r="AH919" s="102"/>
      <c r="AI919" s="102"/>
      <c r="AJ919" s="102"/>
      <c r="AK919" s="102"/>
      <c r="AL919" s="102"/>
      <c r="AM919" s="102"/>
      <c r="AN919" s="102"/>
      <c r="AO919" s="102"/>
      <c r="AP919" s="102"/>
      <c r="AQ919" s="102"/>
      <c r="AR919" s="102"/>
      <c r="AS919" s="102"/>
      <c r="AT919" s="102"/>
      <c r="AU919" s="102"/>
      <c r="AV919" s="102"/>
      <c r="AW919" s="102"/>
    </row>
    <row r="920" spans="1:49">
      <c r="A920" s="8" t="str">
        <f>IF(L920="","",Formulario!B931)</f>
        <v/>
      </c>
      <c r="B920" s="119"/>
      <c r="C920" s="120"/>
      <c r="D920" s="121"/>
      <c r="E920" s="129" t="str">
        <f>IF(F920="","",Formulario!B931)</f>
        <v/>
      </c>
      <c r="F920" s="11" t="str">
        <f>TRIM(Formulario!D931)</f>
        <v/>
      </c>
      <c r="G920" s="11" t="str">
        <f>TRIM(Formulario!F931)</f>
        <v/>
      </c>
      <c r="H920" s="146" t="str">
        <f>IF(N920="",TRIM(Formulario!G931),TRIM(Formulario!G931)*N920)</f>
        <v/>
      </c>
      <c r="I920" s="107" t="str">
        <f>TRIM(Formulario!I931)</f>
        <v/>
      </c>
      <c r="J920" s="11" t="str">
        <f>TRIM(Formulario!J931)</f>
        <v/>
      </c>
      <c r="K920" s="11" t="str">
        <f>TRIM(Formulario!K931)</f>
        <v/>
      </c>
      <c r="L920" s="107" t="str">
        <f>TRIM(Formulario!L931)</f>
        <v/>
      </c>
      <c r="M920" s="107" t="str">
        <f>TRIM(Formulario!M931)</f>
        <v/>
      </c>
      <c r="N920" s="11" t="str">
        <f>TRIM(Formulario!H931)</f>
        <v/>
      </c>
      <c r="P920" s="17"/>
      <c r="Q920" s="104"/>
      <c r="R920" s="104"/>
      <c r="S920" s="117"/>
      <c r="T920" s="101"/>
      <c r="U920" s="101"/>
      <c r="V920" s="101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</row>
    <row r="921" spans="1:49">
      <c r="A921" s="8" t="str">
        <f>IF(L921="","",Formulario!B932)</f>
        <v/>
      </c>
      <c r="B921" s="119"/>
      <c r="C921" s="120"/>
      <c r="D921" s="121"/>
      <c r="E921" s="129" t="str">
        <f>IF(F921="","",Formulario!B932)</f>
        <v/>
      </c>
      <c r="F921" s="11" t="str">
        <f>TRIM(Formulario!D932)</f>
        <v/>
      </c>
      <c r="G921" s="11" t="str">
        <f>TRIM(Formulario!F932)</f>
        <v/>
      </c>
      <c r="H921" s="146" t="str">
        <f>IF(N921="",TRIM(Formulario!G932),TRIM(Formulario!G932)*N921)</f>
        <v/>
      </c>
      <c r="I921" s="107" t="str">
        <f>TRIM(Formulario!I932)</f>
        <v/>
      </c>
      <c r="J921" s="11" t="str">
        <f>TRIM(Formulario!J932)</f>
        <v/>
      </c>
      <c r="K921" s="11" t="str">
        <f>TRIM(Formulario!K932)</f>
        <v/>
      </c>
      <c r="L921" s="107" t="str">
        <f>TRIM(Formulario!L932)</f>
        <v/>
      </c>
      <c r="M921" s="107" t="str">
        <f>TRIM(Formulario!M932)</f>
        <v/>
      </c>
      <c r="N921" s="11" t="str">
        <f>TRIM(Formulario!H932)</f>
        <v/>
      </c>
      <c r="P921" s="17"/>
      <c r="Q921" s="104"/>
      <c r="R921" s="104"/>
      <c r="S921" s="117"/>
      <c r="T921" s="101"/>
      <c r="U921" s="101"/>
      <c r="V921" s="101"/>
      <c r="W921" s="102"/>
      <c r="X921" s="102"/>
      <c r="Y921" s="102"/>
      <c r="Z921" s="102"/>
      <c r="AA921" s="102"/>
      <c r="AB921" s="102"/>
      <c r="AC921" s="102"/>
      <c r="AD921" s="102"/>
      <c r="AE921" s="102"/>
      <c r="AF921" s="102"/>
      <c r="AG921" s="102"/>
      <c r="AH921" s="102"/>
      <c r="AI921" s="102"/>
      <c r="AJ921" s="102"/>
      <c r="AK921" s="102"/>
      <c r="AL921" s="102"/>
      <c r="AM921" s="102"/>
      <c r="AN921" s="102"/>
      <c r="AO921" s="102"/>
      <c r="AP921" s="102"/>
      <c r="AQ921" s="102"/>
      <c r="AR921" s="102"/>
      <c r="AS921" s="102"/>
      <c r="AT921" s="102"/>
      <c r="AU921" s="102"/>
      <c r="AV921" s="102"/>
      <c r="AW921" s="102"/>
    </row>
    <row r="922" spans="1:49">
      <c r="A922" s="8" t="str">
        <f>IF(L922="","",Formulario!B933)</f>
        <v/>
      </c>
      <c r="B922" s="119"/>
      <c r="C922" s="120"/>
      <c r="D922" s="121"/>
      <c r="E922" s="129" t="str">
        <f>IF(F922="","",Formulario!B933)</f>
        <v/>
      </c>
      <c r="F922" s="11" t="str">
        <f>TRIM(Formulario!D933)</f>
        <v/>
      </c>
      <c r="G922" s="11" t="str">
        <f>TRIM(Formulario!F933)</f>
        <v/>
      </c>
      <c r="H922" s="146" t="str">
        <f>IF(N922="",TRIM(Formulario!G933),TRIM(Formulario!G933)*N922)</f>
        <v/>
      </c>
      <c r="I922" s="107" t="str">
        <f>TRIM(Formulario!I933)</f>
        <v/>
      </c>
      <c r="J922" s="11" t="str">
        <f>TRIM(Formulario!J933)</f>
        <v/>
      </c>
      <c r="K922" s="11" t="str">
        <f>TRIM(Formulario!K933)</f>
        <v/>
      </c>
      <c r="L922" s="107" t="str">
        <f>TRIM(Formulario!L933)</f>
        <v/>
      </c>
      <c r="M922" s="107" t="str">
        <f>TRIM(Formulario!M933)</f>
        <v/>
      </c>
      <c r="N922" s="11" t="str">
        <f>TRIM(Formulario!H933)</f>
        <v/>
      </c>
      <c r="P922" s="17"/>
      <c r="Q922" s="104"/>
      <c r="R922" s="104"/>
      <c r="S922" s="117"/>
      <c r="T922" s="101"/>
      <c r="U922" s="101"/>
      <c r="V922" s="101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</row>
    <row r="923" spans="1:49">
      <c r="A923" s="8" t="str">
        <f>IF(L923="","",Formulario!B934)</f>
        <v/>
      </c>
      <c r="B923" s="119"/>
      <c r="C923" s="120"/>
      <c r="D923" s="121"/>
      <c r="E923" s="129" t="str">
        <f>IF(F923="","",Formulario!B934)</f>
        <v/>
      </c>
      <c r="F923" s="11" t="str">
        <f>TRIM(Formulario!D934)</f>
        <v/>
      </c>
      <c r="G923" s="11" t="str">
        <f>TRIM(Formulario!F934)</f>
        <v/>
      </c>
      <c r="H923" s="146" t="str">
        <f>IF(N923="",TRIM(Formulario!G934),TRIM(Formulario!G934)*N923)</f>
        <v/>
      </c>
      <c r="I923" s="107" t="str">
        <f>TRIM(Formulario!I934)</f>
        <v/>
      </c>
      <c r="J923" s="11" t="str">
        <f>TRIM(Formulario!J934)</f>
        <v/>
      </c>
      <c r="K923" s="11" t="str">
        <f>TRIM(Formulario!K934)</f>
        <v/>
      </c>
      <c r="L923" s="107" t="str">
        <f>TRIM(Formulario!L934)</f>
        <v/>
      </c>
      <c r="M923" s="107" t="str">
        <f>TRIM(Formulario!M934)</f>
        <v/>
      </c>
      <c r="N923" s="11" t="str">
        <f>TRIM(Formulario!H934)</f>
        <v/>
      </c>
      <c r="P923" s="17"/>
      <c r="Q923" s="104"/>
      <c r="R923" s="104"/>
      <c r="S923" s="117"/>
      <c r="T923" s="101"/>
      <c r="U923" s="101"/>
      <c r="V923" s="101"/>
      <c r="W923" s="102"/>
      <c r="X923" s="102"/>
      <c r="Y923" s="102"/>
      <c r="Z923" s="102"/>
      <c r="AA923" s="102"/>
      <c r="AB923" s="102"/>
      <c r="AC923" s="102"/>
      <c r="AD923" s="102"/>
      <c r="AE923" s="102"/>
      <c r="AF923" s="102"/>
      <c r="AG923" s="102"/>
      <c r="AH923" s="102"/>
      <c r="AI923" s="102"/>
      <c r="AJ923" s="102"/>
      <c r="AK923" s="102"/>
      <c r="AL923" s="102"/>
      <c r="AM923" s="102"/>
      <c r="AN923" s="102"/>
      <c r="AO923" s="102"/>
      <c r="AP923" s="102"/>
      <c r="AQ923" s="102"/>
      <c r="AR923" s="102"/>
      <c r="AS923" s="102"/>
      <c r="AT923" s="102"/>
      <c r="AU923" s="102"/>
      <c r="AV923" s="102"/>
      <c r="AW923" s="102"/>
    </row>
    <row r="924" spans="1:49">
      <c r="A924" s="8" t="str">
        <f>IF(L924="","",Formulario!B935)</f>
        <v/>
      </c>
      <c r="B924" s="119"/>
      <c r="C924" s="120"/>
      <c r="D924" s="121"/>
      <c r="E924" s="129" t="str">
        <f>IF(F924="","",Formulario!B935)</f>
        <v/>
      </c>
      <c r="F924" s="11" t="str">
        <f>TRIM(Formulario!D935)</f>
        <v/>
      </c>
      <c r="G924" s="11" t="str">
        <f>TRIM(Formulario!F935)</f>
        <v/>
      </c>
      <c r="H924" s="146" t="str">
        <f>IF(N924="",TRIM(Formulario!G935),TRIM(Formulario!G935)*N924)</f>
        <v/>
      </c>
      <c r="I924" s="107" t="str">
        <f>TRIM(Formulario!I935)</f>
        <v/>
      </c>
      <c r="J924" s="11" t="str">
        <f>TRIM(Formulario!J935)</f>
        <v/>
      </c>
      <c r="K924" s="11" t="str">
        <f>TRIM(Formulario!K935)</f>
        <v/>
      </c>
      <c r="L924" s="107" t="str">
        <f>TRIM(Formulario!L935)</f>
        <v/>
      </c>
      <c r="M924" s="107" t="str">
        <f>TRIM(Formulario!M935)</f>
        <v/>
      </c>
      <c r="N924" s="11" t="str">
        <f>TRIM(Formulario!H935)</f>
        <v/>
      </c>
      <c r="P924" s="17"/>
      <c r="Q924" s="104"/>
      <c r="R924" s="104"/>
      <c r="S924" s="117"/>
      <c r="T924" s="101"/>
      <c r="U924" s="101"/>
      <c r="V924" s="101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</row>
    <row r="925" spans="1:49">
      <c r="A925" s="8" t="str">
        <f>IF(L925="","",Formulario!B936)</f>
        <v/>
      </c>
      <c r="B925" s="119"/>
      <c r="C925" s="120"/>
      <c r="D925" s="121"/>
      <c r="E925" s="129" t="str">
        <f>IF(F925="","",Formulario!B936)</f>
        <v/>
      </c>
      <c r="F925" s="11" t="str">
        <f>TRIM(Formulario!D936)</f>
        <v/>
      </c>
      <c r="G925" s="11" t="str">
        <f>TRIM(Formulario!F936)</f>
        <v/>
      </c>
      <c r="H925" s="146" t="str">
        <f>IF(N925="",TRIM(Formulario!G936),TRIM(Formulario!G936)*N925)</f>
        <v/>
      </c>
      <c r="I925" s="107" t="str">
        <f>TRIM(Formulario!I936)</f>
        <v/>
      </c>
      <c r="J925" s="11" t="str">
        <f>TRIM(Formulario!J936)</f>
        <v/>
      </c>
      <c r="K925" s="11" t="str">
        <f>TRIM(Formulario!K936)</f>
        <v/>
      </c>
      <c r="L925" s="107" t="str">
        <f>TRIM(Formulario!L936)</f>
        <v/>
      </c>
      <c r="M925" s="107" t="str">
        <f>TRIM(Formulario!M936)</f>
        <v/>
      </c>
      <c r="N925" s="11" t="str">
        <f>TRIM(Formulario!H936)</f>
        <v/>
      </c>
      <c r="P925" s="17"/>
      <c r="Q925" s="104"/>
      <c r="R925" s="104"/>
      <c r="S925" s="117"/>
      <c r="T925" s="101"/>
      <c r="U925" s="101"/>
      <c r="V925" s="101"/>
      <c r="W925" s="102"/>
      <c r="X925" s="102"/>
      <c r="Y925" s="102"/>
      <c r="Z925" s="102"/>
      <c r="AA925" s="102"/>
      <c r="AB925" s="102"/>
      <c r="AC925" s="102"/>
      <c r="AD925" s="102"/>
      <c r="AE925" s="102"/>
      <c r="AF925" s="102"/>
      <c r="AG925" s="102"/>
      <c r="AH925" s="102"/>
      <c r="AI925" s="102"/>
      <c r="AJ925" s="102"/>
      <c r="AK925" s="102"/>
      <c r="AL925" s="102"/>
      <c r="AM925" s="102"/>
      <c r="AN925" s="102"/>
      <c r="AO925" s="102"/>
      <c r="AP925" s="102"/>
      <c r="AQ925" s="102"/>
      <c r="AR925" s="102"/>
      <c r="AS925" s="102"/>
      <c r="AT925" s="102"/>
      <c r="AU925" s="102"/>
      <c r="AV925" s="102"/>
      <c r="AW925" s="102"/>
    </row>
    <row r="926" spans="1:49">
      <c r="A926" s="8" t="str">
        <f>IF(L926="","",Formulario!B937)</f>
        <v/>
      </c>
      <c r="B926" s="119"/>
      <c r="C926" s="120"/>
      <c r="D926" s="121"/>
      <c r="E926" s="129" t="str">
        <f>IF(F926="","",Formulario!B937)</f>
        <v/>
      </c>
      <c r="F926" s="11" t="str">
        <f>TRIM(Formulario!D937)</f>
        <v/>
      </c>
      <c r="G926" s="11" t="str">
        <f>TRIM(Formulario!F937)</f>
        <v/>
      </c>
      <c r="H926" s="146" t="str">
        <f>IF(N926="",TRIM(Formulario!G937),TRIM(Formulario!G937)*N926)</f>
        <v/>
      </c>
      <c r="I926" s="107" t="str">
        <f>TRIM(Formulario!I937)</f>
        <v/>
      </c>
      <c r="J926" s="11" t="str">
        <f>TRIM(Formulario!J937)</f>
        <v/>
      </c>
      <c r="K926" s="11" t="str">
        <f>TRIM(Formulario!K937)</f>
        <v/>
      </c>
      <c r="L926" s="107" t="str">
        <f>TRIM(Formulario!L937)</f>
        <v/>
      </c>
      <c r="M926" s="107" t="str">
        <f>TRIM(Formulario!M937)</f>
        <v/>
      </c>
      <c r="N926" s="11" t="str">
        <f>TRIM(Formulario!H937)</f>
        <v/>
      </c>
      <c r="P926" s="17"/>
      <c r="Q926" s="104"/>
      <c r="R926" s="104"/>
      <c r="S926" s="117"/>
      <c r="T926" s="101"/>
      <c r="U926" s="101"/>
      <c r="V926" s="101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</row>
    <row r="927" spans="1:49">
      <c r="A927" s="8" t="str">
        <f>IF(L927="","",Formulario!B938)</f>
        <v/>
      </c>
      <c r="B927" s="119"/>
      <c r="C927" s="120"/>
      <c r="D927" s="121"/>
      <c r="E927" s="129" t="str">
        <f>IF(F927="","",Formulario!B938)</f>
        <v/>
      </c>
      <c r="F927" s="11" t="str">
        <f>TRIM(Formulario!D938)</f>
        <v/>
      </c>
      <c r="G927" s="11" t="str">
        <f>TRIM(Formulario!F938)</f>
        <v/>
      </c>
      <c r="H927" s="146" t="str">
        <f>IF(N927="",TRIM(Formulario!G938),TRIM(Formulario!G938)*N927)</f>
        <v/>
      </c>
      <c r="I927" s="107" t="str">
        <f>TRIM(Formulario!I938)</f>
        <v/>
      </c>
      <c r="J927" s="11" t="str">
        <f>TRIM(Formulario!J938)</f>
        <v/>
      </c>
      <c r="K927" s="11" t="str">
        <f>TRIM(Formulario!K938)</f>
        <v/>
      </c>
      <c r="L927" s="107" t="str">
        <f>TRIM(Formulario!L938)</f>
        <v/>
      </c>
      <c r="M927" s="107" t="str">
        <f>TRIM(Formulario!M938)</f>
        <v/>
      </c>
      <c r="N927" s="11" t="str">
        <f>TRIM(Formulario!H938)</f>
        <v/>
      </c>
      <c r="P927" s="17"/>
      <c r="Q927" s="104"/>
      <c r="R927" s="104"/>
      <c r="S927" s="117"/>
      <c r="T927" s="101"/>
      <c r="U927" s="101"/>
      <c r="V927" s="101"/>
      <c r="W927" s="102"/>
      <c r="X927" s="102"/>
      <c r="Y927" s="102"/>
      <c r="Z927" s="102"/>
      <c r="AA927" s="102"/>
      <c r="AB927" s="102"/>
      <c r="AC927" s="102"/>
      <c r="AD927" s="102"/>
      <c r="AE927" s="102"/>
      <c r="AF927" s="102"/>
      <c r="AG927" s="102"/>
      <c r="AH927" s="102"/>
      <c r="AI927" s="102"/>
      <c r="AJ927" s="102"/>
      <c r="AK927" s="102"/>
      <c r="AL927" s="102"/>
      <c r="AM927" s="102"/>
      <c r="AN927" s="102"/>
      <c r="AO927" s="102"/>
      <c r="AP927" s="102"/>
      <c r="AQ927" s="102"/>
      <c r="AR927" s="102"/>
      <c r="AS927" s="102"/>
      <c r="AT927" s="102"/>
      <c r="AU927" s="102"/>
      <c r="AV927" s="102"/>
      <c r="AW927" s="102"/>
    </row>
    <row r="928" spans="1:49">
      <c r="A928" s="8" t="str">
        <f>IF(L928="","",Formulario!B939)</f>
        <v/>
      </c>
      <c r="B928" s="119"/>
      <c r="C928" s="120"/>
      <c r="D928" s="121"/>
      <c r="E928" s="129" t="str">
        <f>IF(F928="","",Formulario!B939)</f>
        <v/>
      </c>
      <c r="F928" s="11" t="str">
        <f>TRIM(Formulario!D939)</f>
        <v/>
      </c>
      <c r="G928" s="11" t="str">
        <f>TRIM(Formulario!F939)</f>
        <v/>
      </c>
      <c r="H928" s="146" t="str">
        <f>IF(N928="",TRIM(Formulario!G939),TRIM(Formulario!G939)*N928)</f>
        <v/>
      </c>
      <c r="I928" s="107" t="str">
        <f>TRIM(Formulario!I939)</f>
        <v/>
      </c>
      <c r="J928" s="11" t="str">
        <f>TRIM(Formulario!J939)</f>
        <v/>
      </c>
      <c r="K928" s="11" t="str">
        <f>TRIM(Formulario!K939)</f>
        <v/>
      </c>
      <c r="L928" s="107" t="str">
        <f>TRIM(Formulario!L939)</f>
        <v/>
      </c>
      <c r="M928" s="107" t="str">
        <f>TRIM(Formulario!M939)</f>
        <v/>
      </c>
      <c r="N928" s="11" t="str">
        <f>TRIM(Formulario!H939)</f>
        <v/>
      </c>
      <c r="P928" s="17"/>
      <c r="Q928" s="104"/>
      <c r="R928" s="104"/>
      <c r="S928" s="117"/>
      <c r="T928" s="101"/>
      <c r="U928" s="101"/>
      <c r="V928" s="101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</row>
    <row r="929" spans="1:49">
      <c r="A929" s="8" t="str">
        <f>IF(L929="","",Formulario!B940)</f>
        <v/>
      </c>
      <c r="B929" s="119"/>
      <c r="C929" s="120"/>
      <c r="D929" s="121"/>
      <c r="E929" s="129" t="str">
        <f>IF(F929="","",Formulario!B940)</f>
        <v/>
      </c>
      <c r="F929" s="11" t="str">
        <f>TRIM(Formulario!D940)</f>
        <v/>
      </c>
      <c r="G929" s="11" t="str">
        <f>TRIM(Formulario!F940)</f>
        <v/>
      </c>
      <c r="H929" s="146" t="str">
        <f>IF(N929="",TRIM(Formulario!G940),TRIM(Formulario!G940)*N929)</f>
        <v/>
      </c>
      <c r="I929" s="107" t="str">
        <f>TRIM(Formulario!I940)</f>
        <v/>
      </c>
      <c r="J929" s="11" t="str">
        <f>TRIM(Formulario!J940)</f>
        <v/>
      </c>
      <c r="K929" s="11" t="str">
        <f>TRIM(Formulario!K940)</f>
        <v/>
      </c>
      <c r="L929" s="107" t="str">
        <f>TRIM(Formulario!L940)</f>
        <v/>
      </c>
      <c r="M929" s="107" t="str">
        <f>TRIM(Formulario!M940)</f>
        <v/>
      </c>
      <c r="N929" s="11" t="str">
        <f>TRIM(Formulario!H940)</f>
        <v/>
      </c>
      <c r="P929" s="17"/>
      <c r="Q929" s="104"/>
      <c r="R929" s="104"/>
      <c r="S929" s="117"/>
      <c r="T929" s="101"/>
      <c r="U929" s="101"/>
      <c r="V929" s="101"/>
      <c r="W929" s="102"/>
      <c r="X929" s="102"/>
      <c r="Y929" s="102"/>
      <c r="Z929" s="102"/>
      <c r="AA929" s="102"/>
      <c r="AB929" s="102"/>
      <c r="AC929" s="102"/>
      <c r="AD929" s="102"/>
      <c r="AE929" s="102"/>
      <c r="AF929" s="102"/>
      <c r="AG929" s="102"/>
      <c r="AH929" s="102"/>
      <c r="AI929" s="102"/>
      <c r="AJ929" s="102"/>
      <c r="AK929" s="102"/>
      <c r="AL929" s="102"/>
      <c r="AM929" s="102"/>
      <c r="AN929" s="102"/>
      <c r="AO929" s="102"/>
      <c r="AP929" s="102"/>
      <c r="AQ929" s="102"/>
      <c r="AR929" s="102"/>
      <c r="AS929" s="102"/>
      <c r="AT929" s="102"/>
      <c r="AU929" s="102"/>
      <c r="AV929" s="102"/>
      <c r="AW929" s="102"/>
    </row>
    <row r="930" spans="1:49">
      <c r="A930" s="8" t="str">
        <f>IF(L930="","",Formulario!B941)</f>
        <v/>
      </c>
      <c r="B930" s="119"/>
      <c r="C930" s="120"/>
      <c r="D930" s="121"/>
      <c r="E930" s="129" t="str">
        <f>IF(F930="","",Formulario!B941)</f>
        <v/>
      </c>
      <c r="F930" s="11" t="str">
        <f>TRIM(Formulario!D941)</f>
        <v/>
      </c>
      <c r="G930" s="11" t="str">
        <f>TRIM(Formulario!F941)</f>
        <v/>
      </c>
      <c r="H930" s="146" t="str">
        <f>IF(N930="",TRIM(Formulario!G941),TRIM(Formulario!G941)*N930)</f>
        <v/>
      </c>
      <c r="I930" s="107" t="str">
        <f>TRIM(Formulario!I941)</f>
        <v/>
      </c>
      <c r="J930" s="11" t="str">
        <f>TRIM(Formulario!J941)</f>
        <v/>
      </c>
      <c r="K930" s="11" t="str">
        <f>TRIM(Formulario!K941)</f>
        <v/>
      </c>
      <c r="L930" s="107" t="str">
        <f>TRIM(Formulario!L941)</f>
        <v/>
      </c>
      <c r="M930" s="107" t="str">
        <f>TRIM(Formulario!M941)</f>
        <v/>
      </c>
      <c r="N930" s="11" t="str">
        <f>TRIM(Formulario!H941)</f>
        <v/>
      </c>
      <c r="P930" s="17"/>
      <c r="Q930" s="104"/>
      <c r="R930" s="104"/>
      <c r="S930" s="117"/>
      <c r="T930" s="101"/>
      <c r="U930" s="101"/>
      <c r="V930" s="101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</row>
    <row r="931" spans="1:49">
      <c r="A931" s="8" t="str">
        <f>IF(L931="","",Formulario!B942)</f>
        <v/>
      </c>
      <c r="B931" s="119"/>
      <c r="C931" s="120"/>
      <c r="D931" s="121"/>
      <c r="E931" s="129" t="str">
        <f>IF(F931="","",Formulario!B942)</f>
        <v/>
      </c>
      <c r="F931" s="11" t="str">
        <f>TRIM(Formulario!D942)</f>
        <v/>
      </c>
      <c r="G931" s="11" t="str">
        <f>TRIM(Formulario!F942)</f>
        <v/>
      </c>
      <c r="H931" s="146" t="str">
        <f>IF(N931="",TRIM(Formulario!G942),TRIM(Formulario!G942)*N931)</f>
        <v/>
      </c>
      <c r="I931" s="107" t="str">
        <f>TRIM(Formulario!I942)</f>
        <v/>
      </c>
      <c r="J931" s="11" t="str">
        <f>TRIM(Formulario!J942)</f>
        <v/>
      </c>
      <c r="K931" s="11" t="str">
        <f>TRIM(Formulario!K942)</f>
        <v/>
      </c>
      <c r="L931" s="107" t="str">
        <f>TRIM(Formulario!L942)</f>
        <v/>
      </c>
      <c r="M931" s="107" t="str">
        <f>TRIM(Formulario!M942)</f>
        <v/>
      </c>
      <c r="N931" s="11" t="str">
        <f>TRIM(Formulario!H942)</f>
        <v/>
      </c>
      <c r="P931" s="17"/>
      <c r="Q931" s="104"/>
      <c r="R931" s="104"/>
      <c r="S931" s="117"/>
      <c r="T931" s="101"/>
      <c r="U931" s="101"/>
      <c r="V931" s="101"/>
      <c r="W931" s="102"/>
      <c r="X931" s="102"/>
      <c r="Y931" s="102"/>
      <c r="Z931" s="102"/>
      <c r="AA931" s="102"/>
      <c r="AB931" s="102"/>
      <c r="AC931" s="102"/>
      <c r="AD931" s="102"/>
      <c r="AE931" s="102"/>
      <c r="AF931" s="102"/>
      <c r="AG931" s="102"/>
      <c r="AH931" s="102"/>
      <c r="AI931" s="102"/>
      <c r="AJ931" s="102"/>
      <c r="AK931" s="102"/>
      <c r="AL931" s="102"/>
      <c r="AM931" s="102"/>
      <c r="AN931" s="102"/>
      <c r="AO931" s="102"/>
      <c r="AP931" s="102"/>
      <c r="AQ931" s="102"/>
      <c r="AR931" s="102"/>
      <c r="AS931" s="102"/>
      <c r="AT931" s="102"/>
      <c r="AU931" s="102"/>
      <c r="AV931" s="102"/>
      <c r="AW931" s="102"/>
    </row>
    <row r="932" spans="1:49">
      <c r="A932" s="8" t="str">
        <f>IF(L932="","",Formulario!B943)</f>
        <v/>
      </c>
      <c r="B932" s="119"/>
      <c r="C932" s="120"/>
      <c r="D932" s="121"/>
      <c r="E932" s="129" t="str">
        <f>IF(F932="","",Formulario!B943)</f>
        <v/>
      </c>
      <c r="F932" s="11" t="str">
        <f>TRIM(Formulario!D943)</f>
        <v/>
      </c>
      <c r="G932" s="11" t="str">
        <f>TRIM(Formulario!F943)</f>
        <v/>
      </c>
      <c r="H932" s="146" t="str">
        <f>IF(N932="",TRIM(Formulario!G943),TRIM(Formulario!G943)*N932)</f>
        <v/>
      </c>
      <c r="I932" s="107" t="str">
        <f>TRIM(Formulario!I943)</f>
        <v/>
      </c>
      <c r="J932" s="11" t="str">
        <f>TRIM(Formulario!J943)</f>
        <v/>
      </c>
      <c r="K932" s="11" t="str">
        <f>TRIM(Formulario!K943)</f>
        <v/>
      </c>
      <c r="L932" s="107" t="str">
        <f>TRIM(Formulario!L943)</f>
        <v/>
      </c>
      <c r="M932" s="107" t="str">
        <f>TRIM(Formulario!M943)</f>
        <v/>
      </c>
      <c r="N932" s="11" t="str">
        <f>TRIM(Formulario!H943)</f>
        <v/>
      </c>
      <c r="P932" s="17"/>
      <c r="Q932" s="104"/>
      <c r="R932" s="104"/>
      <c r="S932" s="117"/>
      <c r="T932" s="101"/>
      <c r="U932" s="101"/>
      <c r="V932" s="101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</row>
    <row r="933" spans="1:49">
      <c r="A933" s="8" t="str">
        <f>IF(L933="","",Formulario!B944)</f>
        <v/>
      </c>
      <c r="B933" s="119"/>
      <c r="C933" s="120"/>
      <c r="D933" s="121"/>
      <c r="E933" s="129" t="str">
        <f>IF(F933="","",Formulario!B944)</f>
        <v/>
      </c>
      <c r="F933" s="11" t="str">
        <f>TRIM(Formulario!D944)</f>
        <v/>
      </c>
      <c r="G933" s="11" t="str">
        <f>TRIM(Formulario!F944)</f>
        <v/>
      </c>
      <c r="H933" s="146" t="str">
        <f>IF(N933="",TRIM(Formulario!G944),TRIM(Formulario!G944)*N933)</f>
        <v/>
      </c>
      <c r="I933" s="107" t="str">
        <f>TRIM(Formulario!I944)</f>
        <v/>
      </c>
      <c r="J933" s="11" t="str">
        <f>TRIM(Formulario!J944)</f>
        <v/>
      </c>
      <c r="K933" s="11" t="str">
        <f>TRIM(Formulario!K944)</f>
        <v/>
      </c>
      <c r="L933" s="107" t="str">
        <f>TRIM(Formulario!L944)</f>
        <v/>
      </c>
      <c r="M933" s="107" t="str">
        <f>TRIM(Formulario!M944)</f>
        <v/>
      </c>
      <c r="N933" s="11" t="str">
        <f>TRIM(Formulario!H944)</f>
        <v/>
      </c>
      <c r="P933" s="17"/>
      <c r="Q933" s="104"/>
      <c r="R933" s="104"/>
      <c r="S933" s="117"/>
      <c r="T933" s="101"/>
      <c r="U933" s="101"/>
      <c r="V933" s="101"/>
      <c r="W933" s="102"/>
      <c r="X933" s="102"/>
      <c r="Y933" s="102"/>
      <c r="Z933" s="102"/>
      <c r="AA933" s="102"/>
      <c r="AB933" s="102"/>
      <c r="AC933" s="102"/>
      <c r="AD933" s="102"/>
      <c r="AE933" s="102"/>
      <c r="AF933" s="102"/>
      <c r="AG933" s="102"/>
      <c r="AH933" s="102"/>
      <c r="AI933" s="102"/>
      <c r="AJ933" s="102"/>
      <c r="AK933" s="102"/>
      <c r="AL933" s="102"/>
      <c r="AM933" s="102"/>
      <c r="AN933" s="102"/>
      <c r="AO933" s="102"/>
      <c r="AP933" s="102"/>
      <c r="AQ933" s="102"/>
      <c r="AR933" s="102"/>
      <c r="AS933" s="102"/>
      <c r="AT933" s="102"/>
      <c r="AU933" s="102"/>
      <c r="AV933" s="102"/>
      <c r="AW933" s="102"/>
    </row>
    <row r="934" spans="1:49">
      <c r="A934" s="8" t="str">
        <f>IF(L934="","",Formulario!B945)</f>
        <v/>
      </c>
      <c r="B934" s="119"/>
      <c r="C934" s="120"/>
      <c r="D934" s="121"/>
      <c r="E934" s="129" t="str">
        <f>IF(F934="","",Formulario!B945)</f>
        <v/>
      </c>
      <c r="F934" s="11" t="str">
        <f>TRIM(Formulario!D945)</f>
        <v/>
      </c>
      <c r="G934" s="11" t="str">
        <f>TRIM(Formulario!F945)</f>
        <v/>
      </c>
      <c r="H934" s="146" t="str">
        <f>IF(N934="",TRIM(Formulario!G945),TRIM(Formulario!G945)*N934)</f>
        <v/>
      </c>
      <c r="I934" s="107" t="str">
        <f>TRIM(Formulario!I945)</f>
        <v/>
      </c>
      <c r="J934" s="11" t="str">
        <f>TRIM(Formulario!J945)</f>
        <v/>
      </c>
      <c r="K934" s="11" t="str">
        <f>TRIM(Formulario!K945)</f>
        <v/>
      </c>
      <c r="L934" s="107" t="str">
        <f>TRIM(Formulario!L945)</f>
        <v/>
      </c>
      <c r="M934" s="107" t="str">
        <f>TRIM(Formulario!M945)</f>
        <v/>
      </c>
      <c r="N934" s="11" t="str">
        <f>TRIM(Formulario!H945)</f>
        <v/>
      </c>
      <c r="P934" s="17"/>
      <c r="Q934" s="104"/>
      <c r="R934" s="104"/>
      <c r="S934" s="117"/>
      <c r="T934" s="101"/>
      <c r="U934" s="101"/>
      <c r="V934" s="101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</row>
    <row r="935" spans="1:49">
      <c r="A935" s="8" t="str">
        <f>IF(L935="","",Formulario!B946)</f>
        <v/>
      </c>
      <c r="B935" s="119"/>
      <c r="C935" s="120"/>
      <c r="D935" s="121"/>
      <c r="E935" s="129" t="str">
        <f>IF(F935="","",Formulario!B946)</f>
        <v/>
      </c>
      <c r="F935" s="11" t="str">
        <f>TRIM(Formulario!D946)</f>
        <v/>
      </c>
      <c r="G935" s="11" t="str">
        <f>TRIM(Formulario!F946)</f>
        <v/>
      </c>
      <c r="H935" s="146" t="str">
        <f>IF(N935="",TRIM(Formulario!G946),TRIM(Formulario!G946)*N935)</f>
        <v/>
      </c>
      <c r="I935" s="107" t="str">
        <f>TRIM(Formulario!I946)</f>
        <v/>
      </c>
      <c r="J935" s="11" t="str">
        <f>TRIM(Formulario!J946)</f>
        <v/>
      </c>
      <c r="K935" s="11" t="str">
        <f>TRIM(Formulario!K946)</f>
        <v/>
      </c>
      <c r="L935" s="107" t="str">
        <f>TRIM(Formulario!L946)</f>
        <v/>
      </c>
      <c r="M935" s="107" t="str">
        <f>TRIM(Formulario!M946)</f>
        <v/>
      </c>
      <c r="N935" s="11" t="str">
        <f>TRIM(Formulario!H946)</f>
        <v/>
      </c>
      <c r="P935" s="17"/>
      <c r="Q935" s="104"/>
      <c r="R935" s="104"/>
      <c r="S935" s="117"/>
      <c r="T935" s="101"/>
      <c r="U935" s="101"/>
      <c r="V935" s="101"/>
      <c r="W935" s="102"/>
      <c r="X935" s="102"/>
      <c r="Y935" s="102"/>
      <c r="Z935" s="102"/>
      <c r="AA935" s="102"/>
      <c r="AB935" s="102"/>
      <c r="AC935" s="102"/>
      <c r="AD935" s="102"/>
      <c r="AE935" s="102"/>
      <c r="AF935" s="102"/>
      <c r="AG935" s="102"/>
      <c r="AH935" s="102"/>
      <c r="AI935" s="102"/>
      <c r="AJ935" s="102"/>
      <c r="AK935" s="102"/>
      <c r="AL935" s="102"/>
      <c r="AM935" s="102"/>
      <c r="AN935" s="102"/>
      <c r="AO935" s="102"/>
      <c r="AP935" s="102"/>
      <c r="AQ935" s="102"/>
      <c r="AR935" s="102"/>
      <c r="AS935" s="102"/>
      <c r="AT935" s="102"/>
      <c r="AU935" s="102"/>
      <c r="AV935" s="102"/>
      <c r="AW935" s="102"/>
    </row>
    <row r="936" spans="1:49">
      <c r="A936" s="8" t="str">
        <f>IF(L936="","",Formulario!B947)</f>
        <v/>
      </c>
      <c r="B936" s="119"/>
      <c r="C936" s="120"/>
      <c r="D936" s="121"/>
      <c r="E936" s="129" t="str">
        <f>IF(F936="","",Formulario!B947)</f>
        <v/>
      </c>
      <c r="F936" s="11" t="str">
        <f>TRIM(Formulario!D947)</f>
        <v/>
      </c>
      <c r="G936" s="11" t="str">
        <f>TRIM(Formulario!F947)</f>
        <v/>
      </c>
      <c r="H936" s="146" t="str">
        <f>IF(N936="",TRIM(Formulario!G947),TRIM(Formulario!G947)*N936)</f>
        <v/>
      </c>
      <c r="I936" s="107" t="str">
        <f>TRIM(Formulario!I947)</f>
        <v/>
      </c>
      <c r="J936" s="11" t="str">
        <f>TRIM(Formulario!J947)</f>
        <v/>
      </c>
      <c r="K936" s="11" t="str">
        <f>TRIM(Formulario!K947)</f>
        <v/>
      </c>
      <c r="L936" s="107" t="str">
        <f>TRIM(Formulario!L947)</f>
        <v/>
      </c>
      <c r="M936" s="107" t="str">
        <f>TRIM(Formulario!M947)</f>
        <v/>
      </c>
      <c r="N936" s="11" t="str">
        <f>TRIM(Formulario!H947)</f>
        <v/>
      </c>
      <c r="P936" s="17"/>
      <c r="Q936" s="104"/>
      <c r="R936" s="104"/>
      <c r="S936" s="117"/>
      <c r="T936" s="101"/>
      <c r="U936" s="101"/>
      <c r="V936" s="101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</row>
    <row r="937" spans="1:49">
      <c r="A937" s="8" t="str">
        <f>IF(L937="","",Formulario!B948)</f>
        <v/>
      </c>
      <c r="B937" s="119"/>
      <c r="C937" s="120"/>
      <c r="D937" s="121"/>
      <c r="E937" s="129" t="str">
        <f>IF(F937="","",Formulario!B948)</f>
        <v/>
      </c>
      <c r="F937" s="11" t="str">
        <f>TRIM(Formulario!D948)</f>
        <v/>
      </c>
      <c r="G937" s="11" t="str">
        <f>TRIM(Formulario!F948)</f>
        <v/>
      </c>
      <c r="H937" s="146" t="str">
        <f>IF(N937="",TRIM(Formulario!G948),TRIM(Formulario!G948)*N937)</f>
        <v/>
      </c>
      <c r="I937" s="107" t="str">
        <f>TRIM(Formulario!I948)</f>
        <v/>
      </c>
      <c r="J937" s="11" t="str">
        <f>TRIM(Formulario!J948)</f>
        <v/>
      </c>
      <c r="K937" s="11" t="str">
        <f>TRIM(Formulario!K948)</f>
        <v/>
      </c>
      <c r="L937" s="107" t="str">
        <f>TRIM(Formulario!L948)</f>
        <v/>
      </c>
      <c r="M937" s="107" t="str">
        <f>TRIM(Formulario!M948)</f>
        <v/>
      </c>
      <c r="N937" s="11" t="str">
        <f>TRIM(Formulario!H948)</f>
        <v/>
      </c>
      <c r="P937" s="17"/>
      <c r="Q937" s="104"/>
      <c r="R937" s="104"/>
      <c r="S937" s="117"/>
      <c r="T937" s="101"/>
      <c r="U937" s="101"/>
      <c r="V937" s="101"/>
      <c r="W937" s="102"/>
      <c r="X937" s="102"/>
      <c r="Y937" s="102"/>
      <c r="Z937" s="102"/>
      <c r="AA937" s="102"/>
      <c r="AB937" s="102"/>
      <c r="AC937" s="102"/>
      <c r="AD937" s="102"/>
      <c r="AE937" s="102"/>
      <c r="AF937" s="102"/>
      <c r="AG937" s="102"/>
      <c r="AH937" s="102"/>
      <c r="AI937" s="102"/>
      <c r="AJ937" s="102"/>
      <c r="AK937" s="102"/>
      <c r="AL937" s="102"/>
      <c r="AM937" s="102"/>
      <c r="AN937" s="102"/>
      <c r="AO937" s="102"/>
      <c r="AP937" s="102"/>
      <c r="AQ937" s="102"/>
      <c r="AR937" s="102"/>
      <c r="AS937" s="102"/>
      <c r="AT937" s="102"/>
      <c r="AU937" s="102"/>
      <c r="AV937" s="102"/>
      <c r="AW937" s="102"/>
    </row>
    <row r="938" spans="1:49">
      <c r="A938" s="8" t="str">
        <f>IF(L938="","",Formulario!B949)</f>
        <v/>
      </c>
      <c r="B938" s="119"/>
      <c r="C938" s="120"/>
      <c r="D938" s="121"/>
      <c r="E938" s="129" t="str">
        <f>IF(F938="","",Formulario!B949)</f>
        <v/>
      </c>
      <c r="F938" s="11" t="str">
        <f>TRIM(Formulario!D949)</f>
        <v/>
      </c>
      <c r="G938" s="11" t="str">
        <f>TRIM(Formulario!F949)</f>
        <v/>
      </c>
      <c r="H938" s="146" t="str">
        <f>IF(N938="",TRIM(Formulario!G949),TRIM(Formulario!G949)*N938)</f>
        <v/>
      </c>
      <c r="I938" s="107" t="str">
        <f>TRIM(Formulario!I949)</f>
        <v/>
      </c>
      <c r="J938" s="11" t="str">
        <f>TRIM(Formulario!J949)</f>
        <v/>
      </c>
      <c r="K938" s="11" t="str">
        <f>TRIM(Formulario!K949)</f>
        <v/>
      </c>
      <c r="L938" s="107" t="str">
        <f>TRIM(Formulario!L949)</f>
        <v/>
      </c>
      <c r="M938" s="107" t="str">
        <f>TRIM(Formulario!M949)</f>
        <v/>
      </c>
      <c r="N938" s="11" t="str">
        <f>TRIM(Formulario!H949)</f>
        <v/>
      </c>
      <c r="P938" s="17"/>
      <c r="Q938" s="104"/>
      <c r="R938" s="104"/>
      <c r="S938" s="117"/>
      <c r="T938" s="101"/>
      <c r="U938" s="101"/>
      <c r="V938" s="101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</row>
    <row r="939" spans="1:49">
      <c r="A939" s="8" t="str">
        <f>IF(L939="","",Formulario!B950)</f>
        <v/>
      </c>
      <c r="B939" s="119"/>
      <c r="C939" s="120"/>
      <c r="D939" s="121"/>
      <c r="E939" s="129" t="str">
        <f>IF(F939="","",Formulario!B950)</f>
        <v/>
      </c>
      <c r="F939" s="11" t="str">
        <f>TRIM(Formulario!D950)</f>
        <v/>
      </c>
      <c r="G939" s="11" t="str">
        <f>TRIM(Formulario!F950)</f>
        <v/>
      </c>
      <c r="H939" s="146" t="str">
        <f>IF(N939="",TRIM(Formulario!G950),TRIM(Formulario!G950)*N939)</f>
        <v/>
      </c>
      <c r="I939" s="107" t="str">
        <f>TRIM(Formulario!I950)</f>
        <v/>
      </c>
      <c r="J939" s="11" t="str">
        <f>TRIM(Formulario!J950)</f>
        <v/>
      </c>
      <c r="K939" s="11" t="str">
        <f>TRIM(Formulario!K950)</f>
        <v/>
      </c>
      <c r="L939" s="107" t="str">
        <f>TRIM(Formulario!L950)</f>
        <v/>
      </c>
      <c r="M939" s="107" t="str">
        <f>TRIM(Formulario!M950)</f>
        <v/>
      </c>
      <c r="N939" s="11" t="str">
        <f>TRIM(Formulario!H950)</f>
        <v/>
      </c>
      <c r="P939" s="17"/>
      <c r="Q939" s="104"/>
      <c r="R939" s="104"/>
      <c r="S939" s="117"/>
      <c r="T939" s="101"/>
      <c r="U939" s="101"/>
      <c r="V939" s="101"/>
      <c r="W939" s="102"/>
      <c r="X939" s="102"/>
      <c r="Y939" s="102"/>
      <c r="Z939" s="102"/>
      <c r="AA939" s="102"/>
      <c r="AB939" s="102"/>
      <c r="AC939" s="102"/>
      <c r="AD939" s="102"/>
      <c r="AE939" s="102"/>
      <c r="AF939" s="102"/>
      <c r="AG939" s="102"/>
      <c r="AH939" s="102"/>
      <c r="AI939" s="102"/>
      <c r="AJ939" s="102"/>
      <c r="AK939" s="102"/>
      <c r="AL939" s="102"/>
      <c r="AM939" s="102"/>
      <c r="AN939" s="102"/>
      <c r="AO939" s="102"/>
      <c r="AP939" s="102"/>
      <c r="AQ939" s="102"/>
      <c r="AR939" s="102"/>
      <c r="AS939" s="102"/>
      <c r="AT939" s="102"/>
      <c r="AU939" s="102"/>
      <c r="AV939" s="102"/>
      <c r="AW939" s="102"/>
    </row>
    <row r="940" spans="1:49">
      <c r="A940" s="8" t="str">
        <f>IF(L940="","",Formulario!B951)</f>
        <v/>
      </c>
      <c r="B940" s="119"/>
      <c r="C940" s="120"/>
      <c r="D940" s="121"/>
      <c r="E940" s="129" t="str">
        <f>IF(F940="","",Formulario!B951)</f>
        <v/>
      </c>
      <c r="F940" s="11" t="str">
        <f>TRIM(Formulario!D951)</f>
        <v/>
      </c>
      <c r="G940" s="11" t="str">
        <f>TRIM(Formulario!F951)</f>
        <v/>
      </c>
      <c r="H940" s="146" t="str">
        <f>IF(N940="",TRIM(Formulario!G951),TRIM(Formulario!G951)*N940)</f>
        <v/>
      </c>
      <c r="I940" s="107" t="str">
        <f>TRIM(Formulario!I951)</f>
        <v/>
      </c>
      <c r="J940" s="11" t="str">
        <f>TRIM(Formulario!J951)</f>
        <v/>
      </c>
      <c r="K940" s="11" t="str">
        <f>TRIM(Formulario!K951)</f>
        <v/>
      </c>
      <c r="L940" s="107" t="str">
        <f>TRIM(Formulario!L951)</f>
        <v/>
      </c>
      <c r="M940" s="107" t="str">
        <f>TRIM(Formulario!M951)</f>
        <v/>
      </c>
      <c r="N940" s="11" t="str">
        <f>TRIM(Formulario!H951)</f>
        <v/>
      </c>
      <c r="P940" s="17"/>
      <c r="Q940" s="104"/>
      <c r="R940" s="104"/>
      <c r="S940" s="117"/>
      <c r="T940" s="101"/>
      <c r="U940" s="101"/>
      <c r="V940" s="101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</row>
    <row r="941" spans="1:49">
      <c r="A941" s="8" t="str">
        <f>IF(L941="","",Formulario!B952)</f>
        <v/>
      </c>
      <c r="B941" s="119"/>
      <c r="C941" s="120"/>
      <c r="D941" s="121"/>
      <c r="E941" s="129" t="str">
        <f>IF(F941="","",Formulario!B952)</f>
        <v/>
      </c>
      <c r="F941" s="11" t="str">
        <f>TRIM(Formulario!D952)</f>
        <v/>
      </c>
      <c r="G941" s="11" t="str">
        <f>TRIM(Formulario!F952)</f>
        <v/>
      </c>
      <c r="H941" s="146" t="str">
        <f>IF(N941="",TRIM(Formulario!G952),TRIM(Formulario!G952)*N941)</f>
        <v/>
      </c>
      <c r="I941" s="107" t="str">
        <f>TRIM(Formulario!I952)</f>
        <v/>
      </c>
      <c r="J941" s="11" t="str">
        <f>TRIM(Formulario!J952)</f>
        <v/>
      </c>
      <c r="K941" s="11" t="str">
        <f>TRIM(Formulario!K952)</f>
        <v/>
      </c>
      <c r="L941" s="107" t="str">
        <f>TRIM(Formulario!L952)</f>
        <v/>
      </c>
      <c r="M941" s="107" t="str">
        <f>TRIM(Formulario!M952)</f>
        <v/>
      </c>
      <c r="N941" s="11" t="str">
        <f>TRIM(Formulario!H952)</f>
        <v/>
      </c>
      <c r="P941" s="17"/>
      <c r="Q941" s="104"/>
      <c r="R941" s="104"/>
      <c r="S941" s="117"/>
      <c r="T941" s="101"/>
      <c r="U941" s="101"/>
      <c r="V941" s="101"/>
      <c r="W941" s="102"/>
      <c r="X941" s="102"/>
      <c r="Y941" s="102"/>
      <c r="Z941" s="102"/>
      <c r="AA941" s="102"/>
      <c r="AB941" s="102"/>
      <c r="AC941" s="102"/>
      <c r="AD941" s="102"/>
      <c r="AE941" s="102"/>
      <c r="AF941" s="102"/>
      <c r="AG941" s="102"/>
      <c r="AH941" s="102"/>
      <c r="AI941" s="102"/>
      <c r="AJ941" s="102"/>
      <c r="AK941" s="102"/>
      <c r="AL941" s="102"/>
      <c r="AM941" s="102"/>
      <c r="AN941" s="102"/>
      <c r="AO941" s="102"/>
      <c r="AP941" s="102"/>
      <c r="AQ941" s="102"/>
      <c r="AR941" s="102"/>
      <c r="AS941" s="102"/>
      <c r="AT941" s="102"/>
      <c r="AU941" s="102"/>
      <c r="AV941" s="102"/>
      <c r="AW941" s="102"/>
    </row>
    <row r="942" spans="1:49">
      <c r="A942" s="8" t="str">
        <f>IF(L942="","",Formulario!B953)</f>
        <v/>
      </c>
      <c r="B942" s="119"/>
      <c r="C942" s="120"/>
      <c r="D942" s="121"/>
      <c r="E942" s="129" t="str">
        <f>IF(F942="","",Formulario!B953)</f>
        <v/>
      </c>
      <c r="F942" s="11" t="str">
        <f>TRIM(Formulario!D953)</f>
        <v/>
      </c>
      <c r="G942" s="11" t="str">
        <f>TRIM(Formulario!F953)</f>
        <v/>
      </c>
      <c r="H942" s="146" t="str">
        <f>IF(N942="",TRIM(Formulario!G953),TRIM(Formulario!G953)*N942)</f>
        <v/>
      </c>
      <c r="I942" s="107" t="str">
        <f>TRIM(Formulario!I953)</f>
        <v/>
      </c>
      <c r="J942" s="11" t="str">
        <f>TRIM(Formulario!J953)</f>
        <v/>
      </c>
      <c r="K942" s="11" t="str">
        <f>TRIM(Formulario!K953)</f>
        <v/>
      </c>
      <c r="L942" s="107" t="str">
        <f>TRIM(Formulario!L953)</f>
        <v/>
      </c>
      <c r="M942" s="107" t="str">
        <f>TRIM(Formulario!M953)</f>
        <v/>
      </c>
      <c r="N942" s="11" t="str">
        <f>TRIM(Formulario!H953)</f>
        <v/>
      </c>
      <c r="P942" s="17"/>
      <c r="Q942" s="104"/>
      <c r="R942" s="104"/>
      <c r="S942" s="117"/>
      <c r="T942" s="101"/>
      <c r="U942" s="101"/>
      <c r="V942" s="101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</row>
    <row r="943" spans="1:49">
      <c r="A943" s="8" t="str">
        <f>IF(L943="","",Formulario!B954)</f>
        <v/>
      </c>
      <c r="B943" s="119"/>
      <c r="C943" s="120"/>
      <c r="D943" s="121"/>
      <c r="E943" s="129" t="str">
        <f>IF(F943="","",Formulario!B954)</f>
        <v/>
      </c>
      <c r="F943" s="11" t="str">
        <f>TRIM(Formulario!D954)</f>
        <v/>
      </c>
      <c r="G943" s="11" t="str">
        <f>TRIM(Formulario!F954)</f>
        <v/>
      </c>
      <c r="H943" s="146" t="str">
        <f>IF(N943="",TRIM(Formulario!G954),TRIM(Formulario!G954)*N943)</f>
        <v/>
      </c>
      <c r="I943" s="107" t="str">
        <f>TRIM(Formulario!I954)</f>
        <v/>
      </c>
      <c r="J943" s="11" t="str">
        <f>TRIM(Formulario!J954)</f>
        <v/>
      </c>
      <c r="K943" s="11" t="str">
        <f>TRIM(Formulario!K954)</f>
        <v/>
      </c>
      <c r="L943" s="107" t="str">
        <f>TRIM(Formulario!L954)</f>
        <v/>
      </c>
      <c r="M943" s="107" t="str">
        <f>TRIM(Formulario!M954)</f>
        <v/>
      </c>
      <c r="N943" s="11" t="str">
        <f>TRIM(Formulario!H954)</f>
        <v/>
      </c>
      <c r="P943" s="17"/>
      <c r="Q943" s="104"/>
      <c r="R943" s="104"/>
      <c r="S943" s="117"/>
      <c r="T943" s="101"/>
      <c r="U943" s="101"/>
      <c r="V943" s="101"/>
      <c r="W943" s="102"/>
      <c r="X943" s="102"/>
      <c r="Y943" s="102"/>
      <c r="Z943" s="102"/>
      <c r="AA943" s="102"/>
      <c r="AB943" s="102"/>
      <c r="AC943" s="102"/>
      <c r="AD943" s="102"/>
      <c r="AE943" s="102"/>
      <c r="AF943" s="102"/>
      <c r="AG943" s="102"/>
      <c r="AH943" s="102"/>
      <c r="AI943" s="102"/>
      <c r="AJ943" s="102"/>
      <c r="AK943" s="102"/>
      <c r="AL943" s="102"/>
      <c r="AM943" s="102"/>
      <c r="AN943" s="102"/>
      <c r="AO943" s="102"/>
      <c r="AP943" s="102"/>
      <c r="AQ943" s="102"/>
      <c r="AR943" s="102"/>
      <c r="AS943" s="102"/>
      <c r="AT943" s="102"/>
      <c r="AU943" s="102"/>
      <c r="AV943" s="102"/>
      <c r="AW943" s="102"/>
    </row>
    <row r="944" spans="1:49">
      <c r="A944" s="8" t="str">
        <f>IF(L944="","",Formulario!B955)</f>
        <v/>
      </c>
      <c r="B944" s="119"/>
      <c r="C944" s="120"/>
      <c r="D944" s="121"/>
      <c r="E944" s="129" t="str">
        <f>IF(F944="","",Formulario!B955)</f>
        <v/>
      </c>
      <c r="F944" s="11" t="str">
        <f>TRIM(Formulario!D955)</f>
        <v/>
      </c>
      <c r="G944" s="11" t="str">
        <f>TRIM(Formulario!F955)</f>
        <v/>
      </c>
      <c r="H944" s="146" t="str">
        <f>IF(N944="",TRIM(Formulario!G955),TRIM(Formulario!G955)*N944)</f>
        <v/>
      </c>
      <c r="I944" s="107" t="str">
        <f>TRIM(Formulario!I955)</f>
        <v/>
      </c>
      <c r="J944" s="11" t="str">
        <f>TRIM(Formulario!J955)</f>
        <v/>
      </c>
      <c r="K944" s="11" t="str">
        <f>TRIM(Formulario!K955)</f>
        <v/>
      </c>
      <c r="L944" s="107" t="str">
        <f>TRIM(Formulario!L955)</f>
        <v/>
      </c>
      <c r="M944" s="107" t="str">
        <f>TRIM(Formulario!M955)</f>
        <v/>
      </c>
      <c r="N944" s="11" t="str">
        <f>TRIM(Formulario!H955)</f>
        <v/>
      </c>
      <c r="P944" s="17"/>
      <c r="Q944" s="104"/>
      <c r="R944" s="104"/>
      <c r="S944" s="117"/>
      <c r="T944" s="101"/>
      <c r="U944" s="101"/>
      <c r="V944" s="101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</row>
    <row r="945" spans="1:49">
      <c r="A945" s="8" t="str">
        <f>IF(L945="","",Formulario!B956)</f>
        <v/>
      </c>
      <c r="B945" s="119"/>
      <c r="C945" s="120"/>
      <c r="D945" s="121"/>
      <c r="E945" s="129" t="str">
        <f>IF(F945="","",Formulario!B956)</f>
        <v/>
      </c>
      <c r="F945" s="11" t="str">
        <f>TRIM(Formulario!D956)</f>
        <v/>
      </c>
      <c r="G945" s="11" t="str">
        <f>TRIM(Formulario!F956)</f>
        <v/>
      </c>
      <c r="H945" s="146" t="str">
        <f>IF(N945="",TRIM(Formulario!G956),TRIM(Formulario!G956)*N945)</f>
        <v/>
      </c>
      <c r="I945" s="107" t="str">
        <f>TRIM(Formulario!I956)</f>
        <v/>
      </c>
      <c r="J945" s="11" t="str">
        <f>TRIM(Formulario!J956)</f>
        <v/>
      </c>
      <c r="K945" s="11" t="str">
        <f>TRIM(Formulario!K956)</f>
        <v/>
      </c>
      <c r="L945" s="107" t="str">
        <f>TRIM(Formulario!L956)</f>
        <v/>
      </c>
      <c r="M945" s="107" t="str">
        <f>TRIM(Formulario!M956)</f>
        <v/>
      </c>
      <c r="N945" s="11" t="str">
        <f>TRIM(Formulario!H956)</f>
        <v/>
      </c>
      <c r="P945" s="17"/>
      <c r="Q945" s="104"/>
      <c r="R945" s="104"/>
      <c r="S945" s="117"/>
      <c r="T945" s="101"/>
      <c r="U945" s="101"/>
      <c r="V945" s="101"/>
      <c r="W945" s="102"/>
      <c r="X945" s="102"/>
      <c r="Y945" s="102"/>
      <c r="Z945" s="102"/>
      <c r="AA945" s="102"/>
      <c r="AB945" s="102"/>
      <c r="AC945" s="102"/>
      <c r="AD945" s="102"/>
      <c r="AE945" s="102"/>
      <c r="AF945" s="102"/>
      <c r="AG945" s="102"/>
      <c r="AH945" s="102"/>
      <c r="AI945" s="102"/>
      <c r="AJ945" s="102"/>
      <c r="AK945" s="102"/>
      <c r="AL945" s="102"/>
      <c r="AM945" s="102"/>
      <c r="AN945" s="102"/>
      <c r="AO945" s="102"/>
      <c r="AP945" s="102"/>
      <c r="AQ945" s="102"/>
      <c r="AR945" s="102"/>
      <c r="AS945" s="102"/>
      <c r="AT945" s="102"/>
      <c r="AU945" s="102"/>
      <c r="AV945" s="102"/>
      <c r="AW945" s="102"/>
    </row>
    <row r="946" spans="1:49">
      <c r="A946" s="8" t="str">
        <f>IF(L946="","",Formulario!B957)</f>
        <v/>
      </c>
      <c r="B946" s="119"/>
      <c r="C946" s="120"/>
      <c r="D946" s="121"/>
      <c r="E946" s="129" t="str">
        <f>IF(F946="","",Formulario!B957)</f>
        <v/>
      </c>
      <c r="F946" s="11" t="str">
        <f>TRIM(Formulario!D957)</f>
        <v/>
      </c>
      <c r="G946" s="11" t="str">
        <f>TRIM(Formulario!F957)</f>
        <v/>
      </c>
      <c r="H946" s="146" t="str">
        <f>IF(N946="",TRIM(Formulario!G957),TRIM(Formulario!G957)*N946)</f>
        <v/>
      </c>
      <c r="I946" s="107" t="str">
        <f>TRIM(Formulario!I957)</f>
        <v/>
      </c>
      <c r="J946" s="11" t="str">
        <f>TRIM(Formulario!J957)</f>
        <v/>
      </c>
      <c r="K946" s="11" t="str">
        <f>TRIM(Formulario!K957)</f>
        <v/>
      </c>
      <c r="L946" s="107" t="str">
        <f>TRIM(Formulario!L957)</f>
        <v/>
      </c>
      <c r="M946" s="107" t="str">
        <f>TRIM(Formulario!M957)</f>
        <v/>
      </c>
      <c r="N946" s="11" t="str">
        <f>TRIM(Formulario!H957)</f>
        <v/>
      </c>
      <c r="P946" s="17"/>
      <c r="Q946" s="104"/>
      <c r="R946" s="104"/>
      <c r="S946" s="117"/>
      <c r="T946" s="101"/>
      <c r="U946" s="101"/>
      <c r="V946" s="101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</row>
    <row r="947" spans="1:49">
      <c r="A947" s="8" t="str">
        <f>IF(L947="","",Formulario!B958)</f>
        <v/>
      </c>
      <c r="B947" s="119"/>
      <c r="C947" s="120"/>
      <c r="D947" s="121"/>
      <c r="E947" s="129" t="str">
        <f>IF(F947="","",Formulario!B958)</f>
        <v/>
      </c>
      <c r="F947" s="11" t="str">
        <f>TRIM(Formulario!D958)</f>
        <v/>
      </c>
      <c r="G947" s="11" t="str">
        <f>TRIM(Formulario!F958)</f>
        <v/>
      </c>
      <c r="H947" s="146" t="str">
        <f>IF(N947="",TRIM(Formulario!G958),TRIM(Formulario!G958)*N947)</f>
        <v/>
      </c>
      <c r="I947" s="107" t="str">
        <f>TRIM(Formulario!I958)</f>
        <v/>
      </c>
      <c r="J947" s="11" t="str">
        <f>TRIM(Formulario!J958)</f>
        <v/>
      </c>
      <c r="K947" s="11" t="str">
        <f>TRIM(Formulario!K958)</f>
        <v/>
      </c>
      <c r="L947" s="107" t="str">
        <f>TRIM(Formulario!L958)</f>
        <v/>
      </c>
      <c r="M947" s="107" t="str">
        <f>TRIM(Formulario!M958)</f>
        <v/>
      </c>
      <c r="N947" s="11" t="str">
        <f>TRIM(Formulario!H958)</f>
        <v/>
      </c>
      <c r="P947" s="17"/>
      <c r="Q947" s="104"/>
      <c r="R947" s="104"/>
      <c r="S947" s="117"/>
      <c r="T947" s="101"/>
      <c r="U947" s="101"/>
      <c r="V947" s="101"/>
      <c r="W947" s="102"/>
      <c r="X947" s="102"/>
      <c r="Y947" s="102"/>
      <c r="Z947" s="102"/>
      <c r="AA947" s="102"/>
      <c r="AB947" s="102"/>
      <c r="AC947" s="102"/>
      <c r="AD947" s="102"/>
      <c r="AE947" s="102"/>
      <c r="AF947" s="102"/>
      <c r="AG947" s="102"/>
      <c r="AH947" s="102"/>
      <c r="AI947" s="102"/>
      <c r="AJ947" s="102"/>
      <c r="AK947" s="102"/>
      <c r="AL947" s="102"/>
      <c r="AM947" s="102"/>
      <c r="AN947" s="102"/>
      <c r="AO947" s="102"/>
      <c r="AP947" s="102"/>
      <c r="AQ947" s="102"/>
      <c r="AR947" s="102"/>
      <c r="AS947" s="102"/>
      <c r="AT947" s="102"/>
      <c r="AU947" s="102"/>
      <c r="AV947" s="102"/>
      <c r="AW947" s="102"/>
    </row>
    <row r="948" spans="1:49">
      <c r="A948" s="8" t="str">
        <f>IF(L948="","",Formulario!B959)</f>
        <v/>
      </c>
      <c r="B948" s="119"/>
      <c r="C948" s="120"/>
      <c r="D948" s="121"/>
      <c r="E948" s="129" t="str">
        <f>IF(F948="","",Formulario!B959)</f>
        <v/>
      </c>
      <c r="F948" s="11" t="str">
        <f>TRIM(Formulario!D959)</f>
        <v/>
      </c>
      <c r="G948" s="11" t="str">
        <f>TRIM(Formulario!F959)</f>
        <v/>
      </c>
      <c r="H948" s="146" t="str">
        <f>IF(N948="",TRIM(Formulario!G959),TRIM(Formulario!G959)*N948)</f>
        <v/>
      </c>
      <c r="I948" s="107" t="str">
        <f>TRIM(Formulario!I959)</f>
        <v/>
      </c>
      <c r="J948" s="11" t="str">
        <f>TRIM(Formulario!J959)</f>
        <v/>
      </c>
      <c r="K948" s="11" t="str">
        <f>TRIM(Formulario!K959)</f>
        <v/>
      </c>
      <c r="L948" s="107" t="str">
        <f>TRIM(Formulario!L959)</f>
        <v/>
      </c>
      <c r="M948" s="107" t="str">
        <f>TRIM(Formulario!M959)</f>
        <v/>
      </c>
      <c r="N948" s="11" t="str">
        <f>TRIM(Formulario!H959)</f>
        <v/>
      </c>
      <c r="P948" s="17"/>
      <c r="Q948" s="104"/>
      <c r="R948" s="104"/>
      <c r="S948" s="117"/>
      <c r="T948" s="101"/>
      <c r="U948" s="101"/>
      <c r="V948" s="101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</row>
    <row r="949" spans="1:49">
      <c r="A949" s="8" t="str">
        <f>IF(L949="","",Formulario!B960)</f>
        <v/>
      </c>
      <c r="B949" s="119"/>
      <c r="C949" s="120"/>
      <c r="D949" s="121"/>
      <c r="E949" s="129" t="str">
        <f>IF(F949="","",Formulario!B960)</f>
        <v/>
      </c>
      <c r="F949" s="11" t="str">
        <f>TRIM(Formulario!D960)</f>
        <v/>
      </c>
      <c r="G949" s="11" t="str">
        <f>TRIM(Formulario!F960)</f>
        <v/>
      </c>
      <c r="H949" s="146" t="str">
        <f>IF(N949="",TRIM(Formulario!G960),TRIM(Formulario!G960)*N949)</f>
        <v/>
      </c>
      <c r="I949" s="107" t="str">
        <f>TRIM(Formulario!I960)</f>
        <v/>
      </c>
      <c r="J949" s="11" t="str">
        <f>TRIM(Formulario!J960)</f>
        <v/>
      </c>
      <c r="K949" s="11" t="str">
        <f>TRIM(Formulario!K960)</f>
        <v/>
      </c>
      <c r="L949" s="107" t="str">
        <f>TRIM(Formulario!L960)</f>
        <v/>
      </c>
      <c r="M949" s="107" t="str">
        <f>TRIM(Formulario!M960)</f>
        <v/>
      </c>
      <c r="N949" s="11" t="str">
        <f>TRIM(Formulario!H960)</f>
        <v/>
      </c>
      <c r="P949" s="17"/>
      <c r="Q949" s="104"/>
      <c r="R949" s="104"/>
      <c r="S949" s="117"/>
      <c r="T949" s="101"/>
      <c r="U949" s="101"/>
      <c r="V949" s="101"/>
      <c r="W949" s="102"/>
      <c r="X949" s="102"/>
      <c r="Y949" s="102"/>
      <c r="Z949" s="102"/>
      <c r="AA949" s="102"/>
      <c r="AB949" s="102"/>
      <c r="AC949" s="102"/>
      <c r="AD949" s="102"/>
      <c r="AE949" s="102"/>
      <c r="AF949" s="102"/>
      <c r="AG949" s="102"/>
      <c r="AH949" s="102"/>
      <c r="AI949" s="102"/>
      <c r="AJ949" s="102"/>
      <c r="AK949" s="102"/>
      <c r="AL949" s="102"/>
      <c r="AM949" s="102"/>
      <c r="AN949" s="102"/>
      <c r="AO949" s="102"/>
      <c r="AP949" s="102"/>
      <c r="AQ949" s="102"/>
      <c r="AR949" s="102"/>
      <c r="AS949" s="102"/>
      <c r="AT949" s="102"/>
      <c r="AU949" s="102"/>
      <c r="AV949" s="102"/>
      <c r="AW949" s="102"/>
    </row>
    <row r="950" spans="1:49">
      <c r="A950" s="8" t="str">
        <f>IF(L950="","",Formulario!B961)</f>
        <v/>
      </c>
      <c r="B950" s="119"/>
      <c r="C950" s="120"/>
      <c r="D950" s="121"/>
      <c r="E950" s="129" t="str">
        <f>IF(F950="","",Formulario!B961)</f>
        <v/>
      </c>
      <c r="F950" s="11" t="str">
        <f>TRIM(Formulario!D961)</f>
        <v/>
      </c>
      <c r="G950" s="11" t="str">
        <f>TRIM(Formulario!F961)</f>
        <v/>
      </c>
      <c r="H950" s="146" t="str">
        <f>IF(N950="",TRIM(Formulario!G961),TRIM(Formulario!G961)*N950)</f>
        <v/>
      </c>
      <c r="I950" s="107" t="str">
        <f>TRIM(Formulario!I961)</f>
        <v/>
      </c>
      <c r="J950" s="11" t="str">
        <f>TRIM(Formulario!J961)</f>
        <v/>
      </c>
      <c r="K950" s="11" t="str">
        <f>TRIM(Formulario!K961)</f>
        <v/>
      </c>
      <c r="L950" s="107" t="str">
        <f>TRIM(Formulario!L961)</f>
        <v/>
      </c>
      <c r="M950" s="107" t="str">
        <f>TRIM(Formulario!M961)</f>
        <v/>
      </c>
      <c r="N950" s="11" t="str">
        <f>TRIM(Formulario!H961)</f>
        <v/>
      </c>
      <c r="P950" s="17"/>
      <c r="Q950" s="104"/>
      <c r="R950" s="104"/>
      <c r="S950" s="117"/>
      <c r="T950" s="101"/>
      <c r="U950" s="101"/>
      <c r="V950" s="101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</row>
    <row r="951" spans="1:49">
      <c r="A951" s="8" t="str">
        <f>IF(L951="","",Formulario!B962)</f>
        <v/>
      </c>
      <c r="B951" s="119"/>
      <c r="C951" s="120"/>
      <c r="D951" s="121"/>
      <c r="E951" s="129" t="str">
        <f>IF(F951="","",Formulario!B962)</f>
        <v/>
      </c>
      <c r="F951" s="11" t="str">
        <f>TRIM(Formulario!D962)</f>
        <v/>
      </c>
      <c r="G951" s="11" t="str">
        <f>TRIM(Formulario!F962)</f>
        <v/>
      </c>
      <c r="H951" s="146" t="str">
        <f>IF(N951="",TRIM(Formulario!G962),TRIM(Formulario!G962)*N951)</f>
        <v/>
      </c>
      <c r="I951" s="107" t="str">
        <f>TRIM(Formulario!I962)</f>
        <v/>
      </c>
      <c r="J951" s="11" t="str">
        <f>TRIM(Formulario!J962)</f>
        <v/>
      </c>
      <c r="K951" s="11" t="str">
        <f>TRIM(Formulario!K962)</f>
        <v/>
      </c>
      <c r="L951" s="107" t="str">
        <f>TRIM(Formulario!L962)</f>
        <v/>
      </c>
      <c r="M951" s="107" t="str">
        <f>TRIM(Formulario!M962)</f>
        <v/>
      </c>
      <c r="N951" s="11" t="str">
        <f>TRIM(Formulario!H962)</f>
        <v/>
      </c>
      <c r="P951" s="17"/>
      <c r="Q951" s="104"/>
      <c r="R951" s="104"/>
      <c r="S951" s="117"/>
      <c r="T951" s="101"/>
      <c r="U951" s="101"/>
      <c r="V951" s="101"/>
      <c r="W951" s="102"/>
      <c r="X951" s="102"/>
      <c r="Y951" s="102"/>
      <c r="Z951" s="102"/>
      <c r="AA951" s="102"/>
      <c r="AB951" s="102"/>
      <c r="AC951" s="102"/>
      <c r="AD951" s="102"/>
      <c r="AE951" s="102"/>
      <c r="AF951" s="102"/>
      <c r="AG951" s="102"/>
      <c r="AH951" s="102"/>
      <c r="AI951" s="102"/>
      <c r="AJ951" s="102"/>
      <c r="AK951" s="102"/>
      <c r="AL951" s="102"/>
      <c r="AM951" s="102"/>
      <c r="AN951" s="102"/>
      <c r="AO951" s="102"/>
      <c r="AP951" s="102"/>
      <c r="AQ951" s="102"/>
      <c r="AR951" s="102"/>
      <c r="AS951" s="102"/>
      <c r="AT951" s="102"/>
      <c r="AU951" s="102"/>
      <c r="AV951" s="102"/>
      <c r="AW951" s="102"/>
    </row>
    <row r="952" spans="1:49">
      <c r="A952" s="8" t="str">
        <f>IF(L952="","",Formulario!B963)</f>
        <v/>
      </c>
      <c r="B952" s="119"/>
      <c r="C952" s="120"/>
      <c r="D952" s="121"/>
      <c r="E952" s="129" t="str">
        <f>IF(F952="","",Formulario!B963)</f>
        <v/>
      </c>
      <c r="F952" s="11" t="str">
        <f>TRIM(Formulario!D963)</f>
        <v/>
      </c>
      <c r="G952" s="11" t="str">
        <f>TRIM(Formulario!F963)</f>
        <v/>
      </c>
      <c r="H952" s="146" t="str">
        <f>IF(N952="",TRIM(Formulario!G963),TRIM(Formulario!G963)*N952)</f>
        <v/>
      </c>
      <c r="I952" s="107" t="str">
        <f>TRIM(Formulario!I963)</f>
        <v/>
      </c>
      <c r="J952" s="11" t="str">
        <f>TRIM(Formulario!J963)</f>
        <v/>
      </c>
      <c r="K952" s="11" t="str">
        <f>TRIM(Formulario!K963)</f>
        <v/>
      </c>
      <c r="L952" s="107" t="str">
        <f>TRIM(Formulario!L963)</f>
        <v/>
      </c>
      <c r="M952" s="107" t="str">
        <f>TRIM(Formulario!M963)</f>
        <v/>
      </c>
      <c r="N952" s="11" t="str">
        <f>TRIM(Formulario!H963)</f>
        <v/>
      </c>
      <c r="P952" s="17"/>
      <c r="Q952" s="104"/>
      <c r="R952" s="104"/>
      <c r="S952" s="117"/>
      <c r="T952" s="101"/>
      <c r="U952" s="101"/>
      <c r="V952" s="101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</row>
    <row r="953" spans="1:49">
      <c r="A953" s="8" t="str">
        <f>IF(L953="","",Formulario!B964)</f>
        <v/>
      </c>
      <c r="B953" s="119"/>
      <c r="C953" s="120"/>
      <c r="D953" s="121"/>
      <c r="E953" s="129" t="str">
        <f>IF(F953="","",Formulario!B964)</f>
        <v/>
      </c>
      <c r="F953" s="11" t="str">
        <f>TRIM(Formulario!D964)</f>
        <v/>
      </c>
      <c r="G953" s="11" t="str">
        <f>TRIM(Formulario!F964)</f>
        <v/>
      </c>
      <c r="H953" s="146" t="str">
        <f>IF(N953="",TRIM(Formulario!G964),TRIM(Formulario!G964)*N953)</f>
        <v/>
      </c>
      <c r="I953" s="107" t="str">
        <f>TRIM(Formulario!I964)</f>
        <v/>
      </c>
      <c r="J953" s="11" t="str">
        <f>TRIM(Formulario!J964)</f>
        <v/>
      </c>
      <c r="K953" s="11" t="str">
        <f>TRIM(Formulario!K964)</f>
        <v/>
      </c>
      <c r="L953" s="107" t="str">
        <f>TRIM(Formulario!L964)</f>
        <v/>
      </c>
      <c r="M953" s="107" t="str">
        <f>TRIM(Formulario!M964)</f>
        <v/>
      </c>
      <c r="N953" s="11" t="str">
        <f>TRIM(Formulario!H964)</f>
        <v/>
      </c>
      <c r="P953" s="17"/>
      <c r="Q953" s="104"/>
      <c r="R953" s="104"/>
      <c r="S953" s="117"/>
      <c r="T953" s="101"/>
      <c r="U953" s="101"/>
      <c r="V953" s="101"/>
      <c r="W953" s="102"/>
      <c r="X953" s="102"/>
      <c r="Y953" s="102"/>
      <c r="Z953" s="102"/>
      <c r="AA953" s="102"/>
      <c r="AB953" s="102"/>
      <c r="AC953" s="102"/>
      <c r="AD953" s="102"/>
      <c r="AE953" s="102"/>
      <c r="AF953" s="102"/>
      <c r="AG953" s="102"/>
      <c r="AH953" s="102"/>
      <c r="AI953" s="102"/>
      <c r="AJ953" s="102"/>
      <c r="AK953" s="102"/>
      <c r="AL953" s="102"/>
      <c r="AM953" s="102"/>
      <c r="AN953" s="102"/>
      <c r="AO953" s="102"/>
      <c r="AP953" s="102"/>
      <c r="AQ953" s="102"/>
      <c r="AR953" s="102"/>
      <c r="AS953" s="102"/>
      <c r="AT953" s="102"/>
      <c r="AU953" s="102"/>
      <c r="AV953" s="102"/>
      <c r="AW953" s="102"/>
    </row>
    <row r="954" spans="1:49">
      <c r="A954" s="8" t="str">
        <f>IF(L954="","",Formulario!B965)</f>
        <v/>
      </c>
      <c r="B954" s="119"/>
      <c r="C954" s="120"/>
      <c r="D954" s="121"/>
      <c r="E954" s="129" t="str">
        <f>IF(F954="","",Formulario!B965)</f>
        <v/>
      </c>
      <c r="F954" s="11" t="str">
        <f>TRIM(Formulario!D965)</f>
        <v/>
      </c>
      <c r="G954" s="11" t="str">
        <f>TRIM(Formulario!F965)</f>
        <v/>
      </c>
      <c r="H954" s="146" t="str">
        <f>IF(N954="",TRIM(Formulario!G965),TRIM(Formulario!G965)*N954)</f>
        <v/>
      </c>
      <c r="I954" s="107" t="str">
        <f>TRIM(Formulario!I965)</f>
        <v/>
      </c>
      <c r="J954" s="11" t="str">
        <f>TRIM(Formulario!J965)</f>
        <v/>
      </c>
      <c r="K954" s="11" t="str">
        <f>TRIM(Formulario!K965)</f>
        <v/>
      </c>
      <c r="L954" s="107" t="str">
        <f>TRIM(Formulario!L965)</f>
        <v/>
      </c>
      <c r="M954" s="107" t="str">
        <f>TRIM(Formulario!M965)</f>
        <v/>
      </c>
      <c r="N954" s="11" t="str">
        <f>TRIM(Formulario!H965)</f>
        <v/>
      </c>
      <c r="P954" s="17"/>
      <c r="Q954" s="104"/>
      <c r="R954" s="104"/>
      <c r="S954" s="117"/>
      <c r="T954" s="101"/>
      <c r="U954" s="101"/>
      <c r="V954" s="101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</row>
    <row r="955" spans="1:49">
      <c r="A955" s="8" t="str">
        <f>IF(L955="","",Formulario!B966)</f>
        <v/>
      </c>
      <c r="B955" s="119"/>
      <c r="C955" s="120"/>
      <c r="D955" s="121"/>
      <c r="E955" s="129" t="str">
        <f>IF(F955="","",Formulario!B966)</f>
        <v/>
      </c>
      <c r="F955" s="11" t="str">
        <f>TRIM(Formulario!D966)</f>
        <v/>
      </c>
      <c r="G955" s="11" t="str">
        <f>TRIM(Formulario!F966)</f>
        <v/>
      </c>
      <c r="H955" s="146" t="str">
        <f>IF(N955="",TRIM(Formulario!G966),TRIM(Formulario!G966)*N955)</f>
        <v/>
      </c>
      <c r="I955" s="107" t="str">
        <f>TRIM(Formulario!I966)</f>
        <v/>
      </c>
      <c r="J955" s="11" t="str">
        <f>TRIM(Formulario!J966)</f>
        <v/>
      </c>
      <c r="K955" s="11" t="str">
        <f>TRIM(Formulario!K966)</f>
        <v/>
      </c>
      <c r="L955" s="107" t="str">
        <f>TRIM(Formulario!L966)</f>
        <v/>
      </c>
      <c r="M955" s="107" t="str">
        <f>TRIM(Formulario!M966)</f>
        <v/>
      </c>
      <c r="N955" s="11" t="str">
        <f>TRIM(Formulario!H966)</f>
        <v/>
      </c>
      <c r="P955" s="17"/>
      <c r="Q955" s="104"/>
      <c r="R955" s="104"/>
      <c r="S955" s="117"/>
      <c r="T955" s="101"/>
      <c r="U955" s="101"/>
      <c r="V955" s="101"/>
      <c r="W955" s="102"/>
      <c r="X955" s="102"/>
      <c r="Y955" s="102"/>
      <c r="Z955" s="102"/>
      <c r="AA955" s="102"/>
      <c r="AB955" s="102"/>
      <c r="AC955" s="102"/>
      <c r="AD955" s="102"/>
      <c r="AE955" s="102"/>
      <c r="AF955" s="102"/>
      <c r="AG955" s="102"/>
      <c r="AH955" s="102"/>
      <c r="AI955" s="102"/>
      <c r="AJ955" s="102"/>
      <c r="AK955" s="102"/>
      <c r="AL955" s="102"/>
      <c r="AM955" s="102"/>
      <c r="AN955" s="102"/>
      <c r="AO955" s="102"/>
      <c r="AP955" s="102"/>
      <c r="AQ955" s="102"/>
      <c r="AR955" s="102"/>
      <c r="AS955" s="102"/>
      <c r="AT955" s="102"/>
      <c r="AU955" s="102"/>
      <c r="AV955" s="102"/>
      <c r="AW955" s="102"/>
    </row>
    <row r="956" spans="1:49">
      <c r="A956" s="8" t="str">
        <f>IF(L956="","",Formulario!B967)</f>
        <v/>
      </c>
      <c r="B956" s="119"/>
      <c r="C956" s="120"/>
      <c r="D956" s="121"/>
      <c r="E956" s="129" t="str">
        <f>IF(F956="","",Formulario!B967)</f>
        <v/>
      </c>
      <c r="F956" s="11" t="str">
        <f>TRIM(Formulario!D967)</f>
        <v/>
      </c>
      <c r="G956" s="11" t="str">
        <f>TRIM(Formulario!F967)</f>
        <v/>
      </c>
      <c r="H956" s="146" t="str">
        <f>IF(N956="",TRIM(Formulario!G967),TRIM(Formulario!G967)*N956)</f>
        <v/>
      </c>
      <c r="I956" s="107" t="str">
        <f>TRIM(Formulario!I967)</f>
        <v/>
      </c>
      <c r="J956" s="11" t="str">
        <f>TRIM(Formulario!J967)</f>
        <v/>
      </c>
      <c r="K956" s="11" t="str">
        <f>TRIM(Formulario!K967)</f>
        <v/>
      </c>
      <c r="L956" s="107" t="str">
        <f>TRIM(Formulario!L967)</f>
        <v/>
      </c>
      <c r="M956" s="107" t="str">
        <f>TRIM(Formulario!M967)</f>
        <v/>
      </c>
      <c r="N956" s="11" t="str">
        <f>TRIM(Formulario!H967)</f>
        <v/>
      </c>
      <c r="P956" s="17"/>
      <c r="Q956" s="104"/>
      <c r="R956" s="104"/>
      <c r="S956" s="117"/>
      <c r="T956" s="101"/>
      <c r="U956" s="101"/>
      <c r="V956" s="101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</row>
    <row r="957" spans="1:49">
      <c r="A957" s="8" t="str">
        <f>IF(L957="","",Formulario!B968)</f>
        <v/>
      </c>
      <c r="B957" s="119"/>
      <c r="C957" s="120"/>
      <c r="D957" s="121"/>
      <c r="E957" s="129" t="str">
        <f>IF(F957="","",Formulario!B968)</f>
        <v/>
      </c>
      <c r="F957" s="11" t="str">
        <f>TRIM(Formulario!D968)</f>
        <v/>
      </c>
      <c r="G957" s="11" t="str">
        <f>TRIM(Formulario!F968)</f>
        <v/>
      </c>
      <c r="H957" s="146" t="str">
        <f>IF(N957="",TRIM(Formulario!G968),TRIM(Formulario!G968)*N957)</f>
        <v/>
      </c>
      <c r="I957" s="107" t="str">
        <f>TRIM(Formulario!I968)</f>
        <v/>
      </c>
      <c r="J957" s="11" t="str">
        <f>TRIM(Formulario!J968)</f>
        <v/>
      </c>
      <c r="K957" s="11" t="str">
        <f>TRIM(Formulario!K968)</f>
        <v/>
      </c>
      <c r="L957" s="107" t="str">
        <f>TRIM(Formulario!L968)</f>
        <v/>
      </c>
      <c r="M957" s="107" t="str">
        <f>TRIM(Formulario!M968)</f>
        <v/>
      </c>
      <c r="N957" s="11" t="str">
        <f>TRIM(Formulario!H968)</f>
        <v/>
      </c>
      <c r="P957" s="17"/>
      <c r="Q957" s="104"/>
      <c r="R957" s="104"/>
      <c r="S957" s="117"/>
      <c r="T957" s="101"/>
      <c r="U957" s="101"/>
      <c r="V957" s="101"/>
      <c r="W957" s="102"/>
      <c r="X957" s="102"/>
      <c r="Y957" s="102"/>
      <c r="Z957" s="102"/>
      <c r="AA957" s="102"/>
      <c r="AB957" s="102"/>
      <c r="AC957" s="102"/>
      <c r="AD957" s="102"/>
      <c r="AE957" s="102"/>
      <c r="AF957" s="102"/>
      <c r="AG957" s="102"/>
      <c r="AH957" s="102"/>
      <c r="AI957" s="102"/>
      <c r="AJ957" s="102"/>
      <c r="AK957" s="102"/>
      <c r="AL957" s="102"/>
      <c r="AM957" s="102"/>
      <c r="AN957" s="102"/>
      <c r="AO957" s="102"/>
      <c r="AP957" s="102"/>
      <c r="AQ957" s="102"/>
      <c r="AR957" s="102"/>
      <c r="AS957" s="102"/>
      <c r="AT957" s="102"/>
      <c r="AU957" s="102"/>
      <c r="AV957" s="102"/>
      <c r="AW957" s="102"/>
    </row>
    <row r="958" spans="1:49">
      <c r="A958" s="8" t="str">
        <f>IF(L958="","",Formulario!B969)</f>
        <v/>
      </c>
      <c r="B958" s="119"/>
      <c r="C958" s="120"/>
      <c r="D958" s="121"/>
      <c r="E958" s="129" t="str">
        <f>IF(F958="","",Formulario!B969)</f>
        <v/>
      </c>
      <c r="F958" s="11" t="str">
        <f>TRIM(Formulario!D969)</f>
        <v/>
      </c>
      <c r="G958" s="11" t="str">
        <f>TRIM(Formulario!F969)</f>
        <v/>
      </c>
      <c r="H958" s="146" t="str">
        <f>IF(N958="",TRIM(Formulario!G969),TRIM(Formulario!G969)*N958)</f>
        <v/>
      </c>
      <c r="I958" s="107" t="str">
        <f>TRIM(Formulario!I969)</f>
        <v/>
      </c>
      <c r="J958" s="11" t="str">
        <f>TRIM(Formulario!J969)</f>
        <v/>
      </c>
      <c r="K958" s="11" t="str">
        <f>TRIM(Formulario!K969)</f>
        <v/>
      </c>
      <c r="L958" s="107" t="str">
        <f>TRIM(Formulario!L969)</f>
        <v/>
      </c>
      <c r="M958" s="107" t="str">
        <f>TRIM(Formulario!M969)</f>
        <v/>
      </c>
      <c r="N958" s="11" t="str">
        <f>TRIM(Formulario!H969)</f>
        <v/>
      </c>
      <c r="P958" s="17"/>
      <c r="Q958" s="104"/>
      <c r="R958" s="104"/>
      <c r="S958" s="117"/>
      <c r="T958" s="101"/>
      <c r="U958" s="101"/>
      <c r="V958" s="101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</row>
    <row r="959" spans="1:49">
      <c r="A959" s="8" t="str">
        <f>IF(L959="","",Formulario!B970)</f>
        <v/>
      </c>
      <c r="B959" s="119"/>
      <c r="C959" s="120"/>
      <c r="D959" s="121"/>
      <c r="E959" s="129" t="str">
        <f>IF(F959="","",Formulario!B970)</f>
        <v/>
      </c>
      <c r="F959" s="11" t="str">
        <f>TRIM(Formulario!D970)</f>
        <v/>
      </c>
      <c r="G959" s="11" t="str">
        <f>TRIM(Formulario!F970)</f>
        <v/>
      </c>
      <c r="H959" s="146" t="str">
        <f>IF(N959="",TRIM(Formulario!G970),TRIM(Formulario!G970)*N959)</f>
        <v/>
      </c>
      <c r="I959" s="107" t="str">
        <f>TRIM(Formulario!I970)</f>
        <v/>
      </c>
      <c r="J959" s="11" t="str">
        <f>TRIM(Formulario!J970)</f>
        <v/>
      </c>
      <c r="K959" s="11" t="str">
        <f>TRIM(Formulario!K970)</f>
        <v/>
      </c>
      <c r="L959" s="107" t="str">
        <f>TRIM(Formulario!L970)</f>
        <v/>
      </c>
      <c r="M959" s="107" t="str">
        <f>TRIM(Formulario!M970)</f>
        <v/>
      </c>
      <c r="N959" s="11" t="str">
        <f>TRIM(Formulario!H970)</f>
        <v/>
      </c>
      <c r="P959" s="17"/>
      <c r="Q959" s="104"/>
      <c r="R959" s="104"/>
      <c r="S959" s="117"/>
      <c r="T959" s="101"/>
      <c r="U959" s="101"/>
      <c r="V959" s="101"/>
      <c r="W959" s="102"/>
      <c r="X959" s="102"/>
      <c r="Y959" s="102"/>
      <c r="Z959" s="102"/>
      <c r="AA959" s="102"/>
      <c r="AB959" s="102"/>
      <c r="AC959" s="102"/>
      <c r="AD959" s="102"/>
      <c r="AE959" s="102"/>
      <c r="AF959" s="102"/>
      <c r="AG959" s="102"/>
      <c r="AH959" s="102"/>
      <c r="AI959" s="102"/>
      <c r="AJ959" s="102"/>
      <c r="AK959" s="102"/>
      <c r="AL959" s="102"/>
      <c r="AM959" s="102"/>
      <c r="AN959" s="102"/>
      <c r="AO959" s="102"/>
      <c r="AP959" s="102"/>
      <c r="AQ959" s="102"/>
      <c r="AR959" s="102"/>
      <c r="AS959" s="102"/>
      <c r="AT959" s="102"/>
      <c r="AU959" s="102"/>
      <c r="AV959" s="102"/>
      <c r="AW959" s="102"/>
    </row>
    <row r="960" spans="1:49">
      <c r="A960" s="8" t="str">
        <f>IF(L960="","",Formulario!B971)</f>
        <v/>
      </c>
      <c r="B960" s="119"/>
      <c r="C960" s="120"/>
      <c r="D960" s="121"/>
      <c r="E960" s="129" t="str">
        <f>IF(F960="","",Formulario!B971)</f>
        <v/>
      </c>
      <c r="F960" s="11" t="str">
        <f>TRIM(Formulario!D971)</f>
        <v/>
      </c>
      <c r="G960" s="11" t="str">
        <f>TRIM(Formulario!F971)</f>
        <v/>
      </c>
      <c r="H960" s="146" t="str">
        <f>IF(N960="",TRIM(Formulario!G971),TRIM(Formulario!G971)*N960)</f>
        <v/>
      </c>
      <c r="I960" s="107" t="str">
        <f>TRIM(Formulario!I971)</f>
        <v/>
      </c>
      <c r="J960" s="11" t="str">
        <f>TRIM(Formulario!J971)</f>
        <v/>
      </c>
      <c r="K960" s="11" t="str">
        <f>TRIM(Formulario!K971)</f>
        <v/>
      </c>
      <c r="L960" s="107" t="str">
        <f>TRIM(Formulario!L971)</f>
        <v/>
      </c>
      <c r="M960" s="107" t="str">
        <f>TRIM(Formulario!M971)</f>
        <v/>
      </c>
      <c r="N960" s="11" t="str">
        <f>TRIM(Formulario!H971)</f>
        <v/>
      </c>
      <c r="P960" s="17"/>
      <c r="Q960" s="104"/>
      <c r="R960" s="104"/>
      <c r="S960" s="117"/>
      <c r="T960" s="101"/>
      <c r="U960" s="101"/>
      <c r="V960" s="101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</row>
    <row r="961" spans="1:49">
      <c r="A961" s="8" t="str">
        <f>IF(L961="","",Formulario!B972)</f>
        <v/>
      </c>
      <c r="B961" s="119"/>
      <c r="C961" s="120"/>
      <c r="D961" s="121"/>
      <c r="E961" s="129" t="str">
        <f>IF(F961="","",Formulario!B972)</f>
        <v/>
      </c>
      <c r="F961" s="11" t="str">
        <f>TRIM(Formulario!D972)</f>
        <v/>
      </c>
      <c r="G961" s="11" t="str">
        <f>TRIM(Formulario!F972)</f>
        <v/>
      </c>
      <c r="H961" s="146" t="str">
        <f>IF(N961="",TRIM(Formulario!G972),TRIM(Formulario!G972)*N961)</f>
        <v/>
      </c>
      <c r="I961" s="107" t="str">
        <f>TRIM(Formulario!I972)</f>
        <v/>
      </c>
      <c r="J961" s="11" t="str">
        <f>TRIM(Formulario!J972)</f>
        <v/>
      </c>
      <c r="K961" s="11" t="str">
        <f>TRIM(Formulario!K972)</f>
        <v/>
      </c>
      <c r="L961" s="107" t="str">
        <f>TRIM(Formulario!L972)</f>
        <v/>
      </c>
      <c r="M961" s="107" t="str">
        <f>TRIM(Formulario!M972)</f>
        <v/>
      </c>
      <c r="N961" s="11" t="str">
        <f>TRIM(Formulario!H972)</f>
        <v/>
      </c>
      <c r="P961" s="17"/>
      <c r="Q961" s="104"/>
      <c r="R961" s="104"/>
      <c r="S961" s="117"/>
      <c r="T961" s="101"/>
      <c r="U961" s="101"/>
      <c r="V961" s="101"/>
      <c r="W961" s="102"/>
      <c r="X961" s="102"/>
      <c r="Y961" s="102"/>
      <c r="Z961" s="102"/>
      <c r="AA961" s="102"/>
      <c r="AB961" s="102"/>
      <c r="AC961" s="102"/>
      <c r="AD961" s="102"/>
      <c r="AE961" s="102"/>
      <c r="AF961" s="102"/>
      <c r="AG961" s="102"/>
      <c r="AH961" s="102"/>
      <c r="AI961" s="102"/>
      <c r="AJ961" s="102"/>
      <c r="AK961" s="102"/>
      <c r="AL961" s="102"/>
      <c r="AM961" s="102"/>
      <c r="AN961" s="102"/>
      <c r="AO961" s="102"/>
      <c r="AP961" s="102"/>
      <c r="AQ961" s="102"/>
      <c r="AR961" s="102"/>
      <c r="AS961" s="102"/>
      <c r="AT961" s="102"/>
      <c r="AU961" s="102"/>
      <c r="AV961" s="102"/>
      <c r="AW961" s="102"/>
    </row>
    <row r="962" spans="1:49">
      <c r="A962" s="8" t="str">
        <f>IF(L962="","",Formulario!B973)</f>
        <v/>
      </c>
      <c r="B962" s="119"/>
      <c r="C962" s="120"/>
      <c r="D962" s="121"/>
      <c r="E962" s="129" t="str">
        <f>IF(F962="","",Formulario!B973)</f>
        <v/>
      </c>
      <c r="F962" s="11" t="str">
        <f>TRIM(Formulario!D973)</f>
        <v/>
      </c>
      <c r="G962" s="11" t="str">
        <f>TRIM(Formulario!F973)</f>
        <v/>
      </c>
      <c r="H962" s="146" t="str">
        <f>IF(N962="",TRIM(Formulario!G973),TRIM(Formulario!G973)*N962)</f>
        <v/>
      </c>
      <c r="I962" s="107" t="str">
        <f>TRIM(Formulario!I973)</f>
        <v/>
      </c>
      <c r="J962" s="11" t="str">
        <f>TRIM(Formulario!J973)</f>
        <v/>
      </c>
      <c r="K962" s="11" t="str">
        <f>TRIM(Formulario!K973)</f>
        <v/>
      </c>
      <c r="L962" s="107" t="str">
        <f>TRIM(Formulario!L973)</f>
        <v/>
      </c>
      <c r="M962" s="107" t="str">
        <f>TRIM(Formulario!M973)</f>
        <v/>
      </c>
      <c r="N962" s="11" t="str">
        <f>TRIM(Formulario!H973)</f>
        <v/>
      </c>
      <c r="P962" s="17"/>
      <c r="Q962" s="104"/>
      <c r="R962" s="104"/>
      <c r="S962" s="117"/>
      <c r="T962" s="101"/>
      <c r="U962" s="101"/>
      <c r="V962" s="101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</row>
    <row r="963" spans="1:49">
      <c r="A963" s="8" t="str">
        <f>IF(L963="","",Formulario!B974)</f>
        <v/>
      </c>
      <c r="B963" s="119"/>
      <c r="C963" s="120"/>
      <c r="D963" s="121"/>
      <c r="E963" s="129" t="str">
        <f>IF(F963="","",Formulario!B974)</f>
        <v/>
      </c>
      <c r="F963" s="11" t="str">
        <f>TRIM(Formulario!D974)</f>
        <v/>
      </c>
      <c r="G963" s="11" t="str">
        <f>TRIM(Formulario!F974)</f>
        <v/>
      </c>
      <c r="H963" s="146" t="str">
        <f>IF(N963="",TRIM(Formulario!G974),TRIM(Formulario!G974)*N963)</f>
        <v/>
      </c>
      <c r="I963" s="107" t="str">
        <f>TRIM(Formulario!I974)</f>
        <v/>
      </c>
      <c r="J963" s="11" t="str">
        <f>TRIM(Formulario!J974)</f>
        <v/>
      </c>
      <c r="K963" s="11" t="str">
        <f>TRIM(Formulario!K974)</f>
        <v/>
      </c>
      <c r="L963" s="107" t="str">
        <f>TRIM(Formulario!L974)</f>
        <v/>
      </c>
      <c r="M963" s="107" t="str">
        <f>TRIM(Formulario!M974)</f>
        <v/>
      </c>
      <c r="N963" s="11" t="str">
        <f>TRIM(Formulario!H974)</f>
        <v/>
      </c>
      <c r="P963" s="17"/>
      <c r="Q963" s="104"/>
      <c r="R963" s="104"/>
      <c r="S963" s="117"/>
      <c r="T963" s="101"/>
      <c r="U963" s="101"/>
      <c r="V963" s="101"/>
      <c r="W963" s="102"/>
      <c r="X963" s="102"/>
      <c r="Y963" s="102"/>
      <c r="Z963" s="102"/>
      <c r="AA963" s="102"/>
      <c r="AB963" s="102"/>
      <c r="AC963" s="102"/>
      <c r="AD963" s="102"/>
      <c r="AE963" s="102"/>
      <c r="AF963" s="102"/>
      <c r="AG963" s="102"/>
      <c r="AH963" s="102"/>
      <c r="AI963" s="102"/>
      <c r="AJ963" s="102"/>
      <c r="AK963" s="102"/>
      <c r="AL963" s="102"/>
      <c r="AM963" s="102"/>
      <c r="AN963" s="102"/>
      <c r="AO963" s="102"/>
      <c r="AP963" s="102"/>
      <c r="AQ963" s="102"/>
      <c r="AR963" s="102"/>
      <c r="AS963" s="102"/>
      <c r="AT963" s="102"/>
      <c r="AU963" s="102"/>
      <c r="AV963" s="102"/>
      <c r="AW963" s="102"/>
    </row>
    <row r="964" spans="1:49">
      <c r="A964" s="8" t="str">
        <f>IF(L964="","",Formulario!B975)</f>
        <v/>
      </c>
      <c r="B964" s="119"/>
      <c r="C964" s="120"/>
      <c r="D964" s="121"/>
      <c r="E964" s="129" t="str">
        <f>IF(F964="","",Formulario!B975)</f>
        <v/>
      </c>
      <c r="F964" s="11" t="str">
        <f>TRIM(Formulario!D975)</f>
        <v/>
      </c>
      <c r="G964" s="11" t="str">
        <f>TRIM(Formulario!F975)</f>
        <v/>
      </c>
      <c r="H964" s="146" t="str">
        <f>IF(N964="",TRIM(Formulario!G975),TRIM(Formulario!G975)*N964)</f>
        <v/>
      </c>
      <c r="I964" s="107" t="str">
        <f>TRIM(Formulario!I975)</f>
        <v/>
      </c>
      <c r="J964" s="11" t="str">
        <f>TRIM(Formulario!J975)</f>
        <v/>
      </c>
      <c r="K964" s="11" t="str">
        <f>TRIM(Formulario!K975)</f>
        <v/>
      </c>
      <c r="L964" s="107" t="str">
        <f>TRIM(Formulario!L975)</f>
        <v/>
      </c>
      <c r="M964" s="107" t="str">
        <f>TRIM(Formulario!M975)</f>
        <v/>
      </c>
      <c r="N964" s="11" t="str">
        <f>TRIM(Formulario!H975)</f>
        <v/>
      </c>
      <c r="P964" s="17"/>
      <c r="Q964" s="104"/>
      <c r="R964" s="104"/>
      <c r="S964" s="117"/>
      <c r="T964" s="101"/>
      <c r="U964" s="101"/>
      <c r="V964" s="101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</row>
    <row r="965" spans="1:49">
      <c r="A965" s="8" t="str">
        <f>IF(L965="","",Formulario!B976)</f>
        <v/>
      </c>
      <c r="B965" s="119"/>
      <c r="C965" s="120"/>
      <c r="D965" s="121"/>
      <c r="E965" s="129" t="str">
        <f>IF(F965="","",Formulario!B976)</f>
        <v/>
      </c>
      <c r="F965" s="11" t="str">
        <f>TRIM(Formulario!D976)</f>
        <v/>
      </c>
      <c r="G965" s="11" t="str">
        <f>TRIM(Formulario!F976)</f>
        <v/>
      </c>
      <c r="H965" s="146" t="str">
        <f>IF(N965="",TRIM(Formulario!G976),TRIM(Formulario!G976)*N965)</f>
        <v/>
      </c>
      <c r="I965" s="107" t="str">
        <f>TRIM(Formulario!I976)</f>
        <v/>
      </c>
      <c r="J965" s="11" t="str">
        <f>TRIM(Formulario!J976)</f>
        <v/>
      </c>
      <c r="K965" s="11" t="str">
        <f>TRIM(Formulario!K976)</f>
        <v/>
      </c>
      <c r="L965" s="107" t="str">
        <f>TRIM(Formulario!L976)</f>
        <v/>
      </c>
      <c r="M965" s="107" t="str">
        <f>TRIM(Formulario!M976)</f>
        <v/>
      </c>
      <c r="N965" s="11" t="str">
        <f>TRIM(Formulario!H976)</f>
        <v/>
      </c>
      <c r="P965" s="17"/>
      <c r="Q965" s="104"/>
      <c r="R965" s="104"/>
      <c r="S965" s="117"/>
      <c r="T965" s="101"/>
      <c r="U965" s="101"/>
      <c r="V965" s="101"/>
      <c r="W965" s="102"/>
      <c r="X965" s="102"/>
      <c r="Y965" s="102"/>
      <c r="Z965" s="102"/>
      <c r="AA965" s="102"/>
      <c r="AB965" s="102"/>
      <c r="AC965" s="102"/>
      <c r="AD965" s="102"/>
      <c r="AE965" s="102"/>
      <c r="AF965" s="102"/>
      <c r="AG965" s="102"/>
      <c r="AH965" s="102"/>
      <c r="AI965" s="102"/>
      <c r="AJ965" s="102"/>
      <c r="AK965" s="102"/>
      <c r="AL965" s="102"/>
      <c r="AM965" s="102"/>
      <c r="AN965" s="102"/>
      <c r="AO965" s="102"/>
      <c r="AP965" s="102"/>
      <c r="AQ965" s="102"/>
      <c r="AR965" s="102"/>
      <c r="AS965" s="102"/>
      <c r="AT965" s="102"/>
      <c r="AU965" s="102"/>
      <c r="AV965" s="102"/>
      <c r="AW965" s="102"/>
    </row>
    <row r="966" spans="1:49">
      <c r="A966" s="8" t="str">
        <f>IF(L966="","",Formulario!B977)</f>
        <v/>
      </c>
      <c r="B966" s="119"/>
      <c r="C966" s="120"/>
      <c r="D966" s="121"/>
      <c r="E966" s="129" t="str">
        <f>IF(F966="","",Formulario!B977)</f>
        <v/>
      </c>
      <c r="F966" s="11" t="str">
        <f>TRIM(Formulario!D977)</f>
        <v/>
      </c>
      <c r="G966" s="11" t="str">
        <f>TRIM(Formulario!F977)</f>
        <v/>
      </c>
      <c r="H966" s="146" t="str">
        <f>IF(N966="",TRIM(Formulario!G977),TRIM(Formulario!G977)*N966)</f>
        <v/>
      </c>
      <c r="I966" s="107" t="str">
        <f>TRIM(Formulario!I977)</f>
        <v/>
      </c>
      <c r="J966" s="11" t="str">
        <f>TRIM(Formulario!J977)</f>
        <v/>
      </c>
      <c r="K966" s="11" t="str">
        <f>TRIM(Formulario!K977)</f>
        <v/>
      </c>
      <c r="L966" s="107" t="str">
        <f>TRIM(Formulario!L977)</f>
        <v/>
      </c>
      <c r="M966" s="107" t="str">
        <f>TRIM(Formulario!M977)</f>
        <v/>
      </c>
      <c r="N966" s="11" t="str">
        <f>TRIM(Formulario!H977)</f>
        <v/>
      </c>
      <c r="P966" s="17"/>
      <c r="Q966" s="104"/>
      <c r="R966" s="104"/>
      <c r="S966" s="117"/>
      <c r="T966" s="101"/>
      <c r="U966" s="101"/>
      <c r="V966" s="101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</row>
    <row r="967" spans="1:49">
      <c r="A967" s="8" t="str">
        <f>IF(L967="","",Formulario!B978)</f>
        <v/>
      </c>
      <c r="B967" s="119"/>
      <c r="C967" s="120"/>
      <c r="D967" s="121"/>
      <c r="E967" s="129" t="str">
        <f>IF(F967="","",Formulario!B978)</f>
        <v/>
      </c>
      <c r="F967" s="11" t="str">
        <f>TRIM(Formulario!D978)</f>
        <v/>
      </c>
      <c r="G967" s="11" t="str">
        <f>TRIM(Formulario!F978)</f>
        <v/>
      </c>
      <c r="H967" s="146" t="str">
        <f>IF(N967="",TRIM(Formulario!G978),TRIM(Formulario!G978)*N967)</f>
        <v/>
      </c>
      <c r="I967" s="107" t="str">
        <f>TRIM(Formulario!I978)</f>
        <v/>
      </c>
      <c r="J967" s="11" t="str">
        <f>TRIM(Formulario!J978)</f>
        <v/>
      </c>
      <c r="K967" s="11" t="str">
        <f>TRIM(Formulario!K978)</f>
        <v/>
      </c>
      <c r="L967" s="107" t="str">
        <f>TRIM(Formulario!L978)</f>
        <v/>
      </c>
      <c r="M967" s="107" t="str">
        <f>TRIM(Formulario!M978)</f>
        <v/>
      </c>
      <c r="N967" s="11" t="str">
        <f>TRIM(Formulario!H978)</f>
        <v/>
      </c>
      <c r="P967" s="17"/>
      <c r="Q967" s="104"/>
      <c r="R967" s="104"/>
      <c r="S967" s="117"/>
      <c r="T967" s="101"/>
      <c r="U967" s="101"/>
      <c r="V967" s="101"/>
      <c r="W967" s="102"/>
      <c r="X967" s="102"/>
      <c r="Y967" s="102"/>
      <c r="Z967" s="102"/>
      <c r="AA967" s="102"/>
      <c r="AB967" s="102"/>
      <c r="AC967" s="102"/>
      <c r="AD967" s="102"/>
      <c r="AE967" s="102"/>
      <c r="AF967" s="102"/>
      <c r="AG967" s="102"/>
      <c r="AH967" s="102"/>
      <c r="AI967" s="102"/>
      <c r="AJ967" s="102"/>
      <c r="AK967" s="102"/>
      <c r="AL967" s="102"/>
      <c r="AM967" s="102"/>
      <c r="AN967" s="102"/>
      <c r="AO967" s="102"/>
      <c r="AP967" s="102"/>
      <c r="AQ967" s="102"/>
      <c r="AR967" s="102"/>
      <c r="AS967" s="102"/>
      <c r="AT967" s="102"/>
      <c r="AU967" s="102"/>
      <c r="AV967" s="102"/>
      <c r="AW967" s="102"/>
    </row>
    <row r="968" spans="1:49">
      <c r="A968" s="8" t="str">
        <f>IF(L968="","",Formulario!B979)</f>
        <v/>
      </c>
      <c r="B968" s="119"/>
      <c r="C968" s="120"/>
      <c r="D968" s="121"/>
      <c r="E968" s="129" t="str">
        <f>IF(F968="","",Formulario!B979)</f>
        <v/>
      </c>
      <c r="F968" s="11" t="str">
        <f>TRIM(Formulario!D979)</f>
        <v/>
      </c>
      <c r="G968" s="11" t="str">
        <f>TRIM(Formulario!F979)</f>
        <v/>
      </c>
      <c r="H968" s="146" t="str">
        <f>IF(N968="",TRIM(Formulario!G979),TRIM(Formulario!G979)*N968)</f>
        <v/>
      </c>
      <c r="I968" s="107" t="str">
        <f>TRIM(Formulario!I979)</f>
        <v/>
      </c>
      <c r="J968" s="11" t="str">
        <f>TRIM(Formulario!J979)</f>
        <v/>
      </c>
      <c r="K968" s="11" t="str">
        <f>TRIM(Formulario!K979)</f>
        <v/>
      </c>
      <c r="L968" s="107" t="str">
        <f>TRIM(Formulario!L979)</f>
        <v/>
      </c>
      <c r="M968" s="107" t="str">
        <f>TRIM(Formulario!M979)</f>
        <v/>
      </c>
      <c r="N968" s="11" t="str">
        <f>TRIM(Formulario!H979)</f>
        <v/>
      </c>
      <c r="P968" s="17"/>
      <c r="Q968" s="104"/>
      <c r="R968" s="104"/>
      <c r="S968" s="117"/>
      <c r="T968" s="101"/>
      <c r="U968" s="101"/>
      <c r="V968" s="101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</row>
    <row r="969" spans="1:49">
      <c r="A969" s="8" t="str">
        <f>IF(L969="","",Formulario!B980)</f>
        <v/>
      </c>
      <c r="B969" s="119"/>
      <c r="C969" s="120"/>
      <c r="D969" s="121"/>
      <c r="E969" s="129" t="str">
        <f>IF(F969="","",Formulario!B980)</f>
        <v/>
      </c>
      <c r="F969" s="11" t="str">
        <f>TRIM(Formulario!D980)</f>
        <v/>
      </c>
      <c r="G969" s="11" t="str">
        <f>TRIM(Formulario!F980)</f>
        <v/>
      </c>
      <c r="H969" s="146" t="str">
        <f>IF(N969="",TRIM(Formulario!G980),TRIM(Formulario!G980)*N969)</f>
        <v/>
      </c>
      <c r="I969" s="107" t="str">
        <f>TRIM(Formulario!I980)</f>
        <v/>
      </c>
      <c r="J969" s="11" t="str">
        <f>TRIM(Formulario!J980)</f>
        <v/>
      </c>
      <c r="K969" s="11" t="str">
        <f>TRIM(Formulario!K980)</f>
        <v/>
      </c>
      <c r="L969" s="107" t="str">
        <f>TRIM(Formulario!L980)</f>
        <v/>
      </c>
      <c r="M969" s="107" t="str">
        <f>TRIM(Formulario!M980)</f>
        <v/>
      </c>
      <c r="N969" s="11" t="str">
        <f>TRIM(Formulario!H980)</f>
        <v/>
      </c>
      <c r="P969" s="17"/>
      <c r="Q969" s="104"/>
      <c r="R969" s="104"/>
      <c r="S969" s="117"/>
      <c r="T969" s="101"/>
      <c r="U969" s="101"/>
      <c r="V969" s="101"/>
      <c r="W969" s="102"/>
      <c r="X969" s="102"/>
      <c r="Y969" s="102"/>
      <c r="Z969" s="102"/>
      <c r="AA969" s="102"/>
      <c r="AB969" s="102"/>
      <c r="AC969" s="102"/>
      <c r="AD969" s="102"/>
      <c r="AE969" s="102"/>
      <c r="AF969" s="102"/>
      <c r="AG969" s="102"/>
      <c r="AH969" s="102"/>
      <c r="AI969" s="102"/>
      <c r="AJ969" s="102"/>
      <c r="AK969" s="102"/>
      <c r="AL969" s="102"/>
      <c r="AM969" s="102"/>
      <c r="AN969" s="102"/>
      <c r="AO969" s="102"/>
      <c r="AP969" s="102"/>
      <c r="AQ969" s="102"/>
      <c r="AR969" s="102"/>
      <c r="AS969" s="102"/>
      <c r="AT969" s="102"/>
      <c r="AU969" s="102"/>
      <c r="AV969" s="102"/>
      <c r="AW969" s="102"/>
    </row>
    <row r="970" spans="1:49">
      <c r="A970" s="8" t="str">
        <f>IF(L970="","",Formulario!B981)</f>
        <v/>
      </c>
      <c r="B970" s="119"/>
      <c r="C970" s="120"/>
      <c r="D970" s="121"/>
      <c r="E970" s="129" t="str">
        <f>IF(F970="","",Formulario!B981)</f>
        <v/>
      </c>
      <c r="F970" s="11" t="str">
        <f>TRIM(Formulario!D981)</f>
        <v/>
      </c>
      <c r="G970" s="11" t="str">
        <f>TRIM(Formulario!F981)</f>
        <v/>
      </c>
      <c r="H970" s="146" t="str">
        <f>IF(N970="",TRIM(Formulario!G981),TRIM(Formulario!G981)*N970)</f>
        <v/>
      </c>
      <c r="I970" s="107" t="str">
        <f>TRIM(Formulario!I981)</f>
        <v/>
      </c>
      <c r="J970" s="11" t="str">
        <f>TRIM(Formulario!J981)</f>
        <v/>
      </c>
      <c r="K970" s="11" t="str">
        <f>TRIM(Formulario!K981)</f>
        <v/>
      </c>
      <c r="L970" s="107" t="str">
        <f>TRIM(Formulario!L981)</f>
        <v/>
      </c>
      <c r="M970" s="107" t="str">
        <f>TRIM(Formulario!M981)</f>
        <v/>
      </c>
      <c r="N970" s="11" t="str">
        <f>TRIM(Formulario!H981)</f>
        <v/>
      </c>
      <c r="P970" s="17"/>
      <c r="Q970" s="104"/>
      <c r="R970" s="104"/>
      <c r="S970" s="117"/>
      <c r="T970" s="101"/>
      <c r="U970" s="101"/>
      <c r="V970" s="101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</row>
    <row r="971" spans="1:49">
      <c r="A971" s="8" t="str">
        <f>IF(L971="","",Formulario!B982)</f>
        <v/>
      </c>
      <c r="B971" s="119"/>
      <c r="C971" s="120"/>
      <c r="D971" s="121"/>
      <c r="E971" s="129" t="str">
        <f>IF(F971="","",Formulario!B982)</f>
        <v/>
      </c>
      <c r="F971" s="11" t="str">
        <f>TRIM(Formulario!D982)</f>
        <v/>
      </c>
      <c r="G971" s="11" t="str">
        <f>TRIM(Formulario!F982)</f>
        <v/>
      </c>
      <c r="H971" s="146" t="str">
        <f>IF(N971="",TRIM(Formulario!G982),TRIM(Formulario!G982)*N971)</f>
        <v/>
      </c>
      <c r="I971" s="107" t="str">
        <f>TRIM(Formulario!I982)</f>
        <v/>
      </c>
      <c r="J971" s="11" t="str">
        <f>TRIM(Formulario!J982)</f>
        <v/>
      </c>
      <c r="K971" s="11" t="str">
        <f>TRIM(Formulario!K982)</f>
        <v/>
      </c>
      <c r="L971" s="107" t="str">
        <f>TRIM(Formulario!L982)</f>
        <v/>
      </c>
      <c r="M971" s="107" t="str">
        <f>TRIM(Formulario!M982)</f>
        <v/>
      </c>
      <c r="N971" s="11" t="str">
        <f>TRIM(Formulario!H982)</f>
        <v/>
      </c>
      <c r="P971" s="17"/>
      <c r="Q971" s="104"/>
      <c r="R971" s="104"/>
      <c r="S971" s="117"/>
      <c r="T971" s="101"/>
      <c r="U971" s="101"/>
      <c r="V971" s="101"/>
      <c r="W971" s="102"/>
      <c r="X971" s="102"/>
      <c r="Y971" s="102"/>
      <c r="Z971" s="102"/>
      <c r="AA971" s="102"/>
      <c r="AB971" s="102"/>
      <c r="AC971" s="102"/>
      <c r="AD971" s="102"/>
      <c r="AE971" s="102"/>
      <c r="AF971" s="102"/>
      <c r="AG971" s="102"/>
      <c r="AH971" s="102"/>
      <c r="AI971" s="102"/>
      <c r="AJ971" s="102"/>
      <c r="AK971" s="102"/>
      <c r="AL971" s="102"/>
      <c r="AM971" s="102"/>
      <c r="AN971" s="102"/>
      <c r="AO971" s="102"/>
      <c r="AP971" s="102"/>
      <c r="AQ971" s="102"/>
      <c r="AR971" s="102"/>
      <c r="AS971" s="102"/>
      <c r="AT971" s="102"/>
      <c r="AU971" s="102"/>
      <c r="AV971" s="102"/>
      <c r="AW971" s="102"/>
    </row>
    <row r="972" spans="1:49">
      <c r="A972" s="8" t="str">
        <f>IF(L972="","",Formulario!B983)</f>
        <v/>
      </c>
      <c r="B972" s="119"/>
      <c r="C972" s="120"/>
      <c r="D972" s="121"/>
      <c r="E972" s="129" t="str">
        <f>IF(F972="","",Formulario!B983)</f>
        <v/>
      </c>
      <c r="F972" s="11" t="str">
        <f>TRIM(Formulario!D983)</f>
        <v/>
      </c>
      <c r="G972" s="11" t="str">
        <f>TRIM(Formulario!F983)</f>
        <v/>
      </c>
      <c r="H972" s="146" t="str">
        <f>IF(N972="",TRIM(Formulario!G983),TRIM(Formulario!G983)*N972)</f>
        <v/>
      </c>
      <c r="I972" s="107" t="str">
        <f>TRIM(Formulario!I983)</f>
        <v/>
      </c>
      <c r="J972" s="11" t="str">
        <f>TRIM(Formulario!J983)</f>
        <v/>
      </c>
      <c r="K972" s="11" t="str">
        <f>TRIM(Formulario!K983)</f>
        <v/>
      </c>
      <c r="L972" s="107" t="str">
        <f>TRIM(Formulario!L983)</f>
        <v/>
      </c>
      <c r="M972" s="107" t="str">
        <f>TRIM(Formulario!M983)</f>
        <v/>
      </c>
      <c r="N972" s="11" t="str">
        <f>TRIM(Formulario!H983)</f>
        <v/>
      </c>
      <c r="P972" s="17"/>
      <c r="Q972" s="104"/>
      <c r="R972" s="104"/>
      <c r="S972" s="117"/>
      <c r="T972" s="101"/>
      <c r="U972" s="101"/>
      <c r="V972" s="101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</row>
    <row r="973" spans="1:49">
      <c r="A973" s="8" t="str">
        <f>IF(L973="","",Formulario!B984)</f>
        <v/>
      </c>
      <c r="B973" s="119"/>
      <c r="C973" s="120"/>
      <c r="D973" s="121"/>
      <c r="E973" s="129" t="str">
        <f>IF(F973="","",Formulario!B984)</f>
        <v/>
      </c>
      <c r="F973" s="11" t="str">
        <f>TRIM(Formulario!D984)</f>
        <v/>
      </c>
      <c r="G973" s="11" t="str">
        <f>TRIM(Formulario!F984)</f>
        <v/>
      </c>
      <c r="H973" s="146" t="str">
        <f>IF(N973="",TRIM(Formulario!G984),TRIM(Formulario!G984)*N973)</f>
        <v/>
      </c>
      <c r="I973" s="107" t="str">
        <f>TRIM(Formulario!I984)</f>
        <v/>
      </c>
      <c r="J973" s="11" t="str">
        <f>TRIM(Formulario!J984)</f>
        <v/>
      </c>
      <c r="K973" s="11" t="str">
        <f>TRIM(Formulario!K984)</f>
        <v/>
      </c>
      <c r="L973" s="107" t="str">
        <f>TRIM(Formulario!L984)</f>
        <v/>
      </c>
      <c r="M973" s="107" t="str">
        <f>TRIM(Formulario!M984)</f>
        <v/>
      </c>
      <c r="N973" s="11" t="str">
        <f>TRIM(Formulario!H984)</f>
        <v/>
      </c>
      <c r="P973" s="17"/>
      <c r="Q973" s="104"/>
      <c r="R973" s="104"/>
      <c r="S973" s="117"/>
      <c r="T973" s="101"/>
      <c r="U973" s="101"/>
      <c r="V973" s="101"/>
      <c r="W973" s="102"/>
      <c r="X973" s="102"/>
      <c r="Y973" s="102"/>
      <c r="Z973" s="102"/>
      <c r="AA973" s="102"/>
      <c r="AB973" s="102"/>
      <c r="AC973" s="102"/>
      <c r="AD973" s="102"/>
      <c r="AE973" s="102"/>
      <c r="AF973" s="102"/>
      <c r="AG973" s="102"/>
      <c r="AH973" s="102"/>
      <c r="AI973" s="102"/>
      <c r="AJ973" s="102"/>
      <c r="AK973" s="102"/>
      <c r="AL973" s="102"/>
      <c r="AM973" s="102"/>
      <c r="AN973" s="102"/>
      <c r="AO973" s="102"/>
      <c r="AP973" s="102"/>
      <c r="AQ973" s="102"/>
      <c r="AR973" s="102"/>
      <c r="AS973" s="102"/>
      <c r="AT973" s="102"/>
      <c r="AU973" s="102"/>
      <c r="AV973" s="102"/>
      <c r="AW973" s="102"/>
    </row>
    <row r="974" spans="1:49">
      <c r="A974" s="8" t="str">
        <f>IF(L974="","",Formulario!B985)</f>
        <v/>
      </c>
      <c r="B974" s="119"/>
      <c r="C974" s="120"/>
      <c r="D974" s="121"/>
      <c r="E974" s="129" t="str">
        <f>IF(F974="","",Formulario!B985)</f>
        <v/>
      </c>
      <c r="F974" s="11" t="str">
        <f>TRIM(Formulario!D985)</f>
        <v/>
      </c>
      <c r="G974" s="11" t="str">
        <f>TRIM(Formulario!F985)</f>
        <v/>
      </c>
      <c r="H974" s="146" t="str">
        <f>IF(N974="",TRIM(Formulario!G985),TRIM(Formulario!G985)*N974)</f>
        <v/>
      </c>
      <c r="I974" s="107" t="str">
        <f>TRIM(Formulario!I985)</f>
        <v/>
      </c>
      <c r="J974" s="11" t="str">
        <f>TRIM(Formulario!J985)</f>
        <v/>
      </c>
      <c r="K974" s="11" t="str">
        <f>TRIM(Formulario!K985)</f>
        <v/>
      </c>
      <c r="L974" s="107" t="str">
        <f>TRIM(Formulario!L985)</f>
        <v/>
      </c>
      <c r="M974" s="107" t="str">
        <f>TRIM(Formulario!M985)</f>
        <v/>
      </c>
      <c r="N974" s="11" t="str">
        <f>TRIM(Formulario!H985)</f>
        <v/>
      </c>
      <c r="P974" s="17"/>
      <c r="Q974" s="104"/>
      <c r="R974" s="104"/>
      <c r="S974" s="117"/>
      <c r="T974" s="101"/>
      <c r="U974" s="101"/>
      <c r="V974" s="101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</row>
    <row r="975" spans="1:49">
      <c r="A975" s="8" t="str">
        <f>IF(L975="","",Formulario!B986)</f>
        <v/>
      </c>
      <c r="B975" s="119"/>
      <c r="C975" s="120"/>
      <c r="D975" s="121"/>
      <c r="E975" s="129" t="str">
        <f>IF(F975="","",Formulario!B986)</f>
        <v/>
      </c>
      <c r="F975" s="11" t="str">
        <f>TRIM(Formulario!D986)</f>
        <v/>
      </c>
      <c r="G975" s="11" t="str">
        <f>TRIM(Formulario!F986)</f>
        <v/>
      </c>
      <c r="H975" s="146" t="str">
        <f>IF(N975="",TRIM(Formulario!G986),TRIM(Formulario!G986)*N975)</f>
        <v/>
      </c>
      <c r="I975" s="107" t="str">
        <f>TRIM(Formulario!I986)</f>
        <v/>
      </c>
      <c r="J975" s="11" t="str">
        <f>TRIM(Formulario!J986)</f>
        <v/>
      </c>
      <c r="K975" s="11" t="str">
        <f>TRIM(Formulario!K986)</f>
        <v/>
      </c>
      <c r="L975" s="107" t="str">
        <f>TRIM(Formulario!L986)</f>
        <v/>
      </c>
      <c r="M975" s="107" t="str">
        <f>TRIM(Formulario!M986)</f>
        <v/>
      </c>
      <c r="N975" s="11" t="str">
        <f>TRIM(Formulario!H986)</f>
        <v/>
      </c>
      <c r="P975" s="17"/>
      <c r="Q975" s="104"/>
      <c r="R975" s="104"/>
      <c r="S975" s="117"/>
      <c r="T975" s="101"/>
      <c r="U975" s="101"/>
      <c r="V975" s="101"/>
      <c r="W975" s="102"/>
      <c r="X975" s="102"/>
      <c r="Y975" s="102"/>
      <c r="Z975" s="102"/>
      <c r="AA975" s="102"/>
      <c r="AB975" s="102"/>
      <c r="AC975" s="102"/>
      <c r="AD975" s="102"/>
      <c r="AE975" s="102"/>
      <c r="AF975" s="102"/>
      <c r="AG975" s="102"/>
      <c r="AH975" s="102"/>
      <c r="AI975" s="102"/>
      <c r="AJ975" s="102"/>
      <c r="AK975" s="102"/>
      <c r="AL975" s="102"/>
      <c r="AM975" s="102"/>
      <c r="AN975" s="102"/>
      <c r="AO975" s="102"/>
      <c r="AP975" s="102"/>
      <c r="AQ975" s="102"/>
      <c r="AR975" s="102"/>
      <c r="AS975" s="102"/>
      <c r="AT975" s="102"/>
      <c r="AU975" s="102"/>
      <c r="AV975" s="102"/>
      <c r="AW975" s="102"/>
    </row>
    <row r="976" spans="1:49">
      <c r="A976" s="8" t="str">
        <f>IF(L976="","",Formulario!B987)</f>
        <v/>
      </c>
      <c r="B976" s="119"/>
      <c r="C976" s="120"/>
      <c r="D976" s="121"/>
      <c r="E976" s="129" t="str">
        <f>IF(F976="","",Formulario!B987)</f>
        <v/>
      </c>
      <c r="F976" s="11" t="str">
        <f>TRIM(Formulario!D987)</f>
        <v/>
      </c>
      <c r="G976" s="11" t="str">
        <f>TRIM(Formulario!F987)</f>
        <v/>
      </c>
      <c r="H976" s="146" t="str">
        <f>IF(N976="",TRIM(Formulario!G987),TRIM(Formulario!G987)*N976)</f>
        <v/>
      </c>
      <c r="I976" s="107" t="str">
        <f>TRIM(Formulario!I987)</f>
        <v/>
      </c>
      <c r="J976" s="11" t="str">
        <f>TRIM(Formulario!J987)</f>
        <v/>
      </c>
      <c r="K976" s="11" t="str">
        <f>TRIM(Formulario!K987)</f>
        <v/>
      </c>
      <c r="L976" s="107" t="str">
        <f>TRIM(Formulario!L987)</f>
        <v/>
      </c>
      <c r="M976" s="107" t="str">
        <f>TRIM(Formulario!M987)</f>
        <v/>
      </c>
      <c r="N976" s="11" t="str">
        <f>TRIM(Formulario!H987)</f>
        <v/>
      </c>
      <c r="P976" s="17"/>
      <c r="Q976" s="104"/>
      <c r="R976" s="104"/>
      <c r="S976" s="117"/>
      <c r="T976" s="101"/>
      <c r="U976" s="101"/>
      <c r="V976" s="101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</row>
    <row r="977" spans="1:49">
      <c r="A977" s="8" t="str">
        <f>IF(L977="","",Formulario!B988)</f>
        <v/>
      </c>
      <c r="B977" s="119"/>
      <c r="C977" s="120"/>
      <c r="D977" s="121"/>
      <c r="E977" s="129" t="str">
        <f>IF(F977="","",Formulario!B988)</f>
        <v/>
      </c>
      <c r="F977" s="11" t="str">
        <f>TRIM(Formulario!D988)</f>
        <v/>
      </c>
      <c r="G977" s="11" t="str">
        <f>TRIM(Formulario!F988)</f>
        <v/>
      </c>
      <c r="H977" s="146" t="str">
        <f>IF(N977="",TRIM(Formulario!G988),TRIM(Formulario!G988)*N977)</f>
        <v/>
      </c>
      <c r="I977" s="107" t="str">
        <f>TRIM(Formulario!I988)</f>
        <v/>
      </c>
      <c r="J977" s="11" t="str">
        <f>TRIM(Formulario!J988)</f>
        <v/>
      </c>
      <c r="K977" s="11" t="str">
        <f>TRIM(Formulario!K988)</f>
        <v/>
      </c>
      <c r="L977" s="107" t="str">
        <f>TRIM(Formulario!L988)</f>
        <v/>
      </c>
      <c r="M977" s="107" t="str">
        <f>TRIM(Formulario!M988)</f>
        <v/>
      </c>
      <c r="N977" s="11" t="str">
        <f>TRIM(Formulario!H988)</f>
        <v/>
      </c>
      <c r="P977" s="17"/>
      <c r="Q977" s="104"/>
      <c r="R977" s="104"/>
      <c r="S977" s="117"/>
      <c r="T977" s="101"/>
      <c r="U977" s="101"/>
      <c r="V977" s="101"/>
      <c r="W977" s="102"/>
      <c r="X977" s="102"/>
      <c r="Y977" s="102"/>
      <c r="Z977" s="102"/>
      <c r="AA977" s="102"/>
      <c r="AB977" s="102"/>
      <c r="AC977" s="102"/>
      <c r="AD977" s="102"/>
      <c r="AE977" s="102"/>
      <c r="AF977" s="102"/>
      <c r="AG977" s="102"/>
      <c r="AH977" s="102"/>
      <c r="AI977" s="102"/>
      <c r="AJ977" s="102"/>
      <c r="AK977" s="102"/>
      <c r="AL977" s="102"/>
      <c r="AM977" s="102"/>
      <c r="AN977" s="102"/>
      <c r="AO977" s="102"/>
      <c r="AP977" s="102"/>
      <c r="AQ977" s="102"/>
      <c r="AR977" s="102"/>
      <c r="AS977" s="102"/>
      <c r="AT977" s="102"/>
      <c r="AU977" s="102"/>
      <c r="AV977" s="102"/>
      <c r="AW977" s="102"/>
    </row>
    <row r="978" spans="1:49">
      <c r="A978" s="8" t="str">
        <f>IF(L978="","",Formulario!B989)</f>
        <v/>
      </c>
      <c r="B978" s="119"/>
      <c r="C978" s="120"/>
      <c r="D978" s="121"/>
      <c r="E978" s="129" t="str">
        <f>IF(F978="","",Formulario!B989)</f>
        <v/>
      </c>
      <c r="F978" s="11" t="str">
        <f>TRIM(Formulario!D989)</f>
        <v/>
      </c>
      <c r="G978" s="11" t="str">
        <f>TRIM(Formulario!F989)</f>
        <v/>
      </c>
      <c r="H978" s="146" t="str">
        <f>IF(N978="",TRIM(Formulario!G989),TRIM(Formulario!G989)*N978)</f>
        <v/>
      </c>
      <c r="I978" s="107" t="str">
        <f>TRIM(Formulario!I989)</f>
        <v/>
      </c>
      <c r="J978" s="11" t="str">
        <f>TRIM(Formulario!J989)</f>
        <v/>
      </c>
      <c r="K978" s="11" t="str">
        <f>TRIM(Formulario!K989)</f>
        <v/>
      </c>
      <c r="L978" s="107" t="str">
        <f>TRIM(Formulario!L989)</f>
        <v/>
      </c>
      <c r="M978" s="107" t="str">
        <f>TRIM(Formulario!M989)</f>
        <v/>
      </c>
      <c r="N978" s="11" t="str">
        <f>TRIM(Formulario!H989)</f>
        <v/>
      </c>
      <c r="P978" s="17"/>
      <c r="Q978" s="104"/>
      <c r="R978" s="104"/>
      <c r="S978" s="117"/>
      <c r="T978" s="101"/>
      <c r="U978" s="101"/>
      <c r="V978" s="101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</row>
    <row r="979" spans="1:49">
      <c r="A979" s="8" t="str">
        <f>IF(L979="","",Formulario!B990)</f>
        <v/>
      </c>
      <c r="B979" s="119"/>
      <c r="C979" s="120"/>
      <c r="D979" s="121"/>
      <c r="E979" s="129" t="str">
        <f>IF(F979="","",Formulario!B990)</f>
        <v/>
      </c>
      <c r="F979" s="11" t="str">
        <f>TRIM(Formulario!D990)</f>
        <v/>
      </c>
      <c r="G979" s="11" t="str">
        <f>TRIM(Formulario!F990)</f>
        <v/>
      </c>
      <c r="H979" s="146" t="str">
        <f>IF(N979="",TRIM(Formulario!G990),TRIM(Formulario!G990)*N979)</f>
        <v/>
      </c>
      <c r="I979" s="107" t="str">
        <f>TRIM(Formulario!I990)</f>
        <v/>
      </c>
      <c r="J979" s="11" t="str">
        <f>TRIM(Formulario!J990)</f>
        <v/>
      </c>
      <c r="K979" s="11" t="str">
        <f>TRIM(Formulario!K990)</f>
        <v/>
      </c>
      <c r="L979" s="107" t="str">
        <f>TRIM(Formulario!L990)</f>
        <v/>
      </c>
      <c r="M979" s="107" t="str">
        <f>TRIM(Formulario!M990)</f>
        <v/>
      </c>
      <c r="N979" s="11" t="str">
        <f>TRIM(Formulario!H990)</f>
        <v/>
      </c>
      <c r="P979" s="17"/>
      <c r="Q979" s="104"/>
      <c r="R979" s="104"/>
      <c r="S979" s="117"/>
      <c r="T979" s="101"/>
      <c r="U979" s="101"/>
      <c r="V979" s="101"/>
      <c r="W979" s="102"/>
      <c r="X979" s="102"/>
      <c r="Y979" s="102"/>
      <c r="Z979" s="102"/>
      <c r="AA979" s="102"/>
      <c r="AB979" s="102"/>
      <c r="AC979" s="102"/>
      <c r="AD979" s="102"/>
      <c r="AE979" s="102"/>
      <c r="AF979" s="102"/>
      <c r="AG979" s="102"/>
      <c r="AH979" s="102"/>
      <c r="AI979" s="102"/>
      <c r="AJ979" s="102"/>
      <c r="AK979" s="102"/>
      <c r="AL979" s="102"/>
      <c r="AM979" s="102"/>
      <c r="AN979" s="102"/>
      <c r="AO979" s="102"/>
      <c r="AP979" s="102"/>
      <c r="AQ979" s="102"/>
      <c r="AR979" s="102"/>
      <c r="AS979" s="102"/>
      <c r="AT979" s="102"/>
      <c r="AU979" s="102"/>
      <c r="AV979" s="102"/>
      <c r="AW979" s="102"/>
    </row>
    <row r="980" spans="1:49">
      <c r="A980" s="8" t="str">
        <f>IF(L980="","",Formulario!B991)</f>
        <v/>
      </c>
      <c r="B980" s="119"/>
      <c r="C980" s="120"/>
      <c r="D980" s="121"/>
      <c r="E980" s="129" t="str">
        <f>IF(F980="","",Formulario!B991)</f>
        <v/>
      </c>
      <c r="F980" s="11" t="str">
        <f>TRIM(Formulario!D991)</f>
        <v/>
      </c>
      <c r="G980" s="11" t="str">
        <f>TRIM(Formulario!F991)</f>
        <v/>
      </c>
      <c r="H980" s="146" t="str">
        <f>IF(N980="",TRIM(Formulario!G991),TRIM(Formulario!G991)*N980)</f>
        <v/>
      </c>
      <c r="I980" s="107" t="str">
        <f>TRIM(Formulario!I991)</f>
        <v/>
      </c>
      <c r="J980" s="11" t="str">
        <f>TRIM(Formulario!J991)</f>
        <v/>
      </c>
      <c r="K980" s="11" t="str">
        <f>TRIM(Formulario!K991)</f>
        <v/>
      </c>
      <c r="L980" s="107" t="str">
        <f>TRIM(Formulario!L991)</f>
        <v/>
      </c>
      <c r="M980" s="107" t="str">
        <f>TRIM(Formulario!M991)</f>
        <v/>
      </c>
      <c r="N980" s="11" t="str">
        <f>TRIM(Formulario!H991)</f>
        <v/>
      </c>
      <c r="P980" s="17"/>
      <c r="Q980" s="104"/>
      <c r="R980" s="104"/>
      <c r="S980" s="117"/>
      <c r="T980" s="101"/>
      <c r="U980" s="101"/>
      <c r="V980" s="101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</row>
    <row r="981" spans="1:49">
      <c r="A981" s="8" t="str">
        <f>IF(L981="","",Formulario!B992)</f>
        <v/>
      </c>
      <c r="B981" s="119"/>
      <c r="C981" s="120"/>
      <c r="D981" s="121"/>
      <c r="E981" s="129" t="str">
        <f>IF(F981="","",Formulario!B992)</f>
        <v/>
      </c>
      <c r="F981" s="11" t="str">
        <f>TRIM(Formulario!D992)</f>
        <v/>
      </c>
      <c r="G981" s="11" t="str">
        <f>TRIM(Formulario!F992)</f>
        <v/>
      </c>
      <c r="H981" s="146" t="str">
        <f>IF(N981="",TRIM(Formulario!G992),TRIM(Formulario!G992)*N981)</f>
        <v/>
      </c>
      <c r="I981" s="107" t="str">
        <f>TRIM(Formulario!I992)</f>
        <v/>
      </c>
      <c r="J981" s="11" t="str">
        <f>TRIM(Formulario!J992)</f>
        <v/>
      </c>
      <c r="K981" s="11" t="str">
        <f>TRIM(Formulario!K992)</f>
        <v/>
      </c>
      <c r="L981" s="107" t="str">
        <f>TRIM(Formulario!L992)</f>
        <v/>
      </c>
      <c r="M981" s="107" t="str">
        <f>TRIM(Formulario!M992)</f>
        <v/>
      </c>
      <c r="N981" s="11" t="str">
        <f>TRIM(Formulario!H992)</f>
        <v/>
      </c>
      <c r="P981" s="17"/>
      <c r="Q981" s="104"/>
      <c r="R981" s="104"/>
      <c r="S981" s="117"/>
      <c r="T981" s="101"/>
      <c r="U981" s="101"/>
      <c r="V981" s="101"/>
      <c r="W981" s="102"/>
      <c r="X981" s="102"/>
      <c r="Y981" s="102"/>
      <c r="Z981" s="102"/>
      <c r="AA981" s="102"/>
      <c r="AB981" s="102"/>
      <c r="AC981" s="102"/>
      <c r="AD981" s="102"/>
      <c r="AE981" s="102"/>
      <c r="AF981" s="102"/>
      <c r="AG981" s="102"/>
      <c r="AH981" s="102"/>
      <c r="AI981" s="102"/>
      <c r="AJ981" s="102"/>
      <c r="AK981" s="102"/>
      <c r="AL981" s="102"/>
      <c r="AM981" s="102"/>
      <c r="AN981" s="102"/>
      <c r="AO981" s="102"/>
      <c r="AP981" s="102"/>
      <c r="AQ981" s="102"/>
      <c r="AR981" s="102"/>
      <c r="AS981" s="102"/>
      <c r="AT981" s="102"/>
      <c r="AU981" s="102"/>
      <c r="AV981" s="102"/>
      <c r="AW981" s="102"/>
    </row>
    <row r="982" spans="1:49">
      <c r="A982" s="8" t="str">
        <f>IF(L982="","",Formulario!B993)</f>
        <v/>
      </c>
      <c r="B982" s="119"/>
      <c r="C982" s="120"/>
      <c r="D982" s="121"/>
      <c r="E982" s="129" t="str">
        <f>IF(F982="","",Formulario!B993)</f>
        <v/>
      </c>
      <c r="F982" s="11" t="str">
        <f>TRIM(Formulario!D993)</f>
        <v/>
      </c>
      <c r="G982" s="11" t="str">
        <f>TRIM(Formulario!F993)</f>
        <v/>
      </c>
      <c r="H982" s="146" t="str">
        <f>IF(N982="",TRIM(Formulario!G993),TRIM(Formulario!G993)*N982)</f>
        <v/>
      </c>
      <c r="I982" s="107" t="str">
        <f>TRIM(Formulario!I993)</f>
        <v/>
      </c>
      <c r="J982" s="11" t="str">
        <f>TRIM(Formulario!J993)</f>
        <v/>
      </c>
      <c r="K982" s="11" t="str">
        <f>TRIM(Formulario!K993)</f>
        <v/>
      </c>
      <c r="L982" s="107" t="str">
        <f>TRIM(Formulario!L993)</f>
        <v/>
      </c>
      <c r="M982" s="107" t="str">
        <f>TRIM(Formulario!M993)</f>
        <v/>
      </c>
      <c r="N982" s="11" t="str">
        <f>TRIM(Formulario!H993)</f>
        <v/>
      </c>
      <c r="P982" s="17"/>
      <c r="Q982" s="104"/>
      <c r="R982" s="104"/>
      <c r="S982" s="117"/>
      <c r="T982" s="101"/>
      <c r="U982" s="101"/>
      <c r="V982" s="101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</row>
    <row r="983" spans="1:49">
      <c r="A983" s="8" t="str">
        <f>IF(L983="","",Formulario!B994)</f>
        <v/>
      </c>
      <c r="B983" s="119"/>
      <c r="C983" s="120"/>
      <c r="D983" s="121"/>
      <c r="E983" s="129" t="str">
        <f>IF(F983="","",Formulario!B994)</f>
        <v/>
      </c>
      <c r="F983" s="11" t="str">
        <f>TRIM(Formulario!D994)</f>
        <v/>
      </c>
      <c r="G983" s="11" t="str">
        <f>TRIM(Formulario!F994)</f>
        <v/>
      </c>
      <c r="H983" s="146" t="str">
        <f>IF(N983="",TRIM(Formulario!G994),TRIM(Formulario!G994)*N983)</f>
        <v/>
      </c>
      <c r="I983" s="107" t="str">
        <f>TRIM(Formulario!I994)</f>
        <v/>
      </c>
      <c r="J983" s="11" t="str">
        <f>TRIM(Formulario!J994)</f>
        <v/>
      </c>
      <c r="K983" s="11" t="str">
        <f>TRIM(Formulario!K994)</f>
        <v/>
      </c>
      <c r="L983" s="107" t="str">
        <f>TRIM(Formulario!L994)</f>
        <v/>
      </c>
      <c r="M983" s="107" t="str">
        <f>TRIM(Formulario!M994)</f>
        <v/>
      </c>
      <c r="N983" s="11" t="str">
        <f>TRIM(Formulario!H994)</f>
        <v/>
      </c>
      <c r="P983" s="17"/>
      <c r="Q983" s="104"/>
      <c r="R983" s="104"/>
      <c r="S983" s="117"/>
      <c r="T983" s="101"/>
      <c r="U983" s="101"/>
      <c r="V983" s="101"/>
      <c r="W983" s="102"/>
      <c r="X983" s="102"/>
      <c r="Y983" s="102"/>
      <c r="Z983" s="102"/>
      <c r="AA983" s="102"/>
      <c r="AB983" s="102"/>
      <c r="AC983" s="102"/>
      <c r="AD983" s="102"/>
      <c r="AE983" s="102"/>
      <c r="AF983" s="102"/>
      <c r="AG983" s="102"/>
      <c r="AH983" s="102"/>
      <c r="AI983" s="102"/>
      <c r="AJ983" s="102"/>
      <c r="AK983" s="102"/>
      <c r="AL983" s="102"/>
      <c r="AM983" s="102"/>
      <c r="AN983" s="102"/>
      <c r="AO983" s="102"/>
      <c r="AP983" s="102"/>
      <c r="AQ983" s="102"/>
      <c r="AR983" s="102"/>
      <c r="AS983" s="102"/>
      <c r="AT983" s="102"/>
      <c r="AU983" s="102"/>
      <c r="AV983" s="102"/>
      <c r="AW983" s="102"/>
    </row>
    <row r="984" spans="1:49">
      <c r="A984" s="8" t="str">
        <f>IF(L984="","",Formulario!B995)</f>
        <v/>
      </c>
      <c r="B984" s="119"/>
      <c r="C984" s="120"/>
      <c r="D984" s="121"/>
      <c r="E984" s="129" t="str">
        <f>IF(F984="","",Formulario!B995)</f>
        <v/>
      </c>
      <c r="F984" s="11" t="str">
        <f>TRIM(Formulario!D995)</f>
        <v/>
      </c>
      <c r="G984" s="11" t="str">
        <f>TRIM(Formulario!F995)</f>
        <v/>
      </c>
      <c r="H984" s="146" t="str">
        <f>IF(N984="",TRIM(Formulario!G995),TRIM(Formulario!G995)*N984)</f>
        <v/>
      </c>
      <c r="I984" s="107" t="str">
        <f>TRIM(Formulario!I995)</f>
        <v/>
      </c>
      <c r="J984" s="11" t="str">
        <f>TRIM(Formulario!J995)</f>
        <v/>
      </c>
      <c r="K984" s="11" t="str">
        <f>TRIM(Formulario!K995)</f>
        <v/>
      </c>
      <c r="L984" s="107" t="str">
        <f>TRIM(Formulario!L995)</f>
        <v/>
      </c>
      <c r="M984" s="107" t="str">
        <f>TRIM(Formulario!M995)</f>
        <v/>
      </c>
      <c r="N984" s="11" t="str">
        <f>TRIM(Formulario!H995)</f>
        <v/>
      </c>
      <c r="P984" s="17"/>
      <c r="Q984" s="104"/>
      <c r="R984" s="104"/>
      <c r="S984" s="117"/>
      <c r="T984" s="101"/>
      <c r="U984" s="101"/>
      <c r="V984" s="101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</row>
    <row r="985" spans="1:49">
      <c r="A985" s="8" t="str">
        <f>IF(L985="","",Formulario!B996)</f>
        <v/>
      </c>
      <c r="B985" s="119"/>
      <c r="C985" s="120"/>
      <c r="D985" s="121"/>
      <c r="E985" s="129" t="str">
        <f>IF(F985="","",Formulario!B996)</f>
        <v/>
      </c>
      <c r="F985" s="11" t="str">
        <f>TRIM(Formulario!D996)</f>
        <v/>
      </c>
      <c r="G985" s="11" t="str">
        <f>TRIM(Formulario!F996)</f>
        <v/>
      </c>
      <c r="H985" s="146" t="str">
        <f>IF(N985="",TRIM(Formulario!G996),TRIM(Formulario!G996)*N985)</f>
        <v/>
      </c>
      <c r="I985" s="107" t="str">
        <f>TRIM(Formulario!I996)</f>
        <v/>
      </c>
      <c r="J985" s="11" t="str">
        <f>TRIM(Formulario!J996)</f>
        <v/>
      </c>
      <c r="K985" s="11" t="str">
        <f>TRIM(Formulario!K996)</f>
        <v/>
      </c>
      <c r="L985" s="107" t="str">
        <f>TRIM(Formulario!L996)</f>
        <v/>
      </c>
      <c r="M985" s="107" t="str">
        <f>TRIM(Formulario!M996)</f>
        <v/>
      </c>
      <c r="N985" s="11" t="str">
        <f>TRIM(Formulario!H996)</f>
        <v/>
      </c>
      <c r="P985" s="17"/>
      <c r="Q985" s="104"/>
      <c r="R985" s="104"/>
      <c r="S985" s="117"/>
      <c r="T985" s="101"/>
      <c r="U985" s="101"/>
      <c r="V985" s="101"/>
      <c r="W985" s="102"/>
      <c r="X985" s="102"/>
      <c r="Y985" s="102"/>
      <c r="Z985" s="102"/>
      <c r="AA985" s="102"/>
      <c r="AB985" s="102"/>
      <c r="AC985" s="102"/>
      <c r="AD985" s="102"/>
      <c r="AE985" s="102"/>
      <c r="AF985" s="102"/>
      <c r="AG985" s="102"/>
      <c r="AH985" s="102"/>
      <c r="AI985" s="102"/>
      <c r="AJ985" s="102"/>
      <c r="AK985" s="102"/>
      <c r="AL985" s="102"/>
      <c r="AM985" s="102"/>
      <c r="AN985" s="102"/>
      <c r="AO985" s="102"/>
      <c r="AP985" s="102"/>
      <c r="AQ985" s="102"/>
      <c r="AR985" s="102"/>
      <c r="AS985" s="102"/>
      <c r="AT985" s="102"/>
      <c r="AU985" s="102"/>
      <c r="AV985" s="102"/>
      <c r="AW985" s="102"/>
    </row>
    <row r="986" spans="1:49">
      <c r="A986" s="8" t="str">
        <f>IF(L986="","",Formulario!B997)</f>
        <v/>
      </c>
      <c r="B986" s="119"/>
      <c r="C986" s="120"/>
      <c r="D986" s="121"/>
      <c r="E986" s="129" t="str">
        <f>IF(F986="","",Formulario!B997)</f>
        <v/>
      </c>
      <c r="F986" s="11" t="str">
        <f>TRIM(Formulario!D997)</f>
        <v/>
      </c>
      <c r="G986" s="11" t="str">
        <f>TRIM(Formulario!F997)</f>
        <v/>
      </c>
      <c r="H986" s="146" t="str">
        <f>IF(N986="",TRIM(Formulario!G997),TRIM(Formulario!G997)*N986)</f>
        <v/>
      </c>
      <c r="I986" s="107" t="str">
        <f>TRIM(Formulario!I997)</f>
        <v/>
      </c>
      <c r="J986" s="11" t="str">
        <f>TRIM(Formulario!J997)</f>
        <v/>
      </c>
      <c r="K986" s="11" t="str">
        <f>TRIM(Formulario!K997)</f>
        <v/>
      </c>
      <c r="L986" s="107" t="str">
        <f>TRIM(Formulario!L997)</f>
        <v/>
      </c>
      <c r="M986" s="107" t="str">
        <f>TRIM(Formulario!M997)</f>
        <v/>
      </c>
      <c r="N986" s="11" t="str">
        <f>TRIM(Formulario!H997)</f>
        <v/>
      </c>
      <c r="P986" s="17"/>
      <c r="Q986" s="104"/>
      <c r="R986" s="104"/>
      <c r="S986" s="117"/>
      <c r="T986" s="101"/>
      <c r="U986" s="101"/>
      <c r="V986" s="101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</row>
    <row r="987" spans="1:49">
      <c r="A987" s="8" t="str">
        <f>IF(L987="","",Formulario!B998)</f>
        <v/>
      </c>
      <c r="B987" s="119"/>
      <c r="C987" s="120"/>
      <c r="D987" s="121"/>
      <c r="E987" s="129" t="str">
        <f>IF(F987="","",Formulario!B998)</f>
        <v/>
      </c>
      <c r="F987" s="11" t="str">
        <f>TRIM(Formulario!D998)</f>
        <v/>
      </c>
      <c r="G987" s="11" t="str">
        <f>TRIM(Formulario!F998)</f>
        <v/>
      </c>
      <c r="H987" s="146" t="str">
        <f>IF(N987="",TRIM(Formulario!G998),TRIM(Formulario!G998)*N987)</f>
        <v/>
      </c>
      <c r="I987" s="107" t="str">
        <f>TRIM(Formulario!I998)</f>
        <v/>
      </c>
      <c r="J987" s="11" t="str">
        <f>TRIM(Formulario!J998)</f>
        <v/>
      </c>
      <c r="K987" s="11" t="str">
        <f>TRIM(Formulario!K998)</f>
        <v/>
      </c>
      <c r="L987" s="107" t="str">
        <f>TRIM(Formulario!L998)</f>
        <v/>
      </c>
      <c r="M987" s="107" t="str">
        <f>TRIM(Formulario!M998)</f>
        <v/>
      </c>
      <c r="N987" s="11" t="str">
        <f>TRIM(Formulario!H998)</f>
        <v/>
      </c>
      <c r="P987" s="17"/>
      <c r="Q987" s="104"/>
      <c r="R987" s="104"/>
      <c r="S987" s="117"/>
      <c r="T987" s="101"/>
      <c r="U987" s="101"/>
      <c r="V987" s="101"/>
      <c r="W987" s="102"/>
      <c r="X987" s="102"/>
      <c r="Y987" s="102"/>
      <c r="Z987" s="102"/>
      <c r="AA987" s="102"/>
      <c r="AB987" s="102"/>
      <c r="AC987" s="102"/>
      <c r="AD987" s="102"/>
      <c r="AE987" s="102"/>
      <c r="AF987" s="102"/>
      <c r="AG987" s="102"/>
      <c r="AH987" s="102"/>
      <c r="AI987" s="102"/>
      <c r="AJ987" s="102"/>
      <c r="AK987" s="102"/>
      <c r="AL987" s="102"/>
      <c r="AM987" s="102"/>
      <c r="AN987" s="102"/>
      <c r="AO987" s="102"/>
      <c r="AP987" s="102"/>
      <c r="AQ987" s="102"/>
      <c r="AR987" s="102"/>
      <c r="AS987" s="102"/>
      <c r="AT987" s="102"/>
      <c r="AU987" s="102"/>
      <c r="AV987" s="102"/>
      <c r="AW987" s="102"/>
    </row>
    <row r="988" spans="1:49">
      <c r="A988" s="8" t="str">
        <f>IF(L988="","",Formulario!B999)</f>
        <v/>
      </c>
      <c r="B988" s="119"/>
      <c r="C988" s="120"/>
      <c r="D988" s="121"/>
      <c r="E988" s="129" t="str">
        <f>IF(F988="","",Formulario!B999)</f>
        <v/>
      </c>
      <c r="F988" s="11" t="str">
        <f>TRIM(Formulario!D999)</f>
        <v/>
      </c>
      <c r="G988" s="11" t="str">
        <f>TRIM(Formulario!F999)</f>
        <v/>
      </c>
      <c r="H988" s="146" t="str">
        <f>IF(N988="",TRIM(Formulario!G999),TRIM(Formulario!G999)*N988)</f>
        <v/>
      </c>
      <c r="I988" s="107" t="str">
        <f>TRIM(Formulario!I999)</f>
        <v/>
      </c>
      <c r="J988" s="11" t="str">
        <f>TRIM(Formulario!J999)</f>
        <v/>
      </c>
      <c r="K988" s="11" t="str">
        <f>TRIM(Formulario!K999)</f>
        <v/>
      </c>
      <c r="L988" s="107" t="str">
        <f>TRIM(Formulario!L999)</f>
        <v/>
      </c>
      <c r="M988" s="107" t="str">
        <f>TRIM(Formulario!M999)</f>
        <v/>
      </c>
      <c r="N988" s="11" t="str">
        <f>TRIM(Formulario!H999)</f>
        <v/>
      </c>
      <c r="P988" s="17"/>
      <c r="Q988" s="104"/>
      <c r="R988" s="104"/>
      <c r="S988" s="117"/>
      <c r="T988" s="101"/>
      <c r="U988" s="101"/>
      <c r="V988" s="101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</row>
    <row r="989" spans="1:49">
      <c r="A989" s="8" t="str">
        <f>IF(L989="","",Formulario!B1000)</f>
        <v/>
      </c>
      <c r="B989" s="119"/>
      <c r="C989" s="120"/>
      <c r="D989" s="121"/>
      <c r="E989" s="129" t="str">
        <f>IF(F989="","",Formulario!B1000)</f>
        <v/>
      </c>
      <c r="F989" s="11" t="str">
        <f>TRIM(Formulario!D1000)</f>
        <v/>
      </c>
      <c r="G989" s="11" t="str">
        <f>TRIM(Formulario!F1000)</f>
        <v/>
      </c>
      <c r="H989" s="146" t="str">
        <f>IF(N989="",TRIM(Formulario!G1000),TRIM(Formulario!G1000)*N989)</f>
        <v/>
      </c>
      <c r="I989" s="107" t="str">
        <f>TRIM(Formulario!I1000)</f>
        <v/>
      </c>
      <c r="J989" s="11" t="str">
        <f>TRIM(Formulario!J1000)</f>
        <v/>
      </c>
      <c r="K989" s="11" t="str">
        <f>TRIM(Formulario!K1000)</f>
        <v/>
      </c>
      <c r="L989" s="107" t="str">
        <f>TRIM(Formulario!L1000)</f>
        <v/>
      </c>
      <c r="M989" s="107" t="str">
        <f>TRIM(Formulario!M1000)</f>
        <v/>
      </c>
      <c r="N989" s="11" t="str">
        <f>TRIM(Formulario!H1000)</f>
        <v/>
      </c>
      <c r="P989" s="17"/>
      <c r="Q989" s="104"/>
      <c r="R989" s="104"/>
      <c r="S989" s="117"/>
      <c r="T989" s="101"/>
      <c r="U989" s="101"/>
      <c r="V989" s="101"/>
      <c r="W989" s="102"/>
      <c r="X989" s="102"/>
      <c r="Y989" s="102"/>
      <c r="Z989" s="102"/>
      <c r="AA989" s="102"/>
      <c r="AB989" s="102"/>
      <c r="AC989" s="102"/>
      <c r="AD989" s="102"/>
      <c r="AE989" s="102"/>
      <c r="AF989" s="102"/>
      <c r="AG989" s="102"/>
      <c r="AH989" s="102"/>
      <c r="AI989" s="102"/>
      <c r="AJ989" s="102"/>
      <c r="AK989" s="102"/>
      <c r="AL989" s="102"/>
      <c r="AM989" s="102"/>
      <c r="AN989" s="102"/>
      <c r="AO989" s="102"/>
      <c r="AP989" s="102"/>
      <c r="AQ989" s="102"/>
      <c r="AR989" s="102"/>
      <c r="AS989" s="102"/>
      <c r="AT989" s="102"/>
      <c r="AU989" s="102"/>
      <c r="AV989" s="102"/>
      <c r="AW989" s="102"/>
    </row>
    <row r="990" spans="1:49">
      <c r="A990" s="8" t="str">
        <f>IF(L990="","",Formulario!B1001)</f>
        <v/>
      </c>
      <c r="B990" s="119"/>
      <c r="C990" s="120"/>
      <c r="D990" s="121"/>
      <c r="E990" s="129" t="str">
        <f>IF(F990="","",Formulario!B1001)</f>
        <v/>
      </c>
      <c r="F990" s="11" t="str">
        <f>TRIM(Formulario!D1001)</f>
        <v/>
      </c>
      <c r="G990" s="11" t="str">
        <f>TRIM(Formulario!F1001)</f>
        <v/>
      </c>
      <c r="H990" s="146" t="str">
        <f>IF(N990="",TRIM(Formulario!G1001),TRIM(Formulario!G1001)*N990)</f>
        <v/>
      </c>
      <c r="I990" s="107" t="str">
        <f>TRIM(Formulario!I1001)</f>
        <v/>
      </c>
      <c r="J990" s="11" t="str">
        <f>TRIM(Formulario!J1001)</f>
        <v/>
      </c>
      <c r="K990" s="11" t="str">
        <f>TRIM(Formulario!K1001)</f>
        <v/>
      </c>
      <c r="L990" s="107" t="str">
        <f>TRIM(Formulario!L1001)</f>
        <v/>
      </c>
      <c r="M990" s="107" t="str">
        <f>TRIM(Formulario!M1001)</f>
        <v/>
      </c>
      <c r="N990" s="11" t="str">
        <f>TRIM(Formulario!H1001)</f>
        <v/>
      </c>
      <c r="P990" s="17"/>
      <c r="Q990" s="104"/>
      <c r="R990" s="104"/>
      <c r="S990" s="117"/>
      <c r="T990" s="101"/>
      <c r="U990" s="101"/>
      <c r="V990" s="101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</row>
    <row r="991" spans="1:49">
      <c r="A991" s="8" t="str">
        <f>IF(L991="","",Formulario!B1002)</f>
        <v/>
      </c>
      <c r="B991" s="119"/>
      <c r="C991" s="120"/>
      <c r="D991" s="121"/>
      <c r="E991" s="129" t="str">
        <f>IF(F991="","",Formulario!B1002)</f>
        <v/>
      </c>
      <c r="F991" s="11" t="str">
        <f>TRIM(Formulario!D1002)</f>
        <v/>
      </c>
      <c r="G991" s="11" t="str">
        <f>TRIM(Formulario!F1002)</f>
        <v/>
      </c>
      <c r="H991" s="146" t="str">
        <f>IF(N991="",TRIM(Formulario!G1002),TRIM(Formulario!G1002)*N991)</f>
        <v/>
      </c>
      <c r="I991" s="107" t="str">
        <f>TRIM(Formulario!I1002)</f>
        <v/>
      </c>
      <c r="J991" s="11" t="str">
        <f>TRIM(Formulario!J1002)</f>
        <v/>
      </c>
      <c r="K991" s="11" t="str">
        <f>TRIM(Formulario!K1002)</f>
        <v/>
      </c>
      <c r="L991" s="107" t="str">
        <f>TRIM(Formulario!L1002)</f>
        <v/>
      </c>
      <c r="M991" s="107" t="str">
        <f>TRIM(Formulario!M1002)</f>
        <v/>
      </c>
      <c r="N991" s="11" t="str">
        <f>TRIM(Formulario!H1002)</f>
        <v/>
      </c>
      <c r="P991" s="17"/>
      <c r="Q991" s="104"/>
      <c r="R991" s="104"/>
      <c r="S991" s="117"/>
      <c r="T991" s="101"/>
      <c r="U991" s="101"/>
      <c r="V991" s="101"/>
      <c r="W991" s="102"/>
      <c r="X991" s="102"/>
      <c r="Y991" s="102"/>
      <c r="Z991" s="102"/>
      <c r="AA991" s="102"/>
      <c r="AB991" s="102"/>
      <c r="AC991" s="102"/>
      <c r="AD991" s="102"/>
      <c r="AE991" s="102"/>
      <c r="AF991" s="102"/>
      <c r="AG991" s="102"/>
      <c r="AH991" s="102"/>
      <c r="AI991" s="102"/>
      <c r="AJ991" s="102"/>
      <c r="AK991" s="102"/>
      <c r="AL991" s="102"/>
      <c r="AM991" s="102"/>
      <c r="AN991" s="102"/>
      <c r="AO991" s="102"/>
      <c r="AP991" s="102"/>
      <c r="AQ991" s="102"/>
      <c r="AR991" s="102"/>
      <c r="AS991" s="102"/>
      <c r="AT991" s="102"/>
      <c r="AU991" s="102"/>
      <c r="AV991" s="102"/>
      <c r="AW991" s="102"/>
    </row>
    <row r="992" spans="1:49">
      <c r="A992" s="8" t="str">
        <f>IF(L992="","",Formulario!B1003)</f>
        <v/>
      </c>
      <c r="B992" s="119"/>
      <c r="C992" s="120"/>
      <c r="D992" s="121"/>
      <c r="E992" s="129" t="str">
        <f>IF(F992="","",Formulario!B1003)</f>
        <v/>
      </c>
      <c r="F992" s="11" t="str">
        <f>TRIM(Formulario!D1003)</f>
        <v/>
      </c>
      <c r="G992" s="11" t="str">
        <f>TRIM(Formulario!F1003)</f>
        <v/>
      </c>
      <c r="H992" s="146" t="str">
        <f>IF(N992="",TRIM(Formulario!G1003),TRIM(Formulario!G1003)*N992)</f>
        <v/>
      </c>
      <c r="I992" s="107" t="str">
        <f>TRIM(Formulario!I1003)</f>
        <v/>
      </c>
      <c r="J992" s="11" t="str">
        <f>TRIM(Formulario!J1003)</f>
        <v/>
      </c>
      <c r="K992" s="11" t="str">
        <f>TRIM(Formulario!K1003)</f>
        <v/>
      </c>
      <c r="L992" s="107" t="str">
        <f>TRIM(Formulario!L1003)</f>
        <v/>
      </c>
      <c r="M992" s="107" t="str">
        <f>TRIM(Formulario!M1003)</f>
        <v/>
      </c>
      <c r="N992" s="11" t="str">
        <f>TRIM(Formulario!H1003)</f>
        <v/>
      </c>
      <c r="P992" s="17"/>
      <c r="Q992" s="104"/>
      <c r="R992" s="104"/>
      <c r="S992" s="117"/>
      <c r="T992" s="101"/>
      <c r="U992" s="101"/>
      <c r="V992" s="101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</row>
    <row r="993" spans="1:49">
      <c r="A993" s="8" t="str">
        <f>IF(L993="","",Formulario!B1004)</f>
        <v/>
      </c>
      <c r="B993" s="119"/>
      <c r="C993" s="120"/>
      <c r="D993" s="121"/>
      <c r="E993" s="129" t="str">
        <f>IF(F993="","",Formulario!B1004)</f>
        <v/>
      </c>
      <c r="F993" s="11" t="str">
        <f>TRIM(Formulario!D1004)</f>
        <v/>
      </c>
      <c r="G993" s="11" t="str">
        <f>TRIM(Formulario!F1004)</f>
        <v/>
      </c>
      <c r="H993" s="146" t="str">
        <f>IF(N993="",TRIM(Formulario!G1004),TRIM(Formulario!G1004)*N993)</f>
        <v/>
      </c>
      <c r="I993" s="107" t="str">
        <f>TRIM(Formulario!I1004)</f>
        <v/>
      </c>
      <c r="J993" s="11" t="str">
        <f>TRIM(Formulario!J1004)</f>
        <v/>
      </c>
      <c r="K993" s="11" t="str">
        <f>TRIM(Formulario!K1004)</f>
        <v/>
      </c>
      <c r="L993" s="107" t="str">
        <f>TRIM(Formulario!L1004)</f>
        <v/>
      </c>
      <c r="M993" s="107" t="str">
        <f>TRIM(Formulario!M1004)</f>
        <v/>
      </c>
      <c r="N993" s="11" t="str">
        <f>TRIM(Formulario!H1004)</f>
        <v/>
      </c>
      <c r="P993" s="17"/>
      <c r="Q993" s="104"/>
      <c r="R993" s="104"/>
      <c r="S993" s="117"/>
      <c r="T993" s="101"/>
      <c r="U993" s="101"/>
      <c r="V993" s="101"/>
      <c r="W993" s="102"/>
      <c r="X993" s="102"/>
      <c r="Y993" s="102"/>
      <c r="Z993" s="102"/>
      <c r="AA993" s="102"/>
      <c r="AB993" s="102"/>
      <c r="AC993" s="102"/>
      <c r="AD993" s="102"/>
      <c r="AE993" s="102"/>
      <c r="AF993" s="102"/>
      <c r="AG993" s="102"/>
      <c r="AH993" s="102"/>
      <c r="AI993" s="102"/>
      <c r="AJ993" s="102"/>
      <c r="AK993" s="102"/>
      <c r="AL993" s="102"/>
      <c r="AM993" s="102"/>
      <c r="AN993" s="102"/>
      <c r="AO993" s="102"/>
      <c r="AP993" s="102"/>
      <c r="AQ993" s="102"/>
      <c r="AR993" s="102"/>
      <c r="AS993" s="102"/>
      <c r="AT993" s="102"/>
      <c r="AU993" s="102"/>
      <c r="AV993" s="102"/>
      <c r="AW993" s="102"/>
    </row>
    <row r="994" spans="1:49">
      <c r="A994" s="8" t="str">
        <f>IF(L994="","",Formulario!B1005)</f>
        <v/>
      </c>
      <c r="B994" s="119"/>
      <c r="C994" s="120"/>
      <c r="D994" s="121"/>
      <c r="E994" s="129" t="str">
        <f>IF(F994="","",Formulario!B1005)</f>
        <v/>
      </c>
      <c r="F994" s="11" t="str">
        <f>TRIM(Formulario!D1005)</f>
        <v/>
      </c>
      <c r="G994" s="11" t="str">
        <f>TRIM(Formulario!F1005)</f>
        <v/>
      </c>
      <c r="H994" s="146" t="str">
        <f>IF(N994="",TRIM(Formulario!G1005),TRIM(Formulario!G1005)*N994)</f>
        <v/>
      </c>
      <c r="I994" s="107" t="str">
        <f>TRIM(Formulario!I1005)</f>
        <v/>
      </c>
      <c r="J994" s="11" t="str">
        <f>TRIM(Formulario!J1005)</f>
        <v/>
      </c>
      <c r="K994" s="11" t="str">
        <f>TRIM(Formulario!K1005)</f>
        <v/>
      </c>
      <c r="L994" s="107" t="str">
        <f>TRIM(Formulario!L1005)</f>
        <v/>
      </c>
      <c r="M994" s="107" t="str">
        <f>TRIM(Formulario!M1005)</f>
        <v/>
      </c>
      <c r="N994" s="11" t="str">
        <f>TRIM(Formulario!H1005)</f>
        <v/>
      </c>
      <c r="P994" s="17"/>
      <c r="Q994" s="104"/>
      <c r="R994" s="104"/>
      <c r="S994" s="117"/>
      <c r="T994" s="101"/>
      <c r="U994" s="101"/>
      <c r="V994" s="101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</row>
    <row r="995" spans="1:49">
      <c r="A995" s="8" t="str">
        <f>IF(L995="","",Formulario!B1006)</f>
        <v/>
      </c>
      <c r="B995" s="119"/>
      <c r="C995" s="120"/>
      <c r="D995" s="121"/>
      <c r="E995" s="129" t="str">
        <f>IF(F995="","",Formulario!B1006)</f>
        <v/>
      </c>
      <c r="F995" s="11" t="str">
        <f>TRIM(Formulario!D1006)</f>
        <v/>
      </c>
      <c r="G995" s="11" t="str">
        <f>TRIM(Formulario!F1006)</f>
        <v/>
      </c>
      <c r="H995" s="146" t="str">
        <f>IF(N995="",TRIM(Formulario!G1006),TRIM(Formulario!G1006)*N995)</f>
        <v/>
      </c>
      <c r="I995" s="107" t="str">
        <f>TRIM(Formulario!I1006)</f>
        <v/>
      </c>
      <c r="J995" s="11" t="str">
        <f>TRIM(Formulario!J1006)</f>
        <v/>
      </c>
      <c r="K995" s="11" t="str">
        <f>TRIM(Formulario!K1006)</f>
        <v/>
      </c>
      <c r="L995" s="107" t="str">
        <f>TRIM(Formulario!L1006)</f>
        <v/>
      </c>
      <c r="M995" s="107" t="str">
        <f>TRIM(Formulario!M1006)</f>
        <v/>
      </c>
      <c r="N995" s="11" t="str">
        <f>TRIM(Formulario!H1006)</f>
        <v/>
      </c>
      <c r="P995" s="17"/>
      <c r="Q995" s="104"/>
      <c r="R995" s="104"/>
      <c r="S995" s="117"/>
      <c r="T995" s="101"/>
      <c r="U995" s="101"/>
      <c r="V995" s="101"/>
      <c r="W995" s="102"/>
      <c r="X995" s="102"/>
      <c r="Y995" s="102"/>
      <c r="Z995" s="102"/>
      <c r="AA995" s="102"/>
      <c r="AB995" s="102"/>
      <c r="AC995" s="102"/>
      <c r="AD995" s="102"/>
      <c r="AE995" s="102"/>
      <c r="AF995" s="102"/>
      <c r="AG995" s="102"/>
      <c r="AH995" s="102"/>
      <c r="AI995" s="102"/>
      <c r="AJ995" s="102"/>
      <c r="AK995" s="102"/>
      <c r="AL995" s="102"/>
      <c r="AM995" s="102"/>
      <c r="AN995" s="102"/>
      <c r="AO995" s="102"/>
      <c r="AP995" s="102"/>
      <c r="AQ995" s="102"/>
      <c r="AR995" s="102"/>
      <c r="AS995" s="102"/>
      <c r="AT995" s="102"/>
      <c r="AU995" s="102"/>
      <c r="AV995" s="102"/>
      <c r="AW995" s="102"/>
    </row>
    <row r="996" spans="1:49">
      <c r="A996" s="8" t="str">
        <f>IF(L996="","",Formulario!B1007)</f>
        <v/>
      </c>
      <c r="B996" s="119"/>
      <c r="C996" s="120"/>
      <c r="D996" s="121"/>
      <c r="E996" s="129" t="str">
        <f>IF(F996="","",Formulario!B1007)</f>
        <v/>
      </c>
      <c r="F996" s="11" t="str">
        <f>TRIM(Formulario!D1007)</f>
        <v/>
      </c>
      <c r="G996" s="11" t="str">
        <f>TRIM(Formulario!F1007)</f>
        <v/>
      </c>
      <c r="H996" s="146" t="str">
        <f>IF(N996="",TRIM(Formulario!G1007),TRIM(Formulario!G1007)*N996)</f>
        <v/>
      </c>
      <c r="I996" s="107" t="str">
        <f>TRIM(Formulario!I1007)</f>
        <v/>
      </c>
      <c r="J996" s="11" t="str">
        <f>TRIM(Formulario!J1007)</f>
        <v/>
      </c>
      <c r="K996" s="11" t="str">
        <f>TRIM(Formulario!K1007)</f>
        <v/>
      </c>
      <c r="L996" s="107" t="str">
        <f>TRIM(Formulario!L1007)</f>
        <v/>
      </c>
      <c r="M996" s="107" t="str">
        <f>TRIM(Formulario!M1007)</f>
        <v/>
      </c>
      <c r="N996" s="11" t="str">
        <f>TRIM(Formulario!H1007)</f>
        <v/>
      </c>
      <c r="P996" s="17"/>
      <c r="Q996" s="104"/>
      <c r="R996" s="104"/>
      <c r="S996" s="117"/>
      <c r="T996" s="101"/>
      <c r="U996" s="101"/>
      <c r="V996" s="101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</row>
    <row r="997" spans="1:49">
      <c r="A997" s="8" t="str">
        <f>IF(L997="","",Formulario!B1008)</f>
        <v/>
      </c>
      <c r="B997" s="119"/>
      <c r="C997" s="120"/>
      <c r="D997" s="121"/>
      <c r="E997" s="129" t="str">
        <f>IF(F997="","",Formulario!B1008)</f>
        <v/>
      </c>
      <c r="F997" s="11" t="str">
        <f>TRIM(Formulario!D1008)</f>
        <v/>
      </c>
      <c r="G997" s="11" t="str">
        <f>TRIM(Formulario!F1008)</f>
        <v/>
      </c>
      <c r="H997" s="146" t="str">
        <f>IF(N997="",TRIM(Formulario!G1008),TRIM(Formulario!G1008)*N997)</f>
        <v/>
      </c>
      <c r="I997" s="107" t="str">
        <f>TRIM(Formulario!I1008)</f>
        <v/>
      </c>
      <c r="J997" s="11" t="str">
        <f>TRIM(Formulario!J1008)</f>
        <v/>
      </c>
      <c r="K997" s="11" t="str">
        <f>TRIM(Formulario!K1008)</f>
        <v/>
      </c>
      <c r="L997" s="107" t="str">
        <f>TRIM(Formulario!L1008)</f>
        <v/>
      </c>
      <c r="M997" s="107" t="str">
        <f>TRIM(Formulario!M1008)</f>
        <v/>
      </c>
      <c r="N997" s="11" t="str">
        <f>TRIM(Formulario!H1008)</f>
        <v/>
      </c>
      <c r="P997" s="17"/>
      <c r="Q997" s="104"/>
      <c r="R997" s="104"/>
      <c r="S997" s="117"/>
      <c r="T997" s="101"/>
      <c r="U997" s="101"/>
      <c r="V997" s="101"/>
      <c r="W997" s="102"/>
      <c r="X997" s="102"/>
      <c r="Y997" s="102"/>
      <c r="Z997" s="102"/>
      <c r="AA997" s="102"/>
      <c r="AB997" s="102"/>
      <c r="AC997" s="102"/>
      <c r="AD997" s="102"/>
      <c r="AE997" s="102"/>
      <c r="AF997" s="102"/>
      <c r="AG997" s="102"/>
      <c r="AH997" s="102"/>
      <c r="AI997" s="102"/>
      <c r="AJ997" s="102"/>
      <c r="AK997" s="102"/>
      <c r="AL997" s="102"/>
      <c r="AM997" s="102"/>
      <c r="AN997" s="102"/>
      <c r="AO997" s="102"/>
      <c r="AP997" s="102"/>
      <c r="AQ997" s="102"/>
      <c r="AR997" s="102"/>
      <c r="AS997" s="102"/>
      <c r="AT997" s="102"/>
      <c r="AU997" s="102"/>
      <c r="AV997" s="102"/>
      <c r="AW997" s="102"/>
    </row>
    <row r="998" spans="1:49">
      <c r="A998" s="8" t="str">
        <f>IF(L998="","",Formulario!B1009)</f>
        <v/>
      </c>
      <c r="B998" s="119"/>
      <c r="C998" s="120"/>
      <c r="D998" s="121"/>
      <c r="E998" s="129" t="str">
        <f>IF(F998="","",Formulario!B1009)</f>
        <v/>
      </c>
      <c r="F998" s="11" t="str">
        <f>TRIM(Formulario!D1009)</f>
        <v/>
      </c>
      <c r="G998" s="11" t="str">
        <f>TRIM(Formulario!F1009)</f>
        <v/>
      </c>
      <c r="H998" s="146" t="str">
        <f>IF(N998="",TRIM(Formulario!G1009),TRIM(Formulario!G1009)*N998)</f>
        <v/>
      </c>
      <c r="I998" s="107" t="str">
        <f>TRIM(Formulario!I1009)</f>
        <v/>
      </c>
      <c r="J998" s="11" t="str">
        <f>TRIM(Formulario!J1009)</f>
        <v/>
      </c>
      <c r="K998" s="11" t="str">
        <f>TRIM(Formulario!K1009)</f>
        <v/>
      </c>
      <c r="L998" s="107" t="str">
        <f>TRIM(Formulario!L1009)</f>
        <v/>
      </c>
      <c r="M998" s="107" t="str">
        <f>TRIM(Formulario!M1009)</f>
        <v/>
      </c>
      <c r="N998" s="11" t="str">
        <f>TRIM(Formulario!H1009)</f>
        <v/>
      </c>
      <c r="P998" s="17"/>
      <c r="Q998" s="104"/>
      <c r="R998" s="104"/>
      <c r="S998" s="117"/>
      <c r="T998" s="101"/>
      <c r="U998" s="101"/>
      <c r="V998" s="101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</row>
    <row r="999" spans="1:49">
      <c r="A999" s="8" t="str">
        <f>IF(L999="","",Formulario!B1010)</f>
        <v/>
      </c>
      <c r="B999" s="119"/>
      <c r="C999" s="120"/>
      <c r="D999" s="121"/>
      <c r="E999" s="129" t="str">
        <f>IF(F999="","",Formulario!B1010)</f>
        <v/>
      </c>
      <c r="F999" s="11" t="str">
        <f>TRIM(Formulario!D1010)</f>
        <v/>
      </c>
      <c r="G999" s="11" t="str">
        <f>TRIM(Formulario!F1010)</f>
        <v/>
      </c>
      <c r="H999" s="146" t="str">
        <f>IF(N999="",TRIM(Formulario!G1010),TRIM(Formulario!G1010)*N999)</f>
        <v/>
      </c>
      <c r="I999" s="107" t="str">
        <f>TRIM(Formulario!I1010)</f>
        <v/>
      </c>
      <c r="J999" s="11" t="str">
        <f>TRIM(Formulario!J1010)</f>
        <v/>
      </c>
      <c r="K999" s="11" t="str">
        <f>TRIM(Formulario!K1010)</f>
        <v/>
      </c>
      <c r="L999" s="107" t="str">
        <f>TRIM(Formulario!L1010)</f>
        <v/>
      </c>
      <c r="M999" s="107" t="str">
        <f>TRIM(Formulario!M1010)</f>
        <v/>
      </c>
      <c r="N999" s="11" t="str">
        <f>TRIM(Formulario!H1010)</f>
        <v/>
      </c>
      <c r="P999" s="17"/>
      <c r="Q999" s="104"/>
      <c r="R999" s="104"/>
      <c r="S999" s="117"/>
      <c r="T999" s="101"/>
      <c r="U999" s="101"/>
      <c r="V999" s="101"/>
      <c r="W999" s="102"/>
      <c r="X999" s="102"/>
      <c r="Y999" s="102"/>
      <c r="Z999" s="102"/>
      <c r="AA999" s="102"/>
      <c r="AB999" s="102"/>
      <c r="AC999" s="102"/>
      <c r="AD999" s="102"/>
      <c r="AE999" s="102"/>
      <c r="AF999" s="102"/>
      <c r="AG999" s="102"/>
      <c r="AH999" s="102"/>
      <c r="AI999" s="102"/>
      <c r="AJ999" s="102"/>
      <c r="AK999" s="102"/>
      <c r="AL999" s="102"/>
      <c r="AM999" s="102"/>
      <c r="AN999" s="102"/>
      <c r="AO999" s="102"/>
      <c r="AP999" s="102"/>
      <c r="AQ999" s="102"/>
      <c r="AR999" s="102"/>
      <c r="AS999" s="102"/>
      <c r="AT999" s="102"/>
      <c r="AU999" s="102"/>
      <c r="AV999" s="102"/>
      <c r="AW999" s="102"/>
    </row>
    <row r="1000" spans="1:49">
      <c r="A1000" s="8" t="str">
        <f>IF(L1000="","",Formulario!B1011)</f>
        <v/>
      </c>
      <c r="B1000" s="119"/>
      <c r="C1000" s="120"/>
      <c r="D1000" s="121"/>
      <c r="E1000" s="129" t="str">
        <f>IF(F1000="","",Formulario!B1011)</f>
        <v/>
      </c>
      <c r="F1000" s="11" t="str">
        <f>TRIM(Formulario!D1011)</f>
        <v/>
      </c>
      <c r="G1000" s="11" t="str">
        <f>TRIM(Formulario!F1011)</f>
        <v/>
      </c>
      <c r="H1000" s="146" t="str">
        <f>IF(N1000="",TRIM(Formulario!G1011),TRIM(Formulario!G1011)*N1000)</f>
        <v/>
      </c>
      <c r="I1000" s="107" t="str">
        <f>TRIM(Formulario!I1011)</f>
        <v/>
      </c>
      <c r="J1000" s="11" t="str">
        <f>TRIM(Formulario!J1011)</f>
        <v/>
      </c>
      <c r="K1000" s="11" t="str">
        <f>TRIM(Formulario!K1011)</f>
        <v/>
      </c>
      <c r="L1000" s="107" t="str">
        <f>TRIM(Formulario!L1011)</f>
        <v/>
      </c>
      <c r="M1000" s="107" t="str">
        <f>TRIM(Formulario!M1011)</f>
        <v/>
      </c>
      <c r="N1000" s="11" t="str">
        <f>TRIM(Formulario!H1011)</f>
        <v/>
      </c>
      <c r="P1000" s="17"/>
      <c r="Q1000" s="104"/>
      <c r="R1000" s="104"/>
      <c r="S1000" s="117"/>
      <c r="T1000" s="101"/>
      <c r="U1000" s="101"/>
      <c r="V1000" s="101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</row>
    <row r="1001" spans="1:49">
      <c r="C1001" s="120"/>
      <c r="J1001" s="8"/>
      <c r="K1001" s="8"/>
      <c r="P1001" s="17"/>
      <c r="Q1001" s="104"/>
      <c r="R1001" s="104"/>
      <c r="S1001" s="117"/>
      <c r="T1001" s="101"/>
      <c r="U1001" s="101"/>
      <c r="V1001" s="101"/>
      <c r="W1001" s="102"/>
      <c r="X1001" s="102"/>
      <c r="Y1001" s="102"/>
      <c r="Z1001" s="102"/>
      <c r="AA1001" s="102"/>
    </row>
    <row r="1002" spans="1:49">
      <c r="C1002" s="120"/>
      <c r="Q1002" s="102"/>
      <c r="R1002" s="116"/>
      <c r="S1002" s="117"/>
      <c r="T1002" s="101"/>
      <c r="U1002" s="101"/>
      <c r="V1002" s="101"/>
      <c r="W1002" s="102"/>
      <c r="X1002" s="102"/>
      <c r="Y1002" s="102"/>
      <c r="Z1002" s="102"/>
      <c r="AA1002" s="102"/>
    </row>
    <row r="1003" spans="1:49">
      <c r="C1003" s="120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25"/>
  <sheetViews>
    <sheetView workbookViewId="0">
      <selection activeCell="B20" sqref="B20"/>
    </sheetView>
  </sheetViews>
  <sheetFormatPr baseColWidth="10" defaultRowHeight="15"/>
  <cols>
    <col min="1" max="1" width="28.85546875" customWidth="1"/>
  </cols>
  <sheetData>
    <row r="1" spans="1:3">
      <c r="A1" s="4" t="s">
        <v>23</v>
      </c>
      <c r="C1" t="s">
        <v>72</v>
      </c>
    </row>
    <row r="2" spans="1:3">
      <c r="A2" t="s">
        <v>22</v>
      </c>
    </row>
    <row r="3" spans="1:3">
      <c r="A3" t="s">
        <v>3</v>
      </c>
    </row>
    <row r="4" spans="1:3">
      <c r="A4" t="s">
        <v>4</v>
      </c>
    </row>
    <row r="5" spans="1:3">
      <c r="A5" t="s">
        <v>11</v>
      </c>
    </row>
    <row r="6" spans="1:3">
      <c r="A6" t="s">
        <v>5</v>
      </c>
    </row>
    <row r="7" spans="1:3">
      <c r="A7" t="s">
        <v>12</v>
      </c>
    </row>
    <row r="8" spans="1:3">
      <c r="A8" t="s">
        <v>13</v>
      </c>
    </row>
    <row r="9" spans="1:3">
      <c r="A9" t="s">
        <v>6</v>
      </c>
    </row>
    <row r="10" spans="1:3">
      <c r="A10" t="s">
        <v>14</v>
      </c>
    </row>
    <row r="11" spans="1:3">
      <c r="A11" t="s">
        <v>15</v>
      </c>
    </row>
    <row r="12" spans="1:3">
      <c r="A12" t="s">
        <v>16</v>
      </c>
    </row>
    <row r="13" spans="1:3">
      <c r="A13" t="s">
        <v>17</v>
      </c>
    </row>
    <row r="14" spans="1:3">
      <c r="A14" t="s">
        <v>7</v>
      </c>
    </row>
    <row r="15" spans="1:3">
      <c r="A15" t="s">
        <v>18</v>
      </c>
    </row>
    <row r="16" spans="1:3">
      <c r="A16" t="s">
        <v>19</v>
      </c>
    </row>
    <row r="17" spans="1:1">
      <c r="A17" t="s">
        <v>8</v>
      </c>
    </row>
    <row r="18" spans="1:1">
      <c r="A18" t="s">
        <v>9</v>
      </c>
    </row>
    <row r="19" spans="1:1">
      <c r="A19" t="s">
        <v>20</v>
      </c>
    </row>
    <row r="20" spans="1:1">
      <c r="A20" t="s">
        <v>21</v>
      </c>
    </row>
    <row r="21" spans="1:1">
      <c r="A21" t="s">
        <v>10</v>
      </c>
    </row>
    <row r="22" spans="1:1" s="6" customFormat="1">
      <c r="A22" s="6" t="s">
        <v>78</v>
      </c>
    </row>
    <row r="23" spans="1:1" s="6" customFormat="1">
      <c r="A23" s="6" t="s">
        <v>79</v>
      </c>
    </row>
    <row r="24" spans="1:1">
      <c r="A24" t="s">
        <v>24</v>
      </c>
    </row>
    <row r="25" spans="1:1">
      <c r="A25" s="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L29"/>
  <sheetViews>
    <sheetView zoomScale="85" zoomScaleNormal="85" workbookViewId="0">
      <selection activeCell="F1" sqref="F1"/>
    </sheetView>
  </sheetViews>
  <sheetFormatPr baseColWidth="10" defaultRowHeight="15"/>
  <cols>
    <col min="2" max="2" width="32.42578125" bestFit="1" customWidth="1"/>
    <col min="3" max="3" width="1.7109375" customWidth="1"/>
    <col min="4" max="4" width="25" customWidth="1"/>
    <col min="5" max="5" width="2.140625" customWidth="1"/>
    <col min="6" max="6" width="28" customWidth="1"/>
    <col min="7" max="7" width="28" style="6" customWidth="1"/>
    <col min="8" max="8" width="1.7109375" customWidth="1"/>
  </cols>
  <sheetData>
    <row r="1" spans="2:12">
      <c r="B1" t="s">
        <v>27</v>
      </c>
      <c r="D1" t="s">
        <v>26</v>
      </c>
      <c r="F1" t="s">
        <v>38</v>
      </c>
      <c r="I1" t="s">
        <v>75</v>
      </c>
      <c r="J1" t="s">
        <v>76</v>
      </c>
      <c r="L1" t="s">
        <v>80</v>
      </c>
    </row>
    <row r="2" spans="2:12">
      <c r="B2" t="s">
        <v>25</v>
      </c>
      <c r="D2" s="13" t="s">
        <v>37</v>
      </c>
      <c r="F2" s="13" t="s">
        <v>46</v>
      </c>
      <c r="G2" s="13" t="str">
        <f>B2</f>
        <v>ABSAL</v>
      </c>
      <c r="I2" s="13">
        <v>2</v>
      </c>
      <c r="J2" s="13" t="s">
        <v>73</v>
      </c>
      <c r="L2" t="s">
        <v>81</v>
      </c>
    </row>
    <row r="3" spans="2:12">
      <c r="B3" t="s">
        <v>28</v>
      </c>
      <c r="D3" s="13" t="s">
        <v>39</v>
      </c>
      <c r="F3" s="13" t="s">
        <v>47</v>
      </c>
      <c r="G3" s="13" t="str">
        <f>B9</f>
        <v>NUMANCIA</v>
      </c>
      <c r="I3" s="13">
        <v>3</v>
      </c>
      <c r="J3" s="13" t="s">
        <v>74</v>
      </c>
      <c r="L3" t="s">
        <v>82</v>
      </c>
    </row>
    <row r="4" spans="2:12">
      <c r="B4" t="s">
        <v>29</v>
      </c>
      <c r="D4" s="13" t="s">
        <v>40</v>
      </c>
      <c r="F4" s="13" t="s">
        <v>48</v>
      </c>
      <c r="G4" s="13" t="str">
        <f>B2</f>
        <v>ABSAL</v>
      </c>
    </row>
    <row r="5" spans="2:12">
      <c r="B5" t="s">
        <v>83</v>
      </c>
      <c r="D5" s="13" t="s">
        <v>41</v>
      </c>
      <c r="F5" s="13" t="s">
        <v>49</v>
      </c>
      <c r="G5" s="13" t="str">
        <f>B2</f>
        <v>ABSAL</v>
      </c>
    </row>
    <row r="6" spans="2:12">
      <c r="B6" t="s">
        <v>30</v>
      </c>
      <c r="D6" s="13" t="s">
        <v>42</v>
      </c>
      <c r="F6" s="13" t="s">
        <v>50</v>
      </c>
      <c r="G6" s="13" t="str">
        <f>B7</f>
        <v>LAS AMERICAS</v>
      </c>
    </row>
    <row r="7" spans="2:12">
      <c r="B7" t="s">
        <v>31</v>
      </c>
      <c r="D7" s="13" t="s">
        <v>43</v>
      </c>
      <c r="F7" s="13" t="s">
        <v>51</v>
      </c>
      <c r="G7" s="13" t="str">
        <f>B11</f>
        <v>SOLUCIONA</v>
      </c>
    </row>
    <row r="8" spans="2:12">
      <c r="B8" t="s">
        <v>32</v>
      </c>
      <c r="D8" s="13" t="s">
        <v>44</v>
      </c>
      <c r="F8" s="13" t="s">
        <v>52</v>
      </c>
      <c r="G8" s="13" t="str">
        <f>B6</f>
        <v>KONTAX</v>
      </c>
    </row>
    <row r="9" spans="2:12">
      <c r="B9" t="s">
        <v>33</v>
      </c>
      <c r="D9" s="13" t="s">
        <v>45</v>
      </c>
      <c r="F9" s="13" t="s">
        <v>53</v>
      </c>
      <c r="G9" s="13" t="str">
        <f>B3</f>
        <v>ACCION INMOBILIARIA</v>
      </c>
    </row>
    <row r="10" spans="2:12">
      <c r="B10" t="s">
        <v>34</v>
      </c>
      <c r="D10" s="13"/>
      <c r="F10" s="13" t="s">
        <v>54</v>
      </c>
      <c r="G10" s="13" t="str">
        <f>B2</f>
        <v>ABSAL</v>
      </c>
    </row>
    <row r="11" spans="2:12">
      <c r="B11" t="s">
        <v>35</v>
      </c>
      <c r="D11" s="13"/>
      <c r="F11" s="13" t="s">
        <v>55</v>
      </c>
      <c r="G11" s="13" t="str">
        <f>B10</f>
        <v>PIO XI</v>
      </c>
    </row>
    <row r="12" spans="2:12">
      <c r="B12" t="s">
        <v>36</v>
      </c>
      <c r="D12" s="13"/>
      <c r="F12" s="13" t="s">
        <v>56</v>
      </c>
      <c r="G12" s="13" t="str">
        <f>B3</f>
        <v>ACCION INMOBILIARIA</v>
      </c>
    </row>
    <row r="13" spans="2:12">
      <c r="F13" s="13" t="s">
        <v>57</v>
      </c>
      <c r="G13" s="13" t="str">
        <f>B2</f>
        <v>ABSAL</v>
      </c>
    </row>
    <row r="14" spans="2:12">
      <c r="F14" s="13" t="s">
        <v>58</v>
      </c>
      <c r="G14" s="13" t="str">
        <f>B2</f>
        <v>ABSAL</v>
      </c>
    </row>
    <row r="15" spans="2:12">
      <c r="F15" s="13" t="s">
        <v>59</v>
      </c>
      <c r="G15" s="13" t="s">
        <v>36</v>
      </c>
    </row>
    <row r="16" spans="2:12">
      <c r="F16" s="13" t="s">
        <v>60</v>
      </c>
      <c r="G16" s="13" t="str">
        <f>B7</f>
        <v>LAS AMERICAS</v>
      </c>
    </row>
    <row r="17" spans="6:7">
      <c r="F17" s="13" t="s">
        <v>61</v>
      </c>
      <c r="G17" s="13" t="str">
        <f>B11</f>
        <v>SOLUCIONA</v>
      </c>
    </row>
    <row r="18" spans="6:7">
      <c r="F18" s="13" t="s">
        <v>62</v>
      </c>
      <c r="G18" s="13" t="str">
        <f>B11</f>
        <v>SOLUCIONA</v>
      </c>
    </row>
    <row r="19" spans="6:7" ht="30">
      <c r="F19" s="13" t="s">
        <v>63</v>
      </c>
      <c r="G19" s="13" t="str">
        <f>B5</f>
        <v>CA STUDEN LIVINN STGO. LTDA</v>
      </c>
    </row>
    <row r="20" spans="6:7">
      <c r="F20" s="13" t="s">
        <v>64</v>
      </c>
      <c r="G20" s="13" t="str">
        <f>B3</f>
        <v>ACCION INMOBILIARIA</v>
      </c>
    </row>
    <row r="21" spans="6:7">
      <c r="F21" s="13" t="s">
        <v>65</v>
      </c>
      <c r="G21" s="13" t="str">
        <f>B9</f>
        <v>NUMANCIA</v>
      </c>
    </row>
    <row r="22" spans="6:7">
      <c r="F22" s="13" t="s">
        <v>66</v>
      </c>
      <c r="G22" s="13" t="str">
        <f>B12</f>
        <v>UPC</v>
      </c>
    </row>
    <row r="23" spans="6:7" ht="30">
      <c r="F23" s="13" t="s">
        <v>67</v>
      </c>
      <c r="G23" s="13" t="str">
        <f>B5</f>
        <v>CA STUDEN LIVINN STGO. LTDA</v>
      </c>
    </row>
    <row r="24" spans="6:7">
      <c r="F24" s="13" t="s">
        <v>68</v>
      </c>
      <c r="G24" s="13" t="str">
        <f>B12</f>
        <v>UPC</v>
      </c>
    </row>
    <row r="25" spans="6:7">
      <c r="F25" s="13" t="s">
        <v>69</v>
      </c>
      <c r="G25" s="13" t="str">
        <f>B2</f>
        <v>ABSAL</v>
      </c>
    </row>
    <row r="26" spans="6:7">
      <c r="F26" s="13" t="s">
        <v>70</v>
      </c>
      <c r="G26" s="13" t="str">
        <f>B10</f>
        <v>PIO XI</v>
      </c>
    </row>
    <row r="27" spans="6:7">
      <c r="F27" s="13" t="s">
        <v>71</v>
      </c>
      <c r="G27" s="13" t="str">
        <f>B9</f>
        <v>NUMANCIA</v>
      </c>
    </row>
    <row r="28" spans="6:7">
      <c r="F28" s="13" t="s">
        <v>57</v>
      </c>
      <c r="G28" s="13"/>
    </row>
    <row r="29" spans="6:7">
      <c r="F29" s="13"/>
      <c r="G2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Formulario</vt:lpstr>
      <vt:lpstr>CargaDatos</vt:lpstr>
      <vt:lpstr>Registro de proyectos</vt:lpstr>
      <vt:lpstr>Tablas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2020-06-19T23:58:20Z</dcterms:modified>
</cp:coreProperties>
</file>